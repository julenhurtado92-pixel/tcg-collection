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hurtaga\Downloads\"/>
    </mc:Choice>
  </mc:AlternateContent>
  <xr:revisionPtr revIDLastSave="0" documentId="13_ncr:1_{F5AD4263-8F0D-4DAE-955E-A26EE83DCF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didos CardMarket" sheetId="1" r:id="rId1"/>
    <sheet name="Colección" sheetId="2" r:id="rId2"/>
    <sheet name="Tablas" sheetId="10" r:id="rId3"/>
    <sheet name="Graficos Legacy" sheetId="3" r:id="rId4"/>
    <sheet name="Aux Graficos" sheetId="9" r:id="rId5"/>
    <sheet name="Resumen actualización" sheetId="5" r:id="rId6"/>
    <sheet name="Mapeo Hareruya" sheetId="6" state="hidden" r:id="rId7"/>
    <sheet name="Pedidos WhatsApp" sheetId="7" state="hidden" r:id="rId8"/>
    <sheet name="Desglose Compra Venta" sheetId="8" state="hidden" r:id="rId9"/>
    <sheet name="Listas de valores" sheetId="4" r:id="rId10"/>
  </sheets>
  <definedNames>
    <definedName name="_xlnm._FilterDatabase" localSheetId="1" hidden="1">Colección!$A$1:$O$3858</definedName>
  </definedNames>
  <calcPr calcId="191029" forceFullCalc="1"/>
  <pivotCaches>
    <pivotCache cacheId="11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58" i="2" l="1"/>
  <c r="L3857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11" i="2"/>
  <c r="L311" i="2"/>
  <c r="L397" i="2"/>
  <c r="L610" i="2"/>
  <c r="L611" i="2"/>
  <c r="L612" i="2"/>
  <c r="L443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444" i="2"/>
  <c r="L425" i="2"/>
  <c r="L688" i="2"/>
  <c r="L689" i="2"/>
  <c r="L690" i="2"/>
  <c r="L691" i="2"/>
  <c r="L692" i="2"/>
  <c r="L693" i="2"/>
  <c r="L694" i="2"/>
  <c r="L695" i="2"/>
  <c r="L445" i="2"/>
  <c r="L696" i="2"/>
  <c r="L697" i="2"/>
  <c r="L698" i="2"/>
  <c r="L426" i="2"/>
  <c r="L699" i="2"/>
  <c r="L700" i="2"/>
  <c r="L171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427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185" i="2"/>
  <c r="L240" i="2"/>
  <c r="L428" i="2"/>
  <c r="L285" i="2"/>
  <c r="L347" i="2"/>
  <c r="L201" i="2"/>
  <c r="L524" i="2"/>
  <c r="L377" i="2"/>
  <c r="L828" i="2"/>
  <c r="L829" i="2"/>
  <c r="L830" i="2"/>
  <c r="L831" i="2"/>
  <c r="L832" i="2"/>
  <c r="L833" i="2"/>
  <c r="L834" i="2"/>
  <c r="L449" i="2"/>
  <c r="L532" i="2"/>
  <c r="L835" i="2"/>
  <c r="L836" i="2"/>
  <c r="L837" i="2"/>
  <c r="L398" i="2"/>
  <c r="L493" i="2"/>
  <c r="L352" i="2"/>
  <c r="L494" i="2"/>
  <c r="L561" i="2"/>
  <c r="L353" i="2"/>
  <c r="L562" i="2"/>
  <c r="L450" i="2"/>
  <c r="L495" i="2"/>
  <c r="L317" i="2"/>
  <c r="L197" i="2"/>
  <c r="L200" i="2"/>
  <c r="L525" i="2"/>
  <c r="L543" i="2"/>
  <c r="L504" i="2"/>
  <c r="L394" i="2"/>
  <c r="L838" i="2"/>
  <c r="L839" i="2"/>
  <c r="L840" i="2"/>
  <c r="L841" i="2"/>
  <c r="L842" i="2"/>
  <c r="L263" i="2"/>
  <c r="L505" i="2"/>
  <c r="L488" i="2"/>
  <c r="L534" i="2"/>
  <c r="L564" i="2"/>
  <c r="L309" i="2"/>
  <c r="L489" i="2"/>
  <c r="L190" i="2"/>
  <c r="L310" i="2"/>
  <c r="L480" i="2"/>
  <c r="L279" i="2"/>
  <c r="L348" i="2"/>
  <c r="L406" i="2"/>
  <c r="L219" i="2"/>
  <c r="L552" i="2"/>
  <c r="L553" i="2"/>
  <c r="L307" i="2"/>
  <c r="L344" i="2"/>
  <c r="L91" i="2"/>
  <c r="L293" i="2"/>
  <c r="L843" i="2"/>
  <c r="L159" i="2"/>
  <c r="L844" i="2"/>
  <c r="L23" i="2"/>
  <c r="L218" i="2"/>
  <c r="L845" i="2"/>
  <c r="L846" i="2"/>
  <c r="L286" i="2"/>
  <c r="L847" i="2"/>
  <c r="L196" i="2"/>
  <c r="L848" i="2"/>
  <c r="L849" i="2"/>
  <c r="L318" i="2"/>
  <c r="L341" i="2"/>
  <c r="L850" i="2"/>
  <c r="L851" i="2"/>
  <c r="L852" i="2"/>
  <c r="L853" i="2"/>
  <c r="L854" i="2"/>
  <c r="L855" i="2"/>
  <c r="L259" i="2"/>
  <c r="L365" i="2"/>
  <c r="L339" i="2"/>
  <c r="L517" i="2"/>
  <c r="L392" i="2"/>
  <c r="L856" i="2"/>
  <c r="L857" i="2"/>
  <c r="L858" i="2"/>
  <c r="L859" i="2"/>
  <c r="L860" i="2"/>
  <c r="L861" i="2"/>
  <c r="L862" i="2"/>
  <c r="L863" i="2"/>
  <c r="L864" i="2"/>
  <c r="L865" i="2"/>
  <c r="L108" i="2"/>
  <c r="L866" i="2"/>
  <c r="L867" i="2"/>
  <c r="L868" i="2"/>
  <c r="L869" i="2"/>
  <c r="L557" i="2"/>
  <c r="L479" i="2"/>
  <c r="L870" i="2"/>
  <c r="L871" i="2"/>
  <c r="L872" i="2"/>
  <c r="L873" i="2"/>
  <c r="L447" i="2"/>
  <c r="L484" i="2"/>
  <c r="L485" i="2"/>
  <c r="L550" i="2"/>
  <c r="L335" i="2"/>
  <c r="L402" i="2"/>
  <c r="L312" i="2"/>
  <c r="L399" i="2"/>
  <c r="L520" i="2"/>
  <c r="L521" i="2"/>
  <c r="L407" i="2"/>
  <c r="L434" i="2"/>
  <c r="L874" i="2"/>
  <c r="L875" i="2"/>
  <c r="L319" i="2"/>
  <c r="L431" i="2"/>
  <c r="L376" i="2"/>
  <c r="L403" i="2"/>
  <c r="L230" i="2"/>
  <c r="L342" i="2"/>
  <c r="L416" i="2"/>
  <c r="L474" i="2"/>
  <c r="L475" i="2"/>
  <c r="L476" i="2"/>
  <c r="L477" i="2"/>
  <c r="L518" i="2"/>
  <c r="L345" i="2"/>
  <c r="L282" i="2"/>
  <c r="L876" i="2"/>
  <c r="L877" i="2"/>
  <c r="L878" i="2"/>
  <c r="L879" i="2"/>
  <c r="L880" i="2"/>
  <c r="L881" i="2"/>
  <c r="L465" i="2"/>
  <c r="L290" i="2"/>
  <c r="L379" i="2"/>
  <c r="L380" i="2"/>
  <c r="L381" i="2"/>
  <c r="L882" i="2"/>
  <c r="L883" i="2"/>
  <c r="L884" i="2"/>
  <c r="L885" i="2"/>
  <c r="L886" i="2"/>
  <c r="L497" i="2"/>
  <c r="L430" i="2"/>
  <c r="L418" i="2"/>
  <c r="L395" i="2"/>
  <c r="L349" i="2"/>
  <c r="L175" i="2"/>
  <c r="L385" i="2"/>
  <c r="L463" i="2"/>
  <c r="L887" i="2"/>
  <c r="L888" i="2"/>
  <c r="L889" i="2"/>
  <c r="L294" i="2"/>
  <c r="L408" i="2"/>
  <c r="L404" i="2"/>
  <c r="L27" i="2"/>
  <c r="L262" i="2"/>
  <c r="L546" i="2"/>
  <c r="L509" i="2"/>
  <c r="L417" i="2"/>
  <c r="L507" i="2"/>
  <c r="L890" i="2"/>
  <c r="L891" i="2"/>
  <c r="L892" i="2"/>
  <c r="L893" i="2"/>
  <c r="L280" i="2"/>
  <c r="L142" i="2"/>
  <c r="L192" i="2"/>
  <c r="L314" i="2"/>
  <c r="L287" i="2"/>
  <c r="L12" i="2"/>
  <c r="L461" i="2"/>
  <c r="L527" i="2"/>
  <c r="L206" i="2"/>
  <c r="L894" i="2"/>
  <c r="L320" i="2"/>
  <c r="L453" i="2"/>
  <c r="L895" i="2"/>
  <c r="L896" i="2"/>
  <c r="L897" i="2"/>
  <c r="L535" i="2"/>
  <c r="L422" i="2"/>
  <c r="L367" i="2"/>
  <c r="L373" i="2"/>
  <c r="L306" i="2"/>
  <c r="L43" i="2"/>
  <c r="L898" i="2"/>
  <c r="L354" i="2"/>
  <c r="L547" i="2"/>
  <c r="L899" i="2"/>
  <c r="L900" i="2"/>
  <c r="L901" i="2"/>
  <c r="L902" i="2"/>
  <c r="L903" i="2"/>
  <c r="L155" i="2"/>
  <c r="L435" i="2"/>
  <c r="L904" i="2"/>
  <c r="L905" i="2"/>
  <c r="L387" i="2"/>
  <c r="L906" i="2"/>
  <c r="L907" i="2"/>
  <c r="L908" i="2"/>
  <c r="L313" i="2"/>
  <c r="L321" i="2"/>
  <c r="L355" i="2"/>
  <c r="L548" i="2"/>
  <c r="L462" i="2"/>
  <c r="L283" i="2"/>
  <c r="L350" i="2"/>
  <c r="L506" i="2"/>
  <c r="L473" i="2"/>
  <c r="L909" i="2"/>
  <c r="L910" i="2"/>
  <c r="L911" i="2"/>
  <c r="L483" i="2"/>
  <c r="L363" i="2"/>
  <c r="L270" i="2"/>
  <c r="L267" i="2"/>
  <c r="L378" i="2"/>
  <c r="L356" i="2"/>
  <c r="L912" i="2"/>
  <c r="L181" i="2"/>
  <c r="L41" i="2"/>
  <c r="L220" i="2"/>
  <c r="L315" i="2"/>
  <c r="L256" i="2"/>
  <c r="L271" i="2"/>
  <c r="L322" i="2"/>
  <c r="L538" i="2"/>
  <c r="L539" i="2"/>
  <c r="L540" i="2"/>
  <c r="L178" i="2"/>
  <c r="L229" i="2"/>
  <c r="L70" i="2"/>
  <c r="L413" i="2"/>
  <c r="L125" i="2"/>
  <c r="L388" i="2"/>
  <c r="L302" i="2"/>
  <c r="L913" i="2"/>
  <c r="L432" i="2"/>
  <c r="L503" i="2"/>
  <c r="L241" i="2"/>
  <c r="L242" i="2"/>
  <c r="L357" i="2"/>
  <c r="L358" i="2"/>
  <c r="L117" i="2"/>
  <c r="L67" i="2"/>
  <c r="L86" i="2"/>
  <c r="L323" i="2"/>
  <c r="L486" i="2"/>
  <c r="L437" i="2"/>
  <c r="L257" i="2"/>
  <c r="L914" i="2"/>
  <c r="L915" i="2"/>
  <c r="L916" i="2"/>
  <c r="L917" i="2"/>
  <c r="L918" i="2"/>
  <c r="L513" i="2"/>
  <c r="L919" i="2"/>
  <c r="L920" i="2"/>
  <c r="L921" i="2"/>
  <c r="L922" i="2"/>
  <c r="L923" i="2"/>
  <c r="L924" i="2"/>
  <c r="L925" i="2"/>
  <c r="L926" i="2"/>
  <c r="L927" i="2"/>
  <c r="L928" i="2"/>
  <c r="L929" i="2"/>
  <c r="L414" i="2"/>
  <c r="L930" i="2"/>
  <c r="L272" i="2"/>
  <c r="L931" i="2"/>
  <c r="L932" i="2"/>
  <c r="L933" i="2"/>
  <c r="L934" i="2"/>
  <c r="L100" i="2"/>
  <c r="L460" i="2"/>
  <c r="L386" i="2"/>
  <c r="L391" i="2"/>
  <c r="L935" i="2"/>
  <c r="L936" i="2"/>
  <c r="L937" i="2"/>
  <c r="L938" i="2"/>
  <c r="L939" i="2"/>
  <c r="L264" i="2"/>
  <c r="L84" i="2"/>
  <c r="L68" i="2"/>
  <c r="L99" i="2"/>
  <c r="L22" i="2"/>
  <c r="L940" i="2"/>
  <c r="L941" i="2"/>
  <c r="L942" i="2"/>
  <c r="L943" i="2"/>
  <c r="L359" i="2"/>
  <c r="L95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369" i="2"/>
  <c r="L266" i="2"/>
  <c r="L429" i="2"/>
  <c r="L169" i="2"/>
  <c r="L148" i="2"/>
  <c r="L209" i="2"/>
  <c r="L72" i="2"/>
  <c r="L177" i="2"/>
  <c r="L969" i="2"/>
  <c r="L970" i="2"/>
  <c r="L971" i="2"/>
  <c r="L18" i="2"/>
  <c r="L563" i="2"/>
  <c r="L530" i="2"/>
  <c r="L316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74" i="2"/>
  <c r="L984" i="2"/>
  <c r="L985" i="2"/>
  <c r="L986" i="2"/>
  <c r="L987" i="2"/>
  <c r="L988" i="2"/>
  <c r="L989" i="2"/>
  <c r="L990" i="2"/>
  <c r="L991" i="2"/>
  <c r="L268" i="2"/>
  <c r="L992" i="2"/>
  <c r="L993" i="2"/>
  <c r="L994" i="2"/>
  <c r="L995" i="2"/>
  <c r="L79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42" i="2"/>
  <c r="L1009" i="2"/>
  <c r="L1010" i="2"/>
  <c r="L1011" i="2"/>
  <c r="L80" i="2"/>
  <c r="L360" i="2"/>
  <c r="L1012" i="2"/>
  <c r="L1013" i="2"/>
  <c r="L1014" i="2"/>
  <c r="L1015" i="2"/>
  <c r="L1016" i="2"/>
  <c r="L1017" i="2"/>
  <c r="L24" i="2"/>
  <c r="L1018" i="2"/>
  <c r="L1019" i="2"/>
  <c r="L1020" i="2"/>
  <c r="L121" i="2"/>
  <c r="L1021" i="2"/>
  <c r="L1022" i="2"/>
  <c r="L1023" i="2"/>
  <c r="L1024" i="2"/>
  <c r="L1025" i="2"/>
  <c r="L1026" i="2"/>
  <c r="L188" i="2"/>
  <c r="L143" i="2"/>
  <c r="L1027" i="2"/>
  <c r="L1028" i="2"/>
  <c r="L1029" i="2"/>
  <c r="L1030" i="2"/>
  <c r="L1031" i="2"/>
  <c r="L542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291" i="2"/>
  <c r="L133" i="2"/>
  <c r="L1047" i="2"/>
  <c r="L10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34" i="2"/>
  <c r="L288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234" i="2"/>
  <c r="L1094" i="2"/>
  <c r="L1095" i="2"/>
  <c r="L1096" i="2"/>
  <c r="L1097" i="2"/>
  <c r="L343" i="2"/>
  <c r="L1098" i="2"/>
  <c r="L1099" i="2"/>
  <c r="L1100" i="2"/>
  <c r="L183" i="2"/>
  <c r="L222" i="2"/>
  <c r="L49" i="2"/>
  <c r="L1101" i="2"/>
  <c r="L1102" i="2"/>
  <c r="L1103" i="2"/>
  <c r="L1104" i="2"/>
  <c r="L1105" i="2"/>
  <c r="L498" i="2"/>
  <c r="L455" i="2"/>
  <c r="L129" i="2"/>
  <c r="L17" i="2"/>
  <c r="L109" i="2"/>
  <c r="L374" i="2"/>
  <c r="L97" i="2"/>
  <c r="L213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528" i="2"/>
  <c r="L529" i="2"/>
  <c r="L236" i="2"/>
  <c r="L1144" i="2"/>
  <c r="L149" i="2"/>
  <c r="L1145" i="2"/>
  <c r="L221" i="2"/>
  <c r="L131" i="2"/>
  <c r="F8" i="3" s="1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36" i="2"/>
  <c r="L336" i="2"/>
  <c r="L278" i="2"/>
  <c r="L111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04" i="2"/>
  <c r="L1185" i="2"/>
  <c r="L1186" i="2"/>
  <c r="L112" i="2"/>
  <c r="L113" i="2"/>
  <c r="L254" i="2"/>
  <c r="L491" i="2"/>
  <c r="L232" i="2"/>
  <c r="L1187" i="2"/>
  <c r="L1188" i="2"/>
  <c r="L1189" i="2"/>
  <c r="L1190" i="2"/>
  <c r="L1191" i="2"/>
  <c r="L1192" i="2"/>
  <c r="L1193" i="2"/>
  <c r="L1194" i="2"/>
  <c r="L1195" i="2"/>
  <c r="L1196" i="2"/>
  <c r="L212" i="2"/>
  <c r="L172" i="2"/>
  <c r="L492" i="2"/>
  <c r="L153" i="2"/>
  <c r="L327" i="2"/>
  <c r="L1197" i="2"/>
  <c r="L1198" i="2"/>
  <c r="L1199" i="2"/>
  <c r="L1200" i="2"/>
  <c r="L1201" i="2"/>
  <c r="L303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91" i="2"/>
  <c r="L1219" i="2"/>
  <c r="L237" i="2"/>
  <c r="L1220" i="2"/>
  <c r="L1221" i="2"/>
  <c r="L1222" i="2"/>
  <c r="L1223" i="2"/>
  <c r="L1224" i="2"/>
  <c r="L87" i="2"/>
  <c r="L1225" i="2"/>
  <c r="L1226" i="2"/>
  <c r="L1227" i="2"/>
  <c r="L1228" i="2"/>
  <c r="L1229" i="2"/>
  <c r="L1230" i="2"/>
  <c r="L1231" i="2"/>
  <c r="L1232" i="2"/>
  <c r="L6" i="2"/>
  <c r="L324" i="2"/>
  <c r="L423" i="2"/>
  <c r="L1233" i="2"/>
  <c r="L1234" i="2"/>
  <c r="L436" i="2"/>
  <c r="L1235" i="2"/>
  <c r="L1236" i="2"/>
  <c r="L1237" i="2"/>
  <c r="L1238" i="2"/>
  <c r="L269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235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89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76" i="2"/>
  <c r="L1485" i="2"/>
  <c r="L1486" i="2"/>
  <c r="L1487" i="2"/>
  <c r="L1488" i="2"/>
  <c r="L1489" i="2"/>
  <c r="L1490" i="2"/>
  <c r="L1491" i="2"/>
  <c r="L1492" i="2"/>
  <c r="L1493" i="2"/>
  <c r="L1494" i="2"/>
  <c r="L1495" i="2"/>
  <c r="L46" i="2"/>
  <c r="L1496" i="2"/>
  <c r="L1497" i="2"/>
  <c r="L487" i="2"/>
  <c r="L128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05" i="2"/>
  <c r="L1516" i="2"/>
  <c r="L1517" i="2"/>
  <c r="L1518" i="2"/>
  <c r="L1519" i="2"/>
  <c r="L19" i="2"/>
  <c r="L1520" i="2"/>
  <c r="L1521" i="2"/>
  <c r="L1522" i="2"/>
  <c r="L1523" i="2"/>
  <c r="L1524" i="2"/>
  <c r="L1525" i="2"/>
  <c r="L1526" i="2"/>
  <c r="L65" i="2"/>
  <c r="L1527" i="2"/>
  <c r="L1528" i="2"/>
  <c r="L1529" i="2"/>
  <c r="L1530" i="2"/>
  <c r="L1531" i="2"/>
  <c r="L239" i="2"/>
  <c r="L519" i="2"/>
  <c r="L1532" i="2"/>
  <c r="L199" i="2"/>
  <c r="L1533" i="2"/>
  <c r="L1534" i="2"/>
  <c r="L1535" i="2"/>
  <c r="L482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361" i="2"/>
  <c r="L1556" i="2"/>
  <c r="L1557" i="2"/>
  <c r="L154" i="2"/>
  <c r="L333" i="2"/>
  <c r="L456" i="2"/>
  <c r="L470" i="2"/>
  <c r="L132" i="2"/>
  <c r="L44" i="2"/>
  <c r="L1558" i="2"/>
  <c r="L1559" i="2"/>
  <c r="L1560" i="2"/>
  <c r="L1561" i="2"/>
  <c r="L1562" i="2"/>
  <c r="L1563" i="2"/>
  <c r="L1564" i="2"/>
  <c r="L1565" i="2"/>
  <c r="L151" i="2"/>
  <c r="L1566" i="2"/>
  <c r="L1567" i="2"/>
  <c r="L1568" i="2"/>
  <c r="L1569" i="2"/>
  <c r="L1570" i="2"/>
  <c r="L1571" i="2"/>
  <c r="L1572" i="2"/>
  <c r="L433" i="2"/>
  <c r="L1573" i="2"/>
  <c r="L464" i="2"/>
  <c r="L526" i="2"/>
  <c r="L338" i="2"/>
  <c r="L351" i="2"/>
  <c r="L1574" i="2"/>
  <c r="L1575" i="2"/>
  <c r="L1576" i="2"/>
  <c r="L1577" i="2"/>
  <c r="L1578" i="2"/>
  <c r="L1579" i="2"/>
  <c r="L210" i="2"/>
  <c r="L1580" i="2"/>
  <c r="L1581" i="2"/>
  <c r="L1582" i="2"/>
  <c r="L1583" i="2"/>
  <c r="L1584" i="2"/>
  <c r="L265" i="2"/>
  <c r="L1585" i="2"/>
  <c r="L1586" i="2"/>
  <c r="L261" i="2"/>
  <c r="L47" i="2"/>
  <c r="L510" i="2"/>
  <c r="L511" i="2"/>
  <c r="L512" i="2"/>
  <c r="L1587" i="2"/>
  <c r="L1588" i="2"/>
  <c r="L1589" i="2"/>
  <c r="L1590" i="2"/>
  <c r="L1591" i="2"/>
  <c r="L1592" i="2"/>
  <c r="L1593" i="2"/>
  <c r="L1594" i="2"/>
  <c r="L253" i="2"/>
  <c r="L1595" i="2"/>
  <c r="L415" i="2"/>
  <c r="L1596" i="2"/>
  <c r="L1597" i="2"/>
  <c r="L1598" i="2"/>
  <c r="L144" i="2"/>
  <c r="L1599" i="2"/>
  <c r="L1600" i="2"/>
  <c r="L57" i="2"/>
  <c r="L409" i="2"/>
  <c r="L1601" i="2"/>
  <c r="L1602" i="2"/>
  <c r="L1603" i="2"/>
  <c r="L1604" i="2"/>
  <c r="L1605" i="2"/>
  <c r="L1606" i="2"/>
  <c r="L1607" i="2"/>
  <c r="L244" i="2"/>
  <c r="L1608" i="2"/>
  <c r="L1609" i="2"/>
  <c r="L1610" i="2"/>
  <c r="L1611" i="2"/>
  <c r="L1612" i="2"/>
  <c r="L1613" i="2"/>
  <c r="L1614" i="2"/>
  <c r="L94" i="2"/>
  <c r="L141" i="2"/>
  <c r="L1615" i="2"/>
  <c r="L1616" i="2"/>
  <c r="L1617" i="2"/>
  <c r="L1618" i="2"/>
  <c r="L1619" i="2"/>
  <c r="L1620" i="2"/>
  <c r="L1621" i="2"/>
  <c r="L1622" i="2"/>
  <c r="L1623" i="2"/>
  <c r="L1624" i="2"/>
  <c r="L30" i="2"/>
  <c r="L531" i="2"/>
  <c r="L1625" i="2"/>
  <c r="L1626" i="2"/>
  <c r="L1627" i="2"/>
  <c r="L156" i="2"/>
  <c r="L85" i="2"/>
  <c r="L1628" i="2"/>
  <c r="L161" i="2"/>
  <c r="L1629" i="2"/>
  <c r="L119" i="2"/>
  <c r="L454" i="2"/>
  <c r="L1630" i="2"/>
  <c r="L1631" i="2"/>
  <c r="L1632" i="2"/>
  <c r="L1633" i="2"/>
  <c r="L82" i="2"/>
  <c r="L522" i="2"/>
  <c r="L405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364" i="2"/>
  <c r="L1649" i="2"/>
  <c r="L1650" i="2"/>
  <c r="L1651" i="2"/>
  <c r="L1652" i="2"/>
  <c r="L1653" i="2"/>
  <c r="L1654" i="2"/>
  <c r="L1655" i="2"/>
  <c r="L1656" i="2"/>
  <c r="L120" i="2"/>
  <c r="L1657" i="2"/>
  <c r="L1658" i="2"/>
  <c r="L1659" i="2"/>
  <c r="L1660" i="2"/>
  <c r="L1661" i="2"/>
  <c r="L162" i="2"/>
  <c r="L55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92" i="2"/>
  <c r="L438" i="2"/>
  <c r="L1701" i="2"/>
  <c r="L53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5" i="2"/>
  <c r="L1716" i="2"/>
  <c r="L1717" i="2"/>
  <c r="L1718" i="2"/>
  <c r="L1719" i="2"/>
  <c r="L1720" i="2"/>
  <c r="L1721" i="2"/>
  <c r="L1722" i="2"/>
  <c r="L1723" i="2"/>
  <c r="L1724" i="2"/>
  <c r="L1725" i="2"/>
  <c r="L238" i="2"/>
  <c r="L184" i="2"/>
  <c r="L66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225" i="2"/>
  <c r="L551" i="2"/>
  <c r="L1745" i="2"/>
  <c r="L1746" i="2"/>
  <c r="L10" i="2"/>
  <c r="L50" i="2"/>
  <c r="L1747" i="2"/>
  <c r="L1748" i="2"/>
  <c r="L1749" i="2"/>
  <c r="L1750" i="2"/>
  <c r="L1751" i="2"/>
  <c r="L1752" i="2"/>
  <c r="L1753" i="2"/>
  <c r="L308" i="2"/>
  <c r="L71" i="2"/>
  <c r="L1754" i="2"/>
  <c r="L130" i="2"/>
  <c r="L1755" i="2"/>
  <c r="L1756" i="2"/>
  <c r="L16" i="2"/>
  <c r="L523" i="2"/>
  <c r="L1757" i="2"/>
  <c r="L1758" i="2"/>
  <c r="L439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32" i="2"/>
  <c r="L368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301" i="2"/>
  <c r="L179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3" i="2"/>
  <c r="L1821" i="2"/>
  <c r="L150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52" i="2"/>
  <c r="L1839" i="2"/>
  <c r="L1840" i="2"/>
  <c r="L1841" i="2"/>
  <c r="L1842" i="2"/>
  <c r="L1843" i="2"/>
  <c r="L1844" i="2"/>
  <c r="L1845" i="2"/>
  <c r="L1846" i="2"/>
  <c r="L140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63" i="2"/>
  <c r="L246" i="2"/>
  <c r="L164" i="2"/>
  <c r="L207" i="2"/>
  <c r="L375" i="2"/>
  <c r="L1864" i="2"/>
  <c r="L77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284" i="2"/>
  <c r="L299" i="2"/>
  <c r="L1878" i="2"/>
  <c r="L1879" i="2"/>
  <c r="L75" i="2"/>
  <c r="L1880" i="2"/>
  <c r="L1881" i="2"/>
  <c r="L1882" i="2"/>
  <c r="L1883" i="2"/>
  <c r="L180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419" i="2"/>
  <c r="L273" i="2"/>
  <c r="L208" i="2"/>
  <c r="L118" i="2"/>
  <c r="L1899" i="2"/>
  <c r="L1900" i="2"/>
  <c r="L115" i="2"/>
  <c r="L1901" i="2"/>
  <c r="L126" i="2"/>
  <c r="L58" i="2"/>
  <c r="L61" i="2"/>
  <c r="L1902" i="2"/>
  <c r="L1903" i="2"/>
  <c r="L1904" i="2"/>
  <c r="L300" i="2"/>
  <c r="L1905" i="2"/>
  <c r="L1906" i="2"/>
  <c r="L152" i="2"/>
  <c r="L411" i="2"/>
  <c r="L1907" i="2"/>
  <c r="L1908" i="2"/>
  <c r="L1909" i="2"/>
  <c r="L1910" i="2"/>
  <c r="L332" i="2"/>
  <c r="L36" i="2"/>
  <c r="L202" i="2"/>
  <c r="L250" i="2"/>
  <c r="L1911" i="2"/>
  <c r="L81" i="2"/>
  <c r="L1912" i="2"/>
  <c r="L328" i="2"/>
  <c r="L194" i="2"/>
  <c r="L122" i="2"/>
  <c r="L1913" i="2"/>
  <c r="L1914" i="2"/>
  <c r="L29" i="2"/>
  <c r="L533" i="2"/>
  <c r="L255" i="2"/>
  <c r="L346" i="2"/>
  <c r="L60" i="2"/>
  <c r="L37" i="2"/>
  <c r="L1915" i="2"/>
  <c r="L1916" i="2"/>
  <c r="L1917" i="2"/>
  <c r="L1918" i="2"/>
  <c r="L1919" i="2"/>
  <c r="L1920" i="2"/>
  <c r="L1921" i="2"/>
  <c r="L2" i="2"/>
  <c r="L1922" i="2"/>
  <c r="L1923" i="2"/>
  <c r="L170" i="2"/>
  <c r="L165" i="2"/>
  <c r="L1924" i="2"/>
  <c r="L21" i="2"/>
  <c r="L166" i="2"/>
  <c r="L1925" i="2"/>
  <c r="L252" i="2"/>
  <c r="L90" i="2"/>
  <c r="L8" i="2"/>
  <c r="L370" i="2"/>
  <c r="L69" i="2"/>
  <c r="L297" i="2"/>
  <c r="L167" i="2"/>
  <c r="L452" i="2"/>
  <c r="L25" i="2"/>
  <c r="L226" i="2"/>
  <c r="L1926" i="2"/>
  <c r="L1927" i="2"/>
  <c r="L1928" i="2"/>
  <c r="L567" i="2"/>
  <c r="L1929" i="2"/>
  <c r="L1930" i="2"/>
  <c r="L1931" i="2"/>
  <c r="L1932" i="2"/>
  <c r="L1933" i="2"/>
  <c r="L1934" i="2"/>
  <c r="L1935" i="2"/>
  <c r="L1936" i="2"/>
  <c r="L14" i="2"/>
  <c r="L1937" i="2"/>
  <c r="L13" i="2"/>
  <c r="L1938" i="2"/>
  <c r="L35" i="2"/>
  <c r="L31" i="2"/>
  <c r="L383" i="2"/>
  <c r="L334" i="2"/>
  <c r="L7" i="2"/>
  <c r="L26" i="2"/>
  <c r="L384" i="2"/>
  <c r="L1939" i="2"/>
  <c r="L20" i="2"/>
  <c r="L1940" i="2"/>
  <c r="L1941" i="2"/>
  <c r="L1942" i="2"/>
  <c r="L1943" i="2"/>
  <c r="L1944" i="2"/>
  <c r="L1945" i="2"/>
  <c r="L276" i="2"/>
  <c r="L1946" i="2"/>
  <c r="L1947" i="2"/>
  <c r="L1948" i="2"/>
  <c r="L1949" i="2"/>
  <c r="L1950" i="2"/>
  <c r="L1951" i="2"/>
  <c r="L1952" i="2"/>
  <c r="L139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54" i="2"/>
  <c r="L247" i="2"/>
  <c r="L451" i="2"/>
  <c r="L372" i="2"/>
  <c r="L400" i="2"/>
  <c r="L401" i="2"/>
  <c r="L330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478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168" i="2"/>
  <c r="L2016" i="2"/>
  <c r="L2017" i="2"/>
  <c r="L2018" i="2"/>
  <c r="L2019" i="2"/>
  <c r="L2020" i="2"/>
  <c r="L2021" i="2"/>
  <c r="L2022" i="2"/>
  <c r="L281" i="2"/>
  <c r="L2023" i="2"/>
  <c r="L2024" i="2"/>
  <c r="L2025" i="2"/>
  <c r="L2026" i="2"/>
  <c r="L2027" i="2"/>
  <c r="L2028" i="2"/>
  <c r="L24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76" i="2"/>
  <c r="L2054" i="2"/>
  <c r="L98" i="2"/>
  <c r="L260" i="2"/>
  <c r="L2055" i="2"/>
  <c r="L2056" i="2"/>
  <c r="L340" i="2"/>
  <c r="L2057" i="2"/>
  <c r="L2058" i="2"/>
  <c r="L2059" i="2"/>
  <c r="L2060" i="2"/>
  <c r="L2061" i="2"/>
  <c r="L2062" i="2"/>
  <c r="L471" i="2"/>
  <c r="L412" i="2"/>
  <c r="L472" i="2"/>
  <c r="L214" i="2"/>
  <c r="L448" i="2"/>
  <c r="L421" i="2"/>
  <c r="L2063" i="2"/>
  <c r="L304" i="2"/>
  <c r="L93" i="2"/>
  <c r="L325" i="2"/>
  <c r="L326" i="2"/>
  <c r="L515" i="2"/>
  <c r="L468" i="2"/>
  <c r="L516" i="2"/>
  <c r="L2064" i="2"/>
  <c r="L2065" i="2"/>
  <c r="L102" i="2"/>
  <c r="L371" i="2"/>
  <c r="L2066" i="2"/>
  <c r="L2067" i="2"/>
  <c r="L2068" i="2"/>
  <c r="L2069" i="2"/>
  <c r="L2070" i="2"/>
  <c r="L2071" i="2"/>
  <c r="L2072" i="2"/>
  <c r="L2073" i="2"/>
  <c r="L2074" i="2"/>
  <c r="L305" i="2"/>
  <c r="L362" i="2"/>
  <c r="L541" i="2"/>
  <c r="L195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17" i="2"/>
  <c r="L123" i="2"/>
  <c r="L40" i="2"/>
  <c r="L277" i="2"/>
  <c r="L2093" i="2"/>
  <c r="L2094" i="2"/>
  <c r="L2095" i="2"/>
  <c r="L2096" i="2"/>
  <c r="L2097" i="2"/>
  <c r="L233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" i="2"/>
  <c r="L227" i="2"/>
  <c r="L490" i="2"/>
  <c r="L249" i="2"/>
  <c r="L22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11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03" i="2"/>
  <c r="L2154" i="2"/>
  <c r="L2155" i="2"/>
  <c r="L2156" i="2"/>
  <c r="L2157" i="2"/>
  <c r="L2158" i="2"/>
  <c r="L2159" i="2"/>
  <c r="L2160" i="2"/>
  <c r="L2161" i="2"/>
  <c r="L440" i="2"/>
  <c r="L124" i="2"/>
  <c r="L2162" i="2"/>
  <c r="L2163" i="2"/>
  <c r="L2164" i="2"/>
  <c r="L2165" i="2"/>
  <c r="L2166" i="2"/>
  <c r="L2167" i="2"/>
  <c r="L2168" i="2"/>
  <c r="L2169" i="2"/>
  <c r="L2170" i="2"/>
  <c r="L2171" i="2"/>
  <c r="L243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147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51" i="2"/>
  <c r="L441" i="2"/>
  <c r="L78" i="2"/>
  <c r="L2200" i="2"/>
  <c r="L2201" i="2"/>
  <c r="L2202" i="2"/>
  <c r="L2203" i="2"/>
  <c r="L2204" i="2"/>
  <c r="L2205" i="2"/>
  <c r="L2206" i="2"/>
  <c r="L2207" i="2"/>
  <c r="L2208" i="2"/>
  <c r="L2209" i="2"/>
  <c r="L2210" i="2"/>
  <c r="L193" i="2"/>
  <c r="L101" i="2"/>
  <c r="L2211" i="2"/>
  <c r="L2212" i="2"/>
  <c r="L2213" i="2"/>
  <c r="L274" i="2"/>
  <c r="L2214" i="2"/>
  <c r="L2215" i="2"/>
  <c r="L2216" i="2"/>
  <c r="L2217" i="2"/>
  <c r="L2218" i="2"/>
  <c r="L2219" i="2"/>
  <c r="L2220" i="2"/>
  <c r="L106" i="2"/>
  <c r="L2221" i="2"/>
  <c r="L2222" i="2"/>
  <c r="L2223" i="2"/>
  <c r="L2224" i="2"/>
  <c r="L2225" i="2"/>
  <c r="L2226" i="2"/>
  <c r="L2227" i="2"/>
  <c r="L2228" i="2"/>
  <c r="L2229" i="2"/>
  <c r="L135" i="2"/>
  <c r="L145" i="2"/>
  <c r="L127" i="2"/>
  <c r="L424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173" i="2"/>
  <c r="L15" i="2"/>
  <c r="L2249" i="2"/>
  <c r="L2250" i="2"/>
  <c r="L2251" i="2"/>
  <c r="L2252" i="2"/>
  <c r="L2253" i="2"/>
  <c r="L114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331" i="2"/>
  <c r="L442" i="2"/>
  <c r="L2271" i="2"/>
  <c r="L2272" i="2"/>
  <c r="L2273" i="2"/>
  <c r="L2274" i="2"/>
  <c r="L160" i="2"/>
  <c r="L34" i="2"/>
  <c r="L2275" i="2"/>
  <c r="L187" i="2"/>
  <c r="L2276" i="2"/>
  <c r="L2277" i="2"/>
  <c r="L289" i="2"/>
  <c r="L204" i="2"/>
  <c r="L2278" i="2"/>
  <c r="L2279" i="2"/>
  <c r="L2280" i="2"/>
  <c r="L2281" i="2"/>
  <c r="L2282" i="2"/>
  <c r="L2283" i="2"/>
  <c r="L2284" i="2"/>
  <c r="L2285" i="2"/>
  <c r="L2286" i="2"/>
  <c r="L2287" i="2"/>
  <c r="L186" i="2"/>
  <c r="L2288" i="2"/>
  <c r="L2289" i="2"/>
  <c r="L2290" i="2"/>
  <c r="L158" i="2"/>
  <c r="L205" i="2"/>
  <c r="L146" i="2"/>
  <c r="L2291" i="2"/>
  <c r="L2292" i="2"/>
  <c r="L337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182" i="2"/>
  <c r="L2311" i="2"/>
  <c r="L2312" i="2"/>
  <c r="L2313" i="2"/>
  <c r="L2314" i="2"/>
  <c r="L2315" i="2"/>
  <c r="L2316" i="2"/>
  <c r="L2317" i="2"/>
  <c r="L2318" i="2"/>
  <c r="L459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8" i="2"/>
  <c r="L2331" i="2"/>
  <c r="L2332" i="2"/>
  <c r="L396" i="2"/>
  <c r="L2333" i="2"/>
  <c r="L2334" i="2"/>
  <c r="L2335" i="2"/>
  <c r="L2336" i="2"/>
  <c r="L2337" i="2"/>
  <c r="L2338" i="2"/>
  <c r="L2339" i="2"/>
  <c r="L2340" i="2"/>
  <c r="L2341" i="2"/>
  <c r="L2342" i="2"/>
  <c r="L2343" i="2"/>
  <c r="L457" i="2"/>
  <c r="L198" i="2"/>
  <c r="L2344" i="2"/>
  <c r="L2345" i="2"/>
  <c r="L2346" i="2"/>
  <c r="L2347" i="2"/>
  <c r="L2348" i="2"/>
  <c r="L258" i="2"/>
  <c r="L51" i="2"/>
  <c r="L2349" i="2"/>
  <c r="L2350" i="2"/>
  <c r="L2351" i="2"/>
  <c r="L2352" i="2"/>
  <c r="L63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501" i="2"/>
  <c r="L502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466" i="2"/>
  <c r="L2530" i="2"/>
  <c r="L2531" i="2"/>
  <c r="L2532" i="2"/>
  <c r="L514" i="2"/>
  <c r="L496" i="2"/>
  <c r="L389" i="2"/>
  <c r="L390" i="2"/>
  <c r="L545" i="2"/>
  <c r="L508" i="2"/>
  <c r="L558" i="2"/>
  <c r="L559" i="2"/>
  <c r="L560" i="2"/>
  <c r="L554" i="2"/>
  <c r="L566" i="2"/>
  <c r="L2533" i="2"/>
  <c r="L329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45" i="2"/>
  <c r="L2571" i="2"/>
  <c r="L2572" i="2"/>
  <c r="L2573" i="2"/>
  <c r="L2574" i="2"/>
  <c r="L2575" i="2"/>
  <c r="L2576" i="2"/>
  <c r="L2577" i="2"/>
  <c r="L2578" i="2"/>
  <c r="L215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39" i="2"/>
  <c r="L2675" i="2"/>
  <c r="L24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555" i="2"/>
  <c r="L569" i="2"/>
  <c r="L556" i="2"/>
  <c r="L549" i="2"/>
  <c r="L410" i="2"/>
  <c r="L568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174" i="2"/>
  <c r="L64" i="2"/>
  <c r="L2723" i="2"/>
  <c r="L2724" i="2"/>
  <c r="L2725" i="2"/>
  <c r="L2726" i="2"/>
  <c r="L2727" i="2"/>
  <c r="L13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89" i="2"/>
  <c r="L62" i="2"/>
  <c r="L469" i="2"/>
  <c r="L2749" i="2"/>
  <c r="L2750" i="2"/>
  <c r="L2751" i="2"/>
  <c r="L2752" i="2"/>
  <c r="L2753" i="2"/>
  <c r="L2754" i="2"/>
  <c r="L2755" i="2"/>
  <c r="L2756" i="2"/>
  <c r="L2757" i="2"/>
  <c r="L2758" i="2"/>
  <c r="L467" i="2"/>
  <c r="L565" i="2"/>
  <c r="L570" i="2"/>
  <c r="L2759" i="2"/>
  <c r="L2760" i="2"/>
  <c r="L2761" i="2"/>
  <c r="L2762" i="2"/>
  <c r="L2763" i="2"/>
  <c r="L2764" i="2"/>
  <c r="L2765" i="2"/>
  <c r="L2766" i="2"/>
  <c r="L2767" i="2"/>
  <c r="L2768" i="2"/>
  <c r="L2769" i="2"/>
  <c r="L458" i="2"/>
  <c r="L2770" i="2"/>
  <c r="L2771" i="2"/>
  <c r="L2772" i="2"/>
  <c r="L446" i="2"/>
  <c r="L2773" i="2"/>
  <c r="L2774" i="2"/>
  <c r="L2775" i="2"/>
  <c r="L2776" i="2"/>
  <c r="L2777" i="2"/>
  <c r="L2778" i="2"/>
  <c r="L2779" i="2"/>
  <c r="L4" i="2"/>
  <c r="L9" i="2"/>
  <c r="L96" i="2"/>
  <c r="L2780" i="2"/>
  <c r="L2781" i="2"/>
  <c r="L2782" i="2"/>
  <c r="L2783" i="2"/>
  <c r="L2784" i="2"/>
  <c r="L2785" i="2"/>
  <c r="L2786" i="2"/>
  <c r="L2787" i="2"/>
  <c r="L2788" i="2"/>
  <c r="L2789" i="2"/>
  <c r="L2790" i="2"/>
  <c r="L38" i="2"/>
  <c r="L33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536" i="2"/>
  <c r="L537" i="2"/>
  <c r="L2829" i="2"/>
  <c r="L2830" i="2"/>
  <c r="L228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59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366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138" i="2"/>
  <c r="L3135" i="2"/>
  <c r="L3136" i="2"/>
  <c r="L3137" i="2"/>
  <c r="L3138" i="2"/>
  <c r="L3139" i="2"/>
  <c r="L3140" i="2"/>
  <c r="L3141" i="2"/>
  <c r="L420" i="2"/>
  <c r="L3142" i="2"/>
  <c r="L3143" i="2"/>
  <c r="L3144" i="2"/>
  <c r="L3145" i="2"/>
  <c r="L3146" i="2"/>
  <c r="L3147" i="2"/>
  <c r="L298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216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56" i="2"/>
  <c r="L3195" i="2"/>
  <c r="L3196" i="2"/>
  <c r="L3197" i="2"/>
  <c r="L3198" i="2"/>
  <c r="L3199" i="2"/>
  <c r="L295" i="2"/>
  <c r="L544" i="2"/>
  <c r="L499" i="2"/>
  <c r="L500" i="2"/>
  <c r="L275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82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88" i="2"/>
  <c r="L3269" i="2"/>
  <c r="L3270" i="2"/>
  <c r="L3271" i="2"/>
  <c r="L3272" i="2"/>
  <c r="L3273" i="2"/>
  <c r="L3274" i="2"/>
  <c r="L481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48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73" i="2"/>
  <c r="L3469" i="2"/>
  <c r="L3470" i="2"/>
  <c r="L3471" i="2"/>
  <c r="L83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292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224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296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103" i="2"/>
  <c r="L157" i="2"/>
  <c r="L3625" i="2"/>
  <c r="L3626" i="2"/>
  <c r="L3627" i="2"/>
  <c r="L3628" i="2"/>
  <c r="L3629" i="2"/>
  <c r="L393" i="2"/>
  <c r="L231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110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571" i="2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2" i="9"/>
  <c r="C2" i="9" s="1"/>
  <c r="F2" i="9"/>
  <c r="F3" i="9"/>
  <c r="F4" i="9"/>
  <c r="G4" i="9" s="1"/>
  <c r="F5" i="9"/>
  <c r="F6" i="9"/>
  <c r="F7" i="9"/>
  <c r="F8" i="9"/>
  <c r="F9" i="9"/>
  <c r="G9" i="9" s="1"/>
  <c r="F10" i="9"/>
  <c r="F11" i="9"/>
  <c r="F12" i="9"/>
  <c r="F13" i="9"/>
  <c r="F14" i="9"/>
  <c r="F15" i="9"/>
  <c r="F16" i="9"/>
  <c r="F17" i="9"/>
  <c r="F18" i="9"/>
  <c r="F19" i="9"/>
  <c r="F20" i="9"/>
  <c r="F21" i="9"/>
  <c r="G21" i="9" s="1"/>
  <c r="F22" i="9"/>
  <c r="G22" i="9" s="1"/>
  <c r="F23" i="9"/>
  <c r="F24" i="9"/>
  <c r="F25" i="9"/>
  <c r="G25" i="9" s="1"/>
  <c r="F26" i="9"/>
  <c r="F27" i="9"/>
  <c r="F28" i="9"/>
  <c r="F29" i="9"/>
  <c r="F30" i="9"/>
  <c r="F31" i="9"/>
  <c r="F32" i="9"/>
  <c r="F33" i="9"/>
  <c r="G33" i="9" s="1"/>
  <c r="F34" i="9"/>
  <c r="G34" i="9" s="1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G50" i="9" s="1"/>
  <c r="F51" i="9"/>
  <c r="F52" i="9"/>
  <c r="G52" i="9" s="1"/>
  <c r="F53" i="9"/>
  <c r="G53" i="9" s="1"/>
  <c r="F54" i="9"/>
  <c r="F55" i="9"/>
  <c r="F56" i="9"/>
  <c r="G56" i="9" s="1"/>
  <c r="F57" i="9"/>
  <c r="F58" i="9"/>
  <c r="G58" i="9" s="1"/>
  <c r="F59" i="9"/>
  <c r="F60" i="9"/>
  <c r="F61" i="9"/>
  <c r="F62" i="9"/>
  <c r="F63" i="9"/>
  <c r="F64" i="9"/>
  <c r="F65" i="9"/>
  <c r="F66" i="9"/>
  <c r="F67" i="9"/>
  <c r="F68" i="9"/>
  <c r="G68" i="9" s="1"/>
  <c r="F69" i="9"/>
  <c r="F70" i="9"/>
  <c r="F71" i="9"/>
  <c r="F72" i="9"/>
  <c r="G72" i="9" s="1"/>
  <c r="F73" i="9"/>
  <c r="F74" i="9"/>
  <c r="F75" i="9"/>
  <c r="F76" i="9"/>
  <c r="F77" i="9"/>
  <c r="F78" i="9"/>
  <c r="F79" i="9"/>
  <c r="F80" i="9"/>
  <c r="G80" i="9" s="1"/>
  <c r="F81" i="9"/>
  <c r="G81" i="9" s="1"/>
  <c r="F82" i="9"/>
  <c r="F83" i="9"/>
  <c r="F84" i="9"/>
  <c r="F85" i="9"/>
  <c r="F86" i="9"/>
  <c r="F87" i="9"/>
  <c r="F88" i="9"/>
  <c r="G88" i="9" s="1"/>
  <c r="F89" i="9"/>
  <c r="G89" i="9" s="1"/>
  <c r="F90" i="9"/>
  <c r="F91" i="9"/>
  <c r="F92" i="9"/>
  <c r="F93" i="9"/>
  <c r="F94" i="9"/>
  <c r="F95" i="9"/>
  <c r="G95" i="9" s="1"/>
  <c r="F96" i="9"/>
  <c r="F97" i="9"/>
  <c r="F98" i="9"/>
  <c r="F99" i="9"/>
  <c r="F100" i="9"/>
  <c r="F101" i="9"/>
  <c r="F102" i="9"/>
  <c r="F103" i="9"/>
  <c r="F104" i="9"/>
  <c r="G104" i="9" s="1"/>
  <c r="F105" i="9"/>
  <c r="F106" i="9"/>
  <c r="F107" i="9"/>
  <c r="F108" i="9"/>
  <c r="F109" i="9"/>
  <c r="F110" i="9"/>
  <c r="F111" i="9"/>
  <c r="F112" i="9"/>
  <c r="F113" i="9"/>
  <c r="G113" i="9" s="1"/>
  <c r="F114" i="9"/>
  <c r="F115" i="9"/>
  <c r="G115" i="9" s="1"/>
  <c r="F116" i="9"/>
  <c r="F117" i="9"/>
  <c r="F118" i="9"/>
  <c r="F119" i="9"/>
  <c r="F120" i="9"/>
  <c r="G120" i="9" s="1"/>
  <c r="F121" i="9"/>
  <c r="G121" i="9" s="1"/>
  <c r="F122" i="9"/>
  <c r="F123" i="9"/>
  <c r="F124" i="9"/>
  <c r="F125" i="9"/>
  <c r="F126" i="9"/>
  <c r="F127" i="9"/>
  <c r="F128" i="9"/>
  <c r="F129" i="9"/>
  <c r="G129" i="9" s="1"/>
  <c r="F130" i="9"/>
  <c r="F131" i="9"/>
  <c r="F132" i="9"/>
  <c r="G132" i="9" s="1"/>
  <c r="F133" i="9"/>
  <c r="G133" i="9" s="1"/>
  <c r="F134" i="9"/>
  <c r="G134" i="9" s="1"/>
  <c r="F135" i="9"/>
  <c r="G135" i="9" s="1"/>
  <c r="F136" i="9"/>
  <c r="F137" i="9"/>
  <c r="F138" i="9"/>
  <c r="F139" i="9"/>
  <c r="F140" i="9"/>
  <c r="F141" i="9"/>
  <c r="F142" i="9"/>
  <c r="F143" i="9"/>
  <c r="G143" i="9" s="1"/>
  <c r="F144" i="9"/>
  <c r="F145" i="9"/>
  <c r="F146" i="9"/>
  <c r="F147" i="9"/>
  <c r="F148" i="9"/>
  <c r="F149" i="9"/>
  <c r="G149" i="9" s="1"/>
  <c r="F150" i="9"/>
  <c r="F151" i="9"/>
  <c r="F152" i="9"/>
  <c r="G152" i="9" s="1"/>
  <c r="F153" i="9"/>
  <c r="G153" i="9" s="1"/>
  <c r="F154" i="9"/>
  <c r="G154" i="9" s="1"/>
  <c r="F155" i="9"/>
  <c r="F156" i="9"/>
  <c r="F157" i="9"/>
  <c r="F158" i="9"/>
  <c r="F159" i="9"/>
  <c r="F160" i="9"/>
  <c r="F161" i="9"/>
  <c r="F162" i="9"/>
  <c r="F163" i="9"/>
  <c r="F164" i="9"/>
  <c r="F165" i="9"/>
  <c r="F166" i="9"/>
  <c r="G166" i="9" s="1"/>
  <c r="F167" i="9"/>
  <c r="F168" i="9"/>
  <c r="F169" i="9"/>
  <c r="F170" i="9"/>
  <c r="F171" i="9"/>
  <c r="F172" i="9"/>
  <c r="F173" i="9"/>
  <c r="F174" i="9"/>
  <c r="F175" i="9"/>
  <c r="F176" i="9"/>
  <c r="G176" i="9" s="1"/>
  <c r="F177" i="9"/>
  <c r="F178" i="9"/>
  <c r="F179" i="9"/>
  <c r="F180" i="9"/>
  <c r="F181" i="9"/>
  <c r="F182" i="9"/>
  <c r="F183" i="9"/>
  <c r="G183" i="9" s="1"/>
  <c r="F184" i="9"/>
  <c r="F185" i="9"/>
  <c r="F186" i="9"/>
  <c r="F187" i="9"/>
  <c r="F188" i="9"/>
  <c r="F189" i="9"/>
  <c r="G189" i="9" s="1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G224" i="9" s="1"/>
  <c r="F225" i="9"/>
  <c r="F226" i="9"/>
  <c r="F227" i="9"/>
  <c r="F228" i="9"/>
  <c r="F229" i="9"/>
  <c r="F230" i="9"/>
  <c r="F231" i="9"/>
  <c r="F232" i="9"/>
  <c r="F233" i="9"/>
  <c r="F234" i="9"/>
  <c r="F235" i="9"/>
  <c r="F236" i="9"/>
  <c r="G236" i="9" s="1"/>
  <c r="F237" i="9"/>
  <c r="F238" i="9"/>
  <c r="F239" i="9"/>
  <c r="F240" i="9"/>
  <c r="F241" i="9"/>
  <c r="G241" i="9" s="1"/>
  <c r="F242" i="9"/>
  <c r="G242" i="9" s="1"/>
  <c r="F243" i="9"/>
  <c r="F244" i="9"/>
  <c r="F245" i="9"/>
  <c r="F246" i="9"/>
  <c r="F247" i="9"/>
  <c r="F248" i="9"/>
  <c r="G248" i="9" s="1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G261" i="9" s="1"/>
  <c r="F262" i="9"/>
  <c r="F263" i="9"/>
  <c r="F264" i="9"/>
  <c r="F265" i="9"/>
  <c r="F266" i="9"/>
  <c r="F267" i="9"/>
  <c r="F268" i="9"/>
  <c r="F269" i="9"/>
  <c r="G269" i="9" s="1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G287" i="9" s="1"/>
  <c r="F288" i="9"/>
  <c r="F289" i="9"/>
  <c r="F290" i="9"/>
  <c r="F291" i="9"/>
  <c r="F292" i="9"/>
  <c r="F293" i="9"/>
  <c r="F294" i="9"/>
  <c r="F295" i="9"/>
  <c r="F296" i="9"/>
  <c r="F297" i="9"/>
  <c r="F298" i="9"/>
  <c r="G298" i="9" s="1"/>
  <c r="F299" i="9"/>
  <c r="G299" i="9" s="1"/>
  <c r="F300" i="9"/>
  <c r="F301" i="9"/>
  <c r="G301" i="9" s="1"/>
  <c r="F302" i="9"/>
  <c r="F303" i="9"/>
  <c r="F304" i="9"/>
  <c r="F305" i="9"/>
  <c r="G305" i="9" s="1"/>
  <c r="F306" i="9"/>
  <c r="F307" i="9"/>
  <c r="F308" i="9"/>
  <c r="G308" i="9" s="1"/>
  <c r="F309" i="9"/>
  <c r="F310" i="9"/>
  <c r="F311" i="9"/>
  <c r="F312" i="9"/>
  <c r="F313" i="9"/>
  <c r="F314" i="9"/>
  <c r="F315" i="9"/>
  <c r="F316" i="9"/>
  <c r="F317" i="9"/>
  <c r="F318" i="9"/>
  <c r="F319" i="9"/>
  <c r="G319" i="9" s="1"/>
  <c r="F320" i="9"/>
  <c r="F321" i="9"/>
  <c r="G321" i="9" s="1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G334" i="9" s="1"/>
  <c r="F335" i="9"/>
  <c r="F336" i="9"/>
  <c r="F337" i="9"/>
  <c r="F338" i="9"/>
  <c r="F339" i="9"/>
  <c r="F340" i="9"/>
  <c r="F341" i="9"/>
  <c r="F342" i="9"/>
  <c r="F343" i="9"/>
  <c r="F344" i="9"/>
  <c r="F345" i="9"/>
  <c r="G345" i="9" s="1"/>
  <c r="F346" i="9"/>
  <c r="F347" i="9"/>
  <c r="F348" i="9"/>
  <c r="F349" i="9"/>
  <c r="F350" i="9"/>
  <c r="F351" i="9"/>
  <c r="F352" i="9"/>
  <c r="F353" i="9"/>
  <c r="F354" i="9"/>
  <c r="F355" i="9"/>
  <c r="G355" i="9" s="1"/>
  <c r="F356" i="9"/>
  <c r="F357" i="9"/>
  <c r="F358" i="9"/>
  <c r="G358" i="9" s="1"/>
  <c r="F359" i="9"/>
  <c r="F360" i="9"/>
  <c r="F361" i="9"/>
  <c r="F362" i="9"/>
  <c r="F363" i="9"/>
  <c r="F364" i="9"/>
  <c r="F365" i="9"/>
  <c r="F366" i="9"/>
  <c r="F367" i="9"/>
  <c r="F368" i="9"/>
  <c r="G368" i="9" s="1"/>
  <c r="F369" i="9"/>
  <c r="F370" i="9"/>
  <c r="F371" i="9"/>
  <c r="F372" i="9"/>
  <c r="G372" i="9" s="1"/>
  <c r="F373" i="9"/>
  <c r="F374" i="9"/>
  <c r="F375" i="9"/>
  <c r="F376" i="9"/>
  <c r="F377" i="9"/>
  <c r="F378" i="9"/>
  <c r="F379" i="9"/>
  <c r="F380" i="9"/>
  <c r="G380" i="9" s="1"/>
  <c r="F381" i="9"/>
  <c r="F382" i="9"/>
  <c r="F383" i="9"/>
  <c r="F384" i="9"/>
  <c r="F385" i="9"/>
  <c r="F386" i="9"/>
  <c r="G386" i="9" s="1"/>
  <c r="F387" i="9"/>
  <c r="F388" i="9"/>
  <c r="F389" i="9"/>
  <c r="F390" i="9"/>
  <c r="F391" i="9"/>
  <c r="F392" i="9"/>
  <c r="G392" i="9" s="1"/>
  <c r="F393" i="9"/>
  <c r="F394" i="9"/>
  <c r="G394" i="9" s="1"/>
  <c r="F395" i="9"/>
  <c r="G395" i="9" s="1"/>
  <c r="F396" i="9"/>
  <c r="F397" i="9"/>
  <c r="F398" i="9"/>
  <c r="F399" i="9"/>
  <c r="F400" i="9"/>
  <c r="F401" i="9"/>
  <c r="F402" i="9"/>
  <c r="F403" i="9"/>
  <c r="F404" i="9"/>
  <c r="F405" i="9"/>
  <c r="G405" i="9" s="1"/>
  <c r="F406" i="9"/>
  <c r="F407" i="9"/>
  <c r="F408" i="9"/>
  <c r="F409" i="9"/>
  <c r="F410" i="9"/>
  <c r="F411" i="9"/>
  <c r="F412" i="9"/>
  <c r="F413" i="9"/>
  <c r="F414" i="9"/>
  <c r="F415" i="9"/>
  <c r="G415" i="9" s="1"/>
  <c r="F416" i="9"/>
  <c r="F417" i="9"/>
  <c r="F418" i="9"/>
  <c r="F419" i="9"/>
  <c r="F420" i="9"/>
  <c r="F421" i="9"/>
  <c r="G421" i="9" s="1"/>
  <c r="F422" i="9"/>
  <c r="F423" i="9"/>
  <c r="F424" i="9"/>
  <c r="F425" i="9"/>
  <c r="F426" i="9"/>
  <c r="F427" i="9"/>
  <c r="G427" i="9" s="1"/>
  <c r="F428" i="9"/>
  <c r="F429" i="9"/>
  <c r="F430" i="9"/>
  <c r="G430" i="9" s="1"/>
  <c r="F431" i="9"/>
  <c r="F432" i="9"/>
  <c r="F433" i="9"/>
  <c r="F434" i="9"/>
  <c r="F435" i="9"/>
  <c r="F436" i="9"/>
  <c r="F437" i="9"/>
  <c r="F438" i="9"/>
  <c r="F439" i="9"/>
  <c r="F440" i="9"/>
  <c r="G440" i="9" s="1"/>
  <c r="F441" i="9"/>
  <c r="F442" i="9"/>
  <c r="G442" i="9" s="1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G455" i="9" s="1"/>
  <c r="F456" i="9"/>
  <c r="G456" i="9" s="1"/>
  <c r="F457" i="9"/>
  <c r="G457" i="9" s="1"/>
  <c r="F458" i="9"/>
  <c r="G458" i="9" s="1"/>
  <c r="F459" i="9"/>
  <c r="F460" i="9"/>
  <c r="G460" i="9" s="1"/>
  <c r="F461" i="9"/>
  <c r="F462" i="9"/>
  <c r="F463" i="9"/>
  <c r="F464" i="9"/>
  <c r="G464" i="9" s="1"/>
  <c r="F465" i="9"/>
  <c r="F466" i="9"/>
  <c r="F467" i="9"/>
  <c r="F468" i="9"/>
  <c r="F469" i="9"/>
  <c r="G469" i="9" s="1"/>
  <c r="F470" i="9"/>
  <c r="F471" i="9"/>
  <c r="F472" i="9"/>
  <c r="F473" i="9"/>
  <c r="F474" i="9"/>
  <c r="F475" i="9"/>
  <c r="F476" i="9"/>
  <c r="G476" i="9" s="1"/>
  <c r="F477" i="9"/>
  <c r="F478" i="9"/>
  <c r="F479" i="9"/>
  <c r="F480" i="9"/>
  <c r="F481" i="9"/>
  <c r="G481" i="9" s="1"/>
  <c r="F482" i="9"/>
  <c r="F483" i="9"/>
  <c r="F484" i="9"/>
  <c r="F485" i="9"/>
  <c r="F486" i="9"/>
  <c r="F487" i="9"/>
  <c r="G487" i="9" s="1"/>
  <c r="F488" i="9"/>
  <c r="F489" i="9"/>
  <c r="F490" i="9"/>
  <c r="G490" i="9" s="1"/>
  <c r="F491" i="9"/>
  <c r="F492" i="9"/>
  <c r="G492" i="9" s="1"/>
  <c r="F493" i="9"/>
  <c r="F494" i="9"/>
  <c r="F495" i="9"/>
  <c r="F496" i="9"/>
  <c r="F497" i="9"/>
  <c r="F498" i="9"/>
  <c r="F499" i="9"/>
  <c r="F500" i="9"/>
  <c r="G500" i="9" s="1"/>
  <c r="F501" i="9"/>
  <c r="G501" i="9" s="1"/>
  <c r="F502" i="9"/>
  <c r="G502" i="9" s="1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G521" i="9" s="1"/>
  <c r="F522" i="9"/>
  <c r="F523" i="9"/>
  <c r="F524" i="9"/>
  <c r="G524" i="9" s="1"/>
  <c r="F525" i="9"/>
  <c r="F526" i="9"/>
  <c r="F527" i="9"/>
  <c r="F528" i="9"/>
  <c r="F529" i="9"/>
  <c r="G529" i="9" s="1"/>
  <c r="F530" i="9"/>
  <c r="F531" i="9"/>
  <c r="F532" i="9"/>
  <c r="F533" i="9"/>
  <c r="G533" i="9" s="1"/>
  <c r="F534" i="9"/>
  <c r="F535" i="9"/>
  <c r="F536" i="9"/>
  <c r="F537" i="9"/>
  <c r="F538" i="9"/>
  <c r="F539" i="9"/>
  <c r="F540" i="9"/>
  <c r="F541" i="9"/>
  <c r="F542" i="9"/>
  <c r="G542" i="9" s="1"/>
  <c r="F543" i="9"/>
  <c r="F544" i="9"/>
  <c r="G544" i="9" s="1"/>
  <c r="F545" i="9"/>
  <c r="G545" i="9" s="1"/>
  <c r="F546" i="9"/>
  <c r="F547" i="9"/>
  <c r="F548" i="9"/>
  <c r="F549" i="9"/>
  <c r="F550" i="9"/>
  <c r="G550" i="9" s="1"/>
  <c r="F551" i="9"/>
  <c r="F552" i="9"/>
  <c r="F553" i="9"/>
  <c r="F554" i="9"/>
  <c r="F555" i="9"/>
  <c r="F556" i="9"/>
  <c r="F557" i="9"/>
  <c r="F558" i="9"/>
  <c r="F559" i="9"/>
  <c r="F560" i="9"/>
  <c r="G560" i="9" s="1"/>
  <c r="F561" i="9"/>
  <c r="F562" i="9"/>
  <c r="F563" i="9"/>
  <c r="G563" i="9" s="1"/>
  <c r="F564" i="9"/>
  <c r="G564" i="9" s="1"/>
  <c r="F565" i="9"/>
  <c r="F566" i="9"/>
  <c r="F567" i="9"/>
  <c r="F568" i="9"/>
  <c r="F569" i="9"/>
  <c r="G569" i="9" s="1"/>
  <c r="F570" i="9"/>
  <c r="F571" i="9"/>
  <c r="F572" i="9"/>
  <c r="F573" i="9"/>
  <c r="F574" i="9"/>
  <c r="F575" i="9"/>
  <c r="F576" i="9"/>
  <c r="F577" i="9"/>
  <c r="G577" i="9" s="1"/>
  <c r="F578" i="9"/>
  <c r="F579" i="9"/>
  <c r="F580" i="9"/>
  <c r="G580" i="9" s="1"/>
  <c r="F581" i="9"/>
  <c r="F582" i="9"/>
  <c r="F583" i="9"/>
  <c r="G583" i="9" s="1"/>
  <c r="F584" i="9"/>
  <c r="F585" i="9"/>
  <c r="F586" i="9"/>
  <c r="F587" i="9"/>
  <c r="F588" i="9"/>
  <c r="F589" i="9"/>
  <c r="F590" i="9"/>
  <c r="F591" i="9"/>
  <c r="F592" i="9"/>
  <c r="F593" i="9"/>
  <c r="G593" i="9" s="1"/>
  <c r="F594" i="9"/>
  <c r="F595" i="9"/>
  <c r="F596" i="9"/>
  <c r="F597" i="9"/>
  <c r="F598" i="9"/>
  <c r="G598" i="9" s="1"/>
  <c r="F599" i="9"/>
  <c r="F600" i="9"/>
  <c r="F601" i="9"/>
  <c r="F602" i="9"/>
  <c r="F603" i="9"/>
  <c r="F604" i="9"/>
  <c r="G604" i="9" s="1"/>
  <c r="F605" i="9"/>
  <c r="F606" i="9"/>
  <c r="F607" i="9"/>
  <c r="F608" i="9"/>
  <c r="F609" i="9"/>
  <c r="F610" i="9"/>
  <c r="F611" i="9"/>
  <c r="F612" i="9"/>
  <c r="G612" i="9" s="1"/>
  <c r="F613" i="9"/>
  <c r="F614" i="9"/>
  <c r="F615" i="9"/>
  <c r="F616" i="9"/>
  <c r="F617" i="9"/>
  <c r="F618" i="9"/>
  <c r="F619" i="9"/>
  <c r="G619" i="9" s="1"/>
  <c r="F620" i="9"/>
  <c r="F621" i="9"/>
  <c r="F622" i="9"/>
  <c r="F623" i="9"/>
  <c r="F624" i="9"/>
  <c r="G624" i="9" s="1"/>
  <c r="F625" i="9"/>
  <c r="G625" i="9" s="1"/>
  <c r="F626" i="9"/>
  <c r="F627" i="9"/>
  <c r="F628" i="9"/>
  <c r="F629" i="9"/>
  <c r="F630" i="9"/>
  <c r="G630" i="9" s="1"/>
  <c r="F631" i="9"/>
  <c r="F632" i="9"/>
  <c r="F633" i="9"/>
  <c r="G633" i="9" s="1"/>
  <c r="F634" i="9"/>
  <c r="F635" i="9"/>
  <c r="G635" i="9" s="1"/>
  <c r="F636" i="9"/>
  <c r="F637" i="9"/>
  <c r="F638" i="9"/>
  <c r="F639" i="9"/>
  <c r="F640" i="9"/>
  <c r="F641" i="9"/>
  <c r="F642" i="9"/>
  <c r="F643" i="9"/>
  <c r="G643" i="9" s="1"/>
  <c r="F644" i="9"/>
  <c r="G644" i="9" s="1"/>
  <c r="F645" i="9"/>
  <c r="G645" i="9" s="1"/>
  <c r="F646" i="9"/>
  <c r="F647" i="9"/>
  <c r="F648" i="9"/>
  <c r="F649" i="9"/>
  <c r="G649" i="9" s="1"/>
  <c r="F650" i="9"/>
  <c r="F651" i="9"/>
  <c r="F652" i="9"/>
  <c r="F653" i="9"/>
  <c r="F654" i="9"/>
  <c r="G654" i="9" s="1"/>
  <c r="F655" i="9"/>
  <c r="F656" i="9"/>
  <c r="F657" i="9"/>
  <c r="F658" i="9"/>
  <c r="F659" i="9"/>
  <c r="F660" i="9"/>
  <c r="F661" i="9"/>
  <c r="G661" i="9" s="1"/>
  <c r="F662" i="9"/>
  <c r="F663" i="9"/>
  <c r="F664" i="9"/>
  <c r="F665" i="9"/>
  <c r="F666" i="9"/>
  <c r="F667" i="9"/>
  <c r="F668" i="9"/>
  <c r="F669" i="9"/>
  <c r="F670" i="9"/>
  <c r="F671" i="9"/>
  <c r="F672" i="9"/>
  <c r="F673" i="9"/>
  <c r="G673" i="9" s="1"/>
  <c r="F674" i="9"/>
  <c r="F675" i="9"/>
  <c r="F676" i="9"/>
  <c r="G676" i="9" s="1"/>
  <c r="F677" i="9"/>
  <c r="F678" i="9"/>
  <c r="F679" i="9"/>
  <c r="F680" i="9"/>
  <c r="F681" i="9"/>
  <c r="F682" i="9"/>
  <c r="F683" i="9"/>
  <c r="G683" i="9" s="1"/>
  <c r="F684" i="9"/>
  <c r="F685" i="9"/>
  <c r="F686" i="9"/>
  <c r="G686" i="9" s="1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G720" i="9" s="1"/>
  <c r="F721" i="9"/>
  <c r="G721" i="9" s="1"/>
  <c r="F722" i="9"/>
  <c r="F723" i="9"/>
  <c r="F724" i="9"/>
  <c r="F725" i="9"/>
  <c r="G725" i="9" s="1"/>
  <c r="F726" i="9"/>
  <c r="F727" i="9"/>
  <c r="G727" i="9" s="1"/>
  <c r="F728" i="9"/>
  <c r="F729" i="9"/>
  <c r="F730" i="9"/>
  <c r="G730" i="9" s="1"/>
  <c r="F731" i="9"/>
  <c r="F732" i="9"/>
  <c r="F733" i="9"/>
  <c r="F734" i="9"/>
  <c r="F735" i="9"/>
  <c r="F736" i="9"/>
  <c r="F737" i="9"/>
  <c r="F738" i="9"/>
  <c r="F739" i="9"/>
  <c r="G739" i="9" s="1"/>
  <c r="F740" i="9"/>
  <c r="F741" i="9"/>
  <c r="F742" i="9"/>
  <c r="G742" i="9" s="1"/>
  <c r="F743" i="9"/>
  <c r="F744" i="9"/>
  <c r="F745" i="9"/>
  <c r="F746" i="9"/>
  <c r="G746" i="9" s="1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G760" i="9" s="1"/>
  <c r="F761" i="9"/>
  <c r="F762" i="9"/>
  <c r="F763" i="9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F770" i="9"/>
  <c r="G770" i="9" s="1"/>
  <c r="F771" i="9"/>
  <c r="F772" i="9"/>
  <c r="F773" i="9"/>
  <c r="F774" i="9"/>
  <c r="F775" i="9"/>
  <c r="F776" i="9"/>
  <c r="G776" i="9" s="1"/>
  <c r="F777" i="9"/>
  <c r="F778" i="9"/>
  <c r="F779" i="9"/>
  <c r="F780" i="9"/>
  <c r="G780" i="9" s="1"/>
  <c r="F781" i="9"/>
  <c r="G781" i="9" s="1"/>
  <c r="F782" i="9"/>
  <c r="F783" i="9"/>
  <c r="F784" i="9"/>
  <c r="F785" i="9"/>
  <c r="F786" i="9"/>
  <c r="F787" i="9"/>
  <c r="F788" i="9"/>
  <c r="F789" i="9"/>
  <c r="G789" i="9" s="1"/>
  <c r="F790" i="9"/>
  <c r="F791" i="9"/>
  <c r="F792" i="9"/>
  <c r="F793" i="9"/>
  <c r="G793" i="9" s="1"/>
  <c r="F794" i="9"/>
  <c r="F795" i="9"/>
  <c r="F796" i="9"/>
  <c r="G796" i="9" s="1"/>
  <c r="F797" i="9"/>
  <c r="F798" i="9"/>
  <c r="F799" i="9"/>
  <c r="F800" i="9"/>
  <c r="F801" i="9"/>
  <c r="F802" i="9"/>
  <c r="G802" i="9" s="1"/>
  <c r="F803" i="9"/>
  <c r="F804" i="9"/>
  <c r="F805" i="9"/>
  <c r="F806" i="9"/>
  <c r="F807" i="9"/>
  <c r="F808" i="9"/>
  <c r="F809" i="9"/>
  <c r="G809" i="9" s="1"/>
  <c r="F810" i="9"/>
  <c r="F811" i="9"/>
  <c r="F812" i="9"/>
  <c r="F813" i="9"/>
  <c r="F814" i="9"/>
  <c r="F815" i="9"/>
  <c r="F816" i="9"/>
  <c r="F817" i="9"/>
  <c r="G817" i="9" s="1"/>
  <c r="F818" i="9"/>
  <c r="F819" i="9"/>
  <c r="F820" i="9"/>
  <c r="F821" i="9"/>
  <c r="F822" i="9"/>
  <c r="G822" i="9" s="1"/>
  <c r="F823" i="9"/>
  <c r="F824" i="9"/>
  <c r="F825" i="9"/>
  <c r="F826" i="9"/>
  <c r="G826" i="9" s="1"/>
  <c r="F827" i="9"/>
  <c r="G827" i="9" s="1"/>
  <c r="F828" i="9"/>
  <c r="F829" i="9"/>
  <c r="G829" i="9" s="1"/>
  <c r="F830" i="9"/>
  <c r="F831" i="9"/>
  <c r="F832" i="9"/>
  <c r="F833" i="9"/>
  <c r="F834" i="9"/>
  <c r="F835" i="9"/>
  <c r="F836" i="9"/>
  <c r="F837" i="9"/>
  <c r="F838" i="9"/>
  <c r="G838" i="9" s="1"/>
  <c r="F839" i="9"/>
  <c r="F840" i="9"/>
  <c r="F841" i="9"/>
  <c r="F842" i="9"/>
  <c r="F843" i="9"/>
  <c r="F844" i="9"/>
  <c r="F845" i="9"/>
  <c r="F846" i="9"/>
  <c r="F847" i="9"/>
  <c r="F848" i="9"/>
  <c r="F849" i="9"/>
  <c r="G849" i="9" s="1"/>
  <c r="F850" i="9"/>
  <c r="F851" i="9"/>
  <c r="G851" i="9" s="1"/>
  <c r="F852" i="9"/>
  <c r="F853" i="9"/>
  <c r="G853" i="9" s="1"/>
  <c r="F854" i="9"/>
  <c r="F855" i="9"/>
  <c r="F856" i="9"/>
  <c r="F857" i="9"/>
  <c r="G857" i="9" s="1"/>
  <c r="F858" i="9"/>
  <c r="F859" i="9"/>
  <c r="G859" i="9" s="1"/>
  <c r="F860" i="9"/>
  <c r="F861" i="9"/>
  <c r="F862" i="9"/>
  <c r="F863" i="9"/>
  <c r="F864" i="9"/>
  <c r="F865" i="9"/>
  <c r="G865" i="9" s="1"/>
  <c r="F866" i="9"/>
  <c r="F867" i="9"/>
  <c r="F868" i="9"/>
  <c r="F869" i="9"/>
  <c r="G869" i="9" s="1"/>
  <c r="F870" i="9"/>
  <c r="F871" i="9"/>
  <c r="F872" i="9"/>
  <c r="F873" i="9"/>
  <c r="F874" i="9"/>
  <c r="F875" i="9"/>
  <c r="G875" i="9" s="1"/>
  <c r="F876" i="9"/>
  <c r="F877" i="9"/>
  <c r="F878" i="9"/>
  <c r="F879" i="9"/>
  <c r="F880" i="9"/>
  <c r="F881" i="9"/>
  <c r="G881" i="9" s="1"/>
  <c r="F882" i="9"/>
  <c r="F883" i="9"/>
  <c r="F884" i="9"/>
  <c r="F885" i="9"/>
  <c r="G885" i="9" s="1"/>
  <c r="F886" i="9"/>
  <c r="F887" i="9"/>
  <c r="F888" i="9"/>
  <c r="F889" i="9"/>
  <c r="F890" i="9"/>
  <c r="G890" i="9" s="1"/>
  <c r="F891" i="9"/>
  <c r="G891" i="9" s="1"/>
  <c r="F892" i="9"/>
  <c r="F893" i="9"/>
  <c r="F894" i="9"/>
  <c r="F895" i="9"/>
  <c r="G895" i="9" s="1"/>
  <c r="F896" i="9"/>
  <c r="F897" i="9"/>
  <c r="F898" i="9"/>
  <c r="F899" i="9"/>
  <c r="G899" i="9" s="1"/>
  <c r="F900" i="9"/>
  <c r="F901" i="9"/>
  <c r="G901" i="9" s="1"/>
  <c r="F902" i="9"/>
  <c r="F903" i="9"/>
  <c r="F904" i="9"/>
  <c r="F905" i="9"/>
  <c r="F906" i="9"/>
  <c r="F907" i="9"/>
  <c r="F908" i="9"/>
  <c r="G908" i="9" s="1"/>
  <c r="F909" i="9"/>
  <c r="F910" i="9"/>
  <c r="G910" i="9" s="1"/>
  <c r="F911" i="9"/>
  <c r="F912" i="9"/>
  <c r="F913" i="9"/>
  <c r="F914" i="9"/>
  <c r="F915" i="9"/>
  <c r="F916" i="9"/>
  <c r="F917" i="9"/>
  <c r="F918" i="9"/>
  <c r="G918" i="9" s="1"/>
  <c r="F919" i="9"/>
  <c r="F920" i="9"/>
  <c r="G920" i="9" s="1"/>
  <c r="F921" i="9"/>
  <c r="G921" i="9" s="1"/>
  <c r="F922" i="9"/>
  <c r="F923" i="9"/>
  <c r="G923" i="9" s="1"/>
  <c r="F924" i="9"/>
  <c r="F925" i="9"/>
  <c r="F926" i="9"/>
  <c r="G926" i="9" s="1"/>
  <c r="F927" i="9"/>
  <c r="F928" i="9"/>
  <c r="F929" i="9"/>
  <c r="F930" i="9"/>
  <c r="F931" i="9"/>
  <c r="F932" i="9"/>
  <c r="F933" i="9"/>
  <c r="F934" i="9"/>
  <c r="F935" i="9"/>
  <c r="F936" i="9"/>
  <c r="F937" i="9"/>
  <c r="G937" i="9" s="1"/>
  <c r="F938" i="9"/>
  <c r="F939" i="9"/>
  <c r="F940" i="9"/>
  <c r="F941" i="9"/>
  <c r="F942" i="9"/>
  <c r="F943" i="9"/>
  <c r="F944" i="9"/>
  <c r="F945" i="9"/>
  <c r="G945" i="9" s="1"/>
  <c r="F946" i="9"/>
  <c r="F947" i="9"/>
  <c r="G947" i="9" s="1"/>
  <c r="F948" i="9"/>
  <c r="G948" i="9" s="1"/>
  <c r="F949" i="9"/>
  <c r="G949" i="9" s="1"/>
  <c r="F950" i="9"/>
  <c r="F951" i="9"/>
  <c r="F952" i="9"/>
  <c r="F953" i="9"/>
  <c r="F954" i="9"/>
  <c r="F955" i="9"/>
  <c r="F956" i="9"/>
  <c r="F957" i="9"/>
  <c r="G957" i="9" s="1"/>
  <c r="F958" i="9"/>
  <c r="G958" i="9" s="1"/>
  <c r="F959" i="9"/>
  <c r="F960" i="9"/>
  <c r="F961" i="9"/>
  <c r="G961" i="9" s="1"/>
  <c r="F962" i="9"/>
  <c r="F963" i="9"/>
  <c r="F964" i="9"/>
  <c r="F965" i="9"/>
  <c r="F966" i="9"/>
  <c r="F967" i="9"/>
  <c r="F968" i="9"/>
  <c r="F969" i="9"/>
  <c r="G969" i="9" s="1"/>
  <c r="F970" i="9"/>
  <c r="G970" i="9" s="1"/>
  <c r="F971" i="9"/>
  <c r="G971" i="9" s="1"/>
  <c r="F972" i="9"/>
  <c r="F973" i="9"/>
  <c r="G973" i="9" s="1"/>
  <c r="F974" i="9"/>
  <c r="F975" i="9"/>
  <c r="F976" i="9"/>
  <c r="F977" i="9"/>
  <c r="F978" i="9"/>
  <c r="G978" i="9" s="1"/>
  <c r="F979" i="9"/>
  <c r="F980" i="9"/>
  <c r="F981" i="9"/>
  <c r="F982" i="9"/>
  <c r="F983" i="9"/>
  <c r="F984" i="9"/>
  <c r="F985" i="9"/>
  <c r="G985" i="9" s="1"/>
  <c r="F986" i="9"/>
  <c r="F987" i="9"/>
  <c r="G987" i="9" s="1"/>
  <c r="F988" i="9"/>
  <c r="F989" i="9"/>
  <c r="F990" i="9"/>
  <c r="F991" i="9"/>
  <c r="F992" i="9"/>
  <c r="F993" i="9"/>
  <c r="F994" i="9"/>
  <c r="G994" i="9" s="1"/>
  <c r="F995" i="9"/>
  <c r="G995" i="9" s="1"/>
  <c r="F996" i="9"/>
  <c r="F997" i="9"/>
  <c r="G997" i="9" s="1"/>
  <c r="F998" i="9"/>
  <c r="G998" i="9" s="1"/>
  <c r="F999" i="9"/>
  <c r="F1000" i="9"/>
  <c r="F1001" i="9"/>
  <c r="F1002" i="9"/>
  <c r="F1003" i="9"/>
  <c r="G1003" i="9" s="1"/>
  <c r="F1004" i="9"/>
  <c r="F1005" i="9"/>
  <c r="F1006" i="9"/>
  <c r="F1007" i="9"/>
  <c r="F1008" i="9"/>
  <c r="G1008" i="9" s="1"/>
  <c r="F1009" i="9"/>
  <c r="G1009" i="9" s="1"/>
  <c r="F1010" i="9"/>
  <c r="F1011" i="9"/>
  <c r="F1012" i="9"/>
  <c r="F1013" i="9"/>
  <c r="F1014" i="9"/>
  <c r="F1015" i="9"/>
  <c r="F1016" i="9"/>
  <c r="G1016" i="9" s="1"/>
  <c r="F1017" i="9"/>
  <c r="F1018" i="9"/>
  <c r="F1019" i="9"/>
  <c r="G1019" i="9" s="1"/>
  <c r="F1020" i="9"/>
  <c r="F1021" i="9"/>
  <c r="G1021" i="9" s="1"/>
  <c r="F1022" i="9"/>
  <c r="F1023" i="9"/>
  <c r="F1024" i="9"/>
  <c r="F1025" i="9"/>
  <c r="F1026" i="9"/>
  <c r="F1027" i="9"/>
  <c r="F1028" i="9"/>
  <c r="G1028" i="9" s="1"/>
  <c r="F1029" i="9"/>
  <c r="G1029" i="9" s="1"/>
  <c r="F1030" i="9"/>
  <c r="G1030" i="9" s="1"/>
  <c r="F1031" i="9"/>
  <c r="G1031" i="9" s="1"/>
  <c r="F1032" i="9"/>
  <c r="F1033" i="9"/>
  <c r="F1034" i="9"/>
  <c r="F1035" i="9"/>
  <c r="F1036" i="9"/>
  <c r="F1037" i="9"/>
  <c r="F1038" i="9"/>
  <c r="F1039" i="9"/>
  <c r="F1040" i="9"/>
  <c r="F1041" i="9"/>
  <c r="F1042" i="9"/>
  <c r="G1042" i="9" s="1"/>
  <c r="F1043" i="9"/>
  <c r="F1044" i="9"/>
  <c r="F1045" i="9"/>
  <c r="G1045" i="9" s="1"/>
  <c r="F1046" i="9"/>
  <c r="F1047" i="9"/>
  <c r="F1048" i="9"/>
  <c r="F1049" i="9"/>
  <c r="F1050" i="9"/>
  <c r="F1051" i="9"/>
  <c r="F1052" i="9"/>
  <c r="G1052" i="9" s="1"/>
  <c r="F1053" i="9"/>
  <c r="F1054" i="9"/>
  <c r="F1055" i="9"/>
  <c r="F1056" i="9"/>
  <c r="F1057" i="9"/>
  <c r="F1058" i="9"/>
  <c r="F1059" i="9"/>
  <c r="F1060" i="9"/>
  <c r="F1061" i="9"/>
  <c r="F1062" i="9"/>
  <c r="F1063" i="9"/>
  <c r="G1063" i="9" s="1"/>
  <c r="F1064" i="9"/>
  <c r="G1064" i="9" s="1"/>
  <c r="F1065" i="9"/>
  <c r="G1065" i="9" s="1"/>
  <c r="F1066" i="9"/>
  <c r="G1066" i="9" s="1"/>
  <c r="F1067" i="9"/>
  <c r="F1068" i="9"/>
  <c r="F1069" i="9"/>
  <c r="G1069" i="9" s="1"/>
  <c r="F1070" i="9"/>
  <c r="F1071" i="9"/>
  <c r="F1072" i="9"/>
  <c r="F1073" i="9"/>
  <c r="F1074" i="9"/>
  <c r="F1075" i="9"/>
  <c r="F1076" i="9"/>
  <c r="G1076" i="9" s="1"/>
  <c r="F1077" i="9"/>
  <c r="F1078" i="9"/>
  <c r="G1078" i="9" s="1"/>
  <c r="F1079" i="9"/>
  <c r="F1080" i="9"/>
  <c r="F1081" i="9"/>
  <c r="G1081" i="9" s="1"/>
  <c r="F1082" i="9"/>
  <c r="F1083" i="9"/>
  <c r="F1084" i="9"/>
  <c r="F1085" i="9"/>
  <c r="G1085" i="9" s="1"/>
  <c r="F1086" i="9"/>
  <c r="F1087" i="9"/>
  <c r="F1088" i="9"/>
  <c r="F1089" i="9"/>
  <c r="G1089" i="9" s="1"/>
  <c r="F1090" i="9"/>
  <c r="F1091" i="9"/>
  <c r="G1091" i="9" s="1"/>
  <c r="F1092" i="9"/>
  <c r="G1092" i="9" s="1"/>
  <c r="F1093" i="9"/>
  <c r="F1094" i="9"/>
  <c r="F1095" i="9"/>
  <c r="F1096" i="9"/>
  <c r="F1097" i="9"/>
  <c r="F1098" i="9"/>
  <c r="F1099" i="9"/>
  <c r="G1099" i="9" s="1"/>
  <c r="F1100" i="9"/>
  <c r="F1101" i="9"/>
  <c r="F1102" i="9"/>
  <c r="G1102" i="9" s="1"/>
  <c r="F1103" i="9"/>
  <c r="F1104" i="9"/>
  <c r="F1105" i="9"/>
  <c r="F1106" i="9"/>
  <c r="F1107" i="9"/>
  <c r="F1108" i="9"/>
  <c r="F1109" i="9"/>
  <c r="F1110" i="9"/>
  <c r="G1110" i="9" s="1"/>
  <c r="F1111" i="9"/>
  <c r="F1112" i="9"/>
  <c r="F1113" i="9"/>
  <c r="F1114" i="9"/>
  <c r="G1114" i="9" s="1"/>
  <c r="F1115" i="9"/>
  <c r="F1116" i="9"/>
  <c r="F1117" i="9"/>
  <c r="G1117" i="9" s="1"/>
  <c r="F1118" i="9"/>
  <c r="F1119" i="9"/>
  <c r="F1120" i="9"/>
  <c r="G1120" i="9" s="1"/>
  <c r="F1121" i="9"/>
  <c r="F1122" i="9"/>
  <c r="F1123" i="9"/>
  <c r="F1124" i="9"/>
  <c r="F1125" i="9"/>
  <c r="F1126" i="9"/>
  <c r="G1126" i="9" s="1"/>
  <c r="F1127" i="9"/>
  <c r="F1128" i="9"/>
  <c r="F1129" i="9"/>
  <c r="F1130" i="9"/>
  <c r="F1131" i="9"/>
  <c r="F1132" i="9"/>
  <c r="F1133" i="9"/>
  <c r="G1133" i="9" s="1"/>
  <c r="F1134" i="9"/>
  <c r="F1135" i="9"/>
  <c r="F1136" i="9"/>
  <c r="F1137" i="9"/>
  <c r="G1137" i="9" s="1"/>
  <c r="F1138" i="9"/>
  <c r="F1139" i="9"/>
  <c r="G1139" i="9" s="1"/>
  <c r="F1140" i="9"/>
  <c r="F1141" i="9"/>
  <c r="G1141" i="9" s="1"/>
  <c r="F1142" i="9"/>
  <c r="F1143" i="9"/>
  <c r="F1144" i="9"/>
  <c r="F1145" i="9"/>
  <c r="F1146" i="9"/>
  <c r="F1147" i="9"/>
  <c r="G1147" i="9" s="1"/>
  <c r="F1148" i="9"/>
  <c r="F1149" i="9"/>
  <c r="F1150" i="9"/>
  <c r="F1151" i="9"/>
  <c r="F1152" i="9"/>
  <c r="F1153" i="9"/>
  <c r="G1153" i="9" s="1"/>
  <c r="F1154" i="9"/>
  <c r="G1154" i="9" s="1"/>
  <c r="F1155" i="9"/>
  <c r="F1156" i="9"/>
  <c r="F1157" i="9"/>
  <c r="G1157" i="9" s="1"/>
  <c r="F1158" i="9"/>
  <c r="F1159" i="9"/>
  <c r="F1160" i="9"/>
  <c r="G1160" i="9" s="1"/>
  <c r="F1161" i="9"/>
  <c r="F1162" i="9"/>
  <c r="F1163" i="9"/>
  <c r="F1164" i="9"/>
  <c r="F1165" i="9"/>
  <c r="G1165" i="9" s="1"/>
  <c r="F1166" i="9"/>
  <c r="F1167" i="9"/>
  <c r="F1168" i="9"/>
  <c r="F1169" i="9"/>
  <c r="F1170" i="9"/>
  <c r="F1171" i="9"/>
  <c r="F1172" i="9"/>
  <c r="G1172" i="9" s="1"/>
  <c r="F1173" i="9"/>
  <c r="F1174" i="9"/>
  <c r="G1174" i="9" s="1"/>
  <c r="F1175" i="9"/>
  <c r="F1176" i="9"/>
  <c r="F1177" i="9"/>
  <c r="G1177" i="9" s="1"/>
  <c r="F1178" i="9"/>
  <c r="G1178" i="9" s="1"/>
  <c r="F1179" i="9"/>
  <c r="F1180" i="9"/>
  <c r="F1181" i="9"/>
  <c r="F1182" i="9"/>
  <c r="F1183" i="9"/>
  <c r="F1184" i="9"/>
  <c r="F1185" i="9"/>
  <c r="F1186" i="9"/>
  <c r="F1187" i="9"/>
  <c r="F1188" i="9"/>
  <c r="G1188" i="9" s="1"/>
  <c r="F1189" i="9"/>
  <c r="F1190" i="9"/>
  <c r="F1191" i="9"/>
  <c r="F1192" i="9"/>
  <c r="F1193" i="9"/>
  <c r="G1193" i="9" s="1"/>
  <c r="F1194" i="9"/>
  <c r="F1195" i="9"/>
  <c r="F1196" i="9"/>
  <c r="F1197" i="9"/>
  <c r="F1198" i="9"/>
  <c r="F1199" i="9"/>
  <c r="F1200" i="9"/>
  <c r="G1200" i="9" s="1"/>
  <c r="F1201" i="9"/>
  <c r="G1201" i="9" s="1"/>
  <c r="F1202" i="9"/>
  <c r="F1203" i="9"/>
  <c r="F1204" i="9"/>
  <c r="F1205" i="9"/>
  <c r="F1206" i="9"/>
  <c r="F1207" i="9"/>
  <c r="F1208" i="9"/>
  <c r="F1209" i="9"/>
  <c r="F1210" i="9"/>
  <c r="G1210" i="9" s="1"/>
  <c r="F1211" i="9"/>
  <c r="F1212" i="9"/>
  <c r="G1212" i="9" s="1"/>
  <c r="F1213" i="9"/>
  <c r="F1214" i="9"/>
  <c r="F1215" i="9"/>
  <c r="F1216" i="9"/>
  <c r="F1217" i="9"/>
  <c r="G1217" i="9" s="1"/>
  <c r="F1218" i="9"/>
  <c r="F1219" i="9"/>
  <c r="F1220" i="9"/>
  <c r="F1221" i="9"/>
  <c r="F1222" i="9"/>
  <c r="F1223" i="9"/>
  <c r="G1223" i="9" s="1"/>
  <c r="F1224" i="9"/>
  <c r="G1224" i="9" s="1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G1237" i="9" s="1"/>
  <c r="F1238" i="9"/>
  <c r="F1239" i="9"/>
  <c r="F1240" i="9"/>
  <c r="F1241" i="9"/>
  <c r="G1241" i="9" s="1"/>
  <c r="F1242" i="9"/>
  <c r="F1243" i="9"/>
  <c r="F1244" i="9"/>
  <c r="G1244" i="9" s="1"/>
  <c r="F1245" i="9"/>
  <c r="G1245" i="9" s="1"/>
  <c r="F1246" i="9"/>
  <c r="G1246" i="9" s="1"/>
  <c r="F1247" i="9"/>
  <c r="F1248" i="9"/>
  <c r="G1248" i="9" s="1"/>
  <c r="F1249" i="9"/>
  <c r="F1250" i="9"/>
  <c r="F1251" i="9"/>
  <c r="F1252" i="9"/>
  <c r="F1253" i="9"/>
  <c r="F1254" i="9"/>
  <c r="F1255" i="9"/>
  <c r="G1255" i="9" s="1"/>
  <c r="F1256" i="9"/>
  <c r="F1257" i="9"/>
  <c r="G1257" i="9" s="1"/>
  <c r="F1258" i="9"/>
  <c r="G1258" i="9" s="1"/>
  <c r="F1259" i="9"/>
  <c r="F1260" i="9"/>
  <c r="G1260" i="9" s="1"/>
  <c r="F1261" i="9"/>
  <c r="F1262" i="9"/>
  <c r="F1263" i="9"/>
  <c r="F1264" i="9"/>
  <c r="F1265" i="9"/>
  <c r="G1265" i="9" s="1"/>
  <c r="F1266" i="9"/>
  <c r="F1267" i="9"/>
  <c r="F1268" i="9"/>
  <c r="F1269" i="9"/>
  <c r="F1270" i="9"/>
  <c r="F1271" i="9"/>
  <c r="F1272" i="9"/>
  <c r="G1272" i="9" s="1"/>
  <c r="F1273" i="9"/>
  <c r="G1273" i="9" s="1"/>
  <c r="F1274" i="9"/>
  <c r="F1275" i="9"/>
  <c r="F1276" i="9"/>
  <c r="F1277" i="9"/>
  <c r="G1277" i="9" s="1"/>
  <c r="F1278" i="9"/>
  <c r="F1279" i="9"/>
  <c r="F1280" i="9"/>
  <c r="G1280" i="9" s="1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G1293" i="9" s="1"/>
  <c r="F1294" i="9"/>
  <c r="F1295" i="9"/>
  <c r="G1295" i="9" s="1"/>
  <c r="F1296" i="9"/>
  <c r="F1297" i="9"/>
  <c r="G1297" i="9" s="1"/>
  <c r="F1298" i="9"/>
  <c r="G1298" i="9" s="1"/>
  <c r="F1299" i="9"/>
  <c r="F1300" i="9"/>
  <c r="G1300" i="9" s="1"/>
  <c r="F1301" i="9"/>
  <c r="F1302" i="9"/>
  <c r="F1303" i="9"/>
  <c r="F1304" i="9"/>
  <c r="F1305" i="9"/>
  <c r="F1306" i="9"/>
  <c r="G1306" i="9" s="1"/>
  <c r="F1307" i="9"/>
  <c r="F1308" i="9"/>
  <c r="F1309" i="9"/>
  <c r="G1309" i="9" s="1"/>
  <c r="F1310" i="9"/>
  <c r="F1311" i="9"/>
  <c r="F1312" i="9"/>
  <c r="F1313" i="9"/>
  <c r="F1314" i="9"/>
  <c r="F1315" i="9"/>
  <c r="F1316" i="9"/>
  <c r="F1317" i="9"/>
  <c r="F1318" i="9"/>
  <c r="G1318" i="9" s="1"/>
  <c r="F1319" i="9"/>
  <c r="G1319" i="9" s="1"/>
  <c r="F1320" i="9"/>
  <c r="F1321" i="9"/>
  <c r="F1322" i="9"/>
  <c r="F1323" i="9"/>
  <c r="F1324" i="9"/>
  <c r="F1325" i="9"/>
  <c r="F1326" i="9"/>
  <c r="F1327" i="9"/>
  <c r="F1328" i="9"/>
  <c r="F1329" i="9"/>
  <c r="G1329" i="9" s="1"/>
  <c r="F1330" i="9"/>
  <c r="F1331" i="9"/>
  <c r="F1332" i="9"/>
  <c r="F1333" i="9"/>
  <c r="G1333" i="9" s="1"/>
  <c r="F1334" i="9"/>
  <c r="G1334" i="9" s="1"/>
  <c r="F1335" i="9"/>
  <c r="G1335" i="9" s="1"/>
  <c r="F1336" i="9"/>
  <c r="F1337" i="9"/>
  <c r="F1338" i="9"/>
  <c r="F1339" i="9"/>
  <c r="G1339" i="9" s="1"/>
  <c r="F1340" i="9"/>
  <c r="G1340" i="9" s="1"/>
  <c r="F1341" i="9"/>
  <c r="G1341" i="9" s="1"/>
  <c r="F1342" i="9"/>
  <c r="G1342" i="9" s="1"/>
  <c r="F1343" i="9"/>
  <c r="G1343" i="9" s="1"/>
  <c r="F1344" i="9"/>
  <c r="G1344" i="9" s="1"/>
  <c r="F1345" i="9"/>
  <c r="F1346" i="9"/>
  <c r="G1346" i="9" s="1"/>
  <c r="F1347" i="9"/>
  <c r="F1348" i="9"/>
  <c r="G1348" i="9" s="1"/>
  <c r="F1349" i="9"/>
  <c r="G1349" i="9" s="1"/>
  <c r="F1350" i="9"/>
  <c r="F1351" i="9"/>
  <c r="F1352" i="9"/>
  <c r="G1352" i="9" s="1"/>
  <c r="F1353" i="9"/>
  <c r="F1354" i="9"/>
  <c r="F1355" i="9"/>
  <c r="G1355" i="9" s="1"/>
  <c r="F1356" i="9"/>
  <c r="F1357" i="9"/>
  <c r="G1357" i="9" s="1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G1369" i="9" s="1"/>
  <c r="F1370" i="9"/>
  <c r="F1371" i="9"/>
  <c r="F1372" i="9"/>
  <c r="F1373" i="9"/>
  <c r="F1374" i="9"/>
  <c r="F1375" i="9"/>
  <c r="F1376" i="9"/>
  <c r="F1377" i="9"/>
  <c r="F1378" i="9"/>
  <c r="F1379" i="9"/>
  <c r="G1379" i="9" s="1"/>
  <c r="F1380" i="9"/>
  <c r="F1381" i="9"/>
  <c r="F1382" i="9"/>
  <c r="F1383" i="9"/>
  <c r="F1384" i="9"/>
  <c r="F1385" i="9"/>
  <c r="F1386" i="9"/>
  <c r="F1387" i="9"/>
  <c r="F1388" i="9"/>
  <c r="F1389" i="9"/>
  <c r="F1390" i="9"/>
  <c r="G1390" i="9" s="1"/>
  <c r="F1391" i="9"/>
  <c r="F1392" i="9"/>
  <c r="F1393" i="9"/>
  <c r="G1393" i="9" s="1"/>
  <c r="F1394" i="9"/>
  <c r="G1394" i="9" s="1"/>
  <c r="F1395" i="9"/>
  <c r="F1396" i="9"/>
  <c r="F1397" i="9"/>
  <c r="F1398" i="9"/>
  <c r="F1399" i="9"/>
  <c r="F1400" i="9"/>
  <c r="G1400" i="9" s="1"/>
  <c r="F1401" i="9"/>
  <c r="G1401" i="9" s="1"/>
  <c r="F1402" i="9"/>
  <c r="F1403" i="9"/>
  <c r="F1404" i="9"/>
  <c r="G1404" i="9" s="1"/>
  <c r="F1405" i="9"/>
  <c r="G1405" i="9" s="1"/>
  <c r="F1406" i="9"/>
  <c r="G1406" i="9" s="1"/>
  <c r="F1407" i="9"/>
  <c r="F1408" i="9"/>
  <c r="F1409" i="9"/>
  <c r="F1410" i="9"/>
  <c r="F1411" i="9"/>
  <c r="G1411" i="9" s="1"/>
  <c r="F1412" i="9"/>
  <c r="F1413" i="9"/>
  <c r="F1414" i="9"/>
  <c r="F1415" i="9"/>
  <c r="F1416" i="9"/>
  <c r="F1417" i="9"/>
  <c r="G1417" i="9" s="1"/>
  <c r="F1418" i="9"/>
  <c r="F1419" i="9"/>
  <c r="F1420" i="9"/>
  <c r="F1421" i="9"/>
  <c r="G1421" i="9" s="1"/>
  <c r="F1422" i="9"/>
  <c r="F1423" i="9"/>
  <c r="G1423" i="9" s="1"/>
  <c r="F1424" i="9"/>
  <c r="F1425" i="9"/>
  <c r="G1425" i="9" s="1"/>
  <c r="F1426" i="9"/>
  <c r="F1427" i="9"/>
  <c r="F1428" i="9"/>
  <c r="F1429" i="9"/>
  <c r="G1429" i="9" s="1"/>
  <c r="F1430" i="9"/>
  <c r="F1431" i="9"/>
  <c r="F1432" i="9"/>
  <c r="F1433" i="9"/>
  <c r="G1433" i="9" s="1"/>
  <c r="F1434" i="9"/>
  <c r="G1434" i="9" s="1"/>
  <c r="F1435" i="9"/>
  <c r="F1436" i="9"/>
  <c r="F1437" i="9"/>
  <c r="F1438" i="9"/>
  <c r="G1438" i="9" s="1"/>
  <c r="F1439" i="9"/>
  <c r="F1440" i="9"/>
  <c r="F1441" i="9"/>
  <c r="G1441" i="9" s="1"/>
  <c r="F1442" i="9"/>
  <c r="F1443" i="9"/>
  <c r="F1444" i="9"/>
  <c r="G1444" i="9" s="1"/>
  <c r="F1445" i="9"/>
  <c r="F1446" i="9"/>
  <c r="F1447" i="9"/>
  <c r="F1448" i="9"/>
  <c r="F1449" i="9"/>
  <c r="G1449" i="9" s="1"/>
  <c r="F1450" i="9"/>
  <c r="F1451" i="9"/>
  <c r="F1452" i="9"/>
  <c r="G1452" i="9" s="1"/>
  <c r="F1453" i="9"/>
  <c r="F1454" i="9"/>
  <c r="F1455" i="9"/>
  <c r="G1455" i="9" s="1"/>
  <c r="F1456" i="9"/>
  <c r="F1457" i="9"/>
  <c r="F1458" i="9"/>
  <c r="F1459" i="9"/>
  <c r="F1460" i="9"/>
  <c r="F1461" i="9"/>
  <c r="F1462" i="9"/>
  <c r="G1462" i="9" s="1"/>
  <c r="F1463" i="9"/>
  <c r="F1464" i="9"/>
  <c r="F1465" i="9"/>
  <c r="F1466" i="9"/>
  <c r="F1467" i="9"/>
  <c r="F1468" i="9"/>
  <c r="F1469" i="9"/>
  <c r="F1470" i="9"/>
  <c r="G1470" i="9" s="1"/>
  <c r="F1471" i="9"/>
  <c r="G1471" i="9" s="1"/>
  <c r="F1472" i="9"/>
  <c r="F1473" i="9"/>
  <c r="F1474" i="9"/>
  <c r="G1474" i="9" s="1"/>
  <c r="F1475" i="9"/>
  <c r="G1475" i="9" s="1"/>
  <c r="F1476" i="9"/>
  <c r="F1477" i="9"/>
  <c r="G1477" i="9" s="1"/>
  <c r="F1478" i="9"/>
  <c r="F1479" i="9"/>
  <c r="F1480" i="9"/>
  <c r="F1481" i="9"/>
  <c r="F1482" i="9"/>
  <c r="G1482" i="9" s="1"/>
  <c r="F1483" i="9"/>
  <c r="F1484" i="9"/>
  <c r="F1485" i="9"/>
  <c r="F1486" i="9"/>
  <c r="F1487" i="9"/>
  <c r="F1488" i="9"/>
  <c r="F1489" i="9"/>
  <c r="G1489" i="9" s="1"/>
  <c r="F1490" i="9"/>
  <c r="F1491" i="9"/>
  <c r="F1492" i="9"/>
  <c r="F1493" i="9"/>
  <c r="G1493" i="9" s="1"/>
  <c r="F1494" i="9"/>
  <c r="G1494" i="9" s="1"/>
  <c r="F1495" i="9"/>
  <c r="G1495" i="9" s="1"/>
  <c r="F1496" i="9"/>
  <c r="G1496" i="9" s="1"/>
  <c r="F1497" i="9"/>
  <c r="F1498" i="9"/>
  <c r="F1499" i="9"/>
  <c r="F1500" i="9"/>
  <c r="F1501" i="9"/>
  <c r="G1501" i="9" s="1"/>
  <c r="F1502" i="9"/>
  <c r="F1503" i="9"/>
  <c r="F1504" i="9"/>
  <c r="G1504" i="9" s="1"/>
  <c r="F1505" i="9"/>
  <c r="F1506" i="9"/>
  <c r="F1507" i="9"/>
  <c r="F1508" i="9"/>
  <c r="G1508" i="9" s="1"/>
  <c r="F1509" i="9"/>
  <c r="F1510" i="9"/>
  <c r="F1511" i="9"/>
  <c r="F1512" i="9"/>
  <c r="G1512" i="9" s="1"/>
  <c r="F1513" i="9"/>
  <c r="G1513" i="9" s="1"/>
  <c r="F1514" i="9"/>
  <c r="F1515" i="9"/>
  <c r="F1516" i="9"/>
  <c r="F1517" i="9"/>
  <c r="G1517" i="9" s="1"/>
  <c r="F1518" i="9"/>
  <c r="G1518" i="9" s="1"/>
  <c r="F1519" i="9"/>
  <c r="F1520" i="9"/>
  <c r="F1521" i="9"/>
  <c r="F1522" i="9"/>
  <c r="F1523" i="9"/>
  <c r="F1524" i="9"/>
  <c r="F1525" i="9"/>
  <c r="G1525" i="9" s="1"/>
  <c r="F1526" i="9"/>
  <c r="F1527" i="9"/>
  <c r="F1528" i="9"/>
  <c r="F1529" i="9"/>
  <c r="F1530" i="9"/>
  <c r="F1531" i="9"/>
  <c r="F1532" i="9"/>
  <c r="G1532" i="9" s="1"/>
  <c r="F1533" i="9"/>
  <c r="F1534" i="9"/>
  <c r="G1534" i="9" s="1"/>
  <c r="F1535" i="9"/>
  <c r="G1535" i="9" s="1"/>
  <c r="F1536" i="9"/>
  <c r="F1537" i="9"/>
  <c r="F1538" i="9"/>
  <c r="G1538" i="9" s="1"/>
  <c r="F1539" i="9"/>
  <c r="F1540" i="9"/>
  <c r="F1541" i="9"/>
  <c r="F1542" i="9"/>
  <c r="F1543" i="9"/>
  <c r="F1544" i="9"/>
  <c r="G1544" i="9" s="1"/>
  <c r="F1545" i="9"/>
  <c r="F1546" i="9"/>
  <c r="F1547" i="9"/>
  <c r="F1548" i="9"/>
  <c r="F1549" i="9"/>
  <c r="G1549" i="9" s="1"/>
  <c r="F1550" i="9"/>
  <c r="F1551" i="9"/>
  <c r="F1552" i="9"/>
  <c r="F1553" i="9"/>
  <c r="F1554" i="9"/>
  <c r="F1555" i="9"/>
  <c r="F1556" i="9"/>
  <c r="F1557" i="9"/>
  <c r="G1557" i="9" s="1"/>
  <c r="F1558" i="9"/>
  <c r="F1559" i="9"/>
  <c r="G1559" i="9" s="1"/>
  <c r="F1560" i="9"/>
  <c r="G1560" i="9" s="1"/>
  <c r="F1561" i="9"/>
  <c r="G1561" i="9" s="1"/>
  <c r="F1562" i="9"/>
  <c r="F1563" i="9"/>
  <c r="F1564" i="9"/>
  <c r="F1565" i="9"/>
  <c r="G1565" i="9" s="1"/>
  <c r="F1566" i="9"/>
  <c r="F1567" i="9"/>
  <c r="F1568" i="9"/>
  <c r="F1569" i="9"/>
  <c r="F1570" i="9"/>
  <c r="F1571" i="9"/>
  <c r="G1571" i="9" s="1"/>
  <c r="F1572" i="9"/>
  <c r="F1573" i="9"/>
  <c r="G1573" i="9" s="1"/>
  <c r="F1574" i="9"/>
  <c r="F1575" i="9"/>
  <c r="F1576" i="9"/>
  <c r="G1576" i="9" s="1"/>
  <c r="F1577" i="9"/>
  <c r="F1578" i="9"/>
  <c r="F1579" i="9"/>
  <c r="F1580" i="9"/>
  <c r="F1581" i="9"/>
  <c r="F1582" i="9"/>
  <c r="G1582" i="9" s="1"/>
  <c r="F1583" i="9"/>
  <c r="G1583" i="9" s="1"/>
  <c r="F1584" i="9"/>
  <c r="F1585" i="9"/>
  <c r="G1585" i="9" s="1"/>
  <c r="F1586" i="9"/>
  <c r="F1587" i="9"/>
  <c r="F1588" i="9"/>
  <c r="F1589" i="9"/>
  <c r="F1590" i="9"/>
  <c r="F1591" i="9"/>
  <c r="F1592" i="9"/>
  <c r="G1592" i="9" s="1"/>
  <c r="F1593" i="9"/>
  <c r="F1594" i="9"/>
  <c r="G1594" i="9" s="1"/>
  <c r="F1595" i="9"/>
  <c r="G1595" i="9" s="1"/>
  <c r="F1596" i="9"/>
  <c r="F1597" i="9"/>
  <c r="G1597" i="9" s="1"/>
  <c r="F1598" i="9"/>
  <c r="F1599" i="9"/>
  <c r="F1600" i="9"/>
  <c r="F1601" i="9"/>
  <c r="F1602" i="9"/>
  <c r="F1603" i="9"/>
  <c r="G1603" i="9" s="1"/>
  <c r="F1604" i="9"/>
  <c r="G1604" i="9" s="1"/>
  <c r="F1605" i="9"/>
  <c r="G1605" i="9" s="1"/>
  <c r="F1606" i="9"/>
  <c r="F1607" i="9"/>
  <c r="F1608" i="9"/>
  <c r="G1608" i="9" s="1"/>
  <c r="F1609" i="9"/>
  <c r="G1609" i="9" s="1"/>
  <c r="F1610" i="9"/>
  <c r="F1611" i="9"/>
  <c r="F1612" i="9"/>
  <c r="G1612" i="9" s="1"/>
  <c r="F1613" i="9"/>
  <c r="F1614" i="9"/>
  <c r="F1615" i="9"/>
  <c r="F1616" i="9"/>
  <c r="F1617" i="9"/>
  <c r="G1617" i="9" s="1"/>
  <c r="F1618" i="9"/>
  <c r="F1619" i="9"/>
  <c r="F1620" i="9"/>
  <c r="G1620" i="9" s="1"/>
  <c r="F1621" i="9"/>
  <c r="G1621" i="9" s="1"/>
  <c r="F1622" i="9"/>
  <c r="F1623" i="9"/>
  <c r="F1624" i="9"/>
  <c r="F1625" i="9"/>
  <c r="F1626" i="9"/>
  <c r="F1627" i="9"/>
  <c r="F1628" i="9"/>
  <c r="F1629" i="9"/>
  <c r="G1629" i="9" s="1"/>
  <c r="F1630" i="9"/>
  <c r="F1631" i="9"/>
  <c r="F1632" i="9"/>
  <c r="F1633" i="9"/>
  <c r="F1634" i="9"/>
  <c r="F1635" i="9"/>
  <c r="F1636" i="9"/>
  <c r="G1636" i="9" s="1"/>
  <c r="F1637" i="9"/>
  <c r="F1638" i="9"/>
  <c r="G1638" i="9" s="1"/>
  <c r="F1639" i="9"/>
  <c r="F1640" i="9"/>
  <c r="F1641" i="9"/>
  <c r="F1642" i="9"/>
  <c r="G1642" i="9" s="1"/>
  <c r="F1643" i="9"/>
  <c r="F1644" i="9"/>
  <c r="G1644" i="9" s="1"/>
  <c r="F1645" i="9"/>
  <c r="G1645" i="9" s="1"/>
  <c r="F1646" i="9"/>
  <c r="F1647" i="9"/>
  <c r="F1648" i="9"/>
  <c r="F1649" i="9"/>
  <c r="G1649" i="9" s="1"/>
  <c r="F1650" i="9"/>
  <c r="F1651" i="9"/>
  <c r="F1652" i="9"/>
  <c r="F1653" i="9"/>
  <c r="F1654" i="9"/>
  <c r="G1654" i="9" s="1"/>
  <c r="F1655" i="9"/>
  <c r="F1656" i="9"/>
  <c r="F1657" i="9"/>
  <c r="G1657" i="9" s="1"/>
  <c r="F1658" i="9"/>
  <c r="F1659" i="9"/>
  <c r="F1660" i="9"/>
  <c r="F1661" i="9"/>
  <c r="F1662" i="9"/>
  <c r="F1663" i="9"/>
  <c r="F1664" i="9"/>
  <c r="G1664" i="9" s="1"/>
  <c r="F1665" i="9"/>
  <c r="F1666" i="9"/>
  <c r="F1667" i="9"/>
  <c r="F1668" i="9"/>
  <c r="G1668" i="9" s="1"/>
  <c r="F1669" i="9"/>
  <c r="F1670" i="9"/>
  <c r="G1670" i="9" s="1"/>
  <c r="F1671" i="9"/>
  <c r="F1672" i="9"/>
  <c r="F1673" i="9"/>
  <c r="G1673" i="9" s="1"/>
  <c r="F1674" i="9"/>
  <c r="F1675" i="9"/>
  <c r="F1676" i="9"/>
  <c r="F1677" i="9"/>
  <c r="G1677" i="9" s="1"/>
  <c r="F1678" i="9"/>
  <c r="G1678" i="9" s="1"/>
  <c r="F1679" i="9"/>
  <c r="F1680" i="9"/>
  <c r="G1680" i="9" s="1"/>
  <c r="F1681" i="9"/>
  <c r="G1681" i="9" s="1"/>
  <c r="F1682" i="9"/>
  <c r="G1682" i="9" s="1"/>
  <c r="F1683" i="9"/>
  <c r="F1684" i="9"/>
  <c r="F1685" i="9"/>
  <c r="F1686" i="9"/>
  <c r="F1687" i="9"/>
  <c r="F1688" i="9"/>
  <c r="G1688" i="9" s="1"/>
  <c r="F1689" i="9"/>
  <c r="F1690" i="9"/>
  <c r="F1691" i="9"/>
  <c r="G1691" i="9" s="1"/>
  <c r="F1692" i="9"/>
  <c r="F1693" i="9"/>
  <c r="G1693" i="9" s="1"/>
  <c r="F1694" i="9"/>
  <c r="F1695" i="9"/>
  <c r="F1696" i="9"/>
  <c r="F1697" i="9"/>
  <c r="F1698" i="9"/>
  <c r="F1699" i="9"/>
  <c r="F1700" i="9"/>
  <c r="F1701" i="9"/>
  <c r="F1702" i="9"/>
  <c r="G1702" i="9" s="1"/>
  <c r="F1703" i="9"/>
  <c r="F1704" i="9"/>
  <c r="G1704" i="9" s="1"/>
  <c r="F1705" i="9"/>
  <c r="G1705" i="9" s="1"/>
  <c r="F1706" i="9"/>
  <c r="G1706" i="9" s="1"/>
  <c r="F1707" i="9"/>
  <c r="F1708" i="9"/>
  <c r="G1708" i="9" s="1"/>
  <c r="F1709" i="9"/>
  <c r="G1709" i="9" s="1"/>
  <c r="F1710" i="9"/>
  <c r="F1711" i="9"/>
  <c r="G1711" i="9" s="1"/>
  <c r="F1712" i="9"/>
  <c r="G1712" i="9" s="1"/>
  <c r="F1713" i="9"/>
  <c r="F1714" i="9"/>
  <c r="F1715" i="9"/>
  <c r="G1715" i="9" s="1"/>
  <c r="F1716" i="9"/>
  <c r="F1717" i="9"/>
  <c r="G1717" i="9" s="1"/>
  <c r="F1718" i="9"/>
  <c r="F1719" i="9"/>
  <c r="F1720" i="9"/>
  <c r="F1721" i="9"/>
  <c r="F1722" i="9"/>
  <c r="F1723" i="9"/>
  <c r="F1724" i="9"/>
  <c r="F1725" i="9"/>
  <c r="G1725" i="9" s="1"/>
  <c r="F1726" i="9"/>
  <c r="F1727" i="9"/>
  <c r="G1727" i="9" s="1"/>
  <c r="F1728" i="9"/>
  <c r="F1729" i="9"/>
  <c r="G1729" i="9" s="1"/>
  <c r="F1730" i="9"/>
  <c r="G1730" i="9" s="1"/>
  <c r="F1731" i="9"/>
  <c r="F1732" i="9"/>
  <c r="F1733" i="9"/>
  <c r="F1734" i="9"/>
  <c r="F1735" i="9"/>
  <c r="F1736" i="9"/>
  <c r="F1737" i="9"/>
  <c r="F1738" i="9"/>
  <c r="G1738" i="9" s="1"/>
  <c r="F1739" i="9"/>
  <c r="F1740" i="9"/>
  <c r="G1740" i="9" s="1"/>
  <c r="F1741" i="9"/>
  <c r="G1741" i="9" s="1"/>
  <c r="F1742" i="9"/>
  <c r="F1743" i="9"/>
  <c r="F1744" i="9"/>
  <c r="F1745" i="9"/>
  <c r="F1746" i="9"/>
  <c r="F1747" i="9"/>
  <c r="F1748" i="9"/>
  <c r="F1749" i="9"/>
  <c r="F1750" i="9"/>
  <c r="G1750" i="9" s="1"/>
  <c r="F1751" i="9"/>
  <c r="G1751" i="9" s="1"/>
  <c r="F1752" i="9"/>
  <c r="F1753" i="9"/>
  <c r="G1753" i="9" s="1"/>
  <c r="F1754" i="9"/>
  <c r="F1755" i="9"/>
  <c r="F1756" i="9"/>
  <c r="F1757" i="9"/>
  <c r="F1758" i="9"/>
  <c r="F1759" i="9"/>
  <c r="F1760" i="9"/>
  <c r="F1761" i="9"/>
  <c r="F1762" i="9"/>
  <c r="G1762" i="9" s="1"/>
  <c r="F1763" i="9"/>
  <c r="F1764" i="9"/>
  <c r="F1765" i="9"/>
  <c r="G1765" i="9" s="1"/>
  <c r="F1766" i="9"/>
  <c r="G1766" i="9" s="1"/>
  <c r="F1767" i="9"/>
  <c r="F1768" i="9"/>
  <c r="F1769" i="9"/>
  <c r="F1770" i="9"/>
  <c r="F1771" i="9"/>
  <c r="F1772" i="9"/>
  <c r="F1773" i="9"/>
  <c r="G1773" i="9" s="1"/>
  <c r="F1774" i="9"/>
  <c r="G1774" i="9" s="1"/>
  <c r="F1775" i="9"/>
  <c r="F1776" i="9"/>
  <c r="G1776" i="9" s="1"/>
  <c r="F1777" i="9"/>
  <c r="G1777" i="9" s="1"/>
  <c r="F1778" i="9"/>
  <c r="F1779" i="9"/>
  <c r="F1780" i="9"/>
  <c r="F1781" i="9"/>
  <c r="F1782" i="9"/>
  <c r="F1783" i="9"/>
  <c r="F1784" i="9"/>
  <c r="F1785" i="9"/>
  <c r="F1786" i="9"/>
  <c r="F1787" i="9"/>
  <c r="G1787" i="9" s="1"/>
  <c r="F1788" i="9"/>
  <c r="F1789" i="9"/>
  <c r="F1790" i="9"/>
  <c r="F1791" i="9"/>
  <c r="F1792" i="9"/>
  <c r="F1793" i="9"/>
  <c r="F1794" i="9"/>
  <c r="F1795" i="9"/>
  <c r="F1796" i="9"/>
  <c r="F1797" i="9"/>
  <c r="G1797" i="9" s="1"/>
  <c r="F1798" i="9"/>
  <c r="G1798" i="9" s="1"/>
  <c r="F1799" i="9"/>
  <c r="F1800" i="9"/>
  <c r="F1801" i="9"/>
  <c r="G1801" i="9" s="1"/>
  <c r="F1802" i="9"/>
  <c r="F1803" i="9"/>
  <c r="F1804" i="9"/>
  <c r="G1804" i="9" s="1"/>
  <c r="F1805" i="9"/>
  <c r="F1806" i="9"/>
  <c r="F1807" i="9"/>
  <c r="F1808" i="9"/>
  <c r="G1808" i="9" s="1"/>
  <c r="F1809" i="9"/>
  <c r="F1810" i="9"/>
  <c r="G1810" i="9" s="1"/>
  <c r="F1811" i="9"/>
  <c r="F1812" i="9"/>
  <c r="G1812" i="9" s="1"/>
  <c r="F1813" i="9"/>
  <c r="G1813" i="9" s="1"/>
  <c r="F1814" i="9"/>
  <c r="F1815" i="9"/>
  <c r="F1816" i="9"/>
  <c r="F1817" i="9"/>
  <c r="F1818" i="9"/>
  <c r="F1819" i="9"/>
  <c r="F1820" i="9"/>
  <c r="G1820" i="9" s="1"/>
  <c r="F1821" i="9"/>
  <c r="G1821" i="9" s="1"/>
  <c r="F1822" i="9"/>
  <c r="F1823" i="9"/>
  <c r="F1824" i="9"/>
  <c r="G1824" i="9" s="1"/>
  <c r="F1825" i="9"/>
  <c r="G1825" i="9" s="1"/>
  <c r="F1826" i="9"/>
  <c r="F1827" i="9"/>
  <c r="F1828" i="9"/>
  <c r="F1829" i="9"/>
  <c r="F1830" i="9"/>
  <c r="G1830" i="9" s="1"/>
  <c r="F1831" i="9"/>
  <c r="G1831" i="9" s="1"/>
  <c r="F1832" i="9"/>
  <c r="G1832" i="9" s="1"/>
  <c r="F1833" i="9"/>
  <c r="F1834" i="9"/>
  <c r="F1835" i="9"/>
  <c r="F1836" i="9"/>
  <c r="F1837" i="9"/>
  <c r="G1837" i="9" s="1"/>
  <c r="F1838" i="9"/>
  <c r="F1839" i="9"/>
  <c r="F1840" i="9"/>
  <c r="F1841" i="9"/>
  <c r="F1842" i="9"/>
  <c r="F1843" i="9"/>
  <c r="G1843" i="9" s="1"/>
  <c r="F1844" i="9"/>
  <c r="F1845" i="9"/>
  <c r="F1846" i="9"/>
  <c r="G1846" i="9" s="1"/>
  <c r="F1847" i="9"/>
  <c r="F1848" i="9"/>
  <c r="F1849" i="9"/>
  <c r="G1849" i="9" s="1"/>
  <c r="F1850" i="9"/>
  <c r="G1850" i="9" s="1"/>
  <c r="F1851" i="9"/>
  <c r="F1852" i="9"/>
  <c r="F1853" i="9"/>
  <c r="G1853" i="9" s="1"/>
  <c r="F1854" i="9"/>
  <c r="F1855" i="9"/>
  <c r="F1856" i="9"/>
  <c r="F1857" i="9"/>
  <c r="F1858" i="9"/>
  <c r="F1859" i="9"/>
  <c r="F1860" i="9"/>
  <c r="F1861" i="9"/>
  <c r="G1861" i="9" s="1"/>
  <c r="F1862" i="9"/>
  <c r="F1863" i="9"/>
  <c r="F1864" i="9"/>
  <c r="F1865" i="9"/>
  <c r="F1866" i="9"/>
  <c r="F1867" i="9"/>
  <c r="F1868" i="9"/>
  <c r="G1868" i="9" s="1"/>
  <c r="F1869" i="9"/>
  <c r="G1869" i="9" s="1"/>
  <c r="F1870" i="9"/>
  <c r="G1870" i="9" s="1"/>
  <c r="F1871" i="9"/>
  <c r="G1871" i="9" s="1"/>
  <c r="F1872" i="9"/>
  <c r="F1873" i="9"/>
  <c r="F1874" i="9"/>
  <c r="G1874" i="9" s="1"/>
  <c r="F1875" i="9"/>
  <c r="G1875" i="9" s="1"/>
  <c r="F1876" i="9"/>
  <c r="F1877" i="9"/>
  <c r="F1878" i="9"/>
  <c r="F1879" i="9"/>
  <c r="F1880" i="9"/>
  <c r="G1880" i="9" s="1"/>
  <c r="F1881" i="9"/>
  <c r="F1882" i="9"/>
  <c r="G1882" i="9" s="1"/>
  <c r="F1883" i="9"/>
  <c r="F1884" i="9"/>
  <c r="G1884" i="9" s="1"/>
  <c r="F1885" i="9"/>
  <c r="G1885" i="9" s="1"/>
  <c r="F1886" i="9"/>
  <c r="F1887" i="9"/>
  <c r="F1888" i="9"/>
  <c r="F1889" i="9"/>
  <c r="G1889" i="9" s="1"/>
  <c r="F1890" i="9"/>
  <c r="F1891" i="9"/>
  <c r="F1892" i="9"/>
  <c r="G1892" i="9" s="1"/>
  <c r="F1893" i="9"/>
  <c r="G1893" i="9" s="1"/>
  <c r="F1894" i="9"/>
  <c r="G1894" i="9" s="1"/>
  <c r="F1895" i="9"/>
  <c r="F1896" i="9"/>
  <c r="F1897" i="9"/>
  <c r="G1897" i="9" s="1"/>
  <c r="F1898" i="9"/>
  <c r="G1898" i="9" s="1"/>
  <c r="F1899" i="9"/>
  <c r="F1900" i="9"/>
  <c r="F1901" i="9"/>
  <c r="F1902" i="9"/>
  <c r="F1903" i="9"/>
  <c r="G1903" i="9" s="1"/>
  <c r="F1904" i="9"/>
  <c r="F1905" i="9"/>
  <c r="F1906" i="9"/>
  <c r="G1906" i="9" s="1"/>
  <c r="F1907" i="9"/>
  <c r="F1908" i="9"/>
  <c r="G1908" i="9" s="1"/>
  <c r="F1909" i="9"/>
  <c r="F1910" i="9"/>
  <c r="G1910" i="9" s="1"/>
  <c r="F1911" i="9"/>
  <c r="F1912" i="9"/>
  <c r="F1913" i="9"/>
  <c r="F1914" i="9"/>
  <c r="F1915" i="9"/>
  <c r="F1916" i="9"/>
  <c r="G1916" i="9" s="1"/>
  <c r="F1917" i="9"/>
  <c r="G1917" i="9" s="1"/>
  <c r="F1918" i="9"/>
  <c r="F1919" i="9"/>
  <c r="G1919" i="9" s="1"/>
  <c r="F1920" i="9"/>
  <c r="G1920" i="9" s="1"/>
  <c r="F1921" i="9"/>
  <c r="G1921" i="9" s="1"/>
  <c r="F1922" i="9"/>
  <c r="G1922" i="9" s="1"/>
  <c r="F1923" i="9"/>
  <c r="F1924" i="9"/>
  <c r="F1925" i="9"/>
  <c r="F1926" i="9"/>
  <c r="F1927" i="9"/>
  <c r="F1928" i="9"/>
  <c r="F1929" i="9"/>
  <c r="F1930" i="9"/>
  <c r="F1931" i="9"/>
  <c r="G1931" i="9" s="1"/>
  <c r="F1932" i="9"/>
  <c r="G1932" i="9" s="1"/>
  <c r="F1933" i="9"/>
  <c r="G1933" i="9" s="1"/>
  <c r="F1934" i="9"/>
  <c r="G1934" i="9" s="1"/>
  <c r="F1935" i="9"/>
  <c r="F1936" i="9"/>
  <c r="F1937" i="9"/>
  <c r="F1938" i="9"/>
  <c r="F1939" i="9"/>
  <c r="F1940" i="9"/>
  <c r="G1940" i="9" s="1"/>
  <c r="F1941" i="9"/>
  <c r="F1942" i="9"/>
  <c r="F1943" i="9"/>
  <c r="F1944" i="9"/>
  <c r="F1945" i="9"/>
  <c r="G1945" i="9" s="1"/>
  <c r="F1946" i="9"/>
  <c r="F1947" i="9"/>
  <c r="F1948" i="9"/>
  <c r="F1949" i="9"/>
  <c r="G1949" i="9" s="1"/>
  <c r="F1950" i="9"/>
  <c r="F1951" i="9"/>
  <c r="F1952" i="9"/>
  <c r="F1953" i="9"/>
  <c r="F1954" i="9"/>
  <c r="F1955" i="9"/>
  <c r="G1955" i="9" s="1"/>
  <c r="F1956" i="9"/>
  <c r="F1957" i="9"/>
  <c r="F1958" i="9"/>
  <c r="F1959" i="9"/>
  <c r="F1960" i="9"/>
  <c r="F1961" i="9"/>
  <c r="G1961" i="9" s="1"/>
  <c r="F1962" i="9"/>
  <c r="F1963" i="9"/>
  <c r="F1964" i="9"/>
  <c r="F1965" i="9"/>
  <c r="G1965" i="9" s="1"/>
  <c r="F1966" i="9"/>
  <c r="F1967" i="9"/>
  <c r="G1967" i="9" s="1"/>
  <c r="F1968" i="9"/>
  <c r="G1968" i="9" s="1"/>
  <c r="F1969" i="9"/>
  <c r="G1969" i="9" s="1"/>
  <c r="F1970" i="9"/>
  <c r="G1970" i="9" s="1"/>
  <c r="F1971" i="9"/>
  <c r="F1972" i="9"/>
  <c r="F1973" i="9"/>
  <c r="F1974" i="9"/>
  <c r="F1975" i="9"/>
  <c r="F1976" i="9"/>
  <c r="G1976" i="9" s="1"/>
  <c r="F1977" i="9"/>
  <c r="F1978" i="9"/>
  <c r="F1979" i="9"/>
  <c r="G1979" i="9" s="1"/>
  <c r="F1980" i="9"/>
  <c r="F1981" i="9"/>
  <c r="G1981" i="9" s="1"/>
  <c r="F1982" i="9"/>
  <c r="G1982" i="9" s="1"/>
  <c r="F1983" i="9"/>
  <c r="F1984" i="9"/>
  <c r="F1985" i="9"/>
  <c r="F1986" i="9"/>
  <c r="F1987" i="9"/>
  <c r="F1988" i="9"/>
  <c r="G1988" i="9" s="1"/>
  <c r="F1989" i="9"/>
  <c r="G1989" i="9" s="1"/>
  <c r="F1990" i="9"/>
  <c r="F1991" i="9"/>
  <c r="F1992" i="9"/>
  <c r="G1992" i="9" s="1"/>
  <c r="F1993" i="9"/>
  <c r="G1993" i="9" s="1"/>
  <c r="F1994" i="9"/>
  <c r="G1994" i="9" s="1"/>
  <c r="F1995" i="9"/>
  <c r="F1996" i="9"/>
  <c r="F1997" i="9"/>
  <c r="G1997" i="9" s="1"/>
  <c r="F1998" i="9"/>
  <c r="F1999" i="9"/>
  <c r="F2000" i="9"/>
  <c r="F2001" i="9"/>
  <c r="G2001" i="9" s="1"/>
  <c r="F2002" i="9"/>
  <c r="G2002" i="9" s="1"/>
  <c r="F2003" i="9"/>
  <c r="F2004" i="9"/>
  <c r="F2005" i="9"/>
  <c r="F2006" i="9"/>
  <c r="G2006" i="9" s="1"/>
  <c r="F2007" i="9"/>
  <c r="F2008" i="9"/>
  <c r="F2009" i="9"/>
  <c r="F2010" i="9"/>
  <c r="G2010" i="9" s="1"/>
  <c r="F2011" i="9"/>
  <c r="F2012" i="9"/>
  <c r="F2013" i="9"/>
  <c r="G2013" i="9" s="1"/>
  <c r="F2014" i="9"/>
  <c r="F2015" i="9"/>
  <c r="G2015" i="9" s="1"/>
  <c r="F2016" i="9"/>
  <c r="F2017" i="9"/>
  <c r="G2017" i="9" s="1"/>
  <c r="F2018" i="9"/>
  <c r="G2018" i="9" s="1"/>
  <c r="F2019" i="9"/>
  <c r="F2020" i="9"/>
  <c r="F2021" i="9"/>
  <c r="F2022" i="9"/>
  <c r="F2023" i="9"/>
  <c r="F2024" i="9"/>
  <c r="F2025" i="9"/>
  <c r="G2025" i="9" s="1"/>
  <c r="F2026" i="9"/>
  <c r="G2026" i="9" s="1"/>
  <c r="F2027" i="9"/>
  <c r="F2028" i="9"/>
  <c r="F2029" i="9"/>
  <c r="G2029" i="9" s="1"/>
  <c r="F2030" i="9"/>
  <c r="F2031" i="9"/>
  <c r="F2032" i="9"/>
  <c r="F2033" i="9"/>
  <c r="F2034" i="9"/>
  <c r="F2035" i="9"/>
  <c r="F2036" i="9"/>
  <c r="G2036" i="9" s="1"/>
  <c r="F2037" i="9"/>
  <c r="F2038" i="9"/>
  <c r="G2038" i="9" s="1"/>
  <c r="F2039" i="9"/>
  <c r="F2040" i="9"/>
  <c r="F2041" i="9"/>
  <c r="G2041" i="9" s="1"/>
  <c r="F2042" i="9"/>
  <c r="F2043" i="9"/>
  <c r="F2044" i="9"/>
  <c r="F2045" i="9"/>
  <c r="F2046" i="9"/>
  <c r="F2047" i="9"/>
  <c r="F2048" i="9"/>
  <c r="G2048" i="9" s="1"/>
  <c r="F2049" i="9"/>
  <c r="G2049" i="9" s="1"/>
  <c r="F2050" i="9"/>
  <c r="F2051" i="9"/>
  <c r="F2052" i="9"/>
  <c r="F2053" i="9"/>
  <c r="G2053" i="9" s="1"/>
  <c r="F2054" i="9"/>
  <c r="G2054" i="9" s="1"/>
  <c r="F2055" i="9"/>
  <c r="G2055" i="9" s="1"/>
  <c r="F2056" i="9"/>
  <c r="G2056" i="9" s="1"/>
  <c r="F2057" i="9"/>
  <c r="F2058" i="9"/>
  <c r="F2059" i="9"/>
  <c r="G2059" i="9" s="1"/>
  <c r="F2060" i="9"/>
  <c r="F2061" i="9"/>
  <c r="F2062" i="9"/>
  <c r="G2062" i="9" s="1"/>
  <c r="F2063" i="9"/>
  <c r="F2064" i="9"/>
  <c r="F2065" i="9"/>
  <c r="G2065" i="9" s="1"/>
  <c r="F2066" i="9"/>
  <c r="G2066" i="9" s="1"/>
  <c r="F2067" i="9"/>
  <c r="F2068" i="9"/>
  <c r="F2069" i="9"/>
  <c r="F2070" i="9"/>
  <c r="F2071" i="9"/>
  <c r="F2072" i="9"/>
  <c r="G2072" i="9" s="1"/>
  <c r="F2073" i="9"/>
  <c r="G2073" i="9" s="1"/>
  <c r="F2074" i="9"/>
  <c r="G2074" i="9" s="1"/>
  <c r="F2075" i="9"/>
  <c r="F2076" i="9"/>
  <c r="G2076" i="9" s="1"/>
  <c r="F2077" i="9"/>
  <c r="G2077" i="9" s="1"/>
  <c r="F2078" i="9"/>
  <c r="F2079" i="9"/>
  <c r="F2080" i="9"/>
  <c r="F2081" i="9"/>
  <c r="F2082" i="9"/>
  <c r="F2083" i="9"/>
  <c r="F2084" i="9"/>
  <c r="G2084" i="9" s="1"/>
  <c r="F2085" i="9"/>
  <c r="F2086" i="9"/>
  <c r="G2086" i="9" s="1"/>
  <c r="F2087" i="9"/>
  <c r="G2087" i="9" s="1"/>
  <c r="F2088" i="9"/>
  <c r="F2089" i="9"/>
  <c r="G2089" i="9" s="1"/>
  <c r="F2090" i="9"/>
  <c r="F2091" i="9"/>
  <c r="F2092" i="9"/>
  <c r="F2093" i="9"/>
  <c r="F2094" i="9"/>
  <c r="F2095" i="9"/>
  <c r="F2096" i="9"/>
  <c r="F2097" i="9"/>
  <c r="F2098" i="9"/>
  <c r="G2098" i="9" s="1"/>
  <c r="F2099" i="9"/>
  <c r="G2099" i="9" s="1"/>
  <c r="F2100" i="9"/>
  <c r="F2101" i="9"/>
  <c r="G2101" i="9" s="1"/>
  <c r="F2102" i="9"/>
  <c r="F2103" i="9"/>
  <c r="F2104" i="9"/>
  <c r="F2105" i="9"/>
  <c r="F2106" i="9"/>
  <c r="F2107" i="9"/>
  <c r="F2108" i="9"/>
  <c r="F2109" i="9"/>
  <c r="F2110" i="9"/>
  <c r="F2111" i="9"/>
  <c r="G2111" i="9" s="1"/>
  <c r="F2112" i="9"/>
  <c r="F2113" i="9"/>
  <c r="G2113" i="9" s="1"/>
  <c r="F2114" i="9"/>
  <c r="G2114" i="9" s="1"/>
  <c r="F2115" i="9"/>
  <c r="F2116" i="9"/>
  <c r="F2117" i="9"/>
  <c r="F2118" i="9"/>
  <c r="F2119" i="9"/>
  <c r="F2120" i="9"/>
  <c r="G2120" i="9" s="1"/>
  <c r="F2121" i="9"/>
  <c r="G2121" i="9" s="1"/>
  <c r="F2122" i="9"/>
  <c r="F2123" i="9"/>
  <c r="G2123" i="9" s="1"/>
  <c r="F2124" i="9"/>
  <c r="G2124" i="9" s="1"/>
  <c r="F2125" i="9"/>
  <c r="G2125" i="9" s="1"/>
  <c r="F2126" i="9"/>
  <c r="F2127" i="9"/>
  <c r="F2128" i="9"/>
  <c r="F2129" i="9"/>
  <c r="G2129" i="9" s="1"/>
  <c r="F2130" i="9"/>
  <c r="F2131" i="9"/>
  <c r="G2131" i="9" s="1"/>
  <c r="F2132" i="9"/>
  <c r="G2132" i="9" s="1"/>
  <c r="F2133" i="9"/>
  <c r="G2133" i="9" s="1"/>
  <c r="F2134" i="9"/>
  <c r="G2134" i="9" s="1"/>
  <c r="F2135" i="9"/>
  <c r="G2135" i="9" s="1"/>
  <c r="F2136" i="9"/>
  <c r="F2137" i="9"/>
  <c r="G2137" i="9" s="1"/>
  <c r="F2138" i="9"/>
  <c r="F2139" i="9"/>
  <c r="F2140" i="9"/>
  <c r="F2141" i="9"/>
  <c r="F2142" i="9"/>
  <c r="F2143" i="9"/>
  <c r="F2144" i="9"/>
  <c r="F2145" i="9"/>
  <c r="G2145" i="9" s="1"/>
  <c r="F2146" i="9"/>
  <c r="G2146" i="9" s="1"/>
  <c r="F2147" i="9"/>
  <c r="F2148" i="9"/>
  <c r="F2149" i="9"/>
  <c r="G2149" i="9" s="1"/>
  <c r="F2150" i="9"/>
  <c r="F2151" i="9"/>
  <c r="F2152" i="9"/>
  <c r="F2153" i="9"/>
  <c r="F2154" i="9"/>
  <c r="F2155" i="9"/>
  <c r="G2155" i="9" s="1"/>
  <c r="F2156" i="9"/>
  <c r="F2157" i="9"/>
  <c r="G2157" i="9" s="1"/>
  <c r="F2158" i="9"/>
  <c r="G2158" i="9" s="1"/>
  <c r="F2159" i="9"/>
  <c r="F2160" i="9"/>
  <c r="F2161" i="9"/>
  <c r="G2161" i="9" s="1"/>
  <c r="F2162" i="9"/>
  <c r="G2162" i="9" s="1"/>
  <c r="F2163" i="9"/>
  <c r="F2164" i="9"/>
  <c r="F2165" i="9"/>
  <c r="F2166" i="9"/>
  <c r="G2166" i="9" s="1"/>
  <c r="F2167" i="9"/>
  <c r="F2168" i="9"/>
  <c r="G2168" i="9" s="1"/>
  <c r="F2169" i="9"/>
  <c r="G2169" i="9" s="1"/>
  <c r="F2170" i="9"/>
  <c r="G2170" i="9" s="1"/>
  <c r="F2171" i="9"/>
  <c r="G2171" i="9" s="1"/>
  <c r="F2172" i="9"/>
  <c r="G2172" i="9" s="1"/>
  <c r="F2173" i="9"/>
  <c r="G2173" i="9" s="1"/>
  <c r="F2174" i="9"/>
  <c r="F2175" i="9"/>
  <c r="F2176" i="9"/>
  <c r="F2177" i="9"/>
  <c r="F2178" i="9"/>
  <c r="F2179" i="9"/>
  <c r="F2180" i="9"/>
  <c r="G2180" i="9" s="1"/>
  <c r="F2181" i="9"/>
  <c r="G2181" i="9" s="1"/>
  <c r="F2182" i="9"/>
  <c r="G2182" i="9" s="1"/>
  <c r="F2183" i="9"/>
  <c r="F2184" i="9"/>
  <c r="G2184" i="9" s="1"/>
  <c r="F2185" i="9"/>
  <c r="G2185" i="9" s="1"/>
  <c r="F2186" i="9"/>
  <c r="G2186" i="9" s="1"/>
  <c r="F2187" i="9"/>
  <c r="F2188" i="9"/>
  <c r="F2189" i="9"/>
  <c r="F2190" i="9"/>
  <c r="F2191" i="9"/>
  <c r="F2192" i="9"/>
  <c r="G2192" i="9" s="1"/>
  <c r="F2193" i="9"/>
  <c r="F2194" i="9"/>
  <c r="G2194" i="9" s="1"/>
  <c r="F2195" i="9"/>
  <c r="G2195" i="9" s="1"/>
  <c r="F2196" i="9"/>
  <c r="F2197" i="9"/>
  <c r="F2198" i="9"/>
  <c r="F2199" i="9"/>
  <c r="F2200" i="9"/>
  <c r="F2201" i="9"/>
  <c r="G2201" i="9" s="1"/>
  <c r="F2202" i="9"/>
  <c r="F2203" i="9"/>
  <c r="F2204" i="9"/>
  <c r="F2205" i="9"/>
  <c r="F2206" i="9"/>
  <c r="G2206" i="9" s="1"/>
  <c r="F2207" i="9"/>
  <c r="F2208" i="9"/>
  <c r="F2209" i="9"/>
  <c r="G2209" i="9" s="1"/>
  <c r="F2210" i="9"/>
  <c r="G2210" i="9" s="1"/>
  <c r="F2211" i="9"/>
  <c r="F2212" i="9"/>
  <c r="F2213" i="9"/>
  <c r="F2214" i="9"/>
  <c r="F2215" i="9"/>
  <c r="F2216" i="9"/>
  <c r="F2217" i="9"/>
  <c r="F2218" i="9"/>
  <c r="G2218" i="9" s="1"/>
  <c r="F2219" i="9"/>
  <c r="G2219" i="9" s="1"/>
  <c r="F2220" i="9"/>
  <c r="F2221" i="9"/>
  <c r="F2222" i="9"/>
  <c r="G2222" i="9" s="1"/>
  <c r="F2223" i="9"/>
  <c r="F2224" i="9"/>
  <c r="F2225" i="9"/>
  <c r="F2226" i="9"/>
  <c r="F2227" i="9"/>
  <c r="G2227" i="9" s="1"/>
  <c r="F2228" i="9"/>
  <c r="F2229" i="9"/>
  <c r="F2230" i="9"/>
  <c r="G2230" i="9" s="1"/>
  <c r="F2231" i="9"/>
  <c r="F2232" i="9"/>
  <c r="G2232" i="9" s="1"/>
  <c r="F2233" i="9"/>
  <c r="G2233" i="9" s="1"/>
  <c r="F2234" i="9"/>
  <c r="F2235" i="9"/>
  <c r="F2236" i="9"/>
  <c r="F2237" i="9"/>
  <c r="F2238" i="9"/>
  <c r="F2239" i="9"/>
  <c r="F2240" i="9"/>
  <c r="G2240" i="9" s="1"/>
  <c r="F2241" i="9"/>
  <c r="F2242" i="9"/>
  <c r="G2242" i="9" s="1"/>
  <c r="F2243" i="9"/>
  <c r="F2244" i="9"/>
  <c r="G2244" i="9" s="1"/>
  <c r="F2245" i="9"/>
  <c r="G2245" i="9" s="1"/>
  <c r="F2246" i="9"/>
  <c r="G2246" i="9" s="1"/>
  <c r="F2247" i="9"/>
  <c r="F2248" i="9"/>
  <c r="F2249" i="9"/>
  <c r="F2250" i="9"/>
  <c r="G2250" i="9" s="1"/>
  <c r="F2251" i="9"/>
  <c r="F2252" i="9"/>
  <c r="F2253" i="9"/>
  <c r="G2253" i="9" s="1"/>
  <c r="F2254" i="9"/>
  <c r="F2255" i="9"/>
  <c r="F2256" i="9"/>
  <c r="F2257" i="9"/>
  <c r="G2257" i="9" s="1"/>
  <c r="F2258" i="9"/>
  <c r="F2259" i="9"/>
  <c r="F2260" i="9"/>
  <c r="F2261" i="9"/>
  <c r="F2262" i="9"/>
  <c r="F2263" i="9"/>
  <c r="F2264" i="9"/>
  <c r="F2265" i="9"/>
  <c r="G2265" i="9" s="1"/>
  <c r="F2266" i="9"/>
  <c r="G2266" i="9" s="1"/>
  <c r="F2267" i="9"/>
  <c r="F2268" i="9"/>
  <c r="G2268" i="9" s="1"/>
  <c r="F2269" i="9"/>
  <c r="G2269" i="9" s="1"/>
  <c r="F2270" i="9"/>
  <c r="G2270" i="9" s="1"/>
  <c r="F2271" i="9"/>
  <c r="F2272" i="9"/>
  <c r="F2273" i="9"/>
  <c r="F2274" i="9"/>
  <c r="F2275" i="9"/>
  <c r="G2275" i="9" s="1"/>
  <c r="F2276" i="9"/>
  <c r="F2277" i="9"/>
  <c r="G2277" i="9" s="1"/>
  <c r="F2278" i="9"/>
  <c r="G2278" i="9" s="1"/>
  <c r="F2279" i="9"/>
  <c r="G2279" i="9" s="1"/>
  <c r="F2280" i="9"/>
  <c r="G2280" i="9" s="1"/>
  <c r="F2281" i="9"/>
  <c r="G2281" i="9" s="1"/>
  <c r="F2282" i="9"/>
  <c r="F2283" i="9"/>
  <c r="F2284" i="9"/>
  <c r="F2285" i="9"/>
  <c r="F2286" i="9"/>
  <c r="F2287" i="9"/>
  <c r="G2287" i="9" s="1"/>
  <c r="F2288" i="9"/>
  <c r="F2289" i="9"/>
  <c r="G2289" i="9" s="1"/>
  <c r="F2290" i="9"/>
  <c r="F2291" i="9"/>
  <c r="G2291" i="9" s="1"/>
  <c r="F2292" i="9"/>
  <c r="G2292" i="9" s="1"/>
  <c r="F2293" i="9"/>
  <c r="G2293" i="9" s="1"/>
  <c r="F2294" i="9"/>
  <c r="G2294" i="9" s="1"/>
  <c r="F2295" i="9"/>
  <c r="F2296" i="9"/>
  <c r="F2297" i="9"/>
  <c r="G2297" i="9" s="1"/>
  <c r="F2298" i="9"/>
  <c r="F2299" i="9"/>
  <c r="F2300" i="9"/>
  <c r="F2301" i="9"/>
  <c r="F2302" i="9"/>
  <c r="F2303" i="9"/>
  <c r="G2303" i="9" s="1"/>
  <c r="F2304" i="9"/>
  <c r="G2304" i="9" s="1"/>
  <c r="F2305" i="9"/>
  <c r="G2305" i="9" s="1"/>
  <c r="F2306" i="9"/>
  <c r="G2306" i="9" s="1"/>
  <c r="F2307" i="9"/>
  <c r="F2308" i="9"/>
  <c r="F2309" i="9"/>
  <c r="F2310" i="9"/>
  <c r="F2311" i="9"/>
  <c r="F2312" i="9"/>
  <c r="F2313" i="9"/>
  <c r="F2314" i="9"/>
  <c r="G2314" i="9" s="1"/>
  <c r="F2315" i="9"/>
  <c r="G2315" i="9" s="1"/>
  <c r="F2316" i="9"/>
  <c r="G2316" i="9" s="1"/>
  <c r="F2317" i="9"/>
  <c r="G2317" i="9" s="1"/>
  <c r="F2318" i="9"/>
  <c r="F2319" i="9"/>
  <c r="F2320" i="9"/>
  <c r="F2321" i="9"/>
  <c r="F2322" i="9"/>
  <c r="F2323" i="9"/>
  <c r="F2324" i="9"/>
  <c r="G2324" i="9" s="1"/>
  <c r="F2325" i="9"/>
  <c r="F2326" i="9"/>
  <c r="G2326" i="9" s="1"/>
  <c r="F2327" i="9"/>
  <c r="G2327" i="9" s="1"/>
  <c r="F2328" i="9"/>
  <c r="F2329" i="9"/>
  <c r="G2329" i="9" s="1"/>
  <c r="F2330" i="9"/>
  <c r="F2331" i="9"/>
  <c r="F2332" i="9"/>
  <c r="F2333" i="9"/>
  <c r="F2334" i="9"/>
  <c r="G2334" i="9" s="1"/>
  <c r="F2335" i="9"/>
  <c r="F2336" i="9"/>
  <c r="G2336" i="9" s="1"/>
  <c r="F2337" i="9"/>
  <c r="F2338" i="9"/>
  <c r="G2338" i="9" s="1"/>
  <c r="F2339" i="9"/>
  <c r="F2340" i="9"/>
  <c r="G2340" i="9" s="1"/>
  <c r="F2341" i="9"/>
  <c r="G2341" i="9" s="1"/>
  <c r="F2342" i="9"/>
  <c r="G2342" i="9" s="1"/>
  <c r="F2343" i="9"/>
  <c r="F2344" i="9"/>
  <c r="F2345" i="9"/>
  <c r="F2346" i="9"/>
  <c r="G2346" i="9" s="1"/>
  <c r="F2347" i="9"/>
  <c r="F2348" i="9"/>
  <c r="F2349" i="9"/>
  <c r="F2350" i="9"/>
  <c r="G2350" i="9" s="1"/>
  <c r="F2351" i="9"/>
  <c r="G2351" i="9" s="1"/>
  <c r="F2352" i="9"/>
  <c r="F2353" i="9"/>
  <c r="G2353" i="9" s="1"/>
  <c r="G2" i="9"/>
  <c r="F9" i="3"/>
  <c r="F6" i="3"/>
  <c r="F5" i="3"/>
  <c r="F4" i="3"/>
  <c r="G1398" i="9"/>
  <c r="G1074" i="9"/>
  <c r="G1062" i="9"/>
  <c r="G1026" i="9"/>
  <c r="G1014" i="9"/>
  <c r="J11" i="9"/>
  <c r="K11" i="9" s="1"/>
  <c r="J10" i="9"/>
  <c r="K10" i="9" s="1"/>
  <c r="J9" i="9"/>
  <c r="K9" i="9" s="1"/>
  <c r="J8" i="9"/>
  <c r="K8" i="9" s="1"/>
  <c r="J7" i="9"/>
  <c r="K7" i="9" s="1"/>
  <c r="J6" i="9"/>
  <c r="K6" i="9" s="1"/>
  <c r="J5" i="9"/>
  <c r="K5" i="9" s="1"/>
  <c r="J4" i="9"/>
  <c r="K4" i="9" s="1"/>
  <c r="J3" i="9"/>
  <c r="K3" i="9" s="1"/>
  <c r="J2" i="9"/>
  <c r="K2" i="9" s="1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J21" i="3"/>
  <c r="K21" i="3" s="1"/>
  <c r="A21" i="3"/>
  <c r="J20" i="3"/>
  <c r="A20" i="3"/>
  <c r="J19" i="3"/>
  <c r="K19" i="3" s="1"/>
  <c r="A19" i="3"/>
  <c r="A18" i="3"/>
  <c r="A17" i="3"/>
  <c r="A16" i="3"/>
  <c r="A15" i="3"/>
  <c r="A14" i="3"/>
  <c r="A13" i="3"/>
  <c r="A12" i="3"/>
  <c r="A11" i="3"/>
  <c r="A10" i="3"/>
  <c r="A9" i="3"/>
  <c r="A8" i="3"/>
  <c r="J7" i="3"/>
  <c r="M7" i="3" s="1"/>
  <c r="B7" i="3"/>
  <c r="A7" i="3"/>
  <c r="J6" i="3"/>
  <c r="A6" i="3"/>
  <c r="J5" i="3"/>
  <c r="A5" i="3"/>
  <c r="G1598" i="9" l="1"/>
  <c r="G1418" i="9"/>
  <c r="G517" i="9"/>
  <c r="G493" i="9"/>
  <c r="G397" i="9"/>
  <c r="G373" i="9"/>
  <c r="G337" i="9"/>
  <c r="G169" i="9"/>
  <c r="G2202" i="9"/>
  <c r="G2330" i="9"/>
  <c r="G1574" i="9"/>
  <c r="G1826" i="9"/>
  <c r="G1086" i="9"/>
  <c r="G1626" i="9"/>
  <c r="G589" i="9"/>
  <c r="G289" i="9"/>
  <c r="G217" i="9"/>
  <c r="G49" i="9"/>
  <c r="G552" i="9"/>
  <c r="G252" i="9"/>
  <c r="G2110" i="9"/>
  <c r="G2014" i="9"/>
  <c r="G1978" i="9"/>
  <c r="G1954" i="9"/>
  <c r="G1822" i="9"/>
  <c r="G1606" i="9"/>
  <c r="G922" i="9"/>
  <c r="G814" i="9"/>
  <c r="G586" i="9"/>
  <c r="G2282" i="9"/>
  <c r="G2234" i="9"/>
  <c r="G2198" i="9"/>
  <c r="G2174" i="9"/>
  <c r="G2126" i="9"/>
  <c r="G2102" i="9"/>
  <c r="G2030" i="9"/>
  <c r="G1946" i="9"/>
  <c r="G1886" i="9"/>
  <c r="G1862" i="9"/>
  <c r="G1790" i="9"/>
  <c r="G1778" i="9"/>
  <c r="G1742" i="9"/>
  <c r="G1718" i="9"/>
  <c r="G1694" i="9"/>
  <c r="G1586" i="9"/>
  <c r="G1454" i="9"/>
  <c r="G1442" i="9"/>
  <c r="G1310" i="9"/>
  <c r="G1106" i="9"/>
  <c r="G1094" i="9"/>
  <c r="G1070" i="9"/>
  <c r="G1058" i="9"/>
  <c r="G1046" i="9"/>
  <c r="G1034" i="9"/>
  <c r="G962" i="9"/>
  <c r="G950" i="9"/>
  <c r="G902" i="9"/>
  <c r="G854" i="9"/>
  <c r="G710" i="9"/>
  <c r="G674" i="9"/>
  <c r="G350" i="9"/>
  <c r="G324" i="9"/>
  <c r="G216" i="9"/>
  <c r="G215" i="9"/>
  <c r="G71" i="9"/>
  <c r="G1714" i="9"/>
  <c r="M20" i="3"/>
  <c r="G2070" i="9"/>
  <c r="G2046" i="9"/>
  <c r="G1962" i="9"/>
  <c r="G1422" i="9"/>
  <c r="G1362" i="9"/>
  <c r="G1326" i="9"/>
  <c r="G1266" i="9"/>
  <c r="G1254" i="9"/>
  <c r="G462" i="9"/>
  <c r="G390" i="9"/>
  <c r="G294" i="9"/>
  <c r="M5" i="3"/>
  <c r="G2235" i="9"/>
  <c r="G2019" i="9"/>
  <c r="G1887" i="9"/>
  <c r="G1539" i="9"/>
  <c r="G1143" i="9"/>
  <c r="G951" i="9"/>
  <c r="G783" i="9"/>
  <c r="G771" i="9"/>
  <c r="G1814" i="9"/>
  <c r="G1658" i="9"/>
  <c r="G1562" i="9"/>
  <c r="G554" i="9"/>
  <c r="G530" i="9"/>
  <c r="G518" i="9"/>
  <c r="G470" i="9"/>
  <c r="G446" i="9"/>
  <c r="G422" i="9"/>
  <c r="G338" i="9"/>
  <c r="G254" i="9"/>
  <c r="G230" i="9"/>
  <c r="G2231" i="9"/>
  <c r="G2207" i="9"/>
  <c r="G2147" i="9"/>
  <c r="G2318" i="9"/>
  <c r="G2258" i="9"/>
  <c r="G2150" i="9"/>
  <c r="G2138" i="9"/>
  <c r="G2090" i="9"/>
  <c r="G2078" i="9"/>
  <c r="G2042" i="9"/>
  <c r="G1958" i="9"/>
  <c r="G1838" i="9"/>
  <c r="G1802" i="9"/>
  <c r="G1754" i="9"/>
  <c r="G1646" i="9"/>
  <c r="G1634" i="9"/>
  <c r="G1622" i="9"/>
  <c r="G1610" i="9"/>
  <c r="G1526" i="9"/>
  <c r="G1514" i="9"/>
  <c r="G1502" i="9"/>
  <c r="G1490" i="9"/>
  <c r="G1466" i="9"/>
  <c r="G1358" i="9"/>
  <c r="G1166" i="9"/>
  <c r="G1142" i="9"/>
  <c r="G878" i="9"/>
  <c r="G698" i="9"/>
  <c r="G2267" i="9"/>
  <c r="G2255" i="9"/>
  <c r="G590" i="9"/>
  <c r="G506" i="9"/>
  <c r="G398" i="9"/>
  <c r="G912" i="9"/>
  <c r="G756" i="9"/>
  <c r="G576" i="9"/>
  <c r="G336" i="9"/>
  <c r="G108" i="9"/>
  <c r="G719" i="9"/>
  <c r="G575" i="9"/>
  <c r="G467" i="9"/>
  <c r="G227" i="9"/>
  <c r="G131" i="9"/>
  <c r="G107" i="9"/>
  <c r="G83" i="9"/>
  <c r="G466" i="9"/>
  <c r="G418" i="9"/>
  <c r="G274" i="9"/>
  <c r="G226" i="9"/>
  <c r="G178" i="9"/>
  <c r="G82" i="9"/>
  <c r="G873" i="9"/>
  <c r="G705" i="9"/>
  <c r="G585" i="9"/>
  <c r="G1338" i="9"/>
  <c r="G1230" i="9"/>
  <c r="G1158" i="9"/>
  <c r="G966" i="9"/>
  <c r="G846" i="9"/>
  <c r="G582" i="9"/>
  <c r="G498" i="9"/>
  <c r="G402" i="9"/>
  <c r="G366" i="9"/>
  <c r="G330" i="9"/>
  <c r="G306" i="9"/>
  <c r="G78" i="9"/>
  <c r="G1130" i="9"/>
  <c r="G986" i="9"/>
  <c r="G2203" i="9"/>
  <c r="G1927" i="9"/>
  <c r="G1891" i="9"/>
  <c r="G1879" i="9"/>
  <c r="G1183" i="9"/>
  <c r="G1123" i="9"/>
  <c r="G907" i="9"/>
  <c r="G883" i="9"/>
  <c r="G811" i="9"/>
  <c r="G799" i="9"/>
  <c r="G691" i="9"/>
  <c r="G655" i="9"/>
  <c r="G535" i="9"/>
  <c r="G439" i="9"/>
  <c r="G199" i="9"/>
  <c r="G2296" i="9"/>
  <c r="G1276" i="9"/>
  <c r="G1264" i="9"/>
  <c r="G1024" i="9"/>
  <c r="G904" i="9"/>
  <c r="G748" i="9"/>
  <c r="G652" i="9"/>
  <c r="G388" i="9"/>
  <c r="G376" i="9"/>
  <c r="G304" i="9"/>
  <c r="G208" i="9"/>
  <c r="G172" i="9"/>
  <c r="G16" i="9"/>
  <c r="G2308" i="9"/>
  <c r="G2295" i="9"/>
  <c r="G1839" i="9"/>
  <c r="G1611" i="9"/>
  <c r="G1503" i="9"/>
  <c r="G1431" i="9"/>
  <c r="G747" i="9"/>
  <c r="G615" i="9"/>
  <c r="G471" i="9"/>
  <c r="G147" i="9"/>
  <c r="G87" i="9"/>
  <c r="G27" i="9"/>
  <c r="G90" i="9"/>
  <c r="G1430" i="9"/>
  <c r="G1274" i="9"/>
  <c r="G938" i="9"/>
  <c r="G734" i="9"/>
  <c r="G434" i="9"/>
  <c r="G1381" i="9"/>
  <c r="G1225" i="9"/>
  <c r="G1093" i="9"/>
  <c r="G841" i="9"/>
  <c r="G733" i="9"/>
  <c r="G565" i="9"/>
  <c r="G2016" i="9"/>
  <c r="G1763" i="9"/>
  <c r="G1619" i="9"/>
  <c r="G1451" i="9"/>
  <c r="G1618" i="9"/>
  <c r="G1198" i="9"/>
  <c r="G1018" i="9"/>
  <c r="G862" i="9"/>
  <c r="G694" i="9"/>
  <c r="G682" i="9"/>
  <c r="G406" i="9"/>
  <c r="G262" i="9"/>
  <c r="G250" i="9"/>
  <c r="G238" i="9"/>
  <c r="G1665" i="9"/>
  <c r="G1653" i="9"/>
  <c r="G1521" i="9"/>
  <c r="G1305" i="9"/>
  <c r="G1125" i="9"/>
  <c r="G753" i="9"/>
  <c r="G477" i="9"/>
  <c r="G1856" i="9"/>
  <c r="G1676" i="9"/>
  <c r="G1424" i="9"/>
  <c r="G1328" i="9"/>
  <c r="G1208" i="9"/>
  <c r="G1088" i="9"/>
  <c r="G968" i="9"/>
  <c r="G884" i="9"/>
  <c r="G836" i="9"/>
  <c r="G596" i="9"/>
  <c r="G356" i="9"/>
  <c r="G774" i="9"/>
  <c r="G1789" i="9"/>
  <c r="G1669" i="9"/>
  <c r="G1909" i="9"/>
  <c r="G1873" i="9"/>
  <c r="G8" i="9"/>
  <c r="G114" i="9"/>
  <c r="G202" i="9"/>
  <c r="G1570" i="9"/>
  <c r="G1558" i="9"/>
  <c r="G1546" i="9"/>
  <c r="G1633" i="9"/>
  <c r="G1478" i="9"/>
  <c r="G1465" i="9"/>
  <c r="G2352" i="9"/>
  <c r="G2328" i="9"/>
  <c r="G2208" i="9"/>
  <c r="G2196" i="9"/>
  <c r="G2136" i="9"/>
  <c r="G2064" i="9"/>
  <c r="G2052" i="9"/>
  <c r="G2040" i="9"/>
  <c r="G2028" i="9"/>
  <c r="G2004" i="9"/>
  <c r="G1980" i="9"/>
  <c r="G1896" i="9"/>
  <c r="G1800" i="9"/>
  <c r="G1752" i="9"/>
  <c r="G1716" i="9"/>
  <c r="G1500" i="9"/>
  <c r="G468" i="9"/>
  <c r="G1259" i="9"/>
  <c r="G1151" i="9"/>
  <c r="G1007" i="9"/>
  <c r="G959" i="9"/>
  <c r="G863" i="9"/>
  <c r="G431" i="9"/>
  <c r="G407" i="9"/>
  <c r="G311" i="9"/>
  <c r="G2333" i="9"/>
  <c r="G2237" i="9"/>
  <c r="G2093" i="9"/>
  <c r="G2009" i="9"/>
  <c r="G2259" i="9"/>
  <c r="G1923" i="9"/>
  <c r="G1827" i="9"/>
  <c r="G1719" i="9"/>
  <c r="G1383" i="9"/>
  <c r="G1203" i="9"/>
  <c r="G1095" i="9"/>
  <c r="G1035" i="9"/>
  <c r="G975" i="9"/>
  <c r="G819" i="9"/>
  <c r="G1895" i="9"/>
  <c r="G1883" i="9"/>
  <c r="G1164" i="9"/>
  <c r="G1128" i="9"/>
  <c r="G587" i="9"/>
  <c r="G465" i="9"/>
  <c r="G738" i="9"/>
  <c r="G1407" i="9"/>
  <c r="G1833" i="9"/>
  <c r="G2256" i="9"/>
  <c r="G1189" i="9"/>
  <c r="G1860" i="9"/>
  <c r="G1848" i="9"/>
  <c r="G1788" i="9"/>
  <c r="G1764" i="9"/>
  <c r="G1692" i="9"/>
  <c r="G861" i="9"/>
  <c r="G1537" i="9"/>
  <c r="G1739" i="9"/>
  <c r="G1643" i="9"/>
  <c r="G246" i="9"/>
  <c r="G1550" i="9"/>
  <c r="G450" i="9"/>
  <c r="G1226" i="9"/>
  <c r="G1118" i="9"/>
  <c r="G974" i="9"/>
  <c r="G914" i="9"/>
  <c r="G842" i="9"/>
  <c r="G1548" i="9"/>
  <c r="G1536" i="9"/>
  <c r="G1464" i="9"/>
  <c r="G1428" i="9"/>
  <c r="G1320" i="9"/>
  <c r="G1104" i="9"/>
  <c r="G1044" i="9"/>
  <c r="G1547" i="9"/>
  <c r="G1270" i="9"/>
  <c r="G1006" i="9"/>
  <c r="G946" i="9"/>
  <c r="G790" i="9"/>
  <c r="G658" i="9"/>
  <c r="G142" i="9"/>
  <c r="G1701" i="9"/>
  <c r="G1353" i="9"/>
  <c r="G1149" i="9"/>
  <c r="G1101" i="9"/>
  <c r="G1077" i="9"/>
  <c r="G777" i="9"/>
  <c r="G741" i="9"/>
  <c r="G729" i="9"/>
  <c r="G717" i="9"/>
  <c r="G573" i="9"/>
  <c r="G489" i="9"/>
  <c r="G894" i="9"/>
  <c r="G174" i="9"/>
  <c r="G102" i="9"/>
  <c r="G1082" i="9"/>
  <c r="G806" i="9"/>
  <c r="G650" i="9"/>
  <c r="G578" i="9"/>
  <c r="G374" i="9"/>
  <c r="G110" i="9"/>
  <c r="G86" i="9"/>
  <c r="G26" i="9"/>
  <c r="G925" i="9"/>
  <c r="G889" i="9"/>
  <c r="G1572" i="9"/>
  <c r="G1440" i="9"/>
  <c r="G1416" i="9"/>
  <c r="G1380" i="9"/>
  <c r="G1296" i="9"/>
  <c r="G1113" i="9"/>
  <c r="G1017" i="9"/>
  <c r="G909" i="9"/>
  <c r="G693" i="9"/>
  <c r="G681" i="9"/>
  <c r="G561" i="9"/>
  <c r="G393" i="9"/>
  <c r="G333" i="9"/>
  <c r="G105" i="9"/>
  <c r="G93" i="9"/>
  <c r="G1580" i="9"/>
  <c r="G1460" i="9"/>
  <c r="G1304" i="9"/>
  <c r="G1268" i="9"/>
  <c r="G1100" i="9"/>
  <c r="G1040" i="9"/>
  <c r="G956" i="9"/>
  <c r="G860" i="9"/>
  <c r="G692" i="9"/>
  <c r="G620" i="9"/>
  <c r="G608" i="9"/>
  <c r="G584" i="9"/>
  <c r="G1262" i="9"/>
  <c r="G1250" i="9"/>
  <c r="G1238" i="9"/>
  <c r="G1382" i="9"/>
  <c r="G1370" i="9"/>
  <c r="G1322" i="9"/>
  <c r="G1286" i="9"/>
  <c r="G2148" i="9"/>
  <c r="G2088" i="9"/>
  <c r="G666" i="9"/>
  <c r="G690" i="9"/>
  <c r="G326" i="9"/>
  <c r="G302" i="9"/>
  <c r="G266" i="9"/>
  <c r="G194" i="9"/>
  <c r="G170" i="9"/>
  <c r="G12" i="9"/>
  <c r="G249" i="9"/>
  <c r="G117" i="9"/>
  <c r="G45" i="9"/>
  <c r="G882" i="9"/>
  <c r="G1202" i="9"/>
  <c r="G1190" i="9"/>
  <c r="G818" i="9"/>
  <c r="G722" i="9"/>
  <c r="G638" i="9"/>
  <c r="G602" i="9"/>
  <c r="G182" i="9"/>
  <c r="G146" i="9"/>
  <c r="G98" i="9"/>
  <c r="G14" i="9"/>
  <c r="G1214" i="9"/>
  <c r="G277" i="9"/>
  <c r="G168" i="9"/>
  <c r="G96" i="9"/>
  <c r="G2075" i="9"/>
  <c r="G263" i="9"/>
  <c r="G191" i="9"/>
  <c r="G320" i="9"/>
  <c r="G270" i="9"/>
  <c r="G1022" i="9"/>
  <c r="G866" i="9"/>
  <c r="G830" i="9"/>
  <c r="G758" i="9"/>
  <c r="G662" i="9"/>
  <c r="G614" i="9"/>
  <c r="G786" i="9"/>
  <c r="G510" i="9"/>
  <c r="G1194" i="9"/>
  <c r="G678" i="9"/>
  <c r="G558" i="9"/>
  <c r="G954" i="9"/>
  <c r="G6" i="9"/>
  <c r="G870" i="9"/>
  <c r="G150" i="9"/>
  <c r="G66" i="9"/>
  <c r="G354" i="9"/>
  <c r="G342" i="9"/>
  <c r="G1038" i="9"/>
  <c r="G1453" i="9"/>
  <c r="G1345" i="9"/>
  <c r="G1129" i="9"/>
  <c r="G1033" i="9"/>
  <c r="G913" i="9"/>
  <c r="G505" i="9"/>
  <c r="G445" i="9"/>
  <c r="G433" i="9"/>
  <c r="G205" i="9"/>
  <c r="G97" i="9"/>
  <c r="G73" i="9"/>
  <c r="G37" i="9"/>
  <c r="G1284" i="9"/>
  <c r="G1068" i="9"/>
  <c r="G1056" i="9"/>
  <c r="G1032" i="9"/>
  <c r="G876" i="9"/>
  <c r="G828" i="9"/>
  <c r="G804" i="9"/>
  <c r="G732" i="9"/>
  <c r="G180" i="9"/>
  <c r="G36" i="9"/>
  <c r="G243" i="9"/>
  <c r="G1907" i="9"/>
  <c r="G1859" i="9"/>
  <c r="G1823" i="9"/>
  <c r="G1775" i="9"/>
  <c r="G1631" i="9"/>
  <c r="G1307" i="9"/>
  <c r="G1163" i="9"/>
  <c r="G35" i="9"/>
  <c r="G54" i="9"/>
  <c r="G546" i="9"/>
  <c r="G140" i="9"/>
  <c r="G222" i="9"/>
  <c r="G906" i="9"/>
  <c r="G570" i="9"/>
  <c r="G126" i="9"/>
  <c r="G18" i="9"/>
  <c r="G522" i="9"/>
  <c r="G258" i="9"/>
  <c r="B38" i="3"/>
  <c r="B15" i="3"/>
  <c r="G1285" i="9"/>
  <c r="G1213" i="9"/>
  <c r="G805" i="9"/>
  <c r="G769" i="9"/>
  <c r="G757" i="9"/>
  <c r="G745" i="9"/>
  <c r="G709" i="9"/>
  <c r="G697" i="9"/>
  <c r="G685" i="9"/>
  <c r="G637" i="9"/>
  <c r="G601" i="9"/>
  <c r="G553" i="9"/>
  <c r="G541" i="9"/>
  <c r="G409" i="9"/>
  <c r="G385" i="9"/>
  <c r="G361" i="9"/>
  <c r="G349" i="9"/>
  <c r="G325" i="9"/>
  <c r="G313" i="9"/>
  <c r="G265" i="9"/>
  <c r="G229" i="9"/>
  <c r="G181" i="9"/>
  <c r="G157" i="9"/>
  <c r="G145" i="9"/>
  <c r="G109" i="9"/>
  <c r="G85" i="9"/>
  <c r="G13" i="9"/>
  <c r="G810" i="9"/>
  <c r="G438" i="9"/>
  <c r="B45" i="3"/>
  <c r="G162" i="9"/>
  <c r="G1299" i="9"/>
  <c r="G186" i="9"/>
  <c r="G138" i="9"/>
  <c r="G702" i="9"/>
  <c r="G834" i="9"/>
  <c r="G234" i="9"/>
  <c r="G1728" i="9"/>
  <c r="G1476" i="9"/>
  <c r="G1392" i="9"/>
  <c r="G1308" i="9"/>
  <c r="G1176" i="9"/>
  <c r="G1140" i="9"/>
  <c r="G996" i="9"/>
  <c r="G972" i="9"/>
  <c r="G936" i="9"/>
  <c r="G924" i="9"/>
  <c r="G900" i="9"/>
  <c r="G888" i="9"/>
  <c r="G864" i="9"/>
  <c r="G840" i="9"/>
  <c r="G792" i="9"/>
  <c r="G744" i="9"/>
  <c r="G684" i="9"/>
  <c r="G648" i="9"/>
  <c r="G600" i="9"/>
  <c r="G588" i="9"/>
  <c r="G540" i="9"/>
  <c r="G480" i="9"/>
  <c r="G432" i="9"/>
  <c r="G420" i="9"/>
  <c r="G408" i="9"/>
  <c r="G312" i="9"/>
  <c r="G300" i="9"/>
  <c r="G288" i="9"/>
  <c r="G276" i="9"/>
  <c r="G264" i="9"/>
  <c r="G240" i="9"/>
  <c r="G204" i="9"/>
  <c r="G156" i="9"/>
  <c r="G60" i="9"/>
  <c r="G48" i="9"/>
  <c r="G714" i="9"/>
  <c r="G594" i="9"/>
  <c r="G282" i="9"/>
  <c r="G642" i="9"/>
  <c r="G858" i="9"/>
  <c r="G762" i="9"/>
  <c r="G1943" i="9"/>
  <c r="G1799" i="9"/>
  <c r="G1679" i="9"/>
  <c r="G1523" i="9"/>
  <c r="G1511" i="9"/>
  <c r="G1463" i="9"/>
  <c r="G1367" i="9"/>
  <c r="G1247" i="9"/>
  <c r="G1211" i="9"/>
  <c r="G1199" i="9"/>
  <c r="G1187" i="9"/>
  <c r="G1175" i="9"/>
  <c r="G1115" i="9"/>
  <c r="G1079" i="9"/>
  <c r="G1067" i="9"/>
  <c r="G1043" i="9"/>
  <c r="G839" i="9"/>
  <c r="G755" i="9"/>
  <c r="G743" i="9"/>
  <c r="G671" i="9"/>
  <c r="G611" i="9"/>
  <c r="G599" i="9"/>
  <c r="G551" i="9"/>
  <c r="G419" i="9"/>
  <c r="G335" i="9"/>
  <c r="G942" i="9"/>
  <c r="G750" i="9"/>
  <c r="G930" i="9"/>
  <c r="G318" i="9"/>
  <c r="G42" i="9"/>
  <c r="G426" i="9"/>
  <c r="G414" i="9"/>
  <c r="B9" i="3"/>
  <c r="G1378" i="9"/>
  <c r="G1186" i="9"/>
  <c r="G850" i="9"/>
  <c r="G778" i="9"/>
  <c r="G718" i="9"/>
  <c r="G622" i="9"/>
  <c r="G574" i="9"/>
  <c r="G370" i="9"/>
  <c r="G322" i="9"/>
  <c r="G310" i="9"/>
  <c r="G214" i="9"/>
  <c r="G190" i="9"/>
  <c r="G70" i="9"/>
  <c r="G46" i="9"/>
  <c r="G10" i="9"/>
  <c r="G726" i="9"/>
  <c r="G212" i="9"/>
  <c r="G474" i="9"/>
  <c r="G378" i="9"/>
  <c r="G210" i="9"/>
  <c r="G534" i="9"/>
  <c r="G30" i="9"/>
  <c r="B10" i="3"/>
  <c r="G188" i="9"/>
  <c r="G44" i="9"/>
  <c r="G798" i="9"/>
  <c r="G198" i="9"/>
  <c r="G606" i="9"/>
  <c r="B5" i="3"/>
  <c r="G2167" i="9"/>
  <c r="G2119" i="9"/>
  <c r="G1999" i="9"/>
  <c r="G1987" i="9"/>
  <c r="G1639" i="9"/>
  <c r="G1543" i="9"/>
  <c r="G1531" i="9"/>
  <c r="G1303" i="9"/>
  <c r="G1291" i="9"/>
  <c r="G1207" i="9"/>
  <c r="G823" i="9"/>
  <c r="G787" i="9"/>
  <c r="G607" i="9"/>
  <c r="G475" i="9"/>
  <c r="G463" i="9"/>
  <c r="G451" i="9"/>
  <c r="G151" i="9"/>
  <c r="G127" i="9"/>
  <c r="B27" i="3"/>
  <c r="G2189" i="9"/>
  <c r="G1745" i="9"/>
  <c r="G1685" i="9"/>
  <c r="G1397" i="9"/>
  <c r="G1181" i="9"/>
  <c r="G629" i="9"/>
  <c r="B21" i="3"/>
  <c r="G2284" i="9"/>
  <c r="G2224" i="9"/>
  <c r="G2200" i="9"/>
  <c r="G1948" i="9"/>
  <c r="G1756" i="9"/>
  <c r="G1684" i="9"/>
  <c r="G1648" i="9"/>
  <c r="G1324" i="9"/>
  <c r="G1312" i="9"/>
  <c r="G1192" i="9"/>
  <c r="G1084" i="9"/>
  <c r="G1000" i="9"/>
  <c r="G880" i="9"/>
  <c r="G688" i="9"/>
  <c r="G664" i="9"/>
  <c r="G472" i="9"/>
  <c r="G424" i="9"/>
  <c r="G2153" i="9"/>
  <c r="G2151" i="9"/>
  <c r="G1899" i="9"/>
  <c r="G1731" i="9"/>
  <c r="G1707" i="9"/>
  <c r="G1635" i="9"/>
  <c r="G1419" i="9"/>
  <c r="G1323" i="9"/>
  <c r="G999" i="9"/>
  <c r="G843" i="9"/>
  <c r="G699" i="9"/>
  <c r="G495" i="9"/>
  <c r="G411" i="9"/>
  <c r="G339" i="9"/>
  <c r="G207" i="9"/>
  <c r="G2197" i="9"/>
  <c r="G877" i="9"/>
  <c r="G253" i="9"/>
  <c r="B14" i="3"/>
  <c r="G1332" i="9"/>
  <c r="G1152" i="9"/>
  <c r="G960" i="9"/>
  <c r="G708" i="9"/>
  <c r="G516" i="9"/>
  <c r="G396" i="9"/>
  <c r="G228" i="9"/>
  <c r="G24" i="9"/>
  <c r="B42" i="3"/>
  <c r="B33" i="3"/>
  <c r="B17" i="3"/>
  <c r="G2183" i="9"/>
  <c r="G1607" i="9"/>
  <c r="G2254" i="9"/>
  <c r="G1918" i="9"/>
  <c r="G1666" i="9"/>
  <c r="G1498" i="9"/>
  <c r="G1282" i="9"/>
  <c r="G1222" i="9"/>
  <c r="G1162" i="9"/>
  <c r="G94" i="9"/>
  <c r="G1941" i="9"/>
  <c r="G1641" i="9"/>
  <c r="G825" i="9"/>
  <c r="G669" i="9"/>
  <c r="G453" i="9"/>
  <c r="G2100" i="9"/>
  <c r="G1956" i="9"/>
  <c r="G1632" i="9"/>
  <c r="G1584" i="9"/>
  <c r="G1524" i="9"/>
  <c r="G984" i="9"/>
  <c r="G504" i="9"/>
  <c r="G444" i="9"/>
  <c r="G384" i="9"/>
  <c r="B50" i="3"/>
  <c r="B44" i="3"/>
  <c r="B32" i="3"/>
  <c r="G1283" i="9"/>
  <c r="G2122" i="9"/>
  <c r="G1966" i="9"/>
  <c r="G1630" i="9"/>
  <c r="G1486" i="9"/>
  <c r="G1294" i="9"/>
  <c r="G1234" i="9"/>
  <c r="G886" i="9"/>
  <c r="G526" i="9"/>
  <c r="G382" i="9"/>
  <c r="G286" i="9"/>
  <c r="G130" i="9"/>
  <c r="G2193" i="9"/>
  <c r="G1929" i="9"/>
  <c r="G1737" i="9"/>
  <c r="G1509" i="9"/>
  <c r="G1233" i="9"/>
  <c r="G609" i="9"/>
  <c r="G2005" i="9"/>
  <c r="G1261" i="9"/>
  <c r="G1105" i="9"/>
  <c r="G613" i="9"/>
  <c r="G2220" i="9"/>
  <c r="G1080" i="9"/>
  <c r="G1020" i="9"/>
  <c r="G816" i="9"/>
  <c r="G696" i="9"/>
  <c r="G636" i="9"/>
  <c r="G528" i="9"/>
  <c r="G348" i="9"/>
  <c r="G192" i="9"/>
  <c r="G144" i="9"/>
  <c r="G84" i="9"/>
  <c r="B47" i="3"/>
  <c r="B39" i="3"/>
  <c r="G158" i="9"/>
  <c r="G2243" i="9"/>
  <c r="G2003" i="9"/>
  <c r="G1835" i="9"/>
  <c r="G1439" i="9"/>
  <c r="G647" i="9"/>
  <c r="G1726" i="9"/>
  <c r="G118" i="9"/>
  <c r="G2085" i="9"/>
  <c r="G1761" i="9"/>
  <c r="G1197" i="9"/>
  <c r="G297" i="9"/>
  <c r="G1050" i="9"/>
  <c r="G990" i="9"/>
  <c r="G1904" i="9"/>
  <c r="G2335" i="9"/>
  <c r="G2239" i="9"/>
  <c r="G1399" i="9"/>
  <c r="G1051" i="9"/>
  <c r="G979" i="9"/>
  <c r="G931" i="9"/>
  <c r="G379" i="9"/>
  <c r="G367" i="9"/>
  <c r="G247" i="9"/>
  <c r="G163" i="9"/>
  <c r="G67" i="9"/>
  <c r="G2298" i="9"/>
  <c r="G2094" i="9"/>
  <c r="G2082" i="9"/>
  <c r="G2034" i="9"/>
  <c r="G2022" i="9"/>
  <c r="G1986" i="9"/>
  <c r="G1938" i="9"/>
  <c r="G1926" i="9"/>
  <c r="G1782" i="9"/>
  <c r="G1758" i="9"/>
  <c r="G1410" i="9"/>
  <c r="G1386" i="9"/>
  <c r="G1290" i="9"/>
  <c r="G1278" i="9"/>
  <c r="G2221" i="9"/>
  <c r="B12" i="3"/>
  <c r="G1488" i="9"/>
  <c r="G1356" i="9"/>
  <c r="G1236" i="9"/>
  <c r="G1116" i="9"/>
  <c r="G852" i="9"/>
  <c r="G672" i="9"/>
  <c r="G2039" i="9"/>
  <c r="G1427" i="9"/>
  <c r="G1235" i="9"/>
  <c r="G803" i="9"/>
  <c r="G1930" i="9"/>
  <c r="G1858" i="9"/>
  <c r="G1522" i="9"/>
  <c r="G1054" i="9"/>
  <c r="G670" i="9"/>
  <c r="G514" i="9"/>
  <c r="G346" i="9"/>
  <c r="G2301" i="9"/>
  <c r="G2229" i="9"/>
  <c r="G1749" i="9"/>
  <c r="G369" i="9"/>
  <c r="G309" i="9"/>
  <c r="G225" i="9"/>
  <c r="G69" i="9"/>
  <c r="G618" i="9"/>
  <c r="G1807" i="9"/>
  <c r="G2321" i="9"/>
  <c r="G2285" i="9"/>
  <c r="G2225" i="9"/>
  <c r="G2117" i="9"/>
  <c r="G1985" i="9"/>
  <c r="G1757" i="9"/>
  <c r="G1733" i="9"/>
  <c r="G1697" i="9"/>
  <c r="G1637" i="9"/>
  <c r="G1613" i="9"/>
  <c r="G1589" i="9"/>
  <c r="G1553" i="9"/>
  <c r="G1457" i="9"/>
  <c r="G1445" i="9"/>
  <c r="G1289" i="9"/>
  <c r="G1169" i="9"/>
  <c r="G1097" i="9"/>
  <c r="G1025" i="9"/>
  <c r="G1013" i="9"/>
  <c r="G965" i="9"/>
  <c r="G905" i="9"/>
  <c r="G821" i="9"/>
  <c r="G797" i="9"/>
  <c r="G761" i="9"/>
  <c r="G641" i="9"/>
  <c r="G605" i="9"/>
  <c r="G581" i="9"/>
  <c r="G461" i="9"/>
  <c r="G437" i="9"/>
  <c r="G425" i="9"/>
  <c r="G341" i="9"/>
  <c r="G245" i="9"/>
  <c r="G1957" i="9"/>
  <c r="G1321" i="9"/>
  <c r="G1249" i="9"/>
  <c r="G1057" i="9"/>
  <c r="B8" i="3"/>
  <c r="G2112" i="9"/>
  <c r="G1836" i="9"/>
  <c r="G2063" i="9"/>
  <c r="G1667" i="9"/>
  <c r="G2290" i="9"/>
  <c r="G1402" i="9"/>
  <c r="G1366" i="9"/>
  <c r="G1150" i="9"/>
  <c r="G646" i="9"/>
  <c r="G454" i="9"/>
  <c r="G106" i="9"/>
  <c r="G486" i="9"/>
  <c r="G2109" i="9"/>
  <c r="G1689" i="9"/>
  <c r="G1473" i="9"/>
  <c r="G1377" i="9"/>
  <c r="G1173" i="9"/>
  <c r="G1005" i="9"/>
  <c r="G621" i="9"/>
  <c r="G2024" i="9"/>
  <c r="G2347" i="9"/>
  <c r="G2177" i="9"/>
  <c r="G2165" i="9"/>
  <c r="G2188" i="9"/>
  <c r="G2176" i="9"/>
  <c r="G2152" i="9"/>
  <c r="G2128" i="9"/>
  <c r="G1984" i="9"/>
  <c r="G1852" i="9"/>
  <c r="G1828" i="9"/>
  <c r="G1792" i="9"/>
  <c r="G1780" i="9"/>
  <c r="G1732" i="9"/>
  <c r="G1492" i="9"/>
  <c r="G1456" i="9"/>
  <c r="G1420" i="9"/>
  <c r="G1360" i="9"/>
  <c r="G1288" i="9"/>
  <c r="G1180" i="9"/>
  <c r="G1108" i="9"/>
  <c r="G1072" i="9"/>
  <c r="G1060" i="9"/>
  <c r="G1012" i="9"/>
  <c r="G700" i="9"/>
  <c r="G448" i="9"/>
  <c r="G256" i="9"/>
  <c r="G244" i="9"/>
  <c r="G232" i="9"/>
  <c r="G184" i="9"/>
  <c r="G136" i="9"/>
  <c r="G76" i="9"/>
  <c r="G64" i="9"/>
  <c r="G2160" i="9"/>
  <c r="G1944" i="9"/>
  <c r="G1872" i="9"/>
  <c r="G1656" i="9"/>
  <c r="G1596" i="9"/>
  <c r="G1368" i="9"/>
  <c r="G660" i="9"/>
  <c r="G360" i="9"/>
  <c r="B49" i="3"/>
  <c r="B41" i="3"/>
  <c r="B26" i="3"/>
  <c r="B16" i="3"/>
  <c r="G2027" i="9"/>
  <c r="G1703" i="9"/>
  <c r="G1499" i="9"/>
  <c r="G1403" i="9"/>
  <c r="G1690" i="9"/>
  <c r="G1510" i="9"/>
  <c r="G1450" i="9"/>
  <c r="G1330" i="9"/>
  <c r="G874" i="9"/>
  <c r="G706" i="9"/>
  <c r="G610" i="9"/>
  <c r="G2349" i="9"/>
  <c r="G2241" i="9"/>
  <c r="G1953" i="9"/>
  <c r="G1569" i="9"/>
  <c r="G1161" i="9"/>
  <c r="G2319" i="9"/>
  <c r="G2283" i="9"/>
  <c r="G2223" i="9"/>
  <c r="G2211" i="9"/>
  <c r="G2199" i="9"/>
  <c r="G2187" i="9"/>
  <c r="G2007" i="9"/>
  <c r="G1851" i="9"/>
  <c r="G1767" i="9"/>
  <c r="G1599" i="9"/>
  <c r="G1215" i="9"/>
  <c r="G1011" i="9"/>
  <c r="G831" i="9"/>
  <c r="G735" i="9"/>
  <c r="G687" i="9"/>
  <c r="G603" i="9"/>
  <c r="G591" i="9"/>
  <c r="G459" i="9"/>
  <c r="G363" i="9"/>
  <c r="G351" i="9"/>
  <c r="B31" i="3"/>
  <c r="B28" i="3"/>
  <c r="B25" i="3"/>
  <c r="B23" i="3"/>
  <c r="B18" i="3"/>
  <c r="B11" i="3"/>
  <c r="B6" i="3"/>
  <c r="G2159" i="9"/>
  <c r="B37" i="3"/>
  <c r="B30" i="3"/>
  <c r="B24" i="3"/>
  <c r="B22" i="3"/>
  <c r="B20" i="3"/>
  <c r="B19" i="3"/>
  <c r="B13" i="3"/>
  <c r="F7" i="3"/>
  <c r="B36" i="3"/>
  <c r="B46" i="3"/>
  <c r="B35" i="3"/>
  <c r="G2339" i="9"/>
  <c r="B43" i="3"/>
  <c r="B29" i="3"/>
  <c r="B48" i="3"/>
  <c r="B34" i="3"/>
  <c r="G1010" i="9"/>
  <c r="G794" i="9"/>
  <c r="G782" i="9"/>
  <c r="G626" i="9"/>
  <c r="G566" i="9"/>
  <c r="G494" i="9"/>
  <c r="G482" i="9"/>
  <c r="G410" i="9"/>
  <c r="G362" i="9"/>
  <c r="G314" i="9"/>
  <c r="G290" i="9"/>
  <c r="G278" i="9"/>
  <c r="G218" i="9"/>
  <c r="G206" i="9"/>
  <c r="G122" i="9"/>
  <c r="G74" i="9"/>
  <c r="G62" i="9"/>
  <c r="G38" i="9"/>
  <c r="G193" i="9"/>
  <c r="G61" i="9"/>
  <c r="G1487" i="9"/>
  <c r="G1415" i="9"/>
  <c r="G1391" i="9"/>
  <c r="G1331" i="9"/>
  <c r="G1271" i="9"/>
  <c r="G1127" i="9"/>
  <c r="G1103" i="9"/>
  <c r="G1055" i="9"/>
  <c r="G983" i="9"/>
  <c r="G935" i="9"/>
  <c r="G911" i="9"/>
  <c r="G887" i="9"/>
  <c r="G815" i="9"/>
  <c r="G791" i="9"/>
  <c r="G779" i="9"/>
  <c r="G731" i="9"/>
  <c r="G707" i="9"/>
  <c r="G695" i="9"/>
  <c r="G659" i="9"/>
  <c r="G623" i="9"/>
  <c r="G539" i="9"/>
  <c r="G527" i="9"/>
  <c r="G515" i="9"/>
  <c r="G503" i="9"/>
  <c r="G491" i="9"/>
  <c r="G479" i="9"/>
  <c r="G443" i="9"/>
  <c r="G383" i="9"/>
  <c r="G371" i="9"/>
  <c r="G359" i="9"/>
  <c r="G347" i="9"/>
  <c r="G323" i="9"/>
  <c r="G275" i="9"/>
  <c r="G251" i="9"/>
  <c r="G239" i="9"/>
  <c r="G203" i="9"/>
  <c r="G179" i="9"/>
  <c r="G167" i="9"/>
  <c r="G155" i="9"/>
  <c r="G119" i="9"/>
  <c r="G59" i="9"/>
  <c r="G47" i="9"/>
  <c r="G23" i="9"/>
  <c r="G11" i="9"/>
  <c r="G1655" i="9"/>
  <c r="G2302" i="9"/>
  <c r="G1990" i="9"/>
  <c r="G1426" i="9"/>
  <c r="G898" i="9"/>
  <c r="G634" i="9"/>
  <c r="G2217" i="9"/>
  <c r="G1977" i="9"/>
  <c r="G1461" i="9"/>
  <c r="G1389" i="9"/>
  <c r="G1053" i="9"/>
  <c r="G981" i="9"/>
  <c r="G549" i="9"/>
  <c r="G525" i="9"/>
  <c r="G429" i="9"/>
  <c r="G285" i="9"/>
  <c r="G165" i="9"/>
  <c r="G141" i="9"/>
  <c r="G2300" i="9"/>
  <c r="G2264" i="9"/>
  <c r="G2252" i="9"/>
  <c r="G2228" i="9"/>
  <c r="G2216" i="9"/>
  <c r="G2204" i="9"/>
  <c r="G2156" i="9"/>
  <c r="G2144" i="9"/>
  <c r="G2108" i="9"/>
  <c r="G2096" i="9"/>
  <c r="G2060" i="9"/>
  <c r="G2012" i="9"/>
  <c r="G2000" i="9"/>
  <c r="G1964" i="9"/>
  <c r="G1952" i="9"/>
  <c r="G1928" i="9"/>
  <c r="G1844" i="9"/>
  <c r="G1796" i="9"/>
  <c r="G1784" i="9"/>
  <c r="G1772" i="9"/>
  <c r="G1760" i="9"/>
  <c r="G1748" i="9"/>
  <c r="G1736" i="9"/>
  <c r="G1724" i="9"/>
  <c r="G1700" i="9"/>
  <c r="G1652" i="9"/>
  <c r="G1640" i="9"/>
  <c r="G1628" i="9"/>
  <c r="G1616" i="9"/>
  <c r="G1568" i="9"/>
  <c r="G1556" i="9"/>
  <c r="G1520" i="9"/>
  <c r="G1484" i="9"/>
  <c r="G1472" i="9"/>
  <c r="G1448" i="9"/>
  <c r="G1436" i="9"/>
  <c r="G1412" i="9"/>
  <c r="G1388" i="9"/>
  <c r="G1376" i="9"/>
  <c r="G1364" i="9"/>
  <c r="G1316" i="9"/>
  <c r="G1292" i="9"/>
  <c r="G1256" i="9"/>
  <c r="G2051" i="9"/>
  <c r="G1991" i="9"/>
  <c r="G1138" i="9"/>
  <c r="G982" i="9"/>
  <c r="G562" i="9"/>
  <c r="B40" i="3"/>
  <c r="G2337" i="9"/>
  <c r="G1905" i="9"/>
  <c r="G1845" i="9"/>
  <c r="G1809" i="9"/>
  <c r="G1581" i="9"/>
  <c r="G1317" i="9"/>
  <c r="G1269" i="9"/>
  <c r="G1209" i="9"/>
  <c r="G1185" i="9"/>
  <c r="G1041" i="9"/>
  <c r="G993" i="9"/>
  <c r="G813" i="9"/>
  <c r="G657" i="9"/>
  <c r="G597" i="9"/>
  <c r="G537" i="9"/>
  <c r="G513" i="9"/>
  <c r="G441" i="9"/>
  <c r="G417" i="9"/>
  <c r="G381" i="9"/>
  <c r="G357" i="9"/>
  <c r="G273" i="9"/>
  <c r="G237" i="9"/>
  <c r="G213" i="9"/>
  <c r="G201" i="9"/>
  <c r="G177" i="9"/>
  <c r="G57" i="9"/>
  <c r="G2348" i="9"/>
  <c r="G2312" i="9"/>
  <c r="G2288" i="9"/>
  <c r="G2276" i="9"/>
  <c r="G2263" i="9"/>
  <c r="G2107" i="9"/>
  <c r="G2083" i="9"/>
  <c r="G2035" i="9"/>
  <c r="G2023" i="9"/>
  <c r="G1975" i="9"/>
  <c r="G1951" i="9"/>
  <c r="G1939" i="9"/>
  <c r="G1915" i="9"/>
  <c r="G1867" i="9"/>
  <c r="G1795" i="9"/>
  <c r="G1783" i="9"/>
  <c r="G1771" i="9"/>
  <c r="G1759" i="9"/>
  <c r="G1747" i="9"/>
  <c r="G1735" i="9"/>
  <c r="G1723" i="9"/>
  <c r="G1699" i="9"/>
  <c r="G1687" i="9"/>
  <c r="G1675" i="9"/>
  <c r="G1663" i="9"/>
  <c r="G1651" i="9"/>
  <c r="G1627" i="9"/>
  <c r="G1615" i="9"/>
  <c r="G1591" i="9"/>
  <c r="G1579" i="9"/>
  <c r="G1567" i="9"/>
  <c r="G1555" i="9"/>
  <c r="G1519" i="9"/>
  <c r="G1507" i="9"/>
  <c r="G1483" i="9"/>
  <c r="G1459" i="9"/>
  <c r="G1447" i="9"/>
  <c r="G1435" i="9"/>
  <c r="G1387" i="9"/>
  <c r="G1375" i="9"/>
  <c r="G1090" i="9"/>
  <c r="G2313" i="9"/>
  <c r="G2205" i="9"/>
  <c r="G2061" i="9"/>
  <c r="G1713" i="9"/>
  <c r="G1497" i="9"/>
  <c r="G2323" i="9"/>
  <c r="G2311" i="9"/>
  <c r="G2299" i="9"/>
  <c r="G2251" i="9"/>
  <c r="G2215" i="9"/>
  <c r="G2191" i="9"/>
  <c r="G2179" i="9"/>
  <c r="G2143" i="9"/>
  <c r="G2095" i="9"/>
  <c r="G2071" i="9"/>
  <c r="G2047" i="9"/>
  <c r="G2011" i="9"/>
  <c r="G1963" i="9"/>
  <c r="G1855" i="9"/>
  <c r="G1819" i="9"/>
  <c r="G1811" i="9"/>
  <c r="G1354" i="9"/>
  <c r="G2097" i="9"/>
  <c r="G1437" i="9"/>
  <c r="G1365" i="9"/>
  <c r="G2345" i="9"/>
  <c r="G2309" i="9"/>
  <c r="G2273" i="9"/>
  <c r="G2261" i="9"/>
  <c r="G2249" i="9"/>
  <c r="G2213" i="9"/>
  <c r="G2141" i="9"/>
  <c r="G2105" i="9"/>
  <c r="G2081" i="9"/>
  <c r="G2069" i="9"/>
  <c r="G2057" i="9"/>
  <c r="G2045" i="9"/>
  <c r="G2033" i="9"/>
  <c r="G2021" i="9"/>
  <c r="G1973" i="9"/>
  <c r="G1937" i="9"/>
  <c r="G1925" i="9"/>
  <c r="G1913" i="9"/>
  <c r="G1901" i="9"/>
  <c r="G1877" i="9"/>
  <c r="G1865" i="9"/>
  <c r="G1841" i="9"/>
  <c r="G1829" i="9"/>
  <c r="G1817" i="9"/>
  <c r="G1805" i="9"/>
  <c r="G1793" i="9"/>
  <c r="G1781" i="9"/>
  <c r="G1769" i="9"/>
  <c r="G1721" i="9"/>
  <c r="G1661" i="9"/>
  <c r="G1625" i="9"/>
  <c r="G1847" i="9"/>
  <c r="G1834" i="9"/>
  <c r="G1414" i="9"/>
  <c r="G754" i="9"/>
  <c r="G538" i="9"/>
  <c r="G478" i="9"/>
  <c r="G2037" i="9"/>
  <c r="G1857" i="9"/>
  <c r="G1785" i="9"/>
  <c r="G1545" i="9"/>
  <c r="G897" i="9"/>
  <c r="G837" i="9"/>
  <c r="G2344" i="9"/>
  <c r="G2332" i="9"/>
  <c r="G2320" i="9"/>
  <c r="G2272" i="9"/>
  <c r="G2260" i="9"/>
  <c r="G2248" i="9"/>
  <c r="G2236" i="9"/>
  <c r="G2212" i="9"/>
  <c r="G2164" i="9"/>
  <c r="G2140" i="9"/>
  <c r="G2116" i="9"/>
  <c r="G2104" i="9"/>
  <c r="G2092" i="9"/>
  <c r="G2080" i="9"/>
  <c r="G2068" i="9"/>
  <c r="G2044" i="9"/>
  <c r="G2032" i="9"/>
  <c r="G2020" i="9"/>
  <c r="G2008" i="9"/>
  <c r="G1996" i="9"/>
  <c r="G1972" i="9"/>
  <c r="G1960" i="9"/>
  <c r="G1936" i="9"/>
  <c r="G1924" i="9"/>
  <c r="G1912" i="9"/>
  <c r="G1900" i="9"/>
  <c r="G1888" i="9"/>
  <c r="G1876" i="9"/>
  <c r="G1864" i="9"/>
  <c r="G1840" i="9"/>
  <c r="G1816" i="9"/>
  <c r="G1768" i="9"/>
  <c r="G1744" i="9"/>
  <c r="G1720" i="9"/>
  <c r="G1696" i="9"/>
  <c r="G1672" i="9"/>
  <c r="G1660" i="9"/>
  <c r="G1624" i="9"/>
  <c r="G1600" i="9"/>
  <c r="G1588" i="9"/>
  <c r="G1564" i="9"/>
  <c r="G1552" i="9"/>
  <c r="G2050" i="9"/>
  <c r="G1942" i="9"/>
  <c r="G1786" i="9"/>
  <c r="G934" i="9"/>
  <c r="L6" i="3"/>
  <c r="G2325" i="9"/>
  <c r="G1881" i="9"/>
  <c r="G1593" i="9"/>
  <c r="G1533" i="9"/>
  <c r="G1485" i="9"/>
  <c r="G1413" i="9"/>
  <c r="G1281" i="9"/>
  <c r="G1221" i="9"/>
  <c r="G933" i="9"/>
  <c r="G801" i="9"/>
  <c r="G2343" i="9"/>
  <c r="G2331" i="9"/>
  <c r="G2307" i="9"/>
  <c r="G2271" i="9"/>
  <c r="G2247" i="9"/>
  <c r="G2175" i="9"/>
  <c r="G2163" i="9"/>
  <c r="G2139" i="9"/>
  <c r="G2127" i="9"/>
  <c r="G2115" i="9"/>
  <c r="G2103" i="9"/>
  <c r="G2091" i="9"/>
  <c r="G2079" i="9"/>
  <c r="G2067" i="9"/>
  <c r="G2043" i="9"/>
  <c r="G2031" i="9"/>
  <c r="G1995" i="9"/>
  <c r="G1983" i="9"/>
  <c r="G1971" i="9"/>
  <c r="G1959" i="9"/>
  <c r="G1947" i="9"/>
  <c r="G1935" i="9"/>
  <c r="G1911" i="9"/>
  <c r="G1863" i="9"/>
  <c r="G1815" i="9"/>
  <c r="G1803" i="9"/>
  <c r="G1791" i="9"/>
  <c r="G1779" i="9"/>
  <c r="G1755" i="9"/>
  <c r="G1743" i="9"/>
  <c r="G1695" i="9"/>
  <c r="G1683" i="9"/>
  <c r="G1671" i="9"/>
  <c r="G1659" i="9"/>
  <c r="G1647" i="9"/>
  <c r="G1623" i="9"/>
  <c r="G1587" i="9"/>
  <c r="G1232" i="9"/>
  <c r="G1220" i="9"/>
  <c r="G1196" i="9"/>
  <c r="G1184" i="9"/>
  <c r="G1148" i="9"/>
  <c r="G1136" i="9"/>
  <c r="G1124" i="9"/>
  <c r="G1112" i="9"/>
  <c r="G1004" i="9"/>
  <c r="G992" i="9"/>
  <c r="G980" i="9"/>
  <c r="G944" i="9"/>
  <c r="G932" i="9"/>
  <c r="G896" i="9"/>
  <c r="G872" i="9"/>
  <c r="G848" i="9"/>
  <c r="G824" i="9"/>
  <c r="G812" i="9"/>
  <c r="G800" i="9"/>
  <c r="G788" i="9"/>
  <c r="G752" i="9"/>
  <c r="G740" i="9"/>
  <c r="G728" i="9"/>
  <c r="G716" i="9"/>
  <c r="G704" i="9"/>
  <c r="G680" i="9"/>
  <c r="G668" i="9"/>
  <c r="G656" i="9"/>
  <c r="G632" i="9"/>
  <c r="G572" i="9"/>
  <c r="G548" i="9"/>
  <c r="G536" i="9"/>
  <c r="G512" i="9"/>
  <c r="G488" i="9"/>
  <c r="G452" i="9"/>
  <c r="G428" i="9"/>
  <c r="G416" i="9"/>
  <c r="G404" i="9"/>
  <c r="G344" i="9"/>
  <c r="G332" i="9"/>
  <c r="G296" i="9"/>
  <c r="G284" i="9"/>
  <c r="G272" i="9"/>
  <c r="G260" i="9"/>
  <c r="G200" i="9"/>
  <c r="G164" i="9"/>
  <c r="G128" i="9"/>
  <c r="G116" i="9"/>
  <c r="G92" i="9"/>
  <c r="G32" i="9"/>
  <c r="G20" i="9"/>
  <c r="G1363" i="9"/>
  <c r="G1351" i="9"/>
  <c r="G1327" i="9"/>
  <c r="G1315" i="9"/>
  <c r="G1279" i="9"/>
  <c r="G1267" i="9"/>
  <c r="G1243" i="9"/>
  <c r="G1231" i="9"/>
  <c r="G1219" i="9"/>
  <c r="G1195" i="9"/>
  <c r="G1171" i="9"/>
  <c r="G1159" i="9"/>
  <c r="G1135" i="9"/>
  <c r="G1111" i="9"/>
  <c r="G1087" i="9"/>
  <c r="G1075" i="9"/>
  <c r="G1039" i="9"/>
  <c r="G1027" i="9"/>
  <c r="G1015" i="9"/>
  <c r="G991" i="9"/>
  <c r="G967" i="9"/>
  <c r="G955" i="9"/>
  <c r="G943" i="9"/>
  <c r="G919" i="9"/>
  <c r="G871" i="9"/>
  <c r="G847" i="9"/>
  <c r="G835" i="9"/>
  <c r="G775" i="9"/>
  <c r="G763" i="9"/>
  <c r="G751" i="9"/>
  <c r="G715" i="9"/>
  <c r="G703" i="9"/>
  <c r="G679" i="9"/>
  <c r="G667" i="9"/>
  <c r="G631" i="9"/>
  <c r="G595" i="9"/>
  <c r="G571" i="9"/>
  <c r="G559" i="9"/>
  <c r="G547" i="9"/>
  <c r="G523" i="9"/>
  <c r="G511" i="9"/>
  <c r="G499" i="9"/>
  <c r="G403" i="9"/>
  <c r="G391" i="9"/>
  <c r="G343" i="9"/>
  <c r="G331" i="9"/>
  <c r="G307" i="9"/>
  <c r="G295" i="9"/>
  <c r="G283" i="9"/>
  <c r="G271" i="9"/>
  <c r="G259" i="9"/>
  <c r="G235" i="9"/>
  <c r="G223" i="9"/>
  <c r="G211" i="9"/>
  <c r="G187" i="9"/>
  <c r="G175" i="9"/>
  <c r="G139" i="9"/>
  <c r="G103" i="9"/>
  <c r="G91" i="9"/>
  <c r="G79" i="9"/>
  <c r="G55" i="9"/>
  <c r="G43" i="9"/>
  <c r="G31" i="9"/>
  <c r="G19" i="9"/>
  <c r="G7" i="9"/>
  <c r="G2322" i="9"/>
  <c r="G2310" i="9"/>
  <c r="G2286" i="9"/>
  <c r="G2274" i="9"/>
  <c r="G2262" i="9"/>
  <c r="G2238" i="9"/>
  <c r="G2226" i="9"/>
  <c r="G2214" i="9"/>
  <c r="G2190" i="9"/>
  <c r="G2178" i="9"/>
  <c r="G2154" i="9"/>
  <c r="G2142" i="9"/>
  <c r="G2130" i="9"/>
  <c r="G2118" i="9"/>
  <c r="G2106" i="9"/>
  <c r="G2058" i="9"/>
  <c r="G1998" i="9"/>
  <c r="G1974" i="9"/>
  <c r="G1950" i="9"/>
  <c r="G1914" i="9"/>
  <c r="G1902" i="9"/>
  <c r="G1890" i="9"/>
  <c r="G1878" i="9"/>
  <c r="G1866" i="9"/>
  <c r="G1854" i="9"/>
  <c r="G1842" i="9"/>
  <c r="G1818" i="9"/>
  <c r="G1806" i="9"/>
  <c r="G1794" i="9"/>
  <c r="G1770" i="9"/>
  <c r="G1746" i="9"/>
  <c r="G1734" i="9"/>
  <c r="G1722" i="9"/>
  <c r="G1710" i="9"/>
  <c r="G1698" i="9"/>
  <c r="G1686" i="9"/>
  <c r="G1674" i="9"/>
  <c r="G1662" i="9"/>
  <c r="G1650" i="9"/>
  <c r="G1614" i="9"/>
  <c r="G1602" i="9"/>
  <c r="G1590" i="9"/>
  <c r="G1578" i="9"/>
  <c r="G1566" i="9"/>
  <c r="G1554" i="9"/>
  <c r="G1542" i="9"/>
  <c r="G1530" i="9"/>
  <c r="G1506" i="9"/>
  <c r="G1458" i="9"/>
  <c r="G1446" i="9"/>
  <c r="G1374" i="9"/>
  <c r="G1350" i="9"/>
  <c r="G1314" i="9"/>
  <c r="G1302" i="9"/>
  <c r="G1242" i="9"/>
  <c r="G1218" i="9"/>
  <c r="G1206" i="9"/>
  <c r="G1182" i="9"/>
  <c r="G1170" i="9"/>
  <c r="G1146" i="9"/>
  <c r="G1134" i="9"/>
  <c r="G1122" i="9"/>
  <c r="G1098" i="9"/>
  <c r="G1002" i="9"/>
  <c r="G1601" i="9"/>
  <c r="G1577" i="9"/>
  <c r="G1541" i="9"/>
  <c r="G1529" i="9"/>
  <c r="G1505" i="9"/>
  <c r="G1481" i="9"/>
  <c r="G1469" i="9"/>
  <c r="G1409" i="9"/>
  <c r="G1385" i="9"/>
  <c r="G1373" i="9"/>
  <c r="G1361" i="9"/>
  <c r="G1337" i="9"/>
  <c r="G1325" i="9"/>
  <c r="G1313" i="9"/>
  <c r="G1301" i="9"/>
  <c r="G1253" i="9"/>
  <c r="G1229" i="9"/>
  <c r="G1205" i="9"/>
  <c r="G1145" i="9"/>
  <c r="G1121" i="9"/>
  <c r="G1109" i="9"/>
  <c r="G1073" i="9"/>
  <c r="G1061" i="9"/>
  <c r="G1049" i="9"/>
  <c r="G1037" i="9"/>
  <c r="G1001" i="9"/>
  <c r="G989" i="9"/>
  <c r="G977" i="9"/>
  <c r="G953" i="9"/>
  <c r="G941" i="9"/>
  <c r="G929" i="9"/>
  <c r="G917" i="9"/>
  <c r="G893" i="9"/>
  <c r="G845" i="9"/>
  <c r="G833" i="9"/>
  <c r="G785" i="9"/>
  <c r="G773" i="9"/>
  <c r="G749" i="9"/>
  <c r="G737" i="9"/>
  <c r="G713" i="9"/>
  <c r="G701" i="9"/>
  <c r="G689" i="9"/>
  <c r="G677" i="9"/>
  <c r="G665" i="9"/>
  <c r="G653" i="9"/>
  <c r="G617" i="9"/>
  <c r="G557" i="9"/>
  <c r="G509" i="9"/>
  <c r="G497" i="9"/>
  <c r="G485" i="9"/>
  <c r="G473" i="9"/>
  <c r="G449" i="9"/>
  <c r="G413" i="9"/>
  <c r="G401" i="9"/>
  <c r="G389" i="9"/>
  <c r="G377" i="9"/>
  <c r="G365" i="9"/>
  <c r="G353" i="9"/>
  <c r="G329" i="9"/>
  <c r="G317" i="9"/>
  <c r="G293" i="9"/>
  <c r="G281" i="9"/>
  <c r="G257" i="9"/>
  <c r="G233" i="9"/>
  <c r="G221" i="9"/>
  <c r="G209" i="9"/>
  <c r="G197" i="9"/>
  <c r="G185" i="9"/>
  <c r="G173" i="9"/>
  <c r="G161" i="9"/>
  <c r="G137" i="9"/>
  <c r="G125" i="9"/>
  <c r="G101" i="9"/>
  <c r="G77" i="9"/>
  <c r="G65" i="9"/>
  <c r="G41" i="9"/>
  <c r="G29" i="9"/>
  <c r="G17" i="9"/>
  <c r="G5" i="9"/>
  <c r="G1540" i="9"/>
  <c r="G1528" i="9"/>
  <c r="G1516" i="9"/>
  <c r="G1480" i="9"/>
  <c r="G1468" i="9"/>
  <c r="G1432" i="9"/>
  <c r="G1408" i="9"/>
  <c r="G1396" i="9"/>
  <c r="G1384" i="9"/>
  <c r="G1372" i="9"/>
  <c r="G1336" i="9"/>
  <c r="G1252" i="9"/>
  <c r="G1240" i="9"/>
  <c r="G1228" i="9"/>
  <c r="G1216" i="9"/>
  <c r="G1204" i="9"/>
  <c r="G1168" i="9"/>
  <c r="G1156" i="9"/>
  <c r="G1144" i="9"/>
  <c r="G1132" i="9"/>
  <c r="G1096" i="9"/>
  <c r="G1048" i="9"/>
  <c r="G1036" i="9"/>
  <c r="G988" i="9"/>
  <c r="G976" i="9"/>
  <c r="G964" i="9"/>
  <c r="G952" i="9"/>
  <c r="G940" i="9"/>
  <c r="G928" i="9"/>
  <c r="G916" i="9"/>
  <c r="G892" i="9"/>
  <c r="G868" i="9"/>
  <c r="G856" i="9"/>
  <c r="G844" i="9"/>
  <c r="G832" i="9"/>
  <c r="G820" i="9"/>
  <c r="G808" i="9"/>
  <c r="G784" i="9"/>
  <c r="G772" i="9"/>
  <c r="G736" i="9"/>
  <c r="G724" i="9"/>
  <c r="G712" i="9"/>
  <c r="G640" i="9"/>
  <c r="G628" i="9"/>
  <c r="G616" i="9"/>
  <c r="G592" i="9"/>
  <c r="G568" i="9"/>
  <c r="G556" i="9"/>
  <c r="G532" i="9"/>
  <c r="G520" i="9"/>
  <c r="G508" i="9"/>
  <c r="G496" i="9"/>
  <c r="G484" i="9"/>
  <c r="G436" i="9"/>
  <c r="G412" i="9"/>
  <c r="G400" i="9"/>
  <c r="G364" i="9"/>
  <c r="G352" i="9"/>
  <c r="G340" i="9"/>
  <c r="G328" i="9"/>
  <c r="G316" i="9"/>
  <c r="G292" i="9"/>
  <c r="G280" i="9"/>
  <c r="G268" i="9"/>
  <c r="G220" i="9"/>
  <c r="G196" i="9"/>
  <c r="G160" i="9"/>
  <c r="G148" i="9"/>
  <c r="G124" i="9"/>
  <c r="G112" i="9"/>
  <c r="G100" i="9"/>
  <c r="G40" i="9"/>
  <c r="G28" i="9"/>
  <c r="G1575" i="9"/>
  <c r="G1563" i="9"/>
  <c r="G1551" i="9"/>
  <c r="G1527" i="9"/>
  <c r="G1515" i="9"/>
  <c r="G1491" i="9"/>
  <c r="G1479" i="9"/>
  <c r="G1467" i="9"/>
  <c r="G1443" i="9"/>
  <c r="G1395" i="9"/>
  <c r="G1371" i="9"/>
  <c r="G1359" i="9"/>
  <c r="G1347" i="9"/>
  <c r="G1311" i="9"/>
  <c r="G1287" i="9"/>
  <c r="G1275" i="9"/>
  <c r="G1263" i="9"/>
  <c r="G1251" i="9"/>
  <c r="G1239" i="9"/>
  <c r="G1227" i="9"/>
  <c r="G1191" i="9"/>
  <c r="G1179" i="9"/>
  <c r="G1167" i="9"/>
  <c r="G1155" i="9"/>
  <c r="G1131" i="9"/>
  <c r="G1119" i="9"/>
  <c r="G1107" i="9"/>
  <c r="G1083" i="9"/>
  <c r="G1071" i="9"/>
  <c r="G1059" i="9"/>
  <c r="G1047" i="9"/>
  <c r="G1023" i="9"/>
  <c r="G963" i="9"/>
  <c r="G939" i="9"/>
  <c r="G927" i="9"/>
  <c r="G915" i="9"/>
  <c r="G903" i="9"/>
  <c r="G879" i="9"/>
  <c r="G867" i="9"/>
  <c r="G855" i="9"/>
  <c r="G807" i="9"/>
  <c r="G795" i="9"/>
  <c r="G759" i="9"/>
  <c r="G723" i="9"/>
  <c r="G711" i="9"/>
  <c r="G675" i="9"/>
  <c r="G663" i="9"/>
  <c r="G651" i="9"/>
  <c r="G639" i="9"/>
  <c r="G627" i="9"/>
  <c r="G579" i="9"/>
  <c r="G567" i="9"/>
  <c r="G555" i="9"/>
  <c r="G543" i="9"/>
  <c r="G531" i="9"/>
  <c r="G519" i="9"/>
  <c r="G507" i="9"/>
  <c r="G483" i="9"/>
  <c r="G447" i="9"/>
  <c r="G435" i="9"/>
  <c r="G423" i="9"/>
  <c r="G399" i="9"/>
  <c r="G387" i="9"/>
  <c r="G375" i="9"/>
  <c r="G327" i="9"/>
  <c r="G315" i="9"/>
  <c r="G303" i="9"/>
  <c r="G291" i="9"/>
  <c r="G279" i="9"/>
  <c r="G267" i="9"/>
  <c r="G255" i="9"/>
  <c r="G231" i="9"/>
  <c r="G219" i="9"/>
  <c r="G195" i="9"/>
  <c r="G171" i="9"/>
  <c r="G159" i="9"/>
  <c r="G123" i="9"/>
  <c r="G111" i="9"/>
  <c r="G99" i="9"/>
  <c r="G75" i="9"/>
  <c r="G63" i="9"/>
  <c r="G51" i="9"/>
  <c r="G39" i="9"/>
  <c r="G15" i="9"/>
  <c r="G3" i="9"/>
  <c r="C10" i="9"/>
  <c r="C15" i="9"/>
  <c r="C21" i="9"/>
  <c r="C27" i="9"/>
  <c r="C33" i="9"/>
  <c r="C40" i="9"/>
  <c r="C47" i="9"/>
  <c r="B53" i="9"/>
  <c r="C59" i="9"/>
  <c r="B65" i="9"/>
  <c r="B85" i="9"/>
  <c r="C92" i="9"/>
  <c r="B98" i="9"/>
  <c r="C104" i="9"/>
  <c r="B111" i="9"/>
  <c r="B125" i="9"/>
  <c r="C131" i="9"/>
  <c r="B137" i="9"/>
  <c r="C144" i="9"/>
  <c r="B182" i="9"/>
  <c r="B221" i="9"/>
  <c r="B227" i="9"/>
  <c r="B234" i="9"/>
  <c r="C240" i="9"/>
  <c r="C246" i="9"/>
  <c r="C252" i="9"/>
  <c r="B289" i="9"/>
  <c r="B295" i="9"/>
  <c r="C308" i="9"/>
  <c r="B188" i="9"/>
  <c r="B195" i="9"/>
  <c r="C202" i="9"/>
  <c r="C208" i="9"/>
  <c r="C214" i="9"/>
  <c r="B301" i="9"/>
  <c r="C6" i="9"/>
  <c r="B72" i="9"/>
  <c r="C119" i="9"/>
  <c r="C151" i="9"/>
  <c r="B157" i="9"/>
  <c r="C164" i="9"/>
  <c r="B170" i="9"/>
  <c r="C176" i="9"/>
  <c r="C189" i="9"/>
  <c r="C196" i="9"/>
  <c r="C203" i="9"/>
  <c r="B209" i="9"/>
  <c r="C259" i="9"/>
  <c r="C265" i="9"/>
  <c r="C271" i="9"/>
  <c r="C277" i="9"/>
  <c r="C283" i="9"/>
  <c r="C302" i="9"/>
  <c r="B78" i="9"/>
  <c r="B150" i="9"/>
  <c r="C156" i="9"/>
  <c r="C169" i="9"/>
  <c r="B264" i="9"/>
  <c r="C270" i="9"/>
  <c r="C276" i="9"/>
  <c r="C282" i="9"/>
  <c r="B16" i="9"/>
  <c r="C22" i="9"/>
  <c r="B28" i="9"/>
  <c r="C48" i="9"/>
  <c r="C54" i="9"/>
  <c r="C60" i="9"/>
  <c r="B66" i="9"/>
  <c r="B80" i="9"/>
  <c r="B86" i="9"/>
  <c r="C93" i="9"/>
  <c r="C99" i="9"/>
  <c r="C105" i="9"/>
  <c r="C112" i="9"/>
  <c r="B126" i="9"/>
  <c r="C132" i="9"/>
  <c r="C138" i="9"/>
  <c r="B145" i="9"/>
  <c r="B183" i="9"/>
  <c r="C216" i="9"/>
  <c r="B222" i="9"/>
  <c r="C228" i="9"/>
  <c r="C235" i="9"/>
  <c r="C241" i="9"/>
  <c r="C247" i="9"/>
  <c r="B253" i="9"/>
  <c r="B290" i="9"/>
  <c r="C296" i="9"/>
  <c r="C309" i="9"/>
  <c r="C316" i="9"/>
  <c r="C175" i="9"/>
  <c r="B11" i="9"/>
  <c r="C35" i="9"/>
  <c r="B42" i="9"/>
  <c r="B73" i="9"/>
  <c r="C120" i="9"/>
  <c r="B152" i="9"/>
  <c r="B158" i="9"/>
  <c r="C165" i="9"/>
  <c r="C171" i="9"/>
  <c r="C177" i="9"/>
  <c r="C204" i="9"/>
  <c r="C210" i="9"/>
  <c r="B260" i="9"/>
  <c r="B266" i="9"/>
  <c r="C272" i="9"/>
  <c r="B278" i="9"/>
  <c r="C284" i="9"/>
  <c r="B303" i="9"/>
  <c r="C71" i="9"/>
  <c r="B321" i="9"/>
  <c r="B17" i="9"/>
  <c r="C23" i="9"/>
  <c r="B29" i="9"/>
  <c r="C49" i="9"/>
  <c r="C55" i="9"/>
  <c r="C61" i="9"/>
  <c r="C67" i="9"/>
  <c r="B81" i="9"/>
  <c r="B87" i="9"/>
  <c r="C94" i="9"/>
  <c r="C100" i="9"/>
  <c r="C127" i="9"/>
  <c r="C133" i="9"/>
  <c r="C139" i="9"/>
  <c r="B191" i="9"/>
  <c r="B198" i="9"/>
  <c r="B217" i="9"/>
  <c r="C223" i="9"/>
  <c r="B236" i="9"/>
  <c r="B242" i="9"/>
  <c r="C248" i="9"/>
  <c r="B254" i="9"/>
  <c r="B291" i="9"/>
  <c r="C297" i="9"/>
  <c r="C310" i="9"/>
  <c r="B317" i="9"/>
  <c r="C36" i="9"/>
  <c r="B8" i="9"/>
  <c r="C12" i="9"/>
  <c r="C18" i="9"/>
  <c r="C24" i="9"/>
  <c r="C30" i="9"/>
  <c r="B44" i="9"/>
  <c r="B50" i="9"/>
  <c r="C56" i="9"/>
  <c r="B62" i="9"/>
  <c r="C68" i="9"/>
  <c r="B75" i="9"/>
  <c r="C82" i="9"/>
  <c r="B88" i="9"/>
  <c r="C95" i="9"/>
  <c r="B101" i="9"/>
  <c r="B128" i="9"/>
  <c r="B134" i="9"/>
  <c r="B140" i="9"/>
  <c r="C192" i="9"/>
  <c r="B218" i="9"/>
  <c r="B224" i="9"/>
  <c r="C237" i="9"/>
  <c r="B243" i="9"/>
  <c r="B249" i="9"/>
  <c r="B255" i="9"/>
  <c r="B292" i="9"/>
  <c r="C298" i="9"/>
  <c r="C311" i="9"/>
  <c r="C318" i="9"/>
  <c r="C3" i="9"/>
  <c r="C205" i="9"/>
  <c r="C304" i="9"/>
  <c r="B37" i="9"/>
  <c r="C108" i="9"/>
  <c r="C148" i="9"/>
  <c r="C154" i="9"/>
  <c r="C160" i="9"/>
  <c r="C167" i="9"/>
  <c r="B173" i="9"/>
  <c r="B186" i="9"/>
  <c r="B200" i="9"/>
  <c r="B206" i="9"/>
  <c r="C212" i="9"/>
  <c r="C262" i="9"/>
  <c r="C268" i="9"/>
  <c r="C274" i="9"/>
  <c r="B280" i="9"/>
  <c r="C286" i="9"/>
  <c r="B305" i="9"/>
  <c r="B147" i="9"/>
  <c r="C153" i="9"/>
  <c r="B159" i="9"/>
  <c r="C166" i="9"/>
  <c r="C172" i="9"/>
  <c r="C178" i="9"/>
  <c r="B185" i="9"/>
  <c r="B230" i="9"/>
  <c r="B261" i="9"/>
  <c r="C267" i="9"/>
  <c r="C273" i="9"/>
  <c r="C279" i="9"/>
  <c r="B285" i="9"/>
  <c r="C13" i="9"/>
  <c r="C19" i="9"/>
  <c r="C25" i="9"/>
  <c r="C31" i="9"/>
  <c r="C45" i="9"/>
  <c r="B51" i="9"/>
  <c r="C57" i="9"/>
  <c r="C63" i="9"/>
  <c r="B69" i="9"/>
  <c r="C76" i="9"/>
  <c r="C83" i="9"/>
  <c r="C96" i="9"/>
  <c r="C102" i="9"/>
  <c r="B116" i="9"/>
  <c r="C123" i="9"/>
  <c r="C129" i="9"/>
  <c r="C135" i="9"/>
  <c r="C141" i="9"/>
  <c r="C180" i="9"/>
  <c r="B193" i="9"/>
  <c r="B219" i="9"/>
  <c r="C225" i="9"/>
  <c r="B232" i="9"/>
  <c r="C238" i="9"/>
  <c r="B244" i="9"/>
  <c r="C250" i="9"/>
  <c r="B293" i="9"/>
  <c r="C312" i="9"/>
  <c r="C319" i="9"/>
  <c r="B258" i="9"/>
  <c r="C107" i="9"/>
  <c r="B114" i="9"/>
  <c r="C121" i="9"/>
  <c r="C211" i="9"/>
  <c r="B4" i="9"/>
  <c r="B9" i="9"/>
  <c r="C90" i="9"/>
  <c r="B109" i="9"/>
  <c r="B149" i="9"/>
  <c r="C155" i="9"/>
  <c r="B168" i="9"/>
  <c r="C174" i="9"/>
  <c r="C187" i="9"/>
  <c r="B201" i="9"/>
  <c r="C207" i="9"/>
  <c r="B213" i="9"/>
  <c r="B257" i="9"/>
  <c r="B263" i="9"/>
  <c r="B269" i="9"/>
  <c r="C275" i="9"/>
  <c r="B281" i="9"/>
  <c r="B300" i="9"/>
  <c r="B14" i="9"/>
  <c r="B20" i="9"/>
  <c r="B26" i="9"/>
  <c r="C32" i="9"/>
  <c r="B39" i="9"/>
  <c r="C46" i="9"/>
  <c r="B52" i="9"/>
  <c r="C58" i="9"/>
  <c r="C64" i="9"/>
  <c r="B84" i="9"/>
  <c r="B97" i="9"/>
  <c r="C103" i="9"/>
  <c r="C117" i="9"/>
  <c r="B124" i="9"/>
  <c r="C130" i="9"/>
  <c r="C136" i="9"/>
  <c r="C162" i="9"/>
  <c r="B181" i="9"/>
  <c r="C220" i="9"/>
  <c r="C226" i="9"/>
  <c r="B233" i="9"/>
  <c r="C239" i="9"/>
  <c r="B245" i="9"/>
  <c r="C251" i="9"/>
  <c r="C288" i="9"/>
  <c r="C294" i="9"/>
  <c r="B307" i="9"/>
  <c r="C313" i="9"/>
  <c r="C280" i="9"/>
  <c r="C249" i="9"/>
  <c r="L8" i="9"/>
  <c r="L3" i="9"/>
  <c r="L7" i="9"/>
  <c r="L11" i="9"/>
  <c r="B202" i="9"/>
  <c r="C126" i="9"/>
  <c r="L4" i="9"/>
  <c r="L9" i="9"/>
  <c r="L5" i="9"/>
  <c r="L6" i="9"/>
  <c r="L10" i="9"/>
  <c r="L2" i="9"/>
  <c r="C88" i="9"/>
  <c r="C206" i="9"/>
  <c r="B120" i="9"/>
  <c r="B167" i="9"/>
  <c r="C16" i="9"/>
  <c r="B83" i="9"/>
  <c r="C307" i="9"/>
  <c r="B32" i="9"/>
  <c r="B3" i="9"/>
  <c r="C69" i="9"/>
  <c r="B64" i="9"/>
  <c r="C8" i="9"/>
  <c r="B13" i="9"/>
  <c r="B48" i="9"/>
  <c r="C125" i="9"/>
  <c r="B316" i="9"/>
  <c r="C321" i="9"/>
  <c r="B136" i="9"/>
  <c r="C263" i="9"/>
  <c r="B274" i="9"/>
  <c r="C285" i="9"/>
  <c r="C39" i="9"/>
  <c r="B132" i="9"/>
  <c r="C170" i="9"/>
  <c r="B275" i="9"/>
  <c r="B297" i="9"/>
  <c r="B313" i="9"/>
  <c r="C51" i="9"/>
  <c r="B144" i="9"/>
  <c r="M6" i="3"/>
  <c r="B129" i="9"/>
  <c r="B82" i="9"/>
  <c r="C98" i="9"/>
  <c r="B154" i="9"/>
  <c r="B192" i="9"/>
  <c r="C124" i="9"/>
  <c r="B203" i="9"/>
  <c r="C227" i="9"/>
  <c r="B267" i="9"/>
  <c r="C137" i="9"/>
  <c r="C253" i="9"/>
  <c r="C134" i="9"/>
  <c r="B189" i="9"/>
  <c r="C213" i="9"/>
  <c r="B121" i="9"/>
  <c r="C147" i="9"/>
  <c r="C245" i="9"/>
  <c r="C269" i="9"/>
  <c r="B25" i="9"/>
  <c r="B30" i="9"/>
  <c r="C81" i="9"/>
  <c r="B107" i="9"/>
  <c r="B153" i="9"/>
  <c r="C209" i="9"/>
  <c r="C219" i="9"/>
  <c r="C242" i="9"/>
  <c r="B284" i="9"/>
  <c r="C20" i="9"/>
  <c r="B102" i="9"/>
  <c r="B246" i="9"/>
  <c r="C289" i="9"/>
  <c r="C261" i="9"/>
  <c r="B271" i="9"/>
  <c r="C300" i="9"/>
  <c r="B21" i="9"/>
  <c r="B45" i="9"/>
  <c r="C52" i="9"/>
  <c r="C72" i="9"/>
  <c r="B165" i="9"/>
  <c r="C193" i="9"/>
  <c r="C217" i="9"/>
  <c r="C232" i="9"/>
  <c r="C258" i="9"/>
  <c r="B279" i="9"/>
  <c r="B283" i="9"/>
  <c r="B310" i="9"/>
  <c r="B54" i="9"/>
  <c r="C191" i="9"/>
  <c r="B63" i="9"/>
  <c r="B57" i="9"/>
  <c r="C4" i="9"/>
  <c r="B49" i="9"/>
  <c r="C65" i="9"/>
  <c r="B108" i="9"/>
  <c r="B117" i="9"/>
  <c r="C140" i="9"/>
  <c r="B156" i="9"/>
  <c r="B180" i="9"/>
  <c r="B207" i="9"/>
  <c r="B239" i="9"/>
  <c r="C243" i="9"/>
  <c r="C255" i="9"/>
  <c r="C292" i="9"/>
  <c r="B47" i="9"/>
  <c r="B212" i="9"/>
  <c r="B312" i="9"/>
  <c r="B58" i="9"/>
  <c r="B123" i="9"/>
  <c r="B131" i="9"/>
  <c r="B141" i="9"/>
  <c r="B273" i="9"/>
  <c r="B277" i="9"/>
  <c r="C303" i="9"/>
  <c r="C201" i="9"/>
  <c r="B204" i="9"/>
  <c r="B177" i="9"/>
  <c r="C181" i="9"/>
  <c r="B208" i="9"/>
  <c r="B216" i="9"/>
  <c r="C244" i="9"/>
  <c r="C260" i="9"/>
  <c r="C264" i="9"/>
  <c r="B71" i="9"/>
  <c r="C84" i="9"/>
  <c r="B138" i="9"/>
  <c r="C145" i="9"/>
  <c r="C168" i="9"/>
  <c r="B241" i="9"/>
  <c r="B282" i="9"/>
  <c r="C80" i="9"/>
  <c r="C157" i="9"/>
  <c r="L19" i="3"/>
  <c r="C9" i="9"/>
  <c r="B60" i="9"/>
  <c r="C66" i="9"/>
  <c r="B76" i="9"/>
  <c r="B90" i="9"/>
  <c r="B93" i="9"/>
  <c r="B96" i="9"/>
  <c r="M19" i="3"/>
  <c r="B12" i="9"/>
  <c r="B15" i="9"/>
  <c r="C28" i="9"/>
  <c r="C42" i="9"/>
  <c r="C87" i="9"/>
  <c r="C109" i="9"/>
  <c r="B130" i="9"/>
  <c r="B133" i="9"/>
  <c r="C150" i="9"/>
  <c r="B196" i="9"/>
  <c r="B160" i="9"/>
  <c r="K6" i="3"/>
  <c r="B46" i="9"/>
  <c r="B55" i="9"/>
  <c r="C73" i="9"/>
  <c r="B100" i="9"/>
  <c r="B175" i="9"/>
  <c r="B247" i="9"/>
  <c r="B286" i="9"/>
  <c r="C293" i="9"/>
  <c r="C317" i="9"/>
  <c r="B10" i="9"/>
  <c r="C26" i="9"/>
  <c r="B61" i="9"/>
  <c r="C97" i="9"/>
  <c r="B104" i="9"/>
  <c r="C186" i="9"/>
  <c r="B210" i="9"/>
  <c r="C224" i="9"/>
  <c r="C236" i="9"/>
  <c r="B268" i="9"/>
  <c r="C278" i="9"/>
  <c r="C281" i="9"/>
  <c r="C301" i="9"/>
  <c r="B304" i="9"/>
  <c r="B36" i="9"/>
  <c r="C44" i="9"/>
  <c r="C50" i="9"/>
  <c r="B56" i="9"/>
  <c r="B59" i="9"/>
  <c r="B68" i="9"/>
  <c r="C85" i="9"/>
  <c r="B92" i="9"/>
  <c r="B95" i="9"/>
  <c r="C101" i="9"/>
  <c r="B155" i="9"/>
  <c r="C158" i="9"/>
  <c r="B176" i="9"/>
  <c r="C183" i="9"/>
  <c r="B228" i="9"/>
  <c r="B248" i="9"/>
  <c r="B265" i="9"/>
  <c r="B311" i="9"/>
  <c r="B318" i="9"/>
  <c r="B6" i="9"/>
  <c r="K7" i="3"/>
  <c r="B288" i="9"/>
  <c r="B298" i="9"/>
  <c r="B302" i="9"/>
  <c r="L7" i="3"/>
  <c r="M21" i="3"/>
  <c r="B24" i="9"/>
  <c r="B33" i="9"/>
  <c r="B119" i="9"/>
  <c r="B166" i="9"/>
  <c r="B205" i="9"/>
  <c r="B225" i="9"/>
  <c r="B237" i="9"/>
  <c r="B240" i="9"/>
  <c r="B252" i="9"/>
  <c r="B276" i="9"/>
  <c r="L21" i="3"/>
  <c r="B2" i="9"/>
  <c r="C11" i="9"/>
  <c r="B105" i="9"/>
  <c r="C86" i="9"/>
  <c r="B112" i="9"/>
  <c r="C159" i="9"/>
  <c r="C222" i="9"/>
  <c r="B309" i="9"/>
  <c r="B31" i="9"/>
  <c r="C188" i="9"/>
  <c r="C234" i="9"/>
  <c r="B296" i="9"/>
  <c r="B146" i="9"/>
  <c r="C146" i="9"/>
  <c r="B161" i="9"/>
  <c r="C161" i="9"/>
  <c r="C7" i="9"/>
  <c r="B7" i="9"/>
  <c r="C14" i="9"/>
  <c r="B35" i="9"/>
  <c r="C37" i="9"/>
  <c r="C53" i="9"/>
  <c r="B74" i="9"/>
  <c r="C74" i="9"/>
  <c r="B99" i="9"/>
  <c r="B110" i="9"/>
  <c r="C110" i="9"/>
  <c r="C115" i="9"/>
  <c r="B115" i="9"/>
  <c r="B122" i="9"/>
  <c r="C122" i="9"/>
  <c r="B127" i="9"/>
  <c r="B139" i="9"/>
  <c r="B164" i="9"/>
  <c r="B171" i="9"/>
  <c r="B299" i="9"/>
  <c r="C299" i="9"/>
  <c r="C79" i="9"/>
  <c r="B79" i="9"/>
  <c r="C179" i="9"/>
  <c r="B179" i="9"/>
  <c r="C229" i="9"/>
  <c r="B229" i="9"/>
  <c r="C287" i="9"/>
  <c r="B287" i="9"/>
  <c r="C306" i="9"/>
  <c r="B306" i="9"/>
  <c r="B19" i="9"/>
  <c r="B23" i="9"/>
  <c r="B27" i="9"/>
  <c r="C29" i="9"/>
  <c r="B40" i="9"/>
  <c r="C91" i="9"/>
  <c r="B91" i="9"/>
  <c r="B174" i="9"/>
  <c r="C184" i="9"/>
  <c r="B184" i="9"/>
  <c r="C195" i="9"/>
  <c r="C198" i="9"/>
  <c r="C70" i="9"/>
  <c r="B70" i="9"/>
  <c r="B77" i="9"/>
  <c r="C77" i="9"/>
  <c r="C106" i="9"/>
  <c r="B106" i="9"/>
  <c r="B113" i="9"/>
  <c r="C113" i="9"/>
  <c r="C215" i="9"/>
  <c r="B215" i="9"/>
  <c r="K20" i="3"/>
  <c r="K5" i="3"/>
  <c r="L20" i="3"/>
  <c r="C17" i="9"/>
  <c r="B38" i="9"/>
  <c r="C38" i="9"/>
  <c r="C62" i="9"/>
  <c r="C118" i="9"/>
  <c r="B118" i="9"/>
  <c r="C128" i="9"/>
  <c r="B135" i="9"/>
  <c r="C142" i="9"/>
  <c r="B142" i="9"/>
  <c r="B162" i="9"/>
  <c r="B169" i="9"/>
  <c r="B172" i="9"/>
  <c r="L5" i="3"/>
  <c r="C43" i="9"/>
  <c r="B43" i="9"/>
  <c r="B89" i="9"/>
  <c r="C89" i="9"/>
  <c r="C199" i="9"/>
  <c r="B199" i="9"/>
  <c r="C75" i="9"/>
  <c r="C111" i="9"/>
  <c r="C116" i="9"/>
  <c r="C152" i="9"/>
  <c r="C190" i="9"/>
  <c r="B190" i="9"/>
  <c r="C231" i="9"/>
  <c r="B231" i="9"/>
  <c r="C34" i="9"/>
  <c r="B34" i="9"/>
  <c r="B41" i="9"/>
  <c r="C41" i="9"/>
  <c r="C143" i="9"/>
  <c r="B143" i="9"/>
  <c r="C163" i="9"/>
  <c r="B163" i="9"/>
  <c r="B5" i="9"/>
  <c r="C5" i="9"/>
  <c r="B18" i="9"/>
  <c r="B22" i="9"/>
  <c r="B67" i="9"/>
  <c r="C78" i="9"/>
  <c r="B94" i="9"/>
  <c r="B103" i="9"/>
  <c r="C114" i="9"/>
  <c r="B148" i="9"/>
  <c r="C173" i="9"/>
  <c r="B197" i="9"/>
  <c r="C197" i="9"/>
  <c r="C200" i="9"/>
  <c r="B211" i="9"/>
  <c r="B238" i="9"/>
  <c r="B194" i="9"/>
  <c r="C194" i="9"/>
  <c r="C256" i="9"/>
  <c r="B256" i="9"/>
  <c r="B220" i="9"/>
  <c r="B251" i="9"/>
  <c r="B294" i="9"/>
  <c r="C185" i="9"/>
  <c r="B187" i="9"/>
  <c r="B214" i="9"/>
  <c r="C218" i="9"/>
  <c r="C257" i="9"/>
  <c r="B259" i="9"/>
  <c r="C290" i="9"/>
  <c r="C305" i="9"/>
  <c r="C320" i="9"/>
  <c r="B320" i="9"/>
  <c r="B315" i="9"/>
  <c r="C315" i="9"/>
  <c r="B226" i="9"/>
  <c r="C230" i="9"/>
  <c r="C149" i="9"/>
  <c r="B151" i="9"/>
  <c r="B178" i="9"/>
  <c r="C182" i="9"/>
  <c r="C221" i="9"/>
  <c r="B223" i="9"/>
  <c r="B250" i="9"/>
  <c r="C254" i="9"/>
  <c r="C291" i="9"/>
  <c r="C295" i="9"/>
  <c r="C233" i="9"/>
  <c r="B235" i="9"/>
  <c r="B262" i="9"/>
  <c r="C266" i="9"/>
  <c r="B270" i="9"/>
  <c r="B272" i="9"/>
  <c r="C314" i="9"/>
  <c r="B314" i="9"/>
  <c r="B308" i="9"/>
  <c r="B319" i="9"/>
  <c r="H1752" i="9" l="1"/>
  <c r="H1426" i="9"/>
  <c r="H2106" i="9"/>
  <c r="H1590" i="9"/>
  <c r="H862" i="9"/>
  <c r="H1301" i="9"/>
  <c r="H981" i="9"/>
  <c r="H1912" i="9"/>
  <c r="H376" i="9"/>
  <c r="H2115" i="9"/>
  <c r="H263" i="9"/>
  <c r="H111" i="9"/>
  <c r="H1447" i="9"/>
  <c r="H1663" i="9"/>
  <c r="H1214" i="9"/>
  <c r="H2088" i="9"/>
  <c r="H2226" i="9"/>
  <c r="H454" i="9"/>
  <c r="H1617" i="9"/>
  <c r="H771" i="9"/>
  <c r="H1276" i="9"/>
  <c r="H1874" i="9"/>
  <c r="H2126" i="9"/>
  <c r="H1377" i="9"/>
  <c r="H1789" i="9"/>
  <c r="H1422" i="9"/>
  <c r="H1808" i="9"/>
  <c r="H1760" i="9"/>
  <c r="H970" i="9"/>
  <c r="H660" i="9"/>
  <c r="H348" i="9"/>
  <c r="H149" i="9"/>
  <c r="H2298" i="9"/>
  <c r="H1914" i="9"/>
  <c r="H2124" i="9"/>
  <c r="H849" i="9"/>
  <c r="H1982" i="9"/>
  <c r="H2044" i="9"/>
  <c r="H1530" i="9"/>
  <c r="H1231" i="9"/>
  <c r="H1633" i="9"/>
  <c r="H1607" i="9"/>
  <c r="H1174" i="9"/>
  <c r="H617" i="9"/>
  <c r="H1179" i="9"/>
  <c r="H131" i="9"/>
  <c r="H1823" i="9"/>
  <c r="H1948" i="9"/>
  <c r="H698" i="9"/>
  <c r="H239" i="9"/>
  <c r="H2186" i="9"/>
  <c r="H1977" i="9"/>
  <c r="H1147" i="9"/>
  <c r="H1597" i="9"/>
  <c r="H1525" i="9"/>
  <c r="H1139" i="9"/>
  <c r="H499" i="9"/>
  <c r="H1084" i="9"/>
  <c r="H864" i="9"/>
  <c r="H446" i="9"/>
  <c r="H2046" i="9"/>
  <c r="H1707" i="9"/>
  <c r="H1280" i="9"/>
  <c r="H2217" i="9"/>
  <c r="H2273" i="9"/>
  <c r="H1947" i="9"/>
  <c r="H809" i="9"/>
  <c r="H1421" i="9"/>
  <c r="H781" i="9"/>
  <c r="H68" i="9"/>
  <c r="H568" i="9"/>
  <c r="H1956" i="9"/>
  <c r="H1613" i="9"/>
  <c r="H1232" i="9"/>
  <c r="H2161" i="9"/>
  <c r="H2215" i="9"/>
  <c r="H1899" i="9"/>
  <c r="H632" i="9"/>
  <c r="H1254" i="9"/>
  <c r="H941" i="9"/>
  <c r="H314" i="9"/>
  <c r="H151" i="9"/>
  <c r="H1721" i="9"/>
  <c r="H1436" i="9"/>
  <c r="H1006" i="9"/>
  <c r="H1986" i="9"/>
  <c r="H2051" i="9"/>
  <c r="H1618" i="9"/>
  <c r="H1639" i="9"/>
  <c r="H1420" i="9"/>
  <c r="H1237" i="9"/>
  <c r="H357" i="9"/>
  <c r="H216" i="9"/>
  <c r="H1685" i="9"/>
  <c r="H1400" i="9"/>
  <c r="H959" i="9"/>
  <c r="H1891" i="9"/>
  <c r="H1949" i="9"/>
  <c r="H1570" i="9"/>
  <c r="H1591" i="9"/>
  <c r="H1201" i="9"/>
  <c r="H1425" i="9"/>
  <c r="H2" i="9"/>
  <c r="H1931" i="9"/>
  <c r="H1221" i="9"/>
  <c r="H2090" i="9"/>
  <c r="H1728" i="9"/>
  <c r="H1773" i="9"/>
  <c r="H2212" i="9"/>
  <c r="H796" i="9"/>
  <c r="H909" i="9"/>
  <c r="H1475" i="9"/>
  <c r="H799" i="9"/>
  <c r="H2153" i="9"/>
  <c r="H1860" i="9"/>
  <c r="H1138" i="9"/>
  <c r="H1952" i="9"/>
  <c r="H1680" i="9"/>
  <c r="H1702" i="9"/>
  <c r="H1993" i="9"/>
  <c r="H619" i="9"/>
  <c r="H720" i="9"/>
  <c r="H1248" i="9"/>
  <c r="H1027" i="9"/>
  <c r="H1458" i="9"/>
  <c r="H2184" i="9"/>
  <c r="H1684" i="9"/>
  <c r="H2183" i="9"/>
  <c r="H1799" i="9"/>
  <c r="H2136" i="9"/>
  <c r="H2272" i="9"/>
  <c r="H807" i="9"/>
  <c r="H1419" i="9"/>
  <c r="H1462" i="9"/>
  <c r="H380" i="9"/>
  <c r="H423" i="9"/>
  <c r="H639" i="9"/>
  <c r="H292" i="9"/>
  <c r="H964" i="9"/>
  <c r="H1854" i="9"/>
  <c r="H2322" i="9"/>
  <c r="H512" i="9"/>
  <c r="H1935" i="9"/>
  <c r="H2050" i="9"/>
  <c r="H1816" i="9"/>
  <c r="H2236" i="9"/>
  <c r="H2071" i="9"/>
  <c r="H1555" i="9"/>
  <c r="H2154" i="9"/>
  <c r="H1578" i="9"/>
  <c r="H1388" i="9"/>
  <c r="H2012" i="9"/>
  <c r="H1160" i="9"/>
  <c r="H1741" i="9"/>
  <c r="H2149" i="9"/>
  <c r="H1880" i="9"/>
  <c r="H1797" i="9"/>
  <c r="H2203" i="9"/>
  <c r="H1620" i="9"/>
  <c r="H2283" i="9"/>
  <c r="H1560" i="9"/>
  <c r="H1981" i="9"/>
  <c r="H1115" i="9"/>
  <c r="H1567" i="9"/>
  <c r="H676" i="9"/>
  <c r="H487" i="9"/>
  <c r="H1170" i="9"/>
  <c r="H708" i="9"/>
  <c r="H1264" i="9"/>
  <c r="H602" i="9"/>
  <c r="H1072" i="9"/>
  <c r="H929" i="9"/>
  <c r="H1212" i="9"/>
  <c r="H1366" i="9"/>
  <c r="H325" i="9"/>
  <c r="H507" i="9"/>
  <c r="H346" i="9"/>
  <c r="H969" i="9"/>
  <c r="H694" i="9"/>
  <c r="H71" i="9"/>
  <c r="H205" i="9"/>
  <c r="H556" i="9"/>
  <c r="H2095" i="9"/>
  <c r="H2082" i="9"/>
  <c r="H2328" i="9"/>
  <c r="H2142" i="9"/>
  <c r="H1908" i="9"/>
  <c r="H2105" i="9"/>
  <c r="H1825" i="9"/>
  <c r="H1566" i="9"/>
  <c r="H1294" i="9"/>
  <c r="H1930" i="9"/>
  <c r="H1577" i="9"/>
  <c r="H1376" i="9"/>
  <c r="H1114" i="9"/>
  <c r="H2000" i="9"/>
  <c r="H1765" i="9"/>
  <c r="H1411" i="9"/>
  <c r="H1148" i="9"/>
  <c r="H2300" i="9"/>
  <c r="H1928" i="9"/>
  <c r="H1635" i="9"/>
  <c r="H1398" i="9"/>
  <c r="H1124" i="9"/>
  <c r="H2137" i="9"/>
  <c r="H1868" i="9"/>
  <c r="H1610" i="9"/>
  <c r="H2064" i="9"/>
  <c r="H1774" i="9"/>
  <c r="H1503" i="9"/>
  <c r="H2191" i="9"/>
  <c r="H1925" i="9"/>
  <c r="H1608" i="9"/>
  <c r="H2134" i="9"/>
  <c r="H1818" i="9"/>
  <c r="H2259" i="9"/>
  <c r="H1829" i="9"/>
  <c r="H1465" i="9"/>
  <c r="H1970" i="9"/>
  <c r="H1569" i="9"/>
  <c r="H1628" i="9"/>
  <c r="H1031" i="9"/>
  <c r="H608" i="9"/>
  <c r="H1030" i="9"/>
  <c r="H2077" i="9"/>
  <c r="H652" i="9"/>
  <c r="H853" i="9"/>
  <c r="H464" i="9"/>
  <c r="H1158" i="9"/>
  <c r="H1265" i="9"/>
  <c r="H697" i="9"/>
  <c r="H1204" i="9"/>
  <c r="H1943" i="9"/>
  <c r="H1048" i="9"/>
  <c r="H917" i="9"/>
  <c r="H1010" i="9"/>
  <c r="H1164" i="9"/>
  <c r="H1259" i="9"/>
  <c r="H317" i="9"/>
  <c r="H495" i="9"/>
  <c r="H334" i="9"/>
  <c r="H957" i="9"/>
  <c r="H682" i="9"/>
  <c r="H85" i="9"/>
  <c r="H990" i="9"/>
  <c r="H182" i="9"/>
  <c r="H353" i="9"/>
  <c r="H88" i="9"/>
  <c r="H2104" i="9"/>
  <c r="H2083" i="9"/>
  <c r="H2070" i="9"/>
  <c r="H2211" i="9"/>
  <c r="H2280" i="9"/>
  <c r="H1896" i="9"/>
  <c r="H2093" i="9"/>
  <c r="H1813" i="9"/>
  <c r="H1544" i="9"/>
  <c r="H1282" i="9"/>
  <c r="H1906" i="9"/>
  <c r="H1565" i="9"/>
  <c r="H1305" i="9"/>
  <c r="H1102" i="9"/>
  <c r="H1976" i="9"/>
  <c r="H1624" i="9"/>
  <c r="H1399" i="9"/>
  <c r="H1137" i="9"/>
  <c r="H2288" i="9"/>
  <c r="H1916" i="9"/>
  <c r="H1623" i="9"/>
  <c r="H1386" i="9"/>
  <c r="H1112" i="9"/>
  <c r="H2065" i="9"/>
  <c r="H1856" i="9"/>
  <c r="H1598" i="9"/>
  <c r="H1985" i="9"/>
  <c r="H1762" i="9"/>
  <c r="H1491" i="9"/>
  <c r="H2179" i="9"/>
  <c r="H1901" i="9"/>
  <c r="H1584" i="9"/>
  <c r="H2122" i="9"/>
  <c r="H1772" i="9"/>
  <c r="H1817" i="9"/>
  <c r="H1405" i="9"/>
  <c r="H1958" i="9"/>
  <c r="H2199" i="9"/>
  <c r="H1616" i="9"/>
  <c r="H961" i="9"/>
  <c r="H585" i="9"/>
  <c r="H948" i="9"/>
  <c r="H1686" i="9"/>
  <c r="H595" i="9"/>
  <c r="H841" i="9"/>
  <c r="H1827" i="9"/>
  <c r="H1135" i="9"/>
  <c r="H1122" i="9"/>
  <c r="H685" i="9"/>
  <c r="H1049" i="9"/>
  <c r="H1871" i="9"/>
  <c r="H1513" i="9"/>
  <c r="H884" i="9"/>
  <c r="H1152" i="9"/>
  <c r="H1151" i="9"/>
  <c r="H139" i="9"/>
  <c r="H472" i="9"/>
  <c r="H323" i="9"/>
  <c r="H564" i="9"/>
  <c r="H658" i="9"/>
  <c r="H765" i="9"/>
  <c r="H942" i="9"/>
  <c r="H44" i="9"/>
  <c r="H302" i="9"/>
  <c r="H2013" i="9"/>
  <c r="H2299" i="9"/>
  <c r="H2187" i="9"/>
  <c r="H2256" i="9"/>
  <c r="H1885" i="9"/>
  <c r="H2081" i="9"/>
  <c r="H1743" i="9"/>
  <c r="H1532" i="9"/>
  <c r="H2302" i="9"/>
  <c r="H1883" i="9"/>
  <c r="H1293" i="9"/>
  <c r="H1090" i="9"/>
  <c r="H1929" i="9"/>
  <c r="H1612" i="9"/>
  <c r="H1387" i="9"/>
  <c r="H1125" i="9"/>
  <c r="H2194" i="9"/>
  <c r="H1904" i="9"/>
  <c r="H1611" i="9"/>
  <c r="H1374" i="9"/>
  <c r="H1100" i="9"/>
  <c r="H2053" i="9"/>
  <c r="H1844" i="9"/>
  <c r="H1563" i="9"/>
  <c r="H1974" i="9"/>
  <c r="H1750" i="9"/>
  <c r="H1479" i="9"/>
  <c r="H2111" i="9"/>
  <c r="H1878" i="9"/>
  <c r="H1572" i="9"/>
  <c r="H2110" i="9"/>
  <c r="H1748" i="9"/>
  <c r="H2225" i="9"/>
  <c r="H1783" i="9"/>
  <c r="H2342" i="9"/>
  <c r="H1946" i="9"/>
  <c r="H2107" i="9"/>
  <c r="H1604" i="9"/>
  <c r="H949" i="9"/>
  <c r="H490" i="9"/>
  <c r="H936" i="9"/>
  <c r="H1662" i="9"/>
  <c r="H829" i="9"/>
  <c r="H1756" i="9"/>
  <c r="H2312" i="9"/>
  <c r="H1110" i="9"/>
  <c r="H1037" i="9"/>
  <c r="H1801" i="9"/>
  <c r="H1489" i="9"/>
  <c r="H872" i="9"/>
  <c r="H895" i="9"/>
  <c r="H1045" i="9"/>
  <c r="H1140" i="9"/>
  <c r="H133" i="9"/>
  <c r="H270" i="9"/>
  <c r="H275" i="9"/>
  <c r="H470" i="9"/>
  <c r="H646" i="9"/>
  <c r="H657" i="9"/>
  <c r="H918" i="9"/>
  <c r="H267" i="9"/>
  <c r="H31" i="9"/>
  <c r="H2271" i="9"/>
  <c r="H2094" i="9"/>
  <c r="H2129" i="9"/>
  <c r="H1353" i="9"/>
  <c r="H1126" i="9"/>
  <c r="H2324" i="9"/>
  <c r="H1136" i="9"/>
  <c r="H1622" i="9"/>
  <c r="H1515" i="9"/>
  <c r="H1937" i="9"/>
  <c r="H2214" i="9"/>
  <c r="H1888" i="9"/>
  <c r="H1593" i="9"/>
  <c r="H620" i="9"/>
  <c r="H2172" i="9"/>
  <c r="H958" i="9"/>
  <c r="H1289" i="9"/>
  <c r="H1177" i="9"/>
  <c r="H2059" i="9"/>
  <c r="H2346" i="9"/>
  <c r="H2155" i="9"/>
  <c r="H2245" i="9"/>
  <c r="H1861" i="9"/>
  <c r="H2069" i="9"/>
  <c r="H1732" i="9"/>
  <c r="H1520" i="9"/>
  <c r="H2278" i="9"/>
  <c r="H1812" i="9"/>
  <c r="H1543" i="9"/>
  <c r="H1281" i="9"/>
  <c r="H2242" i="9"/>
  <c r="H1917" i="9"/>
  <c r="H1600" i="9"/>
  <c r="H1375" i="9"/>
  <c r="H1113" i="9"/>
  <c r="H2182" i="9"/>
  <c r="H1892" i="9"/>
  <c r="H1599" i="9"/>
  <c r="H1314" i="9"/>
  <c r="H1088" i="9"/>
  <c r="H2041" i="9"/>
  <c r="H1775" i="9"/>
  <c r="H2250" i="9"/>
  <c r="H1962" i="9"/>
  <c r="H1739" i="9"/>
  <c r="H1468" i="9"/>
  <c r="H2099" i="9"/>
  <c r="H1866" i="9"/>
  <c r="H1550" i="9"/>
  <c r="H2086" i="9"/>
  <c r="H1737" i="9"/>
  <c r="H2213" i="9"/>
  <c r="H1759" i="9"/>
  <c r="H2330" i="9"/>
  <c r="H1934" i="9"/>
  <c r="H2004" i="9"/>
  <c r="H1521" i="9"/>
  <c r="H937" i="9"/>
  <c r="H479" i="9"/>
  <c r="H867" i="9"/>
  <c r="H1650" i="9"/>
  <c r="H500" i="9"/>
  <c r="H817" i="9"/>
  <c r="H1576" i="9"/>
  <c r="H2252" i="9"/>
  <c r="H1062" i="9"/>
  <c r="H627" i="9"/>
  <c r="H1025" i="9"/>
  <c r="H1729" i="9"/>
  <c r="H1477" i="9"/>
  <c r="H1941" i="9"/>
  <c r="H859" i="9"/>
  <c r="H1033" i="9"/>
  <c r="H997" i="9"/>
  <c r="H127" i="9"/>
  <c r="H264" i="9"/>
  <c r="H212" i="9"/>
  <c r="H304" i="9"/>
  <c r="H635" i="9"/>
  <c r="H562" i="9"/>
  <c r="H847" i="9"/>
  <c r="H49" i="9"/>
  <c r="H261" i="9"/>
  <c r="H25" i="9"/>
  <c r="H1919" i="9"/>
  <c r="H2067" i="9"/>
  <c r="H1837" i="9"/>
  <c r="H1589" i="9"/>
  <c r="H1435" i="9"/>
  <c r="H1410" i="9"/>
  <c r="H1900" i="9"/>
  <c r="H108" i="9"/>
  <c r="H2047" i="9"/>
  <c r="H2334" i="9"/>
  <c r="H2143" i="9"/>
  <c r="H2233" i="9"/>
  <c r="H1768" i="9"/>
  <c r="H2045" i="9"/>
  <c r="H1720" i="9"/>
  <c r="H1508" i="9"/>
  <c r="H2243" i="9"/>
  <c r="H1790" i="9"/>
  <c r="H1531" i="9"/>
  <c r="H1257" i="9"/>
  <c r="H2219" i="9"/>
  <c r="H1905" i="9"/>
  <c r="H1588" i="9"/>
  <c r="H1315" i="9"/>
  <c r="H1101" i="9"/>
  <c r="H2150" i="9"/>
  <c r="H1881" i="9"/>
  <c r="H1587" i="9"/>
  <c r="H1303" i="9"/>
  <c r="H1076" i="9"/>
  <c r="H2020" i="9"/>
  <c r="H1763" i="9"/>
  <c r="H2239" i="9"/>
  <c r="H1950" i="9"/>
  <c r="H1679" i="9"/>
  <c r="H1456" i="9"/>
  <c r="H2087" i="9"/>
  <c r="H1538" i="9"/>
  <c r="H1725" i="9"/>
  <c r="H2201" i="9"/>
  <c r="H1712" i="9"/>
  <c r="H2318" i="9"/>
  <c r="H1992" i="9"/>
  <c r="H1497" i="9"/>
  <c r="H856" i="9"/>
  <c r="H456" i="9"/>
  <c r="H855" i="9"/>
  <c r="H1041" i="9"/>
  <c r="H488" i="9"/>
  <c r="H794" i="9"/>
  <c r="H1553" i="9"/>
  <c r="H1897" i="9"/>
  <c r="H1050" i="9"/>
  <c r="H1658" i="9"/>
  <c r="H1002" i="9"/>
  <c r="H1370" i="9"/>
  <c r="H1393" i="9"/>
  <c r="H1631" i="9"/>
  <c r="H1559" i="9"/>
  <c r="H963" i="9"/>
  <c r="H986" i="9"/>
  <c r="H110" i="9"/>
  <c r="H253" i="9"/>
  <c r="H126" i="9"/>
  <c r="H298" i="9"/>
  <c r="H623" i="9"/>
  <c r="H491" i="9"/>
  <c r="H835" i="9"/>
  <c r="H905" i="9"/>
  <c r="H19" i="9"/>
  <c r="H2316" i="9"/>
  <c r="H2118" i="9"/>
  <c r="H1944" i="9"/>
  <c r="H1954" i="9"/>
  <c r="H1777" i="9"/>
  <c r="H1940" i="9"/>
  <c r="H2076" i="9"/>
  <c r="H1640" i="9"/>
  <c r="H364" i="9"/>
  <c r="H2026" i="9"/>
  <c r="H2131" i="9"/>
  <c r="H2175" i="9"/>
  <c r="H1744" i="9"/>
  <c r="H2034" i="9"/>
  <c r="H1708" i="9"/>
  <c r="H1449" i="9"/>
  <c r="H2196" i="9"/>
  <c r="H1766" i="9"/>
  <c r="H1460" i="9"/>
  <c r="H1245" i="9"/>
  <c r="H2207" i="9"/>
  <c r="H1893" i="9"/>
  <c r="H1554" i="9"/>
  <c r="H1304" i="9"/>
  <c r="H1089" i="9"/>
  <c r="H2138" i="9"/>
  <c r="H1822" i="9"/>
  <c r="H1564" i="9"/>
  <c r="H1291" i="9"/>
  <c r="H2263" i="9"/>
  <c r="H2010" i="9"/>
  <c r="H1751" i="9"/>
  <c r="H2228" i="9"/>
  <c r="H1938" i="9"/>
  <c r="H1667" i="9"/>
  <c r="H1444" i="9"/>
  <c r="H2075" i="9"/>
  <c r="H1796" i="9"/>
  <c r="H1514" i="9"/>
  <c r="H1972" i="9"/>
  <c r="H1713" i="9"/>
  <c r="H2177" i="9"/>
  <c r="H1653" i="9"/>
  <c r="H2247" i="9"/>
  <c r="H1758" i="9"/>
  <c r="H1909" i="9"/>
  <c r="H1258" i="9"/>
  <c r="H844" i="9"/>
  <c r="H2078" i="9"/>
  <c r="H843" i="9"/>
  <c r="H830" i="9"/>
  <c r="H465" i="9"/>
  <c r="H663" i="9"/>
  <c r="H1445" i="9"/>
  <c r="H1492" i="9"/>
  <c r="H1038" i="9"/>
  <c r="H1443" i="9"/>
  <c r="H991" i="9"/>
  <c r="H1299" i="9"/>
  <c r="H1238" i="9"/>
  <c r="H1392" i="9"/>
  <c r="H1499" i="9"/>
  <c r="H1510" i="9"/>
  <c r="H974" i="9"/>
  <c r="H248" i="9"/>
  <c r="H447" i="9"/>
  <c r="H468" i="9"/>
  <c r="H680" i="9"/>
  <c r="H894" i="9"/>
  <c r="H702" i="9"/>
  <c r="H14" i="9"/>
  <c r="H2232" i="9"/>
  <c r="H2220" i="9"/>
  <c r="H2310" i="9"/>
  <c r="H1994" i="9"/>
  <c r="H2058" i="9"/>
  <c r="H1733" i="9"/>
  <c r="H2024" i="9"/>
  <c r="H1696" i="9"/>
  <c r="H1437" i="9"/>
  <c r="H2173" i="9"/>
  <c r="H1719" i="9"/>
  <c r="H1448" i="9"/>
  <c r="H1233" i="9"/>
  <c r="H2195" i="9"/>
  <c r="H1835" i="9"/>
  <c r="H1542" i="9"/>
  <c r="H1292" i="9"/>
  <c r="H1077" i="9"/>
  <c r="H2114" i="9"/>
  <c r="H1810" i="9"/>
  <c r="H1541" i="9"/>
  <c r="H1255" i="9"/>
  <c r="H2240" i="9"/>
  <c r="H1998" i="9"/>
  <c r="H1740" i="9"/>
  <c r="H2160" i="9"/>
  <c r="H1926" i="9"/>
  <c r="H1645" i="9"/>
  <c r="H1432" i="9"/>
  <c r="H2063" i="9"/>
  <c r="H1785" i="9"/>
  <c r="H2320" i="9"/>
  <c r="H1960" i="9"/>
  <c r="H1619" i="9"/>
  <c r="H2061" i="9"/>
  <c r="H1642" i="9"/>
  <c r="H2235" i="9"/>
  <c r="H1746" i="9"/>
  <c r="H1886" i="9"/>
  <c r="H1186" i="9"/>
  <c r="H820" i="9"/>
  <c r="H1651" i="9"/>
  <c r="H808" i="9"/>
  <c r="H818" i="9"/>
  <c r="H2230" i="9"/>
  <c r="H629" i="9"/>
  <c r="H1433" i="9"/>
  <c r="H1480" i="9"/>
  <c r="H1026" i="9"/>
  <c r="H1431" i="9"/>
  <c r="H874" i="9"/>
  <c r="H1251" i="9"/>
  <c r="H1226" i="9"/>
  <c r="H1249" i="9"/>
  <c r="H1487" i="9"/>
  <c r="H1486" i="9"/>
  <c r="H962" i="9"/>
  <c r="H888" i="9"/>
  <c r="H156" i="9"/>
  <c r="H286" i="9"/>
  <c r="H332" i="9"/>
  <c r="H457" i="9"/>
  <c r="H609" i="9"/>
  <c r="H834" i="9"/>
  <c r="H607" i="9"/>
  <c r="H174" i="9"/>
  <c r="H416" i="9"/>
  <c r="H140" i="9"/>
  <c r="H2096" i="9"/>
  <c r="H2351" i="9"/>
  <c r="H2103" i="9"/>
  <c r="H30" i="9"/>
  <c r="H243" i="9"/>
  <c r="H360" i="9"/>
  <c r="H509" i="9"/>
  <c r="H651" i="9"/>
  <c r="H238" i="9"/>
  <c r="H429" i="9"/>
  <c r="H569" i="9"/>
  <c r="H66" i="9"/>
  <c r="H198" i="9"/>
  <c r="H351" i="9"/>
  <c r="H83" i="9"/>
  <c r="H352" i="9"/>
  <c r="H774" i="9"/>
  <c r="H20" i="9"/>
  <c r="H193" i="9"/>
  <c r="H341" i="9"/>
  <c r="H478" i="9"/>
  <c r="H667" i="9"/>
  <c r="H822" i="9"/>
  <c r="H141" i="9"/>
  <c r="H32" i="9"/>
  <c r="H136" i="9"/>
  <c r="H273" i="9"/>
  <c r="H411" i="9"/>
  <c r="H716" i="9"/>
  <c r="H906" i="9"/>
  <c r="H61" i="9"/>
  <c r="H166" i="9"/>
  <c r="H297" i="9"/>
  <c r="H527" i="9"/>
  <c r="H669" i="9"/>
  <c r="H36" i="9"/>
  <c r="H114" i="9"/>
  <c r="H241" i="9"/>
  <c r="H424" i="9"/>
  <c r="H575" i="9"/>
  <c r="H718" i="9"/>
  <c r="H861" i="9"/>
  <c r="H120" i="9"/>
  <c r="H280" i="9"/>
  <c r="H414" i="9"/>
  <c r="H553" i="9"/>
  <c r="H695" i="9"/>
  <c r="H1051" i="9"/>
  <c r="H46" i="9"/>
  <c r="H144" i="9"/>
  <c r="H316" i="9"/>
  <c r="H471" i="9"/>
  <c r="H613" i="9"/>
  <c r="H121" i="9"/>
  <c r="H299" i="9"/>
  <c r="H449" i="9"/>
  <c r="H709" i="9"/>
  <c r="H852" i="9"/>
  <c r="H47" i="9"/>
  <c r="H336" i="9"/>
  <c r="H484" i="9"/>
  <c r="H950" i="9"/>
  <c r="H1092" i="9"/>
  <c r="H1235" i="9"/>
  <c r="H1378" i="9"/>
  <c r="H1522" i="9"/>
  <c r="H939" i="9"/>
  <c r="H1081" i="9"/>
  <c r="H1236" i="9"/>
  <c r="H1379" i="9"/>
  <c r="H1523" i="9"/>
  <c r="H883" i="9"/>
  <c r="H1034" i="9"/>
  <c r="H1189" i="9"/>
  <c r="H1332" i="9"/>
  <c r="H1476" i="9"/>
  <c r="H824" i="9"/>
  <c r="H989" i="9"/>
  <c r="H1274" i="9"/>
  <c r="H1501" i="9"/>
  <c r="H555" i="9"/>
  <c r="H17" i="9"/>
  <c r="H2266" i="9"/>
  <c r="H2292" i="9"/>
  <c r="H2164" i="9"/>
  <c r="H258" i="9"/>
  <c r="H2340" i="9"/>
  <c r="H2350" i="9"/>
  <c r="H2209" i="9"/>
  <c r="H2165" i="9"/>
  <c r="H2192" i="9"/>
  <c r="H157" i="9"/>
  <c r="H306" i="9"/>
  <c r="H474" i="9"/>
  <c r="H810" i="9"/>
  <c r="H2339" i="9"/>
  <c r="H1959" i="9"/>
  <c r="H2036" i="9"/>
  <c r="H2333" i="9"/>
  <c r="H2276" i="9"/>
  <c r="H163" i="9"/>
  <c r="H326" i="9"/>
  <c r="H485" i="9"/>
  <c r="H640" i="9"/>
  <c r="H277" i="9"/>
  <c r="H452" i="9"/>
  <c r="H914" i="9"/>
  <c r="H100" i="9"/>
  <c r="H266" i="9"/>
  <c r="H419" i="9"/>
  <c r="H307" i="9"/>
  <c r="H726" i="9"/>
  <c r="H329" i="9"/>
  <c r="H489" i="9"/>
  <c r="H691" i="9"/>
  <c r="H858" i="9"/>
  <c r="H204" i="9"/>
  <c r="H62" i="9"/>
  <c r="H210" i="9"/>
  <c r="H354" i="9"/>
  <c r="H668" i="9"/>
  <c r="H823" i="9"/>
  <c r="H10" i="9"/>
  <c r="H160" i="9"/>
  <c r="H303" i="9"/>
  <c r="H551" i="9"/>
  <c r="H705" i="9"/>
  <c r="H45" i="9"/>
  <c r="H177" i="9"/>
  <c r="H344" i="9"/>
  <c r="H516" i="9"/>
  <c r="H670" i="9"/>
  <c r="H825" i="9"/>
  <c r="H97" i="9"/>
  <c r="H269" i="9"/>
  <c r="H425" i="9"/>
  <c r="H576" i="9"/>
  <c r="H945" i="9"/>
  <c r="H1099" i="9"/>
  <c r="H75" i="9"/>
  <c r="H218" i="9"/>
  <c r="H404" i="9"/>
  <c r="H565" i="9"/>
  <c r="H92" i="9"/>
  <c r="H287" i="9"/>
  <c r="H438" i="9"/>
  <c r="H721" i="9"/>
  <c r="H876" i="9"/>
  <c r="H70" i="9"/>
  <c r="H394" i="9"/>
  <c r="H567" i="9"/>
  <c r="H1032" i="9"/>
  <c r="H1187" i="9"/>
  <c r="H1342" i="9"/>
  <c r="H1498" i="9"/>
  <c r="H927" i="9"/>
  <c r="H1093" i="9"/>
  <c r="H1260" i="9"/>
  <c r="H1415" i="9"/>
  <c r="H1630" i="9"/>
  <c r="H952" i="9"/>
  <c r="H1106" i="9"/>
  <c r="H1273" i="9"/>
  <c r="H1428" i="9"/>
  <c r="H2332" i="9"/>
  <c r="H965" i="9"/>
  <c r="H1119" i="9"/>
  <c r="H1286" i="9"/>
  <c r="H1561" i="9"/>
  <c r="H1024" i="9"/>
  <c r="H1167" i="9"/>
  <c r="H1310" i="9"/>
  <c r="H1454" i="9"/>
  <c r="H638" i="9"/>
  <c r="H779" i="9"/>
  <c r="H919" i="9"/>
  <c r="H259" i="9"/>
  <c r="H2244" i="9"/>
  <c r="H2079" i="9"/>
  <c r="H18" i="9"/>
  <c r="H265" i="9"/>
  <c r="H417" i="9"/>
  <c r="H604" i="9"/>
  <c r="H226" i="9"/>
  <c r="H441" i="9"/>
  <c r="H926" i="9"/>
  <c r="H123" i="9"/>
  <c r="H295" i="9"/>
  <c r="H134" i="9"/>
  <c r="H363" i="9"/>
  <c r="H821" i="9"/>
  <c r="H95" i="9"/>
  <c r="H284" i="9"/>
  <c r="H444" i="9"/>
  <c r="H655" i="9"/>
  <c r="H846" i="9"/>
  <c r="H209" i="9"/>
  <c r="H79" i="9"/>
  <c r="H228" i="9"/>
  <c r="H400" i="9"/>
  <c r="H740" i="9"/>
  <c r="H954" i="9"/>
  <c r="H90" i="9"/>
  <c r="H262" i="9"/>
  <c r="H503" i="9"/>
  <c r="H681" i="9"/>
  <c r="H39" i="9"/>
  <c r="H183" i="9"/>
  <c r="H379" i="9"/>
  <c r="H552" i="9"/>
  <c r="H730" i="9"/>
  <c r="H896" i="9"/>
  <c r="H195" i="9"/>
  <c r="H345" i="9"/>
  <c r="H517" i="9"/>
  <c r="H683" i="9"/>
  <c r="H1075" i="9"/>
  <c r="H69" i="9"/>
  <c r="H224" i="9"/>
  <c r="H426" i="9"/>
  <c r="H601" i="9"/>
  <c r="H162" i="9"/>
  <c r="H347" i="9"/>
  <c r="H519" i="9"/>
  <c r="H805" i="9"/>
  <c r="H35" i="9"/>
  <c r="H185" i="9"/>
  <c r="H371" i="9"/>
  <c r="H544" i="9"/>
  <c r="H1044" i="9"/>
  <c r="H1211" i="9"/>
  <c r="H1390" i="9"/>
  <c r="H1558" i="9"/>
  <c r="H998" i="9"/>
  <c r="H1176" i="9"/>
  <c r="H1343" i="9"/>
  <c r="H1511" i="9"/>
  <c r="H916" i="9"/>
  <c r="H1082" i="9"/>
  <c r="H1261" i="9"/>
  <c r="H1440" i="9"/>
  <c r="H812" i="9"/>
  <c r="H1011" i="9"/>
  <c r="H1178" i="9"/>
  <c r="H1357" i="9"/>
  <c r="H1990" i="9"/>
  <c r="H1108" i="9"/>
  <c r="H1263" i="9"/>
  <c r="H1418" i="9"/>
  <c r="H614" i="9"/>
  <c r="H767" i="9"/>
  <c r="H931" i="9"/>
  <c r="H1073" i="9"/>
  <c r="H1216" i="9"/>
  <c r="H1359" i="9"/>
  <c r="H1682" i="9"/>
  <c r="H650" i="9"/>
  <c r="H792" i="9"/>
  <c r="H932" i="9"/>
  <c r="H1074" i="9"/>
  <c r="H327" i="9"/>
  <c r="H2304" i="9"/>
  <c r="H2338" i="9"/>
  <c r="H2336" i="9"/>
  <c r="H24" i="9"/>
  <c r="H271" i="9"/>
  <c r="H440" i="9"/>
  <c r="H616" i="9"/>
  <c r="H232" i="9"/>
  <c r="H463" i="9"/>
  <c r="H938" i="9"/>
  <c r="H152" i="9"/>
  <c r="H301" i="9"/>
  <c r="H55" i="9"/>
  <c r="H431" i="9"/>
  <c r="H833" i="9"/>
  <c r="H101" i="9"/>
  <c r="H290" i="9"/>
  <c r="H455" i="9"/>
  <c r="H679" i="9"/>
  <c r="H870" i="9"/>
  <c r="H221" i="9"/>
  <c r="H84" i="9"/>
  <c r="H234" i="9"/>
  <c r="H422" i="9"/>
  <c r="H966" i="9"/>
  <c r="H96" i="9"/>
  <c r="H268" i="9"/>
  <c r="H515" i="9"/>
  <c r="H693" i="9"/>
  <c r="H51" i="9"/>
  <c r="H390" i="9"/>
  <c r="H563" i="9"/>
  <c r="H742" i="9"/>
  <c r="H48" i="9"/>
  <c r="H201" i="9"/>
  <c r="H356" i="9"/>
  <c r="H529" i="9"/>
  <c r="H921" i="9"/>
  <c r="H1087" i="9"/>
  <c r="H86" i="9"/>
  <c r="H230" i="9"/>
  <c r="H437" i="9"/>
  <c r="H625" i="9"/>
  <c r="H190" i="9"/>
  <c r="H358" i="9"/>
  <c r="H531" i="9"/>
  <c r="H816" i="9"/>
  <c r="H41" i="9"/>
  <c r="H202" i="9"/>
  <c r="H382" i="9"/>
  <c r="H579" i="9"/>
  <c r="H1056" i="9"/>
  <c r="H1223" i="9"/>
  <c r="H1402" i="9"/>
  <c r="H1605" i="9"/>
  <c r="H1009" i="9"/>
  <c r="H1188" i="9"/>
  <c r="H1355" i="9"/>
  <c r="H1535" i="9"/>
  <c r="H928" i="9"/>
  <c r="H1094" i="9"/>
  <c r="H1285" i="9"/>
  <c r="H1452" i="9"/>
  <c r="H836" i="9"/>
  <c r="H1023" i="9"/>
  <c r="H1190" i="9"/>
  <c r="H1369" i="9"/>
  <c r="H2014" i="9"/>
  <c r="H1120" i="9"/>
  <c r="H1275" i="9"/>
  <c r="H1430" i="9"/>
  <c r="H626" i="9"/>
  <c r="H791" i="9"/>
  <c r="H943" i="9"/>
  <c r="H1085" i="9"/>
  <c r="H1371" i="9"/>
  <c r="H1706" i="9"/>
  <c r="H661" i="9"/>
  <c r="H804" i="9"/>
  <c r="H944" i="9"/>
  <c r="H1086" i="9"/>
  <c r="H1229" i="9"/>
  <c r="H242" i="9"/>
  <c r="H2326" i="9"/>
  <c r="H2208" i="9"/>
  <c r="H2268" i="9"/>
  <c r="H65" i="9"/>
  <c r="H282" i="9"/>
  <c r="H451" i="9"/>
  <c r="H628" i="9"/>
  <c r="H312" i="9"/>
  <c r="H475" i="9"/>
  <c r="H146" i="9"/>
  <c r="H158" i="9"/>
  <c r="H135" i="9"/>
  <c r="H443" i="9"/>
  <c r="H845" i="9"/>
  <c r="H124" i="9"/>
  <c r="H296" i="9"/>
  <c r="H466" i="9"/>
  <c r="H703" i="9"/>
  <c r="H882" i="9"/>
  <c r="H272" i="9"/>
  <c r="H113" i="9"/>
  <c r="H240" i="9"/>
  <c r="H597" i="9"/>
  <c r="H764" i="9"/>
  <c r="H978" i="9"/>
  <c r="H102" i="9"/>
  <c r="H285" i="9"/>
  <c r="H539" i="9"/>
  <c r="H717" i="9"/>
  <c r="H57" i="9"/>
  <c r="H217" i="9"/>
  <c r="H402" i="9"/>
  <c r="H587" i="9"/>
  <c r="H754" i="9"/>
  <c r="H37" i="9"/>
  <c r="H206" i="9"/>
  <c r="H368" i="9"/>
  <c r="H541" i="9"/>
  <c r="H933" i="9"/>
  <c r="H1111" i="9"/>
  <c r="H109" i="9"/>
  <c r="H236" i="9"/>
  <c r="H459" i="9"/>
  <c r="H637" i="9"/>
  <c r="H196" i="9"/>
  <c r="H370" i="9"/>
  <c r="H543" i="9"/>
  <c r="H828" i="9"/>
  <c r="H53" i="9"/>
  <c r="H213" i="9"/>
  <c r="H406" i="9"/>
  <c r="H662" i="9"/>
  <c r="H1068" i="9"/>
  <c r="H1247" i="9"/>
  <c r="H1414" i="9"/>
  <c r="H1629" i="9"/>
  <c r="H1021" i="9"/>
  <c r="H1200" i="9"/>
  <c r="H1367" i="9"/>
  <c r="H1547" i="9"/>
  <c r="H940" i="9"/>
  <c r="H1118" i="9"/>
  <c r="H1297" i="9"/>
  <c r="H1464" i="9"/>
  <c r="H848" i="9"/>
  <c r="H1035" i="9"/>
  <c r="H1202" i="9"/>
  <c r="H1381" i="9"/>
  <c r="H2189" i="9"/>
  <c r="H1132" i="9"/>
  <c r="H1287" i="9"/>
  <c r="H1442" i="9"/>
  <c r="H649" i="9"/>
  <c r="H803" i="9"/>
  <c r="H955" i="9"/>
  <c r="H1097" i="9"/>
  <c r="H1240" i="9"/>
  <c r="H1383" i="9"/>
  <c r="H1730" i="9"/>
  <c r="H673" i="9"/>
  <c r="H815" i="9"/>
  <c r="H956" i="9"/>
  <c r="H1098" i="9"/>
  <c r="H1241" i="9"/>
  <c r="H1384" i="9"/>
  <c r="H1647" i="9"/>
  <c r="H1182" i="9"/>
  <c r="H1325" i="9"/>
  <c r="H1469" i="9"/>
  <c r="H430" i="9"/>
  <c r="H570" i="9"/>
  <c r="H734" i="9"/>
  <c r="H877" i="9"/>
  <c r="H1040" i="9"/>
  <c r="H477" i="9"/>
  <c r="H618" i="9"/>
  <c r="H759" i="9"/>
  <c r="H901" i="9"/>
  <c r="H1710" i="9"/>
  <c r="H677" i="9"/>
  <c r="H831" i="9"/>
  <c r="H972" i="9"/>
  <c r="H1579" i="9"/>
  <c r="H378" i="9"/>
  <c r="H526" i="9"/>
  <c r="H678" i="9"/>
  <c r="H832" i="9"/>
  <c r="H973" i="9"/>
  <c r="H1127" i="9"/>
  <c r="H1270" i="9"/>
  <c r="H1592" i="9"/>
  <c r="H1769" i="9"/>
  <c r="H1957" i="9"/>
  <c r="H2305" i="9"/>
  <c r="H1687" i="9"/>
  <c r="H1851" i="9"/>
  <c r="H2005" i="9"/>
  <c r="H2224" i="9"/>
  <c r="H1429" i="9"/>
  <c r="H1594" i="9"/>
  <c r="H1747" i="9"/>
  <c r="H1911" i="9"/>
  <c r="H2167" i="9"/>
  <c r="H2343" i="9"/>
  <c r="H1689" i="9"/>
  <c r="H1853" i="9"/>
  <c r="H1995" i="9"/>
  <c r="H2158" i="9"/>
  <c r="H2308" i="9"/>
  <c r="H1596" i="9"/>
  <c r="H1761" i="9"/>
  <c r="H1913" i="9"/>
  <c r="H107" i="9"/>
  <c r="H2348" i="9"/>
  <c r="H2210" i="9"/>
  <c r="H2352" i="9"/>
  <c r="H82" i="9"/>
  <c r="H288" i="9"/>
  <c r="H462" i="9"/>
  <c r="H54" i="9"/>
  <c r="H318" i="9"/>
  <c r="H486" i="9"/>
  <c r="H6" i="9"/>
  <c r="H164" i="9"/>
  <c r="H339" i="9"/>
  <c r="H175" i="9"/>
  <c r="H60" i="9"/>
  <c r="H2267" i="9"/>
  <c r="H1731" i="9"/>
  <c r="H197" i="9"/>
  <c r="H533" i="9"/>
  <c r="H214" i="9"/>
  <c r="H522" i="9"/>
  <c r="H94" i="9"/>
  <c r="H374" i="9"/>
  <c r="H319" i="9"/>
  <c r="H857" i="9"/>
  <c r="H199" i="9"/>
  <c r="H77" i="9"/>
  <c r="H2289" i="9"/>
  <c r="H1920" i="9"/>
  <c r="H254" i="9"/>
  <c r="H545" i="9"/>
  <c r="H220" i="9"/>
  <c r="H534" i="9"/>
  <c r="H106" i="9"/>
  <c r="H385" i="9"/>
  <c r="H328" i="9"/>
  <c r="H869" i="9"/>
  <c r="H245" i="9"/>
  <c r="H421" i="9"/>
  <c r="H727" i="9"/>
  <c r="H118" i="9"/>
  <c r="H56" i="9"/>
  <c r="H308" i="9"/>
  <c r="H656" i="9"/>
  <c r="H930" i="9"/>
  <c r="H154" i="9"/>
  <c r="H434" i="9"/>
  <c r="H645" i="9"/>
  <c r="H74" i="9"/>
  <c r="H309" i="9"/>
  <c r="H528" i="9"/>
  <c r="H778" i="9"/>
  <c r="H103" i="9"/>
  <c r="H322" i="9"/>
  <c r="H588" i="9"/>
  <c r="H58" i="9"/>
  <c r="H310" i="9"/>
  <c r="H530" i="9"/>
  <c r="H104" i="9"/>
  <c r="H393" i="9"/>
  <c r="H745" i="9"/>
  <c r="H5" i="9"/>
  <c r="H231" i="9"/>
  <c r="H473" i="9"/>
  <c r="H1008" i="9"/>
  <c r="H1271" i="9"/>
  <c r="H1474" i="9"/>
  <c r="H975" i="9"/>
  <c r="H1224" i="9"/>
  <c r="H1451" i="9"/>
  <c r="H871" i="9"/>
  <c r="H1153" i="9"/>
  <c r="H1368" i="9"/>
  <c r="H2248" i="9"/>
  <c r="H1059" i="9"/>
  <c r="H1262" i="9"/>
  <c r="H1918" i="9"/>
  <c r="H1155" i="9"/>
  <c r="H1358" i="9"/>
  <c r="H591" i="9"/>
  <c r="H826" i="9"/>
  <c r="H1013" i="9"/>
  <c r="H1192" i="9"/>
  <c r="H1407" i="9"/>
  <c r="H1872" i="9"/>
  <c r="H768" i="9"/>
  <c r="H980" i="9"/>
  <c r="H1157" i="9"/>
  <c r="H1324" i="9"/>
  <c r="H1146" i="9"/>
  <c r="H1302" i="9"/>
  <c r="H1457" i="9"/>
  <c r="H442" i="9"/>
  <c r="H594" i="9"/>
  <c r="H770" i="9"/>
  <c r="H934" i="9"/>
  <c r="H1757" i="9"/>
  <c r="H548" i="9"/>
  <c r="H700" i="9"/>
  <c r="H854" i="9"/>
  <c r="H819" i="9"/>
  <c r="H984" i="9"/>
  <c r="H1603" i="9"/>
  <c r="H412" i="9"/>
  <c r="H573" i="9"/>
  <c r="H749" i="9"/>
  <c r="H207" i="9"/>
  <c r="H2231" i="9"/>
  <c r="H9" i="9"/>
  <c r="H372" i="9"/>
  <c r="H180" i="9"/>
  <c r="H498" i="9"/>
  <c r="H169" i="9"/>
  <c r="H701" i="9"/>
  <c r="H714" i="9"/>
  <c r="H89" i="9"/>
  <c r="H387" i="9"/>
  <c r="H596" i="9"/>
  <c r="H112" i="9"/>
  <c r="H73" i="9"/>
  <c r="H320" i="9"/>
  <c r="H704" i="9"/>
  <c r="H128" i="9"/>
  <c r="H246" i="9"/>
  <c r="H574" i="9"/>
  <c r="H789" i="9"/>
  <c r="H223" i="9"/>
  <c r="H480" i="9"/>
  <c r="H706" i="9"/>
  <c r="H91" i="9"/>
  <c r="H333" i="9"/>
  <c r="H612" i="9"/>
  <c r="H1039" i="9"/>
  <c r="H132" i="9"/>
  <c r="H369" i="9"/>
  <c r="H910" i="9"/>
  <c r="H293" i="9"/>
  <c r="H566" i="9"/>
  <c r="H42" i="9"/>
  <c r="H145" i="9"/>
  <c r="H461" i="9"/>
  <c r="H1020" i="9"/>
  <c r="H1295" i="9"/>
  <c r="H1534" i="9"/>
  <c r="H1057" i="9"/>
  <c r="H1308" i="9"/>
  <c r="H1654" i="9"/>
  <c r="H1022" i="9"/>
  <c r="H1309" i="9"/>
  <c r="H1965" i="9"/>
  <c r="H1000" i="9"/>
  <c r="H1250" i="9"/>
  <c r="H1942" i="9"/>
  <c r="H1191" i="9"/>
  <c r="H1394" i="9"/>
  <c r="H684" i="9"/>
  <c r="H886" i="9"/>
  <c r="H1121" i="9"/>
  <c r="H1311" i="9"/>
  <c r="H1742" i="9"/>
  <c r="H732" i="9"/>
  <c r="H920" i="9"/>
  <c r="H1145" i="9"/>
  <c r="H1336" i="9"/>
  <c r="H1552" i="9"/>
  <c r="H1194" i="9"/>
  <c r="H1361" i="9"/>
  <c r="H1850" i="9"/>
  <c r="H511" i="9"/>
  <c r="H699" i="9"/>
  <c r="H865" i="9"/>
  <c r="H1279" i="9"/>
  <c r="H524" i="9"/>
  <c r="H688" i="9"/>
  <c r="H866" i="9"/>
  <c r="H1698" i="9"/>
  <c r="H712" i="9"/>
  <c r="H879" i="9"/>
  <c r="H1054" i="9"/>
  <c r="H2102" i="9"/>
  <c r="H502" i="9"/>
  <c r="H690" i="9"/>
  <c r="H868" i="9"/>
  <c r="H1043" i="9"/>
  <c r="H1198" i="9"/>
  <c r="H1533" i="9"/>
  <c r="H2032" i="9"/>
  <c r="H1921" i="9"/>
  <c r="H2269" i="9"/>
  <c r="H1675" i="9"/>
  <c r="H1863" i="9"/>
  <c r="H2027" i="9"/>
  <c r="H2258" i="9"/>
  <c r="H1488" i="9"/>
  <c r="H1664" i="9"/>
  <c r="H1841" i="9"/>
  <c r="H2109" i="9"/>
  <c r="H2295" i="9"/>
  <c r="H1643" i="9"/>
  <c r="H1830" i="9"/>
  <c r="H1983" i="9"/>
  <c r="H2168" i="9"/>
  <c r="H2344" i="9"/>
  <c r="H1632" i="9"/>
  <c r="H1807" i="9"/>
  <c r="H1973" i="9"/>
  <c r="H2123" i="9"/>
  <c r="H2285" i="9"/>
  <c r="H1539" i="9"/>
  <c r="H1691" i="9"/>
  <c r="H1832" i="9"/>
  <c r="H1997" i="9"/>
  <c r="H2170" i="9"/>
  <c r="H1634" i="9"/>
  <c r="H1787" i="9"/>
  <c r="H1927" i="9"/>
  <c r="H2089" i="9"/>
  <c r="H2275" i="9"/>
  <c r="H1159" i="9"/>
  <c r="H1326" i="9"/>
  <c r="H1481" i="9"/>
  <c r="H1669" i="9"/>
  <c r="H1834" i="9"/>
  <c r="H1999" i="9"/>
  <c r="H2206" i="9"/>
  <c r="H1017" i="9"/>
  <c r="H1172" i="9"/>
  <c r="H1327" i="9"/>
  <c r="H1470" i="9"/>
  <c r="H1636" i="9"/>
  <c r="H1846" i="9"/>
  <c r="H2022" i="9"/>
  <c r="H2253" i="9"/>
  <c r="H1173" i="9"/>
  <c r="H1316" i="9"/>
  <c r="H1471" i="9"/>
  <c r="H1625" i="9"/>
  <c r="H1824" i="9"/>
  <c r="H2068" i="9"/>
  <c r="H1306" i="9"/>
  <c r="H1461" i="9"/>
  <c r="H1614" i="9"/>
  <c r="H1755" i="9"/>
  <c r="H1955" i="9"/>
  <c r="H2141" i="9"/>
  <c r="H1780" i="9"/>
  <c r="H1979" i="9"/>
  <c r="H2049" i="9"/>
  <c r="H2171" i="9"/>
  <c r="H2311" i="9"/>
  <c r="H2254" i="9"/>
  <c r="H2197" i="9"/>
  <c r="H2315" i="9"/>
  <c r="H13" i="9"/>
  <c r="H383" i="9"/>
  <c r="H186" i="9"/>
  <c r="H510" i="9"/>
  <c r="H192" i="9"/>
  <c r="H915" i="9"/>
  <c r="H738" i="9"/>
  <c r="H153" i="9"/>
  <c r="H399" i="9"/>
  <c r="H715" i="9"/>
  <c r="H129" i="9"/>
  <c r="H119" i="9"/>
  <c r="H330" i="9"/>
  <c r="H728" i="9"/>
  <c r="H43" i="9"/>
  <c r="H251" i="9"/>
  <c r="H586" i="9"/>
  <c r="H907" i="9"/>
  <c r="H229" i="9"/>
  <c r="H492" i="9"/>
  <c r="H766" i="9"/>
  <c r="H155" i="9"/>
  <c r="H391" i="9"/>
  <c r="H624" i="9"/>
  <c r="H1063" i="9"/>
  <c r="H138" i="9"/>
  <c r="H392" i="9"/>
  <c r="H4" i="9"/>
  <c r="H305" i="9"/>
  <c r="H578" i="9"/>
  <c r="H23" i="9"/>
  <c r="H225" i="9"/>
  <c r="H496" i="9"/>
  <c r="H1080" i="9"/>
  <c r="H1307" i="9"/>
  <c r="H1546" i="9"/>
  <c r="H1069" i="9"/>
  <c r="H1319" i="9"/>
  <c r="H1678" i="9"/>
  <c r="H1046" i="9"/>
  <c r="H1320" i="9"/>
  <c r="H1989" i="9"/>
  <c r="H1047" i="9"/>
  <c r="H1298" i="9"/>
  <c r="H2249" i="9"/>
  <c r="H1203" i="9"/>
  <c r="H1406" i="9"/>
  <c r="H696" i="9"/>
  <c r="H897" i="9"/>
  <c r="H1133" i="9"/>
  <c r="H1323" i="9"/>
  <c r="H1778" i="9"/>
  <c r="H744" i="9"/>
  <c r="H968" i="9"/>
  <c r="H1169" i="9"/>
  <c r="H1348" i="9"/>
  <c r="H1206" i="9"/>
  <c r="H1373" i="9"/>
  <c r="H1898" i="9"/>
  <c r="H523" i="9"/>
  <c r="H710" i="9"/>
  <c r="H889" i="9"/>
  <c r="H1601" i="9"/>
  <c r="H536" i="9"/>
  <c r="H711" i="9"/>
  <c r="H878" i="9"/>
  <c r="H1722" i="9"/>
  <c r="H724" i="9"/>
  <c r="H891" i="9"/>
  <c r="H1066" i="9"/>
  <c r="H2162" i="9"/>
  <c r="H514" i="9"/>
  <c r="H713" i="9"/>
  <c r="H880" i="9"/>
  <c r="H1055" i="9"/>
  <c r="H1210" i="9"/>
  <c r="H1545" i="9"/>
  <c r="H2127" i="9"/>
  <c r="H1933" i="9"/>
  <c r="H2281" i="9"/>
  <c r="H1699" i="9"/>
  <c r="H1875" i="9"/>
  <c r="H2108" i="9"/>
  <c r="H2270" i="9"/>
  <c r="H1512" i="9"/>
  <c r="H1676" i="9"/>
  <c r="H1852" i="9"/>
  <c r="H2121" i="9"/>
  <c r="H2307" i="9"/>
  <c r="H1665" i="9"/>
  <c r="H1842" i="9"/>
  <c r="H2018" i="9"/>
  <c r="H2178" i="9"/>
  <c r="H1467" i="9"/>
  <c r="H1644" i="9"/>
  <c r="H1819" i="9"/>
  <c r="H1984" i="9"/>
  <c r="H2135" i="9"/>
  <c r="H2297" i="9"/>
  <c r="H1551" i="9"/>
  <c r="H1703" i="9"/>
  <c r="H1855" i="9"/>
  <c r="H2009" i="9"/>
  <c r="H2180" i="9"/>
  <c r="H1646" i="9"/>
  <c r="H1798" i="9"/>
  <c r="H1939" i="9"/>
  <c r="H2101" i="9"/>
  <c r="H2287" i="9"/>
  <c r="H1171" i="9"/>
  <c r="H1338" i="9"/>
  <c r="H1493" i="9"/>
  <c r="H1681" i="9"/>
  <c r="H1845" i="9"/>
  <c r="H2011" i="9"/>
  <c r="H2218" i="9"/>
  <c r="H1029" i="9"/>
  <c r="H1184" i="9"/>
  <c r="H1339" i="9"/>
  <c r="H1482" i="9"/>
  <c r="H1670" i="9"/>
  <c r="H1858" i="9"/>
  <c r="H2043" i="9"/>
  <c r="H2265" i="9"/>
  <c r="H1185" i="9"/>
  <c r="H1328" i="9"/>
  <c r="H1483" i="9"/>
  <c r="H1637" i="9"/>
  <c r="H1836" i="9"/>
  <c r="H2080" i="9"/>
  <c r="H1317" i="9"/>
  <c r="H1472" i="9"/>
  <c r="H1626" i="9"/>
  <c r="H1767" i="9"/>
  <c r="H1967" i="9"/>
  <c r="H2174" i="9"/>
  <c r="H1792" i="9"/>
  <c r="H1991" i="9"/>
  <c r="H2048" i="9"/>
  <c r="H2073" i="9"/>
  <c r="H2205" i="9"/>
  <c r="H2323" i="9"/>
  <c r="H2313" i="9"/>
  <c r="H2221" i="9"/>
  <c r="H117" i="9"/>
  <c r="H1683" i="9"/>
  <c r="H93" i="9"/>
  <c r="H395" i="9"/>
  <c r="H203" i="9"/>
  <c r="H546" i="9"/>
  <c r="H244" i="9"/>
  <c r="H1141" i="9"/>
  <c r="H750" i="9"/>
  <c r="H159" i="9"/>
  <c r="H410" i="9"/>
  <c r="H739" i="9"/>
  <c r="H147" i="9"/>
  <c r="H130" i="9"/>
  <c r="H342" i="9"/>
  <c r="H776" i="9"/>
  <c r="H78" i="9"/>
  <c r="H257" i="9"/>
  <c r="H598" i="9"/>
  <c r="H16" i="9"/>
  <c r="H235" i="9"/>
  <c r="H504" i="9"/>
  <c r="H790" i="9"/>
  <c r="H161" i="9"/>
  <c r="H403" i="9"/>
  <c r="H636" i="9"/>
  <c r="H1123" i="9"/>
  <c r="H150" i="9"/>
  <c r="H415" i="9"/>
  <c r="H324" i="9"/>
  <c r="H590" i="9"/>
  <c r="H29" i="9"/>
  <c r="H508" i="9"/>
  <c r="H1104" i="9"/>
  <c r="H1318" i="9"/>
  <c r="H1975" i="9"/>
  <c r="H1105" i="9"/>
  <c r="H1331" i="9"/>
  <c r="H1964" i="9"/>
  <c r="H1058" i="9"/>
  <c r="H1344" i="9"/>
  <c r="H2188" i="9"/>
  <c r="H1071" i="9"/>
  <c r="H1321" i="9"/>
  <c r="H1001" i="9"/>
  <c r="H1215" i="9"/>
  <c r="H1466" i="9"/>
  <c r="H707" i="9"/>
  <c r="H908" i="9"/>
  <c r="H1144" i="9"/>
  <c r="H1335" i="9"/>
  <c r="H1802" i="9"/>
  <c r="H756" i="9"/>
  <c r="H992" i="9"/>
  <c r="H1181" i="9"/>
  <c r="H1360" i="9"/>
  <c r="H1803" i="9"/>
  <c r="H1218" i="9"/>
  <c r="H2147" i="9"/>
  <c r="H535" i="9"/>
  <c r="H722" i="9"/>
  <c r="H900" i="9"/>
  <c r="H1745" i="9"/>
  <c r="H559" i="9"/>
  <c r="H723" i="9"/>
  <c r="H890" i="9"/>
  <c r="H1734" i="9"/>
  <c r="H736" i="9"/>
  <c r="H902" i="9"/>
  <c r="H1078" i="9"/>
  <c r="H355" i="9"/>
  <c r="H538" i="9"/>
  <c r="H725" i="9"/>
  <c r="H892" i="9"/>
  <c r="H1067" i="9"/>
  <c r="H1222" i="9"/>
  <c r="H1557" i="9"/>
  <c r="H2293" i="9"/>
  <c r="H1945" i="9"/>
  <c r="H2317" i="9"/>
  <c r="H1711" i="9"/>
  <c r="H1887" i="9"/>
  <c r="H2120" i="9"/>
  <c r="H2282" i="9"/>
  <c r="H1524" i="9"/>
  <c r="H1688" i="9"/>
  <c r="H1864" i="9"/>
  <c r="H2133" i="9"/>
  <c r="H2319" i="9"/>
  <c r="H1677" i="9"/>
  <c r="H1865" i="9"/>
  <c r="H2028" i="9"/>
  <c r="H2190" i="9"/>
  <c r="H1478" i="9"/>
  <c r="H1666" i="9"/>
  <c r="H1831" i="9"/>
  <c r="H1996" i="9"/>
  <c r="H2159" i="9"/>
  <c r="H2321" i="9"/>
  <c r="H1562" i="9"/>
  <c r="H1715" i="9"/>
  <c r="H1867" i="9"/>
  <c r="H2030" i="9"/>
  <c r="H2204" i="9"/>
  <c r="H1657" i="9"/>
  <c r="H1809" i="9"/>
  <c r="H1951" i="9"/>
  <c r="H2113" i="9"/>
  <c r="H1028" i="9"/>
  <c r="H1183" i="9"/>
  <c r="H1350" i="9"/>
  <c r="H1505" i="9"/>
  <c r="H1693" i="9"/>
  <c r="H1857" i="9"/>
  <c r="H2241" i="9"/>
  <c r="H1053" i="9"/>
  <c r="H1196" i="9"/>
  <c r="H1351" i="9"/>
  <c r="H1494" i="9"/>
  <c r="H1694" i="9"/>
  <c r="H1870" i="9"/>
  <c r="H2055" i="9"/>
  <c r="H2277" i="9"/>
  <c r="H1197" i="9"/>
  <c r="H1340" i="9"/>
  <c r="H1495" i="9"/>
  <c r="H1648" i="9"/>
  <c r="H1847" i="9"/>
  <c r="H2092" i="9"/>
  <c r="H1329" i="9"/>
  <c r="H1484" i="9"/>
  <c r="H1638" i="9"/>
  <c r="H1779" i="9"/>
  <c r="H1978" i="9"/>
  <c r="H2279" i="9"/>
  <c r="H1814" i="9"/>
  <c r="H2003" i="9"/>
  <c r="H2084" i="9"/>
  <c r="H2085" i="9"/>
  <c r="H2251" i="9"/>
  <c r="H2335" i="9"/>
  <c r="H2325" i="9"/>
  <c r="H2255" i="9"/>
  <c r="H2303" i="9"/>
  <c r="H1873" i="9"/>
  <c r="H99" i="9"/>
  <c r="H407" i="9"/>
  <c r="H208" i="9"/>
  <c r="H557" i="9"/>
  <c r="H249" i="9"/>
  <c r="H215" i="9"/>
  <c r="H762" i="9"/>
  <c r="H170" i="9"/>
  <c r="H432" i="9"/>
  <c r="H181" i="9"/>
  <c r="H142" i="9"/>
  <c r="H788" i="9"/>
  <c r="H11" i="9"/>
  <c r="H291" i="9"/>
  <c r="H610" i="9"/>
  <c r="H33" i="9"/>
  <c r="H274" i="9"/>
  <c r="H540" i="9"/>
  <c r="H802" i="9"/>
  <c r="H172" i="9"/>
  <c r="H436" i="9"/>
  <c r="H647" i="9"/>
  <c r="H167" i="9"/>
  <c r="H482" i="9"/>
  <c r="H64" i="9"/>
  <c r="H335" i="9"/>
  <c r="H733" i="9"/>
  <c r="H276" i="9"/>
  <c r="H1116" i="9"/>
  <c r="H1330" i="9"/>
  <c r="H2033" i="9"/>
  <c r="H1117" i="9"/>
  <c r="H1391" i="9"/>
  <c r="H1988" i="9"/>
  <c r="H1070" i="9"/>
  <c r="H1356" i="9"/>
  <c r="H801" i="9"/>
  <c r="H1083" i="9"/>
  <c r="H1333" i="9"/>
  <c r="H1012" i="9"/>
  <c r="H1227" i="9"/>
  <c r="H1526" i="9"/>
  <c r="H719" i="9"/>
  <c r="H967" i="9"/>
  <c r="H1156" i="9"/>
  <c r="H1848" i="9"/>
  <c r="H780" i="9"/>
  <c r="H1003" i="9"/>
  <c r="H1193" i="9"/>
  <c r="H1372" i="9"/>
  <c r="H1826" i="9"/>
  <c r="H1230" i="9"/>
  <c r="H1397" i="9"/>
  <c r="H375" i="9"/>
  <c r="H547" i="9"/>
  <c r="H746" i="9"/>
  <c r="H922" i="9"/>
  <c r="H1781" i="9"/>
  <c r="H571" i="9"/>
  <c r="H735" i="9"/>
  <c r="H911" i="9"/>
  <c r="H1794" i="9"/>
  <c r="H748" i="9"/>
  <c r="H912" i="9"/>
  <c r="H1364" i="9"/>
  <c r="H366" i="9"/>
  <c r="H550" i="9"/>
  <c r="H737" i="9"/>
  <c r="H913" i="9"/>
  <c r="H1079" i="9"/>
  <c r="H1234" i="9"/>
  <c r="H1568" i="9"/>
  <c r="H2353" i="9"/>
  <c r="H1969" i="9"/>
  <c r="H2329" i="9"/>
  <c r="H1723" i="9"/>
  <c r="H1910" i="9"/>
  <c r="H2132" i="9"/>
  <c r="H2306" i="9"/>
  <c r="H1536" i="9"/>
  <c r="H1700" i="9"/>
  <c r="H1876" i="9"/>
  <c r="H2145" i="9"/>
  <c r="H2331" i="9"/>
  <c r="H1701" i="9"/>
  <c r="H1877" i="9"/>
  <c r="H2038" i="9"/>
  <c r="H2202" i="9"/>
  <c r="H1490" i="9"/>
  <c r="H1690" i="9"/>
  <c r="H1843" i="9"/>
  <c r="H2019" i="9"/>
  <c r="H2169" i="9"/>
  <c r="H2345" i="9"/>
  <c r="H1573" i="9"/>
  <c r="H1727" i="9"/>
  <c r="H1879" i="9"/>
  <c r="H2040" i="9"/>
  <c r="H2216" i="9"/>
  <c r="H1668" i="9"/>
  <c r="H1821" i="9"/>
  <c r="H1963" i="9"/>
  <c r="H2125" i="9"/>
  <c r="H1052" i="9"/>
  <c r="H1195" i="9"/>
  <c r="H1362" i="9"/>
  <c r="H1517" i="9"/>
  <c r="H1717" i="9"/>
  <c r="H1869" i="9"/>
  <c r="H2042" i="9"/>
  <c r="H2264" i="9"/>
  <c r="H1065" i="9"/>
  <c r="H1208" i="9"/>
  <c r="H1363" i="9"/>
  <c r="H1506" i="9"/>
  <c r="H1718" i="9"/>
  <c r="H1882" i="9"/>
  <c r="H2091" i="9"/>
  <c r="H2301" i="9"/>
  <c r="H1209" i="9"/>
  <c r="H1352" i="9"/>
  <c r="H1507" i="9"/>
  <c r="H1859" i="9"/>
  <c r="H2116" i="9"/>
  <c r="H1341" i="9"/>
  <c r="H1496" i="9"/>
  <c r="H1649" i="9"/>
  <c r="H1791" i="9"/>
  <c r="H2002" i="9"/>
  <c r="H1661" i="9"/>
  <c r="H1838" i="9"/>
  <c r="H2025" i="9"/>
  <c r="H2119" i="9"/>
  <c r="H2097" i="9"/>
  <c r="H2262" i="9"/>
  <c r="H2347" i="9"/>
  <c r="H2015" i="9"/>
  <c r="H2290" i="9"/>
  <c r="H2072" i="9"/>
  <c r="H1966" i="9"/>
  <c r="H105" i="9"/>
  <c r="H497" i="9"/>
  <c r="H338" i="9"/>
  <c r="H581" i="9"/>
  <c r="H255" i="9"/>
  <c r="H227" i="9"/>
  <c r="H786" i="9"/>
  <c r="H250" i="9"/>
  <c r="H501" i="9"/>
  <c r="H763" i="9"/>
  <c r="H187" i="9"/>
  <c r="H148" i="9"/>
  <c r="H377" i="9"/>
  <c r="H800" i="9"/>
  <c r="H21" i="9"/>
  <c r="H331" i="9"/>
  <c r="H622" i="9"/>
  <c r="H63" i="9"/>
  <c r="H315" i="9"/>
  <c r="H599" i="9"/>
  <c r="H813" i="9"/>
  <c r="H189" i="9"/>
  <c r="H448" i="9"/>
  <c r="H659" i="9"/>
  <c r="H8" i="9"/>
  <c r="H178" i="9"/>
  <c r="H494" i="9"/>
  <c r="H81" i="9"/>
  <c r="H381" i="9"/>
  <c r="H757" i="9"/>
  <c r="H59" i="9"/>
  <c r="H311" i="9"/>
  <c r="H532" i="9"/>
  <c r="H1128" i="9"/>
  <c r="H1354" i="9"/>
  <c r="H2056" i="9"/>
  <c r="H1129" i="9"/>
  <c r="H1403" i="9"/>
  <c r="H2057" i="9"/>
  <c r="H1130" i="9"/>
  <c r="H1380" i="9"/>
  <c r="H860" i="9"/>
  <c r="H1095" i="9"/>
  <c r="H1345" i="9"/>
  <c r="H1036" i="9"/>
  <c r="H1239" i="9"/>
  <c r="H1705" i="9"/>
  <c r="H731" i="9"/>
  <c r="H979" i="9"/>
  <c r="H1168" i="9"/>
  <c r="H1395" i="9"/>
  <c r="H603" i="9"/>
  <c r="H827" i="9"/>
  <c r="H1014" i="9"/>
  <c r="H1205" i="9"/>
  <c r="H1396" i="9"/>
  <c r="H1849" i="9"/>
  <c r="H1242" i="9"/>
  <c r="H1409" i="9"/>
  <c r="H386" i="9"/>
  <c r="H558" i="9"/>
  <c r="H758" i="9"/>
  <c r="H946" i="9"/>
  <c r="H1828" i="9"/>
  <c r="H583" i="9"/>
  <c r="H747" i="9"/>
  <c r="H923" i="9"/>
  <c r="H760" i="9"/>
  <c r="H924" i="9"/>
  <c r="H1556" i="9"/>
  <c r="H389" i="9"/>
  <c r="H561" i="9"/>
  <c r="H761" i="9"/>
  <c r="H925" i="9"/>
  <c r="H1091" i="9"/>
  <c r="H1246" i="9"/>
  <c r="H1580" i="9"/>
  <c r="H1980" i="9"/>
  <c r="H2341" i="9"/>
  <c r="H1922" i="9"/>
  <c r="H2222" i="9"/>
  <c r="H2148" i="9"/>
  <c r="H122" i="9"/>
  <c r="H521" i="9"/>
  <c r="H350" i="9"/>
  <c r="H593" i="9"/>
  <c r="H260" i="9"/>
  <c r="H233" i="9"/>
  <c r="H798" i="9"/>
  <c r="H256" i="9"/>
  <c r="H513" i="9"/>
  <c r="H775" i="9"/>
  <c r="H278" i="9"/>
  <c r="H176" i="9"/>
  <c r="H388" i="9"/>
  <c r="H811" i="9"/>
  <c r="H27" i="9"/>
  <c r="H343" i="9"/>
  <c r="H634" i="9"/>
  <c r="H80" i="9"/>
  <c r="H321" i="9"/>
  <c r="H611" i="9"/>
  <c r="H837" i="9"/>
  <c r="H247" i="9"/>
  <c r="H458" i="9"/>
  <c r="H671" i="9"/>
  <c r="H12" i="9"/>
  <c r="H184" i="9"/>
  <c r="H506" i="9"/>
  <c r="H98" i="9"/>
  <c r="H405" i="9"/>
  <c r="H769" i="9"/>
  <c r="H76" i="9"/>
  <c r="H2349" i="9"/>
  <c r="H168" i="9"/>
  <c r="H361" i="9"/>
  <c r="H283" i="9"/>
  <c r="H881" i="9"/>
  <c r="H525" i="9"/>
  <c r="H2246" i="9"/>
  <c r="H191" i="9"/>
  <c r="H373" i="9"/>
  <c r="H289" i="9"/>
  <c r="H904" i="9"/>
  <c r="H537" i="9"/>
  <c r="H3" i="9"/>
  <c r="H621" i="9"/>
  <c r="H125" i="9"/>
  <c r="H729" i="9"/>
  <c r="H367" i="9"/>
  <c r="H873" i="9"/>
  <c r="H481" i="9"/>
  <c r="H34" i="9"/>
  <c r="H518" i="9"/>
  <c r="H281" i="9"/>
  <c r="H899" i="9"/>
  <c r="H428" i="9"/>
  <c r="H1163" i="9"/>
  <c r="H2128" i="9"/>
  <c r="H1284" i="9"/>
  <c r="H976" i="9"/>
  <c r="H1404" i="9"/>
  <c r="H977" i="9"/>
  <c r="H1656" i="9"/>
  <c r="H1322" i="9"/>
  <c r="H743" i="9"/>
  <c r="H1061" i="9"/>
  <c r="H1455" i="9"/>
  <c r="H851" i="9"/>
  <c r="H1504" i="9"/>
  <c r="H1278" i="9"/>
  <c r="H398" i="9"/>
  <c r="H675" i="9"/>
  <c r="H994" i="9"/>
  <c r="H606" i="9"/>
  <c r="H842" i="9"/>
  <c r="H642" i="9"/>
  <c r="H960" i="9"/>
  <c r="H401" i="9"/>
  <c r="H654" i="9"/>
  <c r="H985" i="9"/>
  <c r="H1365" i="9"/>
  <c r="H1890" i="9"/>
  <c r="H2223" i="9"/>
  <c r="H1770" i="9"/>
  <c r="H2144" i="9"/>
  <c r="H1417" i="9"/>
  <c r="H2006" i="9"/>
  <c r="H294" i="9"/>
  <c r="H384" i="9"/>
  <c r="H15" i="9"/>
  <c r="H549" i="9"/>
  <c r="H7" i="9"/>
  <c r="H633" i="9"/>
  <c r="H171" i="9"/>
  <c r="H741" i="9"/>
  <c r="H413" i="9"/>
  <c r="H885" i="9"/>
  <c r="H493" i="9"/>
  <c r="H40" i="9"/>
  <c r="H542" i="9"/>
  <c r="H427" i="9"/>
  <c r="H439" i="9"/>
  <c r="H1175" i="9"/>
  <c r="H2294" i="9"/>
  <c r="H1296" i="9"/>
  <c r="H988" i="9"/>
  <c r="H1416" i="9"/>
  <c r="H1107" i="9"/>
  <c r="H1704" i="9"/>
  <c r="H1334" i="9"/>
  <c r="H755" i="9"/>
  <c r="H1527" i="9"/>
  <c r="H863" i="9"/>
  <c r="H1217" i="9"/>
  <c r="H1516" i="9"/>
  <c r="H1290" i="9"/>
  <c r="H420" i="9"/>
  <c r="H687" i="9"/>
  <c r="H1005" i="9"/>
  <c r="H630" i="9"/>
  <c r="H935" i="9"/>
  <c r="H665" i="9"/>
  <c r="H996" i="9"/>
  <c r="H433" i="9"/>
  <c r="H666" i="9"/>
  <c r="H1007" i="9"/>
  <c r="H1473" i="9"/>
  <c r="H1804" i="9"/>
  <c r="H2234" i="9"/>
  <c r="H1782" i="9"/>
  <c r="H2156" i="9"/>
  <c r="H1441" i="9"/>
  <c r="H1724" i="9"/>
  <c r="H1971" i="9"/>
  <c r="H1537" i="9"/>
  <c r="H1795" i="9"/>
  <c r="H2062" i="9"/>
  <c r="H2284" i="9"/>
  <c r="H2163" i="9"/>
  <c r="H300" i="9"/>
  <c r="H396" i="9"/>
  <c r="H362" i="9"/>
  <c r="H26" i="9"/>
  <c r="H560" i="9"/>
  <c r="H38" i="9"/>
  <c r="H644" i="9"/>
  <c r="H188" i="9"/>
  <c r="H753" i="9"/>
  <c r="H435" i="9"/>
  <c r="H72" i="9"/>
  <c r="H505" i="9"/>
  <c r="H52" i="9"/>
  <c r="H554" i="9"/>
  <c r="H460" i="9"/>
  <c r="H87" i="9"/>
  <c r="H450" i="9"/>
  <c r="H1199" i="9"/>
  <c r="H951" i="9"/>
  <c r="H1427" i="9"/>
  <c r="H999" i="9"/>
  <c r="H1500" i="9"/>
  <c r="H1142" i="9"/>
  <c r="H1894" i="9"/>
  <c r="H1346" i="9"/>
  <c r="H814" i="9"/>
  <c r="H1180" i="9"/>
  <c r="H1574" i="9"/>
  <c r="H875" i="9"/>
  <c r="H1253" i="9"/>
  <c r="H1540" i="9"/>
  <c r="H1313" i="9"/>
  <c r="H453" i="9"/>
  <c r="H782" i="9"/>
  <c r="H1016" i="9"/>
  <c r="H641" i="9"/>
  <c r="H947" i="9"/>
  <c r="H689" i="9"/>
  <c r="H1018" i="9"/>
  <c r="H445" i="9"/>
  <c r="H773" i="9"/>
  <c r="H1019" i="9"/>
  <c r="H1485" i="9"/>
  <c r="H1815" i="9"/>
  <c r="H2257" i="9"/>
  <c r="H1805" i="9"/>
  <c r="H2166" i="9"/>
  <c r="H1453" i="9"/>
  <c r="H1736" i="9"/>
  <c r="H2017" i="9"/>
  <c r="H1549" i="9"/>
  <c r="H1806" i="9"/>
  <c r="H2074" i="9"/>
  <c r="H2296" i="9"/>
  <c r="H1726" i="9"/>
  <c r="H2185" i="9"/>
  <c r="H337" i="9"/>
  <c r="H408" i="9"/>
  <c r="H397" i="9"/>
  <c r="H2229" i="9"/>
  <c r="H349" i="9"/>
  <c r="H418" i="9"/>
  <c r="H409" i="9"/>
  <c r="H67" i="9"/>
  <c r="H584" i="9"/>
  <c r="H50" i="9"/>
  <c r="H692" i="9"/>
  <c r="H777" i="9"/>
  <c r="H469" i="9"/>
  <c r="H28" i="9"/>
  <c r="H600" i="9"/>
  <c r="H115" i="9"/>
  <c r="H589" i="9"/>
  <c r="H483" i="9"/>
  <c r="H116" i="9"/>
  <c r="H686" i="9"/>
  <c r="H1283" i="9"/>
  <c r="H987" i="9"/>
  <c r="H1463" i="9"/>
  <c r="H1165" i="9"/>
  <c r="H1655" i="9"/>
  <c r="H1166" i="9"/>
  <c r="H1060" i="9"/>
  <c r="H1382" i="9"/>
  <c r="H850" i="9"/>
  <c r="H1252" i="9"/>
  <c r="H615" i="9"/>
  <c r="H898" i="9"/>
  <c r="H1277" i="9"/>
  <c r="H2146" i="9"/>
  <c r="H1349" i="9"/>
  <c r="H476" i="9"/>
  <c r="H806" i="9"/>
  <c r="H2007" i="9"/>
  <c r="H664" i="9"/>
  <c r="H1244" i="9"/>
  <c r="H1042" i="9"/>
  <c r="H467" i="9"/>
  <c r="H797" i="9"/>
  <c r="H1103" i="9"/>
  <c r="H1509" i="9"/>
  <c r="H1862" i="9"/>
  <c r="H1581" i="9"/>
  <c r="H1840" i="9"/>
  <c r="H2200" i="9"/>
  <c r="H1548" i="9"/>
  <c r="H1771" i="9"/>
  <c r="H2157" i="9"/>
  <c r="H1583" i="9"/>
  <c r="H1889" i="9"/>
  <c r="H2098" i="9"/>
  <c r="H1502" i="9"/>
  <c r="H1749" i="9"/>
  <c r="H2029" i="9"/>
  <c r="H2227" i="9"/>
  <c r="H1585" i="9"/>
  <c r="H1786" i="9"/>
  <c r="H2052" i="9"/>
  <c r="H1586" i="9"/>
  <c r="H1833" i="9"/>
  <c r="H2031" i="9"/>
  <c r="H1064" i="9"/>
  <c r="H1529" i="9"/>
  <c r="H1788" i="9"/>
  <c r="H2054" i="9"/>
  <c r="H971" i="9"/>
  <c r="H1220" i="9"/>
  <c r="H1423" i="9"/>
  <c r="H1753" i="9"/>
  <c r="H1953" i="9"/>
  <c r="H2337" i="9"/>
  <c r="H1269" i="9"/>
  <c r="H1519" i="9"/>
  <c r="H1754" i="9"/>
  <c r="H2152" i="9"/>
  <c r="H1413" i="9"/>
  <c r="H1660" i="9"/>
  <c r="H1884" i="9"/>
  <c r="H1673" i="9"/>
  <c r="H1932" i="9"/>
  <c r="H903" i="9"/>
  <c r="H1347" i="9"/>
  <c r="H1575" i="9"/>
  <c r="H520" i="9"/>
  <c r="H784" i="9"/>
  <c r="H1228" i="9"/>
  <c r="H1528" i="9"/>
  <c r="H173" i="9"/>
  <c r="H365" i="9"/>
  <c r="H653" i="9"/>
  <c r="H893" i="9"/>
  <c r="H1109" i="9"/>
  <c r="H1385" i="9"/>
  <c r="H1134" i="9"/>
  <c r="H1674" i="9"/>
  <c r="H2130" i="9"/>
  <c r="H211" i="9"/>
  <c r="H751" i="9"/>
  <c r="H1267" i="9"/>
  <c r="H200" i="9"/>
  <c r="H752" i="9"/>
  <c r="H1004" i="9"/>
  <c r="H1659" i="9"/>
  <c r="H2008" i="9"/>
  <c r="H2037" i="9"/>
  <c r="H1793" i="9"/>
  <c r="H2021" i="9"/>
  <c r="H2309" i="9"/>
  <c r="H1735" i="9"/>
  <c r="H237" i="9"/>
  <c r="H2327" i="9"/>
  <c r="H2140" i="9"/>
  <c r="H2286" i="9"/>
  <c r="H2291" i="9"/>
  <c r="H2035" i="9"/>
  <c r="H1709" i="9"/>
  <c r="H1907" i="9"/>
  <c r="H1672" i="9"/>
  <c r="H1401" i="9"/>
  <c r="H2023" i="9"/>
  <c r="H1695" i="9"/>
  <c r="H1424" i="9"/>
  <c r="H1161" i="9"/>
  <c r="H2151" i="9"/>
  <c r="H1811" i="9"/>
  <c r="H1518" i="9"/>
  <c r="H1268" i="9"/>
  <c r="H995" i="9"/>
  <c r="H2066" i="9"/>
  <c r="H1776" i="9"/>
  <c r="H1446" i="9"/>
  <c r="H1219" i="9"/>
  <c r="H2193" i="9"/>
  <c r="H1915" i="9"/>
  <c r="H1716" i="9"/>
  <c r="H2112" i="9"/>
  <c r="H1902" i="9"/>
  <c r="H1621" i="9"/>
  <c r="H2261" i="9"/>
  <c r="H2039" i="9"/>
  <c r="H1738" i="9"/>
  <c r="H2260" i="9"/>
  <c r="H1936" i="9"/>
  <c r="H1595" i="9"/>
  <c r="H1606" i="9"/>
  <c r="H2176" i="9"/>
  <c r="H1652" i="9"/>
  <c r="H1839" i="9"/>
  <c r="H1162" i="9"/>
  <c r="H785" i="9"/>
  <c r="H1627" i="9"/>
  <c r="H772" i="9"/>
  <c r="H795" i="9"/>
  <c r="H1243" i="9"/>
  <c r="H605" i="9"/>
  <c r="H1337" i="9"/>
  <c r="H1408" i="9"/>
  <c r="H887" i="9"/>
  <c r="H1300" i="9"/>
  <c r="H838" i="9"/>
  <c r="H1143" i="9"/>
  <c r="H1154" i="9"/>
  <c r="H1225" i="9"/>
  <c r="H1439" i="9"/>
  <c r="H1450" i="9"/>
  <c r="H674" i="9"/>
  <c r="H840" i="9"/>
  <c r="H648" i="9"/>
  <c r="H1015" i="9"/>
  <c r="H252" i="9"/>
  <c r="H143" i="9"/>
  <c r="H279" i="9"/>
  <c r="H787" i="9"/>
  <c r="H340" i="9"/>
  <c r="H592" i="9"/>
  <c r="H219" i="9"/>
  <c r="H1131" i="9"/>
  <c r="H2314" i="9"/>
  <c r="H2117" i="9"/>
  <c r="H2274" i="9"/>
  <c r="H2198" i="9"/>
  <c r="H1968" i="9"/>
  <c r="H1697" i="9"/>
  <c r="H1895" i="9"/>
  <c r="H1602" i="9"/>
  <c r="H1389" i="9"/>
  <c r="H2001" i="9"/>
  <c r="H1671" i="9"/>
  <c r="H1412" i="9"/>
  <c r="H1149" i="9"/>
  <c r="H2139" i="9"/>
  <c r="H1800" i="9"/>
  <c r="H1459" i="9"/>
  <c r="H1256" i="9"/>
  <c r="H983" i="9"/>
  <c r="H1987" i="9"/>
  <c r="H1764" i="9"/>
  <c r="H1434" i="9"/>
  <c r="H1207" i="9"/>
  <c r="H2181" i="9"/>
  <c r="H1903" i="9"/>
  <c r="H1692" i="9"/>
  <c r="H2100" i="9"/>
  <c r="H1820" i="9"/>
  <c r="H1609" i="9"/>
  <c r="H2238" i="9"/>
  <c r="H1961" i="9"/>
  <c r="H1714" i="9"/>
  <c r="H2237" i="9"/>
  <c r="H1924" i="9"/>
  <c r="H1571" i="9"/>
  <c r="H1923" i="9"/>
  <c r="H1582" i="9"/>
  <c r="H2016" i="9"/>
  <c r="H1641" i="9"/>
  <c r="H1784" i="9"/>
  <c r="H1150" i="9"/>
  <c r="H643" i="9"/>
  <c r="H1615" i="9"/>
  <c r="H631" i="9"/>
  <c r="H783" i="9"/>
  <c r="H982" i="9"/>
  <c r="H582" i="9"/>
  <c r="H1266" i="9"/>
  <c r="H1312" i="9"/>
  <c r="H839" i="9"/>
  <c r="H1288" i="9"/>
  <c r="H672" i="9"/>
  <c r="H1096" i="9"/>
  <c r="H953" i="9"/>
  <c r="H1213" i="9"/>
  <c r="H1272" i="9"/>
  <c r="H1438" i="9"/>
  <c r="H359" i="9"/>
  <c r="H793" i="9"/>
  <c r="H577" i="9"/>
  <c r="H993" i="9"/>
  <c r="H22" i="9"/>
  <c r="H137" i="9"/>
  <c r="H194" i="9"/>
  <c r="H222" i="9"/>
  <c r="H572" i="9"/>
  <c r="H313" i="9"/>
  <c r="H580" i="9"/>
  <c r="H2060" i="9"/>
  <c r="H165" i="9"/>
  <c r="H179" i="9"/>
  <c r="D278" i="9"/>
  <c r="D178" i="9"/>
  <c r="D223" i="9"/>
  <c r="D226" i="9"/>
  <c r="D238" i="9"/>
  <c r="D34" i="9"/>
  <c r="D38" i="9"/>
  <c r="D174" i="9"/>
  <c r="D19" i="9"/>
  <c r="D110" i="9"/>
  <c r="D105" i="9"/>
  <c r="D33" i="9"/>
  <c r="D248" i="9"/>
  <c r="D56" i="9"/>
  <c r="D175" i="9"/>
  <c r="D130" i="9"/>
  <c r="D71" i="9"/>
  <c r="D277" i="9"/>
  <c r="D239" i="9"/>
  <c r="D45" i="9"/>
  <c r="D245" i="9"/>
  <c r="D144" i="9"/>
  <c r="D78" i="9"/>
  <c r="D17" i="9"/>
  <c r="D87" i="9"/>
  <c r="D140" i="9"/>
  <c r="D219" i="9"/>
  <c r="D86" i="9"/>
  <c r="D202" i="9"/>
  <c r="D230" i="9"/>
  <c r="D289" i="9"/>
  <c r="D272" i="9"/>
  <c r="D103" i="9"/>
  <c r="D163" i="9"/>
  <c r="D43" i="9"/>
  <c r="D172" i="9"/>
  <c r="D99" i="9"/>
  <c r="D24" i="9"/>
  <c r="D228" i="9"/>
  <c r="D104" i="9"/>
  <c r="D100" i="9"/>
  <c r="D60" i="9"/>
  <c r="D273" i="9"/>
  <c r="D207" i="9"/>
  <c r="D54" i="9"/>
  <c r="D21" i="9"/>
  <c r="D153" i="9"/>
  <c r="D234" i="9"/>
  <c r="D73" i="9"/>
  <c r="D51" i="9"/>
  <c r="D98" i="9"/>
  <c r="D28" i="9"/>
  <c r="D84" i="9"/>
  <c r="D244" i="9"/>
  <c r="D16" i="9"/>
  <c r="D185" i="9"/>
  <c r="D97" i="9"/>
  <c r="D270" i="9"/>
  <c r="D214" i="9"/>
  <c r="D190" i="9"/>
  <c r="D169" i="9"/>
  <c r="D296" i="9"/>
  <c r="D295" i="9"/>
  <c r="D307" i="9"/>
  <c r="D285" i="9"/>
  <c r="D321" i="9"/>
  <c r="D141" i="9"/>
  <c r="D180" i="9"/>
  <c r="D310" i="9"/>
  <c r="D107" i="9"/>
  <c r="D222" i="9"/>
  <c r="D260" i="9"/>
  <c r="D13" i="9"/>
  <c r="D66" i="9"/>
  <c r="D317" i="9"/>
  <c r="D52" i="9"/>
  <c r="D209" i="9"/>
  <c r="D8" i="9"/>
  <c r="D120" i="9"/>
  <c r="D81" i="9"/>
  <c r="D257" i="9"/>
  <c r="D187" i="9"/>
  <c r="D194" i="9"/>
  <c r="D211" i="9"/>
  <c r="D94" i="9"/>
  <c r="D143" i="9"/>
  <c r="D162" i="9"/>
  <c r="D77" i="9"/>
  <c r="D306" i="9"/>
  <c r="D171" i="9"/>
  <c r="D7" i="9"/>
  <c r="D176" i="9"/>
  <c r="D36" i="9"/>
  <c r="D61" i="9"/>
  <c r="D55" i="9"/>
  <c r="D131" i="9"/>
  <c r="D156" i="9"/>
  <c r="D283" i="9"/>
  <c r="D271" i="9"/>
  <c r="D267" i="9"/>
  <c r="D183" i="9"/>
  <c r="D255" i="9"/>
  <c r="D313" i="9"/>
  <c r="D44" i="9"/>
  <c r="D186" i="9"/>
  <c r="D111" i="9"/>
  <c r="D274" i="9"/>
  <c r="D4" i="9"/>
  <c r="D53" i="9"/>
  <c r="D65" i="9"/>
  <c r="D217" i="9"/>
  <c r="D262" i="9"/>
  <c r="D151" i="9"/>
  <c r="D294" i="9"/>
  <c r="D142" i="9"/>
  <c r="D70" i="9"/>
  <c r="D164" i="9"/>
  <c r="D276" i="9"/>
  <c r="D302" i="9"/>
  <c r="D304" i="9"/>
  <c r="D46" i="9"/>
  <c r="D216" i="9"/>
  <c r="D123" i="9"/>
  <c r="D279" i="9"/>
  <c r="D30" i="9"/>
  <c r="D167" i="9"/>
  <c r="D233" i="9"/>
  <c r="D297" i="9"/>
  <c r="D39" i="9"/>
  <c r="D147" i="9"/>
  <c r="D88" i="9"/>
  <c r="D269" i="9"/>
  <c r="D301" i="9"/>
  <c r="D20" i="9"/>
  <c r="D32" i="9"/>
  <c r="D173" i="9"/>
  <c r="D235" i="9"/>
  <c r="D251" i="9"/>
  <c r="D67" i="9"/>
  <c r="D287" i="9"/>
  <c r="D179" i="9"/>
  <c r="D79" i="9"/>
  <c r="D299" i="9"/>
  <c r="D139" i="9"/>
  <c r="D161" i="9"/>
  <c r="D31" i="9"/>
  <c r="D252" i="9"/>
  <c r="D298" i="9"/>
  <c r="D155" i="9"/>
  <c r="D10" i="9"/>
  <c r="D15" i="9"/>
  <c r="D208" i="9"/>
  <c r="D58" i="9"/>
  <c r="D117" i="9"/>
  <c r="D25" i="9"/>
  <c r="D203" i="9"/>
  <c r="D150" i="9"/>
  <c r="D227" i="9"/>
  <c r="D292" i="9"/>
  <c r="D264" i="9"/>
  <c r="D48" i="9"/>
  <c r="D72" i="9"/>
  <c r="D213" i="9"/>
  <c r="D290" i="9"/>
  <c r="D42" i="9"/>
  <c r="D11" i="9"/>
  <c r="D168" i="9"/>
  <c r="D319" i="9"/>
  <c r="D315" i="9"/>
  <c r="D320" i="9"/>
  <c r="D220" i="9"/>
  <c r="D197" i="9"/>
  <c r="D22" i="9"/>
  <c r="D135" i="9"/>
  <c r="D91" i="9"/>
  <c r="D127" i="9"/>
  <c r="D74" i="9"/>
  <c r="D240" i="9"/>
  <c r="D288" i="9"/>
  <c r="D12" i="9"/>
  <c r="D282" i="9"/>
  <c r="D312" i="9"/>
  <c r="D108" i="9"/>
  <c r="D246" i="9"/>
  <c r="D134" i="9"/>
  <c r="D221" i="9"/>
  <c r="D275" i="9"/>
  <c r="D243" i="9"/>
  <c r="D26" i="9"/>
  <c r="D62" i="9"/>
  <c r="D191" i="9"/>
  <c r="D263" i="9"/>
  <c r="D195" i="9"/>
  <c r="D157" i="9"/>
  <c r="D145" i="9"/>
  <c r="D18" i="9"/>
  <c r="D309" i="9"/>
  <c r="D237" i="9"/>
  <c r="D95" i="9"/>
  <c r="D160" i="9"/>
  <c r="D241" i="9"/>
  <c r="D177" i="9"/>
  <c r="D212" i="9"/>
  <c r="D102" i="9"/>
  <c r="D192" i="9"/>
  <c r="D124" i="9"/>
  <c r="D188" i="9"/>
  <c r="D254" i="9"/>
  <c r="D198" i="9"/>
  <c r="D37" i="9"/>
  <c r="D29" i="9"/>
  <c r="D158" i="9"/>
  <c r="D258" i="9"/>
  <c r="D129" i="9"/>
  <c r="D114" i="9"/>
  <c r="D125" i="9"/>
  <c r="D314" i="9"/>
  <c r="D118" i="9"/>
  <c r="D215" i="9"/>
  <c r="D40" i="9"/>
  <c r="D122" i="9"/>
  <c r="D146" i="9"/>
  <c r="D225" i="9"/>
  <c r="D6" i="9"/>
  <c r="D92" i="9"/>
  <c r="D268" i="9"/>
  <c r="D96" i="9"/>
  <c r="D47" i="9"/>
  <c r="D49" i="9"/>
  <c r="D154" i="9"/>
  <c r="D101" i="9"/>
  <c r="D182" i="9"/>
  <c r="D232" i="9"/>
  <c r="D170" i="9"/>
  <c r="D3" i="9"/>
  <c r="D9" i="9"/>
  <c r="D152" i="9"/>
  <c r="D242" i="9"/>
  <c r="D69" i="9"/>
  <c r="D85" i="9"/>
  <c r="D80" i="9"/>
  <c r="D113" i="9"/>
  <c r="D115" i="9"/>
  <c r="D35" i="9"/>
  <c r="D205" i="9"/>
  <c r="D318" i="9"/>
  <c r="D196" i="9"/>
  <c r="D93" i="9"/>
  <c r="D204" i="9"/>
  <c r="D165" i="9"/>
  <c r="D284" i="9"/>
  <c r="D121" i="9"/>
  <c r="D293" i="9"/>
  <c r="D149" i="9"/>
  <c r="D181" i="9"/>
  <c r="D159" i="9"/>
  <c r="D305" i="9"/>
  <c r="D291" i="9"/>
  <c r="D136" i="9"/>
  <c r="D236" i="9"/>
  <c r="D14" i="9"/>
  <c r="D75" i="9"/>
  <c r="D64" i="9"/>
  <c r="D308" i="9"/>
  <c r="D5" i="9"/>
  <c r="D106" i="9"/>
  <c r="D184" i="9"/>
  <c r="D27" i="9"/>
  <c r="D229" i="9"/>
  <c r="D112" i="9"/>
  <c r="D166" i="9"/>
  <c r="D311" i="9"/>
  <c r="D68" i="9"/>
  <c r="D286" i="9"/>
  <c r="D90" i="9"/>
  <c r="D138" i="9"/>
  <c r="D57" i="9"/>
  <c r="D82" i="9"/>
  <c r="D266" i="9"/>
  <c r="D128" i="9"/>
  <c r="D132" i="9"/>
  <c r="D137" i="9"/>
  <c r="D206" i="9"/>
  <c r="D280" i="9"/>
  <c r="D126" i="9"/>
  <c r="D224" i="9"/>
  <c r="D249" i="9"/>
  <c r="D316" i="9"/>
  <c r="D303" i="9"/>
  <c r="D250" i="9"/>
  <c r="D259" i="9"/>
  <c r="D256" i="9"/>
  <c r="D148" i="9"/>
  <c r="D41" i="9"/>
  <c r="D231" i="9"/>
  <c r="D199" i="9"/>
  <c r="D89" i="9"/>
  <c r="D23" i="9"/>
  <c r="D119" i="9"/>
  <c r="D265" i="9"/>
  <c r="D59" i="9"/>
  <c r="D210" i="9"/>
  <c r="D247" i="9"/>
  <c r="D133" i="9"/>
  <c r="D76" i="9"/>
  <c r="D63" i="9"/>
  <c r="D189" i="9"/>
  <c r="D261" i="9"/>
  <c r="D200" i="9"/>
  <c r="D83" i="9"/>
  <c r="D50" i="9"/>
  <c r="D116" i="9"/>
  <c r="D201" i="9"/>
  <c r="D253" i="9"/>
  <c r="D109" i="9"/>
  <c r="D218" i="9"/>
  <c r="D193" i="9"/>
  <c r="D300" i="9"/>
  <c r="D281" i="9"/>
  <c r="D2" i="9"/>
  <c r="A61" i="3"/>
  <c r="B61" i="3" s="1"/>
  <c r="A65" i="3"/>
  <c r="B65" i="3" s="1"/>
  <c r="A57" i="3"/>
  <c r="B57" i="3" s="1"/>
  <c r="A58" i="3"/>
  <c r="B58" i="3" s="1"/>
  <c r="A64" i="3"/>
  <c r="B64" i="3" s="1"/>
  <c r="A63" i="3"/>
  <c r="B63" i="3" s="1"/>
  <c r="A60" i="3"/>
  <c r="B60" i="3" s="1"/>
  <c r="A62" i="3"/>
  <c r="B62" i="3" s="1"/>
  <c r="A59" i="3"/>
  <c r="B59" i="3" s="1"/>
  <c r="A56" i="3"/>
  <c r="B56" i="3" s="1"/>
  <c r="A108" i="3" l="1"/>
  <c r="B108" i="3" s="1"/>
  <c r="A80" i="3"/>
  <c r="B80" i="3" s="1"/>
  <c r="A102" i="3"/>
  <c r="B102" i="3" s="1"/>
  <c r="A91" i="3"/>
  <c r="B91" i="3" s="1"/>
  <c r="A97" i="3"/>
  <c r="B97" i="3" s="1"/>
  <c r="A98" i="3"/>
  <c r="B98" i="3" s="1"/>
  <c r="A85" i="3"/>
  <c r="B85" i="3" s="1"/>
  <c r="A107" i="3"/>
  <c r="B107" i="3" s="1"/>
  <c r="A101" i="3"/>
  <c r="B101" i="3" s="1"/>
  <c r="A96" i="3"/>
  <c r="B96" i="3" s="1"/>
  <c r="A84" i="3"/>
  <c r="B84" i="3" s="1"/>
  <c r="A109" i="3"/>
  <c r="B109" i="3" s="1"/>
  <c r="A81" i="3"/>
  <c r="B81" i="3" s="1"/>
  <c r="A100" i="3"/>
  <c r="B100" i="3" s="1"/>
  <c r="A88" i="3"/>
  <c r="B88" i="3" s="1"/>
  <c r="A78" i="3"/>
  <c r="B78" i="3" s="1"/>
  <c r="A104" i="3"/>
  <c r="B104" i="3" s="1"/>
  <c r="A89" i="3"/>
  <c r="B89" i="3" s="1"/>
  <c r="A94" i="3"/>
  <c r="B94" i="3" s="1"/>
  <c r="A86" i="3"/>
  <c r="B86" i="3" s="1"/>
  <c r="A92" i="3"/>
  <c r="B92" i="3" s="1"/>
  <c r="A105" i="3"/>
  <c r="B105" i="3" s="1"/>
  <c r="A79" i="3"/>
  <c r="B79" i="3" s="1"/>
  <c r="A87" i="3"/>
  <c r="B87" i="3" s="1"/>
  <c r="A95" i="3"/>
  <c r="B95" i="3" s="1"/>
  <c r="A112" i="3"/>
  <c r="B112" i="3" s="1"/>
  <c r="A82" i="3"/>
  <c r="B82" i="3" s="1"/>
  <c r="A110" i="3"/>
  <c r="B110" i="3" s="1"/>
  <c r="A90" i="3"/>
  <c r="B90" i="3" s="1"/>
  <c r="A99" i="3"/>
  <c r="B99" i="3" s="1"/>
  <c r="A106" i="3"/>
  <c r="B106" i="3" s="1"/>
  <c r="A103" i="3"/>
  <c r="B103" i="3" s="1"/>
  <c r="A83" i="3"/>
  <c r="B83" i="3" s="1"/>
  <c r="A93" i="3"/>
  <c r="B93" i="3" s="1"/>
  <c r="A111" i="3"/>
  <c r="B111" i="3" s="1"/>
  <c r="J41" i="3"/>
  <c r="K41" i="3" s="1"/>
  <c r="J62" i="3"/>
  <c r="K62" i="3" s="1"/>
  <c r="J40" i="3"/>
  <c r="J42" i="3"/>
  <c r="J58" i="3"/>
  <c r="J48" i="3"/>
  <c r="J49" i="3"/>
  <c r="J43" i="3"/>
  <c r="J52" i="3"/>
  <c r="J68" i="3"/>
  <c r="J57" i="3"/>
  <c r="J66" i="3"/>
  <c r="J36" i="3"/>
  <c r="J65" i="3"/>
  <c r="J51" i="3"/>
  <c r="J38" i="3"/>
  <c r="J61" i="3"/>
  <c r="J55" i="3"/>
  <c r="J60" i="3"/>
  <c r="J50" i="3"/>
  <c r="J63" i="3"/>
  <c r="J54" i="3"/>
  <c r="J67" i="3"/>
  <c r="J45" i="3"/>
  <c r="J46" i="3"/>
  <c r="J64" i="3"/>
  <c r="J44" i="3"/>
  <c r="J56" i="3"/>
  <c r="J53" i="3"/>
  <c r="J69" i="3"/>
  <c r="J59" i="3"/>
  <c r="J39" i="3"/>
  <c r="J47" i="3"/>
  <c r="J35" i="3"/>
  <c r="J37" i="3"/>
  <c r="L62" i="3" l="1"/>
  <c r="L41" i="3"/>
  <c r="L35" i="3"/>
  <c r="K35" i="3"/>
  <c r="K54" i="3"/>
  <c r="L54" i="3"/>
  <c r="L68" i="3"/>
  <c r="K68" i="3"/>
  <c r="K63" i="3"/>
  <c r="L63" i="3"/>
  <c r="L52" i="3"/>
  <c r="K52" i="3"/>
  <c r="L39" i="3"/>
  <c r="K39" i="3"/>
  <c r="K50" i="3"/>
  <c r="L50" i="3"/>
  <c r="L43" i="3"/>
  <c r="K43" i="3"/>
  <c r="L60" i="3"/>
  <c r="K60" i="3"/>
  <c r="L49" i="3"/>
  <c r="K49" i="3"/>
  <c r="K48" i="3"/>
  <c r="L48" i="3"/>
  <c r="L56" i="3"/>
  <c r="K56" i="3"/>
  <c r="K38" i="3"/>
  <c r="L38" i="3"/>
  <c r="L42" i="3"/>
  <c r="K42" i="3"/>
  <c r="L69" i="3"/>
  <c r="K69" i="3"/>
  <c r="L58" i="3"/>
  <c r="K58" i="3"/>
  <c r="L44" i="3"/>
  <c r="K44" i="3"/>
  <c r="K51" i="3"/>
  <c r="L51" i="3"/>
  <c r="L40" i="3"/>
  <c r="K40" i="3"/>
  <c r="L59" i="3"/>
  <c r="K59" i="3"/>
  <c r="L61" i="3"/>
  <c r="K61" i="3"/>
  <c r="L46" i="3"/>
  <c r="K46" i="3"/>
  <c r="K36" i="3"/>
  <c r="L36" i="3"/>
  <c r="L55" i="3"/>
  <c r="K55" i="3"/>
  <c r="K64" i="3"/>
  <c r="L64" i="3"/>
  <c r="L45" i="3"/>
  <c r="K45" i="3"/>
  <c r="K66" i="3"/>
  <c r="L66" i="3"/>
  <c r="L47" i="3"/>
  <c r="K47" i="3"/>
  <c r="K53" i="3"/>
  <c r="L53" i="3"/>
  <c r="L65" i="3"/>
  <c r="K65" i="3"/>
  <c r="L37" i="3"/>
  <c r="K37" i="3"/>
  <c r="L67" i="3"/>
  <c r="K67" i="3"/>
  <c r="L57" i="3"/>
  <c r="K57" i="3"/>
</calcChain>
</file>

<file path=xl/sharedStrings.xml><?xml version="1.0" encoding="utf-8"?>
<sst xmlns="http://schemas.openxmlformats.org/spreadsheetml/2006/main" count="43018" uniqueCount="6729">
  <si>
    <t>Order Number</t>
  </si>
  <si>
    <t>Seller / Buyer</t>
  </si>
  <si>
    <t>Items</t>
  </si>
  <si>
    <t>Total Price</t>
  </si>
  <si>
    <t>Deliver Date</t>
  </si>
  <si>
    <t>Comentarios</t>
  </si>
  <si>
    <t>Tipo Operación</t>
  </si>
  <si>
    <t>TCG</t>
  </si>
  <si>
    <t>Distritozero-Bilbao</t>
  </si>
  <si>
    <t>29.06.2026</t>
  </si>
  <si>
    <t>Estado: Pagado; Vendedor: Distritozero-Bilbao; Envío repartido: 1.45 EUR</t>
  </si>
  <si>
    <t>Compra</t>
  </si>
  <si>
    <t>Magic The Gathering</t>
  </si>
  <si>
    <t>Mariluz92</t>
  </si>
  <si>
    <t>28.06.2026</t>
  </si>
  <si>
    <t>Estado: Pagado; Vendedor: Mariluz92; Envío repartido: 1.45 EUR</t>
  </si>
  <si>
    <t>Riftbound</t>
  </si>
  <si>
    <t>Oscar161</t>
  </si>
  <si>
    <t>Estado: Pagado; Vendedor: Oscar161; Envío repartido: 1.45 EUR</t>
  </si>
  <si>
    <t>CartinhaBrilhante</t>
  </si>
  <si>
    <t>Estado: Pagado; Vendedor: CartinhaBrilhante; Envío repartido: 7.06 EUR</t>
  </si>
  <si>
    <t>PulpulFolker</t>
  </si>
  <si>
    <t>Estado: Pagado; Vendedor: PulpulFolker; Envío repartido: 7.06 EUR</t>
  </si>
  <si>
    <t>Cyrusi</t>
  </si>
  <si>
    <t>Estado: Pagado; Vendedor: Cyrusi; Envío repartido: 7.06 EUR</t>
  </si>
  <si>
    <t>Azgrand</t>
  </si>
  <si>
    <t>Estado: Pagado; Vendedor: Azgrand; Envío repartido: 1.45 EUR</t>
  </si>
  <si>
    <t>Canichev</t>
  </si>
  <si>
    <t>Estado: Pagado; Vendedor: Canichev; Envío repartido: 1.45 EUR</t>
  </si>
  <si>
    <t>Gorgonas87</t>
  </si>
  <si>
    <t>Estado: Pagado; Vendedor: Gorgonas87; Envío repartido: 1.45 EUR</t>
  </si>
  <si>
    <t>ManaCore</t>
  </si>
  <si>
    <t>Estado: Pagado; Vendedor: ManaCore; Envío repartido: 1.45 EUR</t>
  </si>
  <si>
    <t>Silvela</t>
  </si>
  <si>
    <t>Estado: Pagado; Vendedor: Silvela; Envío repartido: 1.45 EUR</t>
  </si>
  <si>
    <t>Moria05</t>
  </si>
  <si>
    <t>Estado: Pagado; Vendedor: Moria05; Envío repartido: 1.45 EUR</t>
  </si>
  <si>
    <t>Estado: Cancelado en CardMarket; recogido en mano; Vendedor: Distritozero-Bilbao; Envío eliminado por recogida en mano: 5.50 EUR</t>
  </si>
  <si>
    <t>Cancelado</t>
  </si>
  <si>
    <t>Midgar</t>
  </si>
  <si>
    <t>Estado: Pagado; Vendedor: Midgar; Envío repartido: 60.10 EUR</t>
  </si>
  <si>
    <t>Frikinexo</t>
  </si>
  <si>
    <t>Estado: Pagado; Vendedor: Frikinexo; Envío repartido: 6.00 EUR</t>
  </si>
  <si>
    <t>RiftboundSpain</t>
  </si>
  <si>
    <t>Estado: Enviado; Vendedor: RiftboundSpain; Envío repartido: 1.45 EUR</t>
  </si>
  <si>
    <t>ElCige</t>
  </si>
  <si>
    <t>26.06.2026</t>
  </si>
  <si>
    <t>Estado: Pagado; Comprador: ElCige; Envío repartido: 16.04 EUR</t>
  </si>
  <si>
    <t>Venta</t>
  </si>
  <si>
    <t>RELIC-TCG</t>
  </si>
  <si>
    <t>Estado: Pagado; Comprador: RELIC-TCG; Envío repartido: 2.60 EUR</t>
  </si>
  <si>
    <t>ColossalStore</t>
  </si>
  <si>
    <t>24.06.2026</t>
  </si>
  <si>
    <t>Estado: Enviado; Vendedor: ColossalStore; Envío repartido: 1.45 EUR</t>
  </si>
  <si>
    <t>Ban365</t>
  </si>
  <si>
    <t>23.06.2026</t>
  </si>
  <si>
    <t>Estado: Enviado; Vendedor: Ban365; Envío repartido: 7.06 EUR</t>
  </si>
  <si>
    <t>22.06.2026</t>
  </si>
  <si>
    <t>MikiRosinyol</t>
  </si>
  <si>
    <t>16.06.2026</t>
  </si>
  <si>
    <t>Estado: Recibido; Comprador: MikiRosinyol; Envío repartido: 1.45 EUR</t>
  </si>
  <si>
    <t>Distritozero-San</t>
  </si>
  <si>
    <t>15.06.2026</t>
  </si>
  <si>
    <t>Estado: Cancelado en CardMarket; recogido en mano; Vendedor: Distritozero-San; Envío eliminado por recogida en mano: 1.45 EUR</t>
  </si>
  <si>
    <t>DISTRITOZERO-TOLOSA</t>
  </si>
  <si>
    <t>Estado: Enviado; Vendedor: DISTRITOZERO-TOLOSA; Envío repartido: 1.45 EUR</t>
  </si>
  <si>
    <t>Taiaburame</t>
  </si>
  <si>
    <t>Estado: Enviado; Vendedor: Taiaburame; Envío repartido: 7.06 EUR</t>
  </si>
  <si>
    <t>VaroCorp</t>
  </si>
  <si>
    <t>Estado: Enviado; Vendedor: VaroCorp; Envío repartido: 1.45 EUR</t>
  </si>
  <si>
    <t>TCG-MultiVerse</t>
  </si>
  <si>
    <t>Estado: Enviado; Vendedor: TCG-MultiVerse; Envío repartido: 1.45 EUR</t>
  </si>
  <si>
    <t>QTShyGuy</t>
  </si>
  <si>
    <t>Estado: Enviado; Vendedor: QTShyGuy; Envío repartido: 12.35 EUR</t>
  </si>
  <si>
    <t>Pyromonstah</t>
  </si>
  <si>
    <t>Estado: Recibido; Comprador: Pyromonstah; Envío repartido: 1.45 EUR</t>
  </si>
  <si>
    <t>Romperal</t>
  </si>
  <si>
    <t>14.06.2026</t>
  </si>
  <si>
    <t>Estado: Enviado; Vendedor: Romperal; Envío repartido: 1.45 EUR</t>
  </si>
  <si>
    <t>Random-player</t>
  </si>
  <si>
    <t>Estado: Enviado; Vendedor: Random-player; Envío repartido: 7.06 EUR</t>
  </si>
  <si>
    <t>abeltran013</t>
  </si>
  <si>
    <t>10.06.2026</t>
  </si>
  <si>
    <t>Estado: Enviado; Vendedor: abeltran013; Envío repartido: 1.45 EUR</t>
  </si>
  <si>
    <t>Wyverno314</t>
  </si>
  <si>
    <t>Estado: Cancelado; Vendedor: Wyverno314; Envío repartido: 1.45 EUR</t>
  </si>
  <si>
    <t>Robs25</t>
  </si>
  <si>
    <t>Estado: Enviado; Vendedor: Robs25; Envío repartido: 1.45 EUR</t>
  </si>
  <si>
    <t>Estado: Enviado; Vendedor: Moria05; Envío repartido: 5.99 EUR</t>
  </si>
  <si>
    <t>Shadowland</t>
  </si>
  <si>
    <t>08.06.2026</t>
  </si>
  <si>
    <t>Estado: Enviado; Vendedor: Shadowland; Envío repartido: 1.45 EUR</t>
  </si>
  <si>
    <t>yosy-gvng</t>
  </si>
  <si>
    <t>Estado: Cancelado; Vendedor: yosy-gvng; Envío repartido: 1.45 EUR</t>
  </si>
  <si>
    <t>Estado: Enviado; Vendedor: Moria05; Envío repartido: 1.45 EUR</t>
  </si>
  <si>
    <t>Seikros</t>
  </si>
  <si>
    <t>07.06.2026</t>
  </si>
  <si>
    <t>Estado: Enviado; Vendedor: Seikros; Envío repartido: 7.06 EUR</t>
  </si>
  <si>
    <t>Aguilaz</t>
  </si>
  <si>
    <t>Estado: Cancelado; Vendedor: Aguilaz; Envío repartido: 1.45 EUR</t>
  </si>
  <si>
    <t>tonibetran</t>
  </si>
  <si>
    <t>Estado: Enviado; Vendedor: tonibetran; Envío repartido: 1.45 EUR</t>
  </si>
  <si>
    <t>lacolmenatcg</t>
  </si>
  <si>
    <t>Estado: Enviado; Vendedor: lacolmenatcg; Envío repartido: 1.45 EUR</t>
  </si>
  <si>
    <t>SantaAnaFriki</t>
  </si>
  <si>
    <t>Estado: Enviado; Vendedor: SantaAnaFriki; Envío repartido: 7.06 EUR</t>
  </si>
  <si>
    <t>pabler7</t>
  </si>
  <si>
    <t>Estado: Enviado; Vendedor: pabler7; Envío repartido: 1.45 EUR</t>
  </si>
  <si>
    <t>profetajones</t>
  </si>
  <si>
    <t>Estado: Enviado; Vendedor: profetajones; Envío repartido: 1.45 EUR</t>
  </si>
  <si>
    <t>vvvpxblccvvv</t>
  </si>
  <si>
    <t>Estado: Enviado; Vendedor: vvvpxblccvvv; Envío repartido: 7.06 EUR</t>
  </si>
  <si>
    <t>XoriPain</t>
  </si>
  <si>
    <t>Estado: Enviado; Vendedor: XoriPain; Envío repartido: 1.45 EUR</t>
  </si>
  <si>
    <t>Viti122496</t>
  </si>
  <si>
    <t>Estado: Enviado; Vendedor: Viti122496; Envío repartido: 1.45 EUR</t>
  </si>
  <si>
    <t>Greward</t>
  </si>
  <si>
    <t>Estado: Enviado; Vendedor: Greward; Envío repartido: 1.45 EUR</t>
  </si>
  <si>
    <t>AMMolto</t>
  </si>
  <si>
    <t>Estado: Enviado; Vendedor: AMMolto; Envío repartido: 1.45 EUR</t>
  </si>
  <si>
    <t>Estado: Cancelado; Vendedor: Canichev; Envío repartido: 1.45 EUR</t>
  </si>
  <si>
    <t>frikigema</t>
  </si>
  <si>
    <t>Estado: Enviado; Vendedor: frikigema; Envío repartido: 1.45 EUR</t>
  </si>
  <si>
    <t>Anouskyy</t>
  </si>
  <si>
    <t>Estado: Enviado; Vendedor: Anouskyy; Envío repartido: 1.45 EUR</t>
  </si>
  <si>
    <t>Llonson89</t>
  </si>
  <si>
    <t>Estado: Enviado; Vendedor: Llonson89; Envío repartido: 1.45 EUR</t>
  </si>
  <si>
    <t>andres3006</t>
  </si>
  <si>
    <t>Estado: Enviado; Vendedor: andres3006; Envío repartido: 1.45 EUR</t>
  </si>
  <si>
    <t>JMDuran8</t>
  </si>
  <si>
    <t>Estado: Enviado; Vendedor: JMDuran8; Envío repartido: 1.45 EUR</t>
  </si>
  <si>
    <t>Jinye</t>
  </si>
  <si>
    <t>Estado: Enviado; Vendedor: Jinye; Envío repartido: 1.45 EUR</t>
  </si>
  <si>
    <t>Canguriya</t>
  </si>
  <si>
    <t>Estado: Enviado; Vendedor: Canguriya; Envío repartido: 1.45 EUR</t>
  </si>
  <si>
    <t>Eslava</t>
  </si>
  <si>
    <t>Estado: Enviado; Vendedor: Eslava; Envío repartido: 1.45 EUR</t>
  </si>
  <si>
    <t>WatchuTCG</t>
  </si>
  <si>
    <t>Estado: Enviado; Vendedor: WatchuTCG; Envío repartido: 1.45 EUR</t>
  </si>
  <si>
    <t>Pompo</t>
  </si>
  <si>
    <t>Estado: Enviado; Vendedor: Pompo; Envío repartido: 7.06 EUR</t>
  </si>
  <si>
    <t>picsel-x</t>
  </si>
  <si>
    <t>05.06.2026</t>
  </si>
  <si>
    <t>Estado: Recibido; Comprador: picsel-x; Envío repartido: 1.45 EUR</t>
  </si>
  <si>
    <t>freaktime</t>
  </si>
  <si>
    <t>02.06.2026</t>
  </si>
  <si>
    <t>Estado: Enviado; Vendedor: freaktime; Envío repartido: 1.45 EUR</t>
  </si>
  <si>
    <t>MartaMiau</t>
  </si>
  <si>
    <t>Estado: Enviado; Vendedor: MartaMiau; Envío repartido: 1.45 EUR</t>
  </si>
  <si>
    <t>VCTCGCards</t>
  </si>
  <si>
    <t>Estado: Enviado; Vendedor: VCTCGCards; Envío repartido: 1.45 EUR</t>
  </si>
  <si>
    <t>alvarocbcp</t>
  </si>
  <si>
    <t>01.06.2026</t>
  </si>
  <si>
    <t>Estado: Enviado; Vendedor: alvarocbcp; Envío repartido: 7.06 EUR</t>
  </si>
  <si>
    <t>ScorpyTCG</t>
  </si>
  <si>
    <t>Estado: Enviado; Vendedor: ScorpyTCG; Envío repartido: 3.75 EUR</t>
  </si>
  <si>
    <t>PapaseyzZ</t>
  </si>
  <si>
    <t>28.05.2026</t>
  </si>
  <si>
    <t>Estado: Enviado; Vendedor: PapaseyzZ; Envío repartido: 1.45 EUR</t>
  </si>
  <si>
    <t>Diego3517</t>
  </si>
  <si>
    <t>Estado: Enviado; Vendedor: Diego3517; Envío repartido: 7.06 EUR</t>
  </si>
  <si>
    <t>Churrimancer</t>
  </si>
  <si>
    <t>Estado: Enviado; Vendedor: Churrimancer; Envío repartido: 7.06 EUR</t>
  </si>
  <si>
    <t>Levelingames</t>
  </si>
  <si>
    <t>26.05.2026</t>
  </si>
  <si>
    <t>Estado: Cancelado; Vendedor: Levelingames; Envío repartido: 1.45 EUR</t>
  </si>
  <si>
    <t>MrNonoHobbies</t>
  </si>
  <si>
    <t>Estado: Enviado; Vendedor: MrNonoHobbies; Envío repartido: 1.45 EUR</t>
  </si>
  <si>
    <t>crawlingmist</t>
  </si>
  <si>
    <t>Estado: Enviado; Vendedor: crawlingmist; Envío repartido: 1.45 EUR</t>
  </si>
  <si>
    <t>Magicevent</t>
  </si>
  <si>
    <t>25.05.2026</t>
  </si>
  <si>
    <t>Estado: Enviado; Vendedor: Magicevent; Envío repartido: 1.45 EUR</t>
  </si>
  <si>
    <t>KairaCards</t>
  </si>
  <si>
    <t>Estado: Enviado; Vendedor: KairaCards; Envío repartido: 1.45 EUR</t>
  </si>
  <si>
    <t>Marix03</t>
  </si>
  <si>
    <t>Estado: Enviado; Vendedor: Marix03; Envío repartido: 1.45 EUR</t>
  </si>
  <si>
    <t>elgatodorado</t>
  </si>
  <si>
    <t>Estado: Enviado; Vendedor: elgatodorado; Envío repartido: 1.45 EUR</t>
  </si>
  <si>
    <t>spasiv</t>
  </si>
  <si>
    <t>Estado: Enviado; Vendedor: spasiv; Envío repartido: 1.45 EUR</t>
  </si>
  <si>
    <t>ManaVortex-POOL4YOU</t>
  </si>
  <si>
    <t>Estado: Enviado; Vendedor: ManaVortex-POOL4YOU; Envío repartido: 1.45 EUR</t>
  </si>
  <si>
    <t>Battlefields3D</t>
  </si>
  <si>
    <t>Estado: Enviado; Vendedor: Battlefields3D; Envío repartido: 1.45 EUR</t>
  </si>
  <si>
    <t>cmtilines</t>
  </si>
  <si>
    <t>Estado: Enviado; Vendedor: cmtilines; Envío repartido: 1.45 EUR</t>
  </si>
  <si>
    <t>Miceliongames</t>
  </si>
  <si>
    <t>22.05.2026</t>
  </si>
  <si>
    <t>Estado: Enviado; Vendedor: Miceliongames; Envío repartido: 1.45 EUR</t>
  </si>
  <si>
    <t>Piratebash</t>
  </si>
  <si>
    <t>Estado: Enviado; Vendedor: Piratebash; Envío repartido: 1.45 EUR</t>
  </si>
  <si>
    <t>zuri1988</t>
  </si>
  <si>
    <t>19.05.2026</t>
  </si>
  <si>
    <t>Estado: Cancelado; Vendedor: zuri1988; Envío repartido: 1.45 EUR</t>
  </si>
  <si>
    <t>edosolo</t>
  </si>
  <si>
    <t>Estado: Enviado; Vendedor: edosolo; Envío repartido: 1.45 EUR</t>
  </si>
  <si>
    <t>Fraviac</t>
  </si>
  <si>
    <t>Estado: Enviado; Vendedor: Fraviac; Envío repartido: 1.45 EUR</t>
  </si>
  <si>
    <t>miguividal</t>
  </si>
  <si>
    <t>Estado: Recibido; Comprador: miguividal; Envío repartido: 1.45 EUR</t>
  </si>
  <si>
    <t>AInnistrad</t>
  </si>
  <si>
    <t>Estado: Enviado; Vendedor: AInnistrad; Envío repartido: 7.06 EUR</t>
  </si>
  <si>
    <t>InfinityMana</t>
  </si>
  <si>
    <t>Estado: Enviado; Vendedor: InfinityMana; Envío repartido: 1.45 EUR</t>
  </si>
  <si>
    <t>MansionMarkov</t>
  </si>
  <si>
    <t>18.05.2026</t>
  </si>
  <si>
    <t>Estado: Enviado; Vendedor: MansionMarkov; Envío repartido: 1.45 EUR</t>
  </si>
  <si>
    <t>pacofaco</t>
  </si>
  <si>
    <t>Estado: Enviado; Vendedor: pacofaco; Envío repartido: 1.45 EUR</t>
  </si>
  <si>
    <t>Dongilote</t>
  </si>
  <si>
    <t>Estado: Cancelado; Vendedor: Dongilote; Envío repartido: 1.45 EUR</t>
  </si>
  <si>
    <t>Levodin</t>
  </si>
  <si>
    <t>Estado: Enviado; Vendedor: Levodin; Envío repartido: 1.45 EUR</t>
  </si>
  <si>
    <t>AleGean</t>
  </si>
  <si>
    <t>Estado: Enviado; Vendedor: AleGean; Envío repartido: 4.20 EUR</t>
  </si>
  <si>
    <t>Estado: Cancelado en CardMarket; recogido en mano; Vendedor: Distritozero-San; Envío eliminado por recogida en mano: 5.50 EUR</t>
  </si>
  <si>
    <t>Cami18</t>
  </si>
  <si>
    <t>Estado: Enviado; Vendedor: Cami18; Envío repartido: 1.45 EUR</t>
  </si>
  <si>
    <t>Ludyurk</t>
  </si>
  <si>
    <t>Estado: Enviado; Vendedor: Ludyurk; Envío repartido: 1.45 EUR</t>
  </si>
  <si>
    <t>WonderSaves</t>
  </si>
  <si>
    <t>Estado: Enviado; Vendedor: WonderSaves; Envío repartido: 1.45 EUR</t>
  </si>
  <si>
    <t>JupiterMadridNorte</t>
  </si>
  <si>
    <t>Estado: Enviado; Vendedor: JupiterMadridNorte; Envío repartido: 1.45 EUR</t>
  </si>
  <si>
    <t>ByteArenaTCG</t>
  </si>
  <si>
    <t>Estado: Enviado; Vendedor: ByteArenaTCG; Envío repartido: 1.45 EUR</t>
  </si>
  <si>
    <t>ZruspaTCG</t>
  </si>
  <si>
    <t>Estado: Enviado; Vendedor: ZruspaTCG; Envío repartido: 1.45 EUR</t>
  </si>
  <si>
    <t>yzekogame</t>
  </si>
  <si>
    <t>Estado: Enviado; Vendedor: yzekogame; Envío repartido: 1.45 EUR</t>
  </si>
  <si>
    <t>teff13</t>
  </si>
  <si>
    <t>Estado: Enviado; Vendedor: teff13; Envío repartido: 7.06 EUR</t>
  </si>
  <si>
    <t>La-Forja89</t>
  </si>
  <si>
    <t>Estado: Enviado; Vendedor: La-Forja89; Envío repartido: 1.45 EUR</t>
  </si>
  <si>
    <t>Du4rd</t>
  </si>
  <si>
    <t>Estado: Enviado; Vendedor: Du4rd; Envío repartido: 1.45 EUR</t>
  </si>
  <si>
    <t>Itaca</t>
  </si>
  <si>
    <t>17.05.2026</t>
  </si>
  <si>
    <t>Estado: Enviado; Vendedor: Itaca; Envío repartido: 4.25 EUR</t>
  </si>
  <si>
    <t>UrfWed</t>
  </si>
  <si>
    <t>Estado: Enviado; Vendedor: UrfWed; Envío repartido: 1.45 EUR</t>
  </si>
  <si>
    <t>CityOfCards</t>
  </si>
  <si>
    <t>Estado: Enviado; Vendedor: CityOfCards; Envío repartido: 1.45 EUR</t>
  </si>
  <si>
    <t>Estado: Cancelado en CardMarket; recogido en mano; Vendedor: Distritozero-Bilbao; Envío eliminado por recogida en mano: 1.45 EUR</t>
  </si>
  <si>
    <t>Beliase</t>
  </si>
  <si>
    <t>Estado: Recibido; Comprador: Beliase; Envío repartido: 1.45 EUR</t>
  </si>
  <si>
    <t>argoneffra</t>
  </si>
  <si>
    <t>Estado: Enviado; Vendedor: argoneffra; Envío repartido: 1.45 EUR</t>
  </si>
  <si>
    <t>Denvalgte</t>
  </si>
  <si>
    <t>Estado: Enviado; Vendedor: Denvalgte; Envío repartido: 1.45 EUR</t>
  </si>
  <si>
    <t>Sernes93</t>
  </si>
  <si>
    <t>Estado: Cancelado; Vendedor: Sernes93; Envío repartido: 1.45 EUR</t>
  </si>
  <si>
    <t>TheTraderTCG</t>
  </si>
  <si>
    <t>Estado: Enviado; Vendedor: TheTraderTCG; Envío repartido: 1.45 EUR</t>
  </si>
  <si>
    <t>bamias</t>
  </si>
  <si>
    <t>Estado: Enviado; Vendedor: bamias; Envío repartido: 1.45 EUR</t>
  </si>
  <si>
    <t>distritozero-vitoria</t>
  </si>
  <si>
    <t>Estado: Enviado; Vendedor: distritozero-vitoria; Envío repartido: 1.45 EUR</t>
  </si>
  <si>
    <t>Jokalizu</t>
  </si>
  <si>
    <t>Estado: Enviado; Vendedor: Jokalizu; Envío repartido: 1.45 EUR</t>
  </si>
  <si>
    <t>E1000iko</t>
  </si>
  <si>
    <t>Estado: Enviado; Vendedor: E1000iko; Envío repartido: 1.45 EUR</t>
  </si>
  <si>
    <t>Estado: Enviado; Vendedor: CartinhaBrilhante; Envío repartido: 1.45 EUR</t>
  </si>
  <si>
    <t>Nandisk0</t>
  </si>
  <si>
    <t>Estado: Enviado; Vendedor: Nandisk0; Envío repartido: 1.45 EUR</t>
  </si>
  <si>
    <t>Mixto</t>
  </si>
  <si>
    <t>TheGreatCollectorPSA</t>
  </si>
  <si>
    <t>Estado: Enviado; Vendedor: TheGreatCollectorPSA; Envío repartido: 1.45 EUR</t>
  </si>
  <si>
    <t>Wilsonetti66</t>
  </si>
  <si>
    <t>Estado: Enviado; Vendedor: Wilsonetti66; Envío repartido: 1.45 EUR</t>
  </si>
  <si>
    <t>Kaizen99</t>
  </si>
  <si>
    <t>Estado: Enviado; Vendedor: Kaizen99; Envío repartido: 1.45 EUR</t>
  </si>
  <si>
    <t>VipsMasterDuels</t>
  </si>
  <si>
    <t>Estado: Enviado; Vendedor: VipsMasterDuels; Envío repartido: 1.45 EUR</t>
  </si>
  <si>
    <t>Estado: Enviado; Vendedor: Battlefields3D; Envío repartido: 7.06 EUR</t>
  </si>
  <si>
    <t>XeNonWoN</t>
  </si>
  <si>
    <t>Estado: Enviado; Vendedor: XeNonWoN; Envío repartido: 7.06 EUR</t>
  </si>
  <si>
    <t>Predatorix</t>
  </si>
  <si>
    <t>Estado: Enviado; Vendedor: Predatorix; Envío repartido: 7.06 EUR</t>
  </si>
  <si>
    <t>DedeDiego</t>
  </si>
  <si>
    <t>Estado: Cancelado; Vendedor: DedeDiego; Envío repartido: 7.06 EUR</t>
  </si>
  <si>
    <t>Rous2006</t>
  </si>
  <si>
    <t>16.05.2026</t>
  </si>
  <si>
    <t>Estado: Recibido; Comprador: Rous2006; Envío repartido: 1.45 EUR</t>
  </si>
  <si>
    <t>PlaneswalkersVLC</t>
  </si>
  <si>
    <t>Estado: Enviado; Vendedor: PlaneswalkersVLC; Envío repartido: 1.45 EUR</t>
  </si>
  <si>
    <t>AlcomagicTCGs</t>
  </si>
  <si>
    <t>15.05.2026</t>
  </si>
  <si>
    <t>Estado: Enviado; Vendedor: AlcomagicTCGs; Envío repartido: 1.45 EUR</t>
  </si>
  <si>
    <t>Deckpoint</t>
  </si>
  <si>
    <t>Estado: Enviado; Vendedor: Deckpoint; Envío repartido: 1.45 EUR</t>
  </si>
  <si>
    <t>vivabender</t>
  </si>
  <si>
    <t>Estado: Enviado; Vendedor: vivabender; Envío repartido: 1.45 EUR</t>
  </si>
  <si>
    <t>Mazvigosl</t>
  </si>
  <si>
    <t>Estado: Enviado; Vendedor: Mazvigosl; Envío repartido: 1.45 EUR</t>
  </si>
  <si>
    <t>AATHOV</t>
  </si>
  <si>
    <t>09.05.2026</t>
  </si>
  <si>
    <t>Estado: Recibido; Comprador: AATHOV; Envío repartido: 1.45 EUR</t>
  </si>
  <si>
    <t>Asonux</t>
  </si>
  <si>
    <t>07.05.2026</t>
  </si>
  <si>
    <t>Estado: Recibido; Comprador: Asonux; Envío repartido: 1.45 EUR</t>
  </si>
  <si>
    <t>26.04.2026</t>
  </si>
  <si>
    <t>Shark-Games</t>
  </si>
  <si>
    <t>22.04.2026</t>
  </si>
  <si>
    <t>Estado: Enviado; Vendedor: Shark-Games; Envío repartido: 1.44 EUR</t>
  </si>
  <si>
    <t>Ikeraso</t>
  </si>
  <si>
    <t>10.04.2026</t>
  </si>
  <si>
    <t>Estado: Recibido; Comprador: Ikeraso; Envío repartido: 1.45 EUR</t>
  </si>
  <si>
    <t>duboity</t>
  </si>
  <si>
    <t>05.04.2026</t>
  </si>
  <si>
    <t>Estado: Recibido; Comprador: duboity; Envío repartido: 1.45 EUR</t>
  </si>
  <si>
    <t>tulsaworm</t>
  </si>
  <si>
    <t>04.04.2026</t>
  </si>
  <si>
    <t>Estado: Recibido; Comprador: tulsaworm; Envío repartido: 1.45 EUR</t>
  </si>
  <si>
    <t>Frankinkinmarkinkin</t>
  </si>
  <si>
    <t>31.03.2026</t>
  </si>
  <si>
    <t>Estado: Cancelado; Comprador: Frankinkinmarkinkin; Envío repartido: 7.06 EUR</t>
  </si>
  <si>
    <t>Metropolis-Center</t>
  </si>
  <si>
    <t>Estado: Recibido; Comprador: Metropolis-Center; Envío repartido: 1.45 EUR</t>
  </si>
  <si>
    <t>SatoruGojoD</t>
  </si>
  <si>
    <t>26.03.2026</t>
  </si>
  <si>
    <t>Estado: Enviado; Vendedor: SatoruGojoD; Envío repartido: 1.45 EUR</t>
  </si>
  <si>
    <t>Wallace83</t>
  </si>
  <si>
    <t>Estado: Enviado; Vendedor: Wallace83; Envío repartido: 7.06 EUR</t>
  </si>
  <si>
    <t>jaked-xgz5x</t>
  </si>
  <si>
    <t>23.03.2026</t>
  </si>
  <si>
    <t>Estado: Cancelado; Comprador: jaked-xgz5x; Envío repartido: 2.60 EUR</t>
  </si>
  <si>
    <t>ugatortuga</t>
  </si>
  <si>
    <t>21.03.2026</t>
  </si>
  <si>
    <t>Estado: Enviado; Vendedor: ugatortuga; Envío repartido: 1.45 EUR</t>
  </si>
  <si>
    <t>Bazaarofmagic</t>
  </si>
  <si>
    <t>Estado: Enviado; Vendedor: Bazaarofmagic; Envío repartido: 10.85 EUR</t>
  </si>
  <si>
    <t>jcarrillo</t>
  </si>
  <si>
    <t>17.03.2026</t>
  </si>
  <si>
    <t>Estado: Recibido; Comprador: jcarrillo; Envío repartido: 1.45 EUR</t>
  </si>
  <si>
    <t>Riotaire</t>
  </si>
  <si>
    <t>15.03.2026</t>
  </si>
  <si>
    <t>Estado: Recibido; Comprador: Riotaire; Envío repartido: 1.45 EUR</t>
  </si>
  <si>
    <t>13.03.2026</t>
  </si>
  <si>
    <t>sekkuar</t>
  </si>
  <si>
    <t>Estado: Enviado; Vendedor: sekkuar; Envío repartido: 1.45 EUR</t>
  </si>
  <si>
    <t>Indio1000</t>
  </si>
  <si>
    <t>12.03.2026</t>
  </si>
  <si>
    <t>Estado: Recibido; Comprador: Indio1000; Envío repartido: 1.45 EUR</t>
  </si>
  <si>
    <t>11.03.2026</t>
  </si>
  <si>
    <t>Estado: Recibido; Comprador: Mazvigosl; Envío repartido: 1.45 EUR</t>
  </si>
  <si>
    <t>blinking-cmc</t>
  </si>
  <si>
    <t>Estado: Recibido; Comprador: blinking-cmc; Envío repartido: 1.45 EUR</t>
  </si>
  <si>
    <t>gerardsm</t>
  </si>
  <si>
    <t>08.03.2026</t>
  </si>
  <si>
    <t>Estado: Pagado; Comprador: gerardsm; Envío repartido: 1.45 EUR</t>
  </si>
  <si>
    <t>06.03.2026</t>
  </si>
  <si>
    <t>04.03.2026</t>
  </si>
  <si>
    <t>Tenebre</t>
  </si>
  <si>
    <t>03.03.2026</t>
  </si>
  <si>
    <t>Estado: Recibido; Comprador: Tenebre; Envío repartido: 2.60 EUR</t>
  </si>
  <si>
    <t>Josestich66</t>
  </si>
  <si>
    <t>01.03.2026</t>
  </si>
  <si>
    <t>Estado: Recibido; Comprador: Josestich66; Envío repartido: 1.45 EUR</t>
  </si>
  <si>
    <t>FALAFIOW</t>
  </si>
  <si>
    <t>27.02.2026</t>
  </si>
  <si>
    <t>Estado: Recibido; Comprador: FALAFIOW; Envío repartido: 2.60 EUR</t>
  </si>
  <si>
    <t>monchosdeck</t>
  </si>
  <si>
    <t>26.02.2026</t>
  </si>
  <si>
    <t>Estado: Recibido; Comprador: monchosdeck; Envío repartido: 1.45 EUR</t>
  </si>
  <si>
    <t>xavi1111</t>
  </si>
  <si>
    <t>21.02.2026</t>
  </si>
  <si>
    <t>Estado: Recibido; Comprador: xavi1111; Envío repartido: 1.45 EUR</t>
  </si>
  <si>
    <t>NerdOgre</t>
  </si>
  <si>
    <t>20.02.2026</t>
  </si>
  <si>
    <t>Estado: Recibido; Comprador: NerdOgre; Envío repartido: 1.45 EUR</t>
  </si>
  <si>
    <t>19.02.2026</t>
  </si>
  <si>
    <t>Malacosa</t>
  </si>
  <si>
    <t>Estado: Recibido; Comprador: Malacosa; Envío repartido: 1.45 EUR</t>
  </si>
  <si>
    <t>adrilg98</t>
  </si>
  <si>
    <t>15.02.2026</t>
  </si>
  <si>
    <t>Estado: Recibido; Comprador: adrilg98; Envío repartido: 1.45 EUR</t>
  </si>
  <si>
    <t>esatheking</t>
  </si>
  <si>
    <t>Estado: Recibido; Comprador: esatheking; Envío repartido: 2.60 EUR</t>
  </si>
  <si>
    <t>Warscapez</t>
  </si>
  <si>
    <t>Estado: Recibido; Comprador: Warscapez; Envío repartido: 1.45 EUR</t>
  </si>
  <si>
    <t>MagicCornerVienna</t>
  </si>
  <si>
    <t>14.02.2026</t>
  </si>
  <si>
    <t>Estado: Recibido; Comprador: MagicCornerVienna; Envío repartido: 2.60 EUR</t>
  </si>
  <si>
    <t>mariozeferino</t>
  </si>
  <si>
    <t>12.02.2026</t>
  </si>
  <si>
    <t>Estado: Recibido; Comprador: mariozeferino; Envío repartido: 2.60 EUR</t>
  </si>
  <si>
    <t>Mathmechenjoyer</t>
  </si>
  <si>
    <t>11.02.2026</t>
  </si>
  <si>
    <t>Estado: Enviado; Vendedor: Mathmechenjoyer; Envío repartido: 6.43 EUR</t>
  </si>
  <si>
    <t>Vanja0411</t>
  </si>
  <si>
    <t>10.02.2026</t>
  </si>
  <si>
    <t>Estado: Enviado; Vendedor: Vanja0411; Envío repartido: 5.90 EUR</t>
  </si>
  <si>
    <t>wernario</t>
  </si>
  <si>
    <t>09.02.2026</t>
  </si>
  <si>
    <t>Estado: Recibido; Comprador: wernario; Envío repartido: 1.45 EUR</t>
  </si>
  <si>
    <t>Deilicious</t>
  </si>
  <si>
    <t>08.02.2026</t>
  </si>
  <si>
    <t>Estado: Recibido; Comprador: Deilicious; Envío repartido: 1.45 EUR</t>
  </si>
  <si>
    <t>Xalvix</t>
  </si>
  <si>
    <t>Estado: Enviado; Vendedor: Xalvix; Envío repartido: 6.43 EUR</t>
  </si>
  <si>
    <t>CorzoDoMonte</t>
  </si>
  <si>
    <t>07.02.2026</t>
  </si>
  <si>
    <t>Estado: Recibido; Comprador: CorzoDoMonte; Envío repartido: 1.45 EUR</t>
  </si>
  <si>
    <t>Reimun182</t>
  </si>
  <si>
    <t>Estado: Cancelado; Comprador: Reimun182; Envío repartido: 1.45 EUR</t>
  </si>
  <si>
    <t>kaiserknight19</t>
  </si>
  <si>
    <t>06.02.2026</t>
  </si>
  <si>
    <t>Estado: Recibido; Comprador: kaiserknight19; Envío repartido: 1.45 EUR</t>
  </si>
  <si>
    <t>dudeduo</t>
  </si>
  <si>
    <t>Estado: Recibido; Comprador: dudeduo; Envío repartido: 2.60 EUR</t>
  </si>
  <si>
    <t>PabloTutor</t>
  </si>
  <si>
    <t>Estado: Enviado; Vendedor: PabloTutor; Envío repartido: 6.43 EUR</t>
  </si>
  <si>
    <t>willybizarre</t>
  </si>
  <si>
    <t>04.02.2026</t>
  </si>
  <si>
    <t>Estado: Enviado; Vendedor: willybizarre; Envío repartido: 1.45 EUR</t>
  </si>
  <si>
    <t>DaniSMTG</t>
  </si>
  <si>
    <t>Estado: Enviado; Vendedor: DaniSMTG; Envío repartido: 6.43 EUR</t>
  </si>
  <si>
    <t>Kenoven</t>
  </si>
  <si>
    <t>Estado: Recibido; Comprador: Kenoven; Envío repartido: 6.43 EUR</t>
  </si>
  <si>
    <t>TrashBandi</t>
  </si>
  <si>
    <t>Estado: Recibido; Comprador: TrashBandi; Envío repartido: 1.45 EUR</t>
  </si>
  <si>
    <t>Osomore3</t>
  </si>
  <si>
    <t>03.02.2026</t>
  </si>
  <si>
    <t>Estado: Recibido; Comprador: Osomore3; Envío repartido: 1.45 EUR</t>
  </si>
  <si>
    <t>davebr</t>
  </si>
  <si>
    <t>02.02.2026</t>
  </si>
  <si>
    <t>Estado: Recibido; Comprador: davebr; Envío repartido: 2.60 EUR</t>
  </si>
  <si>
    <t>01.02.2026</t>
  </si>
  <si>
    <t>Cualquiera</t>
  </si>
  <si>
    <t>Estado: Recibido; Comprador: Cualquiera; Envío repartido: 1.45 EUR</t>
  </si>
  <si>
    <t>Pepelurr</t>
  </si>
  <si>
    <t>Estado: Enviado; Vendedor: Pepelurr; Envío repartido: 1.45 EUR</t>
  </si>
  <si>
    <t>HamelinGames</t>
  </si>
  <si>
    <t>31.01.2026</t>
  </si>
  <si>
    <t>Estado: Enviado; Vendedor: HamelinGames; Envío repartido: 1.45 EUR</t>
  </si>
  <si>
    <t>Fabuloussanta</t>
  </si>
  <si>
    <t>30.01.2026</t>
  </si>
  <si>
    <t>Estado: Recibido; Comprador: Fabuloussanta; Envío repartido: 2.60 EUR</t>
  </si>
  <si>
    <t>virpermar</t>
  </si>
  <si>
    <t>Estado: Enviado; Vendedor: virpermar; Envío repartido: 6.43 EUR</t>
  </si>
  <si>
    <t>Devian-Magic-Cards</t>
  </si>
  <si>
    <t>29.01.2026</t>
  </si>
  <si>
    <t>Estado: Enviado; Vendedor: Devian-Magic-Cards; Envío repartido: 1.45 EUR</t>
  </si>
  <si>
    <t>28.01.2026</t>
  </si>
  <si>
    <t>JLCantabria</t>
  </si>
  <si>
    <t>Estado: Enviado; Vendedor: JLCantabria; Envío repartido: 1.45 EUR</t>
  </si>
  <si>
    <t>JPizarro</t>
  </si>
  <si>
    <t>Estado: Enviado; Vendedor: JPizarro; Envío repartido: 1.45 EUR</t>
  </si>
  <si>
    <t>RaulV</t>
  </si>
  <si>
    <t>27.01.2026</t>
  </si>
  <si>
    <t>Estado: Recibido; Comprador: RaulV; Envío repartido: 1.45 EUR</t>
  </si>
  <si>
    <t>roman1981</t>
  </si>
  <si>
    <t>26.01.2026</t>
  </si>
  <si>
    <t>Estado: Enviado; Vendedor: roman1981; Envío repartido: 16.99 EUR</t>
  </si>
  <si>
    <t>22.01.2026</t>
  </si>
  <si>
    <t>Estado: Enviado; Vendedor: Metropolis-Center; Envío repartido: 14.99 EUR</t>
  </si>
  <si>
    <t>erion</t>
  </si>
  <si>
    <t>Estado: Recibido; Comprador: erion; Envío repartido: 1.45 EUR</t>
  </si>
  <si>
    <t>klugekarten</t>
  </si>
  <si>
    <t>21.01.2026</t>
  </si>
  <si>
    <t>Estado: Enviado; Vendedor: klugekarten; Envío repartido: 1.55 EUR</t>
  </si>
  <si>
    <t>BowmanTCG</t>
  </si>
  <si>
    <t>Estado: Enviado; Vendedor: BowmanTCG; Envío repartido: 2.50 EUR</t>
  </si>
  <si>
    <t>davtaz</t>
  </si>
  <si>
    <t>Estado: Recibido; Comprador: davtaz; Envío repartido: 2.60 EUR</t>
  </si>
  <si>
    <t>Ilstram</t>
  </si>
  <si>
    <t>Estado: Enviado; Vendedor: Ilstram; Envío repartido: 6.43 EUR</t>
  </si>
  <si>
    <t>TEMPEST-STORE</t>
  </si>
  <si>
    <t>20.01.2026</t>
  </si>
  <si>
    <t>Estado: Enviado; Vendedor: TEMPEST-STORE; Envío repartido: 4.25 EUR</t>
  </si>
  <si>
    <t>Squirle</t>
  </si>
  <si>
    <t>Estado: Recibido; Comprador: Squirle; Envío repartido: 2.60 EUR</t>
  </si>
  <si>
    <t>andresrelease</t>
  </si>
  <si>
    <t>19.01.2026</t>
  </si>
  <si>
    <t>Estado: Recibido; Comprador: andresrelease; Envío repartido: 1.45 EUR</t>
  </si>
  <si>
    <t>shat16</t>
  </si>
  <si>
    <t>Estado: Recibido; Comprador: shat16; Envío repartido: 1.45 EUR</t>
  </si>
  <si>
    <t>Farrukyto</t>
  </si>
  <si>
    <t>Estado: Recibido; Comprador: Farrukyto; Envío repartido: 1.45 EUR</t>
  </si>
  <si>
    <t>zerosgames</t>
  </si>
  <si>
    <t>17.01.2026</t>
  </si>
  <si>
    <t>Estado: Enviado; Vendedor: zerosgames; Envío repartido: 1.45 EUR</t>
  </si>
  <si>
    <t>Josesantanaa</t>
  </si>
  <si>
    <t>Estado: Cancelado; Comprador: Josesantanaa; Envío repartido: 1.45 EUR</t>
  </si>
  <si>
    <t>MoLyyy</t>
  </si>
  <si>
    <t>15.01.2026</t>
  </si>
  <si>
    <t>Estado: Recibido; Comprador: MoLyyy; Envío repartido: 1.45 EUR</t>
  </si>
  <si>
    <t>LycorisBlood</t>
  </si>
  <si>
    <t>Estado: Recibido; Comprador: LycorisBlood; Envío repartido: 1.45 EUR</t>
  </si>
  <si>
    <t>w-thanos</t>
  </si>
  <si>
    <t>14.01.2026</t>
  </si>
  <si>
    <t>Estado: Recibido; Comprador: w-thanos; Envío repartido: 1.45 EUR</t>
  </si>
  <si>
    <t>punipwni</t>
  </si>
  <si>
    <t>Estado: Enviado; Vendedor: punipwni; Envío repartido: 1.45 EUR</t>
  </si>
  <si>
    <t>Tritzia</t>
  </si>
  <si>
    <t>13.01.2026</t>
  </si>
  <si>
    <t>Estado: Recibido; Comprador: Tritzia; Envío repartido: 1.45 EUR</t>
  </si>
  <si>
    <t>ManaTrust</t>
  </si>
  <si>
    <t>Estado: Enviado; Vendedor: ManaTrust; Envío repartido: 10.70 EUR</t>
  </si>
  <si>
    <t>villa</t>
  </si>
  <si>
    <t>Estado: Enviado; Vendedor: villa; Envío repartido: 6.43 EUR</t>
  </si>
  <si>
    <t>theratrix</t>
  </si>
  <si>
    <t>Estado: Recibido; Comprador: theratrix; Envío repartido: 1.45 EUR</t>
  </si>
  <si>
    <t>enriquemouh1</t>
  </si>
  <si>
    <t>11.01.2026</t>
  </si>
  <si>
    <t>Estado: Recibido; Comprador: enriquemouh1; Envío repartido: 1.45 EUR</t>
  </si>
  <si>
    <t>Armolea</t>
  </si>
  <si>
    <t>10.01.2026</t>
  </si>
  <si>
    <t>Estado: Recibido; Comprador: Armolea; Envío repartido: 1.45 EUR</t>
  </si>
  <si>
    <t>Yajaidi</t>
  </si>
  <si>
    <t>08.01.2026</t>
  </si>
  <si>
    <t>Estado: Recibido; Comprador: Yajaidi; Envío repartido: 1.45 EUR</t>
  </si>
  <si>
    <t>champizor</t>
  </si>
  <si>
    <t>Estado: Enviado; Vendedor: champizor; Envío repartido: 1.45 EUR</t>
  </si>
  <si>
    <t>Lhush</t>
  </si>
  <si>
    <t>Estado: Enviado; Vendedor: Lhush; Envío repartido: 1.45 EUR</t>
  </si>
  <si>
    <t>jaumejr</t>
  </si>
  <si>
    <t>Estado: Enviado; Vendedor: jaumejr; Envío repartido: 1.45 EUR</t>
  </si>
  <si>
    <t>Slashtico</t>
  </si>
  <si>
    <t>Estado: Recibido; Comprador: Slashtico; Envío repartido: 1.45 EUR</t>
  </si>
  <si>
    <t>07.01.2026</t>
  </si>
  <si>
    <t>huekix</t>
  </si>
  <si>
    <t>Estado: Recibido; Comprador: huekix; Envío repartido: 1.45 EUR</t>
  </si>
  <si>
    <t>06.01.2026</t>
  </si>
  <si>
    <t>Sheisenn1809</t>
  </si>
  <si>
    <t>Estado: Recibido; Comprador: Sheisenn1809; Envío repartido: 1.45 EUR</t>
  </si>
  <si>
    <t>JuneSG</t>
  </si>
  <si>
    <t>04.01.2026</t>
  </si>
  <si>
    <t>Estado: Recibido; Comprador: JuneSG; Envío repartido: 1.45 EUR</t>
  </si>
  <si>
    <t>AlbertMP</t>
  </si>
  <si>
    <t>Estado: Recibido; Comprador: AlbertMP; Envío repartido: 1.45 EUR</t>
  </si>
  <si>
    <t>Overrchepa</t>
  </si>
  <si>
    <t>03.01.2026</t>
  </si>
  <si>
    <t>Estado: Recibido; Comprador: Overrchepa; Envío repartido: 1.45 EUR</t>
  </si>
  <si>
    <t>reumah</t>
  </si>
  <si>
    <t>Estado: Recibido; Comprador: reumah; Envío repartido: 1.45 EUR</t>
  </si>
  <si>
    <t>debz701</t>
  </si>
  <si>
    <t>02.01.2026</t>
  </si>
  <si>
    <t>Estado: Recibido; Comprador: debz701; Envío repartido: 2.60 EUR</t>
  </si>
  <si>
    <t>SnowyKnight</t>
  </si>
  <si>
    <t>Estado: Recibido; Comprador: SnowyKnight; Envío repartido: 2.60 EUR</t>
  </si>
  <si>
    <t>Aitorplanchas</t>
  </si>
  <si>
    <t>Estado: Recibido; Comprador: Aitorplanchas; Envío repartido: 1.45 EUR</t>
  </si>
  <si>
    <t>WA-20260101-03</t>
  </si>
  <si>
    <t>Willybizarre</t>
  </si>
  <si>
    <t>01.01.2026</t>
  </si>
  <si>
    <t>Estado: Importado desde Pedidos WhatsApp; origen manual; lineas: 1</t>
  </si>
  <si>
    <t>WA-20260101-02</t>
  </si>
  <si>
    <t>Liddia7</t>
  </si>
  <si>
    <t>Estado: Importado desde Pedidos WhatsApp; origen manual; lineas: 2</t>
  </si>
  <si>
    <t>WA-20260101-01</t>
  </si>
  <si>
    <t>Bronhy</t>
  </si>
  <si>
    <t>Voldraek</t>
  </si>
  <si>
    <t>Estado: Recibido; Comprador: Voldraek; Envío repartido: 2.45 EUR</t>
  </si>
  <si>
    <t>ChaugnarFaugn</t>
  </si>
  <si>
    <t>30.12.2025</t>
  </si>
  <si>
    <t>Estado: Recibido; Comprador: ChaugnarFaugn; Envío repartido: 1.33 EUR</t>
  </si>
  <si>
    <t>Arkanum</t>
  </si>
  <si>
    <t>29.12.2025</t>
  </si>
  <si>
    <t>Estado: Recibido; Comprador: Arkanum; Envío repartido: 1.33 EUR</t>
  </si>
  <si>
    <t>adriangd</t>
  </si>
  <si>
    <t>28.12.2025</t>
  </si>
  <si>
    <t>Estado: Recibido; Comprador: adriangd; Envío repartido: 1.33 EUR</t>
  </si>
  <si>
    <t>salucks</t>
  </si>
  <si>
    <t>Estado: Recibido; Comprador: salucks; Envío repartido: 2.45 EUR</t>
  </si>
  <si>
    <t>Javieeh</t>
  </si>
  <si>
    <t>27.12.2025</t>
  </si>
  <si>
    <t>Estado: Recibido; Comprador: Javieeh; Envío repartido: 1.33 EUR</t>
  </si>
  <si>
    <t>enrico3547</t>
  </si>
  <si>
    <t>25.12.2025</t>
  </si>
  <si>
    <t>Estado: Recibido; Comprador: enrico3547; Envío repartido: 7.60 EUR</t>
  </si>
  <si>
    <t>Vitosellmagic</t>
  </si>
  <si>
    <t>24.12.2025</t>
  </si>
  <si>
    <t>Estado: Enviado; Vendedor: Vitosellmagic; Envío repartido: 1.33 EUR</t>
  </si>
  <si>
    <t>Zeross</t>
  </si>
  <si>
    <t>23.12.2025</t>
  </si>
  <si>
    <t>Estado: Recibido; Comprador: Zeross; Envío repartido: 2.45 EUR</t>
  </si>
  <si>
    <t>Mikota</t>
  </si>
  <si>
    <t>Estado: Recibido; Comprador: Mikota; Envío repartido: 1.33 EUR</t>
  </si>
  <si>
    <t>Espartano88</t>
  </si>
  <si>
    <t>Estado: Cancelado; Comprador: Espartano88; Envío repartido: 1.33 EUR</t>
  </si>
  <si>
    <t>Larguiruncio</t>
  </si>
  <si>
    <t>22.12.2025</t>
  </si>
  <si>
    <t>Estado: Recibido; Comprador: Larguiruncio; Envío repartido: 1.33 EUR</t>
  </si>
  <si>
    <t>peruherrero1</t>
  </si>
  <si>
    <t>Estado: Enviado; Vendedor: peruherrero1; Envío repartido: 5.93 EUR</t>
  </si>
  <si>
    <t>troncete</t>
  </si>
  <si>
    <t>Estado: Recibido; Comprador: troncete; Envío repartido: 1.33 EUR</t>
  </si>
  <si>
    <t>SantiBosch</t>
  </si>
  <si>
    <t>21.12.2025</t>
  </si>
  <si>
    <t>Estado: Recibido; Comprador: SantiBosch; Envío repartido: 1.33 EUR</t>
  </si>
  <si>
    <t>Langi</t>
  </si>
  <si>
    <t>Estado: Recibido; Comprador: Langi; Envío repartido: 2.45 EUR</t>
  </si>
  <si>
    <t>PechoLata</t>
  </si>
  <si>
    <t>Estado: Recibido; Comprador: PechoLata; Envío repartido: 1.33 EUR</t>
  </si>
  <si>
    <t>AphexTwIIIn</t>
  </si>
  <si>
    <t>Estado: Recibido; Comprador: AphexTwIIIn; Envío repartido: 2.45 EUR</t>
  </si>
  <si>
    <t>Estado: Enviado; Vendedor: ManaVortex-POOL4YOU; Envío repartido: 1.33 EUR</t>
  </si>
  <si>
    <t>daktylus75</t>
  </si>
  <si>
    <t>Estado: Recibido; Comprador: daktylus75; Envío repartido: 2.45 EUR</t>
  </si>
  <si>
    <t>WA-20251220-01</t>
  </si>
  <si>
    <t>34628270693</t>
  </si>
  <si>
    <t>20.12.2025</t>
  </si>
  <si>
    <t>Cuatrolo</t>
  </si>
  <si>
    <t>19.12.2025</t>
  </si>
  <si>
    <t>Estado: Recibido; Comprador: Cuatrolo; Envío repartido: 1.33 EUR</t>
  </si>
  <si>
    <t>Racato</t>
  </si>
  <si>
    <t>18.12.2025</t>
  </si>
  <si>
    <t>Estado: Recibido; Comprador: Racato; Envío repartido: 7.60 EUR</t>
  </si>
  <si>
    <t>Estado: Enviado; Vendedor: Devian-Magic-Cards; Envío repartido: 5.93 EUR</t>
  </si>
  <si>
    <t>botusfetus</t>
  </si>
  <si>
    <t>Estado: Recibido; Comprador: botusfetus; Envío repartido: 1.33 EUR</t>
  </si>
  <si>
    <t>Aleixescurabello</t>
  </si>
  <si>
    <t>16.12.2025</t>
  </si>
  <si>
    <t>Estado: Recibido; Comprador: Aleixescurabello; Envío repartido: 1.33 EUR</t>
  </si>
  <si>
    <t>Seath93</t>
  </si>
  <si>
    <t>15.12.2025</t>
  </si>
  <si>
    <t>Estado: Enviado; Vendedor: Seath93; Envío repartido: 34.00 EUR</t>
  </si>
  <si>
    <t>Rodrigbli</t>
  </si>
  <si>
    <t>Estado: Enviado; Vendedor: Rodrigbli; Envío repartido: 1.33 EUR</t>
  </si>
  <si>
    <t>14.12.2025</t>
  </si>
  <si>
    <t>Estado: Cancelado; Vendedor: Devian-Magic-Cards; Envío repartido: 5.93 EUR</t>
  </si>
  <si>
    <t>Estado: Enviado; Vendedor: Levodin; Envío repartido: 1.33 EUR</t>
  </si>
  <si>
    <t>Terricolous</t>
  </si>
  <si>
    <t>12.12.2025</t>
  </si>
  <si>
    <t>Estado: Recibido; Comprador: Terricolous; Envío repartido: 2.45 EUR</t>
  </si>
  <si>
    <t>AdryKeo</t>
  </si>
  <si>
    <t>10.12.2025</t>
  </si>
  <si>
    <t>Estado: Recibido; Comprador: AdryKeo; Envío repartido: 1.33 EUR</t>
  </si>
  <si>
    <t>KingKenji</t>
  </si>
  <si>
    <t>09.12.2025</t>
  </si>
  <si>
    <t>Estado: Recibido; Comprador: KingKenji; Envío repartido: 2.45 EUR</t>
  </si>
  <si>
    <t>Enderu01</t>
  </si>
  <si>
    <t>Estado: Recibido; Comprador: Enderu01; Envío repartido: 7.60 EUR</t>
  </si>
  <si>
    <t>Argili</t>
  </si>
  <si>
    <t>Estado: Recibido; Comprador: Argili; Envío repartido: 1.33 EUR</t>
  </si>
  <si>
    <t>08.12.2025</t>
  </si>
  <si>
    <t>Estado: Enviado; Vendedor: picsel-x; Envío repartido: 1.33 EUR</t>
  </si>
  <si>
    <t>DarumaGames</t>
  </si>
  <si>
    <t>07.12.2025</t>
  </si>
  <si>
    <t>Estado: Enviado; Vendedor: DarumaGames; Envío repartido: 1.33 EUR</t>
  </si>
  <si>
    <t>Gatopardo</t>
  </si>
  <si>
    <t>Estado: Enviado; Vendedor: Gatopardo; Envío repartido: 1.33 EUR</t>
  </si>
  <si>
    <t>eGodrama</t>
  </si>
  <si>
    <t>Estado: Recibido; Comprador: eGodrama; Envío repartido: 1.33 EUR</t>
  </si>
  <si>
    <t>Exarfox</t>
  </si>
  <si>
    <t>06.12.2025</t>
  </si>
  <si>
    <t>Estado: Recibido; Comprador: Exarfox; Envío repartido: 1.33 EUR</t>
  </si>
  <si>
    <t>Mogoga</t>
  </si>
  <si>
    <t>04.12.2025</t>
  </si>
  <si>
    <t>Estado: Cancelado; Comprador: Mogoga; Envío repartido: 1.33 EUR</t>
  </si>
  <si>
    <t>WA-20251203-03</t>
  </si>
  <si>
    <t>Aner</t>
  </si>
  <si>
    <t>03.12.2025</t>
  </si>
  <si>
    <t>WA-20251203-02</t>
  </si>
  <si>
    <t>34688908486</t>
  </si>
  <si>
    <t>WA-20251203-01</t>
  </si>
  <si>
    <t>34644320420</t>
  </si>
  <si>
    <t>fconejero99</t>
  </si>
  <si>
    <t>Estado: Recibido; Comprador: fconejero99; Envío repartido: 1.33 EUR</t>
  </si>
  <si>
    <t>oirakam</t>
  </si>
  <si>
    <t>Estado: Recibido; Comprador: oirakam; Envío repartido: 1.33 EUR</t>
  </si>
  <si>
    <t>TK-13</t>
  </si>
  <si>
    <t>02.12.2025</t>
  </si>
  <si>
    <t>Estado: Recibido; Comprador: TK-13; Envío repartido: 2.45 EUR</t>
  </si>
  <si>
    <t>Percy666</t>
  </si>
  <si>
    <t>Estado: Recibido; Comprador: Percy666; Envío repartido: 2.45 EUR</t>
  </si>
  <si>
    <t>WA-20251201-01</t>
  </si>
  <si>
    <t>34640601276</t>
  </si>
  <si>
    <t>01.12.2025</t>
  </si>
  <si>
    <t>robleno</t>
  </si>
  <si>
    <t>Estado: Recibido; Comprador: robleno; Envío repartido: 1.33 EUR</t>
  </si>
  <si>
    <t>Mariscot</t>
  </si>
  <si>
    <t>30.11.2025</t>
  </si>
  <si>
    <t>Estado: Recibido; Comprador: Mariscot; Envío repartido: 1.33 EUR</t>
  </si>
  <si>
    <t>Gingi</t>
  </si>
  <si>
    <t>Estado: Recibido; Comprador: Gingi; Envío repartido: 1.33 EUR</t>
  </si>
  <si>
    <t>Rul83</t>
  </si>
  <si>
    <t>Estado: Recibido; Comprador: Rul83; Envío repartido: 1.33 EUR</t>
  </si>
  <si>
    <t>Eriic05</t>
  </si>
  <si>
    <t>29.11.2025</t>
  </si>
  <si>
    <t>Estado: Recibido; Comprador: Eriic05; Envío repartido: 1.33 EUR</t>
  </si>
  <si>
    <t>Estado: Recibido; Comprador: Warscapez; Envío repartido: 1.33 EUR</t>
  </si>
  <si>
    <t>obsl1980</t>
  </si>
  <si>
    <t>28.11.2025</t>
  </si>
  <si>
    <t>Estado: Enviado; Vendedor: obsl1980; Envío repartido: 15.49 EUR</t>
  </si>
  <si>
    <t>Borium</t>
  </si>
  <si>
    <t>Estado: Cancelado; Comprador: Borium; Envío repartido: 1.33 EUR</t>
  </si>
  <si>
    <t>Fenrir97</t>
  </si>
  <si>
    <t>26.11.2025</t>
  </si>
  <si>
    <t>Estado: Recibido; Comprador: Fenrir97; Envío repartido: 1.33 EUR</t>
  </si>
  <si>
    <t>Ferberino</t>
  </si>
  <si>
    <t>Estado: Recibido; Comprador: Ferberino; Envío repartido: 1.33 EUR</t>
  </si>
  <si>
    <t>danicsb</t>
  </si>
  <si>
    <t>Estado: Recibido; Comprador: danicsb; Envío repartido: 1.33 EUR</t>
  </si>
  <si>
    <t>Ganfar</t>
  </si>
  <si>
    <t>25.11.2025</t>
  </si>
  <si>
    <t>Estado: Recibido; Comprador: Ganfar; Envío repartido: 2.45 EUR</t>
  </si>
  <si>
    <t>Lekaiel</t>
  </si>
  <si>
    <t>Estado: Cancelado; Comprador: Lekaiel; Envío repartido: 1.33 EUR</t>
  </si>
  <si>
    <t>mesegue</t>
  </si>
  <si>
    <t>Estado: Recibido; Comprador: mesegue; Envío repartido: 1.33 EUR</t>
  </si>
  <si>
    <t>Metadiscipulo</t>
  </si>
  <si>
    <t>Estado: Recibido; Comprador: Metadiscipulo; Envío repartido: 1.33 EUR</t>
  </si>
  <si>
    <t>Churls94</t>
  </si>
  <si>
    <t>24.11.2025</t>
  </si>
  <si>
    <t>Estado: Enviado; Vendedor: Churls94; Envío repartido: 1.33 EUR</t>
  </si>
  <si>
    <t>Estado: Enviado; Vendedor: TEMPEST-STORE; Envío repartido: 1.33 EUR</t>
  </si>
  <si>
    <t>joselu350z</t>
  </si>
  <si>
    <t>23.11.2025</t>
  </si>
  <si>
    <t>Estado: Recibido; Comprador: joselu350z; Envío repartido: 1.33 EUR</t>
  </si>
  <si>
    <t>22.11.2025</t>
  </si>
  <si>
    <t>Estado: Enviado; Vendedor: CityOfCards; Envío repartido: 1.33 EUR</t>
  </si>
  <si>
    <t>Estado: Enviado; Vendedor: PlaneswalkersVLC; Envío repartido: 1.33 EUR</t>
  </si>
  <si>
    <t>21.11.2025</t>
  </si>
  <si>
    <t>Estado: Enviado; Vendedor: PlaneswalkersVLC; Envío repartido: 3.60 EUR</t>
  </si>
  <si>
    <t>Estado: Recibido; Comprador: Metropolis-Center; Envío repartido: 1.33 EUR</t>
  </si>
  <si>
    <t>Rguerrero</t>
  </si>
  <si>
    <t>20.11.2025</t>
  </si>
  <si>
    <t>Estado: Recibido; Comprador: Rguerrero; Envío repartido: 1.33 EUR</t>
  </si>
  <si>
    <t>Gerardo80</t>
  </si>
  <si>
    <t>Estado: Recibido; Comprador: Gerardo80; Envío repartido: 2.45 EUR</t>
  </si>
  <si>
    <t>Realfriends</t>
  </si>
  <si>
    <t>Estado: Recibido; Comprador: Realfriends; Envío repartido: 2.45 EUR</t>
  </si>
  <si>
    <t>Jeizer</t>
  </si>
  <si>
    <t>19.11.2025</t>
  </si>
  <si>
    <t>Estado: Recibido; Comprador: Jeizer; Envío repartido: 1.33 EUR</t>
  </si>
  <si>
    <t>Marcelrocle</t>
  </si>
  <si>
    <t>Estado: Recibido; Comprador: Marcelrocle; Envío repartido: 1.33 EUR</t>
  </si>
  <si>
    <t>AnicientToenail</t>
  </si>
  <si>
    <t>Estado: Recibido; Comprador: AnicientToenail; Envío repartido: 2.45 EUR</t>
  </si>
  <si>
    <t>CardCrack</t>
  </si>
  <si>
    <t>18.11.2025</t>
  </si>
  <si>
    <t>Estado: Enviado; Vendedor: CardCrack; Envío repartido: 1.33 EUR</t>
  </si>
  <si>
    <t>polmoneys</t>
  </si>
  <si>
    <t>Estado: Recibido; Comprador: polmoneys; Envío repartido: 1.33 EUR</t>
  </si>
  <si>
    <t>King-spiegelei</t>
  </si>
  <si>
    <t>Estado: Recibido; Comprador: King-spiegelei; Envío repartido: 2.45 EUR</t>
  </si>
  <si>
    <t>17.11.2025</t>
  </si>
  <si>
    <t>Estado: Enviado; Vendedor: Magicevent; Envío repartido: 1.33 EUR</t>
  </si>
  <si>
    <t>toycastle-D</t>
  </si>
  <si>
    <t>Estado: Recibido; Comprador: toycastle-D; Envío repartido: 2.45 EUR</t>
  </si>
  <si>
    <t>kikekai</t>
  </si>
  <si>
    <t>Estado: Recibido; Comprador: kikekai; Envío repartido: 1.33 EUR</t>
  </si>
  <si>
    <t>Mubatcg</t>
  </si>
  <si>
    <t>Estado: Enviado; Vendedor: Mubatcg; Envío repartido: 1.33 EUR</t>
  </si>
  <si>
    <t>Lyrae</t>
  </si>
  <si>
    <t>16.11.2025</t>
  </si>
  <si>
    <t>Estado: Recibido; Comprador: Lyrae; Envío repartido: 1.33 EUR</t>
  </si>
  <si>
    <t>Kevin9990</t>
  </si>
  <si>
    <t>Estado: Recibido; Comprador: Kevin9990; Envío repartido: 2.45 EUR</t>
  </si>
  <si>
    <t>15.11.2025</t>
  </si>
  <si>
    <t>Estado: Cancelado; Vendedor: willybizarre; Envío repartido: 12.00 EUR</t>
  </si>
  <si>
    <t>TRBstore</t>
  </si>
  <si>
    <t>14.11.2025</t>
  </si>
  <si>
    <t>Estado: Cancelado; Vendedor: TRBstore; Envío repartido: 1.33 EUR</t>
  </si>
  <si>
    <t>YildumMTG</t>
  </si>
  <si>
    <t>Estado: Enviado; Vendedor: YildumMTG; Envío repartido: 1.33 EUR</t>
  </si>
  <si>
    <t>GENEXCOMICS</t>
  </si>
  <si>
    <t>Estado: Enviado; Vendedor: GENEXCOMICS; Envío repartido: 1.33 EUR</t>
  </si>
  <si>
    <t>AlexJandro41</t>
  </si>
  <si>
    <t>12.11.2025</t>
  </si>
  <si>
    <t>Estado: Enviado; Vendedor: AlexJandro41; Envío repartido: 1.33 EUR</t>
  </si>
  <si>
    <t>Marillion81</t>
  </si>
  <si>
    <t>Estado: Enviado; Vendedor: Marillion81; Envío repartido: 1.33 EUR</t>
  </si>
  <si>
    <t>Estado: Enviado; Vendedor: Itaca; Envío repartido: 1.33 EUR</t>
  </si>
  <si>
    <t>Kolmillos</t>
  </si>
  <si>
    <t>Estado: Recibido; Comprador: Kolmillos; Envío repartido: 1.33 EUR</t>
  </si>
  <si>
    <t>monomoi</t>
  </si>
  <si>
    <t>Estado: Recibido; Comprador: monomoi; Envío repartido: 1.33 EUR</t>
  </si>
  <si>
    <t>CaballeroLuna</t>
  </si>
  <si>
    <t>10.11.2025</t>
  </si>
  <si>
    <t>Estado: Recibido; Comprador: CaballeroLuna; Envío repartido: 1.33 EUR</t>
  </si>
  <si>
    <t>awgodi</t>
  </si>
  <si>
    <t>Estado: Recibido; Comprador: awgodi; Envío repartido: 1.33 EUR</t>
  </si>
  <si>
    <t>MacMarkoS</t>
  </si>
  <si>
    <t>Estado: Enviado; Vendedor: MacMarkoS; Envío repartido: 1.33 EUR</t>
  </si>
  <si>
    <t>pepinerocharro</t>
  </si>
  <si>
    <t>Estado: Enviado; Vendedor: pepinerocharro; Envío repartido: 1.33 EUR</t>
  </si>
  <si>
    <t>datolu</t>
  </si>
  <si>
    <t>Estado: Enviado; Vendedor: datolu; Envío repartido: 1.33 EUR</t>
  </si>
  <si>
    <t>RubendsTMT</t>
  </si>
  <si>
    <t>Estado: Enviado; Vendedor: RubendsTMT; Envío repartido: 1.33 EUR</t>
  </si>
  <si>
    <t>Keywiz</t>
  </si>
  <si>
    <t>Estado: Enviado; Vendedor: Keywiz; Envío repartido: 1.33 EUR</t>
  </si>
  <si>
    <t>Estado: Enviado; Vendedor: willybizarre; Envío repartido: 1.33 EUR</t>
  </si>
  <si>
    <t>Yonlu</t>
  </si>
  <si>
    <t>Estado: Enviado; Vendedor: Yonlu; Envío repartido: 1.33 EUR</t>
  </si>
  <si>
    <t>Kirishima</t>
  </si>
  <si>
    <t>Estado: Enviado; Vendedor: Kirishima; Envío repartido: 1.33 EUR</t>
  </si>
  <si>
    <t>Lorme87</t>
  </si>
  <si>
    <t>Estado: Recibido; Comprador: Lorme87; Envío repartido: 5.93 EUR</t>
  </si>
  <si>
    <t>Blue-Owl</t>
  </si>
  <si>
    <t>08.11.2025</t>
  </si>
  <si>
    <t>Estado: Cancelado; Vendedor: Blue-Owl; Envío repartido: 1.33 EUR</t>
  </si>
  <si>
    <t>Nappalm</t>
  </si>
  <si>
    <t>Estado: Enviado; Vendedor: Nappalm; Envío repartido: 1.33 EUR</t>
  </si>
  <si>
    <t>Estado: Cancelado en CardMarket; recogido en mano; Vendedor: Distritozero-Bilbao; Envío eliminado por recogida en mano: 1.33 EUR</t>
  </si>
  <si>
    <t>Estado: Enviado; Vendedor: Metropolis-Center; Envío repartido: 1.33 EUR</t>
  </si>
  <si>
    <t>Queldromajedi</t>
  </si>
  <si>
    <t>Estado: Enviado; Vendedor: Queldromajedi; Envío repartido: 1.33 EUR</t>
  </si>
  <si>
    <t>adi90</t>
  </si>
  <si>
    <t>Estado: Enviado; Vendedor: adi90; Envío repartido: 1.55 EUR</t>
  </si>
  <si>
    <t>thesammu</t>
  </si>
  <si>
    <t>07.11.2025</t>
  </si>
  <si>
    <t>Estado: Recibido; Comprador: thesammu; Envío repartido: 1.33 EUR</t>
  </si>
  <si>
    <t>dasmak</t>
  </si>
  <si>
    <t>Estado: Recibido; Comprador: dasmak; Envío repartido: 1.33 EUR</t>
  </si>
  <si>
    <t>DOMPICHE</t>
  </si>
  <si>
    <t>06.11.2025</t>
  </si>
  <si>
    <t>Estado: Enviado; Vendedor: DOMPICHE; Envío repartido: 1.33 EUR</t>
  </si>
  <si>
    <t>Estado: Enviado; Vendedor: JupiterMadridNorte; Envío repartido: 1.33 EUR</t>
  </si>
  <si>
    <t>Vladitsv</t>
  </si>
  <si>
    <t>04.11.2025</t>
  </si>
  <si>
    <t>Estado: Recibido; Comprador: Vladitsv; Envío repartido: 1.33 EUR</t>
  </si>
  <si>
    <t>Asranhor</t>
  </si>
  <si>
    <t>02.11.2025</t>
  </si>
  <si>
    <t>Estado: Recibido; Comprador: Asranhor; Envío repartido: 1.33 EUR</t>
  </si>
  <si>
    <t>01.11.2025</t>
  </si>
  <si>
    <t>Kurgankurgan</t>
  </si>
  <si>
    <t>31.10.2025</t>
  </si>
  <si>
    <t>Estado: Recibido; Comprador: Kurgankurgan; Envío repartido: 2.45 EUR</t>
  </si>
  <si>
    <t>Nikuu</t>
  </si>
  <si>
    <t>Estado: Recibido; Comprador: Nikuu; Envío repartido: 1.33 EUR</t>
  </si>
  <si>
    <t>29.10.2025</t>
  </si>
  <si>
    <t>juanhevia</t>
  </si>
  <si>
    <t>Estado: Enviado; Vendedor: juanhevia; Envío repartido: 1.33 EUR</t>
  </si>
  <si>
    <t>franmoi7</t>
  </si>
  <si>
    <t>28.10.2025</t>
  </si>
  <si>
    <t>Estado: Cancelado; Vendedor: franmoi7; Envío repartido: 1.33 EUR</t>
  </si>
  <si>
    <t>Raykerebagon</t>
  </si>
  <si>
    <t>27.10.2025</t>
  </si>
  <si>
    <t>Estado: Recibido; Comprador: Raykerebagon; Envío repartido: 1.33 EUR</t>
  </si>
  <si>
    <t>Hacter</t>
  </si>
  <si>
    <t>Estado: Recibido; Comprador: Hacter; Envío repartido: 1.33 EUR</t>
  </si>
  <si>
    <t>Dragonesylosetas</t>
  </si>
  <si>
    <t>26.10.2025</t>
  </si>
  <si>
    <t>Estado: Enviado; Vendedor: Dragonesylosetas; Envío repartido: 1.33 EUR</t>
  </si>
  <si>
    <t>Goodmanwarrior</t>
  </si>
  <si>
    <t>Estado: Enviado; Vendedor: Goodmanwarrior; Envío repartido: 1.33 EUR</t>
  </si>
  <si>
    <t>tiburonapu</t>
  </si>
  <si>
    <t>Estado: Enviado; Vendedor: tiburonapu; Envío repartido: 1.33 EUR</t>
  </si>
  <si>
    <t>abel89</t>
  </si>
  <si>
    <t>Estado: Enviado; Vendedor: abel89; Envío repartido: 1.33 EUR</t>
  </si>
  <si>
    <t>Estado: Enviado; Vendedor: teff13; Envío repartido: 1.33 EUR</t>
  </si>
  <si>
    <t>Moshitron</t>
  </si>
  <si>
    <t>Estado: Enviado; Vendedor: Moshitron; Envío repartido: 1.33 EUR</t>
  </si>
  <si>
    <t>ray17</t>
  </si>
  <si>
    <t>Estado: Enviado; Vendedor: ray17; Envío repartido: 1.33 EUR</t>
  </si>
  <si>
    <t>NotRealy</t>
  </si>
  <si>
    <t>23.10.2025</t>
  </si>
  <si>
    <t>Estado: Enviado; Vendedor: NotRealy; Envío repartido: 10.70 EUR</t>
  </si>
  <si>
    <t>luigireyes892</t>
  </si>
  <si>
    <t>22.10.2025</t>
  </si>
  <si>
    <t>Estado: Pagado; Comprador: luigireyes892; Envío repartido: 1.33 EUR</t>
  </si>
  <si>
    <t>nyahbingiman</t>
  </si>
  <si>
    <t>Estado: Enviado; Vendedor: nyahbingiman; Envío repartido: 1.33 EUR</t>
  </si>
  <si>
    <t>Tcgtradedealer</t>
  </si>
  <si>
    <t>Estado: Enviado; Vendedor: Tcgtradedealer; Envío repartido: 1.33 EUR</t>
  </si>
  <si>
    <t>Forny07</t>
  </si>
  <si>
    <t>Estado: Enviado; Vendedor: Forny07; Envío repartido: 1.33 EUR</t>
  </si>
  <si>
    <t>TesoroArcano</t>
  </si>
  <si>
    <t>Estado: Enviado; Vendedor: TesoroArcano; Envío repartido: 1.33 EUR</t>
  </si>
  <si>
    <t>MVozila</t>
  </si>
  <si>
    <t>21.10.2025</t>
  </si>
  <si>
    <t>Estado: Recibido; Comprador: MVozila; Envío repartido: 2.45 EUR</t>
  </si>
  <si>
    <t>Skone1993</t>
  </si>
  <si>
    <t>20.10.2025</t>
  </si>
  <si>
    <t>Estado: Recibido; Comprador: Skone1993; Envío repartido: 1.33 EUR</t>
  </si>
  <si>
    <t>Kazzuya</t>
  </si>
  <si>
    <t>18.10.2025</t>
  </si>
  <si>
    <t>Estado: Recibido; Comprador: Kazzuya; Envío repartido: 1.33 EUR</t>
  </si>
  <si>
    <t>Kacon</t>
  </si>
  <si>
    <t>17.10.2025</t>
  </si>
  <si>
    <t>Estado: Recibido; Comprador: Kacon; Envío repartido: 7.60 EUR</t>
  </si>
  <si>
    <t>Jabo37</t>
  </si>
  <si>
    <t>Estado: Enviado; Vendedor: Jabo37; Envío repartido: 5.93 EUR</t>
  </si>
  <si>
    <t>kashtmtg</t>
  </si>
  <si>
    <t>15.10.2025</t>
  </si>
  <si>
    <t>Estado: Enviado; Vendedor: kashtmtg; Envío repartido: 1.33 EUR</t>
  </si>
  <si>
    <t>mundicomics</t>
  </si>
  <si>
    <t>14.10.2025</t>
  </si>
  <si>
    <t>Estado: Enviado; Vendedor: mundicomics; Envío repartido: 1.33 EUR</t>
  </si>
  <si>
    <t>vikmar18</t>
  </si>
  <si>
    <t>Estado: Enviado; Vendedor: vikmar18; Envío repartido: 1.33 EUR</t>
  </si>
  <si>
    <t>13.10.2025</t>
  </si>
  <si>
    <t>james1234</t>
  </si>
  <si>
    <t>Estado: Enviado; Vendedor: james1234; Envío repartido: 1.33 EUR</t>
  </si>
  <si>
    <t>lilmews</t>
  </si>
  <si>
    <t>Estado: Cancelado; Comprador: lilmews; Envío repartido: 1.33 EUR</t>
  </si>
  <si>
    <t>bertkoda</t>
  </si>
  <si>
    <t>12.10.2025</t>
  </si>
  <si>
    <t>Estado: Cancelado; Vendedor: bertkoda; Envío repartido: 5.93 EUR</t>
  </si>
  <si>
    <t>Yumas</t>
  </si>
  <si>
    <t>Estado: Cancelado; Vendedor: Yumas; Envío repartido: 5.93 EUR</t>
  </si>
  <si>
    <t>MADAKIBA</t>
  </si>
  <si>
    <t>11.10.2025</t>
  </si>
  <si>
    <t>Estado: Enviado; Vendedor: MADAKIBA; Envío repartido: 1.33 EUR</t>
  </si>
  <si>
    <t>boixx</t>
  </si>
  <si>
    <t>Estado: Cancelado; Vendedor: boixx; Envío repartido: 1.33 EUR</t>
  </si>
  <si>
    <t>barrocus</t>
  </si>
  <si>
    <t>Estado: Enviado; Vendedor: barrocus; Envío repartido: 1.33 EUR</t>
  </si>
  <si>
    <t>Serket</t>
  </si>
  <si>
    <t>Estado: Enviado; Vendedor: Serket; Envío repartido: 3.20 EUR</t>
  </si>
  <si>
    <t>Anertxopo1</t>
  </si>
  <si>
    <t>Estado: Cancelado; Vendedor: Anertxopo1; Envío repartido: 1.33 EUR</t>
  </si>
  <si>
    <t>Rasstafury</t>
  </si>
  <si>
    <t>Estado: Cancelado; Vendedor: Rasstafury; Envío repartido: 1.33 EUR</t>
  </si>
  <si>
    <t>FranMTG666</t>
  </si>
  <si>
    <t>Estado: Enviado; Vendedor: FranMTG666; Envío repartido: 1.33 EUR</t>
  </si>
  <si>
    <t>Estado: Enviado; Vendedor: InfinityMana; Envío repartido: 1.33 EUR</t>
  </si>
  <si>
    <t>Ancor96</t>
  </si>
  <si>
    <t>08.10.2025</t>
  </si>
  <si>
    <t>Estado: Recibido; Comprador: Ancor96; Envío repartido: 1.33 EUR</t>
  </si>
  <si>
    <t>SchwarzesFleisch</t>
  </si>
  <si>
    <t>07.10.2025</t>
  </si>
  <si>
    <t>Estado: Recibido; Comprador: SchwarzesFleisch; Envío repartido: 7.60 EUR</t>
  </si>
  <si>
    <t>ElDuelistaStore</t>
  </si>
  <si>
    <t>Estado: Enviado; Vendedor: ElDuelistaStore; Envío repartido: 1.33 EUR</t>
  </si>
  <si>
    <t>Sunder</t>
  </si>
  <si>
    <t>Estado: Enviado; Vendedor: Sunder; Envío repartido: 5.93 EUR</t>
  </si>
  <si>
    <t>sergiador</t>
  </si>
  <si>
    <t>04.10.2025</t>
  </si>
  <si>
    <t>Estado: Enviado; Vendedor: sergiador; Envío repartido: 1.33 EUR</t>
  </si>
  <si>
    <t>michaelgonjer</t>
  </si>
  <si>
    <t>03.10.2025</t>
  </si>
  <si>
    <t>Estado: Recibido; Comprador: michaelgonjer; Envío repartido: 1.33 EUR</t>
  </si>
  <si>
    <t>erreme2121</t>
  </si>
  <si>
    <t>Estado: Recibido; Comprador: erreme2121; Envío repartido: 1.33 EUR</t>
  </si>
  <si>
    <t>Bartinh0</t>
  </si>
  <si>
    <t>30.09.2025</t>
  </si>
  <si>
    <t>Estado: Recibido; Comprador: Bartinh0; Envío repartido: 1.33 EUR</t>
  </si>
  <si>
    <t>whitecat81</t>
  </si>
  <si>
    <t>Estado: Enviado; Vendedor: whitecat81; Envío repartido: 5.66 EUR</t>
  </si>
  <si>
    <t>Sergon923</t>
  </si>
  <si>
    <t>Estado: Enviado; Vendedor: Sergon923; Envío repartido: 7.27 EUR</t>
  </si>
  <si>
    <t>26.09.2025</t>
  </si>
  <si>
    <t>kirthas17</t>
  </si>
  <si>
    <t>Estado: Enviado; Vendedor: kirthas17; Envío repartido: 1.33 EUR</t>
  </si>
  <si>
    <t>Alcomagic23</t>
  </si>
  <si>
    <t>Estado: Enviado; Vendedor: Alcomagic23; Envío repartido: 1.33 EUR</t>
  </si>
  <si>
    <t>alextormento</t>
  </si>
  <si>
    <t>25.09.2025</t>
  </si>
  <si>
    <t>Estado: Recibido; Comprador: alextormento; Envío repartido: 1.33 EUR</t>
  </si>
  <si>
    <t>dacamcue</t>
  </si>
  <si>
    <t>18.09.2025</t>
  </si>
  <si>
    <t>Estado: Recibido; Comprador: dacamcue; Envío repartido: 5.93 EUR</t>
  </si>
  <si>
    <t>16.09.2025</t>
  </si>
  <si>
    <t>ruicasasnovas</t>
  </si>
  <si>
    <t>Estado: Enviado; Vendedor: ruicasasnovas; Envío repartido: 2.85 EUR</t>
  </si>
  <si>
    <t>BURPEE</t>
  </si>
  <si>
    <t>14.09.2025</t>
  </si>
  <si>
    <t>Estado: Enviado; Vendedor: BURPEE; Envío repartido: 1.33 EUR</t>
  </si>
  <si>
    <t>SergioAP</t>
  </si>
  <si>
    <t>Estado: Recibido; Comprador: SergioAP; Envío repartido: 1.33 EUR</t>
  </si>
  <si>
    <t>Pluvialis</t>
  </si>
  <si>
    <t>12.09.2025</t>
  </si>
  <si>
    <t>Estado: Enviado; Vendedor: Pluvialis; Envío repartido: 1.33 EUR</t>
  </si>
  <si>
    <t>11.09.2025</t>
  </si>
  <si>
    <t>Estado: Enviado; Vendedor: Mazvigosl; Envío repartido: 1.33 EUR</t>
  </si>
  <si>
    <t>Guliver</t>
  </si>
  <si>
    <t>Estado: Recibido; Comprador: Guliver; Envío repartido: 2.45 EUR</t>
  </si>
  <si>
    <t>05.09.2025</t>
  </si>
  <si>
    <t>DUAL-GAMES</t>
  </si>
  <si>
    <t>Estado: Enviado; Vendedor: DUAL-GAMES; Envío repartido: 1.33 EUR</t>
  </si>
  <si>
    <t>davislarra</t>
  </si>
  <si>
    <t>04.09.2025</t>
  </si>
  <si>
    <t>Estado: Enviado; Vendedor: davislarra; Envío repartido: 1.33 EUR</t>
  </si>
  <si>
    <t>OzJuegos</t>
  </si>
  <si>
    <t>Estado: Enviado; Vendedor: OzJuegos; Envío repartido: 1.33 EUR</t>
  </si>
  <si>
    <t>Sylvandis</t>
  </si>
  <si>
    <t>03.09.2025</t>
  </si>
  <si>
    <t>Estado: Recibido; Comprador: Sylvandis; Envío repartido: 2.45 EUR</t>
  </si>
  <si>
    <t>31.08.2025</t>
  </si>
  <si>
    <t>SharkGames-JP</t>
  </si>
  <si>
    <t>Estado: Enviado; Vendedor: SharkGames-JP; Envío repartido: 1.32 EUR</t>
  </si>
  <si>
    <t>CalongeComics</t>
  </si>
  <si>
    <t>Estado: Enviado; Vendedor: CalongeComics; Envío repartido: 5.92 EUR</t>
  </si>
  <si>
    <t>BellotaMagica</t>
  </si>
  <si>
    <t>26.08.2025</t>
  </si>
  <si>
    <t>Estado: Cancelado; Vendedor: BellotaMagica; Envío repartido: 1.33 EUR</t>
  </si>
  <si>
    <t>ScaccoMalto</t>
  </si>
  <si>
    <t>Estado: Enviado; Vendedor: ScaccoMalto; Envío repartido: 1.33 EUR</t>
  </si>
  <si>
    <t>19.08.2025</t>
  </si>
  <si>
    <t>Genaker</t>
  </si>
  <si>
    <t>18.08.2025</t>
  </si>
  <si>
    <t>Estado: Recibido; Comprador: Genaker; Envío repartido: 1.33 EUR</t>
  </si>
  <si>
    <t>TopdeckPamplona</t>
  </si>
  <si>
    <t>12.08.2025</t>
  </si>
  <si>
    <t>Estado: Enviado; Vendedor: TopdeckPamplona; Envío repartido: 1.33 EUR</t>
  </si>
  <si>
    <t>MtgCounterspell2</t>
  </si>
  <si>
    <t>Estado: Enviado; Vendedor: MtgCounterspell2; Envío repartido: 1.33 EUR</t>
  </si>
  <si>
    <t>Fantastica</t>
  </si>
  <si>
    <t>Estado: Enviado; Vendedor: Fantastica; Envío repartido: 1.33 EUR</t>
  </si>
  <si>
    <t>TokensForMTG</t>
  </si>
  <si>
    <t>08.08.2025</t>
  </si>
  <si>
    <t>Estado: Enviado; Vendedor: TokensForMTG; Envío repartido: 6.56 EUR</t>
  </si>
  <si>
    <t>07.08.2025</t>
  </si>
  <si>
    <t>Estado: Cancelado; Vendedor: mundicomics; Envío repartido: 1.33 EUR</t>
  </si>
  <si>
    <t>Estado: Enviado; Vendedor: Moria05; Envío repartido: 2.10 EUR</t>
  </si>
  <si>
    <t>vonkhades</t>
  </si>
  <si>
    <t>06.08.2025</t>
  </si>
  <si>
    <t>Estado: Recibido; Comprador: vonkhades; Envío repartido: 1.33 EUR</t>
  </si>
  <si>
    <t>ConjuroArcano</t>
  </si>
  <si>
    <t>Estado: Enviado; Vendedor: ConjuroArcano; Envío repartido: 1.33 EUR</t>
  </si>
  <si>
    <t>Soulcolecter</t>
  </si>
  <si>
    <t>Estado: Enviado; Vendedor: Soulcolecter; Envío repartido: 1.33 EUR</t>
  </si>
  <si>
    <t>MTG-Berserks</t>
  </si>
  <si>
    <t>Estado: Enviado; Vendedor: MTG-Berserks; Envío repartido: 1.33 EUR</t>
  </si>
  <si>
    <t>yurraman</t>
  </si>
  <si>
    <t>05.08.2025</t>
  </si>
  <si>
    <t>Estado: Enviado; Vendedor: yurraman; Envío repartido: 5.93 EUR</t>
  </si>
  <si>
    <t>dog-koko</t>
  </si>
  <si>
    <t>04.08.2025</t>
  </si>
  <si>
    <t>Estado: Recibido; Comprador: dog-koko; Envío repartido: 1.33 EUR</t>
  </si>
  <si>
    <t>Estado: Cancelado; Vendedor: abel89; Envío repartido: 5.93 EUR</t>
  </si>
  <si>
    <t>hitomicamacho</t>
  </si>
  <si>
    <t>03.08.2025</t>
  </si>
  <si>
    <t>Estado: Enviado; Vendedor: hitomicamacho; Envío repartido: 1.33 EUR</t>
  </si>
  <si>
    <t>Danini1991</t>
  </si>
  <si>
    <t>Estado: Enviado; Vendedor: Danini1991; Envío repartido: 1.33 EUR</t>
  </si>
  <si>
    <t>Estado: Cancelado en CardMarket; recogido en mano; Vendedor: Distritozero-San; Envío eliminado por recogida en mano: 1.33 EUR</t>
  </si>
  <si>
    <t>Riverup</t>
  </si>
  <si>
    <t>02.08.2025</t>
  </si>
  <si>
    <t>Estado: Recibido; Comprador: Riverup; Envío repartido: 1.33 EUR</t>
  </si>
  <si>
    <t>FalcorMelkor</t>
  </si>
  <si>
    <t>31.07.2025</t>
  </si>
  <si>
    <t>Estado: Recibido; Comprador: FalcorMelkor; Envío repartido: 1.33 EUR</t>
  </si>
  <si>
    <t>Estado: Enviado; Vendedor: Moria05; Envío repartido: 1.33 EUR</t>
  </si>
  <si>
    <t>30.07.2025</t>
  </si>
  <si>
    <t>PERALTA</t>
  </si>
  <si>
    <t>Estado: Enviado; Vendedor: PERALTA; Envío repartido: 6.50 EUR</t>
  </si>
  <si>
    <t>29.07.2025</t>
  </si>
  <si>
    <t>Barea91</t>
  </si>
  <si>
    <t>27.07.2025</t>
  </si>
  <si>
    <t>Estado: Recibido; Comprador: Barea91; Envío repartido: 1.33 EUR</t>
  </si>
  <si>
    <t>25.07.2025</t>
  </si>
  <si>
    <t>Estado: Enviado; Vendedor: ColossalStore; Envío repartido: 1.33 EUR</t>
  </si>
  <si>
    <t>Parka1001</t>
  </si>
  <si>
    <t>Estado: Enviado; Vendedor: Parka1001; Envío repartido: 1.33 EUR</t>
  </si>
  <si>
    <t>Canocles</t>
  </si>
  <si>
    <t>Estado: Enviado; Vendedor: Canocles; Envío repartido: 1.33 EUR</t>
  </si>
  <si>
    <t>24.07.2025</t>
  </si>
  <si>
    <t>nstuFF</t>
  </si>
  <si>
    <t>23.07.2025</t>
  </si>
  <si>
    <t>Estado: Recibido; Comprador: nstuFF; Envío repartido: 2.45 EUR</t>
  </si>
  <si>
    <t>XAntonioX24</t>
  </si>
  <si>
    <t>22.07.2025</t>
  </si>
  <si>
    <t>Estado: Enviado; Vendedor: XAntonioX24; Envío repartido: 1.33 EUR</t>
  </si>
  <si>
    <t>hassassin</t>
  </si>
  <si>
    <t>19.07.2025</t>
  </si>
  <si>
    <t>Estado: Recibido; Comprador: hassassin; Envío repartido: 1.33 EUR</t>
  </si>
  <si>
    <t>Kalerion1497</t>
  </si>
  <si>
    <t>15.07.2025</t>
  </si>
  <si>
    <t>Estado: Recibido; Comprador: Kalerion1497; Envío repartido: 1.33 EUR</t>
  </si>
  <si>
    <t>Beale</t>
  </si>
  <si>
    <t>11.07.2025</t>
  </si>
  <si>
    <t>Estado: Enviado; Vendedor: Beale; Envío repartido: 5.93 EUR</t>
  </si>
  <si>
    <t>nicowilliams</t>
  </si>
  <si>
    <t>10.07.2025</t>
  </si>
  <si>
    <t>Estado: Enviado; Vendedor: nicowilliams; Envío repartido: 1.33 EUR</t>
  </si>
  <si>
    <t>manudosde</t>
  </si>
  <si>
    <t>Estado: Enviado; Vendedor: manudosde; Envío repartido: 5.93 EUR</t>
  </si>
  <si>
    <t>WA-20250708-02</t>
  </si>
  <si>
    <t>David Rivero</t>
  </si>
  <si>
    <t>08.07.2025</t>
  </si>
  <si>
    <t>WA-20250708-01</t>
  </si>
  <si>
    <t>34653388331</t>
  </si>
  <si>
    <t>Estado: Importado desde Pedidos WhatsApp; origen manual; lineas: 7</t>
  </si>
  <si>
    <t>Estado: Recibido; Comprador: XAntonioX24; Envío repartido: 5.93 EUR</t>
  </si>
  <si>
    <t>Estado: Recibido; Comprador: Fantastica; Envío repartido: 1.33 EUR</t>
  </si>
  <si>
    <t>valdrich8</t>
  </si>
  <si>
    <t>04.07.2025</t>
  </si>
  <si>
    <t>Estado: Enviado; Vendedor: valdrich8; Envío repartido: 1.33 EUR</t>
  </si>
  <si>
    <t>ppinach</t>
  </si>
  <si>
    <t>03.07.2025</t>
  </si>
  <si>
    <t>Estado: Recibido; Comprador: ppinach; Envío repartido: 1.33 EUR</t>
  </si>
  <si>
    <t>Pakkalicio</t>
  </si>
  <si>
    <t>Estado: Enviado; Vendedor: Pakkalicio; Envío repartido: 5.93 EUR</t>
  </si>
  <si>
    <t>Estado: Enviado; Vendedor: mundicomics; Envío repartido: 5.93 EUR</t>
  </si>
  <si>
    <t>marconi</t>
  </si>
  <si>
    <t>Estado: Enviado; Vendedor: marconi; Envío repartido: 1.33 EUR</t>
  </si>
  <si>
    <t>yeicocalderon</t>
  </si>
  <si>
    <t>Estado: Enviado; Vendedor: yeicocalderon; Envío repartido: 1.33 EUR</t>
  </si>
  <si>
    <t>TesoroDragon</t>
  </si>
  <si>
    <t>Estado: Enviado; Vendedor: TesoroDragon; Envío repartido: 1.33 EUR</t>
  </si>
  <si>
    <t>Estado: Enviado; Vendedor: ManaVortex-POOL4YOU; Envío repartido: 4.75 EUR</t>
  </si>
  <si>
    <t>Dreamstcgcards</t>
  </si>
  <si>
    <t>Estado: Enviado; Vendedor: Dreamstcgcards; Envío repartido: 1.33 EUR</t>
  </si>
  <si>
    <t>chricosga</t>
  </si>
  <si>
    <t>02.07.2025</t>
  </si>
  <si>
    <t>Estado: Enviado; Vendedor: chricosga; Envío repartido: 1.33 EUR</t>
  </si>
  <si>
    <t>WolfMinight</t>
  </si>
  <si>
    <t>Estado: Enviado; Vendedor: WolfMinight; Envío repartido: 1.33 EUR</t>
  </si>
  <si>
    <t>Estado: Enviado; Vendedor: CalongeComics; Envío repartido: 2.10 EUR</t>
  </si>
  <si>
    <t>Estado: Cancelado en CardMarket; recogido en mano; Vendedor: Distritozero-Bilbao; Envío eliminado por recogida en mano: 2.10 EUR</t>
  </si>
  <si>
    <t>Namnori</t>
  </si>
  <si>
    <t>Estado: Cancelado; Vendedor: Namnori; Envío repartido: 1.33 EUR</t>
  </si>
  <si>
    <t>Minitole</t>
  </si>
  <si>
    <t>01.07.2025</t>
  </si>
  <si>
    <t>Estado: Recibido; Comprador: Minitole; Envío repartido: 1.33 EUR</t>
  </si>
  <si>
    <t>felipetrabajo</t>
  </si>
  <si>
    <t>Estado: Enviado; Vendedor: felipetrabajo; Envío repartido: 1.33 EUR</t>
  </si>
  <si>
    <t>Eurekagames</t>
  </si>
  <si>
    <t>Estado: Enviado; Vendedor: Eurekagames; Envío repartido: 1.33 EUR</t>
  </si>
  <si>
    <t>30.06.2025</t>
  </si>
  <si>
    <t>MachacaMTGA</t>
  </si>
  <si>
    <t>26.06.2025</t>
  </si>
  <si>
    <t>Estado: Recibido; Comprador: MachacaMTGA; Envío repartido: 1.33 EUR</t>
  </si>
  <si>
    <t>pegajusus</t>
  </si>
  <si>
    <t>23.06.2025</t>
  </si>
  <si>
    <t>Estado: Enviado; Vendedor: pegajusus; Envío repartido: 1.33 EUR</t>
  </si>
  <si>
    <t>Estado: Recibido; Comprador: mundicomics; Envío repartido: 1.33 EUR</t>
  </si>
  <si>
    <t>banyos</t>
  </si>
  <si>
    <t>21.06.2025</t>
  </si>
  <si>
    <t>Estado: Recibido; Comprador: banyos; Envío repartido: 1.33 EUR</t>
  </si>
  <si>
    <t>Zortake</t>
  </si>
  <si>
    <t>18.06.2025</t>
  </si>
  <si>
    <t>Estado: Enviado; Vendedor: Zortake; Envío repartido: 5.93 EUR</t>
  </si>
  <si>
    <t>ncarbo</t>
  </si>
  <si>
    <t>17.06.2025</t>
  </si>
  <si>
    <t>Estado: Recibido; Comprador: ncarbo; Envío repartido: 5.93 EUR</t>
  </si>
  <si>
    <t>12.06.2025</t>
  </si>
  <si>
    <t>shiar</t>
  </si>
  <si>
    <t>Estado: Recibido; Comprador: shiar; Envío repartido: 2.45 EUR</t>
  </si>
  <si>
    <t>Estado: Enviado; Vendedor: Metropolis-Center; Envío repartido: 5.99 EUR</t>
  </si>
  <si>
    <t>WA-20250611-02</t>
  </si>
  <si>
    <t>34683281207</t>
  </si>
  <si>
    <t>11.06.2025</t>
  </si>
  <si>
    <t>WA-20250611-01</t>
  </si>
  <si>
    <t>34676414055</t>
  </si>
  <si>
    <t>digito1981</t>
  </si>
  <si>
    <t>Estado: Enviado; Vendedor: digito1981; Envío repartido: 5.93 EUR</t>
  </si>
  <si>
    <t>Eudinho</t>
  </si>
  <si>
    <t>Estado: Enviado; Vendedor: Eudinho; Envío repartido: 5.93 EUR</t>
  </si>
  <si>
    <t>Estado: Enviado; Vendedor: CalongeComics; Envío repartido: 1.33 EUR</t>
  </si>
  <si>
    <t>Estado: Enviado; Vendedor: JupiterMadridNorte; Envío repartido: 2.10 EUR</t>
  </si>
  <si>
    <t>Martwalks</t>
  </si>
  <si>
    <t>09.06.2025</t>
  </si>
  <si>
    <t>Estado: Recibido; Comprador: Martwalks; Envío repartido: 1.33 EUR</t>
  </si>
  <si>
    <t>Estado: Enviado; Vendedor: Shark-Games; Envío repartido: 1.33 EUR</t>
  </si>
  <si>
    <t>Estado: Enviado; Vendedor: TEMPEST-STORE; Envío repartido: 5.93 EUR</t>
  </si>
  <si>
    <t>07.06.2025</t>
  </si>
  <si>
    <t>Estado: Enviado; Vendedor: valdrich8; Envío repartido: 5.93 EUR</t>
  </si>
  <si>
    <t>AlexStrachan</t>
  </si>
  <si>
    <t>Estado: Enviado; Vendedor: AlexStrachan; Envío repartido: 5.93 EUR</t>
  </si>
  <si>
    <t>ElGansitoCaiman</t>
  </si>
  <si>
    <t>05.06.2025</t>
  </si>
  <si>
    <t>Estado: Enviado; Vendedor: ElGansitoCaiman; Envío repartido: 1.33 EUR</t>
  </si>
  <si>
    <t>TiendaMulligan</t>
  </si>
  <si>
    <t>02.06.2025</t>
  </si>
  <si>
    <t>Estado: Enviado; Vendedor: TiendaMulligan; Envío repartido: 1.33 EUR</t>
  </si>
  <si>
    <t>29.05.2025</t>
  </si>
  <si>
    <t>rinconete8</t>
  </si>
  <si>
    <t>Estado: Enviado; Vendedor: rinconete8; Envío repartido: 1.33 EUR</t>
  </si>
  <si>
    <t>AdCardCollectibles</t>
  </si>
  <si>
    <t>Estado: Enviado; Vendedor: AdCardCollectibles; Envío repartido: 2.85 EUR</t>
  </si>
  <si>
    <t>Terantino028</t>
  </si>
  <si>
    <t>Estado: Enviado; Vendedor: Terantino028; Envío repartido: 1.33 EUR</t>
  </si>
  <si>
    <t>Charly84</t>
  </si>
  <si>
    <t>Estado: Enviado; Vendedor: Charly84; Envío repartido: 1.33 EUR</t>
  </si>
  <si>
    <t>AstoraComics</t>
  </si>
  <si>
    <t>Estado: Enviado; Vendedor: AstoraComics; Envío repartido: 1.33 EUR</t>
  </si>
  <si>
    <t>Helldemonium</t>
  </si>
  <si>
    <t>28.05.2025</t>
  </si>
  <si>
    <t>Estado: Recibido; Comprador: Helldemonium; Envío repartido: 2.45 EUR</t>
  </si>
  <si>
    <t>27.05.2025</t>
  </si>
  <si>
    <t>Estado: Enviado; Vendedor: willybizarre; Envío repartido: 5.93 EUR</t>
  </si>
  <si>
    <t>Tasel</t>
  </si>
  <si>
    <t>Estado: Recibido; Comprador: Tasel; Envío repartido: 1.33 EUR</t>
  </si>
  <si>
    <t>Xobpa</t>
  </si>
  <si>
    <t>25.05.2025</t>
  </si>
  <si>
    <t>Estado: Recibido; Comprador: Xobpa; Envío repartido: 1.33 EUR</t>
  </si>
  <si>
    <t>Ellyps</t>
  </si>
  <si>
    <t>18.05.2025</t>
  </si>
  <si>
    <t>Estado: Recibido; Comprador: Ellyps; Envío repartido: 2.45 EUR</t>
  </si>
  <si>
    <t>GENEX-SANTACASILDA</t>
  </si>
  <si>
    <t>16.05.2025</t>
  </si>
  <si>
    <t>Estado: Enviado; Vendedor: GENEX-SANTACASILDA; Envío repartido: 5.93 EUR</t>
  </si>
  <si>
    <t>beGotham</t>
  </si>
  <si>
    <t>Estado: Enviado; Vendedor: beGotham; Envío repartido: 1.33 EUR</t>
  </si>
  <si>
    <t>Estado: Enviado; Vendedor: Moria05; Envío repartido: 5.93 EUR</t>
  </si>
  <si>
    <t>Estado: Recibido; Comprador: yosy-gvng; Envío repartido: 1.33 EUR</t>
  </si>
  <si>
    <t>suavejuanma</t>
  </si>
  <si>
    <t>Estado: Recibido; Comprador: suavejuanma; Envío repartido: 1.33 EUR</t>
  </si>
  <si>
    <t>Asgaroth-PL</t>
  </si>
  <si>
    <t>14.05.2025</t>
  </si>
  <si>
    <t>Estado: Enviado; Vendedor: Asgaroth-PL; Envío repartido: 2.66 EUR</t>
  </si>
  <si>
    <t>sirca</t>
  </si>
  <si>
    <t>13.05.2025</t>
  </si>
  <si>
    <t>Estado: Enviado; Vendedor: sirca; Envío repartido: 1.33 EUR</t>
  </si>
  <si>
    <t>BasicLandsandBeyond</t>
  </si>
  <si>
    <t>Estado: Enviado; Vendedor: BasicLandsandBeyond; Envío repartido: 1.33 EUR</t>
  </si>
  <si>
    <t>sengvalk</t>
  </si>
  <si>
    <t>Estado: Enviado; Vendedor: sengvalk; Envío repartido: 5.93 EUR</t>
  </si>
  <si>
    <t>11.05.2025</t>
  </si>
  <si>
    <t>Kuben</t>
  </si>
  <si>
    <t>Estado: Cancelado; Vendedor: Kuben; Envío repartido: 1.55 EUR</t>
  </si>
  <si>
    <t>CardwalletEU</t>
  </si>
  <si>
    <t>Estado: Enviado; Vendedor: CardwalletEU; Envío repartido: 3.20 EUR</t>
  </si>
  <si>
    <t>Desmonio</t>
  </si>
  <si>
    <t>Estado: Enviado; Vendedor: Desmonio; Envío repartido: 1.33 EUR</t>
  </si>
  <si>
    <t>TinGoldfish</t>
  </si>
  <si>
    <t>Estado: Enviado; Vendedor: TinGoldfish; Envío repartido: 1.33 EUR</t>
  </si>
  <si>
    <t>Teban</t>
  </si>
  <si>
    <t>Estado: Enviado; Vendedor: Teban; Envío repartido: 1.33 EUR</t>
  </si>
  <si>
    <t>Palacios1994</t>
  </si>
  <si>
    <t>Estado: Enviado; Vendedor: Palacios1994; Envío repartido: 1.33 EUR</t>
  </si>
  <si>
    <t>Dominaria</t>
  </si>
  <si>
    <t>Estado: Enviado; Vendedor: Dominaria; Envío repartido: 1.33 EUR</t>
  </si>
  <si>
    <t>Davenfrostgk</t>
  </si>
  <si>
    <t>Estado: Enviado; Vendedor: Davenfrostgk; Envío repartido: 1.33 EUR</t>
  </si>
  <si>
    <t>10.05.2025</t>
  </si>
  <si>
    <t>Estado: Enviado; Vendedor: ManaTrust; Envío repartido: 1.40 EUR</t>
  </si>
  <si>
    <t>Saitama-Sama</t>
  </si>
  <si>
    <t>09.05.2025</t>
  </si>
  <si>
    <t>Estado: Recibido; Comprador: Saitama-Sama; Envío repartido: 1.33 EUR</t>
  </si>
  <si>
    <t>05.05.2025</t>
  </si>
  <si>
    <t>Murdock93</t>
  </si>
  <si>
    <t>03.05.2025</t>
  </si>
  <si>
    <t>Estado: Enviado; Vendedor: Murdock93; Envío repartido: 1.33 EUR</t>
  </si>
  <si>
    <t>Edi-88</t>
  </si>
  <si>
    <t>01.05.2025</t>
  </si>
  <si>
    <t>Estado: Recibido; Comprador: Edi-88; Envío repartido: 2.45 EUR</t>
  </si>
  <si>
    <t>WA-20250430-01</t>
  </si>
  <si>
    <t>Japón</t>
  </si>
  <si>
    <t>30.04.2025</t>
  </si>
  <si>
    <t>Estado: Recibido; Comprador: pacofaco; Envío repartido: 1.33 EUR</t>
  </si>
  <si>
    <t>tobinono</t>
  </si>
  <si>
    <t>28.04.2025</t>
  </si>
  <si>
    <t>Estado: Recibido; Comprador: tobinono; Envío repartido: 7.60 EUR</t>
  </si>
  <si>
    <t>Aramian</t>
  </si>
  <si>
    <t>Estado: Enviado; Vendedor: Aramian; Envío repartido: 1.33 EUR</t>
  </si>
  <si>
    <t>akromix</t>
  </si>
  <si>
    <t>Estado: Enviado; Vendedor: akromix; Envío repartido: 1.33 EUR</t>
  </si>
  <si>
    <t>PAQUIU</t>
  </si>
  <si>
    <t>Estado: Enviado; Vendedor: PAQUIU; Envío repartido: 1.33 EUR</t>
  </si>
  <si>
    <t>XEMYNATOR</t>
  </si>
  <si>
    <t>27.04.2025</t>
  </si>
  <si>
    <t>Estado: Recibido; Comprador: XEMYNATOR; Envío repartido: 1.33 EUR</t>
  </si>
  <si>
    <t>Ornhiju</t>
  </si>
  <si>
    <t>Estado: Enviado; Vendedor: Ornhiju; Envío repartido: 1.33 EUR</t>
  </si>
  <si>
    <t>Estado: Cancelado; Vendedor: zuri1988; Envío repartido: 1.33 EUR</t>
  </si>
  <si>
    <t>kisamurai</t>
  </si>
  <si>
    <t>25.04.2025</t>
  </si>
  <si>
    <t>Estado: Recibido; Comprador: kisamurai; Envío repartido: 1.33 EUR</t>
  </si>
  <si>
    <t>xXBornagarXx</t>
  </si>
  <si>
    <t>24.04.2025</t>
  </si>
  <si>
    <t>Estado: Cancelado; Comprador: xXBornagarXx; Envío repartido: 5.93 EUR</t>
  </si>
  <si>
    <t>Sh4nk</t>
  </si>
  <si>
    <t>Estado: Recibido; Comprador: Sh4nk; Envío repartido: 1.33 EUR</t>
  </si>
  <si>
    <t>Pucewolf</t>
  </si>
  <si>
    <t>Estado: Enviado; Vendedor: Pucewolf; Envío repartido: 5.93 EUR</t>
  </si>
  <si>
    <t>STRANGECOMICS</t>
  </si>
  <si>
    <t>Estado: Enviado; Vendedor: STRANGECOMICS; Envío repartido: 12.50 EUR</t>
  </si>
  <si>
    <t>mclenders</t>
  </si>
  <si>
    <t>Estado: Enviado; Vendedor: mclenders; Envío repartido: 1.33 EUR</t>
  </si>
  <si>
    <t>23.04.2025</t>
  </si>
  <si>
    <t>Resail</t>
  </si>
  <si>
    <t>22.04.2025</t>
  </si>
  <si>
    <t>Estado: Recibido; Comprador: Resail; Envío repartido: 1.33 EUR</t>
  </si>
  <si>
    <t>AIRSPACE</t>
  </si>
  <si>
    <t>21.04.2025</t>
  </si>
  <si>
    <t>Estado: Enviado; Vendedor: AIRSPACE; Envío repartido: 1.33 EUR</t>
  </si>
  <si>
    <t>Keiken</t>
  </si>
  <si>
    <t>Estado: Enviado; Vendedor: Keiken; Envío repartido: 1.33 EUR</t>
  </si>
  <si>
    <t>Nikkilol</t>
  </si>
  <si>
    <t>Estado: Enviado; Vendedor: Nikkilol; Envío repartido: 1.33 EUR</t>
  </si>
  <si>
    <t>Estado: Recibido; Comprador: ElDuelistaStore; Envío repartido: 1.33 EUR</t>
  </si>
  <si>
    <t>DRAGONCT</t>
  </si>
  <si>
    <t>Estado: Enviado; Vendedor: DRAGONCT; Envío repartido: 1.33 EUR</t>
  </si>
  <si>
    <t>GuidoMagic</t>
  </si>
  <si>
    <t>Estado: Enviado; Vendedor: GuidoMagic; Envío repartido: 1.33 EUR</t>
  </si>
  <si>
    <t>20.04.2025</t>
  </si>
  <si>
    <t>vondurich</t>
  </si>
  <si>
    <t>Estado: Enviado; Vendedor: vondurich; Envío repartido: 1.33 EUR</t>
  </si>
  <si>
    <t>NeverlandMTG</t>
  </si>
  <si>
    <t>16.04.2025</t>
  </si>
  <si>
    <t>Estado: Enviado; Vendedor: NeverlandMTG; Envío repartido: 1.33 EUR</t>
  </si>
  <si>
    <t>HAR-01897873</t>
  </si>
  <si>
    <t>Hareruya</t>
  </si>
  <si>
    <t>15.04.2025</t>
  </si>
  <si>
    <t>Estado: Pedido Hareruya; JPY original: 13050; cambio 1 EUR = 165 JPY; tax free 10% aplicado</t>
  </si>
  <si>
    <t>HAR-01896576</t>
  </si>
  <si>
    <t>14.04.2025</t>
  </si>
  <si>
    <t>Estado: Pedido Hareruya; JPY original: 1200; cambio 1 EUR = 165 JPY; tax free 10% aplicado</t>
  </si>
  <si>
    <t>MolaxMTG</t>
  </si>
  <si>
    <t>13.04.2025</t>
  </si>
  <si>
    <t>Estado: Enviado; Vendedor: MolaxMTG; Envío repartido: 1.33 EUR</t>
  </si>
  <si>
    <t>FREAK-CORP</t>
  </si>
  <si>
    <t>Estado: Enviado; Vendedor: FREAK-CORP; Envío repartido: 1.33 EUR</t>
  </si>
  <si>
    <t>Alfalfa</t>
  </si>
  <si>
    <t>Estado: Enviado; Vendedor: Alfalfa; Envío repartido: 1.33 EUR</t>
  </si>
  <si>
    <t>Golgaritroll</t>
  </si>
  <si>
    <t>Estado: Enviado; Vendedor: Golgaritroll; Envío repartido: 1.33 EUR</t>
  </si>
  <si>
    <t>AtlasTCG</t>
  </si>
  <si>
    <t>Estado: Enviado; Vendedor: AtlasTCG; Envío repartido: 1.33 EUR</t>
  </si>
  <si>
    <t>tanete87</t>
  </si>
  <si>
    <t>Estado: Enviado; Vendedor: tanete87; Envío repartido: 5.93 EUR</t>
  </si>
  <si>
    <t>HAR-01895167</t>
  </si>
  <si>
    <t>Estado: Pedido Hareruya; JPY original: 1000; cambio 1 EUR = 165 JPY; tax free 10% aplicado</t>
  </si>
  <si>
    <t>HAR-01895068</t>
  </si>
  <si>
    <t>Estado: Pedido Hareruya; JPY original: 59200; cambio 1 EUR = 165 JPY; tax free 10% aplicado</t>
  </si>
  <si>
    <t>HAR-01893499</t>
  </si>
  <si>
    <t>12.04.2025</t>
  </si>
  <si>
    <t>Estado: Pedido Hareruya; JPY original: 10900; cambio 1 EUR = 165 JPY; tax free 10% aplicado</t>
  </si>
  <si>
    <t>HAR-01893219</t>
  </si>
  <si>
    <t>Estado: Pedido Hareruya; JPY original: 400; cambio 1 EUR = 165 JPY; tax free 10% aplicado</t>
  </si>
  <si>
    <t>HAR-01892317</t>
  </si>
  <si>
    <t>11.04.2025</t>
  </si>
  <si>
    <t>Estado: Pedido Hareruya; JPY original: 45380; cambio 1 EUR = 165 JPY; tax free 10% aplicado</t>
  </si>
  <si>
    <t>Bezzo88</t>
  </si>
  <si>
    <t>10.04.2025</t>
  </si>
  <si>
    <t>Estado: Enviado; Vendedor: Bezzo88; Envío repartido: 4.05 EUR</t>
  </si>
  <si>
    <t>HAR-01891720</t>
  </si>
  <si>
    <t>Estado: Pedido Hareruya; JPY original: 10000; cambio 1 EUR = 165 JPY; tax free 10% aplicado</t>
  </si>
  <si>
    <t>HAR-01891606</t>
  </si>
  <si>
    <t>Estado: Pedido Hareruya; JPY original: 3200; cambio 1 EUR = 165 JPY; tax free 10% aplicado</t>
  </si>
  <si>
    <t>HAR-01891552</t>
  </si>
  <si>
    <t>Estado: Pedido Hareruya; JPY original: 12400; cambio 1 EUR = 165 JPY; tax free 10% aplicado</t>
  </si>
  <si>
    <t>HAR-01891394</t>
  </si>
  <si>
    <t>HAR-01891330</t>
  </si>
  <si>
    <t>Estado: Pedido Hareruya; JPY original: 3000; cambio 1 EUR = 165 JPY; tax free 10% aplicado</t>
  </si>
  <si>
    <t>HAR-01890647</t>
  </si>
  <si>
    <t>09.04.2025</t>
  </si>
  <si>
    <t>Estado: Pedido Hareruya; JPY original: 7680; cambio 1 EUR = 165 JPY; tax free 10% aplicado</t>
  </si>
  <si>
    <t>HAR-01890175</t>
  </si>
  <si>
    <t>Estado: Pedido Hareruya; JPY original: 3110; cambio 1 EUR = 165 JPY; tax free 10% aplicado</t>
  </si>
  <si>
    <t>HAR-01890043</t>
  </si>
  <si>
    <t>Estado: Pedido Hareruya; JPY original: 30600; cambio 1 EUR = 165 JPY; tax free 10% aplicado</t>
  </si>
  <si>
    <t>HAR-01889002</t>
  </si>
  <si>
    <t>08.04.2025</t>
  </si>
  <si>
    <t>Estado: Pedido Hareruya; JPY original: 30620; cambio 1 EUR = 165 JPY; tax free 10% aplicado</t>
  </si>
  <si>
    <t>HAR-01887381</t>
  </si>
  <si>
    <t>06.04.2025</t>
  </si>
  <si>
    <t>Estado: Pedido Hareruya; JPY original: 21590; cambio 1 EUR = 165 JPY; tax free 10% aplicado</t>
  </si>
  <si>
    <t>HAR-01885845</t>
  </si>
  <si>
    <t>05.04.2025</t>
  </si>
  <si>
    <t>Estado: Pedido Hareruya; JPY original: 9450; cambio 1 EUR = 165 JPY; tax free 10% aplicado</t>
  </si>
  <si>
    <t>HAR-01883907</t>
  </si>
  <si>
    <t>04.04.2025</t>
  </si>
  <si>
    <t>Estado: Pedido Hareruya; JPY original: 45700; cambio 1 EUR = 165 JPY; tax free 10% aplicado</t>
  </si>
  <si>
    <t>HAR-01877422</t>
  </si>
  <si>
    <t>31.03.2025</t>
  </si>
  <si>
    <t>Estado: Pedido Hareruya; JPY original: 34900; cambio 1 EUR = 165 JPY; tax free 10% aplicado</t>
  </si>
  <si>
    <t>HAR-01872601</t>
  </si>
  <si>
    <t>26.03.2025</t>
  </si>
  <si>
    <t>Estado: Pedido Hareruya; JPY original: 20960; cambio 1 EUR = 165 JPY; tax free 10% aplicado</t>
  </si>
  <si>
    <t>HAR-01871960</t>
  </si>
  <si>
    <t>Estado: Pedido Hareruya; JPY original: 15240; cambio 1 EUR = 165 JPY; tax free 10% aplicado</t>
  </si>
  <si>
    <t>HAR-01871944</t>
  </si>
  <si>
    <t>Estado: Pedido Hareruya; JPY original: 7000; cambio 1 EUR = 165 JPY; tax free 10% aplicado</t>
  </si>
  <si>
    <t>HAR-01871785</t>
  </si>
  <si>
    <t>25.03.2025</t>
  </si>
  <si>
    <t>Estado: Pedido Hareruya; JPY original: 5960; cambio 1 EUR = 165 JPY; tax free 10% aplicado</t>
  </si>
  <si>
    <t>HAR-01871722</t>
  </si>
  <si>
    <t>Estado: Pedido Hareruya; JPY original: 24540; cambio 1 EUR = 165 JPY; tax free 10% aplicado</t>
  </si>
  <si>
    <t>HAR-01869316</t>
  </si>
  <si>
    <t>24.03.2025</t>
  </si>
  <si>
    <t>Estado: Pedido Hareruya; JPY original: 62540; cambio 1 EUR = 165 JPY; tax free 10% aplicado</t>
  </si>
  <si>
    <t>Atalaya</t>
  </si>
  <si>
    <t>21.03.2025</t>
  </si>
  <si>
    <t>Estado: Cancelado; Vendedor: Atalaya; Envío repartido: 5.93 EUR</t>
  </si>
  <si>
    <t>PlaneswalkersTeam</t>
  </si>
  <si>
    <t>18.03.2025</t>
  </si>
  <si>
    <t>Estado: Recibido; Comprador: PlaneswalkersTeam; Envío repartido: 1.33 EUR</t>
  </si>
  <si>
    <t>14.03.2025</t>
  </si>
  <si>
    <t>Guilem44</t>
  </si>
  <si>
    <t>Estado: Recibido; Comprador: Guilem44; Envío repartido: 2.45 EUR</t>
  </si>
  <si>
    <t>WA-20250311-03</t>
  </si>
  <si>
    <t>Pike</t>
  </si>
  <si>
    <t>11.03.2025</t>
  </si>
  <si>
    <t>WA-20250311-02</t>
  </si>
  <si>
    <t>Iñigo Anguiano</t>
  </si>
  <si>
    <t>WA-20250311-01</t>
  </si>
  <si>
    <t>CarlosMMD85</t>
  </si>
  <si>
    <t>Estado: Importado desde Pedidos WhatsApp; origen manual; lineas: 4</t>
  </si>
  <si>
    <t>scarekrown</t>
  </si>
  <si>
    <t>Estado: Enviado; Vendedor: scarekrown; Envío repartido: 1.33 EUR</t>
  </si>
  <si>
    <t>HAR-01852860</t>
  </si>
  <si>
    <t>10.03.2025</t>
  </si>
  <si>
    <t>Estado: Cancelado en Hareruya; no incorporado a Coleccion; JPY original: 54500; cambio 1 EUR = 165 JPY; tax free 10%</t>
  </si>
  <si>
    <t>09.03.2025</t>
  </si>
  <si>
    <t>DaniRocket</t>
  </si>
  <si>
    <t>Estado: Recibido; Comprador: DaniRocket; Envío repartido: 1.33 EUR</t>
  </si>
  <si>
    <t>FrankerG</t>
  </si>
  <si>
    <t>Estado: Recibido; Comprador: FrankerG; Envío repartido: 5.93 EUR</t>
  </si>
  <si>
    <t>HAR-01850907</t>
  </si>
  <si>
    <t>Estado: Cancelado en Hareruya; no incorporado a Coleccion; JPY original: 6720; cambio 1 EUR = 165 JPY; tax free 10%</t>
  </si>
  <si>
    <t>WA-20250307-03</t>
  </si>
  <si>
    <t>07.03.2025</t>
  </si>
  <si>
    <t>Estado: Importado desde Pedidos WhatsApp; origen manual; lineas: 13</t>
  </si>
  <si>
    <t>WA-20250307-02</t>
  </si>
  <si>
    <t>DanielJV</t>
  </si>
  <si>
    <t>Estado: Importado desde Pedidos WhatsApp; origen manual; lineas: 3</t>
  </si>
  <si>
    <t>WA-20250307-01</t>
  </si>
  <si>
    <t>Andrés Ramón</t>
  </si>
  <si>
    <t>Estado: Enviado; Vendedor: villa; Envío repartido: 5.93 EUR</t>
  </si>
  <si>
    <t>MISHRAFACTORY</t>
  </si>
  <si>
    <t>Estado: Enviado; Vendedor: MISHRAFACTORY; Envío repartido: 5.93 EUR</t>
  </si>
  <si>
    <t>05.03.2025</t>
  </si>
  <si>
    <t>FiernusCards</t>
  </si>
  <si>
    <t>02.03.2025</t>
  </si>
  <si>
    <t>Estado: Enviado; Vendedor: FiernusCards; Envío repartido: 1.33 EUR</t>
  </si>
  <si>
    <t>01.03.2025</t>
  </si>
  <si>
    <t>Estado: Recibido; Comprador: HamelinGames; Envío repartido: 1.33 EUR</t>
  </si>
  <si>
    <t>Tychokk</t>
  </si>
  <si>
    <t>28.02.2025</t>
  </si>
  <si>
    <t>Estado: Recibido; Comprador: Tychokk; Envío repartido: 2.45 EUR</t>
  </si>
  <si>
    <t>pallekuling</t>
  </si>
  <si>
    <t>Estado: Recibido; Comprador: pallekuling; Envío repartido: 2.45 EUR</t>
  </si>
  <si>
    <t>Ventura-Games</t>
  </si>
  <si>
    <t>27.02.2025</t>
  </si>
  <si>
    <t>Estado: Enviado; Vendedor: Ventura-Games; Envío repartido: 4.75 EUR</t>
  </si>
  <si>
    <t>26.02.2025</t>
  </si>
  <si>
    <t>xCrossys</t>
  </si>
  <si>
    <t>Estado: Enviado; Vendedor: xCrossys; Envío repartido: 5.93 EUR</t>
  </si>
  <si>
    <t>Chaplin</t>
  </si>
  <si>
    <t>Estado: Enviado; Vendedor: Chaplin; Envío repartido: 1.33 EUR</t>
  </si>
  <si>
    <t>Avalontcg</t>
  </si>
  <si>
    <t>25.02.2025</t>
  </si>
  <si>
    <t>Estado: Recibido; Comprador: Avalontcg; Envío repartido: 1.33 EUR</t>
  </si>
  <si>
    <t>24.02.2025</t>
  </si>
  <si>
    <t>2depiques</t>
  </si>
  <si>
    <t>Estado: Enviado; Vendedor: 2depiques; Envío repartido: 1.33 EUR</t>
  </si>
  <si>
    <t>safetronik1985</t>
  </si>
  <si>
    <t>23.02.2025</t>
  </si>
  <si>
    <t>Estado: Recibido; Comprador: safetronik1985; Envío repartido: 5.93 EUR</t>
  </si>
  <si>
    <t>NMapp</t>
  </si>
  <si>
    <t>21.02.2025</t>
  </si>
  <si>
    <t>Estado: Enviado; Vendedor: NMapp; Envío repartido: 5.93 EUR</t>
  </si>
  <si>
    <t>sbz3r0</t>
  </si>
  <si>
    <t>19.02.2025</t>
  </si>
  <si>
    <t>Estado: Enviado; Vendedor: sbz3r0; Envío repartido: 1.33 EUR</t>
  </si>
  <si>
    <t>EndlessFate</t>
  </si>
  <si>
    <t>Estado: Recibido; Comprador: EndlessFate; Envío repartido: 2.45 EUR</t>
  </si>
  <si>
    <t>xivi98</t>
  </si>
  <si>
    <t>18.02.2025</t>
  </si>
  <si>
    <t>Estado: Enviado; Vendedor: xivi98; Envío repartido: 1.33 EUR</t>
  </si>
  <si>
    <t>yorel140</t>
  </si>
  <si>
    <t>Estado: Cancelado; Vendedor: yorel140; Envío repartido: 1.33 EUR</t>
  </si>
  <si>
    <t>prieti</t>
  </si>
  <si>
    <t>Estado: Enviado; Vendedor: prieti; Envío repartido: 1.33 EUR</t>
  </si>
  <si>
    <t>Estado: Enviado; Vendedor: Moria05; Envío repartido: 3.60 EUR</t>
  </si>
  <si>
    <t>pokerfish</t>
  </si>
  <si>
    <t>Estado: Enviado; Vendedor: pokerfish; Envío repartido: 16.07 EUR</t>
  </si>
  <si>
    <t>17.02.2025</t>
  </si>
  <si>
    <t>Txenso</t>
  </si>
  <si>
    <t>15.02.2025</t>
  </si>
  <si>
    <t>Estado: Recibido; Comprador: Txenso; Envío repartido: 1.33 EUR</t>
  </si>
  <si>
    <t>14.02.2025</t>
  </si>
  <si>
    <t>Estado: Enviado; Vendedor: Jabo37; Envío repartido: 1.33 EUR</t>
  </si>
  <si>
    <t>09.02.2025</t>
  </si>
  <si>
    <t>MTGWARHAMMER</t>
  </si>
  <si>
    <t>Estado: Enviado; Vendedor: MTGWARHAMMER; Envío repartido: 1.33 EUR</t>
  </si>
  <si>
    <t>Darkven66</t>
  </si>
  <si>
    <t>Estado: Enviado; Vendedor: Darkven66; Envío repartido: 1.33 EUR</t>
  </si>
  <si>
    <t>mikiprat</t>
  </si>
  <si>
    <t>Estado: Enviado; Vendedor: mikiprat; Envío repartido: 1.33 EUR</t>
  </si>
  <si>
    <t>SrIbo</t>
  </si>
  <si>
    <t>Estado: Enviado; Vendedor: SrIbo; Envío repartido: 1.33 EUR</t>
  </si>
  <si>
    <t>XFincoX</t>
  </si>
  <si>
    <t>Estado: Enviado; Vendedor: XFincoX; Envío repartido: 1.33 EUR</t>
  </si>
  <si>
    <t>damian471</t>
  </si>
  <si>
    <t>Estado: Enviado; Vendedor: damian471; Envío repartido: 1.33 EUR</t>
  </si>
  <si>
    <t>amoxicilina</t>
  </si>
  <si>
    <t>Estado: Enviado; Vendedor: amoxicilina; Envío repartido: 1.33 EUR</t>
  </si>
  <si>
    <t>08.02.2025</t>
  </si>
  <si>
    <t>Estado: Recibido; Comprador: Darkven66; Envío repartido: 1.33 EUR</t>
  </si>
  <si>
    <t>glmax</t>
  </si>
  <si>
    <t>06.02.2025</t>
  </si>
  <si>
    <t>Estado: Cancelado; Comprador: glmax; Envío repartido: 1.33 EUR</t>
  </si>
  <si>
    <t>Liquiidzx</t>
  </si>
  <si>
    <t>05.02.2025</t>
  </si>
  <si>
    <t>Estado: Recibido; Comprador: Liquiidzx; Envío repartido: 1.33 EUR</t>
  </si>
  <si>
    <t>Estado: Enviado; Vendedor: TCG-MultiVerse; Envío repartido: 1.33 EUR</t>
  </si>
  <si>
    <t>Puertofantasy</t>
  </si>
  <si>
    <t>Estado: Enviado; Vendedor: Puertofantasy; Envío repartido: 1.33 EUR</t>
  </si>
  <si>
    <t>Estado: Enviado; Vendedor: Devian-Magic-Cards; Envío repartido: 1.33 EUR</t>
  </si>
  <si>
    <t>JijitheCat</t>
  </si>
  <si>
    <t>Estado: Enviado; Vendedor: JijitheCat; Envío repartido: 1.33 EUR</t>
  </si>
  <si>
    <t>AreSz</t>
  </si>
  <si>
    <t>04.02.2025</t>
  </si>
  <si>
    <t>Estado: Enviado; Vendedor: AreSz; Envío repartido: 1.33 EUR</t>
  </si>
  <si>
    <t>Adricarf</t>
  </si>
  <si>
    <t>03.02.2025</t>
  </si>
  <si>
    <t>Estado: Recibido; Comprador: Adricarf; Envío repartido: 1.33 EUR</t>
  </si>
  <si>
    <t>nilcornago</t>
  </si>
  <si>
    <t>Estado: Enviado; Vendedor: nilcornago; Envío repartido: 5.93 EUR</t>
  </si>
  <si>
    <t>02.02.2025</t>
  </si>
  <si>
    <t>Estado: Pagado; Comprador: Adricarf; Envío repartido: 1.33 EUR</t>
  </si>
  <si>
    <t>jostaher</t>
  </si>
  <si>
    <t>Estado: Recibido; Comprador: jostaher; Envío repartido: 1.33 EUR</t>
  </si>
  <si>
    <t>Aruete</t>
  </si>
  <si>
    <t>01.02.2025</t>
  </si>
  <si>
    <t>Estado: Recibido; Comprador: Aruete; Envío repartido: 1.33 EUR</t>
  </si>
  <si>
    <t>DarkJaBBa</t>
  </si>
  <si>
    <t>31.01.2025</t>
  </si>
  <si>
    <t>Estado: Recibido; Comprador: DarkJaBBa; Envío repartido: 7.60 EUR</t>
  </si>
  <si>
    <t>30.01.2025</t>
  </si>
  <si>
    <t>29.01.2025</t>
  </si>
  <si>
    <t>StrangerMurcia</t>
  </si>
  <si>
    <t>Estado: Enviado; Vendedor: StrangerMurcia; Envío repartido: 1.33 EUR</t>
  </si>
  <si>
    <t>Estado: Enviado; Vendedor: Miceliongames; Envío repartido: 1.33 EUR</t>
  </si>
  <si>
    <t>vicmilcar</t>
  </si>
  <si>
    <t>Estado: Enviado; Vendedor: vicmilcar; Envío repartido: 1.33 EUR</t>
  </si>
  <si>
    <t>flake88</t>
  </si>
  <si>
    <t>Estado: Enviado; Vendedor: flake88; Envío repartido: 1.33 EUR</t>
  </si>
  <si>
    <t>Kerith</t>
  </si>
  <si>
    <t>26.01.2025</t>
  </si>
  <si>
    <t>Estado: Enviado; Vendedor: Kerith; Envío repartido: 1.55 EUR</t>
  </si>
  <si>
    <t>MandruasMagicCorner</t>
  </si>
  <si>
    <t>Estado: Enviado; Vendedor: MandruasMagicCorner; Envío repartido: 3.08 EUR</t>
  </si>
  <si>
    <t>ManaTemple</t>
  </si>
  <si>
    <t>Estado: Enviado; Vendedor: ManaTemple; Envío repartido: 1.40 EUR</t>
  </si>
  <si>
    <t>Estado: Enviado; Vendedor: Terantino028; Envío repartido: 5.93 EUR</t>
  </si>
  <si>
    <t>Estado: Enviado; Vendedor: Moshitron; Envío repartido: 5.93 EUR</t>
  </si>
  <si>
    <t>25.01.2025</t>
  </si>
  <si>
    <t>MrDylan83</t>
  </si>
  <si>
    <t>24.01.2025</t>
  </si>
  <si>
    <t>Estado: Recibido; Comprador: MrDylan83; Envío repartido: 5.93 EUR</t>
  </si>
  <si>
    <t>bonic</t>
  </si>
  <si>
    <t>23.01.2025</t>
  </si>
  <si>
    <t>Estado: Recibido; Comprador: bonic; Envío repartido: 2.45 EUR</t>
  </si>
  <si>
    <t>The-Collectible</t>
  </si>
  <si>
    <t>Estado: Enviado; Vendedor: The-Collectible; Envío repartido: 1.33 EUR</t>
  </si>
  <si>
    <t>MagicMallorca</t>
  </si>
  <si>
    <t>Estado: Enviado; Vendedor: MagicMallorca; Envío repartido: 1.33 EUR</t>
  </si>
  <si>
    <t>Zarzi88</t>
  </si>
  <si>
    <t>Estado: Enviado; Vendedor: Zarzi88; Envío repartido: 1.33 EUR</t>
  </si>
  <si>
    <t>22.01.2025</t>
  </si>
  <si>
    <t>Tramer</t>
  </si>
  <si>
    <t>Estado: Enviado; Vendedor: Tramer; Envío repartido: 1.33 EUR</t>
  </si>
  <si>
    <t>21.01.2025</t>
  </si>
  <si>
    <t>Mikilin</t>
  </si>
  <si>
    <t>19.01.2025</t>
  </si>
  <si>
    <t>Estado: Enviado; Vendedor: Mikilin; Envío repartido: 1.33 EUR</t>
  </si>
  <si>
    <t>makotomonaka</t>
  </si>
  <si>
    <t>Estado: Recibido; Comprador: makotomonaka; Envío repartido: 1.33 EUR</t>
  </si>
  <si>
    <t>anderpasa</t>
  </si>
  <si>
    <t>18.01.2025</t>
  </si>
  <si>
    <t>Estado: Cancelado; Vendedor: anderpasa; Envío repartido: 1.33 EUR</t>
  </si>
  <si>
    <t>lucario90</t>
  </si>
  <si>
    <t>Estado: Enviado; Vendedor: lucario90; Envío repartido: 1.33 EUR</t>
  </si>
  <si>
    <t>JupiterMadridCentral</t>
  </si>
  <si>
    <t>Estado: Enviado; Vendedor: JupiterMadridCentral; Envío repartido: 1.33 EUR</t>
  </si>
  <si>
    <t>juliobonatti</t>
  </si>
  <si>
    <t>Estado: Enviado; Vendedor: juliobonatti; Envío repartido: 1.33 EUR</t>
  </si>
  <si>
    <t>17.01.2025</t>
  </si>
  <si>
    <t>leocanalejo</t>
  </si>
  <si>
    <t>Estado: Recibido; Comprador: leocanalejo; Envío repartido: 5.93 EUR</t>
  </si>
  <si>
    <t>waskache</t>
  </si>
  <si>
    <t>Estado: Recibido; Comprador: waskache; Envío repartido: 1.33 EUR</t>
  </si>
  <si>
    <t>lafamiliaesloprimero</t>
  </si>
  <si>
    <t>Estado: Recibido; Comprador: lafamiliaesloprimero; Envío repartido: 1.33 EUR</t>
  </si>
  <si>
    <t>Crator46</t>
  </si>
  <si>
    <t>16.01.2025</t>
  </si>
  <si>
    <t>Estado: Recibido; Comprador: Crator46; Envío repartido: 1.33 EUR</t>
  </si>
  <si>
    <t>15.01.2025</t>
  </si>
  <si>
    <t>Estado: Enviado; Vendedor: DUAL-GAMES; Envío repartido: 6.00 EUR</t>
  </si>
  <si>
    <t>Koby2000</t>
  </si>
  <si>
    <t>Estado: Enviado; Vendedor: Koby2000; Envío repartido: 1.33 EUR</t>
  </si>
  <si>
    <t>Ichiban-Cards</t>
  </si>
  <si>
    <t>Estado: Enviado; Vendedor: Ichiban-Cards; Envío repartido: 1.33 EUR</t>
  </si>
  <si>
    <t>MikeParty</t>
  </si>
  <si>
    <t>Estado: Enviado; Vendedor: MikeParty; Envío repartido: 1.33 EUR</t>
  </si>
  <si>
    <t>alvaroelda</t>
  </si>
  <si>
    <t>Estado: Enviado; Vendedor: alvaroelda; Envío repartido: 5.93 EUR</t>
  </si>
  <si>
    <t>Kewedo</t>
  </si>
  <si>
    <t>Estado: Recibido; Comprador: Kewedo; Envío repartido: 1.33 EUR</t>
  </si>
  <si>
    <t>kandun</t>
  </si>
  <si>
    <t>14.01.2025</t>
  </si>
  <si>
    <t>Estado: Recibido; Comprador: kandun; Envío repartido: 1.33 EUR</t>
  </si>
  <si>
    <t>Kar0nte</t>
  </si>
  <si>
    <t>Estado: Enviado; Vendedor: Kar0nte; Envío repartido: 1.33 EUR</t>
  </si>
  <si>
    <t>AvalonBurgos</t>
  </si>
  <si>
    <t>Estado: Enviado; Vendedor: AvalonBurgos; Envío repartido: 1.33 EUR</t>
  </si>
  <si>
    <t>augustojas</t>
  </si>
  <si>
    <t>Estado: Recibido; Comprador: augustojas; Envío repartido: 1.33 EUR</t>
  </si>
  <si>
    <t>WarLotus</t>
  </si>
  <si>
    <t>Estado: Enviado; Vendedor: WarLotus; Envío repartido: 1.33 EUR</t>
  </si>
  <si>
    <t>09.01.2025</t>
  </si>
  <si>
    <t>Estado: Enviado; Vendedor: CalongeComics; Envío repartido: 5.80 EUR</t>
  </si>
  <si>
    <t>Estado: Enviado; Vendedor: Mazvigosl; Envío repartido: 5.93 EUR</t>
  </si>
  <si>
    <t>06.01.2025</t>
  </si>
  <si>
    <t>Lollomagic</t>
  </si>
  <si>
    <t>05.01.2025</t>
  </si>
  <si>
    <t>Estado: Recibido; Comprador: Lollomagic; Envío repartido: 2.45 EUR</t>
  </si>
  <si>
    <t>Nighthaze7170</t>
  </si>
  <si>
    <t>Estado: Recibido; Comprador: Nighthaze7170; Envío repartido: 2.45 EUR</t>
  </si>
  <si>
    <t>gonblk</t>
  </si>
  <si>
    <t>04.01.2025</t>
  </si>
  <si>
    <t>Estado: Enviado; Vendedor: gonblk; Envío repartido: 1.33 EUR</t>
  </si>
  <si>
    <t>MiquelSenpai</t>
  </si>
  <si>
    <t>Estado: Recibido; Comprador: MiquelSenpai; Envío repartido: 1.33 EUR</t>
  </si>
  <si>
    <t>WA-20250101-01</t>
  </si>
  <si>
    <t>Ivan Arjona</t>
  </si>
  <si>
    <t>01.01.2025</t>
  </si>
  <si>
    <t>gomezmiguel014g</t>
  </si>
  <si>
    <t>30.12.2024</t>
  </si>
  <si>
    <t>Estado: Recibido; Comprador: gomezmiguel014g; Envío repartido: 1.33 EUR</t>
  </si>
  <si>
    <t>27.12.2024</t>
  </si>
  <si>
    <t>Estado: Cancelado en CardMarket; recogido en mano; Vendedor: Distritozero-Bilbao; Envío eliminado por recogida en mano: 1.22 EUR</t>
  </si>
  <si>
    <t>Estado: Enviado; Vendedor: TEMPEST-STORE; Envío repartido: 1.22 EUR</t>
  </si>
  <si>
    <t>MarianoLF</t>
  </si>
  <si>
    <t>25.12.2024</t>
  </si>
  <si>
    <t>Estado: Enviado; Vendedor: MarianoLF; Envío repartido: 5.47 EUR</t>
  </si>
  <si>
    <t>Vintar</t>
  </si>
  <si>
    <t>Estado: Recibido; Comprador: Vintar; Envío repartido: 5.47 EUR</t>
  </si>
  <si>
    <t>haritza77</t>
  </si>
  <si>
    <t>Estado: Cancelado; Vendedor: haritza77; Envío repartido: 1.22 EUR</t>
  </si>
  <si>
    <t>ProjabMTG</t>
  </si>
  <si>
    <t>Estado: Enviado; Vendedor: ProjabMTG; Envío repartido: 1.22 EUR</t>
  </si>
  <si>
    <t>Escarmonce</t>
  </si>
  <si>
    <t>Estado: Enviado; Vendedor: Escarmonce; Envío repartido: 1.22 EUR</t>
  </si>
  <si>
    <t>moriarty082</t>
  </si>
  <si>
    <t>Estado: Enviado; Vendedor: moriarty082; Envío repartido: 1.22 EUR</t>
  </si>
  <si>
    <t>Estado: Enviado; Vendedor: TEMPEST-STORE; Envío repartido: 5.47 EUR</t>
  </si>
  <si>
    <t>LunarRush</t>
  </si>
  <si>
    <t>Estado: Enviado; Vendedor: LunarRush; Envío repartido: 1.22 EUR</t>
  </si>
  <si>
    <t>SrGekota</t>
  </si>
  <si>
    <t>Estado: Recibido; Comprador: SrGekota; Envío repartido: 1.22 EUR</t>
  </si>
  <si>
    <t>24.12.2024</t>
  </si>
  <si>
    <t>Estado: Cancelado en CardMarket; recogido en mano; Vendedor: Distritozero-San; Envío eliminado por recogida en mano: 1.22 EUR</t>
  </si>
  <si>
    <t>Estado: Enviado; Vendedor: AlexJandro41; Envío repartido: 5.47 EUR</t>
  </si>
  <si>
    <t>biogenethik</t>
  </si>
  <si>
    <t>23.12.2024</t>
  </si>
  <si>
    <t>Estado: Enviado; Vendedor: biogenethik; Envío repartido: 2.80 EUR</t>
  </si>
  <si>
    <t>sukur</t>
  </si>
  <si>
    <t>22.12.2024</t>
  </si>
  <si>
    <t>Estado: Enviado; Vendedor: sukur; Envío repartido: 5.47 EUR</t>
  </si>
  <si>
    <t>hofzge</t>
  </si>
  <si>
    <t>Estado: Enviado; Vendedor: hofzge; Envío repartido: 11.78 EUR</t>
  </si>
  <si>
    <t>Yaivan</t>
  </si>
  <si>
    <t>21.12.2024</t>
  </si>
  <si>
    <t>Estado: Recibido; Comprador: Yaivan; Envío repartido: 1.22 EUR</t>
  </si>
  <si>
    <t>isabelungui</t>
  </si>
  <si>
    <t>20.12.2024</t>
  </si>
  <si>
    <t>Estado: Enviado; Vendedor: isabelungui; Envío repartido: 1.22 EUR</t>
  </si>
  <si>
    <t>WastedHoms</t>
  </si>
  <si>
    <t>Estado: Recibido; Comprador: WastedHoms; Envío repartido: 1.22 EUR</t>
  </si>
  <si>
    <t>danarkobcn</t>
  </si>
  <si>
    <t>19.12.2024</t>
  </si>
  <si>
    <t>Estado: Enviado; Vendedor: danarkobcn; Envío repartido: 1.22 EUR</t>
  </si>
  <si>
    <t>jimbo2991</t>
  </si>
  <si>
    <t>18.12.2024</t>
  </si>
  <si>
    <t>Estado: Enviado; Vendedor: jimbo2991; Envío repartido: 1.22 EUR</t>
  </si>
  <si>
    <t>almendra85</t>
  </si>
  <si>
    <t>Estado: Recibido; Comprador: almendra85; Envío repartido: 1.22 EUR</t>
  </si>
  <si>
    <t>Canffen</t>
  </si>
  <si>
    <t>17.12.2024</t>
  </si>
  <si>
    <t>Estado: Recibido; Comprador: Canffen; Envío repartido: 1.22 EUR</t>
  </si>
  <si>
    <t>Estado: Enviado; Vendedor: willybizarre; Envío repartido: 1.22 EUR</t>
  </si>
  <si>
    <t>mentalistaQQ</t>
  </si>
  <si>
    <t>Estado: Enviado; Vendedor: mentalistaQQ; Envío repartido: 5.47 EUR</t>
  </si>
  <si>
    <t>Pablobl</t>
  </si>
  <si>
    <t>16.12.2024</t>
  </si>
  <si>
    <t>Estado: Enviado; Vendedor: Pablobl; Envío repartido: 1.22 EUR</t>
  </si>
  <si>
    <t>JefeHigelmo</t>
  </si>
  <si>
    <t>Estado: Enviado; Vendedor: JefeHigelmo; Envío repartido: 5.47 EUR</t>
  </si>
  <si>
    <t>maikyhateyou</t>
  </si>
  <si>
    <t>Estado: Recibido; Comprador: maikyhateyou; Envío repartido: 1.22 EUR</t>
  </si>
  <si>
    <t>Estado: Enviado; Vendedor: Mazvigosl; Envío repartido: 5.47 EUR</t>
  </si>
  <si>
    <t>MagicPangea</t>
  </si>
  <si>
    <t>Estado: Enviado; Vendedor: MagicPangea; Envío repartido: 1.22 EUR</t>
  </si>
  <si>
    <t>11.12.2024</t>
  </si>
  <si>
    <t>Estado: Pagado; Vendedor: Distritozero-Bilbao; Envío repartido: 1.22 EUR</t>
  </si>
  <si>
    <t>TCG-SPAIN</t>
  </si>
  <si>
    <t>10.12.2024</t>
  </si>
  <si>
    <t>Estado: Enviado; Vendedor: TCG-SPAIN; Envío repartido: 1.22 EUR</t>
  </si>
  <si>
    <t>Kalu46</t>
  </si>
  <si>
    <t>Estado: Enviado; Vendedor: Kalu46; Envío repartido: 1.22 EUR</t>
  </si>
  <si>
    <t>kpasatio</t>
  </si>
  <si>
    <t>Estado: Pagado; Vendedor: kpasatio; Envío repartido: 1.22 EUR</t>
  </si>
  <si>
    <t>Estado: Pagado; Vendedor: DUAL-GAMES; Envío repartido: 1.22 EUR</t>
  </si>
  <si>
    <t>Zvvvvz</t>
  </si>
  <si>
    <t>Estado: Enviado; Vendedor: Zvvvvz; Envío repartido: 1.22 EUR</t>
  </si>
  <si>
    <t>ESTALIA</t>
  </si>
  <si>
    <t>Estado: Pagado; Vendedor: ESTALIA; Envío repartido: 1.22 EUR</t>
  </si>
  <si>
    <t>Estado: Enviado; Vendedor: JupiterMadridCentral; Envío repartido: 1.22 EUR</t>
  </si>
  <si>
    <t>KikouMagic</t>
  </si>
  <si>
    <t>Estado: Enviado; Vendedor: KikouMagic; Envío repartido: 1.22 EUR</t>
  </si>
  <si>
    <t>Kerosinkatze</t>
  </si>
  <si>
    <t>Estado: Enviado; Vendedor: Kerosinkatze; Envío repartido: 1.22 EUR</t>
  </si>
  <si>
    <t>Estado: Enviado; Vendedor: Moria05; Envío repartido: 1.95 EUR</t>
  </si>
  <si>
    <t>Feagul</t>
  </si>
  <si>
    <t>07.12.2024</t>
  </si>
  <si>
    <t>Estado: Enviado; Vendedor: Feagul; Envío repartido: 1.22 EUR</t>
  </si>
  <si>
    <t>unodelosnuestros</t>
  </si>
  <si>
    <t>Estado: Enviado; Vendedor: unodelosnuestros; Envío repartido: 1.22 EUR</t>
  </si>
  <si>
    <t>MTB123</t>
  </si>
  <si>
    <t>06.12.2024</t>
  </si>
  <si>
    <t>Estado: Recibido; Comprador: MTB123; Envío repartido: 7.30 EUR</t>
  </si>
  <si>
    <t>Jagago</t>
  </si>
  <si>
    <t>Estado: Recibido; Comprador: Jagago; Envío repartido: 1.22 EUR</t>
  </si>
  <si>
    <t>nilblader</t>
  </si>
  <si>
    <t>Estado: Recibido; Comprador: nilblader; Envío repartido: 1.22 EUR</t>
  </si>
  <si>
    <t>Khardrem</t>
  </si>
  <si>
    <t>05.12.2024</t>
  </si>
  <si>
    <t>Estado: Enviado; Vendedor: Khardrem; Envío repartido: 5.47 EUR</t>
  </si>
  <si>
    <t>03.12.2024</t>
  </si>
  <si>
    <t>Estado: Recibido; Comprador: teff13; Envío repartido: 5.47 EUR</t>
  </si>
  <si>
    <t>Estado: Cancelado en CardMarket; recogido en mano; Vendedor: Distritozero-Bilbao; Envío eliminado por recogida en mano: 5.47 EUR</t>
  </si>
  <si>
    <t>Alexander1907</t>
  </si>
  <si>
    <t>02.12.2024</t>
  </si>
  <si>
    <t>Estado: Enviado; Vendedor: Alexander1907; Envío repartido: 5.47 EUR</t>
  </si>
  <si>
    <t>01.12.2024</t>
  </si>
  <si>
    <t>Estado: Enviado; Vendedor: Mazvigosl; Envío repartido: 1.22 EUR</t>
  </si>
  <si>
    <t>Estado: Enviado; Vendedor: Miceliongames; Envío repartido: 1.22 EUR</t>
  </si>
  <si>
    <t>30.11.2024</t>
  </si>
  <si>
    <t>Estado: Enviado; Vendedor: NeverlandMTG; Envío repartido: 1.22 EUR</t>
  </si>
  <si>
    <t>Estado: Enviado; Vendedor: HamelinGames; Envío repartido: 1.22 EUR</t>
  </si>
  <si>
    <t>28.11.2024</t>
  </si>
  <si>
    <t>Estado: Enviado; Vendedor: Moria05; Envío repartido: 1.22 EUR</t>
  </si>
  <si>
    <t>javiervazquez</t>
  </si>
  <si>
    <t>27.11.2024</t>
  </si>
  <si>
    <t>Estado: Enviado; Vendedor: javiervazquez; Envío repartido: 1.22 EUR</t>
  </si>
  <si>
    <t>25.11.2024</t>
  </si>
  <si>
    <t>Estado: Enviado; Vendedor: ManaVortex-POOL4YOU; Envío repartido: 1.22 EUR</t>
  </si>
  <si>
    <t>Turambar</t>
  </si>
  <si>
    <t>23.11.2024</t>
  </si>
  <si>
    <t>Estado: Recibido; Comprador: Turambar; Envío repartido: 2.30 EUR</t>
  </si>
  <si>
    <t>Estado: Enviado; Vendedor: PERALTA; Envío repartido: 5.47 EUR</t>
  </si>
  <si>
    <t>Estado: Enviado; Vendedor: Mazvigosl; Envío repartido: 7.50 EUR</t>
  </si>
  <si>
    <t>AF3rnandez</t>
  </si>
  <si>
    <t>Estado: Enviado; Vendedor: AF3rnandez; Envío repartido: 5.47 EUR</t>
  </si>
  <si>
    <t>Sangostian</t>
  </si>
  <si>
    <t>21.11.2024</t>
  </si>
  <si>
    <t>Estado: Recibido; Comprador: Sangostian; Envío repartido: 1.22 EUR</t>
  </si>
  <si>
    <t>Turbotanque3000</t>
  </si>
  <si>
    <t>Estado: Recibido; Comprador: Turbotanque3000; Envío repartido: 1.22 EUR</t>
  </si>
  <si>
    <t>SnafuStore</t>
  </si>
  <si>
    <t>13.11.2024</t>
  </si>
  <si>
    <t>Estado: Enviado; Vendedor: SnafuStore; Envío repartido: 1.22 EUR</t>
  </si>
  <si>
    <t>GeekParadise-Tom</t>
  </si>
  <si>
    <t>Estado: Enviado; Vendedor: GeekParadise-Tom; Envío repartido: 5.00 EUR</t>
  </si>
  <si>
    <t>wildchild</t>
  </si>
  <si>
    <t>Estado: Enviado; Vendedor: wildchild; Envío repartido: 5.47 EUR</t>
  </si>
  <si>
    <t>legarreta</t>
  </si>
  <si>
    <t>Estado: Enviado; Vendedor: legarreta; Envío repartido: 5.47 EUR</t>
  </si>
  <si>
    <t>Torkok</t>
  </si>
  <si>
    <t>09.11.2024</t>
  </si>
  <si>
    <t>Estado: Recibido; Comprador: Torkok; Envío repartido: 7.30 EUR</t>
  </si>
  <si>
    <t>Arrokia</t>
  </si>
  <si>
    <t>07.11.2024</t>
  </si>
  <si>
    <t>Estado: Enviado; Vendedor: Arrokia; Envío repartido: 5.47 EUR</t>
  </si>
  <si>
    <t>Sonia1992</t>
  </si>
  <si>
    <t>03.11.2024</t>
  </si>
  <si>
    <t>Estado: Enviado; Vendedor: Sonia1992; Envío repartido: 5.47 EUR</t>
  </si>
  <si>
    <t>30.10.2024</t>
  </si>
  <si>
    <t>29.10.2024</t>
  </si>
  <si>
    <t>Naponar</t>
  </si>
  <si>
    <t>Estado: Recibido; Comprador: Naponar; Envío repartido: 1.22 EUR</t>
  </si>
  <si>
    <t>Jydehem</t>
  </si>
  <si>
    <t>26.10.2024</t>
  </si>
  <si>
    <t>Estado: Cancelado; Comprador: Jydehem; Envío repartido: 7.30 EUR</t>
  </si>
  <si>
    <t>Ivancinho10</t>
  </si>
  <si>
    <t>Estado: Enviado; Vendedor: Ivancinho10; Envío repartido: 5.47 EUR</t>
  </si>
  <si>
    <t>Estado: Enviado; Vendedor: Yonlu; Envío repartido: 1.22 EUR</t>
  </si>
  <si>
    <t>Veilanof</t>
  </si>
  <si>
    <t>25.10.2024</t>
  </si>
  <si>
    <t>Estado: Recibido; Comprador: Veilanof; Envío repartido: 5.47 EUR</t>
  </si>
  <si>
    <t>23.10.2024</t>
  </si>
  <si>
    <t>Estado: Enviado; Vendedor: Itaca; Envío repartido: 4.95 EUR</t>
  </si>
  <si>
    <t>Library-Of-Cards</t>
  </si>
  <si>
    <t>22.10.2024</t>
  </si>
  <si>
    <t>Estado: Cancelado; Comprador: Library-Of-Cards; Envío repartido: 5.47 EUR</t>
  </si>
  <si>
    <t>AM-Cards</t>
  </si>
  <si>
    <t>21.10.2024</t>
  </si>
  <si>
    <t>Estado: Enviado; Vendedor: AM-Cards; Envío repartido: 5.47 EUR</t>
  </si>
  <si>
    <t>19.10.2024</t>
  </si>
  <si>
    <t>Estado: Recibido; Comprador: Xobpa; Envío repartido: 1.22 EUR</t>
  </si>
  <si>
    <t>alfonsopeces</t>
  </si>
  <si>
    <t>18.10.2024</t>
  </si>
  <si>
    <t>Estado: Enviado; Vendedor: alfonsopeces; Envío repartido: 1.22 EUR</t>
  </si>
  <si>
    <t>Arctic-TCG</t>
  </si>
  <si>
    <t>17.10.2024</t>
  </si>
  <si>
    <t>Estado: Cancelado; Vendedor: Arctic-TCG; Envío repartido: 6.75 EUR</t>
  </si>
  <si>
    <t>xDrakeDRaptor</t>
  </si>
  <si>
    <t>Estado: Enviado; Vendedor: xDrakeDRaptor; Envío repartido: 7.45 EUR</t>
  </si>
  <si>
    <t>SrBau</t>
  </si>
  <si>
    <t>Estado: Pagado; Comprador: SrBau; Envío repartido: 5.47 EUR</t>
  </si>
  <si>
    <t>Estado: Recibido; Comprador: Mazvigosl; Envío repartido: 1.22 EUR</t>
  </si>
  <si>
    <t>16.10.2024</t>
  </si>
  <si>
    <t>Estado: Enviado; Vendedor: Shark-Games; Envío repartido: 5.25 EUR</t>
  </si>
  <si>
    <t>NickDeme</t>
  </si>
  <si>
    <t>Estado: Recibido; Comprador: NickDeme; Envío repartido: 7.30 EUR</t>
  </si>
  <si>
    <t>tier</t>
  </si>
  <si>
    <t>Estado: Enviado; Vendedor: tier; Envío repartido: 5.47 EUR</t>
  </si>
  <si>
    <t>Mirsek</t>
  </si>
  <si>
    <t>14.10.2024</t>
  </si>
  <si>
    <t>Estado: Recibido; Comprador: Mirsek; Envío repartido: 1.22 EUR</t>
  </si>
  <si>
    <t>13.10.2024</t>
  </si>
  <si>
    <t>Estado: Enviado; Vendedor: Mazvigosl; Envío repartido: 1.95 EUR</t>
  </si>
  <si>
    <t>Elfo</t>
  </si>
  <si>
    <t>Estado: Enviado; Vendedor: Elfo; Envío repartido: 1.22 EUR</t>
  </si>
  <si>
    <t>Warrasen</t>
  </si>
  <si>
    <t>Estado: Enviado; Vendedor: Warrasen; Envío repartido: 1.22 EUR</t>
  </si>
  <si>
    <t>JMontisella</t>
  </si>
  <si>
    <t>Estado: Enviado; Vendedor: JMontisella; Envío repartido: 1.22 EUR</t>
  </si>
  <si>
    <t>mr-worldwake</t>
  </si>
  <si>
    <t>Estado: Enviado; Vendedor: mr-worldwake; Envío repartido: 1.22 EUR</t>
  </si>
  <si>
    <t>Estado: Enviado; Vendedor: DUAL-GAMES; Envío repartido: 1.22 EUR</t>
  </si>
  <si>
    <t>dannylarousso</t>
  </si>
  <si>
    <t>12.10.2024</t>
  </si>
  <si>
    <t>Estado: Enviado; Vendedor: dannylarousso; Envío repartido: 1.22 EUR</t>
  </si>
  <si>
    <t>Dewacek</t>
  </si>
  <si>
    <t>Estado: Enviado; Vendedor: Dewacek; Envío repartido: 5.29 EUR</t>
  </si>
  <si>
    <t>OpenVaultTrading</t>
  </si>
  <si>
    <t>Estado: Enviado; Vendedor: OpenVaultTrading; Envío repartido: 7.10 EUR</t>
  </si>
  <si>
    <t>MichaelGJ</t>
  </si>
  <si>
    <t>11.10.2024</t>
  </si>
  <si>
    <t>Estado: Recibido; Comprador: MichaelGJ; Envío repartido: 2.30 EUR</t>
  </si>
  <si>
    <t>TeamOfLegends</t>
  </si>
  <si>
    <t>10.10.2024</t>
  </si>
  <si>
    <t>Estado: Enviado; Vendedor: TeamOfLegends; Envío repartido: 1.22 EUR</t>
  </si>
  <si>
    <t>Estado: Enviado; Vendedor: Metropolis-Center; Envío repartido: 1.95 EUR</t>
  </si>
  <si>
    <t>09.10.2024</t>
  </si>
  <si>
    <t>08.10.2024</t>
  </si>
  <si>
    <t>abe973</t>
  </si>
  <si>
    <t>07.10.2024</t>
  </si>
  <si>
    <t>Estado: Recibido; Comprador: abe973; Envío repartido: 1.22 EUR</t>
  </si>
  <si>
    <t>05.10.2024</t>
  </si>
  <si>
    <t>Estado: Enviado; Vendedor: AstoraComics; Envío repartido: 1.22 EUR</t>
  </si>
  <si>
    <t>Suskiwi</t>
  </si>
  <si>
    <t>04.10.2024</t>
  </si>
  <si>
    <t>Estado: Enviado; Vendedor: Suskiwi; Envío repartido: 5.47 EUR</t>
  </si>
  <si>
    <t>J4ceBeleren</t>
  </si>
  <si>
    <t>Estado: Recibido; Comprador: J4ceBeleren; Envío repartido: 7.30 EUR</t>
  </si>
  <si>
    <t>edoxxi</t>
  </si>
  <si>
    <t>Estado: Enviado; Vendedor: edoxxi; Envío repartido: 1.22 EUR</t>
  </si>
  <si>
    <t>dabyttt</t>
  </si>
  <si>
    <t>Estado: Enviado; Vendedor: dabyttt; Envío repartido: 1.22 EUR</t>
  </si>
  <si>
    <t>cartomago11</t>
  </si>
  <si>
    <t>Estado: Enviado; Vendedor: cartomago11; Envío repartido: 1.22 EUR</t>
  </si>
  <si>
    <t>pacojons1</t>
  </si>
  <si>
    <t>Estado: Enviado; Vendedor: pacojons1; Envío repartido: 1.22 EUR</t>
  </si>
  <si>
    <t>TierraMedia</t>
  </si>
  <si>
    <t>Estado: Enviado; Vendedor: TierraMedia; Envío repartido: 1.22 EUR</t>
  </si>
  <si>
    <t>Alzik</t>
  </si>
  <si>
    <t>Estado: Cancelado; Vendedor: Alzik; Envío repartido: 1.22 EUR</t>
  </si>
  <si>
    <t>Kiko1985</t>
  </si>
  <si>
    <t>Estado: Cancelado; Vendedor: Kiko1985; Envío repartido: 1.22 EUR</t>
  </si>
  <si>
    <t>Taiko-Homoludicus</t>
  </si>
  <si>
    <t>Estado: Enviado; Vendedor: Taiko-Homoludicus; Envío repartido: 1.22 EUR</t>
  </si>
  <si>
    <t>02.10.2024</t>
  </si>
  <si>
    <t>WA-20241001-02</t>
  </si>
  <si>
    <t>David Premodern</t>
  </si>
  <si>
    <t>01.10.2024</t>
  </si>
  <si>
    <t>WA-20241001-01</t>
  </si>
  <si>
    <t>34633956985</t>
  </si>
  <si>
    <t>SleepyCesar</t>
  </si>
  <si>
    <t>Estado: Recibido; Comprador: SleepyCesar; Envío repartido: 1.22 EUR</t>
  </si>
  <si>
    <t>RoyalAssassin-T1-</t>
  </si>
  <si>
    <t>30.09.2024</t>
  </si>
  <si>
    <t>Estado: Recibido; Comprador: RoyalAssassin-T1-; Envío repartido: 2.30 EUR</t>
  </si>
  <si>
    <t>vscorpio</t>
  </si>
  <si>
    <t>Estado: Enviado; Vendedor: vscorpio; Envío repartido: 1.22 EUR</t>
  </si>
  <si>
    <t>Javi01c</t>
  </si>
  <si>
    <t>Estado: Recibido; Comprador: Javi01c; Envío repartido: 1.22 EUR</t>
  </si>
  <si>
    <t>rumrum25</t>
  </si>
  <si>
    <t>Estado: Recibido; Comprador: rumrum25; Envío repartido: 1.22 EUR</t>
  </si>
  <si>
    <t>Agusoto</t>
  </si>
  <si>
    <t>29.09.2024</t>
  </si>
  <si>
    <t>Estado: Recibido; Comprador: Agusoto; Envío repartido: 1.22 EUR</t>
  </si>
  <si>
    <t>Estado: Enviado; Vendedor: Moshitron; Envío repartido: 5.47 EUR</t>
  </si>
  <si>
    <t>28.09.2024</t>
  </si>
  <si>
    <t>Estado: Enviado; Vendedor: PERALTA; Envío repartido: 1.95 EUR</t>
  </si>
  <si>
    <t>FairyGlitter</t>
  </si>
  <si>
    <t>Estado: Enviado; Vendedor: FairyGlitter; Envío repartido: 1.22 EUR</t>
  </si>
  <si>
    <t>ratarata</t>
  </si>
  <si>
    <t>Estado: Cancelado; Vendedor: ratarata; Envío repartido: 1.22 EUR</t>
  </si>
  <si>
    <t>Pmolina</t>
  </si>
  <si>
    <t>Estado: Enviado; Vendedor: Pmolina; Envío repartido: 1.22 EUR</t>
  </si>
  <si>
    <t>ivan-the-seller</t>
  </si>
  <si>
    <t>Estado: Enviado; Vendedor: ivan-the-seller; Envío repartido: 1.22 EUR</t>
  </si>
  <si>
    <t>danilive</t>
  </si>
  <si>
    <t>Estado: Enviado; Vendedor: danilive; Envío repartido: 1.22 EUR</t>
  </si>
  <si>
    <t>Jaiimechuu</t>
  </si>
  <si>
    <t>26.09.2024</t>
  </si>
  <si>
    <t>Estado: Enviado; Vendedor: Jaiimechuu; Envío repartido: 1.22 EUR</t>
  </si>
  <si>
    <t>ibolga</t>
  </si>
  <si>
    <t>Estado: Enviado; Vendedor: ibolga; Envío repartido: 1.22 EUR</t>
  </si>
  <si>
    <t>BananaInvestments</t>
  </si>
  <si>
    <t>Estado: Cancelado; Vendedor: BananaInvestments; Envío repartido: 1.22 EUR</t>
  </si>
  <si>
    <t>AlexanderArson</t>
  </si>
  <si>
    <t>Estado: Cancelado; Vendedor: AlexanderArson; Envío repartido: 1.22 EUR</t>
  </si>
  <si>
    <t>Adammalti</t>
  </si>
  <si>
    <t>Estado: Recibido; Comprador: Adammalti; Envío repartido: 7.55 EUR</t>
  </si>
  <si>
    <t>Toones</t>
  </si>
  <si>
    <t>23.09.2024</t>
  </si>
  <si>
    <t>Estado: Enviado; Vendedor: Toones; Envío repartido: 7.45 EUR</t>
  </si>
  <si>
    <t>22.09.2024</t>
  </si>
  <si>
    <t>manutabu</t>
  </si>
  <si>
    <t>19.09.2024</t>
  </si>
  <si>
    <t>Estado: Enviado; Vendedor: manutabu; Envío repartido: 5.47 EUR</t>
  </si>
  <si>
    <t>emrmagic</t>
  </si>
  <si>
    <t>18.09.2024</t>
  </si>
  <si>
    <t>Estado: Pagado; Comprador: emrmagic; Envío repartido: 1.22 EUR</t>
  </si>
  <si>
    <t>shampe</t>
  </si>
  <si>
    <t>Estado: Enviado; Vendedor: shampe; Envío repartido: 5.47 EUR</t>
  </si>
  <si>
    <t>17.09.2024</t>
  </si>
  <si>
    <t>Estado: Enviado; Vendedor: rinconete8; Envío repartido: 5.47 EUR</t>
  </si>
  <si>
    <t>Ganuza94</t>
  </si>
  <si>
    <t>15.09.2024</t>
  </si>
  <si>
    <t>Estado: Enviado; Vendedor: Ganuza94; Envío repartido: 5.47 EUR</t>
  </si>
  <si>
    <t>Dbadiac</t>
  </si>
  <si>
    <t>14.09.2024</t>
  </si>
  <si>
    <t>Estado: Recibido; Comprador: Dbadiac; Envío repartido: 1.22 EUR</t>
  </si>
  <si>
    <t>IBARI</t>
  </si>
  <si>
    <t>13.09.2024</t>
  </si>
  <si>
    <t>Estado: Enviado; Vendedor: IBARI; Envío repartido: 1.22 EUR</t>
  </si>
  <si>
    <t>Wuzoy</t>
  </si>
  <si>
    <t>Estado: Enviado; Vendedor: Wuzoy; Envío repartido: 1.22 EUR</t>
  </si>
  <si>
    <t>TvdVe</t>
  </si>
  <si>
    <t>Estado: Cancelado; Vendedor: TvdVe; Envío repartido: 7.10 EUR</t>
  </si>
  <si>
    <t>sammet</t>
  </si>
  <si>
    <t>12.09.2024</t>
  </si>
  <si>
    <t>Estado: Enviado; Vendedor: sammet; Envío repartido: 1.22 EUR</t>
  </si>
  <si>
    <t>10.09.2024</t>
  </si>
  <si>
    <t>Estado: Cancelado; Vendedor: DISTRITOZERO-TOLOSA; Envío repartido: 1.22 EUR</t>
  </si>
  <si>
    <t>factoriadeljoc</t>
  </si>
  <si>
    <t>Estado: Cancelado; Vendedor: factoriadeljoc; Envío repartido: 1.22 EUR</t>
  </si>
  <si>
    <t>IkeanWarlord</t>
  </si>
  <si>
    <t>09.09.2024</t>
  </si>
  <si>
    <t>Estado: Enviado; Vendedor: IkeanWarlord; Envío repartido: 1.22 EUR</t>
  </si>
  <si>
    <t>Estado: Enviado; Vendedor: alvaroelda; Envío repartido: 1.22 EUR</t>
  </si>
  <si>
    <t>Enooc</t>
  </si>
  <si>
    <t>Estado: Enviado; Vendedor: Enooc; Envío repartido: 5.47 EUR</t>
  </si>
  <si>
    <t>BlueWorld</t>
  </si>
  <si>
    <t>Estado: Enviado; Vendedor: BlueWorld; Envío repartido: 1.22 EUR</t>
  </si>
  <si>
    <t>RUBENCASTRO24</t>
  </si>
  <si>
    <t>Estado: Enviado; Vendedor: RUBENCASTRO24; Envío repartido: 1.22 EUR</t>
  </si>
  <si>
    <t>Estado: Enviado; Vendedor: Teban; Envío repartido: 1.22 EUR</t>
  </si>
  <si>
    <t>Dgcolections</t>
  </si>
  <si>
    <t>Estado: Enviado; Vendedor: Dgcolections; Envío repartido: 1.22 EUR</t>
  </si>
  <si>
    <t>jcruzart</t>
  </si>
  <si>
    <t>08.09.2024</t>
  </si>
  <si>
    <t>Estado: Enviado; Vendedor: jcruzart; Envío repartido: 1.22 EUR</t>
  </si>
  <si>
    <t>Pabloino</t>
  </si>
  <si>
    <t>04.09.2024</t>
  </si>
  <si>
    <t>Estado: Recibido; Comprador: Pabloino; Envío repartido: 1.22 EUR</t>
  </si>
  <si>
    <t>Poskets500</t>
  </si>
  <si>
    <t>02.09.2024</t>
  </si>
  <si>
    <t>Estado: Recibido; Comprador: Poskets500; Envío repartido: 1.22 EUR</t>
  </si>
  <si>
    <t>EndorStore</t>
  </si>
  <si>
    <t>31.08.2024</t>
  </si>
  <si>
    <t>Estado: Recibido; Comprador: EndorStore; Envío repartido: 1.22 EUR</t>
  </si>
  <si>
    <t>Metalito</t>
  </si>
  <si>
    <t>Estado: Enviado; Vendedor: Metalito; Envío repartido: 5.47 EUR</t>
  </si>
  <si>
    <t>30.08.2024</t>
  </si>
  <si>
    <t>Estado: Cancelado; Vendedor: shampe; Envío repartido: 5.47 EUR</t>
  </si>
  <si>
    <t>Pattymtg</t>
  </si>
  <si>
    <t>Estado: Enviado; Vendedor: Pattymtg; Envío repartido: 6.95 EUR</t>
  </si>
  <si>
    <t>Ekran</t>
  </si>
  <si>
    <t>Estado: Enviado; Vendedor: Ekran; Envío repartido: 1.22 EUR</t>
  </si>
  <si>
    <t>Arjere1</t>
  </si>
  <si>
    <t>Estado: Enviado; Vendedor: Arjere1; Envío repartido: 1.22 EUR</t>
  </si>
  <si>
    <t>Estado: Enviado; Vendedor: Alexander1907; Envío repartido: 1.22 EUR</t>
  </si>
  <si>
    <t>Banin</t>
  </si>
  <si>
    <t>Estado: Enviado; Vendedor: Banin; Envío repartido: 1.22 EUR</t>
  </si>
  <si>
    <t>Estado: Enviado; Vendedor: willybizarre; Envío repartido: 5.47 EUR</t>
  </si>
  <si>
    <t>randalthor</t>
  </si>
  <si>
    <t>Estado: Enviado; Vendedor: randalthor; Envío repartido: 1.22 EUR</t>
  </si>
  <si>
    <t>juan-arcos</t>
  </si>
  <si>
    <t>Estado: Enviado; Vendedor: juan-arcos; Envío repartido: 1.22 EUR</t>
  </si>
  <si>
    <t>28.08.2024</t>
  </si>
  <si>
    <t>JuzamGames</t>
  </si>
  <si>
    <t>Estado: Enviado; Vendedor: JuzamGames; Envío repartido: 1.22 EUR</t>
  </si>
  <si>
    <t>Husacer</t>
  </si>
  <si>
    <t>Estado: Recibido; Comprador: Husacer; Envío repartido: 1.22 EUR</t>
  </si>
  <si>
    <t>esboards1</t>
  </si>
  <si>
    <t>Estado: Recibido; Comprador: esboards1; Envío repartido: 1.22 EUR</t>
  </si>
  <si>
    <t>xiterpepeferrone</t>
  </si>
  <si>
    <t>Estado: Recibido; Comprador: xiterpepeferrone; Envío repartido: 2.30 EUR</t>
  </si>
  <si>
    <t>26.08.2024</t>
  </si>
  <si>
    <t>Jcasado10</t>
  </si>
  <si>
    <t>Estado: Enviado; Vendedor: Jcasado10; Envío repartido: 5.47 EUR</t>
  </si>
  <si>
    <t>Nazgul-TCG</t>
  </si>
  <si>
    <t>Estado: Enviado; Vendedor: Nazgul-TCG; Envío repartido: 5.47 EUR</t>
  </si>
  <si>
    <t>EduyDilan</t>
  </si>
  <si>
    <t>Estado: Cancelado; Comprador: EduyDilan; Envío repartido: 1.22 EUR</t>
  </si>
  <si>
    <t>xXxMoRFeOxXx</t>
  </si>
  <si>
    <t>Estado: Recibido; Comprador: xXxMoRFeOxXx; Envío repartido: 1.22 EUR</t>
  </si>
  <si>
    <t>23.08.2024</t>
  </si>
  <si>
    <t>Justrytodoit</t>
  </si>
  <si>
    <t>Estado: Enviado; Vendedor: Justrytodoit; Envío repartido: 1.22 EUR</t>
  </si>
  <si>
    <t>Estado: Enviado; Vendedor: XeNonWoN; Envío repartido: 5.47 EUR</t>
  </si>
  <si>
    <t>Estado: Enviado; Vendedor: DRAGONCT; Envío repartido: 1.22 EUR</t>
  </si>
  <si>
    <t>Estado: Enviado; Vendedor: ruicasasnovas; Envío repartido: 2.80 EUR</t>
  </si>
  <si>
    <t>JK-Entertainment</t>
  </si>
  <si>
    <t>Estado: Enviado; Vendedor: JK-Entertainment; Envío repartido: 5.70 EUR</t>
  </si>
  <si>
    <t>22.08.2024</t>
  </si>
  <si>
    <t>19.08.2024</t>
  </si>
  <si>
    <t>Trumanuwu</t>
  </si>
  <si>
    <t>18.08.2024</t>
  </si>
  <si>
    <t>Estado: Recibido; Comprador: Trumanuwu; Envío repartido: 1.22 EUR</t>
  </si>
  <si>
    <t>ReneX-MTG</t>
  </si>
  <si>
    <t>16.08.2024</t>
  </si>
  <si>
    <t>Estado: Enviado; Vendedor: ReneX-MTG; Envío repartido: 5.47 EUR</t>
  </si>
  <si>
    <t>MagusDoVinhedo</t>
  </si>
  <si>
    <t>Estado: Recibido; Comprador: MagusDoVinhedo; Envío repartido: 2.30 EUR</t>
  </si>
  <si>
    <t>15.08.2024</t>
  </si>
  <si>
    <t>Estado: Enviado; Vendedor: barrocus; Envío repartido: 1.22 EUR</t>
  </si>
  <si>
    <t>pasakagames</t>
  </si>
  <si>
    <t>13.08.2024</t>
  </si>
  <si>
    <t>Estado: Recibido; Comprador: pasakagames; Envío repartido: 1.22 EUR</t>
  </si>
  <si>
    <t>alberdela3</t>
  </si>
  <si>
    <t>12.08.2024</t>
  </si>
  <si>
    <t>Estado: Recibido; Comprador: alberdela3; Envío repartido: 5.47 EUR</t>
  </si>
  <si>
    <t>Kotla3</t>
  </si>
  <si>
    <t>Estado: Recibido; Comprador: Kotla3; Envío repartido: 5.47 EUR</t>
  </si>
  <si>
    <t>Ladyangie</t>
  </si>
  <si>
    <t>08.08.2024</t>
  </si>
  <si>
    <t>Estado: Recibido; Comprador: Ladyangie; Envío repartido: 2.30 EUR</t>
  </si>
  <si>
    <t>efyoj</t>
  </si>
  <si>
    <t>07.08.2024</t>
  </si>
  <si>
    <t>Estado: Enviado; Vendedor: efyoj; Envío repartido: 1.22 EUR</t>
  </si>
  <si>
    <t>Estado: Enviado; Vendedor: Minitole; Envío repartido: 5.47 EUR</t>
  </si>
  <si>
    <t>MrDiamond13</t>
  </si>
  <si>
    <t>05.08.2024</t>
  </si>
  <si>
    <t>Estado: Enviado; Vendedor: MrDiamond13; Envío repartido: 1.22 EUR</t>
  </si>
  <si>
    <t>Estado: Recibido; Comprador: MrDylan83; Envío repartido: 1.22 EUR</t>
  </si>
  <si>
    <t>04.08.2024</t>
  </si>
  <si>
    <t>Estado: Cancelado; Vendedor: TEMPEST-STORE; Envío repartido: 1.22 EUR</t>
  </si>
  <si>
    <t>01.08.2024</t>
  </si>
  <si>
    <t>MtgUniverse</t>
  </si>
  <si>
    <t>30.07.2024</t>
  </si>
  <si>
    <t>Estado: Cancelado; Comprador: MtgUniverse; Envío repartido: 1.22 EUR</t>
  </si>
  <si>
    <t>Estado: Recibido; Comprador: MtgUniverse; Envío repartido: 1.22 EUR</t>
  </si>
  <si>
    <t>122drown</t>
  </si>
  <si>
    <t>Estado: Recibido; Comprador: 122drown; Envío repartido: 1.22 EUR</t>
  </si>
  <si>
    <t>sollek</t>
  </si>
  <si>
    <t>Estado: Enviado; Vendedor: sollek; Envío repartido: 1.22 EUR</t>
  </si>
  <si>
    <t>mipocopocoyo</t>
  </si>
  <si>
    <t>29.07.2024</t>
  </si>
  <si>
    <t>Estado: Enviado; Vendedor: mipocopocoyo; Envío repartido: 1.22 EUR</t>
  </si>
  <si>
    <t>AlbertoCGP</t>
  </si>
  <si>
    <t>Estado: Enviado; Vendedor: AlbertoCGP; Envío repartido: 1.22 EUR</t>
  </si>
  <si>
    <t>Estado: Enviado; Vendedor: Dominaria; Envío repartido: 5.47 EUR</t>
  </si>
  <si>
    <t>Bocataconchorizo</t>
  </si>
  <si>
    <t>28.07.2024</t>
  </si>
  <si>
    <t>Estado: Recibido; Comprador: Bocataconchorizo; Envío repartido: 1.22 EUR</t>
  </si>
  <si>
    <t>Weatherlight</t>
  </si>
  <si>
    <t>Estado: Pagado; Comprador: Weatherlight; Envío repartido: 1.22 EUR</t>
  </si>
  <si>
    <t>Penesaurio</t>
  </si>
  <si>
    <t>Estado: Recibido; Comprador: Penesaurio; Envío repartido: 1.22 EUR</t>
  </si>
  <si>
    <t>Seemee</t>
  </si>
  <si>
    <t>26.07.2024</t>
  </si>
  <si>
    <t>Estado: Recibido; Comprador: Seemee; Envío repartido: 2.30 EUR</t>
  </si>
  <si>
    <t>Tastingo</t>
  </si>
  <si>
    <t>24.07.2024</t>
  </si>
  <si>
    <t>Estado: Enviado; Vendedor: Tastingo; Envío repartido: 1.22 EUR</t>
  </si>
  <si>
    <t>maverick</t>
  </si>
  <si>
    <t>Estado: Cancelado; Vendedor: maverick; Envío repartido: 5.47 EUR</t>
  </si>
  <si>
    <t>saiman14</t>
  </si>
  <si>
    <t>23.07.2024</t>
  </si>
  <si>
    <t>Estado: Recibido; Comprador: saiman14; Envío repartido: 2.30 EUR</t>
  </si>
  <si>
    <t>Ommega96</t>
  </si>
  <si>
    <t>Estado: Recibido; Comprador: Ommega96; Envío repartido: 2.30 EUR</t>
  </si>
  <si>
    <t>Ferkan</t>
  </si>
  <si>
    <t>Estado: Enviado; Vendedor: Ferkan; Envío repartido: 1.22 EUR</t>
  </si>
  <si>
    <t>Guzii08</t>
  </si>
  <si>
    <t>22.07.2024</t>
  </si>
  <si>
    <t>Estado: Recibido; Comprador: Guzii08; Envío repartido: 2.30 EUR</t>
  </si>
  <si>
    <t>21.07.2024</t>
  </si>
  <si>
    <t>hotcoffeegg</t>
  </si>
  <si>
    <t>Estado: Recibido; Comprador: hotcoffeegg; Envío repartido: 5.47 EUR</t>
  </si>
  <si>
    <t>cartonpeleontcg</t>
  </si>
  <si>
    <t>Estado: Enviado; Vendedor: cartonpeleontcg; Envío repartido: 1.22 EUR</t>
  </si>
  <si>
    <t>seryou</t>
  </si>
  <si>
    <t>20.07.2024</t>
  </si>
  <si>
    <t>Estado: Recibido; Comprador: seryou; Envío repartido: 1.22 EUR</t>
  </si>
  <si>
    <t>Santilands</t>
  </si>
  <si>
    <t>19.07.2024</t>
  </si>
  <si>
    <t>Estado: Recibido; Comprador: Santilands; Envío repartido: 5.47 EUR</t>
  </si>
  <si>
    <t>18.07.2024</t>
  </si>
  <si>
    <t>Xavoe</t>
  </si>
  <si>
    <t>Estado: Recibido; Comprador: Xavoe; Envío repartido: 2.30 EUR</t>
  </si>
  <si>
    <t>AceMagicDealer</t>
  </si>
  <si>
    <t>17.07.2024</t>
  </si>
  <si>
    <t>Estado: Enviado; Vendedor: AceMagicDealer; Envío repartido: 1.22 EUR</t>
  </si>
  <si>
    <t>Shynixx</t>
  </si>
  <si>
    <t>Estado: Recibido; Comprador: Shynixx; Envío repartido: 2.30 EUR</t>
  </si>
  <si>
    <t>Estado: Enviado; Vendedor: Terantino028; Envío repartido: 1.22 EUR</t>
  </si>
  <si>
    <t>Sppion</t>
  </si>
  <si>
    <t>Estado: Recibido; Comprador: Sppion; Envío repartido: 1.22 EUR</t>
  </si>
  <si>
    <t>Chatarra112</t>
  </si>
  <si>
    <t>16.07.2024</t>
  </si>
  <si>
    <t>Estado: Recibido; Comprador: Chatarra112; Envío repartido: 1.22 EUR</t>
  </si>
  <si>
    <t>Fntik</t>
  </si>
  <si>
    <t>Estado: Recibido; Comprador: Fntik; Envío repartido: 2.30 EUR</t>
  </si>
  <si>
    <t>Vientodelnorte</t>
  </si>
  <si>
    <t>Estado: Cancelado; Vendedor: Vientodelnorte; Envío repartido: 53.45 EUR</t>
  </si>
  <si>
    <t>ThreeForOne-AT</t>
  </si>
  <si>
    <t>Estado: Enviado; Vendedor: ThreeForOne-AT; Envío repartido: 5.00 EUR</t>
  </si>
  <si>
    <t>Kaheg</t>
  </si>
  <si>
    <t>Estado: Cancelado; Vendedor: Kaheg; Envío repartido: 5.47 EUR</t>
  </si>
  <si>
    <t>thechemis</t>
  </si>
  <si>
    <t>Estado: Cancelado; Vendedor: thechemis; Envío repartido: 5.47 EUR</t>
  </si>
  <si>
    <t>Khaizer12</t>
  </si>
  <si>
    <t>Estado: Recibido; Comprador: Khaizer12; Envío repartido: 1.22 EUR</t>
  </si>
  <si>
    <t>Bunyulet</t>
  </si>
  <si>
    <t>15.07.2024</t>
  </si>
  <si>
    <t>Estado: Enviado; Vendedor: Bunyulet; Envío repartido: 1.22 EUR</t>
  </si>
  <si>
    <t>Doram</t>
  </si>
  <si>
    <t>14.07.2024</t>
  </si>
  <si>
    <t>Estado: Recibido; Comprador: Doram; Envío repartido: 1.22 EUR</t>
  </si>
  <si>
    <t>De-mons1997</t>
  </si>
  <si>
    <t>Estado: Recibido; Comprador: De-mons1997; Envío repartido: 7.30 EUR</t>
  </si>
  <si>
    <t>Jesval</t>
  </si>
  <si>
    <t>Estado: Recibido; Comprador: Jesval; Envío repartido: 5.47 EUR</t>
  </si>
  <si>
    <t>11.07.2024</t>
  </si>
  <si>
    <t>Estado: Recibido; Comprador: danicsb; Envío repartido: 1.22 EUR</t>
  </si>
  <si>
    <t>juerguero</t>
  </si>
  <si>
    <t>Estado: Cancelado; Comprador: juerguero; Envío repartido: 1.22 EUR</t>
  </si>
  <si>
    <t>YuriChumbo</t>
  </si>
  <si>
    <t>10.07.2024</t>
  </si>
  <si>
    <t>Estado: Recibido; Comprador: YuriChumbo; Envío repartido: 1.22 EUR</t>
  </si>
  <si>
    <t>unaii97</t>
  </si>
  <si>
    <t>Estado: Recibido; Comprador: unaii97; Envío repartido: 1.22 EUR</t>
  </si>
  <si>
    <t>Logicalangel666</t>
  </si>
  <si>
    <t>09.07.2024</t>
  </si>
  <si>
    <t>Estado: Recibido; Comprador: Logicalangel666; Envío repartido: 1.22 EUR</t>
  </si>
  <si>
    <t>peligroso007</t>
  </si>
  <si>
    <t>Estado: Recibido; Comprador: peligroso007; Envío repartido: 1.22 EUR</t>
  </si>
  <si>
    <t>Estado: Recibido; Comprador: danicsb; Envío repartido: 5.47 EUR</t>
  </si>
  <si>
    <t>Knowny</t>
  </si>
  <si>
    <t>07.07.2024</t>
  </si>
  <si>
    <t>Estado: Recibido; Comprador: Knowny; Envío repartido: 5.47 EUR</t>
  </si>
  <si>
    <t>Estado: Enviado; Vendedor: Ventura-Games; Envío repartido: 5.75 EUR</t>
  </si>
  <si>
    <t>TheOldSchool</t>
  </si>
  <si>
    <t>Estado: Enviado; Vendedor: TheOldSchool; Envío repartido: 5.47 EUR</t>
  </si>
  <si>
    <t>Oyea2000Hacha</t>
  </si>
  <si>
    <t>06.07.2024</t>
  </si>
  <si>
    <t>Estado: Recibido; Comprador: Oyea2000Hacha; Envío repartido: 5.47 EUR</t>
  </si>
  <si>
    <t>05.07.2024</t>
  </si>
  <si>
    <t>Enoc</t>
  </si>
  <si>
    <t>Estado: Recibido; Comprador: Enoc; Envío repartido: 1.22 EUR</t>
  </si>
  <si>
    <t>04.07.2024</t>
  </si>
  <si>
    <t>Estado: Enviado; Vendedor: Devian-Magic-Cards; Envío repartido: 5.47 EUR</t>
  </si>
  <si>
    <t>MambaMTG</t>
  </si>
  <si>
    <t>Estado: Recibido; Comprador: MambaMTG; Envío repartido: 5.47 EUR</t>
  </si>
  <si>
    <t>joncerro</t>
  </si>
  <si>
    <t>Estado: Recibido; Comprador: joncerro; Envío repartido: 1.22 EUR</t>
  </si>
  <si>
    <t>LaBestiaHaVuelto</t>
  </si>
  <si>
    <t>Estado: Enviado; Vendedor: LaBestiaHaVuelto; Envío repartido: 2.80 EUR</t>
  </si>
  <si>
    <t>Inashio</t>
  </si>
  <si>
    <t>03.07.2024</t>
  </si>
  <si>
    <t>Estado: Enviado; Vendedor: Inashio; Envío repartido: 5.47 EUR</t>
  </si>
  <si>
    <t>TheGoe</t>
  </si>
  <si>
    <t>Estado: Recibido; Comprador: TheGoe; Envío repartido: 7.30 EUR</t>
  </si>
  <si>
    <t>GatoMojao</t>
  </si>
  <si>
    <t>Estado: Enviado; Vendedor: GatoMojao; Envío repartido: 1.22 EUR</t>
  </si>
  <si>
    <t>JOKO</t>
  </si>
  <si>
    <t>Estado: Enviado; Vendedor: JOKO; Envío repartido: 5.47 EUR</t>
  </si>
  <si>
    <t>WORKSHOP12</t>
  </si>
  <si>
    <t>02.07.2024</t>
  </si>
  <si>
    <t>Estado: Recibido; Comprador: WORKSHOP12; Envío repartido: 5.47 EUR</t>
  </si>
  <si>
    <t>Bloiz</t>
  </si>
  <si>
    <t>Estado: Recibido; Comprador: Bloiz; Envío repartido: 1.22 EUR</t>
  </si>
  <si>
    <t>rafa-1993-magic</t>
  </si>
  <si>
    <t>Estado: Recibido; Comprador: rafa-1993-magic; Envío repartido: 5.47 EUR</t>
  </si>
  <si>
    <t>Germanchuuu</t>
  </si>
  <si>
    <t>Estado: Recibido; Comprador: Germanchuuu; Envío repartido: 1.22 EUR</t>
  </si>
  <si>
    <t>SantiagoFernandez</t>
  </si>
  <si>
    <t>Estado: Recibido; Comprador: SantiagoFernandez; Envío repartido: 1.22 EUR</t>
  </si>
  <si>
    <t>Macufa</t>
  </si>
  <si>
    <t>Estado: Recibido; Comprador: Macufa; Envío repartido: 5.47 EUR</t>
  </si>
  <si>
    <t>01.07.2024</t>
  </si>
  <si>
    <t>Estado: Enviado; Vendedor: FREAK-CORP; Envío repartido: 1.22 EUR</t>
  </si>
  <si>
    <t>davolcu</t>
  </si>
  <si>
    <t>30.06.2024</t>
  </si>
  <si>
    <t>Estado: Recibido; Comprador: davolcu; Envío repartido: 5.47 EUR</t>
  </si>
  <si>
    <t>soy8bit</t>
  </si>
  <si>
    <t>Estado: Cancelado; Vendedor: soy8bit; Envío repartido: 1.22 EUR</t>
  </si>
  <si>
    <t>Estado: Recibido; Comprador: Metropolis-Center; Envío repartido: 5.47 EUR</t>
  </si>
  <si>
    <t>Manymony77</t>
  </si>
  <si>
    <t>Estado: Enviado; Vendedor: Manymony77; Envío repartido: 1.22 EUR</t>
  </si>
  <si>
    <t>Lauramagic</t>
  </si>
  <si>
    <t>Estado: Enviado; Vendedor: Lauramagic; Envío repartido: 5.47 EUR</t>
  </si>
  <si>
    <t>Aras76</t>
  </si>
  <si>
    <t>29.06.2024</t>
  </si>
  <si>
    <t>Estado: Recibido; Comprador: Aras76; Envío repartido: 1.22 EUR</t>
  </si>
  <si>
    <t>SaviourZero</t>
  </si>
  <si>
    <t>Estado: Recibido; Comprador: SaviourZero; Envío repartido: 1.22 EUR</t>
  </si>
  <si>
    <t>Silviaef94</t>
  </si>
  <si>
    <t>Estado: Enviado; Vendedor: Silviaef94; Envío repartido: 1.22 EUR</t>
  </si>
  <si>
    <t>Estado: Enviado; Vendedor: PERALTA; Envío repartido: 1.22 EUR</t>
  </si>
  <si>
    <t>ProZerG87</t>
  </si>
  <si>
    <t>28.06.2024</t>
  </si>
  <si>
    <t>Estado: Enviado; Vendedor: ProZerG87; Envío repartido: 1.22 EUR</t>
  </si>
  <si>
    <t>Raist0000</t>
  </si>
  <si>
    <t>27.06.2024</t>
  </si>
  <si>
    <t>Estado: Enviado; Vendedor: Raist0000; Envío repartido: 1.22 EUR</t>
  </si>
  <si>
    <t>Kbutops</t>
  </si>
  <si>
    <t>Estado: Enviado; Vendedor: Kbutops; Envío repartido: 1.22 EUR</t>
  </si>
  <si>
    <t>Estado: Enviado; Vendedor: Metropolis-Center; Envío repartido: 5.47 EUR</t>
  </si>
  <si>
    <t>Anytomato</t>
  </si>
  <si>
    <t>Estado: Enviado; Vendedor: Anytomato; Envío repartido: 1.22 EUR</t>
  </si>
  <si>
    <t>Estado: Enviado; Vendedor: mikiprat; Envío repartido: 1.22 EUR</t>
  </si>
  <si>
    <t>LuisLlana</t>
  </si>
  <si>
    <t>25.06.2024</t>
  </si>
  <si>
    <t>Estado: Pagado; Vendedor: LuisLlana; Envío repartido: 1.22 EUR</t>
  </si>
  <si>
    <t>Estado: Enviado; Vendedor: Moria05; Envío repartido: 5.47 EUR</t>
  </si>
  <si>
    <t>24.06.2024</t>
  </si>
  <si>
    <t>Estado: Enviado; Vendedor: Alzik; Envío repartido: 1.22 EUR</t>
  </si>
  <si>
    <t>Frikea</t>
  </si>
  <si>
    <t>Estado: Enviado; Vendedor: Frikea; Envío repartido: 1.22 EUR</t>
  </si>
  <si>
    <t>evilarroyo</t>
  </si>
  <si>
    <t>Estado: Enviado; Vendedor: evilarroyo; Envío repartido: 1.22 EUR</t>
  </si>
  <si>
    <t>DigimonNewStore</t>
  </si>
  <si>
    <t>Estado: Cancelado; Vendedor: DigimonNewStore; Envío repartido: 5.47 EUR</t>
  </si>
  <si>
    <t>Noeperez</t>
  </si>
  <si>
    <t>23.06.2024</t>
  </si>
  <si>
    <t>Estado: Recibido; Comprador: Noeperez; Envío repartido: 5.47 EUR</t>
  </si>
  <si>
    <t>Morenyn</t>
  </si>
  <si>
    <t>Estado: Recibido; Comprador: Morenyn; Envío repartido: 1.22 EUR</t>
  </si>
  <si>
    <t>RhinoCardGames</t>
  </si>
  <si>
    <t>20.06.2024</t>
  </si>
  <si>
    <t>Estado: Enviado; Vendedor: RhinoCardGames; Envío repartido: 1.22 EUR</t>
  </si>
  <si>
    <t>Adonathiel</t>
  </si>
  <si>
    <t>19.06.2024</t>
  </si>
  <si>
    <t>Estado: Recibido; Comprador: Adonathiel; Envío repartido: 1.22 EUR</t>
  </si>
  <si>
    <t>Moga3840</t>
  </si>
  <si>
    <t>18.06.2024</t>
  </si>
  <si>
    <t>Estado: Recibido; Comprador: Moga3840; Envío repartido: 1.22 EUR</t>
  </si>
  <si>
    <t>Krid41</t>
  </si>
  <si>
    <t>17.06.2024</t>
  </si>
  <si>
    <t>Estado: Enviado; Vendedor: Krid41; Envío repartido: 5.47 EUR</t>
  </si>
  <si>
    <t>Estado: Enviado; Vendedor: Levodin; Envío repartido: 1.22 EUR</t>
  </si>
  <si>
    <t>Guiropa</t>
  </si>
  <si>
    <t>Estado: Enviado; Vendedor: Guiropa; Envío repartido: 1.22 EUR</t>
  </si>
  <si>
    <t>Zabala27</t>
  </si>
  <si>
    <t>Estado: Recibido; Comprador: Zabala27; Envío repartido: 1.22 EUR</t>
  </si>
  <si>
    <t>16.06.2024</t>
  </si>
  <si>
    <t>Estado: Enviado; Vendedor: NeverlandMTG; Envío repartido: 5.47 EUR</t>
  </si>
  <si>
    <t>15.06.2024</t>
  </si>
  <si>
    <t>Estado: Enviado; Vendedor: Shark-Games; Envío repartido: 1.22 EUR</t>
  </si>
  <si>
    <t>Sorcith</t>
  </si>
  <si>
    <t>Estado: Enviado; Vendedor: Sorcith; Envío repartido: 1.22 EUR</t>
  </si>
  <si>
    <t>Lallanuratcg</t>
  </si>
  <si>
    <t>Estado: Enviado; Vendedor: Lallanuratcg; Envío repartido: 1.95 EUR</t>
  </si>
  <si>
    <t>Cachopito</t>
  </si>
  <si>
    <t>14.06.2024</t>
  </si>
  <si>
    <t>Estado: Recibido; Comprador: Cachopito; Envío repartido: 1.22 EUR</t>
  </si>
  <si>
    <t>N36r0</t>
  </si>
  <si>
    <t>13.06.2024</t>
  </si>
  <si>
    <t>Estado: Recibido; Comprador: N36r0; Envío repartido: 1.22 EUR</t>
  </si>
  <si>
    <t>eduardomtg</t>
  </si>
  <si>
    <t>Estado: Recibido; Comprador: eduardomtg; Envío repartido: 1.22 EUR</t>
  </si>
  <si>
    <t>jasladril</t>
  </si>
  <si>
    <t>Estado: Enviado; Vendedor: jasladril; Envío repartido: 5.47 EUR</t>
  </si>
  <si>
    <t>Animehousegr</t>
  </si>
  <si>
    <t>12.06.2024</t>
  </si>
  <si>
    <t>Estado: Enviado; Vendedor: Animehousegr; Envío repartido: 7.50 EUR</t>
  </si>
  <si>
    <t>Madiba</t>
  </si>
  <si>
    <t>Estado: Recibido; Comprador: Madiba; Envío repartido: 1.22 EUR</t>
  </si>
  <si>
    <t>Estado: Enviado; Vendedor: CityOfCards; Envío repartido: 1.22 EUR</t>
  </si>
  <si>
    <t>Estado: Enviado; Vendedor: Itaca; Envío repartido: 1.22 EUR</t>
  </si>
  <si>
    <t>CaranMTG</t>
  </si>
  <si>
    <t>Estado: Recibido; Comprador: CaranMTG; Envío repartido: 1.22 EUR</t>
  </si>
  <si>
    <t>11.06.2024</t>
  </si>
  <si>
    <t>Estado: Enviado; Vendedor: villa; Envío repartido: 1.22 EUR</t>
  </si>
  <si>
    <t>rou-g</t>
  </si>
  <si>
    <t>Estado: Cancelado; Vendedor: rou-g; Envío repartido: 1.22 EUR</t>
  </si>
  <si>
    <t>Maphys</t>
  </si>
  <si>
    <t>Estado: Recibido; Comprador: Maphys; Envío repartido: 5.47 EUR</t>
  </si>
  <si>
    <t>Estado: Enviado; Vendedor: ManaVortex-POOL4YOU; Envío repartido: 5.45 EUR</t>
  </si>
  <si>
    <t>10.06.2024</t>
  </si>
  <si>
    <t>MfosasG</t>
  </si>
  <si>
    <t>09.06.2024</t>
  </si>
  <si>
    <t>Estado: Recibido; Comprador: MfosasG; Envío repartido: 1.22 EUR</t>
  </si>
  <si>
    <t>Estado: Enviado; Vendedor: TiendaMulligan; Envío repartido: 1.22 EUR</t>
  </si>
  <si>
    <t>Estado: Enviado; Vendedor: StrangerMurcia; Envío repartido: 1.22 EUR</t>
  </si>
  <si>
    <t>tejecar16</t>
  </si>
  <si>
    <t>Estado: Enviado; Vendedor: tejecar16; Envío repartido: 1.22 EUR</t>
  </si>
  <si>
    <t>Estado: Enviado; Vendedor: Devian-Magic-Cards; Envío repartido: 1.22 EUR</t>
  </si>
  <si>
    <t>Vegas09</t>
  </si>
  <si>
    <t>Estado: Recibido; Comprador: Vegas09; Envío repartido: 1.22 EUR</t>
  </si>
  <si>
    <t>Goat-enterprise</t>
  </si>
  <si>
    <t>08.06.2024</t>
  </si>
  <si>
    <t>Estado: Enviado; Vendedor: Goat-enterprise; Envío repartido: 6.40 EUR</t>
  </si>
  <si>
    <t>Kruchenco</t>
  </si>
  <si>
    <t>Estado: Enviado; Vendedor: Kruchenco; Envío repartido: 5.47 EUR</t>
  </si>
  <si>
    <t>Chesarina</t>
  </si>
  <si>
    <t>07.06.2024</t>
  </si>
  <si>
    <t>Estado: Enviado; Vendedor: Chesarina; Envío repartido: 5.47 EUR</t>
  </si>
  <si>
    <t>AtheneasHobby</t>
  </si>
  <si>
    <t>06.06.2024</t>
  </si>
  <si>
    <t>Estado: Enviado; Vendedor: AtheneasHobby; Envío repartido: 4.90 EUR</t>
  </si>
  <si>
    <t>Pablo10</t>
  </si>
  <si>
    <t>Estado: Enviado; Vendedor: Pablo10; Envío repartido: 1.22 EUR</t>
  </si>
  <si>
    <t>djtembe</t>
  </si>
  <si>
    <t>Estado: Recibido; Comprador: djtembe; Envío repartido: 1.22 EUR</t>
  </si>
  <si>
    <t>HaruKaeru</t>
  </si>
  <si>
    <t>Estado: Recibido; Comprador: HaruKaeru; Envío repartido: 1.22 EUR</t>
  </si>
  <si>
    <t>Psiakowy</t>
  </si>
  <si>
    <t>05.06.2024</t>
  </si>
  <si>
    <t>Estado: Enviado; Vendedor: Psiakowy; Envío repartido: 6.08 EUR</t>
  </si>
  <si>
    <t>04.06.2024</t>
  </si>
  <si>
    <t>Estado: Enviado; Vendedor: MISHRAFACTORY; Envío repartido: 1.22 EUR</t>
  </si>
  <si>
    <t>Estado: Enviado; Vendedor: CarlosMMD85; Envío repartido: 1.22 EUR</t>
  </si>
  <si>
    <t>Amras3</t>
  </si>
  <si>
    <t>03.06.2024</t>
  </si>
  <si>
    <t>Estado: Recibido; Comprador: Amras3; Envío repartido: 5.47 EUR</t>
  </si>
  <si>
    <t>MLBRookie</t>
  </si>
  <si>
    <t>02.06.2024</t>
  </si>
  <si>
    <t>Estado: Recibido; Comprador: MLBRookie; Envío repartido: 2.30 EUR</t>
  </si>
  <si>
    <t>31.05.2024</t>
  </si>
  <si>
    <t>BornGeek</t>
  </si>
  <si>
    <t>Estado: Enviado; Vendedor: BornGeek; Envío repartido: 1.22 EUR</t>
  </si>
  <si>
    <t>One Piece</t>
  </si>
  <si>
    <t>moloney</t>
  </si>
  <si>
    <t>30.05.2024</t>
  </si>
  <si>
    <t>Estado: Recibido; Comprador: moloney; Envío repartido: 2.30 EUR</t>
  </si>
  <si>
    <t>xchema</t>
  </si>
  <si>
    <t>Estado: Enviado; Vendedor: xchema; Envío repartido: 5.47 EUR</t>
  </si>
  <si>
    <t>abelvillalonga</t>
  </si>
  <si>
    <t>Estado: Enviado; Vendedor: abelvillalonga; Envío repartido: 5.47 EUR</t>
  </si>
  <si>
    <t>LucasHobbes</t>
  </si>
  <si>
    <t>29.05.2024</t>
  </si>
  <si>
    <t>Estado: Recibido; Comprador: LucasHobbes; Envío repartido: 1.22 EUR</t>
  </si>
  <si>
    <t>28.05.2024</t>
  </si>
  <si>
    <t>Estado: Cancelado; Vendedor: Mazvigosl; Envío repartido: 1.22 EUR</t>
  </si>
  <si>
    <t>Dario-malaga</t>
  </si>
  <si>
    <t>Estado: Enviado; Vendedor: Dario-malaga; Envío repartido: 1.22 EUR</t>
  </si>
  <si>
    <t>AlbertoZeraus</t>
  </si>
  <si>
    <t>27.05.2024</t>
  </si>
  <si>
    <t>Estado: Recibido; Comprador: AlbertoZeraus; Envío repartido: 1.22 EUR</t>
  </si>
  <si>
    <t>Seaborne</t>
  </si>
  <si>
    <t>25.05.2024</t>
  </si>
  <si>
    <t>Estado: Recibido; Comprador: Seaborne; Envío repartido: 2.30 EUR</t>
  </si>
  <si>
    <t>Shifteris</t>
  </si>
  <si>
    <t>Estado: Recibido; Comprador: Shifteris; Envío repartido: 2.30 EUR</t>
  </si>
  <si>
    <t>VictorChuappe</t>
  </si>
  <si>
    <t>24.05.2024</t>
  </si>
  <si>
    <t>Estado: Recibido; Comprador: VictorChuappe; Envío repartido: 1.22 EUR</t>
  </si>
  <si>
    <t>Lilo23</t>
  </si>
  <si>
    <t>20.05.2024</t>
  </si>
  <si>
    <t>Estado: Recibido; Comprador: Lilo23; Envío repartido: 1.22 EUR</t>
  </si>
  <si>
    <t>Estado: Enviado; Vendedor: TRBstore; Envío repartido: 1.22 EUR</t>
  </si>
  <si>
    <t>Freddydokkan</t>
  </si>
  <si>
    <t>19.05.2024</t>
  </si>
  <si>
    <t>Estado: Enviado; Vendedor: Freddydokkan; Envío repartido: 5.47 EUR</t>
  </si>
  <si>
    <t>MrColos</t>
  </si>
  <si>
    <t>18.05.2024</t>
  </si>
  <si>
    <t>Estado: Recibido; Comprador: MrColos; Envío repartido: 1.22 EUR</t>
  </si>
  <si>
    <t>nicco013</t>
  </si>
  <si>
    <t>Estado: Recibido; Comprador: nicco013; Envío repartido: 1.22 EUR</t>
  </si>
  <si>
    <t>17.05.2024</t>
  </si>
  <si>
    <t>TheWolverine</t>
  </si>
  <si>
    <t>Estado: Enviado; Vendedor: TheWolverine; Envío repartido: 5.47 EUR</t>
  </si>
  <si>
    <t>Eikki</t>
  </si>
  <si>
    <t>Estado: Enviado; Vendedor: Eikki; Envío repartido: 5.47 EUR</t>
  </si>
  <si>
    <t>Toniusku</t>
  </si>
  <si>
    <t>Estado: Enviado; Vendedor: Toniusku; Envío repartido: 5.47 EUR</t>
  </si>
  <si>
    <t>fullCardGame</t>
  </si>
  <si>
    <t>Estado: Enviado; Vendedor: fullCardGame; Envío repartido: 5.47 EUR</t>
  </si>
  <si>
    <t>Hugus7</t>
  </si>
  <si>
    <t>Estado: Enviado; Vendedor: Hugus7; Envío repartido: 5.47 EUR</t>
  </si>
  <si>
    <t>Rosino13</t>
  </si>
  <si>
    <t>Estado: Recibido; Comprador: Rosino13; Envío repartido: 1.95 EUR</t>
  </si>
  <si>
    <t>TallerDeSisay</t>
  </si>
  <si>
    <t>16.05.2024</t>
  </si>
  <si>
    <t>Estado: Enviado; Vendedor: TallerDeSisay; Envío repartido: 1.22 EUR</t>
  </si>
  <si>
    <t>MAGICPLANET</t>
  </si>
  <si>
    <t>Estado: Enviado; Vendedor: MAGICPLANET; Envío repartido: 3.90 EUR</t>
  </si>
  <si>
    <t>Estado: Enviado; Vendedor: punipwni; Envío repartido: 1.22 EUR</t>
  </si>
  <si>
    <t>eres</t>
  </si>
  <si>
    <t>Estado: Enviado; Vendedor: eres; Envío repartido: 1.22 EUR</t>
  </si>
  <si>
    <t>FigureSevilla</t>
  </si>
  <si>
    <t>14.05.2024</t>
  </si>
  <si>
    <t>Estado: Recibido; Comprador: FigureSevilla; Envío repartido: 1.22 EUR</t>
  </si>
  <si>
    <t>Estado: Cancelado; Vendedor: Itaca; Envío repartido: 1.22 EUR</t>
  </si>
  <si>
    <t>Kalashju</t>
  </si>
  <si>
    <t>13.05.2024</t>
  </si>
  <si>
    <t>Estado: Recibido; Comprador: Kalashju; Envío repartido: 5.47 EUR</t>
  </si>
  <si>
    <t>FranMagic19</t>
  </si>
  <si>
    <t>Estado: Cancelado; Comprador: FranMagic19; Envío repartido: 5.47 EUR</t>
  </si>
  <si>
    <t>Naidel84</t>
  </si>
  <si>
    <t>12.05.2024</t>
  </si>
  <si>
    <t>Estado: Recibido; Comprador: Naidel84; Envío repartido: 5.47 EUR</t>
  </si>
  <si>
    <t>TRADER-Online</t>
  </si>
  <si>
    <t>Estado: Enviado; Vendedor: TRADER-Online; Envío repartido: 1.40 EUR</t>
  </si>
  <si>
    <t>fichescu</t>
  </si>
  <si>
    <t>11.05.2024</t>
  </si>
  <si>
    <t>Estado: Enviado; Vendedor: fichescu; Envío repartido: 1.22 EUR</t>
  </si>
  <si>
    <t>Rizing</t>
  </si>
  <si>
    <t>Estado: Enviado; Vendedor: Rizing; Envío repartido: 2.26 EUR</t>
  </si>
  <si>
    <t>Gaabriel1903</t>
  </si>
  <si>
    <t>Estado: Recibido; Comprador: Gaabriel1903; Envío repartido: 1.22 EUR</t>
  </si>
  <si>
    <t>Estado: Enviado; Vendedor: Random-player; Envío repartido: 1.22 EUR</t>
  </si>
  <si>
    <t>ShinjiTron</t>
  </si>
  <si>
    <t>Estado: Enviado; Vendedor: ShinjiTron; Envío repartido: 1.22 EUR</t>
  </si>
  <si>
    <t>magictuga</t>
  </si>
  <si>
    <t>10.05.2024</t>
  </si>
  <si>
    <t>Estado: Enviado; Vendedor: magictuga; Envío repartido: 2.80 EUR</t>
  </si>
  <si>
    <t>elyety</t>
  </si>
  <si>
    <t>Estado: Recibido; Comprador: elyety; Envío repartido: 1.22 EUR</t>
  </si>
  <si>
    <t>09.05.2024</t>
  </si>
  <si>
    <t>Scopefusion</t>
  </si>
  <si>
    <t>08.05.2024</t>
  </si>
  <si>
    <t>Estado: Recibido; Comprador: Scopefusion; Envío repartido: 1.22 EUR</t>
  </si>
  <si>
    <t>shobitsu</t>
  </si>
  <si>
    <t>Estado: Recibido; Comprador: shobitsu; Envío repartido: 1.22 EUR</t>
  </si>
  <si>
    <t>Cardexchange</t>
  </si>
  <si>
    <t>Estado: Recibido; Comprador: Cardexchange; Envío repartido: 2.30 EUR</t>
  </si>
  <si>
    <t>Carbitis</t>
  </si>
  <si>
    <t>06.05.2024</t>
  </si>
  <si>
    <t>Estado: Recibido; Comprador: Carbitis; Envío repartido: 1.22 EUR</t>
  </si>
  <si>
    <t>Gaben91</t>
  </si>
  <si>
    <t>Estado: Recibido; Comprador: Gaben91; Envío repartido: 1.22 EUR</t>
  </si>
  <si>
    <t>Beachead</t>
  </si>
  <si>
    <t>05.05.2024</t>
  </si>
  <si>
    <t>Estado: Recibido; Comprador: Beachead; Envío repartido: 1.22 EUR</t>
  </si>
  <si>
    <t>04.05.2024</t>
  </si>
  <si>
    <t>Estado: Cancelado; Vendedor: Metropolis-Center; Envío repartido: 5.47 EUR</t>
  </si>
  <si>
    <t>02.05.2024</t>
  </si>
  <si>
    <t>JUANINO123</t>
  </si>
  <si>
    <t>Estado: Enviado; Vendedor: JUANINO123; Envío repartido: 1.22 EUR</t>
  </si>
  <si>
    <t>MasterTCG</t>
  </si>
  <si>
    <t>Estado: Enviado; Vendedor: MasterTCG; Envío repartido: 1.22 EUR</t>
  </si>
  <si>
    <t>WA-20240501-03</t>
  </si>
  <si>
    <t>Pascual Premodern</t>
  </si>
  <si>
    <t>01.05.2024</t>
  </si>
  <si>
    <t>WA-20240501-02</t>
  </si>
  <si>
    <t>Nicolas Premodern</t>
  </si>
  <si>
    <t>WA-20240501-01</t>
  </si>
  <si>
    <t>Juan Premodern</t>
  </si>
  <si>
    <t>McBozzo</t>
  </si>
  <si>
    <t>Estado: Recibido; Comprador: McBozzo; Envío repartido: 2.30 EUR</t>
  </si>
  <si>
    <t>flashboys</t>
  </si>
  <si>
    <t>Estado: Enviado; Vendedor: flashboys; Envío repartido: 1.50 EUR</t>
  </si>
  <si>
    <t>InfiniteMagicCZ</t>
  </si>
  <si>
    <t>Estado: Enviado; Vendedor: InfiniteMagicCZ; Envío repartido: 2.05 EUR</t>
  </si>
  <si>
    <t>Maese-Shekelman</t>
  </si>
  <si>
    <t>28.04.2024</t>
  </si>
  <si>
    <t>Estado: Enviado; Vendedor: Maese-Shekelman; Envío repartido: 1.22 EUR</t>
  </si>
  <si>
    <t>leongfire</t>
  </si>
  <si>
    <t>Estado: Enviado; Vendedor: leongfire; Envío repartido: 1.22 EUR</t>
  </si>
  <si>
    <t>lolesperez</t>
  </si>
  <si>
    <t>Estado: Enviado; Vendedor: lolesperez; Envío repartido: 1.22 EUR</t>
  </si>
  <si>
    <t>o0pyros0o</t>
  </si>
  <si>
    <t>Estado: Enviado; Vendedor: o0pyros0o; Envío repartido: 1.22 EUR</t>
  </si>
  <si>
    <t>Carrawer</t>
  </si>
  <si>
    <t>27.04.2024</t>
  </si>
  <si>
    <t>Estado: Recibido; Comprador: Carrawer; Envío repartido: 1.22 EUR</t>
  </si>
  <si>
    <t>Sena33</t>
  </si>
  <si>
    <t>Estado: Enviado; Vendedor: Sena33; Envío repartido: 5.47 EUR</t>
  </si>
  <si>
    <t>radicalsurf</t>
  </si>
  <si>
    <t>Estado: Enviado; Vendedor: radicalsurf; Envío repartido: 1.22 EUR</t>
  </si>
  <si>
    <t>Estado: Enviado; Vendedor: TesoroDragon; Envío repartido: 1.22 EUR</t>
  </si>
  <si>
    <t>callado</t>
  </si>
  <si>
    <t>Estado: Enviado; Vendedor: callado; Envío repartido: 1.22 EUR</t>
  </si>
  <si>
    <t>luminati</t>
  </si>
  <si>
    <t>26.04.2024</t>
  </si>
  <si>
    <t>Estado: Enviado; Vendedor: luminati; Envío repartido: 1.22 EUR</t>
  </si>
  <si>
    <t>25.04.2024</t>
  </si>
  <si>
    <t>Estado: Enviado; Vendedor: Arrokia; Envío repartido: 1.22 EUR</t>
  </si>
  <si>
    <t>Flayed1</t>
  </si>
  <si>
    <t>22.04.2024</t>
  </si>
  <si>
    <t>Estado: Recibido; Comprador: Flayed1; Envío repartido: 1.22 EUR</t>
  </si>
  <si>
    <t>20.04.2024</t>
  </si>
  <si>
    <t>Estado: Enviado; Vendedor: AtheneasHobby; Envío repartido: 1.95 EUR</t>
  </si>
  <si>
    <t>Meddy36</t>
  </si>
  <si>
    <t>Estado: Enviado; Vendedor: Meddy36; Envío repartido: 1.22 EUR</t>
  </si>
  <si>
    <t>Estado: Enviado; Vendedor: Metropolis-Center; Envío repartido: 1.22 EUR</t>
  </si>
  <si>
    <t>proglez1</t>
  </si>
  <si>
    <t>Estado: Enviado; Vendedor: proglez1; Envío repartido: 5.47 EUR</t>
  </si>
  <si>
    <t>Nygran</t>
  </si>
  <si>
    <t>19.04.2024</t>
  </si>
  <si>
    <t>Estado: Recibido; Comprador: Nygran; Envío repartido: 1.22 EUR</t>
  </si>
  <si>
    <t>17.04.2024</t>
  </si>
  <si>
    <t>Neixer87</t>
  </si>
  <si>
    <t>Estado: Enviado; Vendedor: Neixer87; Envío repartido: 1.22 EUR</t>
  </si>
  <si>
    <t>yavimayaelder23</t>
  </si>
  <si>
    <t>Estado: Enviado; Vendedor: yavimayaelder23; Envío repartido: 1.22 EUR</t>
  </si>
  <si>
    <t>Beatrice14mkm</t>
  </si>
  <si>
    <t>Estado: Enviado; Vendedor: Beatrice14mkm; Envío repartido: 2.80 EUR</t>
  </si>
  <si>
    <t>14.04.2024</t>
  </si>
  <si>
    <t>Estado: Enviado; Vendedor: marconi; Envío repartido: 1.22 EUR</t>
  </si>
  <si>
    <t>panterlucas</t>
  </si>
  <si>
    <t>Estado: Enviado; Vendedor: panterlucas; Envío repartido: 5.47 EUR</t>
  </si>
  <si>
    <t>Deathshadow22</t>
  </si>
  <si>
    <t>12.04.2024</t>
  </si>
  <si>
    <t>Estado: Enviado; Vendedor: Deathshadow22; Envío repartido: 5.47 EUR</t>
  </si>
  <si>
    <t>Aeon6</t>
  </si>
  <si>
    <t>11.04.2024</t>
  </si>
  <si>
    <t>Estado: Recibido; Comprador: Aeon6; Envío repartido: 1.22 EUR</t>
  </si>
  <si>
    <t>10.04.2024</t>
  </si>
  <si>
    <t>Estado: Enviado; Vendedor: sbz3r0; Envío repartido: 1.22 EUR</t>
  </si>
  <si>
    <t>Edicionlimitada</t>
  </si>
  <si>
    <t>Estado: Enviado; Vendedor: Edicionlimitada; Envío repartido: 1.22 EUR</t>
  </si>
  <si>
    <t>DrizztD0</t>
  </si>
  <si>
    <t>09.04.2024</t>
  </si>
  <si>
    <t>Estado: Enviado; Vendedor: DrizztD0; Envío repartido: 1.22 EUR</t>
  </si>
  <si>
    <t>Franky</t>
  </si>
  <si>
    <t>Estado: Enviado; Vendedor: Franky; Envío repartido: 1.22 EUR</t>
  </si>
  <si>
    <t>FactoryCards</t>
  </si>
  <si>
    <t>Estado: Enviado; Vendedor: FactoryCards; Envío repartido: 1.22 EUR</t>
  </si>
  <si>
    <t>Kaita</t>
  </si>
  <si>
    <t>04.04.2024</t>
  </si>
  <si>
    <t>Estado: Recibido; Comprador: Kaita; Envío repartido: 1.22 EUR</t>
  </si>
  <si>
    <t>lipplapp1</t>
  </si>
  <si>
    <t>03.04.2024</t>
  </si>
  <si>
    <t>Estado: Enviado; Vendedor: lipplapp1; Envío repartido: 1.40 EUR</t>
  </si>
  <si>
    <t>Prometeu82</t>
  </si>
  <si>
    <t>Estado: Recibido; Comprador: Prometeu82; Envío repartido: 1.22 EUR</t>
  </si>
  <si>
    <t>Xbas09</t>
  </si>
  <si>
    <t>02.04.2024</t>
  </si>
  <si>
    <t>Estado: Enviado; Vendedor: Xbas09; Envío repartido: 1.22 EUR</t>
  </si>
  <si>
    <t>satu21</t>
  </si>
  <si>
    <t>01.04.2024</t>
  </si>
  <si>
    <t>Estado: Enviado; Vendedor: satu21; Envío repartido: 1.22 EUR</t>
  </si>
  <si>
    <t>Corekid666</t>
  </si>
  <si>
    <t>Estado: Enviado; Vendedor: Corekid666; Envío repartido: 1.22 EUR</t>
  </si>
  <si>
    <t>31.03.2024</t>
  </si>
  <si>
    <t>Estado: Recibido; Comprador: RaulV; Envío repartido: 1.22 EUR</t>
  </si>
  <si>
    <t>30.03.2024</t>
  </si>
  <si>
    <t>Olivetti</t>
  </si>
  <si>
    <t>27.03.2024</t>
  </si>
  <si>
    <t>Estado: Enviado; Vendedor: Olivetti; Envío repartido: 1.22 EUR</t>
  </si>
  <si>
    <t>svydur</t>
  </si>
  <si>
    <t>Estado: Cancelado; Vendedor: svydur; Envío repartido: 1.22 EUR</t>
  </si>
  <si>
    <t>neruvian</t>
  </si>
  <si>
    <t>Estado: Enviado; Vendedor: neruvian; Envío repartido: 1.22 EUR</t>
  </si>
  <si>
    <t>Estado: Enviado; Vendedor: FranMTG666; Envío repartido: 1.22 EUR</t>
  </si>
  <si>
    <t>Estado: Enviado; Vendedor: JupiterMadridNorte; Envío repartido: 1.22 EUR</t>
  </si>
  <si>
    <t>Kumah</t>
  </si>
  <si>
    <t>Estado: Enviado; Vendedor: Kumah; Envío repartido: 1.22 EUR</t>
  </si>
  <si>
    <t>InReVeMTG</t>
  </si>
  <si>
    <t>Estado: Enviado; Vendedor: InReVeMTG; Envío repartido: 1.22 EUR</t>
  </si>
  <si>
    <t>SharkGamesAntequera</t>
  </si>
  <si>
    <t>Estado: Enviado; Vendedor: SharkGamesAntequera; Envío repartido: 1.22 EUR</t>
  </si>
  <si>
    <t>Onlycards</t>
  </si>
  <si>
    <t>Estado: Enviado; Vendedor: Onlycards; Envío repartido: 1.22 EUR</t>
  </si>
  <si>
    <t>Magic-Industria-61</t>
  </si>
  <si>
    <t>26.03.2024</t>
  </si>
  <si>
    <t>Estado: Recibido; Comprador: Magic-Industria-61; Envío repartido: 1.22 EUR</t>
  </si>
  <si>
    <t>MoxZinc</t>
  </si>
  <si>
    <t>25.03.2024</t>
  </si>
  <si>
    <t>Estado: Enviado; Vendedor: MoxZinc; Envío repartido: 5.47 EUR</t>
  </si>
  <si>
    <t>Estado: Enviado; Vendedor: sbz3r0; Envío repartido: 5.47 EUR</t>
  </si>
  <si>
    <t>Residentpana95</t>
  </si>
  <si>
    <t>24.03.2024</t>
  </si>
  <si>
    <t>Estado: Enviado; Vendedor: Residentpana95; Envío repartido: 5.47 EUR</t>
  </si>
  <si>
    <t>Estado: Enviado; Vendedor: Enoc; Envío repartido: 1.22 EUR</t>
  </si>
  <si>
    <t>inGenio</t>
  </si>
  <si>
    <t>23.03.2024</t>
  </si>
  <si>
    <t>Estado: Cancelado; Vendedor: inGenio; Envío repartido: 1.22 EUR</t>
  </si>
  <si>
    <t>Fraaann</t>
  </si>
  <si>
    <t>17.03.2024</t>
  </si>
  <si>
    <t>Estado: Recibido; Comprador: Fraaann; Envío repartido: 1.22 EUR</t>
  </si>
  <si>
    <t>Karn33</t>
  </si>
  <si>
    <t>Estado: Enviado; Vendedor: Karn33; Envío repartido: 14.05 EUR</t>
  </si>
  <si>
    <t>FrachLouz</t>
  </si>
  <si>
    <t>16.03.2024</t>
  </si>
  <si>
    <t>Estado: Recibido; Comprador: FrachLouz; Envío repartido: 1.22 EUR</t>
  </si>
  <si>
    <t>13.03.2024</t>
  </si>
  <si>
    <t>Estado: Recibido; Comprador: dannylarousso; Envío repartido: 1.22 EUR</t>
  </si>
  <si>
    <t>MagicVuk</t>
  </si>
  <si>
    <t>12.03.2024</t>
  </si>
  <si>
    <t>Estado: Enviado; Vendedor: MagicVuk; Envío repartido: 1.22 EUR</t>
  </si>
  <si>
    <t>zhinryu</t>
  </si>
  <si>
    <t>Estado: Recibido; Comprador: zhinryu; Envío repartido: 1.22 EUR</t>
  </si>
  <si>
    <t>ElRincondeMagic</t>
  </si>
  <si>
    <t>Estado: Enviado; Vendedor: ElRincondeMagic; Envío repartido: 1.22 EUR</t>
  </si>
  <si>
    <t>beetle56</t>
  </si>
  <si>
    <t>Estado: Enviado; Vendedor: beetle56; Envío repartido: 1.22 EUR</t>
  </si>
  <si>
    <t>faof26</t>
  </si>
  <si>
    <t>11.03.2024</t>
  </si>
  <si>
    <t>Estado: Recibido; Comprador: faof26; Envío repartido: 2.30 EUR</t>
  </si>
  <si>
    <t>Drizztlg</t>
  </si>
  <si>
    <t>10.03.2024</t>
  </si>
  <si>
    <t>Estado: Enviado; Vendedor: Drizztlg; Envío repartido: 1.22 EUR</t>
  </si>
  <si>
    <t>drkarys</t>
  </si>
  <si>
    <t>Estado: Enviado; Vendedor: drkarys; Envío repartido: 1.22 EUR</t>
  </si>
  <si>
    <t>09.03.2024</t>
  </si>
  <si>
    <t>MKMArby</t>
  </si>
  <si>
    <t>08.03.2024</t>
  </si>
  <si>
    <t>Estado: Recibido; Comprador: MKMArby; Envío repartido: 2.30 EUR</t>
  </si>
  <si>
    <t>Berseti</t>
  </si>
  <si>
    <t>07.03.2024</t>
  </si>
  <si>
    <t>Estado: Enviado; Vendedor: Berseti; Envío repartido: 5.47 EUR</t>
  </si>
  <si>
    <t>Misticoo</t>
  </si>
  <si>
    <t>01.03.2024</t>
  </si>
  <si>
    <t>Estado: Recibido; Comprador: Misticoo; Envío repartido: 1.22 EUR</t>
  </si>
  <si>
    <t>Skizo1312</t>
  </si>
  <si>
    <t>28.02.2024</t>
  </si>
  <si>
    <t>Estado: Recibido; Comprador: Skizo1312; Envío repartido: 1.22 EUR</t>
  </si>
  <si>
    <t>samuwiizas33</t>
  </si>
  <si>
    <t>Estado: Recibido; Comprador: samuwiizas33; Envío repartido: 1.22 EUR</t>
  </si>
  <si>
    <t>HstagReadox</t>
  </si>
  <si>
    <t>27.02.2024</t>
  </si>
  <si>
    <t>Estado: Cancelado; Comprador: HstagReadox; Envío repartido: 2.30 EUR</t>
  </si>
  <si>
    <t>Alix-Wiz-Art</t>
  </si>
  <si>
    <t>Estado: Cancelado; Vendedor: Alix-Wiz-Art; Envío repartido: 7.45 EUR</t>
  </si>
  <si>
    <t>MaxwellTC</t>
  </si>
  <si>
    <t>26.02.2024</t>
  </si>
  <si>
    <t>Estado: Enviado; Vendedor: MaxwellTC; Envío repartido: 1.22 EUR</t>
  </si>
  <si>
    <t>Frawks</t>
  </si>
  <si>
    <t>Estado: Enviado; Vendedor: Frawks; Envío repartido: 1.22 EUR</t>
  </si>
  <si>
    <t>mgl00</t>
  </si>
  <si>
    <t>Estado: Enviado; Vendedor: mgl00; Envío repartido: 1.22 EUR</t>
  </si>
  <si>
    <t>24.02.2024</t>
  </si>
  <si>
    <t>gnivor</t>
  </si>
  <si>
    <t>19.02.2024</t>
  </si>
  <si>
    <t>Estado: Recibido; Comprador: gnivor; Envío repartido: 5.47 EUR</t>
  </si>
  <si>
    <t>18.02.2024</t>
  </si>
  <si>
    <t>Estado: Recibido; Comprador: Beale; Envío repartido: 1.22 EUR</t>
  </si>
  <si>
    <t>kuerpo</t>
  </si>
  <si>
    <t>Estado: Recibido; Comprador: kuerpo; Envío repartido: 5.47 EUR</t>
  </si>
  <si>
    <t>Pingypongy</t>
  </si>
  <si>
    <t>17.02.2024</t>
  </si>
  <si>
    <t>Estado: Recibido; Comprador: Pingypongy; Envío repartido: 2.30 EUR</t>
  </si>
  <si>
    <t>Estado: Enviado; Vendedor: Mazvigosl; Envío repartido: 3.40 EUR</t>
  </si>
  <si>
    <t>Davaloart</t>
  </si>
  <si>
    <t>14.02.2024</t>
  </si>
  <si>
    <t>Estado: Recibido; Comprador: Davaloart; Envío repartido: 1.22 EUR</t>
  </si>
  <si>
    <t>Homie-G</t>
  </si>
  <si>
    <t>13.02.2024</t>
  </si>
  <si>
    <t>Estado: Enviado; Vendedor: Homie-G; Envío repartido: 1.22 EUR</t>
  </si>
  <si>
    <t>Enzo</t>
  </si>
  <si>
    <t>Estado: Enviado; Vendedor: Enzo; Envío repartido: 1.22 EUR</t>
  </si>
  <si>
    <t>MTGcardmarket01</t>
  </si>
  <si>
    <t>Estado: Enviado; Vendedor: MTGcardmarket01; Envío repartido: 1.22 EUR</t>
  </si>
  <si>
    <t>Greg0rEng</t>
  </si>
  <si>
    <t>Estado: Enviado; Vendedor: Greg0rEng; Envío repartido: 1.27 EUR</t>
  </si>
  <si>
    <t>Ghoulsito</t>
  </si>
  <si>
    <t>10.02.2024</t>
  </si>
  <si>
    <t>Estado: Recibido; Comprador: Ghoulsito; Envío repartido: 1.22 EUR</t>
  </si>
  <si>
    <t>danilopezdiaz</t>
  </si>
  <si>
    <t>Estado: Recibido; Comprador: danilopezdiaz; Envío repartido: 1.22 EUR</t>
  </si>
  <si>
    <t>josecasti</t>
  </si>
  <si>
    <t>Estado: Recibido; Comprador: josecasti; Envío repartido: 1.22 EUR</t>
  </si>
  <si>
    <t>09.02.2024</t>
  </si>
  <si>
    <t>Zmrtka</t>
  </si>
  <si>
    <t>08.02.2024</t>
  </si>
  <si>
    <t>Estado: Enviado; Vendedor: Zmrtka; Envío repartido: 7.48 EUR</t>
  </si>
  <si>
    <t>Xellhios</t>
  </si>
  <si>
    <t>Estado: Recibido; Comprador: Xellhios; Envío repartido: 2.30 EUR</t>
  </si>
  <si>
    <t>Neku94</t>
  </si>
  <si>
    <t>07.02.2024</t>
  </si>
  <si>
    <t>Estado: Recibido; Comprador: Neku94; Envío repartido: 5.47 EUR</t>
  </si>
  <si>
    <t>Rolok99</t>
  </si>
  <si>
    <t>Estado: Recibido; Comprador: Rolok99; Envío repartido: 1.22 EUR</t>
  </si>
  <si>
    <t>Dobi-trading-CZ</t>
  </si>
  <si>
    <t>Estado: Enviado; Vendedor: Dobi-trading-CZ; Envío repartido: 4.89 EUR</t>
  </si>
  <si>
    <t>MagaNegra</t>
  </si>
  <si>
    <t>Estado: Recibido; Comprador: MagaNegra; Envío repartido: 1.22 EUR</t>
  </si>
  <si>
    <t>04.02.2024</t>
  </si>
  <si>
    <t>BecketBrass91</t>
  </si>
  <si>
    <t>Estado: Recibido; Comprador: BecketBrass91; Envío repartido: 2.30 EUR</t>
  </si>
  <si>
    <t>Olandurai</t>
  </si>
  <si>
    <t>02.02.2024</t>
  </si>
  <si>
    <t>Estado: Recibido; Comprador: Olandurai; Envío repartido: 1.22 EUR</t>
  </si>
  <si>
    <t>31.01.2024</t>
  </si>
  <si>
    <t>Estado: Enviado; Vendedor: sekkuar; Envío repartido: 5.47 EUR</t>
  </si>
  <si>
    <t>29.01.2024</t>
  </si>
  <si>
    <t>fallingsteve</t>
  </si>
  <si>
    <t>Estado: Recibido; Comprador: fallingsteve; Envío repartido: 2.30 EUR</t>
  </si>
  <si>
    <t>davilin23betico</t>
  </si>
  <si>
    <t>28.01.2024</t>
  </si>
  <si>
    <t>Estado: Enviado; Vendedor: davilin23betico; Envío repartido: 1.22 EUR</t>
  </si>
  <si>
    <t>Zeon31</t>
  </si>
  <si>
    <t>27.01.2024</t>
  </si>
  <si>
    <t>Estado: Enviado; Vendedor: Zeon31; Envío repartido: 5.47 EUR</t>
  </si>
  <si>
    <t>Wiyou13</t>
  </si>
  <si>
    <t>26.01.2024</t>
  </si>
  <si>
    <t>Estado: Recibido; Comprador: Wiyou13; Envío repartido: 1.22 EUR</t>
  </si>
  <si>
    <t>semidimoni</t>
  </si>
  <si>
    <t>Estado: Recibido; Comprador: semidimoni; Envío repartido: 1.22 EUR</t>
  </si>
  <si>
    <t>JordiCC</t>
  </si>
  <si>
    <t>Estado: Enviado; Vendedor: JordiCC; Envío repartido: 1.22 EUR</t>
  </si>
  <si>
    <t>Luzeon</t>
  </si>
  <si>
    <t>23.01.2024</t>
  </si>
  <si>
    <t>Estado: Recibido; Comprador: Luzeon; Envío repartido: 1.22 EUR</t>
  </si>
  <si>
    <t>Victorvs93</t>
  </si>
  <si>
    <t>Estado: Enviado; Vendedor: Victorvs93; Envío repartido: 1.22 EUR</t>
  </si>
  <si>
    <t>22.01.2024</t>
  </si>
  <si>
    <t>Estado: Enviado; Vendedor: mundicomics; Envío repartido: 1.22 EUR</t>
  </si>
  <si>
    <t>21.01.2024</t>
  </si>
  <si>
    <t>mcadri</t>
  </si>
  <si>
    <t>20.01.2024</t>
  </si>
  <si>
    <t>Estado: Enviado; Vendedor: mcadri; Envío repartido: 5.47 EUR</t>
  </si>
  <si>
    <t>kranken</t>
  </si>
  <si>
    <t>Estado: Enviado; Vendedor: kranken; Envío repartido: 11.73 EUR</t>
  </si>
  <si>
    <t>Kaem95</t>
  </si>
  <si>
    <t>13.01.2024</t>
  </si>
  <si>
    <t>Estado: Recibido; Comprador: Kaem95; Envío repartido: 2.30 EUR</t>
  </si>
  <si>
    <t>Eloyator</t>
  </si>
  <si>
    <t>09.01.2024</t>
  </si>
  <si>
    <t>Estado: Enviado; Vendedor: Eloyator; Envío repartido: 1.22 EUR</t>
  </si>
  <si>
    <t>vandmand</t>
  </si>
  <si>
    <t>Estado: Enviado; Vendedor: vandmand; Envío repartido: 1.22 EUR</t>
  </si>
  <si>
    <t>Estado: Enviado; Vendedor: MolaxMTG; Envío repartido: 1.22 EUR</t>
  </si>
  <si>
    <t>Ivan123</t>
  </si>
  <si>
    <t>08.01.2024</t>
  </si>
  <si>
    <t>Estado: Enviado; Vendedor: Ivan123; Envío repartido: 1.22 EUR</t>
  </si>
  <si>
    <t>Alonzo</t>
  </si>
  <si>
    <t>05.01.2024</t>
  </si>
  <si>
    <t>Estado: Enviado; Vendedor: Alonzo; Envío repartido: 1.22 EUR</t>
  </si>
  <si>
    <t>AlfaRuLeZ</t>
  </si>
  <si>
    <t>Estado: Enviado; Vendedor: AlfaRuLeZ; Envío repartido: 1.22 EUR</t>
  </si>
  <si>
    <t>MagicCastellon</t>
  </si>
  <si>
    <t>04.01.2024</t>
  </si>
  <si>
    <t>Estado: Enviado; Vendedor: MagicCastellon; Envío repartido: 5.47 EUR</t>
  </si>
  <si>
    <t>lessocg</t>
  </si>
  <si>
    <t>02.01.2024</t>
  </si>
  <si>
    <t>Estado: Recibido; Comprador: lessocg; Envío repartido: 1.22 EUR</t>
  </si>
  <si>
    <t>24.12.2023</t>
  </si>
  <si>
    <t>Estado: Enviado; Vendedor: Mazvigosl; Envío repartido: 1.18 EUR</t>
  </si>
  <si>
    <t>Estado: Enviado; Vendedor: Itaca; Envío repartido: 1.18 EUR</t>
  </si>
  <si>
    <t>23.12.2023</t>
  </si>
  <si>
    <t>Estado: Enviado; Vendedor: ElGansitoCaiman; Envío repartido: 1.18 EUR</t>
  </si>
  <si>
    <t>Estado: Enviado; Vendedor: Metropolis-Center; Envío repartido: 5.28 EUR</t>
  </si>
  <si>
    <t>Estado: Enviado; Vendedor: Arrokia; Envío repartido: 5.28 EUR</t>
  </si>
  <si>
    <t>Estado: Enviado; Vendedor: JupiterMadridNorte; Envío repartido: 5.28 EUR</t>
  </si>
  <si>
    <t>Estado: Enviado; Vendedor: mundicomics; Envío repartido: 5.28 EUR</t>
  </si>
  <si>
    <t>Psyco13</t>
  </si>
  <si>
    <t>Estado: Enviado; Vendedor: Psyco13; Envío repartido: 5.28 EUR</t>
  </si>
  <si>
    <t>OrhyGG</t>
  </si>
  <si>
    <t>22.12.2023</t>
  </si>
  <si>
    <t>Estado: Enviado; Vendedor: OrhyGG; Envío repartido: 5.28 EUR</t>
  </si>
  <si>
    <t>BcnTcgsales</t>
  </si>
  <si>
    <t>Estado: Enviado; Vendedor: BcnTcgsales; Envío repartido: 5.28 EUR</t>
  </si>
  <si>
    <t>TOTCG</t>
  </si>
  <si>
    <t>Estado: Enviado; Vendedor: TOTCG; Envío repartido: 1.18 EUR</t>
  </si>
  <si>
    <t>atmval</t>
  </si>
  <si>
    <t>Estado: Enviado; Vendedor: atmval; Envío repartido: 1.18 EUR</t>
  </si>
  <si>
    <t>Alpaxino33</t>
  </si>
  <si>
    <t>Estado: Enviado; Vendedor: Alpaxino33; Envío repartido: 7.21 EUR</t>
  </si>
  <si>
    <t>QuintaMarcha</t>
  </si>
  <si>
    <t>Estado: Enviado; Vendedor: QuintaMarcha; Envío repartido: 5.28 EUR</t>
  </si>
  <si>
    <t>gadgame</t>
  </si>
  <si>
    <t>20.12.2023</t>
  </si>
  <si>
    <t>Estado: Recibido; Comprador: gadgame; Envío repartido: 1.18 EUR</t>
  </si>
  <si>
    <t>19.12.2023</t>
  </si>
  <si>
    <t>Estado: Enviado; Vendedor: IBARI; Envío repartido: 5.28 EUR</t>
  </si>
  <si>
    <t>Estado: Enviado; Vendedor: KikouMagic; Envío repartido: 1.18 EUR</t>
  </si>
  <si>
    <t>rafran</t>
  </si>
  <si>
    <t>17.12.2023</t>
  </si>
  <si>
    <t>Estado: Enviado; Vendedor: rafran; Envío repartido: 1.18 EUR</t>
  </si>
  <si>
    <t>Estado: Enviado; Vendedor: MTGWARHAMMER; Envío repartido: 5.28 EUR</t>
  </si>
  <si>
    <t>triska23</t>
  </si>
  <si>
    <t>Estado: Enviado; Vendedor: triska23; Envío repartido: 1.18 EUR</t>
  </si>
  <si>
    <t>Estado: Enviado; Vendedor: Neku94; Envío repartido: 1.18 EUR</t>
  </si>
  <si>
    <t>09unnamed</t>
  </si>
  <si>
    <t>Estado: Enviado; Vendedor: 09unnamed; Envío repartido: 1.18 EUR</t>
  </si>
  <si>
    <t>Magicevents</t>
  </si>
  <si>
    <t>Estado: Enviado; Vendedor: Magicevents; Envío repartido: 1.18 EUR</t>
  </si>
  <si>
    <t>Estado: Enviado; Vendedor: Moria05; Envío repartido: 3.31 EUR</t>
  </si>
  <si>
    <t>AdepeFP</t>
  </si>
  <si>
    <t>Estado: Enviado; Vendedor: AdepeFP; Envío repartido: 5.28 EUR</t>
  </si>
  <si>
    <t>lacavernadevoltir</t>
  </si>
  <si>
    <t>Estado: Enviado; Vendedor: lacavernadevoltir; Envío repartido: 4.95 EUR</t>
  </si>
  <si>
    <t>Folmir</t>
  </si>
  <si>
    <t>Estado: Cancelado; Vendedor: Folmir; Envío repartido: 5.28 EUR</t>
  </si>
  <si>
    <t>hvaquinhas</t>
  </si>
  <si>
    <t>13.12.2023</t>
  </si>
  <si>
    <t>Estado: Enviado; Vendedor: hvaquinhas; Envío repartido: 15.05 EUR</t>
  </si>
  <si>
    <t>PatriciaSM18</t>
  </si>
  <si>
    <t>11.12.2023</t>
  </si>
  <si>
    <t>Estado: Recibido; Comprador: PatriciaSM18; Envío repartido: 1.18 EUR</t>
  </si>
  <si>
    <t>10.12.2023</t>
  </si>
  <si>
    <t>06.12.2023</t>
  </si>
  <si>
    <t>Estado: Enviado; Vendedor: barrocus; Envío repartido: 1.18 EUR</t>
  </si>
  <si>
    <t>Preo93</t>
  </si>
  <si>
    <t>05.12.2023</t>
  </si>
  <si>
    <t>Estado: Recibido; Comprador: Preo93; Envío repartido: 1.18 EUR</t>
  </si>
  <si>
    <t>AYCMTG2023</t>
  </si>
  <si>
    <t>Estado: Recibido; Comprador: AYCMTG2023; Envío repartido: 1.18 EUR</t>
  </si>
  <si>
    <t>xink663</t>
  </si>
  <si>
    <t>01.12.2023</t>
  </si>
  <si>
    <t>Estado: Recibido; Comprador: xink663; Envío repartido: 1.18 EUR</t>
  </si>
  <si>
    <t>29.11.2023</t>
  </si>
  <si>
    <t>Estado: Enviado; Vendedor: rinconete8; Envío repartido: 5.28 EUR</t>
  </si>
  <si>
    <t>DevilsSnare</t>
  </si>
  <si>
    <t>26.11.2023</t>
  </si>
  <si>
    <t>Estado: Recibido; Comprador: DevilsSnare; Envío repartido: 2.25 EUR</t>
  </si>
  <si>
    <t>samarpan</t>
  </si>
  <si>
    <t>19.11.2023</t>
  </si>
  <si>
    <t>Estado: Enviado; Vendedor: samarpan; Envío repartido: 7.50 EUR</t>
  </si>
  <si>
    <t>Krakencyde</t>
  </si>
  <si>
    <t>18.11.2023</t>
  </si>
  <si>
    <t>Estado: Enviado; Vendedor: Krakencyde; Envío repartido: 1.18 EUR</t>
  </si>
  <si>
    <t>montes1993</t>
  </si>
  <si>
    <t>Estado: Enviado; Vendedor: montes1993; Envío repartido: 1.18 EUR</t>
  </si>
  <si>
    <t>Estado: Enviado; Vendedor: Dobi-trading-CZ; Envío repartido: 2.10 EUR</t>
  </si>
  <si>
    <t>15.11.2023</t>
  </si>
  <si>
    <t>Estado: Enviado; Vendedor: Metropolis-Center; Envío repartido: 1.18 EUR</t>
  </si>
  <si>
    <t>Bozomke</t>
  </si>
  <si>
    <t>13.11.2023</t>
  </si>
  <si>
    <t>Estado: Enviado; Vendedor: Bozomke; Envío repartido: 6.45 EUR</t>
  </si>
  <si>
    <t>Estado: Enviado; Vendedor: Mazvigosl; Envío repartido: 1.90 EUR</t>
  </si>
  <si>
    <t>PRUIZ</t>
  </si>
  <si>
    <t>10.11.2023</t>
  </si>
  <si>
    <t>Estado: Enviado; Vendedor: PRUIZ; Envío repartido: 5.28 EUR</t>
  </si>
  <si>
    <t>09.11.2023</t>
  </si>
  <si>
    <t>Estado: Enviado; Vendedor: MaxwellTC; Envío repartido: 5.28 EUR</t>
  </si>
  <si>
    <t>08.11.2023</t>
  </si>
  <si>
    <t>Estado: Enviado; Vendedor: PERALTA; Envío repartido: 1.18 EUR</t>
  </si>
  <si>
    <t>froster360</t>
  </si>
  <si>
    <t>05.11.2023</t>
  </si>
  <si>
    <t>Estado: Enviado; Vendedor: froster360; Envío repartido: 1.18 EUR</t>
  </si>
  <si>
    <t>Kitik</t>
  </si>
  <si>
    <t>Estado: Enviado; Vendedor: Kitik; Envío repartido: 1.18 EUR</t>
  </si>
  <si>
    <t>ElGarci</t>
  </si>
  <si>
    <t>Estado: Enviado; Vendedor: ElGarci; Envío repartido: 1.18 EUR</t>
  </si>
  <si>
    <t>SuperAru</t>
  </si>
  <si>
    <t>31.10.2023</t>
  </si>
  <si>
    <t>Estado: Enviado; Vendedor: SuperAru; Envío repartido: 1.18 EUR</t>
  </si>
  <si>
    <t>nadal</t>
  </si>
  <si>
    <t>30.10.2023</t>
  </si>
  <si>
    <t>Estado: Enviado; Vendedor: nadal; Envío repartido: 5.28 EUR</t>
  </si>
  <si>
    <t>Bjerne</t>
  </si>
  <si>
    <t>24.10.2023</t>
  </si>
  <si>
    <t>Estado: Enviado; Vendedor: Bjerne; Envío repartido: 10.67 EUR</t>
  </si>
  <si>
    <t>dmnferreira</t>
  </si>
  <si>
    <t>20.10.2023</t>
  </si>
  <si>
    <t>Estado: Recibido; Comprador: dmnferreira; Envío repartido: 7.25 EUR</t>
  </si>
  <si>
    <t>panterapicazo</t>
  </si>
  <si>
    <t>18.10.2023</t>
  </si>
  <si>
    <t>Estado: Enviado; Vendedor: panterapicazo; Envío repartido: 1.18 EUR</t>
  </si>
  <si>
    <t>Spooky402</t>
  </si>
  <si>
    <t>16.10.2023</t>
  </si>
  <si>
    <t>Estado: Enviado; Vendedor: Spooky402; Envío repartido: 1.18 EUR</t>
  </si>
  <si>
    <t>Estado: Enviado; Vendedor: Dario-malaga; Envío repartido: 1.18 EUR</t>
  </si>
  <si>
    <t>Vytiligo</t>
  </si>
  <si>
    <t>Estado: Recibido; Comprador: Vytiligo; Envío repartido: 2.25 EUR</t>
  </si>
  <si>
    <t>Droox23</t>
  </si>
  <si>
    <t>12.10.2023</t>
  </si>
  <si>
    <t>Estado: Enviado; Vendedor: Droox23; Envío repartido: 1.18 EUR</t>
  </si>
  <si>
    <t>11.10.2023</t>
  </si>
  <si>
    <t>Estado: Cancelado en CardMarket; recogido en mano; Vendedor: Distritozero-Bilbao; Envío eliminado por recogida en mano: 1.90 EUR</t>
  </si>
  <si>
    <t>isafor77</t>
  </si>
  <si>
    <t>Estado: Enviado; Vendedor: isafor77; Envío repartido: 3.80 EUR</t>
  </si>
  <si>
    <t>Estado: Enviado; Vendedor: vscorpio; Envío repartido: 3.31 EUR</t>
  </si>
  <si>
    <t>Frostynk</t>
  </si>
  <si>
    <t>10.10.2023</t>
  </si>
  <si>
    <t>Estado: Enviado; Vendedor: Frostynk; Envío repartido: 1.18 EUR</t>
  </si>
  <si>
    <t>Estado: Enviado; Vendedor: AtheneasHobby; Envío repartido: 3.31 EUR</t>
  </si>
  <si>
    <t>09.10.2023</t>
  </si>
  <si>
    <t>Estado: Enviado; Vendedor: datolu; Envío repartido: 5.28 EUR</t>
  </si>
  <si>
    <t>msanan</t>
  </si>
  <si>
    <t>08.10.2023</t>
  </si>
  <si>
    <t>Estado: Recibido; Comprador: msanan; Envío repartido: 1.18 EUR</t>
  </si>
  <si>
    <t>keko-sanlo</t>
  </si>
  <si>
    <t>Estado: Enviado; Vendedor: keko-sanlo; Envío repartido: 1.18 EUR</t>
  </si>
  <si>
    <t>Estado: Enviado; Vendedor: Keiken; Envío repartido: 1.18 EUR</t>
  </si>
  <si>
    <t>solisete007</t>
  </si>
  <si>
    <t>Estado: Enviado; Vendedor: solisete007; Envío repartido: 1.18 EUR</t>
  </si>
  <si>
    <t>Estado: Enviado; Vendedor: akromix; Envío repartido: 1.18 EUR</t>
  </si>
  <si>
    <t>Warlothar</t>
  </si>
  <si>
    <t>Estado: Enviado; Vendedor: Warlothar; Envío repartido: 1.18 EUR</t>
  </si>
  <si>
    <t>Estado: Enviado; Vendedor: Random-player; Envío repartido: 1.18 EUR</t>
  </si>
  <si>
    <t>07.10.2023</t>
  </si>
  <si>
    <t>cxrlvsss</t>
  </si>
  <si>
    <t>06.10.2023</t>
  </si>
  <si>
    <t>Estado: Enviado; Vendedor: cxrlvsss; Envío repartido: 5.28 EUR</t>
  </si>
  <si>
    <t>04.10.2023</t>
  </si>
  <si>
    <t>Estado: Enviado; Vendedor: tejecar16; Envío repartido: 1.18 EUR</t>
  </si>
  <si>
    <t>heihei</t>
  </si>
  <si>
    <t>03.10.2023</t>
  </si>
  <si>
    <t>Estado: Recibido; Comprador: heihei; Envío repartido: 1.18 EUR</t>
  </si>
  <si>
    <t>Alexbrooken</t>
  </si>
  <si>
    <t>02.10.2023</t>
  </si>
  <si>
    <t>Estado: Enviado; Vendedor: Alexbrooken; Envío repartido: 5.28 EUR</t>
  </si>
  <si>
    <t>IslandMTG</t>
  </si>
  <si>
    <t>01.10.2023</t>
  </si>
  <si>
    <t>Estado: Cancelado; Vendedor: IslandMTG; Envío repartido: 1.18 EUR</t>
  </si>
  <si>
    <t>MtgBarcelona</t>
  </si>
  <si>
    <t>28.09.2023</t>
  </si>
  <si>
    <t>Estado: Enviado; Vendedor: MtgBarcelona; Envío repartido: 5.28 EUR</t>
  </si>
  <si>
    <t>25.09.2023</t>
  </si>
  <si>
    <t>Estado: Enviado; Vendedor: FREAK-CORP; Envío repartido: 5.28 EUR</t>
  </si>
  <si>
    <t>Estado: Enviado; Vendedor: ugatortuga; Envío repartido: 5.28 EUR</t>
  </si>
  <si>
    <t>21.09.2023</t>
  </si>
  <si>
    <t>Estado: Enviado; Vendedor: Onlycards; Envío repartido: 1.90 EUR</t>
  </si>
  <si>
    <t>Estado: Enviado; Vendedor: Devian-Magic-Cards; Envío repartido: 1.18 EUR</t>
  </si>
  <si>
    <t>Elnidas</t>
  </si>
  <si>
    <t>16.09.2023</t>
  </si>
  <si>
    <t>Estado: Enviado; Vendedor: Elnidas; Envío repartido: 1.18 EUR</t>
  </si>
  <si>
    <t>Estado: Enviado; Vendedor: willybizarre; Envío repartido: 5.28 EUR</t>
  </si>
  <si>
    <t>Estado: Enviado; Vendedor: GENEXCOMICS; Envío repartido: 1.18 EUR</t>
  </si>
  <si>
    <t>george4654</t>
  </si>
  <si>
    <t>15.09.2023</t>
  </si>
  <si>
    <t>Estado: Enviado; Vendedor: george4654; Envío repartido: 5.28 EUR</t>
  </si>
  <si>
    <t>12.09.2023</t>
  </si>
  <si>
    <t>SleeperZ</t>
  </si>
  <si>
    <t>Estado: Enviado; Vendedor: SleeperZ; Envío repartido: 5.28 EUR</t>
  </si>
  <si>
    <t>DavidDabridges</t>
  </si>
  <si>
    <t>10.09.2023</t>
  </si>
  <si>
    <t>Estado: Cancelado; Vendedor: DavidDabridges; Envío repartido: 1.18 EUR</t>
  </si>
  <si>
    <t>Estado: Enviado; Vendedor: Nygran; Envío repartido: 1.18 EUR</t>
  </si>
  <si>
    <t>08.09.2023</t>
  </si>
  <si>
    <t>04.09.2023</t>
  </si>
  <si>
    <t>Estado: Enviado; Vendedor: Onlycards; Envío repartido: 1.18 EUR</t>
  </si>
  <si>
    <t>Boyay</t>
  </si>
  <si>
    <t>Estado: Enviado; Vendedor: Boyay; Envío repartido: 5.28 EUR</t>
  </si>
  <si>
    <t>PhyrexianMTG</t>
  </si>
  <si>
    <t>Estado: Enviado; Vendedor: PhyrexianMTG; Envío repartido: 1.18 EUR</t>
  </si>
  <si>
    <t>Annakiller28</t>
  </si>
  <si>
    <t>02.09.2023</t>
  </si>
  <si>
    <t>Estado: Enviado; Vendedor: Annakiller28; Envío repartido: 1.18 EUR</t>
  </si>
  <si>
    <t>BigFabio91</t>
  </si>
  <si>
    <t>24.08.2023</t>
  </si>
  <si>
    <t>Estado: Recibido; Comprador: BigFabio91; Envío repartido: 2.25 EUR</t>
  </si>
  <si>
    <t>JessWolf</t>
  </si>
  <si>
    <t>Estado: Recibido; Comprador: JessWolf; Envío repartido: 1.18 EUR</t>
  </si>
  <si>
    <t>23.08.2023</t>
  </si>
  <si>
    <t>20.08.2023</t>
  </si>
  <si>
    <t>Estado: Enviado; Vendedor: MagicCastellon; Envío repartido: 5.28 EUR</t>
  </si>
  <si>
    <t>seiseises</t>
  </si>
  <si>
    <t>19.08.2023</t>
  </si>
  <si>
    <t>Estado: Enviado; Vendedor: seiseises; Envío repartido: 5.28 EUR</t>
  </si>
  <si>
    <t>MTG-AGORA</t>
  </si>
  <si>
    <t>Estado: Enviado; Vendedor: MTG-AGORA; Envío repartido: 8.00 EUR</t>
  </si>
  <si>
    <t>Superheavy22</t>
  </si>
  <si>
    <t>14.08.2023</t>
  </si>
  <si>
    <t>Estado: Recibido; Comprador: Superheavy22; Envío repartido: 1.18 EUR</t>
  </si>
  <si>
    <t>08.08.2023</t>
  </si>
  <si>
    <t>Estado: Enviado; Vendedor: MolaxMTG; Envío repartido: 1.18 EUR</t>
  </si>
  <si>
    <t>Xcutioner-Song</t>
  </si>
  <si>
    <t>06.08.2023</t>
  </si>
  <si>
    <t>Estado: Enviado; Vendedor: Xcutioner-Song; Envío repartido: 1.18 EUR</t>
  </si>
  <si>
    <t>anais40</t>
  </si>
  <si>
    <t>04.08.2023</t>
  </si>
  <si>
    <t>Estado: Enviado; Vendedor: anais40; Envío repartido: 1.18 EUR</t>
  </si>
  <si>
    <t>Zino0004</t>
  </si>
  <si>
    <t>01.08.2023</t>
  </si>
  <si>
    <t>Estado: Recibido; Comprador: Zino0004; Envío repartido: 1.18 EUR</t>
  </si>
  <si>
    <t>cesgarfer98</t>
  </si>
  <si>
    <t>30.07.2023</t>
  </si>
  <si>
    <t>Estado: Enviado; Vendedor: cesgarfer98; Envío repartido: 5.28 EUR</t>
  </si>
  <si>
    <t>ardillero</t>
  </si>
  <si>
    <t>28.07.2023</t>
  </si>
  <si>
    <t>Estado: Enviado; Vendedor: ardillero; Envío repartido: 1.18 EUR</t>
  </si>
  <si>
    <t>educacion74</t>
  </si>
  <si>
    <t>Estado: Enviado; Vendedor: educacion74; Envío repartido: 5.28 EUR</t>
  </si>
  <si>
    <t>26.07.2023</t>
  </si>
  <si>
    <t>Estado: Enviado; Vendedor: ManaTrust; Envío repartido: 10.50 EUR</t>
  </si>
  <si>
    <t>CardPlanetAustria</t>
  </si>
  <si>
    <t>Estado: Enviado; Vendedor: CardPlanetAustria; Envío repartido: 6.45 EUR</t>
  </si>
  <si>
    <t>Belart-fra</t>
  </si>
  <si>
    <t>25.07.2023</t>
  </si>
  <si>
    <t>Estado: Enviado; Vendedor: Belart-fra; Envío repartido: 13.70 EUR</t>
  </si>
  <si>
    <t>Magic-Draw23</t>
  </si>
  <si>
    <t>Estado: Cancelado; Vendedor: Magic-Draw23; Envío repartido: 1.18 EUR</t>
  </si>
  <si>
    <t>Estado: Enviado; Vendedor: DUAL-GAMES; Envío repartido: 1.18 EUR</t>
  </si>
  <si>
    <t>Zetsuito</t>
  </si>
  <si>
    <t>21.07.2023</t>
  </si>
  <si>
    <t>Estado: Enviado; Vendedor: Zetsuito; Envío repartido: 1.18 EUR</t>
  </si>
  <si>
    <t>19.07.2023</t>
  </si>
  <si>
    <t>alphawiwi</t>
  </si>
  <si>
    <t>18.07.2023</t>
  </si>
  <si>
    <t>Estado: Enviado; Vendedor: alphawiwi; Envío repartido: 1.18 EUR</t>
  </si>
  <si>
    <t>JupiterSevilla</t>
  </si>
  <si>
    <t>Estado: Enviado; Vendedor: JupiterSevilla; Envío repartido: 1.18 EUR</t>
  </si>
  <si>
    <t>Alex25005</t>
  </si>
  <si>
    <t>Estado: Enviado; Vendedor: Alex25005; Envío repartido: 5.28 EUR</t>
  </si>
  <si>
    <t>MissFreeze</t>
  </si>
  <si>
    <t>17.07.2023</t>
  </si>
  <si>
    <t>Estado: Enviado; Vendedor: MissFreeze; Envío repartido: 6.20 EUR</t>
  </si>
  <si>
    <t>Estado: Recibido; Comprador: NeverlandMTG; Envío repartido: 5.28 EUR</t>
  </si>
  <si>
    <t>VacuousVoid</t>
  </si>
  <si>
    <t>15.07.2023</t>
  </si>
  <si>
    <t>Estado: Enviado; Vendedor: VacuousVoid; Envío repartido: 5.28 EUR</t>
  </si>
  <si>
    <t>GnarChikito</t>
  </si>
  <si>
    <t>14.07.2023</t>
  </si>
  <si>
    <t>Estado: Recibido; Comprador: GnarChikito; Envío repartido: 5.28 EUR</t>
  </si>
  <si>
    <t>bardin</t>
  </si>
  <si>
    <t>12.07.2023</t>
  </si>
  <si>
    <t>Estado: Enviado; Vendedor: bardin; Envío repartido: 5.28 EUR</t>
  </si>
  <si>
    <t>Enzociani</t>
  </si>
  <si>
    <t>Estado: Enviado; Vendedor: Enzociani; Envío repartido: 5.28 EUR</t>
  </si>
  <si>
    <t>Ponderado</t>
  </si>
  <si>
    <t>09.07.2023</t>
  </si>
  <si>
    <t>Estado: Recibido; Comprador: Ponderado; Envío repartido: 1.18 EUR</t>
  </si>
  <si>
    <t>aleexblazquez</t>
  </si>
  <si>
    <t>08.07.2023</t>
  </si>
  <si>
    <t>Estado: Enviado; Vendedor: aleexblazquez; Envío repartido: 5.28 EUR</t>
  </si>
  <si>
    <t>BudPoison-IG</t>
  </si>
  <si>
    <t>06.07.2023</t>
  </si>
  <si>
    <t>Estado: Enviado; Vendedor: BudPoison-IG; Envío repartido: 1.18 EUR</t>
  </si>
  <si>
    <t>Estado: Enviado; Vendedor: NeverlandMTG; Envío repartido: 1.18 EUR</t>
  </si>
  <si>
    <t>asrproject</t>
  </si>
  <si>
    <t>Estado: Enviado; Vendedor: asrproject; Envío repartido: 1.18 EUR</t>
  </si>
  <si>
    <t>Spanishpow</t>
  </si>
  <si>
    <t>05.07.2023</t>
  </si>
  <si>
    <t>Estado: Enviado; Vendedor: Spanishpow; Envío repartido: 1.18 EUR</t>
  </si>
  <si>
    <t>Idefix-FaB</t>
  </si>
  <si>
    <t>Estado: Enviado; Vendedor: Idefix-FaB; Envío repartido: 6.95 EUR</t>
  </si>
  <si>
    <t>Angelskog</t>
  </si>
  <si>
    <t>04.07.2023</t>
  </si>
  <si>
    <t>Estado: Enviado; Vendedor: Angelskog; Envío repartido: 1.18 EUR</t>
  </si>
  <si>
    <t>Wachopiro</t>
  </si>
  <si>
    <t>Estado: Enviado; Vendedor: Wachopiro; Envío repartido: 1.18 EUR</t>
  </si>
  <si>
    <t>G3SkedioTCG</t>
  </si>
  <si>
    <t>Estado: Enviado; Vendedor: G3SkedioTCG; Envío repartido: 1.18 EUR</t>
  </si>
  <si>
    <t>Estado: Enviado; Vendedor: Eurekagames; Envío repartido: 1.18 EUR</t>
  </si>
  <si>
    <t>Artxaon</t>
  </si>
  <si>
    <t>Estado: Recibido; Comprador: Artxaon; Envío repartido: 1.18 EUR</t>
  </si>
  <si>
    <t>patri6</t>
  </si>
  <si>
    <t>03.07.2023</t>
  </si>
  <si>
    <t>Estado: Enviado; Vendedor: patri6; Envío repartido: 5.28 EUR</t>
  </si>
  <si>
    <t>orlok</t>
  </si>
  <si>
    <t>Estado: Enviado; Vendedor: orlok; Envío repartido: 5.28 EUR</t>
  </si>
  <si>
    <t>hcorpa96</t>
  </si>
  <si>
    <t>Estado: Cancelado; Vendedor: hcorpa96; Envío repartido: 5.28 EUR</t>
  </si>
  <si>
    <t>Espacioretro</t>
  </si>
  <si>
    <t>01.07.2023</t>
  </si>
  <si>
    <t>Estado: Enviado; Vendedor: Espacioretro; Envío repartido: 5.28 EUR</t>
  </si>
  <si>
    <t>Turodael</t>
  </si>
  <si>
    <t>Estado: Enviado; Vendedor: Turodael; Envío repartido: 5.28 EUR</t>
  </si>
  <si>
    <t>28.06.2023</t>
  </si>
  <si>
    <t>Estado: Enviado; Vendedor: Eurekagames; Envío repartido: 5.28 EUR</t>
  </si>
  <si>
    <t>MadridMagic</t>
  </si>
  <si>
    <t>Estado: Enviado; Vendedor: MadridMagic; Envío repartido: 5.28 EUR</t>
  </si>
  <si>
    <t>roggearne</t>
  </si>
  <si>
    <t>Estado: Recibido; Comprador: roggearne; Envío repartido: 7.25 EUR</t>
  </si>
  <si>
    <t>Portocobo</t>
  </si>
  <si>
    <t>27.06.2023</t>
  </si>
  <si>
    <t>Estado: Enviado; Vendedor: Portocobo; Envío repartido: 1.18 EUR</t>
  </si>
  <si>
    <t>vitolo50</t>
  </si>
  <si>
    <t>Estado: Enviado; Vendedor: vitolo50; Envío repartido: 1.18 EUR</t>
  </si>
  <si>
    <t>26.06.2023</t>
  </si>
  <si>
    <t>25.06.2023</t>
  </si>
  <si>
    <t>Estado: Enviado; Vendedor: ManaVortex-POOL4YOU; Envío repartido: 1.18 EUR</t>
  </si>
  <si>
    <t>GigaLechu</t>
  </si>
  <si>
    <t>Estado: Enviado; Vendedor: GigaLechu; Envío repartido: 1.18 EUR</t>
  </si>
  <si>
    <t>Jojotz</t>
  </si>
  <si>
    <t>Estado: Enviado; Vendedor: Jojotz; Envío repartido: 1.18 EUR</t>
  </si>
  <si>
    <t>MTG-LowCost</t>
  </si>
  <si>
    <t>Estado: Enviado; Vendedor: MTG-LowCost; Envío repartido: 1.18 EUR</t>
  </si>
  <si>
    <t>ticacho</t>
  </si>
  <si>
    <t>Estado: Enviado; Vendedor: ticacho; Envío repartido: 9.40 EUR</t>
  </si>
  <si>
    <t>tserjio</t>
  </si>
  <si>
    <t>10.06.2023</t>
  </si>
  <si>
    <t>Estado: Enviado; Vendedor: tserjio; Envío repartido: 1.18 EUR</t>
  </si>
  <si>
    <t>Matamonses</t>
  </si>
  <si>
    <t>07.06.2023</t>
  </si>
  <si>
    <t>Estado: Enviado; Vendedor: Matamonses; Envío repartido: 6.20 EUR</t>
  </si>
  <si>
    <t>Dosflores</t>
  </si>
  <si>
    <t>06.06.2023</t>
  </si>
  <si>
    <t>Estado: Enviado; Vendedor: Dosflores; Envío repartido: 1.18 EUR</t>
  </si>
  <si>
    <t>Chris8698</t>
  </si>
  <si>
    <t>Estado: Enviado; Vendedor: Chris8698; Envío repartido: 1.18 EUR</t>
  </si>
  <si>
    <t>Naldrin</t>
  </si>
  <si>
    <t>Estado: Enviado; Vendedor: Naldrin; Envío repartido: 1.18 EUR</t>
  </si>
  <si>
    <t>iomazas</t>
  </si>
  <si>
    <t>05.06.2023</t>
  </si>
  <si>
    <t>Estado: Enviado; Vendedor: iomazas; Envío repartido: 1.18 EUR</t>
  </si>
  <si>
    <t>Estado: Enviado; Vendedor: Psyco13; Envío repartido: 1.18 EUR</t>
  </si>
  <si>
    <t>Estado: Enviado; Vendedor: MoxZinc; Envío repartido: 5.80 EUR</t>
  </si>
  <si>
    <t>Estado: Cancelado; Vendedor: rafa-1993-magic; Envío repartido: 1.18 EUR</t>
  </si>
  <si>
    <t>Nojoda</t>
  </si>
  <si>
    <t>02.06.2023</t>
  </si>
  <si>
    <t>Estado: Recibido; Comprador: Nojoda; Envío repartido: 1.18 EUR</t>
  </si>
  <si>
    <t>euromagik</t>
  </si>
  <si>
    <t>31.05.2023</t>
  </si>
  <si>
    <t>Estado: Enviado; Vendedor: euromagik; Envío repartido: 3.75 EUR</t>
  </si>
  <si>
    <t>guillespinosa</t>
  </si>
  <si>
    <t>Estado: Enviado; Vendedor: guillespinosa; Envío repartido: 5.28 EUR</t>
  </si>
  <si>
    <t>ash98</t>
  </si>
  <si>
    <t>30.05.2023</t>
  </si>
  <si>
    <t>Estado: Enviado; Vendedor: ash98; Envío repartido: 5.28 EUR</t>
  </si>
  <si>
    <t>Toledano</t>
  </si>
  <si>
    <t>17.05.2023</t>
  </si>
  <si>
    <t>Estado: Pagado; Vendedor: Toledano; Envío repartido: 5.28 EUR</t>
  </si>
  <si>
    <t>Siica</t>
  </si>
  <si>
    <t>Estado: Recibido; Comprador: Siica; Envío repartido: 1.18 EUR</t>
  </si>
  <si>
    <t>Viinyas</t>
  </si>
  <si>
    <t>16.05.2023</t>
  </si>
  <si>
    <t>Estado: Enviado; Vendedor: Viinyas; Envío repartido: 1.18 EUR</t>
  </si>
  <si>
    <t>15.05.2023</t>
  </si>
  <si>
    <t>Estado: Enviado; Vendedor: spasiv; Envío repartido: 1.18 EUR</t>
  </si>
  <si>
    <t>EinfachJes</t>
  </si>
  <si>
    <t>Estado: Enviado; Vendedor: EinfachJes; Envío repartido: 12.35 EUR</t>
  </si>
  <si>
    <t>odisseygames</t>
  </si>
  <si>
    <t>Estado: Enviado; Vendedor: odisseygames; Envío repartido: 1.18 EUR</t>
  </si>
  <si>
    <t>Hans-Magic</t>
  </si>
  <si>
    <t>04.05.2023</t>
  </si>
  <si>
    <t>Estado: Recibido; Comprador: Hans-Magic; Envío repartido: 2.25 EUR</t>
  </si>
  <si>
    <t>DonPopotamo</t>
  </si>
  <si>
    <t>Estado: Enviado; Vendedor: DonPopotamo; Envío repartido: 1.18 EUR</t>
  </si>
  <si>
    <t>ezaro</t>
  </si>
  <si>
    <t>Estado: Enviado; Vendedor: ezaro; Envío repartido: 5.28 EUR</t>
  </si>
  <si>
    <t>javigobasket</t>
  </si>
  <si>
    <t>Estado: Pagado; Vendedor: javigobasket; Envío repartido: 5.28 EUR</t>
  </si>
  <si>
    <t>Estado: Enviado; Vendedor: shobitsu; Envío repartido: 1.18 EUR</t>
  </si>
  <si>
    <t>AKIRA159</t>
  </si>
  <si>
    <t>Estado: Enviado; Vendedor: AKIRA159; Envío repartido: 1.18 EUR</t>
  </si>
  <si>
    <t>Finooo</t>
  </si>
  <si>
    <t>Estado: Enviado; Vendedor: Finooo; Envío repartido: 1.18 EUR</t>
  </si>
  <si>
    <t>Sinici1992</t>
  </si>
  <si>
    <t>Estado: Enviado; Vendedor: Sinici1992; Envío repartido: 1.18 EUR</t>
  </si>
  <si>
    <t>Rokas7</t>
  </si>
  <si>
    <t>Estado: Enviado; Vendedor: Rokas7; Envío repartido: 1.18 EUR</t>
  </si>
  <si>
    <t>JordiLara82</t>
  </si>
  <si>
    <t>Estado: Recibido; Comprador: JordiLara82; Envío repartido: 5.28 EUR</t>
  </si>
  <si>
    <t>Armads</t>
  </si>
  <si>
    <t>02.05.2023</t>
  </si>
  <si>
    <t>Estado: Enviado; Vendedor: Armads; Envío repartido: 5.28 EUR</t>
  </si>
  <si>
    <t>Pagahersan</t>
  </si>
  <si>
    <t>Estado: Enviado; Vendedor: Pagahersan; Envío repartido: 5.28 EUR</t>
  </si>
  <si>
    <t>Pummelpanda</t>
  </si>
  <si>
    <t>29.04.2023</t>
  </si>
  <si>
    <t>Estado: Recibido; Comprador: Pummelpanda; Envío repartido: 2.25 EUR</t>
  </si>
  <si>
    <t>imperiom</t>
  </si>
  <si>
    <t>26.04.2023</t>
  </si>
  <si>
    <t>Estado: Recibido; Comprador: imperiom; Envío repartido: 1.18 EUR</t>
  </si>
  <si>
    <t>Percival445</t>
  </si>
  <si>
    <t>21.04.2023</t>
  </si>
  <si>
    <t>Estado: Pagado; Comprador: Percival445; Envío repartido: 1.18 EUR</t>
  </si>
  <si>
    <t>Zaback</t>
  </si>
  <si>
    <t>Estado: Enviado; Vendedor: Zaback; Envío repartido: 5.28 EUR</t>
  </si>
  <si>
    <t>OnlyPlaysets</t>
  </si>
  <si>
    <t>20.04.2023</t>
  </si>
  <si>
    <t>Estado: Enviado; Vendedor: OnlyPlaysets; Envío repartido: 1.18 EUR</t>
  </si>
  <si>
    <t>MTGCARDPLACE</t>
  </si>
  <si>
    <t>Estado: Enviado; Vendedor: MTGCARDPLACE; Envío repartido: 1.18 EUR</t>
  </si>
  <si>
    <t>dnjoker</t>
  </si>
  <si>
    <t>Estado: Enviado; Vendedor: dnjoker; Envío repartido: 1.18 EUR</t>
  </si>
  <si>
    <t>Andres-L</t>
  </si>
  <si>
    <t>17.04.2023</t>
  </si>
  <si>
    <t>Estado: Enviado; Vendedor: Andres-L; Envío repartido: 1.18 EUR</t>
  </si>
  <si>
    <t>03.04.2023</t>
  </si>
  <si>
    <t>Estado: Enviado; Vendedor: DUAL-GAMES; Envío repartido: 1.90 EUR</t>
  </si>
  <si>
    <t>taikocomics</t>
  </si>
  <si>
    <t>Estado: Enviado; Vendedor: taikocomics; Envío repartido: 1.18 EUR</t>
  </si>
  <si>
    <t>Daniifont</t>
  </si>
  <si>
    <t>Estado: Enviado; Vendedor: Daniifont; Envío repartido: 1.18 EUR</t>
  </si>
  <si>
    <t>Karpabug</t>
  </si>
  <si>
    <t>Estado: Enviado; Vendedor: Karpabug; Envío repartido: 1.18 EUR</t>
  </si>
  <si>
    <t>KameHouseCards</t>
  </si>
  <si>
    <t>02.04.2023</t>
  </si>
  <si>
    <t>Estado: Enviado; Vendedor: KameHouseCards; Envío repartido: 5.95 EUR</t>
  </si>
  <si>
    <t>Anoobiis</t>
  </si>
  <si>
    <t>30.03.2023</t>
  </si>
  <si>
    <t>Estado: Enviado; Vendedor: Anoobiis; Envío repartido: 1.18 EUR</t>
  </si>
  <si>
    <t>LaBoticaDelQuagsire</t>
  </si>
  <si>
    <t>Estado: Enviado; Vendedor: LaBoticaDelQuagsire; Envío repartido: 1.18 EUR</t>
  </si>
  <si>
    <t>cwam</t>
  </si>
  <si>
    <t>Estado: Enviado; Vendedor: cwam; Envío repartido: 16.45 EUR</t>
  </si>
  <si>
    <t>19.03.2023</t>
  </si>
  <si>
    <t>Estado: Enviado; Vendedor: Mazvigosl; Envío repartido: 3.31 EUR</t>
  </si>
  <si>
    <t>18.03.2023</t>
  </si>
  <si>
    <t>Estado: Enviado; Vendedor: nyahbingiman; Envío repartido: 1.18 EUR</t>
  </si>
  <si>
    <t>Dracarysviterbo</t>
  </si>
  <si>
    <t>17.03.2023</t>
  </si>
  <si>
    <t>Estado: Enviado; Vendedor: Dracarysviterbo; Envío repartido: 1.50 EUR</t>
  </si>
  <si>
    <t>16.03.2023</t>
  </si>
  <si>
    <t>Estado: Pagado; Vendedor: Dracarysviterbo; Envío repartido: 1.50 EUR</t>
  </si>
  <si>
    <t>15.03.2023</t>
  </si>
  <si>
    <t>Estado: Enviado; Vendedor: Toledano; Envío repartido: 5.28 EUR</t>
  </si>
  <si>
    <t>EldritchGate</t>
  </si>
  <si>
    <t>04.03.2023</t>
  </si>
  <si>
    <t>Estado: Pagado; Vendedor: EldritchGate; Envío repartido: 1.18 EUR</t>
  </si>
  <si>
    <t>Rufusland</t>
  </si>
  <si>
    <t>Estado: Enviado; Vendedor: Rufusland; Envío repartido: 5.28 EUR</t>
  </si>
  <si>
    <t>01.03.2023</t>
  </si>
  <si>
    <t>Estado: Enviado; Vendedor: Mazvigosl; Envío repartido: 5.28 EUR</t>
  </si>
  <si>
    <t>ilevel</t>
  </si>
  <si>
    <t>Estado: Enviado; Vendedor: ilevel; Envío repartido: 1.18 EUR</t>
  </si>
  <si>
    <t>28.02.2023</t>
  </si>
  <si>
    <t>SUMMONERSRIFT</t>
  </si>
  <si>
    <t>27.02.2023</t>
  </si>
  <si>
    <t>Estado: Enviado; Vendedor: SUMMONERSRIFT; Envío repartido: 5.28 EUR</t>
  </si>
  <si>
    <t>MoxIsland</t>
  </si>
  <si>
    <t>Estado: Enviado; Vendedor: MoxIsland; Envío repartido: 1.18 EUR</t>
  </si>
  <si>
    <t>luisetebar</t>
  </si>
  <si>
    <t>26.02.2023</t>
  </si>
  <si>
    <t>Estado: Enviado; Vendedor: luisetebar; Envío repartido: 5.28 EUR</t>
  </si>
  <si>
    <t>22.02.2023</t>
  </si>
  <si>
    <t>Estado: Pagado; Vendedor: Kolmillos; Envío repartido: 1.18 EUR</t>
  </si>
  <si>
    <t>Skizoo</t>
  </si>
  <si>
    <t>21.02.2023</t>
  </si>
  <si>
    <t>Estado: Enviado; Vendedor: Skizoo; Envío repartido: 1.18 EUR</t>
  </si>
  <si>
    <t>15.02.2023</t>
  </si>
  <si>
    <t>Estado: Enviado; Vendedor: Edicionlimitada; Envío repartido: 1.18 EUR</t>
  </si>
  <si>
    <t>jalopagu</t>
  </si>
  <si>
    <t>Estado: Enviado; Vendedor: jalopagu; Envío repartido: 1.18 EUR</t>
  </si>
  <si>
    <t>Eviae</t>
  </si>
  <si>
    <t>14.02.2023</t>
  </si>
  <si>
    <t>Estado: Enviado; Vendedor: Eviae; Envío repartido: 1.18 EUR</t>
  </si>
  <si>
    <t>skyfox</t>
  </si>
  <si>
    <t>13.02.2023</t>
  </si>
  <si>
    <t>Estado: Enviado; Vendedor: skyfox; Envío repartido: 1.18 EUR</t>
  </si>
  <si>
    <t>Estado: Enviado; Vendedor: Kolmillos; Envío repartido: 1.18 EUR</t>
  </si>
  <si>
    <t>MagicBarcelona</t>
  </si>
  <si>
    <t>08.02.2023</t>
  </si>
  <si>
    <t>Estado: Enviado; Vendedor: MagicBarcelona; Envío repartido: 1.90 EUR</t>
  </si>
  <si>
    <t>MagicHunters</t>
  </si>
  <si>
    <t>Estado: Enviado; Vendedor: MagicHunters; Envío repartido: 1.18 EUR</t>
  </si>
  <si>
    <t>tito33</t>
  </si>
  <si>
    <t>Estado: Enviado; Vendedor: tito33; Envío repartido: 1.18 EUR</t>
  </si>
  <si>
    <t>monchitomlg</t>
  </si>
  <si>
    <t>Estado: Enviado; Vendedor: monchitomlg; Envío repartido: 1.18 EUR</t>
  </si>
  <si>
    <t>1102867759</t>
  </si>
  <si>
    <t>Laodo</t>
  </si>
  <si>
    <t>07.02.2023</t>
  </si>
  <si>
    <t>tierradoble</t>
  </si>
  <si>
    <t>04.02.2023</t>
  </si>
  <si>
    <t>Estado: Enviado; Vendedor: tierradoble; Envío repartido: 1.18 EUR</t>
  </si>
  <si>
    <t>ROMACE</t>
  </si>
  <si>
    <t>01.02.2023</t>
  </si>
  <si>
    <t>Estado: Enviado; Vendedor: ROMACE; Envío repartido: 1.18 EUR</t>
  </si>
  <si>
    <t>Articuno</t>
  </si>
  <si>
    <t>29.01.2023</t>
  </si>
  <si>
    <t>Estado: Enviado; Vendedor: Articuno; Envío repartido: 5.28 EUR</t>
  </si>
  <si>
    <t>Estado: Enviado; Vendedor: euromagik; Envío repartido: 3.25 EUR</t>
  </si>
  <si>
    <t>GorkaSaiz</t>
  </si>
  <si>
    <t>Estado: Enviado; Vendedor: GorkaSaiz; Envío repartido: 5.28 EUR</t>
  </si>
  <si>
    <t>nandomr20</t>
  </si>
  <si>
    <t>Estado: Enviado; Vendedor: nandomr20; Envío repartido: 5.28 EUR</t>
  </si>
  <si>
    <t>22.01.2023</t>
  </si>
  <si>
    <t>Estado: Pagado; Vendedor: willybizarre; Envío repartido: 5.28 EUR</t>
  </si>
  <si>
    <t>borjariu</t>
  </si>
  <si>
    <t>20.01.2023</t>
  </si>
  <si>
    <t>Estado: Enviado; Vendedor: borjariu; Envío repartido: 1.18 EUR</t>
  </si>
  <si>
    <t>Estado: Enviado; Vendedor: SUMMONERSRIFT; Envío repartido: 1.18 EUR</t>
  </si>
  <si>
    <t>Estado: Enviado; Vendedor: Rokas7; Envío repartido: 5.28 EUR</t>
  </si>
  <si>
    <t>Estado: Pagado; Vendedor: Random-player; Envío repartido: 1.18 EUR</t>
  </si>
  <si>
    <t>Estado: Pagado; Vendedor: willybizarre; Envío repartido: 7.21 EUR</t>
  </si>
  <si>
    <t>Mrguille</t>
  </si>
  <si>
    <t>19.01.2023</t>
  </si>
  <si>
    <t>Estado: Enviado; Vendedor: Mrguille; Envío repartido: 1.18 EUR</t>
  </si>
  <si>
    <t>15.01.2023</t>
  </si>
  <si>
    <t>Estado: Enviado; Vendedor: AceMagicDealer; Envío repartido: 1.18 EUR</t>
  </si>
  <si>
    <t>Gayoso</t>
  </si>
  <si>
    <t>Estado: Enviado; Vendedor: Gayoso; Envío repartido: 1.18 EUR</t>
  </si>
  <si>
    <t>Nightbryd</t>
  </si>
  <si>
    <t>14.01.2023</t>
  </si>
  <si>
    <t>Estado: Enviado; Vendedor: Nightbryd; Envío repartido: 5.28 EUR</t>
  </si>
  <si>
    <t>mogul</t>
  </si>
  <si>
    <t>Estado: Enviado; Vendedor: mogul; Envío repartido: 5.28 EUR</t>
  </si>
  <si>
    <t>ReyConde</t>
  </si>
  <si>
    <t>Estado: Enviado; Vendedor: ReyConde; Envío repartido: 1.18 EUR</t>
  </si>
  <si>
    <t>infinitiworld</t>
  </si>
  <si>
    <t>10.01.2023</t>
  </si>
  <si>
    <t>Estado: Enviado; Vendedor: infinitiworld; Envío repartido: 1.18 EUR</t>
  </si>
  <si>
    <t>lluiset12</t>
  </si>
  <si>
    <t>Estado: Enviado; Vendedor: lluiset12; Envío repartido: 1.18 EUR</t>
  </si>
  <si>
    <t>saltamontes</t>
  </si>
  <si>
    <t>Estado: Enviado; Vendedor: saltamontes; Envío repartido: 5.28 EUR</t>
  </si>
  <si>
    <t>09.01.2023</t>
  </si>
  <si>
    <t>Estado: Enviado; Vendedor: LuisLlana; Envío repartido: 5.28 EUR</t>
  </si>
  <si>
    <t>Estado: Enviado; Vendedor: PulpulFolker; Envío repartido: 5.28 EUR</t>
  </si>
  <si>
    <t>07.01.2023</t>
  </si>
  <si>
    <t>Chus-Saxo</t>
  </si>
  <si>
    <t>Estado: Enviado; Vendedor: Chus-Saxo; Envío repartido: 1.18 EUR</t>
  </si>
  <si>
    <t>Estado: Enviado; Vendedor: Moria05; Envío repartido: 5.80 EUR</t>
  </si>
  <si>
    <t>AsturianDreams</t>
  </si>
  <si>
    <t>Estado: Enviado; Vendedor: AsturianDreams; Envío repartido: 5.28 EUR</t>
  </si>
  <si>
    <t>29.12.2022</t>
  </si>
  <si>
    <t>Estado: Enviado; Vendedor: Moria05; Envío repartido: 6.95 EUR</t>
  </si>
  <si>
    <t>26.12.2022</t>
  </si>
  <si>
    <t>Estado: Enviado; Vendedor: TRBstore; Envío repartido: 1.15 EUR</t>
  </si>
  <si>
    <t>MarinaMagic</t>
  </si>
  <si>
    <t>Estado: Enviado; Vendedor: MarinaMagic; Envío repartido: 1.15 EUR</t>
  </si>
  <si>
    <t>mixcoa</t>
  </si>
  <si>
    <t>Estado: Enviado; Vendedor: mixcoa; Envío repartido: 1.15 EUR</t>
  </si>
  <si>
    <t>merhans</t>
  </si>
  <si>
    <t>25.12.2022</t>
  </si>
  <si>
    <t>Estado: Enviado; Vendedor: merhans; Envío repartido: 1.40 EUR</t>
  </si>
  <si>
    <t>Estado: Enviado; Vendedor: Library-Of-Cards; Envío repartido: 1.15 EUR</t>
  </si>
  <si>
    <t>xaradim</t>
  </si>
  <si>
    <t>Estado: Enviado; Vendedor: xaradim; Envío repartido: 2.30 EUR</t>
  </si>
  <si>
    <t>Estado: Enviado; Vendedor: Shark-Games; Envío repartido: 1.15 EUR</t>
  </si>
  <si>
    <t>23.12.2022</t>
  </si>
  <si>
    <t>Estado: Enviado; Vendedor: Mazvigosl; Envío repartido: 3.20 EUR</t>
  </si>
  <si>
    <t>22.12.2022</t>
  </si>
  <si>
    <t>Estado: Enviado; Vendedor: Devian-Magic-Cards; Envío repartido: 1.15 EUR</t>
  </si>
  <si>
    <t>NinetyFive</t>
  </si>
  <si>
    <t>Estado: Enviado; Vendedor: NinetyFive; Envío repartido: 3.80 EUR</t>
  </si>
  <si>
    <t>Luisterine</t>
  </si>
  <si>
    <t>20.12.2022</t>
  </si>
  <si>
    <t>Estado: Enviado; Vendedor: Luisterine; Envío repartido: 1.15 EUR</t>
  </si>
  <si>
    <t>Estado: Cancelado; Vendedor: TEMPEST-STORE; Envío repartido: 1.15 EUR</t>
  </si>
  <si>
    <t>ruben1985</t>
  </si>
  <si>
    <t>Estado: Enviado; Vendedor: ruben1985; Envío repartido: 1.15 EUR</t>
  </si>
  <si>
    <t>Kimidaxu</t>
  </si>
  <si>
    <t>Estado: Enviado; Vendedor: Kimidaxu; Envío repartido: 1.15 EUR</t>
  </si>
  <si>
    <t>18.12.2022</t>
  </si>
  <si>
    <t>Estado: Enviado; Vendedor: EndorStore; Envío repartido: 1.15 EUR</t>
  </si>
  <si>
    <t>Estado: Enviado; Vendedor: WORKSHOP12; Envío repartido: 1.15 EUR</t>
  </si>
  <si>
    <t>16.12.2022</t>
  </si>
  <si>
    <t>Estado: Enviado; Vendedor: bertkoda; Envío repartido: 5.10 EUR</t>
  </si>
  <si>
    <t>Igiber91</t>
  </si>
  <si>
    <t>Estado: Enviado; Vendedor: Igiber91; Envío repartido: 5.10 EUR</t>
  </si>
  <si>
    <t>ginenxo</t>
  </si>
  <si>
    <t>14.12.2022</t>
  </si>
  <si>
    <t>Estado: Enviado; Vendedor: ginenxo; Envío repartido: 1.15 EUR</t>
  </si>
  <si>
    <t>Ismael54</t>
  </si>
  <si>
    <t>Estado: Enviado; Vendedor: Ismael54; Envío repartido: 1.15 EUR</t>
  </si>
  <si>
    <t>Grimblin</t>
  </si>
  <si>
    <t>Estado: Enviado; Vendedor: Grimblin; Envío repartido: 1.15 EUR</t>
  </si>
  <si>
    <t>goordi</t>
  </si>
  <si>
    <t>Estado: Enviado; Vendedor: goordi; Envío repartido: 1.15 EUR</t>
  </si>
  <si>
    <t>13.12.2022</t>
  </si>
  <si>
    <t>Estado: Enviado; Vendedor: Mazvigosl; Envío repartido: 5.60 EUR</t>
  </si>
  <si>
    <t>12.12.2022</t>
  </si>
  <si>
    <t>Estado: Enviado; Vendedor: fichescu; Envío repartido: 1.15 EUR</t>
  </si>
  <si>
    <t>Estado: Enviado; Vendedor: PERALTA; Envío repartido: 1.15 EUR</t>
  </si>
  <si>
    <t>darkkind96</t>
  </si>
  <si>
    <t>11.12.2022</t>
  </si>
  <si>
    <t>Estado: Enviado; Vendedor: darkkind96; Envío repartido: 5.10 EUR</t>
  </si>
  <si>
    <t>damnat10n</t>
  </si>
  <si>
    <t>10.12.2022</t>
  </si>
  <si>
    <t>Estado: Enviado; Vendedor: damnat10n; Envío repartido: 1.15 EUR</t>
  </si>
  <si>
    <t>Sotoh</t>
  </si>
  <si>
    <t>Estado: Enviado; Vendedor: Sotoh; Envío repartido: 1.15 EUR</t>
  </si>
  <si>
    <t>imanolperezg</t>
  </si>
  <si>
    <t>Estado: Enviado; Vendedor: imanolperezg; Envío repartido: 1.15 EUR</t>
  </si>
  <si>
    <t>monstersystem</t>
  </si>
  <si>
    <t>Estado: Enviado; Vendedor: monstersystem; Envío repartido: 1.15 EUR</t>
  </si>
  <si>
    <t>biteul</t>
  </si>
  <si>
    <t>Estado: Enviado; Vendedor: biteul; Envío repartido: 1.95 EUR</t>
  </si>
  <si>
    <t>Flikaso</t>
  </si>
  <si>
    <t>08.12.2022</t>
  </si>
  <si>
    <t>Estado: Enviado; Vendedor: Flikaso; Envío repartido: 5.10 EUR</t>
  </si>
  <si>
    <t>07.12.2022</t>
  </si>
  <si>
    <t>Estado: Enviado; Vendedor: isafor77; Envío repartido: 3.25 EUR</t>
  </si>
  <si>
    <t>berko</t>
  </si>
  <si>
    <t>Estado: Enviado; Vendedor: berko; Envío repartido: 5.10 EUR</t>
  </si>
  <si>
    <t>Estado: Pagado; Vendedor: willybizarre; Envío repartido: 6.95 EUR</t>
  </si>
  <si>
    <t>Borja15</t>
  </si>
  <si>
    <t>02.12.2022</t>
  </si>
  <si>
    <t>Estado: Enviado; Vendedor: Borja15; Envío repartido: 5.10 EUR</t>
  </si>
  <si>
    <t>01.12.2022</t>
  </si>
  <si>
    <t>Estado: Enviado; Vendedor: TheWolverine; Envío repartido: 5.10 EUR</t>
  </si>
  <si>
    <t>Manos90</t>
  </si>
  <si>
    <t>Estado: Enviado; Vendedor: Manos90; Envío repartido: 7.50 EUR</t>
  </si>
  <si>
    <t>GremioDeDragones</t>
  </si>
  <si>
    <t>27.11.2022</t>
  </si>
  <si>
    <t>Estado: Enviado; Vendedor: GremioDeDragones; Envío repartido: 1.85 EUR</t>
  </si>
  <si>
    <t>Estado: Enviado; Vendedor: Kimidaxu; Envío repartido: 5.10 EUR</t>
  </si>
  <si>
    <t>26.11.2022</t>
  </si>
  <si>
    <t>Estado: Enviado; Vendedor: ElRincondeMagic; Envío repartido: 4.90 EUR</t>
  </si>
  <si>
    <t>Leenx</t>
  </si>
  <si>
    <t>23.11.2022</t>
  </si>
  <si>
    <t>Estado: Enviado; Vendedor: Leenx; Envío repartido: 5.10 EUR</t>
  </si>
  <si>
    <t>12.11.2022</t>
  </si>
  <si>
    <t>Estado: Enviado; Vendedor: isafor77; Envío repartido: 3.45 EUR</t>
  </si>
  <si>
    <t>Andr4en</t>
  </si>
  <si>
    <t>10.11.2022</t>
  </si>
  <si>
    <t>Estado: Enviado; Vendedor: Andr4en; Envío repartido: 5.10 EUR</t>
  </si>
  <si>
    <t>09.11.2022</t>
  </si>
  <si>
    <t>08.11.2022</t>
  </si>
  <si>
    <t>Estado: Enviado; Vendedor: MagicBarcelona; Envío repartido: 4.99 EUR</t>
  </si>
  <si>
    <t>03.11.2022</t>
  </si>
  <si>
    <t>Estado: Pagado; Vendedor: mundicomics; Envío repartido: 6.95 EUR</t>
  </si>
  <si>
    <t>talasoma</t>
  </si>
  <si>
    <t>Estado: Enviado; Vendedor: talasoma; Envío repartido: 5.10 EUR</t>
  </si>
  <si>
    <t>CumplidoHalcon</t>
  </si>
  <si>
    <t>Estado: Enviado; Vendedor: CumplidoHalcon; Envío repartido: 5.10 EUR</t>
  </si>
  <si>
    <t>D-Ruiz</t>
  </si>
  <si>
    <t>Estado: Pagado; Vendedor: D-Ruiz; Envío repartido: 5.10 EUR</t>
  </si>
  <si>
    <t>Estado: Pagado; Vendedor: Mazvigosl; Envío repartido: 7.50 EUR</t>
  </si>
  <si>
    <t>mison</t>
  </si>
  <si>
    <t>29.10.2022</t>
  </si>
  <si>
    <t>Estado: Enviado; Vendedor: mison; Envío repartido: 5.10 EUR</t>
  </si>
  <si>
    <t>Estado: Pagado; Vendedor: EldritchGate; Envío repartido: 5.10 EUR</t>
  </si>
  <si>
    <t>28.10.2022</t>
  </si>
  <si>
    <t>27.10.2022</t>
  </si>
  <si>
    <t>Estado: Enviado; Vendedor: Moria05; Envío repartido: 5.60 EUR</t>
  </si>
  <si>
    <t>26.10.2022</t>
  </si>
  <si>
    <t>Estado: Enviado; Vendedor: Library-Of-Cards; Envío repartido: 28.95 EUR</t>
  </si>
  <si>
    <t>16.10.2022</t>
  </si>
  <si>
    <t>Estado: Enviado; Vendedor: GENEXCOMICS; Envío repartido: 5.60 EUR</t>
  </si>
  <si>
    <t>14.10.2022</t>
  </si>
  <si>
    <t>13.10.2022</t>
  </si>
  <si>
    <t>Estado: Enviado; Vendedor: Teban; Envío repartido: 5.10 EUR</t>
  </si>
  <si>
    <t>10.10.2022</t>
  </si>
  <si>
    <t>vertuk</t>
  </si>
  <si>
    <t>07.10.2022</t>
  </si>
  <si>
    <t>Estado: Enviado; Vendedor: vertuk; Envío repartido: 5.10 EUR</t>
  </si>
  <si>
    <t>05.10.2022</t>
  </si>
  <si>
    <t>Estado: Enviado; Vendedor: Knowny; Envío repartido: 5.10 EUR</t>
  </si>
  <si>
    <t>29.09.2022</t>
  </si>
  <si>
    <t>Estado: Enviado; Vendedor: Mazvigosl; Envío repartido: 5.10 EUR</t>
  </si>
  <si>
    <t>27.09.2022</t>
  </si>
  <si>
    <t>Estado: Enviado; Vendedor: imanolperezg; Envío repartido: 5.10 EUR</t>
  </si>
  <si>
    <t>Estado: Enviado; Vendedor: Mazvigosl; Envío repartido: 6.95 EUR</t>
  </si>
  <si>
    <t>26.09.2022</t>
  </si>
  <si>
    <t>Estado: Enviado; Vendedor: ManaVortex-POOL4YOU; Envío repartido: 5.10 EUR</t>
  </si>
  <si>
    <t>25.09.2022</t>
  </si>
  <si>
    <t>20.09.2022</t>
  </si>
  <si>
    <t>17.09.2022</t>
  </si>
  <si>
    <t>Estado: Enviado; Vendedor: Metropolis-Center; Envío repartido: 4.99 EUR</t>
  </si>
  <si>
    <t>14.09.2022</t>
  </si>
  <si>
    <t>Estado: Enviado; Vendedor: ElRincondeMagic; Envío repartido: 3.20 EUR</t>
  </si>
  <si>
    <t>Estado: Enviado; Vendedor: TEMPEST-STORE; Envío repartido: 5.60 EUR</t>
  </si>
  <si>
    <t>1093646709</t>
  </si>
  <si>
    <t>10.11.202214:44</t>
  </si>
  <si>
    <t>1093455927</t>
  </si>
  <si>
    <t>12.11.202220:18</t>
  </si>
  <si>
    <t>Mes</t>
  </si>
  <si>
    <t>Año</t>
  </si>
  <si>
    <t>Date</t>
  </si>
  <si>
    <t>Card Name</t>
  </si>
  <si>
    <t>Edition</t>
  </si>
  <si>
    <t>Playset</t>
  </si>
  <si>
    <t>Language</t>
  </si>
  <si>
    <t>Unit Price</t>
  </si>
  <si>
    <t>Quantity</t>
  </si>
  <si>
    <t>Total</t>
  </si>
  <si>
    <t>Precio de venta</t>
  </si>
  <si>
    <t>Junio</t>
  </si>
  <si>
    <t>Super-Soldier Serum</t>
  </si>
  <si>
    <t>Marvel Super Heroes</t>
  </si>
  <si>
    <t>Si</t>
  </si>
  <si>
    <t>Inglés</t>
  </si>
  <si>
    <t>First Mate</t>
  </si>
  <si>
    <t>Origins</t>
  </si>
  <si>
    <t>No</t>
  </si>
  <si>
    <t>Body Rune (V.2 - Showcase)</t>
  </si>
  <si>
    <t>Unleashed</t>
  </si>
  <si>
    <t>Shepherd's Heirloom</t>
  </si>
  <si>
    <t>Challenge</t>
  </si>
  <si>
    <t>Sabotage</t>
  </si>
  <si>
    <t>Demacian Diplomat</t>
  </si>
  <si>
    <t>Grim Resolve</t>
  </si>
  <si>
    <t>Irresistible Faefolk</t>
  </si>
  <si>
    <t>Repulse</t>
  </si>
  <si>
    <t>Pit Rookie</t>
  </si>
  <si>
    <t>The Candlelit Sanctum</t>
  </si>
  <si>
    <t>Fiora, Victorious</t>
  </si>
  <si>
    <t>Sett, Brawler (V.2 - Showcase)</t>
  </si>
  <si>
    <t>Kinkou Monk</t>
  </si>
  <si>
    <t>Punch First</t>
  </si>
  <si>
    <t>Spiritforged</t>
  </si>
  <si>
    <t>Acceptable Losses</t>
  </si>
  <si>
    <t>Unyielding Spirit</t>
  </si>
  <si>
    <t>Unsung Hero</t>
  </si>
  <si>
    <t>Trifarian War Camp</t>
  </si>
  <si>
    <t>Desert's Call</t>
  </si>
  <si>
    <t>Valley of Idols</t>
  </si>
  <si>
    <t>Elder Dragon (V.2 - Showcase)</t>
  </si>
  <si>
    <t>Akshan, Mischievous</t>
  </si>
  <si>
    <t>Riposte</t>
  </si>
  <si>
    <t>Fiora, Worthy (V.2 - Showcase)</t>
  </si>
  <si>
    <t>Fiora, Grand Duelist (V.2 - Showcase)</t>
  </si>
  <si>
    <t>Arcane Box Set</t>
  </si>
  <si>
    <t>Origins: Promos</t>
  </si>
  <si>
    <t>Worlds Bundle 2025</t>
  </si>
  <si>
    <t>Gust</t>
  </si>
  <si>
    <t>Snapcaster Mage</t>
  </si>
  <si>
    <t>Innistrad Remastered: Extras</t>
  </si>
  <si>
    <t>Japonés</t>
  </si>
  <si>
    <t>Brainsurge</t>
  </si>
  <si>
    <t>Modern Horizons 3: Extras</t>
  </si>
  <si>
    <t>Voldaren Epicure</t>
  </si>
  <si>
    <t>Innistrad: Crimson Vow</t>
  </si>
  <si>
    <t>Hex Magic</t>
  </si>
  <si>
    <t>Stacked Deck</t>
  </si>
  <si>
    <t>Unleashed Booster Box</t>
  </si>
  <si>
    <t>Brimaz, Blight of Oreskos</t>
  </si>
  <si>
    <t>Commander: March of the Machine</t>
  </si>
  <si>
    <t>Imperial Decree</t>
  </si>
  <si>
    <t>Sprite Fountain</t>
  </si>
  <si>
    <t>Viktor, Herald of the Arcane (V.2 - Showcase)</t>
  </si>
  <si>
    <t>Plundering Poro</t>
  </si>
  <si>
    <t>Viktor, Leader (V.2 - Showcase)</t>
  </si>
  <si>
    <t>Bellows Breath</t>
  </si>
  <si>
    <t>Deadly Flourish</t>
  </si>
  <si>
    <t>Azir, Emperor of the Sands (V.2 - Showcase)</t>
  </si>
  <si>
    <t>Sand Soldier</t>
  </si>
  <si>
    <t>Reflection</t>
  </si>
  <si>
    <t>Xin Zhao, Vigilant</t>
  </si>
  <si>
    <t>Chakram Dancer</t>
  </si>
  <si>
    <t>Safety Inspector</t>
  </si>
  <si>
    <t>Shadow's Call</t>
  </si>
  <si>
    <t>Sprite Burst</t>
  </si>
  <si>
    <t>Sprite</t>
  </si>
  <si>
    <t>Hall of Legends</t>
  </si>
  <si>
    <t>Seat of Power</t>
  </si>
  <si>
    <t>Azir, Sovereign (V.2 - Showcase)</t>
  </si>
  <si>
    <t>Order Rune (V.2 - Showcase)</t>
  </si>
  <si>
    <t>Brutalizer</t>
  </si>
  <si>
    <t>Doran's Shield</t>
  </si>
  <si>
    <t>Eye of the Herald</t>
  </si>
  <si>
    <t>Soul Sword</t>
  </si>
  <si>
    <t>B.F. Sword</t>
  </si>
  <si>
    <t>Guards!</t>
  </si>
  <si>
    <t>Arise!</t>
  </si>
  <si>
    <t>Azir, Emperor of the Sands (V.1 - Rare)</t>
  </si>
  <si>
    <t>Leblanc, Fragmented (V.1 - Rare)</t>
  </si>
  <si>
    <t>Salvage</t>
  </si>
  <si>
    <t>Wages of Pain</t>
  </si>
  <si>
    <t>Downwell</t>
  </si>
  <si>
    <t>Diana, Scorn of the Moon (V.2 - Showcase)</t>
  </si>
  <si>
    <t>Leblanc, Deceiver (V.2 - Showcase)</t>
  </si>
  <si>
    <t>Leblanc, Fragmented (V.2 - Showcase)</t>
  </si>
  <si>
    <t>Atakhan</t>
  </si>
  <si>
    <t>Soaring Scout</t>
  </si>
  <si>
    <t>Harnessed Dragon</t>
  </si>
  <si>
    <t>Ashe, Focused</t>
  </si>
  <si>
    <t>Black Rose Dignitary</t>
  </si>
  <si>
    <t>Ruined Rex</t>
  </si>
  <si>
    <t>Sacrifice</t>
  </si>
  <si>
    <t>The Ruination</t>
  </si>
  <si>
    <t>Baited Hook</t>
  </si>
  <si>
    <t>Mirror Image</t>
  </si>
  <si>
    <t>Vi, Peacekeeper (V.2 - Showcase)</t>
  </si>
  <si>
    <t>Karthus, Eternal</t>
  </si>
  <si>
    <t>Deathgrip</t>
  </si>
  <si>
    <t>Glasc Mixologist</t>
  </si>
  <si>
    <t>Watchful Sentry</t>
  </si>
  <si>
    <t>Honest Broker</t>
  </si>
  <si>
    <t>Hidden Blade</t>
  </si>
  <si>
    <t>Cull the Weak</t>
  </si>
  <si>
    <t>Rift Herald (V.2 - Showcase)</t>
  </si>
  <si>
    <t>Umbral Collar Zealot</t>
  </si>
  <si>
    <t>Edge of Eternities: Promos</t>
  </si>
  <si>
    <t>Saruman of Many Colors</t>
  </si>
  <si>
    <t>The Lord of the Rings: Tales of Middle-earth</t>
  </si>
  <si>
    <t>Mind Rune (V.2 - Showcase)</t>
  </si>
  <si>
    <t>Rabadon's Deathcrown</t>
  </si>
  <si>
    <t>Charm</t>
  </si>
  <si>
    <t>Angler Beast</t>
  </si>
  <si>
    <t>Lonely Poro</t>
  </si>
  <si>
    <t>Singularity</t>
  </si>
  <si>
    <t>Mayo</t>
  </si>
  <si>
    <t>Fateful Absence</t>
  </si>
  <si>
    <t>Innistrad: Midnight Hunt</t>
  </si>
  <si>
    <t>Español</t>
  </si>
  <si>
    <t>Moonfall</t>
  </si>
  <si>
    <t>Goblin Warchief</t>
  </si>
  <si>
    <t>Scourge</t>
  </si>
  <si>
    <t>Sunderflock</t>
  </si>
  <si>
    <t>Lorwyn Eclipsed: Extras</t>
  </si>
  <si>
    <t>Traveling Merchant</t>
  </si>
  <si>
    <t>Targon's Peak</t>
  </si>
  <si>
    <t>Smoke Screen</t>
  </si>
  <si>
    <t>Hard Bargain</t>
  </si>
  <si>
    <t>Thousand-Tailed Watcher</t>
  </si>
  <si>
    <t>Diana, Lunari (V.2 - Showcase)</t>
  </si>
  <si>
    <t>Diana, Scorn of the Moon (V.1 - Rare)</t>
  </si>
  <si>
    <t>Turn to Dust</t>
  </si>
  <si>
    <t>Eclipse</t>
  </si>
  <si>
    <t>Ravenbloom Student</t>
  </si>
  <si>
    <t>Treasure Hoard</t>
  </si>
  <si>
    <t>Stupefy</t>
  </si>
  <si>
    <t>Vex, Cheerless</t>
  </si>
  <si>
    <t>Hwei, Brooding Painter</t>
  </si>
  <si>
    <t>Shardless Agent (V.1)</t>
  </si>
  <si>
    <t>Modern Horizons 2</t>
  </si>
  <si>
    <t>Emperor's Divide</t>
  </si>
  <si>
    <t>Fade from History</t>
  </si>
  <si>
    <t>The Brothers' War: Extras</t>
  </si>
  <si>
    <t>The Syren</t>
  </si>
  <si>
    <t>Last Rites</t>
  </si>
  <si>
    <t>Ember Monk</t>
  </si>
  <si>
    <t>Wistfulness</t>
  </si>
  <si>
    <t>Umezawa's Jitte</t>
  </si>
  <si>
    <t>Betrayers of Kamigawa</t>
  </si>
  <si>
    <t>Lunar Revel Bundle Playmat</t>
  </si>
  <si>
    <t>Spiritforged: Promos</t>
  </si>
  <si>
    <t>Shadow</t>
  </si>
  <si>
    <t>Conscription</t>
  </si>
  <si>
    <t>Seal of Discord</t>
  </si>
  <si>
    <t>Chaos Rune</t>
  </si>
  <si>
    <t>Calm Rune</t>
  </si>
  <si>
    <t>Existential Dread</t>
  </si>
  <si>
    <t>Switcheroo</t>
  </si>
  <si>
    <t>Bandle Tree</t>
  </si>
  <si>
    <t>Startipped Peak</t>
  </si>
  <si>
    <t>Star Spring</t>
  </si>
  <si>
    <t>Kha'Zix, Mutating Horror (V.2 - Showcase)</t>
  </si>
  <si>
    <t>Pyke, Returned (V.2 - Showcase)</t>
  </si>
  <si>
    <t>Teemo, Scout (V.1 - Rare)</t>
  </si>
  <si>
    <t>Treasure Hunter</t>
  </si>
  <si>
    <t>Mutated Mouser</t>
  </si>
  <si>
    <t>Evelynn, Entrancing</t>
  </si>
  <si>
    <t>Vex, Gloomist (V.2 - Showcase)</t>
  </si>
  <si>
    <t>Sona, Harmonious</t>
  </si>
  <si>
    <t>Star-Crossed</t>
  </si>
  <si>
    <t>Defiant Dance</t>
  </si>
  <si>
    <t>Tideturner</t>
  </si>
  <si>
    <t>Boots of Swiftness</t>
  </si>
  <si>
    <t>Factory Recall</t>
  </si>
  <si>
    <t>Defy</t>
  </si>
  <si>
    <t>Rebuke</t>
  </si>
  <si>
    <t>Adaptatron</t>
  </si>
  <si>
    <t>Ride the Wind</t>
  </si>
  <si>
    <t>Back Off</t>
  </si>
  <si>
    <t>Abandon</t>
  </si>
  <si>
    <t>Sneaky Deckhand</t>
  </si>
  <si>
    <t>Not So Fast</t>
  </si>
  <si>
    <t>Flash</t>
  </si>
  <si>
    <t>Proving Grounds</t>
  </si>
  <si>
    <t>Zhonya's Hourglass</t>
  </si>
  <si>
    <t>Discipline</t>
  </si>
  <si>
    <t>Stellacorn Herder</t>
  </si>
  <si>
    <t>Guardian Angel</t>
  </si>
  <si>
    <t>Heart of Dark Ice</t>
  </si>
  <si>
    <t>Edge of Night</t>
  </si>
  <si>
    <t>Fizz, Trickster</t>
  </si>
  <si>
    <t>Scuttle Crab</t>
  </si>
  <si>
    <t>Mindsplitter</t>
  </si>
  <si>
    <t>En Garde</t>
  </si>
  <si>
    <t>Disarming Rake</t>
  </si>
  <si>
    <t>Sunken Temple</t>
  </si>
  <si>
    <t>Abandoned Hall</t>
  </si>
  <si>
    <t>Rockfall Path</t>
  </si>
  <si>
    <t>Calm Rune (V.1 - Common)</t>
  </si>
  <si>
    <t>Chaos Rune (V.1 - Common)</t>
  </si>
  <si>
    <t>Irelia, Blade Dancer (V.2 - Showcase)</t>
  </si>
  <si>
    <t>Irelia, Fervent (V.3 - Showcase)</t>
  </si>
  <si>
    <t>Vex, Apathetic (V.2 - Showcase)</t>
  </si>
  <si>
    <t>Skycoach Conductor // All Aboard</t>
  </si>
  <si>
    <t>Secrets of Strixhaven: Extras</t>
  </si>
  <si>
    <t>Flitterwing Nuisance</t>
  </si>
  <si>
    <t>March of Reckless Joy</t>
  </si>
  <si>
    <t>Kamigawa: Neon Dynasty</t>
  </si>
  <si>
    <t>Legion Leadership // Legion Stronghold</t>
  </si>
  <si>
    <t>Modern Horizons 3</t>
  </si>
  <si>
    <t>Flashback</t>
  </si>
  <si>
    <t>Gran-Gran</t>
  </si>
  <si>
    <t>DCI Promos</t>
  </si>
  <si>
    <t>Pensive Professor</t>
  </si>
  <si>
    <t>Exhibition Tidecaller</t>
  </si>
  <si>
    <t>Stormscale Scion</t>
  </si>
  <si>
    <t>Tarkir: Dragonstorm</t>
  </si>
  <si>
    <t>Fatestitcher</t>
  </si>
  <si>
    <t>Secret Lair Drop Series</t>
  </si>
  <si>
    <t>Abril</t>
  </si>
  <si>
    <t>Empty the Warrens (V.2)</t>
  </si>
  <si>
    <t>Secrets of Strixhaven: Mystical Archive</t>
  </si>
  <si>
    <t>Flow State</t>
  </si>
  <si>
    <t>Secrets of Strixhaven</t>
  </si>
  <si>
    <t>Ghostly Prison</t>
  </si>
  <si>
    <t>Commander: Kaldheim</t>
  </si>
  <si>
    <t>Soul's Attendant</t>
  </si>
  <si>
    <t>Rise of the Eldrazi</t>
  </si>
  <si>
    <t>Chino-S</t>
  </si>
  <si>
    <t>Flare of Duplication</t>
  </si>
  <si>
    <t>Genesis</t>
  </si>
  <si>
    <t>Judgment</t>
  </si>
  <si>
    <t>Urza's Mine (V.2)</t>
  </si>
  <si>
    <t>Chronicles</t>
  </si>
  <si>
    <t>Marzo</t>
  </si>
  <si>
    <t>Silverbluff Bridge</t>
  </si>
  <si>
    <t>Commander: The Brothers' War</t>
  </si>
  <si>
    <t>Terminate</t>
  </si>
  <si>
    <t>Commander: Dominaria United</t>
  </si>
  <si>
    <t>Skrelv, Defector Mite</t>
  </si>
  <si>
    <t>Phyrexia: All Will Be One</t>
  </si>
  <si>
    <t>Construct Token (Artifact */*)</t>
  </si>
  <si>
    <t>Unstable</t>
  </si>
  <si>
    <t>Replenish</t>
  </si>
  <si>
    <t>Urza's Destiny</t>
  </si>
  <si>
    <t>Fiery Islet</t>
  </si>
  <si>
    <t>Modern Horizons</t>
  </si>
  <si>
    <t>Weapons Manufacturing</t>
  </si>
  <si>
    <t>Edge of Eternities</t>
  </si>
  <si>
    <t>Claws of Gix</t>
  </si>
  <si>
    <t>Time Spiral</t>
  </si>
  <si>
    <t>Engineered Explosives</t>
  </si>
  <si>
    <t>Ultimate Masters</t>
  </si>
  <si>
    <t>Narset, Parter of Veils</t>
  </si>
  <si>
    <t>War of the Spark</t>
  </si>
  <si>
    <t>Invisible Stalker</t>
  </si>
  <si>
    <t>Innistrad</t>
  </si>
  <si>
    <t>Leonardo, Cutting Edge</t>
  </si>
  <si>
    <t>Teenage Mutant Ninja Turtles</t>
  </si>
  <si>
    <t>Haliya, Guided by Light</t>
  </si>
  <si>
    <t>Edge of Eternities: Extras</t>
  </si>
  <si>
    <t>Heliod, Sun-Crowned</t>
  </si>
  <si>
    <t>Theros Beyond Death</t>
  </si>
  <si>
    <t>Monastery Swiftspear</t>
  </si>
  <si>
    <t>Khans of Tarkir</t>
  </si>
  <si>
    <t>Heliod, the Radiant Dawn // Heliod, the Warped Eclipse</t>
  </si>
  <si>
    <t>March of the Machine: The Aftermath</t>
  </si>
  <si>
    <t>Archangel Elspeth</t>
  </si>
  <si>
    <t>March of the Machine: Extras</t>
  </si>
  <si>
    <t>Death Cloud</t>
  </si>
  <si>
    <t>The List</t>
  </si>
  <si>
    <t>Marauding Mako</t>
  </si>
  <si>
    <t>Aetherdrift: Promos</t>
  </si>
  <si>
    <t>Questing Beast</t>
  </si>
  <si>
    <t>Roaring Furnace // Steaming Sauna</t>
  </si>
  <si>
    <t>Duskmourn: House of Horror</t>
  </si>
  <si>
    <t>Soul Warden</t>
  </si>
  <si>
    <t>Magic 2010</t>
  </si>
  <si>
    <t>Lindblum, Industrial Regency // Mage Siege</t>
  </si>
  <si>
    <t>FINAL FANTASY</t>
  </si>
  <si>
    <t>Siege-Gang Commander</t>
  </si>
  <si>
    <t>Sunspine Lynx</t>
  </si>
  <si>
    <t>Bloomburrow: Extras</t>
  </si>
  <si>
    <t>Braids, Cabal Minion</t>
  </si>
  <si>
    <t>Odyssey</t>
  </si>
  <si>
    <t>Glacial Fortress</t>
  </si>
  <si>
    <t>Essence Flux</t>
  </si>
  <si>
    <t>Innistrad Remastered</t>
  </si>
  <si>
    <t>Shadows over Innistrad</t>
  </si>
  <si>
    <t>Eldritch Evolution</t>
  </si>
  <si>
    <t>Eldritch Moon</t>
  </si>
  <si>
    <t>Krang, Master Mind</t>
  </si>
  <si>
    <t>Does Machines</t>
  </si>
  <si>
    <t>Sewer-veillance Cam</t>
  </si>
  <si>
    <t>Skateboard</t>
  </si>
  <si>
    <t>Meteor Sword</t>
  </si>
  <si>
    <t>Avatar: The Last Airbender</t>
  </si>
  <si>
    <t>Tide Shaper (V.1)</t>
  </si>
  <si>
    <t>Modern Horizons 2: Extras</t>
  </si>
  <si>
    <t>Voldaren Thrillseeker</t>
  </si>
  <si>
    <t>March of the Machine</t>
  </si>
  <si>
    <t>Analyze the Pollen</t>
  </si>
  <si>
    <t>Murders at Karlov Manor: Extras</t>
  </si>
  <si>
    <t>Absorb</t>
  </si>
  <si>
    <t>Starter Commander Decks</t>
  </si>
  <si>
    <t>Prized Amalgam</t>
  </si>
  <si>
    <t>Double Masters 2022</t>
  </si>
  <si>
    <t>Welding Jar</t>
  </si>
  <si>
    <t>Double Masters</t>
  </si>
  <si>
    <t>Febrero</t>
  </si>
  <si>
    <t>Cloudshift</t>
  </si>
  <si>
    <t>Avacyn Restored</t>
  </si>
  <si>
    <t>Decree of Silence</t>
  </si>
  <si>
    <t>Loran's Escape</t>
  </si>
  <si>
    <t>The Brothers' War</t>
  </si>
  <si>
    <t>Ultima</t>
  </si>
  <si>
    <t>Insatiable Avarice</t>
  </si>
  <si>
    <t>Outlaws of Thunder Junction</t>
  </si>
  <si>
    <t>Weather the Storm</t>
  </si>
  <si>
    <t>Urborg Scavengers (V.1)</t>
  </si>
  <si>
    <t>Wastewood Verge</t>
  </si>
  <si>
    <t>Aetherdrift: Extras</t>
  </si>
  <si>
    <t>Glissa, Herald of Predation</t>
  </si>
  <si>
    <t>Phyrexian Unlife</t>
  </si>
  <si>
    <t>Enchanting Tales</t>
  </si>
  <si>
    <t>Raffine, Scheming Seer (V.1)</t>
  </si>
  <si>
    <t>Streets of New Capenna: Extras</t>
  </si>
  <si>
    <t>Melira, Sylvok Outcast</t>
  </si>
  <si>
    <t>New Phyrexia</t>
  </si>
  <si>
    <t>Caves of Koilos</t>
  </si>
  <si>
    <t>Apocalypse</t>
  </si>
  <si>
    <t>Utopia Sprawl</t>
  </si>
  <si>
    <t>Commander: Adventures in the Forgotten Realms</t>
  </si>
  <si>
    <t>Ouroboroid</t>
  </si>
  <si>
    <t>Darkslick Shores</t>
  </si>
  <si>
    <t>Badgermole Cub</t>
  </si>
  <si>
    <t>Magic: The Gathering | Avatar: The Last Airbender</t>
  </si>
  <si>
    <t>Monument to Endurance</t>
  </si>
  <si>
    <t>Lush Portico</t>
  </si>
  <si>
    <t>Murders at Karlov Manor</t>
  </si>
  <si>
    <t>Formidable Speaker</t>
  </si>
  <si>
    <t>Three Steps Ahead</t>
  </si>
  <si>
    <t>Boros Charm</t>
  </si>
  <si>
    <t>Gatecrash</t>
  </si>
  <si>
    <t>Stoneforge Mystic</t>
  </si>
  <si>
    <t>Worldwake</t>
  </si>
  <si>
    <t>Restoration Angel</t>
  </si>
  <si>
    <t>Flamebraider</t>
  </si>
  <si>
    <t>Lorwyn Eclipsed</t>
  </si>
  <si>
    <t>Enero</t>
  </si>
  <si>
    <t>Eldrazi Linebreaker</t>
  </si>
  <si>
    <t>Hexing Squelcher</t>
  </si>
  <si>
    <t>Caves of Chaos Adventurer</t>
  </si>
  <si>
    <t>Commander Legends: Battle for Baldur's Gate: Extras</t>
  </si>
  <si>
    <t>Loran of the Third Path</t>
  </si>
  <si>
    <t>Baral, Chief of Compliance</t>
  </si>
  <si>
    <t>Aether Revolt</t>
  </si>
  <si>
    <t>Enduring Courage (V.1)</t>
  </si>
  <si>
    <t>Duskmourn: House of Horror: Extras</t>
  </si>
  <si>
    <t>Stonecoil Serpent</t>
  </si>
  <si>
    <t>Throne of Eldraine</t>
  </si>
  <si>
    <t>Scurry Oak</t>
  </si>
  <si>
    <t>Lorwyn Eclipsed: Common Set</t>
  </si>
  <si>
    <t>Wanderwine Hub</t>
  </si>
  <si>
    <t>Lorwyn</t>
  </si>
  <si>
    <t>Sygg, Wanderwine Wisdom // Sygg, Wanderbrine Shield</t>
  </si>
  <si>
    <t>Lorwyn Eclipsed: Promos</t>
  </si>
  <si>
    <t>Champions of the Shoal</t>
  </si>
  <si>
    <t>Disruptor of Currents</t>
  </si>
  <si>
    <t>Silvergill Mentor</t>
  </si>
  <si>
    <t>Deepway Navigator</t>
  </si>
  <si>
    <t>Null Rod</t>
  </si>
  <si>
    <t>Ral, Crackling Wit (V.1)</t>
  </si>
  <si>
    <t>City of Traitors</t>
  </si>
  <si>
    <t>Exodus</t>
  </si>
  <si>
    <t>Fblthp, the Lost</t>
  </si>
  <si>
    <t>Time Spiral Remastered: Extras</t>
  </si>
  <si>
    <t>Viridian Longbow</t>
  </si>
  <si>
    <t>Mirrodin</t>
  </si>
  <si>
    <t>Distortion Strike</t>
  </si>
  <si>
    <t>Iconic Masters</t>
  </si>
  <si>
    <t>Urza's Bauble</t>
  </si>
  <si>
    <t>Ice Age</t>
  </si>
  <si>
    <t>Portent</t>
  </si>
  <si>
    <t>Lotus Petal</t>
  </si>
  <si>
    <t>Tempest</t>
  </si>
  <si>
    <t>Nevermore</t>
  </si>
  <si>
    <t>Universes Beyond: Doctor Who</t>
  </si>
  <si>
    <t>Ancient Stirrings</t>
  </si>
  <si>
    <t>Ezuri, Stalker of Spheres</t>
  </si>
  <si>
    <t>Worldwalker Helm</t>
  </si>
  <si>
    <t>Aftermath Analyst</t>
  </si>
  <si>
    <t>Seal of Cleansing</t>
  </si>
  <si>
    <t>Nemesis</t>
  </si>
  <si>
    <t>Wild Nacatl</t>
  </si>
  <si>
    <t>Shards of Alara</t>
  </si>
  <si>
    <t>Arcane Proxy</t>
  </si>
  <si>
    <t>Leyline of the Void</t>
  </si>
  <si>
    <t>Core 2020</t>
  </si>
  <si>
    <t>Frenzied Baloth (V.2)</t>
  </si>
  <si>
    <t>Rending Volley</t>
  </si>
  <si>
    <t>Dragons of Tarkir</t>
  </si>
  <si>
    <t>Illness in the Ranks</t>
  </si>
  <si>
    <t>Brazen Borrower // Petty Theft</t>
  </si>
  <si>
    <t>Special Guests</t>
  </si>
  <si>
    <t>Hardened Scales</t>
  </si>
  <si>
    <t>Unearth</t>
  </si>
  <si>
    <t>Smile at Death (V.2)</t>
  </si>
  <si>
    <t>Tarkir: Dragonstorm: Promos</t>
  </si>
  <si>
    <t>Hall of Heliod's Generosity</t>
  </si>
  <si>
    <t>Squee, Goblin Nabob</t>
  </si>
  <si>
    <t>Commander 2019</t>
  </si>
  <si>
    <t>Tormod's Crypt</t>
  </si>
  <si>
    <t>Core 2021</t>
  </si>
  <si>
    <t>Meddling Mage</t>
  </si>
  <si>
    <t>Searing Blaze</t>
  </si>
  <si>
    <t>Alemán</t>
  </si>
  <si>
    <t>Lightning Bolt</t>
  </si>
  <si>
    <t>Magic 2011</t>
  </si>
  <si>
    <t>Francés</t>
  </si>
  <si>
    <t>Capsize</t>
  </si>
  <si>
    <t>Call of the Ring</t>
  </si>
  <si>
    <t>Novice Inspector</t>
  </si>
  <si>
    <t>Step Through (V.1)</t>
  </si>
  <si>
    <t>Dread Return</t>
  </si>
  <si>
    <t>Dominaria Remastered: Extras</t>
  </si>
  <si>
    <t>Cephalid Illusionist</t>
  </si>
  <si>
    <t>Torment</t>
  </si>
  <si>
    <t>Serenity</t>
  </si>
  <si>
    <t>Nomads en-Kor</t>
  </si>
  <si>
    <t>Stronghold</t>
  </si>
  <si>
    <t>Shuko</t>
  </si>
  <si>
    <t>Ninja of the Deep Hours</t>
  </si>
  <si>
    <t>Cultivator Colossus (V.2)</t>
  </si>
  <si>
    <t>Innistrad: Crimson Vow: Promos</t>
  </si>
  <si>
    <t>Urza's Power Plant</t>
  </si>
  <si>
    <t>Urza's Mine</t>
  </si>
  <si>
    <t>Urza's Tower</t>
  </si>
  <si>
    <t>Phantasmal Shieldback</t>
  </si>
  <si>
    <t>Foundations Jumpstart</t>
  </si>
  <si>
    <t>Snow-Covered Island</t>
  </si>
  <si>
    <t>Snow-Covered Forest</t>
  </si>
  <si>
    <t>Prismatic Vista (V.1)</t>
  </si>
  <si>
    <t>Modern Horizons: Retro Frame Cards</t>
  </si>
  <si>
    <t>Karakas</t>
  </si>
  <si>
    <t>Legends</t>
  </si>
  <si>
    <t>Koma, World-Eater (V.2)</t>
  </si>
  <si>
    <t>Magic: The Gathering Foundations: Promo</t>
  </si>
  <si>
    <t>Damn</t>
  </si>
  <si>
    <t>Chromatic Sphere</t>
  </si>
  <si>
    <t>Invasion</t>
  </si>
  <si>
    <t>Buried Alive</t>
  </si>
  <si>
    <t>Magus of the Moon</t>
  </si>
  <si>
    <t>Time Spiral Remastered</t>
  </si>
  <si>
    <t>Archon of Emeria</t>
  </si>
  <si>
    <t>Zendikar Rising</t>
  </si>
  <si>
    <t>Oblivion Stone</t>
  </si>
  <si>
    <t>Commander</t>
  </si>
  <si>
    <t>Cyclonic Rift</t>
  </si>
  <si>
    <t>Return to Ravnica</t>
  </si>
  <si>
    <t>Eldrazi Confluence</t>
  </si>
  <si>
    <t>Commander: Modern Horizons 3</t>
  </si>
  <si>
    <t>Culling Ritual</t>
  </si>
  <si>
    <t>Concealed Courtyard</t>
  </si>
  <si>
    <t>Kaladesh</t>
  </si>
  <si>
    <t>Goblin Ringleader</t>
  </si>
  <si>
    <t>Stormchaser's Talent</t>
  </si>
  <si>
    <t>Bloomburrow</t>
  </si>
  <si>
    <t>Psychatog</t>
  </si>
  <si>
    <t>Nightscape Familiar</t>
  </si>
  <si>
    <t>Planeshift</t>
  </si>
  <si>
    <t>Elephant Grass</t>
  </si>
  <si>
    <t>Thraben Inspector</t>
  </si>
  <si>
    <t>Serra's Sanctum</t>
  </si>
  <si>
    <t>Urza's Saga</t>
  </si>
  <si>
    <t>Accumulated Knowledge</t>
  </si>
  <si>
    <t>Tranquil Domain</t>
  </si>
  <si>
    <t>Mirage</t>
  </si>
  <si>
    <t>Diciembre</t>
  </si>
  <si>
    <t>Sanctum Weaver</t>
  </si>
  <si>
    <t>Mogg Fanatic</t>
  </si>
  <si>
    <t>Freed from the Real</t>
  </si>
  <si>
    <t>Saviors of Kamigawa</t>
  </si>
  <si>
    <t>Sundown Pass</t>
  </si>
  <si>
    <t>Riverpyre Verge</t>
  </si>
  <si>
    <t>Fulminator Mage</t>
  </si>
  <si>
    <t>Forensic Gadgeteer (V.2)</t>
  </si>
  <si>
    <t>Murders at Karlov Manor: Promos</t>
  </si>
  <si>
    <t>Watery Grave (V.2)</t>
  </si>
  <si>
    <t>Future Sight</t>
  </si>
  <si>
    <t>Marvin, Murderous Mimic (V.2)</t>
  </si>
  <si>
    <t>Duskmourn: House of Horror: Promo</t>
  </si>
  <si>
    <t>Mindbreak Trap</t>
  </si>
  <si>
    <t>Zendikar</t>
  </si>
  <si>
    <t>Fiery Confluence</t>
  </si>
  <si>
    <t>Commander: The Lost Caverns of Ixalan</t>
  </si>
  <si>
    <t>Ravenous Trap</t>
  </si>
  <si>
    <t>Opt</t>
  </si>
  <si>
    <t>Cragcrown Pathway // Timbercrown Pathway</t>
  </si>
  <si>
    <t>Annie Joins Up (V.2)</t>
  </si>
  <si>
    <t>Outlaws of Thunder Junction: Promos</t>
  </si>
  <si>
    <t>Lumra, Bellow of the Woods (V.1)</t>
  </si>
  <si>
    <t>Yasharn, Implacable Earth</t>
  </si>
  <si>
    <t>Hullbreacher</t>
  </si>
  <si>
    <t>Commander Legends</t>
  </si>
  <si>
    <t>Broadside Bombardiers</t>
  </si>
  <si>
    <t>Commander: The Lost Caverns of Ixalan: Ex</t>
  </si>
  <si>
    <t>Persist</t>
  </si>
  <si>
    <t>Goro-Goro and Satoru (V.1)</t>
  </si>
  <si>
    <t>Commander: March of the Machine: Ext</t>
  </si>
  <si>
    <t>Simian Spirit Guide</t>
  </si>
  <si>
    <t>Planar Chaos</t>
  </si>
  <si>
    <t>Preacher of the Schism</t>
  </si>
  <si>
    <t>The Lost Caverns of Ixalan</t>
  </si>
  <si>
    <t>Shatterskull Smashing // Shatterskull, the Hammer Pass</t>
  </si>
  <si>
    <t>Zendikar Rising Expeditions</t>
  </si>
  <si>
    <t>Pyrogoyf (V.1)</t>
  </si>
  <si>
    <t>Commander: Modern Horizons 3: Extras</t>
  </si>
  <si>
    <t>Goblin Guide</t>
  </si>
  <si>
    <t>Italiano</t>
  </si>
  <si>
    <t>Hullbreaker Horror</t>
  </si>
  <si>
    <t>Collective Brutality</t>
  </si>
  <si>
    <t>Tourach, Dread Cantor</t>
  </si>
  <si>
    <t>Mistvault Bridge</t>
  </si>
  <si>
    <t>Serum Visions</t>
  </si>
  <si>
    <t>Fifth Dawn</t>
  </si>
  <si>
    <t>Deceiver Exarch</t>
  </si>
  <si>
    <t>Commander 2013</t>
  </si>
  <si>
    <t>Barrowgoyf (V.1)</t>
  </si>
  <si>
    <t>Sin, Spira's Punishment (V.1)</t>
  </si>
  <si>
    <t>Magic: The Gathering - FINAL FANTASY: Extras</t>
  </si>
  <si>
    <t>Ancient Den</t>
  </si>
  <si>
    <t>Karplusan Forest</t>
  </si>
  <si>
    <t>Dominaria United</t>
  </si>
  <si>
    <t>Foil</t>
  </si>
  <si>
    <t>Prophecy</t>
  </si>
  <si>
    <t>Treasure Vault</t>
  </si>
  <si>
    <t>Adventures in the Forgotten Realms: Extras</t>
  </si>
  <si>
    <t>Profane Tutor</t>
  </si>
  <si>
    <t>Underground Sea</t>
  </si>
  <si>
    <t>Revised</t>
  </si>
  <si>
    <t>Simic Growth Chamber</t>
  </si>
  <si>
    <t>Sin edición especificada</t>
  </si>
  <si>
    <t>Cosmogrand Zenith</t>
  </si>
  <si>
    <t>Grist, the Hunger Tide (V.1)</t>
  </si>
  <si>
    <t>Split Up</t>
  </si>
  <si>
    <t>Stinkweed Imp</t>
  </si>
  <si>
    <t>Modern Masters</t>
  </si>
  <si>
    <t>Wrenn and Realmbreaker (V.2)</t>
  </si>
  <si>
    <t>March of the Machine: Promos</t>
  </si>
  <si>
    <t>Remand</t>
  </si>
  <si>
    <t>Ravnica: City of Guilds</t>
  </si>
  <si>
    <t>Hushwood Verge</t>
  </si>
  <si>
    <t>Birthing Ritual</t>
  </si>
  <si>
    <t>Goblin Sharpshooter</t>
  </si>
  <si>
    <t>Onslaught</t>
  </si>
  <si>
    <t>Noviembre</t>
  </si>
  <si>
    <t>Teysa Karlov (V.1)</t>
  </si>
  <si>
    <t>Multiverse Legends</t>
  </si>
  <si>
    <t>Thornspire Verge</t>
  </si>
  <si>
    <t>Preacher of the Schism (V.2)</t>
  </si>
  <si>
    <t>The Lost Caverns of Ixalan: Promos</t>
  </si>
  <si>
    <t>Chrome Mox</t>
  </si>
  <si>
    <t>Secret Lair Drop Series: 30th Anniversary Countdown</t>
  </si>
  <si>
    <t>Territorial Kavu</t>
  </si>
  <si>
    <t>Emperor of Bones</t>
  </si>
  <si>
    <t>Wonder</t>
  </si>
  <si>
    <t>Yuriko, the Tiger's Shadow</t>
  </si>
  <si>
    <t>Exhume</t>
  </si>
  <si>
    <t>Smuggler's Surprise</t>
  </si>
  <si>
    <t>Outcaster Trailblazer</t>
  </si>
  <si>
    <t>Ancient Cornucopia (V.1)</t>
  </si>
  <si>
    <t>The Big Score</t>
  </si>
  <si>
    <t>Dress Down</t>
  </si>
  <si>
    <t>Daze</t>
  </si>
  <si>
    <t>Mystery Booster</t>
  </si>
  <si>
    <t>Untimely Malfunction</t>
  </si>
  <si>
    <t>Vandalblast</t>
  </si>
  <si>
    <t>Heroes' Hangout</t>
  </si>
  <si>
    <t>Magic: The Gathering | Marvel's Spider-Man</t>
  </si>
  <si>
    <t>Mycosynth Lattice</t>
  </si>
  <si>
    <t>Judge Rewards Promos</t>
  </si>
  <si>
    <t>Splash Portal</t>
  </si>
  <si>
    <t>Past in Flames</t>
  </si>
  <si>
    <t>Eddymurk Crab</t>
  </si>
  <si>
    <t>Accumulate Wisdom</t>
  </si>
  <si>
    <t>Serpent of the Pass</t>
  </si>
  <si>
    <t>Combustion Technique</t>
  </si>
  <si>
    <t>Firebending Lesson</t>
  </si>
  <si>
    <t>Iroh's Demonstration</t>
  </si>
  <si>
    <t>Abandon Attachments</t>
  </si>
  <si>
    <t>Dragonfly Swarm</t>
  </si>
  <si>
    <t>It'll Quench Ya!</t>
  </si>
  <si>
    <t>Octopus Form</t>
  </si>
  <si>
    <t>Bloated Contaminator</t>
  </si>
  <si>
    <t>Propaganda</t>
  </si>
  <si>
    <t>Path to Exile</t>
  </si>
  <si>
    <t>Conflux</t>
  </si>
  <si>
    <t>Bender's Waterskin</t>
  </si>
  <si>
    <t>Memory Guardian</t>
  </si>
  <si>
    <t>Aetherdrift</t>
  </si>
  <si>
    <t>Boomerang Basics</t>
  </si>
  <si>
    <t>Price of Freedom</t>
  </si>
  <si>
    <t>Phyrexian Tower</t>
  </si>
  <si>
    <t>Geralf's Messenger</t>
  </si>
  <si>
    <t>Dark Ascension</t>
  </si>
  <si>
    <t>Counterspell</t>
  </si>
  <si>
    <t>Mercadian Masques</t>
  </si>
  <si>
    <t>Floodpits Drowner</t>
  </si>
  <si>
    <t>Planar Nexus</t>
  </si>
  <si>
    <t>Cloudpost</t>
  </si>
  <si>
    <t>Glimmerpost</t>
  </si>
  <si>
    <t>Scars of Mirrodin</t>
  </si>
  <si>
    <t>Ice-Fang Coatl</t>
  </si>
  <si>
    <t>Azure Beastbinder</t>
  </si>
  <si>
    <t>Enduring Curiosity</t>
  </si>
  <si>
    <t>Ulamog, the Defiler</t>
  </si>
  <si>
    <t>Counterflux</t>
  </si>
  <si>
    <t>Damnation</t>
  </si>
  <si>
    <t>Slaughter Pact</t>
  </si>
  <si>
    <t>Lórien Revealed</t>
  </si>
  <si>
    <t>Cunning Wish</t>
  </si>
  <si>
    <t>Kitchen Finks</t>
  </si>
  <si>
    <t>Shadowmoor</t>
  </si>
  <si>
    <t>Shatterstorm</t>
  </si>
  <si>
    <t>Foreign Black Bordered</t>
  </si>
  <si>
    <t>Roast</t>
  </si>
  <si>
    <t>Trinket Mage</t>
  </si>
  <si>
    <t>Elspeth, Sun's Champion</t>
  </si>
  <si>
    <t>Secret Lair Drop Series: 30th Anniversa</t>
  </si>
  <si>
    <t>Keranos, God of Storms</t>
  </si>
  <si>
    <t>Journey into Nyx</t>
  </si>
  <si>
    <t>Kiki-Jiki, Mirror Breaker</t>
  </si>
  <si>
    <t>Vendilion Clique</t>
  </si>
  <si>
    <t>Morningtide</t>
  </si>
  <si>
    <t>Gideon Jura</t>
  </si>
  <si>
    <t>Timely Reinforcements</t>
  </si>
  <si>
    <t>Magic 2012</t>
  </si>
  <si>
    <t>Gitaxian Probe</t>
  </si>
  <si>
    <t>Think Twice</t>
  </si>
  <si>
    <t>Pia and Kiran Nalaar</t>
  </si>
  <si>
    <t>Magic Origins</t>
  </si>
  <si>
    <t>Thrun, the Last Troll</t>
  </si>
  <si>
    <t>Mirrodin Besieged</t>
  </si>
  <si>
    <t>Electrolyze (V.1)</t>
  </si>
  <si>
    <t>Mystical Archive</t>
  </si>
  <si>
    <t>Coiling Oracle</t>
  </si>
  <si>
    <t>Ravnica Remastered: Extras</t>
  </si>
  <si>
    <t>Shardless Agent (V.2)</t>
  </si>
  <si>
    <t>Dark Confidant (V.1)</t>
  </si>
  <si>
    <t>Ob Nixilis, the Adversary</t>
  </si>
  <si>
    <t>Streets of New Capenna</t>
  </si>
  <si>
    <t>Annul</t>
  </si>
  <si>
    <t>Reckless Rage</t>
  </si>
  <si>
    <t>Rivals of Ixalan</t>
  </si>
  <si>
    <t>Call of the Herd</t>
  </si>
  <si>
    <t>Jackal Pup</t>
  </si>
  <si>
    <t>Prismatic Ending (V.1)</t>
  </si>
  <si>
    <t>Octubre</t>
  </si>
  <si>
    <t>Gloomlake Verge</t>
  </si>
  <si>
    <t>Chronicles: Japanese</t>
  </si>
  <si>
    <t>Wish</t>
  </si>
  <si>
    <t>Wrenn's Resolve</t>
  </si>
  <si>
    <t>Reckless Impulse</t>
  </si>
  <si>
    <t>Starting Town</t>
  </si>
  <si>
    <t>Magic: The Gathering - FINAL FANTASY</t>
  </si>
  <si>
    <t>Bringer of the Last Gift (V.2)</t>
  </si>
  <si>
    <t>Kastral, the Windcrested (V.2)</t>
  </si>
  <si>
    <t>Bloomburrow: Promos</t>
  </si>
  <si>
    <t>Aether Vial</t>
  </si>
  <si>
    <t>Night of Souls' Betrayal</t>
  </si>
  <si>
    <t>Champions of Kamigawa</t>
  </si>
  <si>
    <t>Anger of the Gods</t>
  </si>
  <si>
    <t>Feed the Clan</t>
  </si>
  <si>
    <t>Tasigur, the Golden Fang</t>
  </si>
  <si>
    <t>Jund Charm</t>
  </si>
  <si>
    <t>Outpost Siege</t>
  </si>
  <si>
    <t>Fate Reforged</t>
  </si>
  <si>
    <t>Abrupt Decay</t>
  </si>
  <si>
    <t>Raging Ravine</t>
  </si>
  <si>
    <t>Scavenging Ooze</t>
  </si>
  <si>
    <t>Promos</t>
  </si>
  <si>
    <t>Maelstrom Pulse</t>
  </si>
  <si>
    <t>Alara Reborn</t>
  </si>
  <si>
    <t>Huntmaster of the Fells / Ravager of the Fells (V.2)</t>
  </si>
  <si>
    <t>Innistrad: Midnight Hunt: Promos</t>
  </si>
  <si>
    <t>Olivia Voldaren</t>
  </si>
  <si>
    <t>Amulet of Vigor</t>
  </si>
  <si>
    <t>Sea Gate Restoration // Sea Gate, Reborn</t>
  </si>
  <si>
    <t>Visions of Beyond</t>
  </si>
  <si>
    <t>Art Series: Plains (V.1)</t>
  </si>
  <si>
    <t>Kamigawa: Neon Dynasty: Extras</t>
  </si>
  <si>
    <t>Profane Memento</t>
  </si>
  <si>
    <t>Magic 2015</t>
  </si>
  <si>
    <t>Mind Funeral</t>
  </si>
  <si>
    <t>Baleful Mastery</t>
  </si>
  <si>
    <t>Strixhaven: School of Mages</t>
  </si>
  <si>
    <t>Crypt Incursion</t>
  </si>
  <si>
    <t>Dragon's Maze</t>
  </si>
  <si>
    <t>Shelldock Isle</t>
  </si>
  <si>
    <t>Secret Lair Drop Series: February Superdrop 2022</t>
  </si>
  <si>
    <t>Mistrise Village (V.2)</t>
  </si>
  <si>
    <t>Boseiju, Who Endures (V.2)</t>
  </si>
  <si>
    <t>Whir of Invention</t>
  </si>
  <si>
    <t>Ice-Fang Coatl (V.1)</t>
  </si>
  <si>
    <t>Tezzeret the Seeker</t>
  </si>
  <si>
    <t>Secret Lair Drop Series: October Superdrop</t>
  </si>
  <si>
    <t>Tameshi, Reality Architect</t>
  </si>
  <si>
    <t>Disrupting Shoal</t>
  </si>
  <si>
    <t>Beyeen Veil // Beyeen Coast</t>
  </si>
  <si>
    <t>Suppression Ray // Orderly Plaza</t>
  </si>
  <si>
    <t>Waterlogged Teachings // Inundated Archive</t>
  </si>
  <si>
    <t>Deem Inferior</t>
  </si>
  <si>
    <t>Hydroelectric Specimen // Hydroelectric Laboratory</t>
  </si>
  <si>
    <t>Thraben Charm</t>
  </si>
  <si>
    <t>Deranged Hermit</t>
  </si>
  <si>
    <t>Urza's Legacy</t>
  </si>
  <si>
    <t>Hedge Maze</t>
  </si>
  <si>
    <t>Superior Spider-Man</t>
  </si>
  <si>
    <t>Magic: The Gathering | Marvel's Spider-Man:</t>
  </si>
  <si>
    <t>Septiembre</t>
  </si>
  <si>
    <t>Forsaken Monument (V.1)</t>
  </si>
  <si>
    <t>Zendikar Rising: Promos</t>
  </si>
  <si>
    <t>Secret Lair Drop Series: December Super</t>
  </si>
  <si>
    <t>Glimpse the Impossible</t>
  </si>
  <si>
    <t>Faithful Mending</t>
  </si>
  <si>
    <t>Sheoldred, the Apocalypse</t>
  </si>
  <si>
    <t>Sire of Seven Deaths</t>
  </si>
  <si>
    <t>Magic: The Gathering Foundations</t>
  </si>
  <si>
    <t>Mistcaller</t>
  </si>
  <si>
    <t>Core 2019</t>
  </si>
  <si>
    <t>Ketramose, the New Dawn</t>
  </si>
  <si>
    <t>Cleansing Wildfire</t>
  </si>
  <si>
    <t>Pestermite</t>
  </si>
  <si>
    <t>Kraul Harpooner</t>
  </si>
  <si>
    <t>Guilds of Ravnica</t>
  </si>
  <si>
    <t>Consult the Star Charts (V.2)</t>
  </si>
  <si>
    <t>Brightglass Gearhulk</t>
  </si>
  <si>
    <t>Terminal Velocity</t>
  </si>
  <si>
    <t>Myr Enforcer</t>
  </si>
  <si>
    <t>Cast Down</t>
  </si>
  <si>
    <t>Dispel</t>
  </si>
  <si>
    <t>Battle for Zendikar</t>
  </si>
  <si>
    <t>Bind the Monster</t>
  </si>
  <si>
    <t>Kaldheim</t>
  </si>
  <si>
    <t>Jukai Naturalist</t>
  </si>
  <si>
    <t>Agosto</t>
  </si>
  <si>
    <t>Drossforge Bridge</t>
  </si>
  <si>
    <t>Great Furnace</t>
  </si>
  <si>
    <t>Reckoner's Bargain</t>
  </si>
  <si>
    <t>Blood Fountain</t>
  </si>
  <si>
    <t>Navigator's Compass</t>
  </si>
  <si>
    <t>Black Mage's Rod</t>
  </si>
  <si>
    <t>Makeshift Munitions</t>
  </si>
  <si>
    <t>Ixalan</t>
  </si>
  <si>
    <t>Eviscerator's Insight</t>
  </si>
  <si>
    <t>Spymaster's Vault</t>
  </si>
  <si>
    <t>Pinnacle Emissary</t>
  </si>
  <si>
    <t>Mystic Gate</t>
  </si>
  <si>
    <t>Otawara, Soaring City</t>
  </si>
  <si>
    <t>Archaeomancer</t>
  </si>
  <si>
    <t>Magic 2014</t>
  </si>
  <si>
    <t>Otter Token (Blue and Red 1/1)</t>
  </si>
  <si>
    <t>Cats &amp; Cantrips Tokens</t>
  </si>
  <si>
    <t>Fish Token (Blue 1/1)</t>
  </si>
  <si>
    <t>Treasure Token (V.2)</t>
  </si>
  <si>
    <t>Dinosaur Dragon Token (Red 4/4)</t>
  </si>
  <si>
    <t>Goblin Shaman Token (Red 2/2)</t>
  </si>
  <si>
    <t>Start Your Engines! // Max Speed</t>
  </si>
  <si>
    <t>Faerie Token (Blue 1/1) (V.1)</t>
  </si>
  <si>
    <t>Human Soldier Token (White 1/1)</t>
  </si>
  <si>
    <t>Vampire Token (White 1/1 Lifelink)</t>
  </si>
  <si>
    <t>Map Token</t>
  </si>
  <si>
    <t>Octopus Token (Blue 8/8)</t>
  </si>
  <si>
    <t>Elegy Acolyte</t>
  </si>
  <si>
    <t>Sunset Saboteur</t>
  </si>
  <si>
    <t>Nowhere to Run</t>
  </si>
  <si>
    <t>Flashfreeze</t>
  </si>
  <si>
    <t>Defiled Crypt // Cadaver Lab</t>
  </si>
  <si>
    <t>Devout Decree</t>
  </si>
  <si>
    <t>Surgical Suite // Hospital Room</t>
  </si>
  <si>
    <t>Intimidation Tactics</t>
  </si>
  <si>
    <t>Faerie Conclave</t>
  </si>
  <si>
    <t>Qarsi Revenant</t>
  </si>
  <si>
    <t>Strategic Betrayal</t>
  </si>
  <si>
    <t>Faebloom Trick</t>
  </si>
  <si>
    <t>Shoot the Sheriff</t>
  </si>
  <si>
    <t>Julio</t>
  </si>
  <si>
    <t>Consult the Star Charts</t>
  </si>
  <si>
    <t>Loot, the Pathfinder (V.2)</t>
  </si>
  <si>
    <t>Twinmaw Stormbrood // Charring Bite</t>
  </si>
  <si>
    <t>Broadside Barrage</t>
  </si>
  <si>
    <t>Draconautics Engineer</t>
  </si>
  <si>
    <t>Fear of Isolation</t>
  </si>
  <si>
    <t>Quantum Riddler</t>
  </si>
  <si>
    <t>Cosmogoyf</t>
  </si>
  <si>
    <t>Lightning Bolt (V.2)</t>
  </si>
  <si>
    <t>Edge of Eternities: Common Set</t>
  </si>
  <si>
    <t>Edge of Eternities: Uncommon Set</t>
  </si>
  <si>
    <t>Oildeep Gearhulk</t>
  </si>
  <si>
    <t>Savra, Queen of the Golgari (V.2)</t>
  </si>
  <si>
    <t>Late to Dinner</t>
  </si>
  <si>
    <t>Restless Reef</t>
  </si>
  <si>
    <t>The Lost Caverns of Ixalan: Extras</t>
  </si>
  <si>
    <t>Voice of Victory (V.2)</t>
  </si>
  <si>
    <t>Sanctum of Ugin</t>
  </si>
  <si>
    <t>Beza, the Bounding Spring</t>
  </si>
  <si>
    <t>Agatha's Soul Cauldron</t>
  </si>
  <si>
    <t>Wilds of Eldraine</t>
  </si>
  <si>
    <t>Teferi, Hero of Dominaria</t>
  </si>
  <si>
    <t>Soulstone Sanctuary (V.1)</t>
  </si>
  <si>
    <t>Magic: The Gathering Foundations: Extras</t>
  </si>
  <si>
    <t>Vivi Ornitier (V.1)</t>
  </si>
  <si>
    <t>FINAL FANTASY: Extras</t>
  </si>
  <si>
    <t>Chino</t>
  </si>
  <si>
    <t>Haunting Echoes</t>
  </si>
  <si>
    <t>Ravenous Baloth</t>
  </si>
  <si>
    <t>Living Wish</t>
  </si>
  <si>
    <t>Spiritmonger</t>
  </si>
  <si>
    <t>Cursed Totem</t>
  </si>
  <si>
    <t>CVSALE-1219222787-01</t>
  </si>
  <si>
    <t>Venta asociada sin pedido identificado</t>
  </si>
  <si>
    <t>Marang River Regent // Coil and Catch</t>
  </si>
  <si>
    <t>Jace Reawakened</t>
  </si>
  <si>
    <t>Outlaws of Thunder Junction: Extras</t>
  </si>
  <si>
    <t>Geralf, the Fleshwright</t>
  </si>
  <si>
    <t>Artist's Talent</t>
  </si>
  <si>
    <t>Thundering Falls</t>
  </si>
  <si>
    <t>Kitsa, Otterball Elite</t>
  </si>
  <si>
    <t>Cori Mountain Monastery</t>
  </si>
  <si>
    <t>Tarkir: Dragonstorm: Extras</t>
  </si>
  <si>
    <t>Get Out</t>
  </si>
  <si>
    <t>Proft's Eidetic Memory</t>
  </si>
  <si>
    <t>Sephiroth, One-Winged Angel Emblem // Robot Warrior Token</t>
  </si>
  <si>
    <t>Tinybones Joins Up</t>
  </si>
  <si>
    <t>Frontline Rush</t>
  </si>
  <si>
    <t>Osteomancer Adept</t>
  </si>
  <si>
    <t>Dragon Sniper</t>
  </si>
  <si>
    <t>Town Greeter</t>
  </si>
  <si>
    <t>Disruptive Stormbrood // Petty Revenge</t>
  </si>
  <si>
    <t>Arabella, Abandoned Doll</t>
  </si>
  <si>
    <t>The Wandering Rescuer</t>
  </si>
  <si>
    <t>Molt Tender</t>
  </si>
  <si>
    <t>Skyfisher Spider</t>
  </si>
  <si>
    <t>Coati Scavenger</t>
  </si>
  <si>
    <t>Gastal Raider</t>
  </si>
  <si>
    <t>Great Arashin City</t>
  </si>
  <si>
    <t>Nesting Bot</t>
  </si>
  <si>
    <t>Steelshaper's Gift</t>
  </si>
  <si>
    <t>Kassandra, Eagle Bearer</t>
  </si>
  <si>
    <t>Universes Beyond: Assassin's Creed</t>
  </si>
  <si>
    <t>Assassin Token (B 1/1 Menace) // Phobos Token (R 3/2)</t>
  </si>
  <si>
    <t>Universes Beyond: Warhammer 40,000</t>
  </si>
  <si>
    <t>The Spear of Leonidas</t>
  </si>
  <si>
    <t>Rushing River</t>
  </si>
  <si>
    <t>Kaya, Orzhov Usurper</t>
  </si>
  <si>
    <t>Ravnica Allegiance</t>
  </si>
  <si>
    <t>Ral, Crackling Wit</t>
  </si>
  <si>
    <t>Warren Soultrader (V.2)</t>
  </si>
  <si>
    <t>Academy Manufactor</t>
  </si>
  <si>
    <t>Everywhere Token</t>
  </si>
  <si>
    <t>Duskmourn: House of Horror: Tokens</t>
  </si>
  <si>
    <t>Pernicious Deed</t>
  </si>
  <si>
    <t>Lightning, Army of One (V.1)</t>
  </si>
  <si>
    <t>Astrologian's Planisphere</t>
  </si>
  <si>
    <t>Phoenix Down</t>
  </si>
  <si>
    <t>Stolen Uniform</t>
  </si>
  <si>
    <t>Cecil, Dark Knight // Cecil, Redeemed Paladin</t>
  </si>
  <si>
    <t>Sephiroth, Fabled SOLDIER // Sephiroth, One-Winged Angel (V.1)</t>
  </si>
  <si>
    <t>Raubahn, Bull of Ala Mhigo</t>
  </si>
  <si>
    <t>Diamond Weapon</t>
  </si>
  <si>
    <t>Restoration Magic</t>
  </si>
  <si>
    <t>Rydia, Summoner of Mist</t>
  </si>
  <si>
    <t>Zack Fair</t>
  </si>
  <si>
    <t>Ambrosia Whiteheart</t>
  </si>
  <si>
    <t>Yavimaya Elder</t>
  </si>
  <si>
    <t>Phyrexian Rager</t>
  </si>
  <si>
    <t>Esper Sentinel</t>
  </si>
  <si>
    <t>Fire Magic</t>
  </si>
  <si>
    <t>Urza, Lord High Artificer (V.1)</t>
  </si>
  <si>
    <t>The Wandering Minstrel (V.1)</t>
  </si>
  <si>
    <t>Flickerwisp</t>
  </si>
  <si>
    <t>Galvanic Blast</t>
  </si>
  <si>
    <t>Griselbrand (V.2)</t>
  </si>
  <si>
    <t>Blade of the Bloodchief</t>
  </si>
  <si>
    <t>Walking Ballista</t>
  </si>
  <si>
    <t>Street Wraith (V.1)</t>
  </si>
  <si>
    <t>Enchantress's Presence</t>
  </si>
  <si>
    <t>Sterling Grove</t>
  </si>
  <si>
    <t>Solitary Confinement</t>
  </si>
  <si>
    <t>The Restoration of Eiganjo // Architect of Restoration (V.1)</t>
  </si>
  <si>
    <t>On Thin Ice</t>
  </si>
  <si>
    <t>Abundant Growth (V.2)</t>
  </si>
  <si>
    <t>United Battlefront</t>
  </si>
  <si>
    <t>Hall of Heliod's Generosity (V.1)</t>
  </si>
  <si>
    <t>Modern Horizons 3: Retro Frame Cards</t>
  </si>
  <si>
    <t>Portable Hole</t>
  </si>
  <si>
    <t>Adventures in the Forgotten Realms</t>
  </si>
  <si>
    <t>Gemstone Mine (V.2)</t>
  </si>
  <si>
    <t>The Watcher in the Water</t>
  </si>
  <si>
    <t>Blooming Marsh</t>
  </si>
  <si>
    <t>Nazgûl (V.4)</t>
  </si>
  <si>
    <t>Nazgûl (V.6)</t>
  </si>
  <si>
    <t>Last March of the Ents</t>
  </si>
  <si>
    <t>Dawn of a New Age</t>
  </si>
  <si>
    <t>Witch-king of Angmar (V.2)</t>
  </si>
  <si>
    <t>Gandalf the White (V.2)</t>
  </si>
  <si>
    <t>Saruman of Many Colors (V.2)</t>
  </si>
  <si>
    <t>Aragorn, the Uniter (V.2)</t>
  </si>
  <si>
    <t>The Wandering Emperor (V.2)</t>
  </si>
  <si>
    <t>Kamigawa: Neon Dynasty: Promos</t>
  </si>
  <si>
    <t>Grist, the Hunger Tide</t>
  </si>
  <si>
    <t>Forbidden Orchard</t>
  </si>
  <si>
    <t>Song of Creation</t>
  </si>
  <si>
    <t>Ikoria: Lair of Behemoths</t>
  </si>
  <si>
    <t>Narset, Jeskai Waymaster (V.2)</t>
  </si>
  <si>
    <t>Vindicate (V.1)</t>
  </si>
  <si>
    <t>Creeping Chill</t>
  </si>
  <si>
    <t>Darkblast</t>
  </si>
  <si>
    <t>Narcomoeba</t>
  </si>
  <si>
    <t>Golgari Thug</t>
  </si>
  <si>
    <t>Repeal</t>
  </si>
  <si>
    <t>Vampires' Vengeance</t>
  </si>
  <si>
    <t>Awaken the Honored Dead</t>
  </si>
  <si>
    <t>Harvester of Misery (V.2)</t>
  </si>
  <si>
    <t>Moonshaker Cavalry (V.2)</t>
  </si>
  <si>
    <t>Wilds of Eldraine: Promos</t>
  </si>
  <si>
    <t>Unholy Annex // Ritual Chamber</t>
  </si>
  <si>
    <t>Gifts Ungiven</t>
  </si>
  <si>
    <t>Jeskai Ascendancy</t>
  </si>
  <si>
    <t>Mistrise Village</t>
  </si>
  <si>
    <t>Narset, Jeskai Waymaster</t>
  </si>
  <si>
    <t>Portent of Calamity</t>
  </si>
  <si>
    <t>Abstergo Entertainment (V.1)</t>
  </si>
  <si>
    <t>Dryad of the Ilysian Grove</t>
  </si>
  <si>
    <t>Intuition</t>
  </si>
  <si>
    <t>Recurring Nightmare</t>
  </si>
  <si>
    <t>Mind Stone</t>
  </si>
  <si>
    <t>Samwise Gamgee</t>
  </si>
  <si>
    <t>Lembas</t>
  </si>
  <si>
    <t>Parallax Wave</t>
  </si>
  <si>
    <t>Muddle the Mixture</t>
  </si>
  <si>
    <t>Magmatic Hellkite (V.2)</t>
  </si>
  <si>
    <t>Drake Hatcher (V.1)</t>
  </si>
  <si>
    <t>Blood Artist</t>
  </si>
  <si>
    <t>Winternight Stories</t>
  </si>
  <si>
    <t>Flamehold Grappler</t>
  </si>
  <si>
    <t>Lasyd Prowler</t>
  </si>
  <si>
    <t>Severance Priest</t>
  </si>
  <si>
    <t>Warleader's Call</t>
  </si>
  <si>
    <t>Phyrexia: All Will Be One: Extras</t>
  </si>
  <si>
    <t>Undercity Sewers</t>
  </si>
  <si>
    <t>Kaito, Bane of Nightmares (V.1)</t>
  </si>
  <si>
    <t>Azusa, Lost but Seeking</t>
  </si>
  <si>
    <t>Glasspool Mimic // Glasspool Shore</t>
  </si>
  <si>
    <t>Slickshot Show-Off</t>
  </si>
  <si>
    <t>Omen of the Dead</t>
  </si>
  <si>
    <t>Nurturing Pixie</t>
  </si>
  <si>
    <t>Molten Rain</t>
  </si>
  <si>
    <t>Mutavault</t>
  </si>
  <si>
    <t>Goldmire Bridge</t>
  </si>
  <si>
    <t>Spiteful Hexmage</t>
  </si>
  <si>
    <t>Tersa Lightshatter</t>
  </si>
  <si>
    <t>Roiling Dragonstorm</t>
  </si>
  <si>
    <t>Glacial Dragonhunt</t>
  </si>
  <si>
    <t>Rakshasa's Bargain</t>
  </si>
  <si>
    <t>Skirmish Rhino</t>
  </si>
  <si>
    <t>Sunpearl Kirin</t>
  </si>
  <si>
    <t>Scalding Tarn</t>
  </si>
  <si>
    <t>Zendikar Rising: Expeditions</t>
  </si>
  <si>
    <t>Sowing Mycospawn</t>
  </si>
  <si>
    <t>Razortide Bridge</t>
  </si>
  <si>
    <t>Spire of Industry</t>
  </si>
  <si>
    <t>Cori-Steel Cutter</t>
  </si>
  <si>
    <t>Voice of Victory</t>
  </si>
  <si>
    <t>Bedlam Reveler</t>
  </si>
  <si>
    <t>Lava Dart</t>
  </si>
  <si>
    <t>Clarion Conqueror</t>
  </si>
  <si>
    <t>Mox Opal</t>
  </si>
  <si>
    <t>Subtlety</t>
  </si>
  <si>
    <t>Double Masters 2022: Extras</t>
  </si>
  <si>
    <t>Aven Interrupter [Foil]</t>
  </si>
  <si>
    <t>Svyelun of Sea and Sky</t>
  </si>
  <si>
    <t>Svyelun of Sea and Sky [Foil]</t>
  </si>
  <si>
    <t>March of Otherworldly Light</t>
  </si>
  <si>
    <t>Lord of Atlantis</t>
  </si>
  <si>
    <t>Fourth Edition: Black Bordered</t>
  </si>
  <si>
    <t>Powder Keg</t>
  </si>
  <si>
    <t>Momentum Breaker</t>
  </si>
  <si>
    <t>Tarmogoyf</t>
  </si>
  <si>
    <t>Vodalian Hexcatcher</t>
  </si>
  <si>
    <t>Field of Ruin</t>
  </si>
  <si>
    <t>Quicksand</t>
  </si>
  <si>
    <t>Visions</t>
  </si>
  <si>
    <t>Humility</t>
  </si>
  <si>
    <t>Glaring Fleshraker</t>
  </si>
  <si>
    <t>Mystic Forge</t>
  </si>
  <si>
    <t>Retro Frame Artifacts</t>
  </si>
  <si>
    <t>Ugin, Eye of the Storms</t>
  </si>
  <si>
    <t>Caller of the Claw</t>
  </si>
  <si>
    <t>Legions</t>
  </si>
  <si>
    <t>Phyrexian Furnace</t>
  </si>
  <si>
    <t>Parallax Nexus</t>
  </si>
  <si>
    <t>Llanowar Wastes</t>
  </si>
  <si>
    <t>Gaea's Blessing</t>
  </si>
  <si>
    <t>Carpet of Flowers</t>
  </si>
  <si>
    <t>Blastoderm</t>
  </si>
  <si>
    <t>Krosan Tusker</t>
  </si>
  <si>
    <t>Uktabi Orangutan</t>
  </si>
  <si>
    <t>Thrashing Wumpus</t>
  </si>
  <si>
    <t>Prismatic Ending [Foil]</t>
  </si>
  <si>
    <t>Sanctifier en-Vec [Foil]</t>
  </si>
  <si>
    <t>Fractured Sanity</t>
  </si>
  <si>
    <t>Tide Shaper [Foil]</t>
  </si>
  <si>
    <t>Tourach, Dread Cantor [Foil]</t>
  </si>
  <si>
    <t>Blazing Rootwalla</t>
  </si>
  <si>
    <t>Chatterfang, Squirrel General</t>
  </si>
  <si>
    <t>Ignoble Hierarch</t>
  </si>
  <si>
    <t>Yavimaya, Cradle of Growth</t>
  </si>
  <si>
    <t>Hareruya Dice (Black)</t>
  </si>
  <si>
    <t>Accesorios</t>
  </si>
  <si>
    <t>Hareruya Dice (Red)</t>
  </si>
  <si>
    <t>Hareruya Dice (Green)</t>
  </si>
  <si>
    <t>Hareruya Dice (Clear Red)</t>
  </si>
  <si>
    <t>Hareruya Dice (Clear Green)</t>
  </si>
  <si>
    <t>Hareruya Dice (Clear Blue)</t>
  </si>
  <si>
    <t>Hareruya Dice (Clear Yellow)</t>
  </si>
  <si>
    <t>Hareruya Dice (Clear Pink)</t>
  </si>
  <si>
    <t>Hareruya Playmat (Red)</t>
  </si>
  <si>
    <t>Hareruya Logo Pin Badge</t>
  </si>
  <si>
    <t>Brainsurge [Foil]</t>
  </si>
  <si>
    <t>Standstill</t>
  </si>
  <si>
    <t>Coastal Tower</t>
  </si>
  <si>
    <t>Adarkar Wastes</t>
  </si>
  <si>
    <t>Fifth Edition</t>
  </si>
  <si>
    <t>Divert</t>
  </si>
  <si>
    <t>Sulfurous Springs</t>
  </si>
  <si>
    <t>Dark Confidant [Foil]</t>
  </si>
  <si>
    <t>Ravnica Remastered</t>
  </si>
  <si>
    <t>Forest</t>
  </si>
  <si>
    <t>Island</t>
  </si>
  <si>
    <t>Mountain</t>
  </si>
  <si>
    <t>Plains</t>
  </si>
  <si>
    <t>Swamp</t>
  </si>
  <si>
    <t>Aven Interrupter</t>
  </si>
  <si>
    <t>Goblin Lackey</t>
  </si>
  <si>
    <t>Cabal Therapy</t>
  </si>
  <si>
    <t>Hearth Charm</t>
  </si>
  <si>
    <t>Goblin Tinkerer</t>
  </si>
  <si>
    <t>Skirk Prospector</t>
  </si>
  <si>
    <t>Pyrokinesis</t>
  </si>
  <si>
    <t>Alliances</t>
  </si>
  <si>
    <t>Vault of Whispers</t>
  </si>
  <si>
    <t>Bojuka Bog</t>
  </si>
  <si>
    <t>Desolation Angel</t>
  </si>
  <si>
    <t>Perish</t>
  </si>
  <si>
    <t>Planar Void</t>
  </si>
  <si>
    <t>Rishadan Port</t>
  </si>
  <si>
    <t>Snapcaster Mage [Foil]</t>
  </si>
  <si>
    <t>Liliana of the Veil</t>
  </si>
  <si>
    <t>Restless Fortress</t>
  </si>
  <si>
    <t>Wilds of Eldraine: Extras</t>
  </si>
  <si>
    <t>Glint Hawk</t>
  </si>
  <si>
    <t>Deadly Dispute [Foil]</t>
  </si>
  <si>
    <t>Kor Skyfisher</t>
  </si>
  <si>
    <t>Overlord of the Mistmoors [Foil]</t>
  </si>
  <si>
    <t>Enlightened Tutor</t>
  </si>
  <si>
    <t>Zur, Eternal Schemer (V.1)</t>
  </si>
  <si>
    <t>Dominaria United: Extras</t>
  </si>
  <si>
    <t>Stern Scolding</t>
  </si>
  <si>
    <t>Mindspring Merfolk</t>
  </si>
  <si>
    <t>Soulless Jailer</t>
  </si>
  <si>
    <t>Karn, the Great Creator</t>
  </si>
  <si>
    <t>Ugin, the Ineffable</t>
  </si>
  <si>
    <t>Gideon Blackblade</t>
  </si>
  <si>
    <t>Teyo, the Shieldmage</t>
  </si>
  <si>
    <t>The Wanderer</t>
  </si>
  <si>
    <t>Jace, Wielder of Mysteries</t>
  </si>
  <si>
    <t>Kasmina, Enigmatic Mentor</t>
  </si>
  <si>
    <t>Davriel, Rogue Shadowmage</t>
  </si>
  <si>
    <t>Ob Nixilis, the Hate-Twisted</t>
  </si>
  <si>
    <t>Chandra, Fire Artisan</t>
  </si>
  <si>
    <t>Jaya, Venerated Firemage</t>
  </si>
  <si>
    <t>Sarkhan the Masterless</t>
  </si>
  <si>
    <t>Tibalt, Rakish Instigator</t>
  </si>
  <si>
    <t>Arlinn, Voice of the Pack</t>
  </si>
  <si>
    <t>Jiang Yanggu, Wildcrafter</t>
  </si>
  <si>
    <t>Vivien, Champion of the Wilds</t>
  </si>
  <si>
    <t>Ajani, the Greathearted</t>
  </si>
  <si>
    <t>Angrath, Captain of Chaos</t>
  </si>
  <si>
    <t>Ashiok, Dream Render</t>
  </si>
  <si>
    <t>Domri, Anarch of Bolas</t>
  </si>
  <si>
    <t>Dovin, Hand of Control</t>
  </si>
  <si>
    <t>Huatli, the Sun's Heart</t>
  </si>
  <si>
    <t>Kaya, Bane of the Dead</t>
  </si>
  <si>
    <t>Nahiri, Storm of Stone</t>
  </si>
  <si>
    <t>Kiora, Behemoth Beckoner</t>
  </si>
  <si>
    <t>Nicol Bolas, Dragon-God</t>
  </si>
  <si>
    <t>Ral, Storm Conduit</t>
  </si>
  <si>
    <t>Saheeli, Sublime Artificer</t>
  </si>
  <si>
    <t>Samut, Tyrant Smasher</t>
  </si>
  <si>
    <t>Sorin, Vengeful Bloodlord</t>
  </si>
  <si>
    <t>Tamiyo, Collector of Tales</t>
  </si>
  <si>
    <t>Teferi, Time Raveler</t>
  </si>
  <si>
    <t>Vraska, Swarm's Eminence</t>
  </si>
  <si>
    <t>Nissa, Who Shakes the World</t>
  </si>
  <si>
    <t>Eternal Dragon</t>
  </si>
  <si>
    <t>Carrion Feeder</t>
  </si>
  <si>
    <t>Akroma, Angel of Wrath</t>
  </si>
  <si>
    <t>Yavimaya Coast</t>
  </si>
  <si>
    <t>Shivan Reef</t>
  </si>
  <si>
    <t>Tribal Flames</t>
  </si>
  <si>
    <t>Seasoned Pyromancer</t>
  </si>
  <si>
    <t>Decree of Justice</t>
  </si>
  <si>
    <t>Dawn Elemental</t>
  </si>
  <si>
    <t>White Knight</t>
  </si>
  <si>
    <t>Blood Moon</t>
  </si>
  <si>
    <t>Double Masters: Extras</t>
  </si>
  <si>
    <t>Keyword Counter (Stun)</t>
  </si>
  <si>
    <t>Keyword Counter (Hexproof)</t>
  </si>
  <si>
    <t>Keyword Counter (Indestructible)</t>
  </si>
  <si>
    <t>Keyword Counter (Flying)</t>
  </si>
  <si>
    <t>Keyword Counter Set (Deathtouch, Finality, Goad, Lifelink)</t>
  </si>
  <si>
    <t>Gruul Turf</t>
  </si>
  <si>
    <t>Golgari Rot Farm</t>
  </si>
  <si>
    <t>Selesnya Sanctuary</t>
  </si>
  <si>
    <t>Boros Garrison</t>
  </si>
  <si>
    <t>Reflecting Pool</t>
  </si>
  <si>
    <t>Cultivator Colossus</t>
  </si>
  <si>
    <t>Orzhov Basilica</t>
  </si>
  <si>
    <t>Dust to Dust</t>
  </si>
  <si>
    <t>The Dark</t>
  </si>
  <si>
    <t>Hollow One</t>
  </si>
  <si>
    <t>Mukotai Ambusher</t>
  </si>
  <si>
    <t>Pawpatch Formation</t>
  </si>
  <si>
    <t>Torpor Orb</t>
  </si>
  <si>
    <t>Scrubland</t>
  </si>
  <si>
    <t>Gerrard's Verdict</t>
  </si>
  <si>
    <t>Phyrexian Arena</t>
  </si>
  <si>
    <t>Tainted Field</t>
  </si>
  <si>
    <t>Exalted Angel</t>
  </si>
  <si>
    <t>Ray of Enfeeblement</t>
  </si>
  <si>
    <t>Blood Baron of Vizkopa</t>
  </si>
  <si>
    <t>Shatter Assumptions</t>
  </si>
  <si>
    <t>Dauthi Voidwalker (V.1)</t>
  </si>
  <si>
    <t>Dauthi Voidwalker</t>
  </si>
  <si>
    <t>Swords to Plowshares</t>
  </si>
  <si>
    <t>Ertai Resurrected</t>
  </si>
  <si>
    <t>Spell Snare</t>
  </si>
  <si>
    <t>Dissension</t>
  </si>
  <si>
    <t>Wrath of God</t>
  </si>
  <si>
    <t>Hypnotic Specter</t>
  </si>
  <si>
    <t>Skeletal Scrying</t>
  </si>
  <si>
    <t>Dust Bowl</t>
  </si>
  <si>
    <t>Nantuko Shade</t>
  </si>
  <si>
    <t>Disenchant</t>
  </si>
  <si>
    <t>Withered Wretch</t>
  </si>
  <si>
    <t>Barren Moor</t>
  </si>
  <si>
    <t>Diabolic Edict</t>
  </si>
  <si>
    <t>Circle Of Protection: Red</t>
  </si>
  <si>
    <t>Warmth</t>
  </si>
  <si>
    <t>Caretaker's Talent</t>
  </si>
  <si>
    <t>Mirrex</t>
  </si>
  <si>
    <t>Boon-Bringer Valkyrie</t>
  </si>
  <si>
    <t>Dark Ritual</t>
  </si>
  <si>
    <t>Herigast, Erupting Nullkite (V.1)</t>
  </si>
  <si>
    <t>Herigast, Erupting Nullkite</t>
  </si>
  <si>
    <t>Saradoc, Master of Buckland (V.2)</t>
  </si>
  <si>
    <t>Overlord of the Hauntwoods</t>
  </si>
  <si>
    <t>Urborg Scavengers</t>
  </si>
  <si>
    <t>Ruthless Negotiation</t>
  </si>
  <si>
    <t>Unyielding Gatekeeper</t>
  </si>
  <si>
    <t>Talisman of Creativity (V.1)</t>
  </si>
  <si>
    <t>Stock Up</t>
  </si>
  <si>
    <t>Dusk Rose Reliquary</t>
  </si>
  <si>
    <t>Bleachbone Verge</t>
  </si>
  <si>
    <t>Wild Defiance</t>
  </si>
  <si>
    <t>Shadowy Backstreet</t>
  </si>
  <si>
    <t>Elegant Parlor</t>
  </si>
  <si>
    <t>Arena of Glory</t>
  </si>
  <si>
    <t>Raise the Past</t>
  </si>
  <si>
    <t>CVSALE-1197466620-01</t>
  </si>
  <si>
    <t>Elas il-Kor, Sadistic Pilgrim (V.1)</t>
  </si>
  <si>
    <t>Gnawing Vermin</t>
  </si>
  <si>
    <t>Dewdrop Cure</t>
  </si>
  <si>
    <t>Vengeful Bloodwitch</t>
  </si>
  <si>
    <t>Infestation Sage</t>
  </si>
  <si>
    <t>Quag Feast</t>
  </si>
  <si>
    <t>Gas Guzzler</t>
  </si>
  <si>
    <t>Zahur, Glory's Past</t>
  </si>
  <si>
    <t>Splitskin Doll</t>
  </si>
  <si>
    <t>Bartolomé del Presidio</t>
  </si>
  <si>
    <t>Dredger's Insight</t>
  </si>
  <si>
    <t>Embalmed Ascendant</t>
  </si>
  <si>
    <t>Ocelot Pride (V.1)</t>
  </si>
  <si>
    <t>Ajani, Nacatl Pariah // Ajani, Nacatl Avenger (V.1)</t>
  </si>
  <si>
    <t>Vindicate</t>
  </si>
  <si>
    <t>Guide of Souls</t>
  </si>
  <si>
    <t>Stone Rain</t>
  </si>
  <si>
    <t>Dispatch</t>
  </si>
  <si>
    <t>Consign to Memory</t>
  </si>
  <si>
    <t>White Orchid Phantom</t>
  </si>
  <si>
    <t>Sanctifier en-Vec</t>
  </si>
  <si>
    <t>Young Wolf</t>
  </si>
  <si>
    <t>Thassa's Oracle</t>
  </si>
  <si>
    <t>Chino-T</t>
  </si>
  <si>
    <t>Memnite</t>
  </si>
  <si>
    <t>Grapeshot (V.2)</t>
  </si>
  <si>
    <t>Battlefield Improvisation</t>
  </si>
  <si>
    <t>Universes Beyond: Assassin's Creed: E</t>
  </si>
  <si>
    <t>Leyline Axe (V.1)</t>
  </si>
  <si>
    <t>Overlord of the Floodpits</t>
  </si>
  <si>
    <t>The Aetherspark</t>
  </si>
  <si>
    <t>Ringwraiths (V.2)</t>
  </si>
  <si>
    <t>Assault on Osgiliath (V.2)</t>
  </si>
  <si>
    <t>Elvish Mariner (V.2)</t>
  </si>
  <si>
    <t>Elanor Gardner (V.2)</t>
  </si>
  <si>
    <t>Kiora, the Rising Tide (V.1)</t>
  </si>
  <si>
    <t>White Sun's Twilight</t>
  </si>
  <si>
    <t>Bronze Bombshell</t>
  </si>
  <si>
    <t>Street Wraith</t>
  </si>
  <si>
    <t>Teferi, Who Slows the Sunset</t>
  </si>
  <si>
    <t>Graveborn Muse</t>
  </si>
  <si>
    <t>Serum Powder</t>
  </si>
  <si>
    <t>Darksteel</t>
  </si>
  <si>
    <t>Golgari Grave-Troll (V.1)</t>
  </si>
  <si>
    <t>Writhing Chrysalis</t>
  </si>
  <si>
    <t>Deathrite Shaman (V.1)</t>
  </si>
  <si>
    <t>Gut Shot</t>
  </si>
  <si>
    <t>World Breaker</t>
  </si>
  <si>
    <t>Oath of the Gatewatch</t>
  </si>
  <si>
    <t>Talisman of Curiosity (V.1)</t>
  </si>
  <si>
    <t>Emrakul, the Promised End (V.1)</t>
  </si>
  <si>
    <t>Goblin King</t>
  </si>
  <si>
    <t>Tenth Edition</t>
  </si>
  <si>
    <t>Young Wolf (V.2)</t>
  </si>
  <si>
    <t>Blood Artist (V.2)</t>
  </si>
  <si>
    <t>Sterling Grove (V.1)</t>
  </si>
  <si>
    <t>Thoughtseize</t>
  </si>
  <si>
    <t>Theros</t>
  </si>
  <si>
    <t>Yedora, Grave Gardener (V.1)</t>
  </si>
  <si>
    <t>Transmogrant's Crown</t>
  </si>
  <si>
    <t>Duel Decks: Elves vs. Goblins</t>
  </si>
  <si>
    <t>Spelunking</t>
  </si>
  <si>
    <t>Crumbling Vestige</t>
  </si>
  <si>
    <t>Risen Reef</t>
  </si>
  <si>
    <t>Radiant Fountain</t>
  </si>
  <si>
    <t>Scapeshift</t>
  </si>
  <si>
    <t>Force of Despair</t>
  </si>
  <si>
    <t>Crystal Barricade (V.1)</t>
  </si>
  <si>
    <t>Plague Engineer (V.1)</t>
  </si>
  <si>
    <t>Recruiter of the Guard</t>
  </si>
  <si>
    <t>Phelia, Exuberant Shepherd</t>
  </si>
  <si>
    <t>Aether Vial (V.1)</t>
  </si>
  <si>
    <t>Sanctifier en-Vec (V.1)</t>
  </si>
  <si>
    <t>Obelisk Spider</t>
  </si>
  <si>
    <t>Hour of Devastation</t>
  </si>
  <si>
    <t>Phelia, Exuberant Shepherd (V.2)</t>
  </si>
  <si>
    <t>White Orchid Phantom (V.2)</t>
  </si>
  <si>
    <t>Tidehollow Sculler</t>
  </si>
  <si>
    <t>Flame of Anor</t>
  </si>
  <si>
    <t>Monstrous Rage</t>
  </si>
  <si>
    <t>Tranquil Frillback</t>
  </si>
  <si>
    <t>Ruby, Daring Tracker</t>
  </si>
  <si>
    <t>Llanowar Elves</t>
  </si>
  <si>
    <t>Pest Control (V.1)</t>
  </si>
  <si>
    <t>Calamity, Galloping Inferno</t>
  </si>
  <si>
    <t>Mercenary Token (R 1/1) // Meteorite Token</t>
  </si>
  <si>
    <t>The Meathook Massacre (V.2)</t>
  </si>
  <si>
    <t>Prosperous Innkeeper</t>
  </si>
  <si>
    <t>Adventures in the Forgotten Realms: Promos</t>
  </si>
  <si>
    <t>Painter's Studio // Defaced Gallery</t>
  </si>
  <si>
    <t>Obstinate Baloth</t>
  </si>
  <si>
    <t>Underworld Breach (V.1)</t>
  </si>
  <si>
    <t>Theros Beyond Death: Promos</t>
  </si>
  <si>
    <t>The Meathook Massacre (V.1)</t>
  </si>
  <si>
    <t>Sink into Stupor // Soporific Springs</t>
  </si>
  <si>
    <t>Thing in the Ice / Awoken Horror</t>
  </si>
  <si>
    <t>Rough // Tumble</t>
  </si>
  <si>
    <t>Lightning Axe</t>
  </si>
  <si>
    <t>Perennial Behemoth</t>
  </si>
  <si>
    <t>Sword of Once and Future (V.2)</t>
  </si>
  <si>
    <t>Stubborn Denial</t>
  </si>
  <si>
    <t>Leyline of the Guildpact</t>
  </si>
  <si>
    <t>Orvar, the All-Form</t>
  </si>
  <si>
    <t>Kaldheim: Extras</t>
  </si>
  <si>
    <t>Scion of Draco (V.2)</t>
  </si>
  <si>
    <t>Freestrider Lookout</t>
  </si>
  <si>
    <t>Keen-Eyed Curator</t>
  </si>
  <si>
    <t>Knight of Autumn</t>
  </si>
  <si>
    <t>Sevinne's Reclamation</t>
  </si>
  <si>
    <t>Nissa, Resurgent Animist (V.1)</t>
  </si>
  <si>
    <t>Titania, Protector of Argoth (V.2)</t>
  </si>
  <si>
    <t>Expressive Iteration</t>
  </si>
  <si>
    <t>Nihil Spellbomb</t>
  </si>
  <si>
    <t>Extirpate</t>
  </si>
  <si>
    <t>Green Sun's Zenith</t>
  </si>
  <si>
    <t>Urza's Cave</t>
  </si>
  <si>
    <t>Monk Token (White 1/1 Prowess)</t>
  </si>
  <si>
    <t>CVSALE-1187904430-01</t>
  </si>
  <si>
    <t>Griselbrand</t>
  </si>
  <si>
    <t>Dissection Tools</t>
  </si>
  <si>
    <t>Faithless Looting</t>
  </si>
  <si>
    <t>Enduring Innocence</t>
  </si>
  <si>
    <t>Demilich</t>
  </si>
  <si>
    <t>Arclight Phoenix (V.1)</t>
  </si>
  <si>
    <t>Protect the Negotiators</t>
  </si>
  <si>
    <t>Mockingbird</t>
  </si>
  <si>
    <t>Jace, the Perfected Mind (V.2)</t>
  </si>
  <si>
    <t>Commander Masters: Extras</t>
  </si>
  <si>
    <t>Atraxa, Grand Unifier (V.1)</t>
  </si>
  <si>
    <t>Goryo's Vengeance</t>
  </si>
  <si>
    <t>Commander: Duskmourn: House of Horror: Extras</t>
  </si>
  <si>
    <t>Elesh Norn, Mother of Machines</t>
  </si>
  <si>
    <t>Lithomantic Barrage</t>
  </si>
  <si>
    <t>Destroy Evil</t>
  </si>
  <si>
    <t>Disdainful Stroke</t>
  </si>
  <si>
    <t>Torch the Tower</t>
  </si>
  <si>
    <t>Imodane's Recruiter // Train Troops</t>
  </si>
  <si>
    <t>Knight-Errant of Eos</t>
  </si>
  <si>
    <t>Gleeful Demolition</t>
  </si>
  <si>
    <t>Spyglass Siren</t>
  </si>
  <si>
    <t>Clockwork Percussionist</t>
  </si>
  <si>
    <t>Resolute Reinforcements</t>
  </si>
  <si>
    <t>Hanweir Battlements / Hanweir, the Writhing Township</t>
  </si>
  <si>
    <t>Lotus Field</t>
  </si>
  <si>
    <t>Echoing Deeps</t>
  </si>
  <si>
    <t>Arboreal Grazer</t>
  </si>
  <si>
    <t>Outrageous Robbery</t>
  </si>
  <si>
    <t>Chalice of the Void</t>
  </si>
  <si>
    <t>Deep-Cavern Bat</t>
  </si>
  <si>
    <t>Fountainport</t>
  </si>
  <si>
    <t>Nissa, Ascended Animist (V.2)</t>
  </si>
  <si>
    <t>Day of Judgment</t>
  </si>
  <si>
    <t>Vivien Reid</t>
  </si>
  <si>
    <t>Cavern of Souls</t>
  </si>
  <si>
    <t>Overlord of the Boilerbilges</t>
  </si>
  <si>
    <t>Wasteland Strangler</t>
  </si>
  <si>
    <t>Orzhov Pontiff</t>
  </si>
  <si>
    <t>Phyrexian Revoker (V.1)</t>
  </si>
  <si>
    <t>Sanctum Prelate</t>
  </si>
  <si>
    <t>Buy a Box Promos</t>
  </si>
  <si>
    <t>Tamiyo, Inquisitive Student // Tamiyo, Seasoned Scholar</t>
  </si>
  <si>
    <t>Not on My Watch</t>
  </si>
  <si>
    <t>Sheltered by Ghosts</t>
  </si>
  <si>
    <t>Beast Token (G 3/3) // Treefolk Token (G */*)</t>
  </si>
  <si>
    <t>Unsummon</t>
  </si>
  <si>
    <t>Insect Token (White 2/1)</t>
  </si>
  <si>
    <t>Manifest Token (Colorless 2/2)</t>
  </si>
  <si>
    <t>Bloomburrow: Tokens</t>
  </si>
  <si>
    <t>Undercity Informer</t>
  </si>
  <si>
    <t>Surgical Extraction (V.1)</t>
  </si>
  <si>
    <t>Graveyard Trespasser // Graveyard Glutton</t>
  </si>
  <si>
    <t>Diabolic Intent (V.2)</t>
  </si>
  <si>
    <t>The Brothers' War: Promos</t>
  </si>
  <si>
    <t>CVSALE-1183898242-02</t>
  </si>
  <si>
    <t>Authority of the Consuls</t>
  </si>
  <si>
    <t>CVSALE-1183898242-01</t>
  </si>
  <si>
    <t>Overlord of the Mistmoors</t>
  </si>
  <si>
    <t>Doppelgang</t>
  </si>
  <si>
    <t>Archangel of Wrath</t>
  </si>
  <si>
    <t>Herd Migration</t>
  </si>
  <si>
    <t>Psychic Frog (V.1)</t>
  </si>
  <si>
    <t>Tamiyo, Inquisitive Student // Tamiyo, Seasoned Scholar (V.1)</t>
  </si>
  <si>
    <t>Sword of Hearth and Home</t>
  </si>
  <si>
    <t>Urabrask's Forge</t>
  </si>
  <si>
    <t>Ajani, Nacatl Pariah // Ajani, Nacatl Avenger</t>
  </si>
  <si>
    <t>Flare of Denial</t>
  </si>
  <si>
    <t>Founding the Third Path</t>
  </si>
  <si>
    <t>Forest (V.2)</t>
  </si>
  <si>
    <t>Violent Urge</t>
  </si>
  <si>
    <t>Gamegenic Playmat Tube</t>
  </si>
  <si>
    <t>Black</t>
  </si>
  <si>
    <t>Suncleanser</t>
  </si>
  <si>
    <t>Picklock Prankster // Free the Fae</t>
  </si>
  <si>
    <t>Psychic Frog</t>
  </si>
  <si>
    <t>Kogla and Yidaro</t>
  </si>
  <si>
    <t>Flare of Denial (V.1)</t>
  </si>
  <si>
    <t>Overlord of the Balemurk (V.2)</t>
  </si>
  <si>
    <t>Painful Quandary (V.2)</t>
  </si>
  <si>
    <t>Plains (V.1)</t>
  </si>
  <si>
    <t>Plains (V.2)</t>
  </si>
  <si>
    <t>Plains (V.3)</t>
  </si>
  <si>
    <t>Plains (V.4)</t>
  </si>
  <si>
    <t>Island (V.1)</t>
  </si>
  <si>
    <t>Island (V.2)</t>
  </si>
  <si>
    <t>Island (V.3)</t>
  </si>
  <si>
    <t>Island (V.4)</t>
  </si>
  <si>
    <t>Mountain (V.1)</t>
  </si>
  <si>
    <t>Mountain (V.2)</t>
  </si>
  <si>
    <t>Mountain (V.3)</t>
  </si>
  <si>
    <t>Mountain (V.4)</t>
  </si>
  <si>
    <t>Forest (V.1)</t>
  </si>
  <si>
    <t>Forest (V.3)</t>
  </si>
  <si>
    <t>Forest (V.4)</t>
  </si>
  <si>
    <t>Swamp (V.2)</t>
  </si>
  <si>
    <t>Swamp (V.1)</t>
  </si>
  <si>
    <t>Swamp (V.3)</t>
  </si>
  <si>
    <t>Swamp (V.4)</t>
  </si>
  <si>
    <t>Witherbloom Command</t>
  </si>
  <si>
    <t>Parhelion II</t>
  </si>
  <si>
    <t>Grisly Salvage</t>
  </si>
  <si>
    <t>Commander 2018</t>
  </si>
  <si>
    <t>Raffine's Informant</t>
  </si>
  <si>
    <t>Esika's Chariot</t>
  </si>
  <si>
    <t>Greasefang, Okiba Boss</t>
  </si>
  <si>
    <t>Commandeer</t>
  </si>
  <si>
    <t>Halo Forager</t>
  </si>
  <si>
    <t>Orcish Bowmasters</t>
  </si>
  <si>
    <t>Haughty Djinn</t>
  </si>
  <si>
    <t>Helping Hand</t>
  </si>
  <si>
    <t>Soul Partition</t>
  </si>
  <si>
    <t>Chart a Course</t>
  </si>
  <si>
    <t>Into the Flood Maw</t>
  </si>
  <si>
    <t>Recommission</t>
  </si>
  <si>
    <t>Monastery Mentor</t>
  </si>
  <si>
    <t>Exorcise</t>
  </si>
  <si>
    <t>Elspeth's Smite</t>
  </si>
  <si>
    <t>Goblin Lore</t>
  </si>
  <si>
    <t>Burning Inquiry</t>
  </si>
  <si>
    <t>Expedition Map</t>
  </si>
  <si>
    <t>Underworld Breach</t>
  </si>
  <si>
    <t>Floodfarm Verge</t>
  </si>
  <si>
    <t>Sunken Citadel</t>
  </si>
  <si>
    <t>Restless Anchorage</t>
  </si>
  <si>
    <t>Fear of Missing Out</t>
  </si>
  <si>
    <t>Tarfire</t>
  </si>
  <si>
    <t>Omnivorous Flytrap</t>
  </si>
  <si>
    <t>Say Its Name</t>
  </si>
  <si>
    <t>Altanak, the Thrice-Called</t>
  </si>
  <si>
    <t>Thought Scour</t>
  </si>
  <si>
    <t>Fire/Ice</t>
  </si>
  <si>
    <t>Ocelot Pride</t>
  </si>
  <si>
    <t>Wildgrowth Walker</t>
  </si>
  <si>
    <t>Underground Mortuary</t>
  </si>
  <si>
    <t>Abhorrent Oculus</t>
  </si>
  <si>
    <t>Glistening Deluge</t>
  </si>
  <si>
    <t>Magebane Lizard</t>
  </si>
  <si>
    <t>Ghost Vacuum</t>
  </si>
  <si>
    <t>Planar Genesis</t>
  </si>
  <si>
    <t>High Noon</t>
  </si>
  <si>
    <t>Basking Broodscale</t>
  </si>
  <si>
    <t>Angel of the Ruins</t>
  </si>
  <si>
    <t>Titanoth Rex</t>
  </si>
  <si>
    <t>Ikoria: Lair of Behemoths: Extras</t>
  </si>
  <si>
    <t>Amalia Benavides Aguirre</t>
  </si>
  <si>
    <t>Viscera Seer</t>
  </si>
  <si>
    <t>Cauldron Familiar</t>
  </si>
  <si>
    <t>Store Championship Promos</t>
  </si>
  <si>
    <t>Consign to Memory [Playset]</t>
  </si>
  <si>
    <t>Life from the Loam</t>
  </si>
  <si>
    <t>Theros Beyond Death: Extras</t>
  </si>
  <si>
    <t>Bloomburrow: Common Set</t>
  </si>
  <si>
    <t>Mox Amber (V.1)</t>
  </si>
  <si>
    <t>Emrakul, the Aeons Torn</t>
  </si>
  <si>
    <t>Modern Masters 2015</t>
  </si>
  <si>
    <t>Six [Playset]</t>
  </si>
  <si>
    <t>Nulldrifter</t>
  </si>
  <si>
    <t>Whipflare</t>
  </si>
  <si>
    <t>Metallic Rebuke</t>
  </si>
  <si>
    <t>Winter Moon</t>
  </si>
  <si>
    <t>Sneaky Snacker</t>
  </si>
  <si>
    <t>Grinding Station</t>
  </si>
  <si>
    <t>Darksteel Citadel [Playset]</t>
  </si>
  <si>
    <t>Emry, Lurker of the Loch [Playset]</t>
  </si>
  <si>
    <t>Thoughtcast [Playset]</t>
  </si>
  <si>
    <t>Thought Monitor [Playset]</t>
  </si>
  <si>
    <t>Kappa Cannoneer</t>
  </si>
  <si>
    <t>Tajuru Preserver</t>
  </si>
  <si>
    <t>Voice of Resurgence</t>
  </si>
  <si>
    <t>Horizon Canopy</t>
  </si>
  <si>
    <t>Tibalt's Trickery (V.2)</t>
  </si>
  <si>
    <t>Kaldheim: Promos</t>
  </si>
  <si>
    <t>Emberheart Challenger (V.2)</t>
  </si>
  <si>
    <t>Virtue of Loyalty // Ardenvale Fealty</t>
  </si>
  <si>
    <t>The Stone Brain</t>
  </si>
  <si>
    <t>Grove of the Burnwillows</t>
  </si>
  <si>
    <t>Ratchet Bomb</t>
  </si>
  <si>
    <t>Kozilek's Return</t>
  </si>
  <si>
    <t>Through the Breach</t>
  </si>
  <si>
    <t>Talisman of Impulse</t>
  </si>
  <si>
    <t>Boseiju, Who Shelters All</t>
  </si>
  <si>
    <t>Dreadhorde Arcanist [Playset]</t>
  </si>
  <si>
    <t>Thundertrap Trainer Token (Blue 1/1)</t>
  </si>
  <si>
    <t>Roaming Throne (V.2)</t>
  </si>
  <si>
    <t>Goblin Bombardment</t>
  </si>
  <si>
    <t>Ugin's Labyrinth</t>
  </si>
  <si>
    <t>Phyrexian Fleshgorger</t>
  </si>
  <si>
    <t>Eldrazi Temple [Playset]</t>
  </si>
  <si>
    <t>All Is Dust</t>
  </si>
  <si>
    <t>Thought-Knot Seer</t>
  </si>
  <si>
    <t>Talisman of Resilience (V.1)</t>
  </si>
  <si>
    <t>Shifting Woodland</t>
  </si>
  <si>
    <t>Drag the Canal</t>
  </si>
  <si>
    <t>Thundertrap Trainer</t>
  </si>
  <si>
    <t>Pyroclasm</t>
  </si>
  <si>
    <t>Player Rewards Promos</t>
  </si>
  <si>
    <t>Cascade Bluffs</t>
  </si>
  <si>
    <t>Commander: Outlaws of Thunder Junction</t>
  </si>
  <si>
    <t>Crackling Drake</t>
  </si>
  <si>
    <t>Headless Rider (V.2)</t>
  </si>
  <si>
    <t>Cauldron Familiar [Playset]</t>
  </si>
  <si>
    <t>Wrath of the Skies (V.2)</t>
  </si>
  <si>
    <t>Zulaport Cutthroat</t>
  </si>
  <si>
    <t>Chord of Calling (V.1) [Playset]</t>
  </si>
  <si>
    <t>Chord of Calling [Playset]</t>
  </si>
  <si>
    <t>Prerelease Promos</t>
  </si>
  <si>
    <t>Overgrown Tomb</t>
  </si>
  <si>
    <t>Temple Garden [Playset]</t>
  </si>
  <si>
    <t>Helga, Skittish Seer</t>
  </si>
  <si>
    <t>Plague Engineer</t>
  </si>
  <si>
    <t>Archdruid's Charm (V.2)</t>
  </si>
  <si>
    <t>Uro, Titan of Nature's Wrath</t>
  </si>
  <si>
    <t>Sink into Stupor // Soporific Springs [Playset]</t>
  </si>
  <si>
    <t>Fatal Push</t>
  </si>
  <si>
    <t>Friday Night Magic Promos</t>
  </si>
  <si>
    <t>Blood Crypt (V.2)</t>
  </si>
  <si>
    <t>Scalding Tarn (V.1)</t>
  </si>
  <si>
    <t>Dovin's Veto [Playset]</t>
  </si>
  <si>
    <t>Ledger Shredder</t>
  </si>
  <si>
    <t>Godless Shrine</t>
  </si>
  <si>
    <t>Supreme Verdict</t>
  </si>
  <si>
    <t>Renegade Rallier</t>
  </si>
  <si>
    <t>Jet Medallion</t>
  </si>
  <si>
    <t>Stomping Ground</t>
  </si>
  <si>
    <t>CVSALE-1166475023-01</t>
  </si>
  <si>
    <t>Warren Soultrader</t>
  </si>
  <si>
    <t>Monumental Henge</t>
  </si>
  <si>
    <t>Steam Vents [Playset]</t>
  </si>
  <si>
    <t>Marionette Apprentice</t>
  </si>
  <si>
    <t>Ninth Edition</t>
  </si>
  <si>
    <t>Hallowed Fountain [Playset]</t>
  </si>
  <si>
    <t>Phlage, Titan of Fire's Fury</t>
  </si>
  <si>
    <t>Flare of Fortitude (V.2)</t>
  </si>
  <si>
    <t>Sacred Foundry (V.2)</t>
  </si>
  <si>
    <t>Gaddock Teeg</t>
  </si>
  <si>
    <t>Malevolent Rumble</t>
  </si>
  <si>
    <t>Accursed Marauder (V.1)</t>
  </si>
  <si>
    <t>Treasure Token // Energy Reserve (V.1)</t>
  </si>
  <si>
    <t>Universes Beyond: Fallou</t>
  </si>
  <si>
    <t>Godless Shrine (V.2)</t>
  </si>
  <si>
    <t>Windswept Heath</t>
  </si>
  <si>
    <t>Flooded Strand</t>
  </si>
  <si>
    <t>Watery Grave</t>
  </si>
  <si>
    <t>Preordain [Playset]</t>
  </si>
  <si>
    <t>Nethergoyf</t>
  </si>
  <si>
    <t>Vanishing Verse</t>
  </si>
  <si>
    <t>Wedding Announcement // Wedding Festivity</t>
  </si>
  <si>
    <t>Noxious Ghoul</t>
  </si>
  <si>
    <t>Prismatic Ending</t>
  </si>
  <si>
    <t>Verdant Catacombs [Playset]</t>
  </si>
  <si>
    <t>Phlage, Titan of Fire's Fury (V.1)</t>
  </si>
  <si>
    <t>Lonis, Cryptozoologist</t>
  </si>
  <si>
    <t>Verdant Catacombs (V.1)</t>
  </si>
  <si>
    <t>Secret Lair Drop Series: Out of Time Super</t>
  </si>
  <si>
    <t>Misty Rainforest (V.1)</t>
  </si>
  <si>
    <t>Misty Rainforest [Playset]</t>
  </si>
  <si>
    <t>Kozilek's Command</t>
  </si>
  <si>
    <t>Marsh Flats (V.1)</t>
  </si>
  <si>
    <t>Goryo's Vengeance [Playset]</t>
  </si>
  <si>
    <t>Marsh Flats [Playset]</t>
  </si>
  <si>
    <t>Terminus</t>
  </si>
  <si>
    <t>Modern Masters 2017</t>
  </si>
  <si>
    <t>Atraxa, Grand Unifier [Playset]</t>
  </si>
  <si>
    <t>Shuko [Playset]</t>
  </si>
  <si>
    <t>Arid Mesa (V.1)</t>
  </si>
  <si>
    <t>Arid Mesa [Playset]</t>
  </si>
  <si>
    <t>Preordain</t>
  </si>
  <si>
    <t>Cat Token (W 1/1) // Servo Token (A 1/1)</t>
  </si>
  <si>
    <t>Modern Horizons 3: Tok</t>
  </si>
  <si>
    <t>Cat Warrior Token (W 2/1) // Servo Token (A 1/1)</t>
  </si>
  <si>
    <t>Goblin Piledriver [Playset]</t>
  </si>
  <si>
    <t>Snow-Covered Swamp</t>
  </si>
  <si>
    <t>Snow-Covered Mountain</t>
  </si>
  <si>
    <t>Cat Token (W 1/1) // Phyrexian Germ Token (B 0/0)</t>
  </si>
  <si>
    <t>Ranger-Captain of Eos</t>
  </si>
  <si>
    <t>Ensnaring Bridge</t>
  </si>
  <si>
    <t>Masters 25</t>
  </si>
  <si>
    <t>City's Blessing Token</t>
  </si>
  <si>
    <t>Hollow One [Playset]</t>
  </si>
  <si>
    <t>Spell Snare [Playset]</t>
  </si>
  <si>
    <t>Tune the Narrative</t>
  </si>
  <si>
    <t>Galvanic Discharge</t>
  </si>
  <si>
    <t>Unstable Amulet (V.1)</t>
  </si>
  <si>
    <t>Jolted Awake (V.1)</t>
  </si>
  <si>
    <t>Geralf's Messenger [Playset]</t>
  </si>
  <si>
    <t>Deafening Silence</t>
  </si>
  <si>
    <t>Cat Token (White 1/1)</t>
  </si>
  <si>
    <t>Zendikar Rising: Extras</t>
  </si>
  <si>
    <t>Bloodstained Mire</t>
  </si>
  <si>
    <t>Gut Shot [Playset]</t>
  </si>
  <si>
    <t>Legion's End</t>
  </si>
  <si>
    <t>Chill</t>
  </si>
  <si>
    <t>Protean Hulk</t>
  </si>
  <si>
    <t>Omnath, Locus of Creation [Playset]</t>
  </si>
  <si>
    <t>Damping Matrix</t>
  </si>
  <si>
    <t>Past in Flames [Playset]</t>
  </si>
  <si>
    <t>Harsh Mentor</t>
  </si>
  <si>
    <t>Amonkhet</t>
  </si>
  <si>
    <t>Ruby Medallion</t>
  </si>
  <si>
    <t>Dragon's Rage Channeler</t>
  </si>
  <si>
    <t>Party Thrasher</t>
  </si>
  <si>
    <t>Boggart Trawler // Boggart Bog</t>
  </si>
  <si>
    <t>Razorgrass Ambush // Razorgrass Field</t>
  </si>
  <si>
    <t>Reiterating Bolt</t>
  </si>
  <si>
    <t>Essence Reliquary</t>
  </si>
  <si>
    <t>Requisition Raid</t>
  </si>
  <si>
    <t>Guardian of the Guildpact</t>
  </si>
  <si>
    <t>Tunnel Ignus</t>
  </si>
  <si>
    <t>Amped Raptor</t>
  </si>
  <si>
    <t>Barbarian Ring</t>
  </si>
  <si>
    <t>Ghostfire Slice</t>
  </si>
  <si>
    <t>Outrider en-Kor</t>
  </si>
  <si>
    <t>Boom // Bust</t>
  </si>
  <si>
    <t>Aether Hub</t>
  </si>
  <si>
    <t>Invert Polarity</t>
  </si>
  <si>
    <t>Flagstones of Trokair [Playset]</t>
  </si>
  <si>
    <t>Honest Rutstein</t>
  </si>
  <si>
    <t>Toxic Deluge</t>
  </si>
  <si>
    <t>Orim's Chant</t>
  </si>
  <si>
    <t>Unstable Amulet</t>
  </si>
  <si>
    <t>Sorin of House Markov // Sorin, Ravenous Neonate</t>
  </si>
  <si>
    <t>Springheart Nantuko</t>
  </si>
  <si>
    <t>Chthonian Nightmare</t>
  </si>
  <si>
    <t>Disciple of Freyalise // Garden of Freyalise</t>
  </si>
  <si>
    <t>Fell the Profane // Fell Mire</t>
  </si>
  <si>
    <t>Static Prison</t>
  </si>
  <si>
    <t>Sundering Eruption // Volcanic Fissure</t>
  </si>
  <si>
    <t>From the Vault: Realms</t>
  </si>
  <si>
    <t>Flare of Malice</t>
  </si>
  <si>
    <t>Ral, Monsoon Mage // Ral, Leyline Prodigy</t>
  </si>
  <si>
    <t>Six</t>
  </si>
  <si>
    <t>Phyrexian Crusader</t>
  </si>
  <si>
    <t>Necrodominance</t>
  </si>
  <si>
    <t>Disruptor Flute</t>
  </si>
  <si>
    <t>Six (V.2)</t>
  </si>
  <si>
    <t>Isochron Scepter</t>
  </si>
  <si>
    <t>Flare of Cultivation</t>
  </si>
  <si>
    <t>Nadu, Winged Wisdom</t>
  </si>
  <si>
    <t>Harbinger of the Seas</t>
  </si>
  <si>
    <t>Witch Enchanter // Witch-Blessed Meadow</t>
  </si>
  <si>
    <t>Cephalid Coliseum</t>
  </si>
  <si>
    <t>Wrath of the Skies</t>
  </si>
  <si>
    <t>Imskir Iron-Eater</t>
  </si>
  <si>
    <t>Emeria's Call // Emeria, Shattered Skyclave [Playset]</t>
  </si>
  <si>
    <t>Duress</t>
  </si>
  <si>
    <t>Scion of Draco</t>
  </si>
  <si>
    <t>Mana Leak</t>
  </si>
  <si>
    <t>Failure // Comply</t>
  </si>
  <si>
    <t>Lavaspur Boots</t>
  </si>
  <si>
    <t>Shuraiya (OP06-009) (V.1)</t>
  </si>
  <si>
    <t>Wings of the Captain</t>
  </si>
  <si>
    <t>Vinsmoke Judge (OP06-062) (V.1)</t>
  </si>
  <si>
    <t>Force of Will</t>
  </si>
  <si>
    <t>The Eternal Wanderer</t>
  </si>
  <si>
    <t>Void Rend</t>
  </si>
  <si>
    <t>Memory Deluge</t>
  </si>
  <si>
    <t>Stubborn Denial [Playset]</t>
  </si>
  <si>
    <t>Goblin Grenade [Playset]</t>
  </si>
  <si>
    <t>Valki, God of Lies // Tibalt, Cosmic Impostor</t>
  </si>
  <si>
    <t>Spellskite</t>
  </si>
  <si>
    <t>Kaito, Dancing Shadow</t>
  </si>
  <si>
    <t>Sigarda, Champion of Light</t>
  </si>
  <si>
    <t>Depopulate</t>
  </si>
  <si>
    <t>Pillage the Bog</t>
  </si>
  <si>
    <t>Giver of Runes</t>
  </si>
  <si>
    <t>The Reality Chip (V.1)</t>
  </si>
  <si>
    <t>Wooded Foothills</t>
  </si>
  <si>
    <t>Windswept Heath [Playset]</t>
  </si>
  <si>
    <t>Gempalm Incinerator [Playset]</t>
  </si>
  <si>
    <t>Duel Decks: Merfolk vs. Goblins</t>
  </si>
  <si>
    <t>Noble Hierarch</t>
  </si>
  <si>
    <t>Waterfront Bouncer</t>
  </si>
  <si>
    <t>Aquamoeba</t>
  </si>
  <si>
    <t>Merfolk Looter</t>
  </si>
  <si>
    <t>Careful Study</t>
  </si>
  <si>
    <t>Deep Analysis</t>
  </si>
  <si>
    <t>Arrogant Wurm</t>
  </si>
  <si>
    <t>Roar of the Wurm</t>
  </si>
  <si>
    <t>Fact or Fiction</t>
  </si>
  <si>
    <t>Circular Logic</t>
  </si>
  <si>
    <t>Basking Rootwalla</t>
  </si>
  <si>
    <t>Wild Mongrel</t>
  </si>
  <si>
    <t>Lair of the Hydra</t>
  </si>
  <si>
    <t>Cityscape Leveler</t>
  </si>
  <si>
    <t>Leyline of the Guildpact [Playset]</t>
  </si>
  <si>
    <t>Farewell</t>
  </si>
  <si>
    <t>Blue Elemental Blast</t>
  </si>
  <si>
    <t>Faerie Macabre</t>
  </si>
  <si>
    <t>Ponder</t>
  </si>
  <si>
    <t>Dominaria Remastered</t>
  </si>
  <si>
    <t>CVSALE-1156805109-01</t>
  </si>
  <si>
    <t>Naturalize</t>
  </si>
  <si>
    <t>Defense Grid (V.1)</t>
  </si>
  <si>
    <t>Murderous Cut</t>
  </si>
  <si>
    <t>Wurmcoil Engine (V.2)</t>
  </si>
  <si>
    <t>Urza's Power Plant (V.3)</t>
  </si>
  <si>
    <t>Urza's Mine (V.1)</t>
  </si>
  <si>
    <t>Urza's Power Plant (V.1)</t>
  </si>
  <si>
    <t>Urza's Tower (V.4)</t>
  </si>
  <si>
    <t>Urza's Mine (V.4)</t>
  </si>
  <si>
    <t>Urza's Power Plant (V.2)</t>
  </si>
  <si>
    <t>Urza's Power Plant (V.4)</t>
  </si>
  <si>
    <t>Urza's Tower (V.1)</t>
  </si>
  <si>
    <t>Urza's Mine (V.3)</t>
  </si>
  <si>
    <t>Urza's Tower (V.2)</t>
  </si>
  <si>
    <t>Urza's Tower (V.3)</t>
  </si>
  <si>
    <t>Serra Paragon</t>
  </si>
  <si>
    <t>Ephemerate [Playset]</t>
  </si>
  <si>
    <t>Charming Scoundrel</t>
  </si>
  <si>
    <t>Gitaxian Probe [Playset]</t>
  </si>
  <si>
    <t>Gush</t>
  </si>
  <si>
    <t>Submerge</t>
  </si>
  <si>
    <t>Frantic Search</t>
  </si>
  <si>
    <t>Relic of Progenitus</t>
  </si>
  <si>
    <t>Legion's End (V.1)</t>
  </si>
  <si>
    <t>Core 2020: Extras</t>
  </si>
  <si>
    <t>Stifle</t>
  </si>
  <si>
    <t>Mental Note</t>
  </si>
  <si>
    <t>Wasteland</t>
  </si>
  <si>
    <t>Dismember</t>
  </si>
  <si>
    <t>Sylvan Scrying</t>
  </si>
  <si>
    <t>Worldsoul's Rage [Playset]</t>
  </si>
  <si>
    <t>Narset's Reversal</t>
  </si>
  <si>
    <t>Assimilation Aegis</t>
  </si>
  <si>
    <t>Roxanne, Starfall Savant</t>
  </si>
  <si>
    <t>Castle Garenbrig</t>
  </si>
  <si>
    <t>Explore</t>
  </si>
  <si>
    <t>Xander's Lounge (V.2)</t>
  </si>
  <si>
    <t>Streets of New Capenna: Promos</t>
  </si>
  <si>
    <t>Mirrorpool</t>
  </si>
  <si>
    <t>Vesuva</t>
  </si>
  <si>
    <t>Valakut, the Molten Pinnacle</t>
  </si>
  <si>
    <t>Blind Obedience</t>
  </si>
  <si>
    <t>Eidolon of the Great Revel [Playset]</t>
  </si>
  <si>
    <t>Ultra Deck: The Three Brothers</t>
  </si>
  <si>
    <t>Cryptic Coat</t>
  </si>
  <si>
    <t>Satoru, the Infiltrator</t>
  </si>
  <si>
    <t>Essence Flux [Playset]</t>
  </si>
  <si>
    <t>Chrome Host Seedshark</t>
  </si>
  <si>
    <t>Dryad of the Ilysian Grove [Playset]</t>
  </si>
  <si>
    <t>Turn the Earth</t>
  </si>
  <si>
    <t>Plaza of Heroes</t>
  </si>
  <si>
    <t>30th Anniversary Celebration</t>
  </si>
  <si>
    <t>Vinsmoke Reiju (OP06-042) (V.1)</t>
  </si>
  <si>
    <t>DON!! (OP06)</t>
  </si>
  <si>
    <t>Roronoa Zoro (OP06-118) (V.1)</t>
  </si>
  <si>
    <t>Kouzuki Hiyori (OP06-106) (V.1)</t>
  </si>
  <si>
    <t>Sunfall</t>
  </si>
  <si>
    <t>The Mycosynth Gardens</t>
  </si>
  <si>
    <t>Primeval Titan [Playset]</t>
  </si>
  <si>
    <t>Hengegate Pathway // Mistgate Pathway</t>
  </si>
  <si>
    <t>Meticulous Archive</t>
  </si>
  <si>
    <t>Lamplight Phoenix</t>
  </si>
  <si>
    <t>Shipwreck Marsh</t>
  </si>
  <si>
    <t>Archfiend of the Dross</t>
  </si>
  <si>
    <t>Raffine's Tower</t>
  </si>
  <si>
    <t>Counterspell [Playset]</t>
  </si>
  <si>
    <t>Release Promos</t>
  </si>
  <si>
    <t>Endurance</t>
  </si>
  <si>
    <t>Transmogrify</t>
  </si>
  <si>
    <t>Press the Enemy</t>
  </si>
  <si>
    <t>Day's Undoing</t>
  </si>
  <si>
    <t>Commander Masters</t>
  </si>
  <si>
    <t>Cosmic Rebirth (V.1)</t>
  </si>
  <si>
    <t>Terastodon</t>
  </si>
  <si>
    <t>Geier Reach Sanitarium</t>
  </si>
  <si>
    <t>Ardent Plea</t>
  </si>
  <si>
    <t>Preacher of the Schism [Playset]</t>
  </si>
  <si>
    <t>Wrenn and Six (V.1)</t>
  </si>
  <si>
    <t>Timeless Dragon Token // Food Token</t>
  </si>
  <si>
    <t>Timeless Dragon (V.3)</t>
  </si>
  <si>
    <t>Plaza of Heroes (V.2)</t>
  </si>
  <si>
    <t>Dominaria United: Promos</t>
  </si>
  <si>
    <t>Doorkeeper Thrull</t>
  </si>
  <si>
    <t>Shrouded Shepherd // Cleave Shadows</t>
  </si>
  <si>
    <t>Boros Charm (V.1) [Playset]</t>
  </si>
  <si>
    <t>Commander Legends: Extras</t>
  </si>
  <si>
    <t>Dwarven Mine</t>
  </si>
  <si>
    <t>Prismari Command</t>
  </si>
  <si>
    <t>Barad-dûr (V.2)</t>
  </si>
  <si>
    <t>Archon of Cruelty [Playset]</t>
  </si>
  <si>
    <t>Indomitable Creativity [Playset]</t>
  </si>
  <si>
    <t>Bitter Reunion</t>
  </si>
  <si>
    <t>Stomping Ground (V.2)</t>
  </si>
  <si>
    <t>Demolition Field</t>
  </si>
  <si>
    <t>Den of the Bugbear</t>
  </si>
  <si>
    <t>Showdown of the Skalds</t>
  </si>
  <si>
    <t>Secret Lair Commander Deck: Raining Cats</t>
  </si>
  <si>
    <t>Chainer's Edict (V.1)</t>
  </si>
  <si>
    <t>Favored Hoplite</t>
  </si>
  <si>
    <t>Homestead Courage</t>
  </si>
  <si>
    <t>Illuminator Virtuoso</t>
  </si>
  <si>
    <t>Sejiri Shelter // Sejiri Glacier</t>
  </si>
  <si>
    <t>Tenth District Legionnaire</t>
  </si>
  <si>
    <t>Defiant Strike (V.1)</t>
  </si>
  <si>
    <t>Light of Hope</t>
  </si>
  <si>
    <t>Gods Willing</t>
  </si>
  <si>
    <t>Citizen's Crowbar</t>
  </si>
  <si>
    <t>Spikefield Hazard // Spikefield Cave</t>
  </si>
  <si>
    <t>Maestros Theater</t>
  </si>
  <si>
    <t>Steam Vents</t>
  </si>
  <si>
    <t>Kellan, Daring Traveler // Journey On</t>
  </si>
  <si>
    <t>Restless Prairie</t>
  </si>
  <si>
    <t>Living End</t>
  </si>
  <si>
    <t>Ezrim, Agency Chief</t>
  </si>
  <si>
    <t>Deduce</t>
  </si>
  <si>
    <t>Unauthorized Exit</t>
  </si>
  <si>
    <t>Case of the Gateway Express</t>
  </si>
  <si>
    <t>Knockout Blow</t>
  </si>
  <si>
    <t>Witchstalker Frenzy</t>
  </si>
  <si>
    <t>Dig Through Time</t>
  </si>
  <si>
    <t>Horned Loch-Whale // Lagoon Breach</t>
  </si>
  <si>
    <t>Arms of Hadar</t>
  </si>
  <si>
    <t>Commander Legends: Battle for Baldur's Gate</t>
  </si>
  <si>
    <t>Suffocating Fumes</t>
  </si>
  <si>
    <t>Treacherous Greed</t>
  </si>
  <si>
    <t>Commander: Ikoria</t>
  </si>
  <si>
    <t>Swiftfoot Boots (V.1)</t>
  </si>
  <si>
    <t>Hibernation</t>
  </si>
  <si>
    <t>Unglued</t>
  </si>
  <si>
    <t>Jetmir's Garden (V.2)</t>
  </si>
  <si>
    <t>CVSALE-1145214768-01</t>
  </si>
  <si>
    <t>Breeding Pool</t>
  </si>
  <si>
    <t>Ragavan, Nimble Pilferer [Playset]</t>
  </si>
  <si>
    <t>Zopandrel, Hunger Dominus</t>
  </si>
  <si>
    <t>Hallowed Fountain</t>
  </si>
  <si>
    <t>Raucous Theater</t>
  </si>
  <si>
    <t>Commercial District</t>
  </si>
  <si>
    <t>Insidious Roots</t>
  </si>
  <si>
    <t>No More Lies</t>
  </si>
  <si>
    <t>Pick Your Poison</t>
  </si>
  <si>
    <t>Necroduality</t>
  </si>
  <si>
    <t>Spirebluff Canal</t>
  </si>
  <si>
    <t>Necroplasm</t>
  </si>
  <si>
    <t>Snuff Out</t>
  </si>
  <si>
    <t>CVSALE-1143910475-01</t>
  </si>
  <si>
    <t>Of One Mind</t>
  </si>
  <si>
    <t>Brinebarrow Intruder</t>
  </si>
  <si>
    <t>Unexpected Fangs</t>
  </si>
  <si>
    <t>Crawl from the Cellar</t>
  </si>
  <si>
    <t>Rotten Reunion</t>
  </si>
  <si>
    <t>Drown in Sorrow</t>
  </si>
  <si>
    <t>Agony Warp</t>
  </si>
  <si>
    <t>Thorn of the Black Rose</t>
  </si>
  <si>
    <t>Murmuring Mystic</t>
  </si>
  <si>
    <t>Treasure Token // The Monarch</t>
  </si>
  <si>
    <t>Commander: The Lord of the Rings:</t>
  </si>
  <si>
    <t>Contaminated Aquifer</t>
  </si>
  <si>
    <t>Dimir Aqueduct</t>
  </si>
  <si>
    <t>Savai Triome</t>
  </si>
  <si>
    <t>Street Wraith (V.2)</t>
  </si>
  <si>
    <t>Living End [Playset]</t>
  </si>
  <si>
    <t>Shardless Agent (V.1) [Playset]</t>
  </si>
  <si>
    <t>Andúril, Flame of the West</t>
  </si>
  <si>
    <t>Aragorn, the Uniter (V.1)</t>
  </si>
  <si>
    <t>Gandalf the White (V.1)</t>
  </si>
  <si>
    <t>Witch-king of Angmar (V.1)</t>
  </si>
  <si>
    <t>Flowering of the White Tree</t>
  </si>
  <si>
    <t>Sauron, the Dark Lord</t>
  </si>
  <si>
    <t>Sauron's Ransom</t>
  </si>
  <si>
    <t>Ice Age (OP02-117)</t>
  </si>
  <si>
    <t>Paramount War</t>
  </si>
  <si>
    <t>Mystical Dispute (V.2)</t>
  </si>
  <si>
    <t>Soul-Guide Lantern (V.1)</t>
  </si>
  <si>
    <t>Reclamation Sage</t>
  </si>
  <si>
    <t>Unholy Heat</t>
  </si>
  <si>
    <t>Spike Feeder</t>
  </si>
  <si>
    <t>Break the Ice</t>
  </si>
  <si>
    <t>Damping Sphere</t>
  </si>
  <si>
    <t>CVSALE-1142556696-01</t>
  </si>
  <si>
    <t>Curly.Dadan (OP02-005)</t>
  </si>
  <si>
    <t>Aclazotz, Deepest Betrayal // Temple of the Dead</t>
  </si>
  <si>
    <t>Stalactite Stalker</t>
  </si>
  <si>
    <t>Inti, Seneschal of the Sun</t>
  </si>
  <si>
    <t>Stitcher's Supplier [Playset]</t>
  </si>
  <si>
    <t>Hedron Crab [Playset]</t>
  </si>
  <si>
    <t>Faerie Mastermind [Playset]</t>
  </si>
  <si>
    <t>Ain (ST05-002)</t>
  </si>
  <si>
    <t>Starter Deck: ONE PIECE FILM edition</t>
  </si>
  <si>
    <t>CVSALE-1139362216-01</t>
  </si>
  <si>
    <t>Cut Down</t>
  </si>
  <si>
    <t>Gix's Command</t>
  </si>
  <si>
    <t>Negate</t>
  </si>
  <si>
    <t>CVSALE-1139327696-02</t>
  </si>
  <si>
    <t>Malcolm, Alluring Scoundrel</t>
  </si>
  <si>
    <t>CVSALE-1139327696-01</t>
  </si>
  <si>
    <t>Gix, Yawgmoth Praetor</t>
  </si>
  <si>
    <t>Subterranean Schooner [Playset]</t>
  </si>
  <si>
    <t>CVSALE-1139234090-01</t>
  </si>
  <si>
    <t>Shattered Sanctum</t>
  </si>
  <si>
    <t>Dennick, Pious Apprentice // Dennick, Pious Apparition</t>
  </si>
  <si>
    <t>Raffine, Scheming Seer (V.1) [Playset]</t>
  </si>
  <si>
    <t>Lord Skitter, Sewer King</t>
  </si>
  <si>
    <t>Kaido (OP05-118) (V.1)</t>
  </si>
  <si>
    <t>Awakening of the New Era</t>
  </si>
  <si>
    <t>Eustass"Captain"Kid (OP05-074) (V.1)</t>
  </si>
  <si>
    <t>Monkey.D.Luffy (OP05-119) (V.1)</t>
  </si>
  <si>
    <t>Koala (OP05-006) (V.1)</t>
  </si>
  <si>
    <t>Ohm (OP05-101)</t>
  </si>
  <si>
    <t>Ulti (OP05-043) (V.1)</t>
  </si>
  <si>
    <t>Zoro-Juurou (OP05-067) (V.1)</t>
  </si>
  <si>
    <t>Uso-Hachi (OP05-061)</t>
  </si>
  <si>
    <t>Fire Fist (OP05-019)</t>
  </si>
  <si>
    <t>Morley (OP05-016)</t>
  </si>
  <si>
    <t>Rebecca (OP05-091) (V.1)</t>
  </si>
  <si>
    <t>Enel (OP05-100) (V.1)</t>
  </si>
  <si>
    <t>DON!!</t>
  </si>
  <si>
    <t>Emporio.Ivankov (OP05-004)</t>
  </si>
  <si>
    <t>Karasu (OP05-005)</t>
  </si>
  <si>
    <t>Fra-Nosuke (OP05-070)</t>
  </si>
  <si>
    <t>Satori (OP05-105)</t>
  </si>
  <si>
    <t>El Thor (OP05-114)</t>
  </si>
  <si>
    <t>Rob Lucci (OP05-093) (V.1)</t>
  </si>
  <si>
    <t>Hound Blaze (OP05-057)</t>
  </si>
  <si>
    <t>Sabo (OP05-007) (V.1)</t>
  </si>
  <si>
    <t>Because the Side of Justice Will Be Whichever Side Wins!!</t>
  </si>
  <si>
    <t>OP05-</t>
  </si>
  <si>
    <t>Haute Couture PatchWork (OP05-094)</t>
  </si>
  <si>
    <t>Hina (OP05-050)</t>
  </si>
  <si>
    <t>Nefeltari Vivi (OP05-086)</t>
  </si>
  <si>
    <t>Vergo (OP05-023)</t>
  </si>
  <si>
    <t>X.Drake (OP05-055) (V.1)</t>
  </si>
  <si>
    <t>When You're at Sea You Fight against Pirates!! (OP05-076)</t>
  </si>
  <si>
    <t>Belo Betty (OP05-002) (V.1)</t>
  </si>
  <si>
    <t>Donquixote Rosinante (OP05-022) (V.1)</t>
  </si>
  <si>
    <t>Sabo (OP05-001) (V.1)</t>
  </si>
  <si>
    <t>Sakazuki (OP05-041) (V.1)</t>
  </si>
  <si>
    <t>Monkey.D.Luffy (OP05-060) (V.1)</t>
  </si>
  <si>
    <t>Enel (OP05-098) (V.1)</t>
  </si>
  <si>
    <t>Pica (OP05-032) (V.1)</t>
  </si>
  <si>
    <t>Baby 5 (OP05-034) (V.1)</t>
  </si>
  <si>
    <t>Donquixote Rosinante (OP05-030)</t>
  </si>
  <si>
    <t>Issho (OP05-042)</t>
  </si>
  <si>
    <t>Bepo (OP05-071)</t>
  </si>
  <si>
    <t>Killer (OP05-064)</t>
  </si>
  <si>
    <t>Shirahoshi (OP05-082)</t>
  </si>
  <si>
    <t>Shura (OP05-106)</t>
  </si>
  <si>
    <t>Chaka (OP05-008)</t>
  </si>
  <si>
    <t>Four Thousand-Brick Fist (OP05-020)</t>
  </si>
  <si>
    <t>Inazuma (OP05-003)</t>
  </si>
  <si>
    <t>Nico Robin (OP05-010)</t>
  </si>
  <si>
    <t>Revolutionary Army HQ (OP05-021)</t>
  </si>
  <si>
    <t>Donquixote Doflamingo (OP05-029)</t>
  </si>
  <si>
    <t>Monet (OP05-036)</t>
  </si>
  <si>
    <t>Stick-Stickem Meteora (OP05-039)</t>
  </si>
  <si>
    <t>Trafalgar Law (OP05-027)</t>
  </si>
  <si>
    <t>Bastille (OP05-048)</t>
  </si>
  <si>
    <t>Haccha (OP05-049)</t>
  </si>
  <si>
    <t>Let Us Begin the World of Violence!!! (OP05-059)</t>
  </si>
  <si>
    <t>Monkey.D.Garp (OP05-054)</t>
  </si>
  <si>
    <t>Miss Doublefinger(Zala) (OP05-073)</t>
  </si>
  <si>
    <t>O-Nami (OP05-062)</t>
  </si>
  <si>
    <t>Punk Rotten (OP05-078)</t>
  </si>
  <si>
    <t>Elizabello II (OP05-080)</t>
  </si>
  <si>
    <t>I Bid 500 Million!! (OP05-096)</t>
  </si>
  <si>
    <t>Nefeltari Cobra (OP05-085)</t>
  </si>
  <si>
    <t>One-Legged Toy Soldier (OP05-081)</t>
  </si>
  <si>
    <t>Viola (OP05-079)</t>
  </si>
  <si>
    <t>Amazon (OP05-099)</t>
  </si>
  <si>
    <t>Conis (OP05-104)</t>
  </si>
  <si>
    <t>Hotori (OP05-111)</t>
  </si>
  <si>
    <t>Kotori (OP05-103)</t>
  </si>
  <si>
    <t>Upper Yeard (OP05-117)</t>
  </si>
  <si>
    <t>Bartholomew Kuma (OP05-011)</t>
  </si>
  <si>
    <t>Buffalo (OP05-031)</t>
  </si>
  <si>
    <t>Bunny Joe (OP05-013)</t>
  </si>
  <si>
    <t>Donquixote Doflamingo (OP05-028)</t>
  </si>
  <si>
    <t>Emporio Energy Hormone (OP05-018)</t>
  </si>
  <si>
    <t>Gladius (OP05-025)</t>
  </si>
  <si>
    <t>Hack (OP05-012)</t>
  </si>
  <si>
    <t>Kuween (OP05-024)</t>
  </si>
  <si>
    <t>Pell (OP05-014)</t>
  </si>
  <si>
    <t>Sarquiss (OP05-026)</t>
  </si>
  <si>
    <t>Toh-Toh (OP05-009)</t>
  </si>
  <si>
    <t>Baby 5 (OP05-033)</t>
  </si>
  <si>
    <t>Bellamy (OP05-035)</t>
  </si>
  <si>
    <t>Charlestone (OP05-038)</t>
  </si>
  <si>
    <t>Birdcage (OP05-040)</t>
  </si>
  <si>
    <t>John Giant (OP05-044)</t>
  </si>
  <si>
    <t>Stainless (OP05-045)</t>
  </si>
  <si>
    <t>Dalmatian (OP05-046)</t>
  </si>
  <si>
    <t>Basil Hawkins (OP05-047)</t>
  </si>
  <si>
    <t>Maynard (OP05-052)</t>
  </si>
  <si>
    <t>Mozambia (OP05-053)</t>
  </si>
  <si>
    <t>X.Barrels (OP05-056)</t>
  </si>
  <si>
    <t>It's a Waste of Human Life!! (OP05-058)</t>
  </si>
  <si>
    <t>O-Robi (OP05-063)</t>
  </si>
  <si>
    <t>San-Gorou (OP05-065)</t>
  </si>
  <si>
    <t>Jinbe (OP05-066)</t>
  </si>
  <si>
    <t>Chopa-Emon (OP05-068)</t>
  </si>
  <si>
    <t>Hone-Kichi (OP05-072)</t>
  </si>
  <si>
    <t>Mr.1(Daz.Bonez) (OP05-075)</t>
  </si>
  <si>
    <t>Gamma Knife (OP05-077)</t>
  </si>
  <si>
    <t>Sterry (OP05-083)</t>
  </si>
  <si>
    <t>Saint Charlos (OP05-084)</t>
  </si>
  <si>
    <t>Hakuba (OP05-087)</t>
  </si>
  <si>
    <t>Saint Mjosgard (OP05-089)</t>
  </si>
  <si>
    <t>Riku Doldo III (OP05-090)</t>
  </si>
  <si>
    <t>Saint Rosward (OP05-092)</t>
  </si>
  <si>
    <t>Dragon Claw (OP05-095)</t>
  </si>
  <si>
    <t>Mary Geoise (OP05-097)</t>
  </si>
  <si>
    <t>Lieutenant Spacey (OP05-107)</t>
  </si>
  <si>
    <t>Nola (OP05-108)</t>
  </si>
  <si>
    <t>Pagaya (OP05-109)</t>
  </si>
  <si>
    <t>Holly (OP05-110)</t>
  </si>
  <si>
    <t>Captain McKinley (OP05-112)</t>
  </si>
  <si>
    <t>Yama (OP05-113)</t>
  </si>
  <si>
    <t>Hino Bird Zap (OP05-116)</t>
  </si>
  <si>
    <t>Borsalino (OP05-051) (V.1)</t>
  </si>
  <si>
    <t>Trafalgar Law (OP05-069) (V.1)</t>
  </si>
  <si>
    <t>Belo Betty (OP05-015) (V.1)</t>
  </si>
  <si>
    <t>Gedatsu (OP05-102) (V.1)</t>
  </si>
  <si>
    <t>Lindbergh (OP05-017)</t>
  </si>
  <si>
    <t>Mansherry (OP05-088) (V.1)</t>
  </si>
  <si>
    <t>Two-Hundred Million Volts Amaru (OP05-115)</t>
  </si>
  <si>
    <t>Monkey.D.Luffy (OP04-090) (V.1)</t>
  </si>
  <si>
    <t>Kingdoms of Intrigue</t>
  </si>
  <si>
    <t>Sanji (OP04-104) (V.1)</t>
  </si>
  <si>
    <t>Donquixote Doflamingo (OP04-031) (V.1)</t>
  </si>
  <si>
    <t>Pell (OP04-013) (V.1)</t>
  </si>
  <si>
    <t>Sugar (OP04-024) (V.1)</t>
  </si>
  <si>
    <t>Kaido (OP04-044) (V.1)</t>
  </si>
  <si>
    <t>Donquixote Rosinante (OP04-119) (V.1)</t>
  </si>
  <si>
    <t>Yamato (OP04-112) (V.1)</t>
  </si>
  <si>
    <t>Sabo (OP04-083) (V.1)</t>
  </si>
  <si>
    <t>Crocodile (OP04-060) (V.1)</t>
  </si>
  <si>
    <t>Kutzil's Flanker</t>
  </si>
  <si>
    <t>Warden of the Inner Sky</t>
  </si>
  <si>
    <t>Get Lost</t>
  </si>
  <si>
    <t>Gnome Soldier Token (Artifact */*) // Map Token</t>
  </si>
  <si>
    <t>Dream Trawler</t>
  </si>
  <si>
    <t>Shiryu (OP02-076)</t>
  </si>
  <si>
    <t>Helmeppo (ST06-010)</t>
  </si>
  <si>
    <t>Starter Deck: Absolute Justice</t>
  </si>
  <si>
    <t>Ketria Triome</t>
  </si>
  <si>
    <t>Spiteful Banditry</t>
  </si>
  <si>
    <t>Mithril Coat</t>
  </si>
  <si>
    <t>Gandalf the White</t>
  </si>
  <si>
    <t>Aragorn, the Uniter</t>
  </si>
  <si>
    <t>The Lord of the Rings: Tales of Middle-earth: Art Series Set</t>
  </si>
  <si>
    <t>The One Ring (V.1)</t>
  </si>
  <si>
    <t>Legions to Ashes (V.1)</t>
  </si>
  <si>
    <t>Wail of the Forgotten</t>
  </si>
  <si>
    <t>The One Ring</t>
  </si>
  <si>
    <t>Tony Tony.Chopper (OP02-034)</t>
  </si>
  <si>
    <t>Molten Collapse</t>
  </si>
  <si>
    <t>Construct Token (Artifact */*) (V.1)</t>
  </si>
  <si>
    <t>Bitter Triumph</t>
  </si>
  <si>
    <t>Vista (OP02-011)</t>
  </si>
  <si>
    <t>Mr.1 (Daz.Bonez) (OP02-063)</t>
  </si>
  <si>
    <t>Bonecrusher Giant // Stomp [Playset]</t>
  </si>
  <si>
    <t>Marco (OP02-018) (V.1)</t>
  </si>
  <si>
    <t>Carrot (OP02-029)</t>
  </si>
  <si>
    <t>Whitey Bay (OP02-014)</t>
  </si>
  <si>
    <t>Boa Hancock (OP02-059) (V.1)</t>
  </si>
  <si>
    <t>Byrnndi World (OP02-082)</t>
  </si>
  <si>
    <t>Hydra (OP02-090)</t>
  </si>
  <si>
    <t>Bell-mere (OP02-112)</t>
  </si>
  <si>
    <t>Gemstone Caverns</t>
  </si>
  <si>
    <t>Conduit of Worlds</t>
  </si>
  <si>
    <t>Tishana's Tidebinder</t>
  </si>
  <si>
    <t>Gravecrawler [Playset]</t>
  </si>
  <si>
    <t>Glimpse the Unthinkable</t>
  </si>
  <si>
    <t>Guilds of Ravnica: Guild Kits</t>
  </si>
  <si>
    <t>Vengevine</t>
  </si>
  <si>
    <t>Secret Lair Drop Series: April Superdrop 2022</t>
  </si>
  <si>
    <t>Bloodghast</t>
  </si>
  <si>
    <t>Hedron Crab</t>
  </si>
  <si>
    <t>Cruel Somnophage // Can't Wake Up</t>
  </si>
  <si>
    <t>Souls of the Lost</t>
  </si>
  <si>
    <t>Strict Proctor</t>
  </si>
  <si>
    <t>Cursed Totem (V.1)</t>
  </si>
  <si>
    <t>Glamdring</t>
  </si>
  <si>
    <t>Minas Tirith</t>
  </si>
  <si>
    <t>Tom Bombadil</t>
  </si>
  <si>
    <t>Rishadan Dockhand</t>
  </si>
  <si>
    <t>Tide Shaper</t>
  </si>
  <si>
    <t>Silvergill Adept</t>
  </si>
  <si>
    <t>Misty Rainforest</t>
  </si>
  <si>
    <t>Mount Doom</t>
  </si>
  <si>
    <t>Bonecrusher Giant // Stomp</t>
  </si>
  <si>
    <t>Brotherhood's End</t>
  </si>
  <si>
    <t>Unhinged</t>
  </si>
  <si>
    <t>Fable of the Mirror-Breaker // Reflection of Kiki-Jiki</t>
  </si>
  <si>
    <t>Unlicensed Hearse</t>
  </si>
  <si>
    <t>Needleverge Pathway // Pillarverge Pathway</t>
  </si>
  <si>
    <t>Hall of Storm Giants</t>
  </si>
  <si>
    <t>Deserted Beach</t>
  </si>
  <si>
    <t>Ashaya, Soul of the Wild (V.1)</t>
  </si>
  <si>
    <t>Invasion of Gobakhan // Lightshield Array [Playset]</t>
  </si>
  <si>
    <t>Vampire Token (BR 3/1) // Clue Token</t>
  </si>
  <si>
    <t>Knight Token (W 2/2) // Food Token (V.3)</t>
  </si>
  <si>
    <t>Soldier Token (White 1/1)</t>
  </si>
  <si>
    <t>Spirit Token (Colorless 1/1)</t>
  </si>
  <si>
    <t>Spirit Token (W 1/1) // Insect Token (G 1/1)</t>
  </si>
  <si>
    <t>Spirit Token (W 4/4) // Blood Token</t>
  </si>
  <si>
    <t>Innistrad: Crimson Vow: Extras</t>
  </si>
  <si>
    <t>Phyrexian Goblin Token (R 1/1) // Phyrexian Mite Token (A 1/1)</t>
  </si>
  <si>
    <t>100 Ultra Pro PLATINUM Nine Pocket Pages</t>
  </si>
  <si>
    <t>100 Dragon Shield Sleeves</t>
  </si>
  <si>
    <t>100 Gamegenic Just Sleeves Inner Sleeves</t>
  </si>
  <si>
    <t>Gum-Gum Red Roc (OP04-056)</t>
  </si>
  <si>
    <t>Usopp (OP04-003)</t>
  </si>
  <si>
    <t>Bad Manners Kick Course (OP04-016)</t>
  </si>
  <si>
    <t>Spiderweb (OP04-035)</t>
  </si>
  <si>
    <t>Flapping Thread (OP04-037)</t>
  </si>
  <si>
    <t>Sasaki (OP04-048)</t>
  </si>
  <si>
    <t>Mr.4(Babe) (OP04-071)</t>
  </si>
  <si>
    <t>Kyros (OP04-082) (V.1)</t>
  </si>
  <si>
    <t>Bartolomeo (OP04-089)</t>
  </si>
  <si>
    <t>Rebecca (OP04-092)</t>
  </si>
  <si>
    <t>Gum-Gum King Kong Gun (OP04-093)</t>
  </si>
  <si>
    <t>Capone"Gang"Bege" (OP04-100) (V.1)</t>
  </si>
  <si>
    <t>Trueno Bastardo (OP04-094)</t>
  </si>
  <si>
    <t>Gyats (OP04-080)</t>
  </si>
  <si>
    <t>Apis (OP04-041)</t>
  </si>
  <si>
    <t>Barrier!! (OP04-095)</t>
  </si>
  <si>
    <t>Black Maria (OP04-052)</t>
  </si>
  <si>
    <t>Carmel (OP04-101)</t>
  </si>
  <si>
    <t>Charlotte Perospero (OP04-107)</t>
  </si>
  <si>
    <t>Corrida Coliseum (OP04-096)</t>
  </si>
  <si>
    <t>Dellinger (OP04-029)</t>
  </si>
  <si>
    <t>Donquixote Family (OP04-036)</t>
  </si>
  <si>
    <t>Giolla (OP04-025)</t>
  </si>
  <si>
    <t>Hanger (OP04-050)</t>
  </si>
  <si>
    <t>Ice Oni (OP04-047)</t>
  </si>
  <si>
    <t>Karoo (OP04-004)</t>
  </si>
  <si>
    <t>Kuro (OP04-023)</t>
  </si>
  <si>
    <t>Miss.Goldenweek(Marianne) (OP04-065)</t>
  </si>
  <si>
    <t>Miss.MerryChristmas(Drophy) (OP04-067)</t>
  </si>
  <si>
    <t>Nami (OP04-011)</t>
  </si>
  <si>
    <t>Nefeltari Cobra (OP04-012)</t>
  </si>
  <si>
    <t>Oimo &amp; Kashii (OP04-078)</t>
  </si>
  <si>
    <t>Otama (OP04-097)</t>
  </si>
  <si>
    <t>Plague Rounds (OP04-055)</t>
  </si>
  <si>
    <t>Pound (OP04-110)</t>
  </si>
  <si>
    <t>Rabiyan (OP04-113)</t>
  </si>
  <si>
    <t>Randolph (OP04-114)</t>
  </si>
  <si>
    <t>Rokki (OP04-054)</t>
  </si>
  <si>
    <t>Sanji (OP04-007)</t>
  </si>
  <si>
    <t>Stussy (OP04-084)</t>
  </si>
  <si>
    <t>The Weak Do Not Have the Right to Choose How They Die!!!</t>
  </si>
  <si>
    <t>OP04-0</t>
  </si>
  <si>
    <t>Tom (OP04-061)</t>
  </si>
  <si>
    <t>Tonoyasu (OP04-109)</t>
  </si>
  <si>
    <t>Viola (OP04-021)</t>
  </si>
  <si>
    <t>Yokozuna (OP04-068)</t>
  </si>
  <si>
    <t>Baby 5 (OP04-032)</t>
  </si>
  <si>
    <t>Charlotte Moscato (OP04-108)</t>
  </si>
  <si>
    <t>Dragon Twister Demolition Breath (OP04-057)</t>
  </si>
  <si>
    <t>Enchanting Vertigo Dance (OP04-018)</t>
  </si>
  <si>
    <t>Eric (OP04-022)</t>
  </si>
  <si>
    <t>Hajrudin (OP04-088)</t>
  </si>
  <si>
    <t>Hera (OP04-111)</t>
  </si>
  <si>
    <t>Iceburg (OP04-059)</t>
  </si>
  <si>
    <t>Kouzuki Hiyori (OP04-103)</t>
  </si>
  <si>
    <t>Lao.G (OP04-034)</t>
  </si>
  <si>
    <t>Monkey.D.Luffy (OP04-014)</t>
  </si>
  <si>
    <t>Mr.3(Galdino) (OP04-070)</t>
  </si>
  <si>
    <t>Nez-Palm Cannon (OP04-075)</t>
  </si>
  <si>
    <t>Page One (OP04-053)</t>
  </si>
  <si>
    <t>Queen (OP04-046)</t>
  </si>
  <si>
    <t>Suleiman (OP04-085)</t>
  </si>
  <si>
    <t>Super Spot-Billed Duck Troops (OP04-009)</t>
  </si>
  <si>
    <t>Toko (OP04-098)</t>
  </si>
  <si>
    <t>Cavendish (OP04-081)</t>
  </si>
  <si>
    <t>Chaka (OP04-008)</t>
  </si>
  <si>
    <t>Charlotte Amande (OP04-105)</t>
  </si>
  <si>
    <t>Colors Trap (OP04-074)</t>
  </si>
  <si>
    <t>Diamante (OP04-028) (V.1)</t>
  </si>
  <si>
    <t>Franky (OP04-063)</t>
  </si>
  <si>
    <t>Igaram (OP04-002)</t>
  </si>
  <si>
    <t>Kin'emon (OP04-102)</t>
  </si>
  <si>
    <t>King (OP04-045)</t>
  </si>
  <si>
    <t>Miss.Valentine(Mikita) (OP04-066)</t>
  </si>
  <si>
    <t>Mr.5(Gem) (OP04-072) (V.1)</t>
  </si>
  <si>
    <t>Olin (OP04-099)</t>
  </si>
  <si>
    <t>Roronoa Zoro (OP04-015)</t>
  </si>
  <si>
    <t>Senor Pink (OP04-026)</t>
  </si>
  <si>
    <t>Trebol (OP04-030) (V.1)</t>
  </si>
  <si>
    <t>Ulti (OP04-043)</t>
  </si>
  <si>
    <t>Crocodile (OP04-058) (V.1)</t>
  </si>
  <si>
    <t>Donquixote Doflamingo (OP04-019) (V.1)</t>
  </si>
  <si>
    <t>Issho (OP04-020) (V.1)</t>
  </si>
  <si>
    <t>Nefeltari Vivi (OP04-001) (V.1)</t>
  </si>
  <si>
    <t>Queen (OP04-040) (V.1)</t>
  </si>
  <si>
    <t>Rebecca (OP04-039) (V.1)</t>
  </si>
  <si>
    <t>CVSALE-1130277526-01</t>
  </si>
  <si>
    <t>Sacred Foundry</t>
  </si>
  <si>
    <t>Grave Pact (V.1)</t>
  </si>
  <si>
    <t>Forge Devil</t>
  </si>
  <si>
    <t>Venerated Loxodon</t>
  </si>
  <si>
    <t>Giant Killer // Chop Down</t>
  </si>
  <si>
    <t>Reidane, God of the Worthy // Valkmira, Protector's Shield</t>
  </si>
  <si>
    <t>Regal Bunnicorn</t>
  </si>
  <si>
    <t>Reckless Bushwhacker [Playset]</t>
  </si>
  <si>
    <t>Clarion Spirit</t>
  </si>
  <si>
    <t>Shefet Dunes</t>
  </si>
  <si>
    <t>Wilds of Eldraine: Common Set</t>
  </si>
  <si>
    <t>Magmatic Channeler</t>
  </si>
  <si>
    <t>Gum-Gum Rain (OP02-068)</t>
  </si>
  <si>
    <t>Minokoala (OP02-086) (V.1)</t>
  </si>
  <si>
    <t>Minotaur (OP02-087)</t>
  </si>
  <si>
    <t>Tsuru (OP02-106)</t>
  </si>
  <si>
    <t>Tashigi (ST06-006)</t>
  </si>
  <si>
    <t>DEATH WINK (OP02-069)</t>
  </si>
  <si>
    <t>Ornithopter (V.2) [Playset]</t>
  </si>
  <si>
    <t>Arid Mesa</t>
  </si>
  <si>
    <t>Marsh Flats</t>
  </si>
  <si>
    <t>Verdant Catacombs</t>
  </si>
  <si>
    <t>Takenuma, Abandoned Mire (V.2)</t>
  </si>
  <si>
    <t>Sun Quan, Lord of Wu</t>
  </si>
  <si>
    <t>CVSALE-1127400018-02</t>
  </si>
  <si>
    <t>Ozolith, the Shattered Spire</t>
  </si>
  <si>
    <t>CVSALE-1127400018-01</t>
  </si>
  <si>
    <t>The Ozolith</t>
  </si>
  <si>
    <t>Patchwork Automaton</t>
  </si>
  <si>
    <t>Arcbound Ravager</t>
  </si>
  <si>
    <t>CVSALE-1126975573-01</t>
  </si>
  <si>
    <t>Elvish Archivist</t>
  </si>
  <si>
    <t>Hangarback Walker</t>
  </si>
  <si>
    <t>Zabaz, the Glimmerwasp</t>
  </si>
  <si>
    <t>Collector Ouphe</t>
  </si>
  <si>
    <t>Up the Beanstalk</t>
  </si>
  <si>
    <t>Obsidian Charmaw</t>
  </si>
  <si>
    <t>Questing Druid // Seek the Beast</t>
  </si>
  <si>
    <t>Elusive Otter // Grove's Bounty</t>
  </si>
  <si>
    <t>Wicked Role / Cursed Role Token</t>
  </si>
  <si>
    <t>Monster Role / Sorcerer Role Token</t>
  </si>
  <si>
    <t>Fallaji Archaeologist</t>
  </si>
  <si>
    <t>Hearth Elemental // Stoke Genius</t>
  </si>
  <si>
    <t>Royal Role / Young Hero Role Token</t>
  </si>
  <si>
    <t>Palantír of Orthanc</t>
  </si>
  <si>
    <t>CVSALE-1125857031-02</t>
  </si>
  <si>
    <t>Blood Crypt</t>
  </si>
  <si>
    <t>CVSALE-1125857031-01</t>
  </si>
  <si>
    <t>Pithing Needle</t>
  </si>
  <si>
    <t>Not Dead After All</t>
  </si>
  <si>
    <t>Elemental Token (Red 1/1)</t>
  </si>
  <si>
    <t>Orc Army Token (B 0/0) // Food Token (V.3)</t>
  </si>
  <si>
    <t>Samurai Token (White 2/2)</t>
  </si>
  <si>
    <t>Stone of Erech</t>
  </si>
  <si>
    <t>Kroxa, Titan of Death's Hunger</t>
  </si>
  <si>
    <t>Makino (OP02-015)</t>
  </si>
  <si>
    <t>Buena Festa (ST05-014)</t>
  </si>
  <si>
    <t>Thatch (OP02-007)</t>
  </si>
  <si>
    <t>Troll of Khazad-dûm</t>
  </si>
  <si>
    <t>Murktide Regent</t>
  </si>
  <si>
    <t>Plant Token (Green 0/1)</t>
  </si>
  <si>
    <t>Duel Decks: Nissa vs. Ob Nixilis</t>
  </si>
  <si>
    <t>Omen of the Sea</t>
  </si>
  <si>
    <t>Rhino Token (Green 4/4)</t>
  </si>
  <si>
    <t>Snake Token (B 1/1) // Zombie Token (B 2/2)</t>
  </si>
  <si>
    <t>Commander Collectio</t>
  </si>
  <si>
    <t>Food Token (V.3)</t>
  </si>
  <si>
    <t>Whitebeard Pirates (OP02-022)</t>
  </si>
  <si>
    <t>Crashing Footfalls [Playset]</t>
  </si>
  <si>
    <t>Slicer, Hired Muscle // Slicer, High-Speed Antagonist (V.1)</t>
  </si>
  <si>
    <t>Elvish Mariner (V.1)</t>
  </si>
  <si>
    <t>Ringwraiths (V.1)</t>
  </si>
  <si>
    <t>Boromir, Warden of the Tower (V.1)</t>
  </si>
  <si>
    <t>Grief [Playset]</t>
  </si>
  <si>
    <t>CVSALE-1121120101-01</t>
  </si>
  <si>
    <t>Ragavan, Nimble Pilferer</t>
  </si>
  <si>
    <t>CVSALE-1121120052-01</t>
  </si>
  <si>
    <t>Castle Locthwain (V.2)</t>
  </si>
  <si>
    <t>Throne of Eldraine: Promos</t>
  </si>
  <si>
    <t>Inevitable Betrayal (V.1)</t>
  </si>
  <si>
    <t>Terminate [Playset]</t>
  </si>
  <si>
    <t>Nishoba Brawler [Playset]</t>
  </si>
  <si>
    <t>Tear Asunder</t>
  </si>
  <si>
    <t>Fury [Playset]</t>
  </si>
  <si>
    <t>Glóin, Dwarf Emissary</t>
  </si>
  <si>
    <t>Borne Upon a Wind</t>
  </si>
  <si>
    <t>Doors of Durin</t>
  </si>
  <si>
    <t>Paulie (OP03-066) (V.1)</t>
  </si>
  <si>
    <t>Pillars of Strength</t>
  </si>
  <si>
    <t>Haruta (OP03-009)</t>
  </si>
  <si>
    <t>Kuroobi (OP03-026)</t>
  </si>
  <si>
    <t>Romance Dawn</t>
  </si>
  <si>
    <t>Legolas, Master Archer (V.2)</t>
  </si>
  <si>
    <t>Horn of the Mark</t>
  </si>
  <si>
    <t>Display of Power</t>
  </si>
  <si>
    <t>Arwen, Mortal Queen</t>
  </si>
  <si>
    <t>Lotho, Corrupt Shirriff</t>
  </si>
  <si>
    <t>Elven Chorus</t>
  </si>
  <si>
    <t>Phial of Galadriel</t>
  </si>
  <si>
    <t>Isildur's Fateful Strike</t>
  </si>
  <si>
    <t>Shelob, Child of Ungoliant</t>
  </si>
  <si>
    <t>Minas Tirith (V.1)</t>
  </si>
  <si>
    <t>Goldberry, River-Daughter</t>
  </si>
  <si>
    <t>The Battle of Bywater</t>
  </si>
  <si>
    <t>Hew the Entwood</t>
  </si>
  <si>
    <t>Horn of Gondor</t>
  </si>
  <si>
    <t>The Shire</t>
  </si>
  <si>
    <t>The Lord of the Rings: Tales of Middle-earth: Extras</t>
  </si>
  <si>
    <t>Moria Marauder</t>
  </si>
  <si>
    <t>Sharkey, Tyrant of the Shire</t>
  </si>
  <si>
    <t>Galadriel of Lothlórien (V.2)</t>
  </si>
  <si>
    <t>Barad-dûr (V.1)</t>
  </si>
  <si>
    <t>Fall of Cair Andros</t>
  </si>
  <si>
    <t>Lobelia Sackville-Baggins (V.1)</t>
  </si>
  <si>
    <t>Leyline of the Void [Playset]</t>
  </si>
  <si>
    <t>Death's Shadow [Playset]</t>
  </si>
  <si>
    <t>Sauron's Ransom [Playset]</t>
  </si>
  <si>
    <t>Maul of the Skyclaves</t>
  </si>
  <si>
    <t>Invasion of Ixalan // Belligerent Regisaur</t>
  </si>
  <si>
    <t>Dusk Legion Duelist</t>
  </si>
  <si>
    <t>Academy Manufactor [Playset]</t>
  </si>
  <si>
    <t>Woe Strider</t>
  </si>
  <si>
    <t>Commander: Streets of New Capenna</t>
  </si>
  <si>
    <t>Rosie Cotton of South Lane</t>
  </si>
  <si>
    <t>Gilded Goose</t>
  </si>
  <si>
    <t>Commander: The Lord of the Rings: Tales of Middle-</t>
  </si>
  <si>
    <t>Sarinth Steelseeker</t>
  </si>
  <si>
    <t>Censor</t>
  </si>
  <si>
    <t>Jwari Disruption // Jwari Ruins</t>
  </si>
  <si>
    <t>Squirrel Token (Green 1/1)</t>
  </si>
  <si>
    <t>Unfinity: Extras</t>
  </si>
  <si>
    <t>Food Token (V.1)</t>
  </si>
  <si>
    <t>Food Token (V.2)</t>
  </si>
  <si>
    <t>Scrapwork Mutt</t>
  </si>
  <si>
    <t>Clue Token</t>
  </si>
  <si>
    <t>Innistrad: Midnight Hunt: Extras</t>
  </si>
  <si>
    <t>Treasure Token</t>
  </si>
  <si>
    <t>Cast into the Fire</t>
  </si>
  <si>
    <t>Nazgûl (V.2)</t>
  </si>
  <si>
    <t>Rivendell</t>
  </si>
  <si>
    <t>Mines of Moria</t>
  </si>
  <si>
    <t>Reprieve</t>
  </si>
  <si>
    <t>Issho (OP03-078) (V.1)</t>
  </si>
  <si>
    <t>Kaku (OP03-080) (V.1)</t>
  </si>
  <si>
    <t>Rob Lucci (OP03-092) (V.1)</t>
  </si>
  <si>
    <t>Charlotte Perospero (OP03-113) (V.1)</t>
  </si>
  <si>
    <t>Charlotte Linlin (OP03-114) (V.1)</t>
  </si>
  <si>
    <t>Charlotte Cracker (OP03-108) (V.1)</t>
  </si>
  <si>
    <t>Krieg (OP03-025) (V.1)</t>
  </si>
  <si>
    <t>Usopp (OP03-041) (V.1)</t>
  </si>
  <si>
    <t>Marco (OP03-013) (V.1)</t>
  </si>
  <si>
    <t>Lobelia Sackville-Baggins (V.2)</t>
  </si>
  <si>
    <t>Gandalf, Friend of the Shire</t>
  </si>
  <si>
    <t>Wizard's Rockets</t>
  </si>
  <si>
    <t>Bilbo, Retired Burglar</t>
  </si>
  <si>
    <t>Frodo Baggins</t>
  </si>
  <si>
    <t>Boromir, Warden of the Tower (V.2)</t>
  </si>
  <si>
    <t>Éowyn, Fearless Knight</t>
  </si>
  <si>
    <t>Voracious Fell Beast</t>
  </si>
  <si>
    <t>Rising of the Day</t>
  </si>
  <si>
    <t>Sting, the Glinting Dagger</t>
  </si>
  <si>
    <t>The Grey Havens</t>
  </si>
  <si>
    <t>Pippin, Guard of the Citadel (V.2)</t>
  </si>
  <si>
    <t>Mirkwood Bats</t>
  </si>
  <si>
    <t>Rangers of Ithilien</t>
  </si>
  <si>
    <t>Orc Army Token (Black 0/0) (V.2)</t>
  </si>
  <si>
    <t>Shadow of the Enemy</t>
  </si>
  <si>
    <t>Radagast the Brown</t>
  </si>
  <si>
    <t>Boromir, Warden of the Tower</t>
  </si>
  <si>
    <t>Lobelia Sackville-Baggins</t>
  </si>
  <si>
    <t>Faramir, Prince of Ithilien</t>
  </si>
  <si>
    <t>The Ring Goes South</t>
  </si>
  <si>
    <t>Delighted Halfling</t>
  </si>
  <si>
    <t>Barad-dûr</t>
  </si>
  <si>
    <t>Frodo, Sauron's Bane</t>
  </si>
  <si>
    <t>There and Back Again</t>
  </si>
  <si>
    <t>Witch-king of Angmar</t>
  </si>
  <si>
    <t>Delighted Halfling (V.2)</t>
  </si>
  <si>
    <t>Shagrat, Loot Bearer</t>
  </si>
  <si>
    <t>Delighted Halfling (V.1)</t>
  </si>
  <si>
    <t>Generous Ent</t>
  </si>
  <si>
    <t>Oliphaunt</t>
  </si>
  <si>
    <t>Forge Anew</t>
  </si>
  <si>
    <t>Adio (OP03-002)</t>
  </si>
  <si>
    <t>Air Door (OP03-094)</t>
  </si>
  <si>
    <t>Blamenco (OP03-011)</t>
  </si>
  <si>
    <t>Boodle (OP03-050)</t>
  </si>
  <si>
    <t>Buchi (OP03-034)</t>
  </si>
  <si>
    <t>Buggy (OP03-008)</t>
  </si>
  <si>
    <t>Carne (OP03-045)</t>
  </si>
  <si>
    <t>Charlotte Oven (OP03-105)</t>
  </si>
  <si>
    <t>Chew (OP03-029)</t>
  </si>
  <si>
    <t>Cross Fire (OP03-017)</t>
  </si>
  <si>
    <t>Fukurou (OP03-088)</t>
  </si>
  <si>
    <t>Hatchan (OP03-033)</t>
  </si>
  <si>
    <t>Ikoku Sovereignty (OP03-118)</t>
  </si>
  <si>
    <t>Kaku (OP03-059)</t>
  </si>
  <si>
    <t>Kalifa (OP03-060)</t>
  </si>
  <si>
    <t>Lim (OP03-015)</t>
  </si>
  <si>
    <t>Napoleon (OP03-117)</t>
  </si>
  <si>
    <t>Nojiko (OP03-048)</t>
  </si>
  <si>
    <t>One, Two, Jango (OP03-039)</t>
  </si>
  <si>
    <t>Patty (OP03-049)</t>
  </si>
  <si>
    <t>Peepley Lulu (OP03-067)</t>
  </si>
  <si>
    <t>Shirahoshi (OP03-116)</t>
  </si>
  <si>
    <t>Shirley (OP03-104)</t>
  </si>
  <si>
    <t>Tempest Kick Sky Slicer (OP03-096)</t>
  </si>
  <si>
    <t>Monkey.D.Garp (OP03-014)</t>
  </si>
  <si>
    <t>Sanji's Pilaf (OP03-056)</t>
  </si>
  <si>
    <t>Thatch (OP03-005)</t>
  </si>
  <si>
    <t>Top Knot (OP03-074)</t>
  </si>
  <si>
    <t>Vergo (OP03-079)</t>
  </si>
  <si>
    <t>Wanze (OP03-093)</t>
  </si>
  <si>
    <t>Zambai (OP03-063)</t>
  </si>
  <si>
    <t>Alvida (OP03-023)</t>
  </si>
  <si>
    <t>Bobbin the Disposer (OP03-103)</t>
  </si>
  <si>
    <t>Buggy (OP03-032)</t>
  </si>
  <si>
    <t>Camie (OP03-101)</t>
  </si>
  <si>
    <t>Charlotte Chiffon (OP03-109)</t>
  </si>
  <si>
    <t>Charlotte Galette (OP03-107)</t>
  </si>
  <si>
    <t>Charlotte Opera (OP03-106)</t>
  </si>
  <si>
    <t>Charlotte Praline (OP03-111)</t>
  </si>
  <si>
    <t>Chimney &amp; Gonbe (OP03-065)</t>
  </si>
  <si>
    <t>Corgy (OP03-083)</t>
  </si>
  <si>
    <t>Curiel (OP03-004)</t>
  </si>
  <si>
    <t>Enies Lobby (OP03-098)</t>
  </si>
  <si>
    <t>Fiery Doll (OP03-019)</t>
  </si>
  <si>
    <t>Fossa (OP03-010)</t>
  </si>
  <si>
    <t>Gaimon (OP03-043)</t>
  </si>
  <si>
    <t>Galley-La Company (OP03-075)</t>
  </si>
  <si>
    <t>Genzo (OP03-046)</t>
  </si>
  <si>
    <t>Gum-Gum Giant Gavel (OP03-055)</t>
  </si>
  <si>
    <t>Helmeppo (OP03-091)</t>
  </si>
  <si>
    <t>Hull Dismantler Slash (OP03-073)</t>
  </si>
  <si>
    <t>Jabra (OP03-085)</t>
  </si>
  <si>
    <t>Jerry (OP03-084)</t>
  </si>
  <si>
    <t>Kingbaum (OP03-100)</t>
  </si>
  <si>
    <t>Kiwi &amp; Mozu (OP03-061)</t>
  </si>
  <si>
    <t>Kumadori (OP03-082)</t>
  </si>
  <si>
    <t>Merry (OP03-052)</t>
  </si>
  <si>
    <t>Minorhinoceros (OP03-069)</t>
  </si>
  <si>
    <t>Minozebra (OP03-068)</t>
  </si>
  <si>
    <t>Momoo (OP03-035)</t>
  </si>
  <si>
    <t>Namule (OP03-007)</t>
  </si>
  <si>
    <t>Nero (OP03-087)</t>
  </si>
  <si>
    <t>Out-of-the-Bag (OP03-036)</t>
  </si>
  <si>
    <t>Pearl (OP03-031)</t>
  </si>
  <si>
    <t>Sham (OP03-027)</t>
  </si>
  <si>
    <t>Soap Sheep (OP03-095)</t>
  </si>
  <si>
    <t>Speed Jil (OP03-006)</t>
  </si>
  <si>
    <t>Striker (OP03-020)</t>
  </si>
  <si>
    <t>Thunder Bolt (OP03-121)</t>
  </si>
  <si>
    <t>Tilestone (OP03-064)</t>
  </si>
  <si>
    <t>Tooth Attack (OP03-037)</t>
  </si>
  <si>
    <t>Tropical Torment (OP03-120)</t>
  </si>
  <si>
    <t>Usopp's Pirate Crew (OP03-042)</t>
  </si>
  <si>
    <t>Usopp's Rubber Band of Doom!!! (OP03-054)</t>
  </si>
  <si>
    <t>Yosaku &amp; Johnny (OP03-053)</t>
  </si>
  <si>
    <t>Arlong (OP03-022) (V.1)</t>
  </si>
  <si>
    <t>Charlotte Katakuri (OP03-099) (V.1)</t>
  </si>
  <si>
    <t>Charlotte Linlin (OP03-077) (V.1)</t>
  </si>
  <si>
    <t>Iceburg (OP03-058) (V.1)</t>
  </si>
  <si>
    <t>Kuro (OP03-021) (V.1)</t>
  </si>
  <si>
    <t>Nami (OP03-040) (V.1)</t>
  </si>
  <si>
    <t>Portgas.D.Ace (OP03-001) (V.1)</t>
  </si>
  <si>
    <t>Rob Lucci (OP03-076) (V.1)</t>
  </si>
  <si>
    <t>Bell-mère (OP03-051)</t>
  </si>
  <si>
    <t>Blueno (OP03-090)</t>
  </si>
  <si>
    <t>Brannew (OP03-089)</t>
  </si>
  <si>
    <t>Buzz Cut Mochi (OP03-119)</t>
  </si>
  <si>
    <t>Charlotte Pudding (OP03-112) (V.1)</t>
  </si>
  <si>
    <t>Charlotte Smoothie (OP03-110)</t>
  </si>
  <si>
    <t>Deathly Poison Gas Bomb MH5 (OP03-038)</t>
  </si>
  <si>
    <t>Fire Fist (OP03-018) (V.1)</t>
  </si>
  <si>
    <t>Flame Emperor (OP03-016)</t>
  </si>
  <si>
    <t>Gin (OP03-024) (V.1)</t>
  </si>
  <si>
    <t>Gum-Gum Jet Gatling (OP03-072)</t>
  </si>
  <si>
    <t>Izo (OP03-003)</t>
  </si>
  <si>
    <t>Jango (OP03-028)</t>
  </si>
  <si>
    <t>Kalifa (OP03-081) (V.1)</t>
  </si>
  <si>
    <t>Kaya (OP03-044)</t>
  </si>
  <si>
    <t>Kokoro (OP03-062)</t>
  </si>
  <si>
    <t>Marshall.D.Teach (OP03-012)</t>
  </si>
  <si>
    <t>Monkey.D.Luffy (OP03-070)</t>
  </si>
  <si>
    <t>Nami (OP03-030)</t>
  </si>
  <si>
    <t>Rob Lucci (OP03-071)</t>
  </si>
  <si>
    <t>Sanji (OP03-102)</t>
  </si>
  <si>
    <t>Six King Pistol (OP03-097)</t>
  </si>
  <si>
    <t>Spandam (OP03-086) (V.1)</t>
  </si>
  <si>
    <t>Streusen (OP03-115)</t>
  </si>
  <si>
    <t>Three Thousand Worlds (OP03-057)</t>
  </si>
  <si>
    <t>Zeff (OP03-047) (V.1)</t>
  </si>
  <si>
    <t>Uta (P-011)</t>
  </si>
  <si>
    <t>Koby (P-014)</t>
  </si>
  <si>
    <t>Helmeppo (P-020)</t>
  </si>
  <si>
    <t>Jellyfish Pirates (P-012)</t>
  </si>
  <si>
    <t>Bartolomeo (P-018)</t>
  </si>
  <si>
    <t>Morgan (P-026)</t>
  </si>
  <si>
    <t>Shanks (P-016) (V.1)</t>
  </si>
  <si>
    <t>Trafalgar Law (P-017)</t>
  </si>
  <si>
    <t>Bepo (P-019)</t>
  </si>
  <si>
    <t>Benn.Beckman (P-021)</t>
  </si>
  <si>
    <t>I'm Gonna Be King of the Pirates!! (P-024)</t>
  </si>
  <si>
    <t>Franky (OP01-021) (V.1)</t>
  </si>
  <si>
    <t>Unnumbered Promos</t>
  </si>
  <si>
    <t>Black Maria (ST04-011) (V.1)</t>
  </si>
  <si>
    <t>Gimli, Mournful Avenger (V.2)</t>
  </si>
  <si>
    <t>Galadriel of Lothlórien (V.1)</t>
  </si>
  <si>
    <t>Gimli, Mournful Avenger (V.1)</t>
  </si>
  <si>
    <t>Pippin, Guard of the Citadel (V.1)</t>
  </si>
  <si>
    <t>Legolas, Master Archer (V.1)</t>
  </si>
  <si>
    <t>Merry, Esquire of Rohan (V.1)</t>
  </si>
  <si>
    <t>Elrond, Master of Healing (V.1)</t>
  </si>
  <si>
    <t>The Balrog, Durin's Bane</t>
  </si>
  <si>
    <t>Frodo, Sauron's Bane (V.1)</t>
  </si>
  <si>
    <t>Gothmog, Morgul Lieutenant</t>
  </si>
  <si>
    <t>Prince Imrahil the Fair</t>
  </si>
  <si>
    <t>Sméagol, Helpful Guide</t>
  </si>
  <si>
    <t>Fangorn, Tree Shepherd</t>
  </si>
  <si>
    <t>Éomer, Marshal of Rohan</t>
  </si>
  <si>
    <t>Assault on Osgiliath (V.1)</t>
  </si>
  <si>
    <t>Aragorn, Company Leader (V.1)</t>
  </si>
  <si>
    <t>Gandalf the Grey</t>
  </si>
  <si>
    <t>Foray of Orcs</t>
  </si>
  <si>
    <t>Many Partings</t>
  </si>
  <si>
    <t>Elrond, Master of Healing (V.2)</t>
  </si>
  <si>
    <t>Smaug Token (Red 6/6)</t>
  </si>
  <si>
    <t>Tentacle Token (Blue 1/1)</t>
  </si>
  <si>
    <t>Ballistic Boulder Token (Artifact 2/1)</t>
  </si>
  <si>
    <t>Saradoc, Master of Buckland (V.1)</t>
  </si>
  <si>
    <t>Dunland Crebain</t>
  </si>
  <si>
    <t>Spirit Token (White 1/1)</t>
  </si>
  <si>
    <t>Human Soldier Token (White 1/1) (V.1)</t>
  </si>
  <si>
    <t>The Lord of the Rings: Tales of Middle-earth: Uncommon Set</t>
  </si>
  <si>
    <t>Sauron, the Necromancer</t>
  </si>
  <si>
    <t>Lost Isle Calling</t>
  </si>
  <si>
    <t>Aragorn, Company Leader (V.2)</t>
  </si>
  <si>
    <t>Fall of Gil-galad</t>
  </si>
  <si>
    <t>War of the Last Alliance</t>
  </si>
  <si>
    <t>Gimli, Mournful Avenger</t>
  </si>
  <si>
    <t>Merry, Esquire of Rohan</t>
  </si>
  <si>
    <t>The Lord of the Rings: Tales of Middle-earth: Full-art Map Basic...</t>
  </si>
  <si>
    <t>The Lord of the Rings: Tales of Middle-earth: Common Set</t>
  </si>
  <si>
    <t>Faramir, Field Commander</t>
  </si>
  <si>
    <t>Frodo Baggins (V.1)</t>
  </si>
  <si>
    <t>Gandalf, Friend of the Shire (V.1)</t>
  </si>
  <si>
    <t>Gimli, Counter of Kills</t>
  </si>
  <si>
    <t>Gollum, Patient Plotter (V.1)</t>
  </si>
  <si>
    <t>Legolas, Counter of Kills</t>
  </si>
  <si>
    <t>Elrond, Master of Healing</t>
  </si>
  <si>
    <t>Scroll of Isildur</t>
  </si>
  <si>
    <t>Aragorn, Company Leader</t>
  </si>
  <si>
    <t>One Ring to Rule Them All</t>
  </si>
  <si>
    <t>Galadriel of Lothlórien</t>
  </si>
  <si>
    <t>King of the Oathbreakers</t>
  </si>
  <si>
    <t>Legolas, Master Archer</t>
  </si>
  <si>
    <t>Pippin, Guard of the Citadel</t>
  </si>
  <si>
    <t>Memory Deluge [Playset]</t>
  </si>
  <si>
    <t>Kaheera, the Orphanguard (V.1)</t>
  </si>
  <si>
    <t>Temporary Lockdown</t>
  </si>
  <si>
    <t>Crime // Punishment</t>
  </si>
  <si>
    <t>Twilight Mire</t>
  </si>
  <si>
    <t>Eventide</t>
  </si>
  <si>
    <t>Strangleroot Geist [Playset]</t>
  </si>
  <si>
    <t>CVSALE-1115781748-01</t>
  </si>
  <si>
    <t>Silence</t>
  </si>
  <si>
    <t>Prismatic Ending (V.1) [Playset]</t>
  </si>
  <si>
    <t>Choke</t>
  </si>
  <si>
    <t>Scavenging Ooze [Playset]</t>
  </si>
  <si>
    <t>Wall of Roots [Playset]</t>
  </si>
  <si>
    <t>Tocasia's Welcome</t>
  </si>
  <si>
    <t>Ultimate Guard Boulder Deck Case 100+</t>
  </si>
  <si>
    <t>Clear</t>
  </si>
  <si>
    <t>10 Ultimate Guard Dividers</t>
  </si>
  <si>
    <t>Eldritch Evolution [Playset]</t>
  </si>
  <si>
    <t>Yawgmoth, Thran Physician [Playset]</t>
  </si>
  <si>
    <t>Fading Hope</t>
  </si>
  <si>
    <t>Ulamog, the Ceaseless Hunger</t>
  </si>
  <si>
    <t>Invasion of New Phyrexia // Teferi Akosa of Zhalfir</t>
  </si>
  <si>
    <t>Seaquake (OP02-021)</t>
  </si>
  <si>
    <t>Edward.Newgate (OP02-004) (V.1)</t>
  </si>
  <si>
    <t>Sakazuki (OP02-099) (V.1)</t>
  </si>
  <si>
    <t>Borsalino (OP02-114) (V.1)</t>
  </si>
  <si>
    <t>Monkey.D.Luffy (OP02-062) (V.1)</t>
  </si>
  <si>
    <t>Eustass"Captain"Kid (OP01-051) (V.1)</t>
  </si>
  <si>
    <t>Roronoa Zoro (OP01-025) (V.1)</t>
  </si>
  <si>
    <t>Kin'emon (OP01-040) (V.1)</t>
  </si>
  <si>
    <t>Crocodile (OP01-067) (V.1)</t>
  </si>
  <si>
    <t>Monkey.D.Luffy (OP01-024) (V.1)</t>
  </si>
  <si>
    <t>Magellan (OP02-085) (V.1)</t>
  </si>
  <si>
    <t>King (OP01-096) (V.1)</t>
  </si>
  <si>
    <t>Kouzuki Oden (OP02-030) (V.1)</t>
  </si>
  <si>
    <t>Kaido (OP01-094) (V.1)</t>
  </si>
  <si>
    <t>Boa Hancock (OP01-078) (V.1)</t>
  </si>
  <si>
    <t>Portgas.D.Ace (OP02-013) (V.1)</t>
  </si>
  <si>
    <t>Trafalgar Law (OP01-047) (V.1)</t>
  </si>
  <si>
    <t>Dracule Mihawk (OP01-070) (V.1)</t>
  </si>
  <si>
    <t>Ms. All Sunday (OP01-079)</t>
  </si>
  <si>
    <t>Emporio.Ivankov (OP02-051) (V.1)</t>
  </si>
  <si>
    <t>Kuzan (OP02-096) (V.1)</t>
  </si>
  <si>
    <t>Invasion of Ikoria // Zilortha, Apex of Ikoria</t>
  </si>
  <si>
    <t>Irrigated Farmland</t>
  </si>
  <si>
    <t>Behold the Multiverse</t>
  </si>
  <si>
    <t>Lay Down Arms</t>
  </si>
  <si>
    <t>Saw It Coming</t>
  </si>
  <si>
    <t>Castle Ardenvale</t>
  </si>
  <si>
    <t>Make Disappear</t>
  </si>
  <si>
    <t>Prairie Stream</t>
  </si>
  <si>
    <t>Divine Smite</t>
  </si>
  <si>
    <t>Regal Caracal</t>
  </si>
  <si>
    <t>Test of Talents</t>
  </si>
  <si>
    <t>Change the Equation</t>
  </si>
  <si>
    <t>Ruin Crab [Playset]</t>
  </si>
  <si>
    <t>Force of Vigor</t>
  </si>
  <si>
    <t>Etali, Primal Conqueror // Etali, Primal Sickness</t>
  </si>
  <si>
    <t>Ayara, Widow of the Realm // Ayara, Furnace Queen</t>
  </si>
  <si>
    <t>Zenith Chronicler</t>
  </si>
  <si>
    <t>Deathbloom Ritualist</t>
  </si>
  <si>
    <t>Atraxa, Grand Unifier</t>
  </si>
  <si>
    <t>Solemnity</t>
  </si>
  <si>
    <t>Nine Lives</t>
  </si>
  <si>
    <t>Bone Shards (V.1)</t>
  </si>
  <si>
    <t>Tainted Indulgence</t>
  </si>
  <si>
    <t>Shadow Prophecy</t>
  </si>
  <si>
    <t>Mystical Dispute</t>
  </si>
  <si>
    <t>Ancient Grudge</t>
  </si>
  <si>
    <t>Silversmote Ghoul</t>
  </si>
  <si>
    <t>Pyrite Spellbomb</t>
  </si>
  <si>
    <t>Melira, the Living Cure</t>
  </si>
  <si>
    <t>Asmoranomardicadaistinaculdacar</t>
  </si>
  <si>
    <t>The Underworld Cookbook (V.1)</t>
  </si>
  <si>
    <t>Sunken Ruins</t>
  </si>
  <si>
    <t>Ruso</t>
  </si>
  <si>
    <t>Conflagrate</t>
  </si>
  <si>
    <t>Foundation Breaker</t>
  </si>
  <si>
    <t>Shark Token (U */*) // Shark Token (U */*)</t>
  </si>
  <si>
    <t>Magic the Gathering</t>
  </si>
  <si>
    <t>Otherworldly Gaze</t>
  </si>
  <si>
    <t>Tome Scour</t>
  </si>
  <si>
    <t>Thrilling Discovery</t>
  </si>
  <si>
    <t>Ox of Agonas</t>
  </si>
  <si>
    <t>Commander: Kamigawa: Neon Dynasty</t>
  </si>
  <si>
    <t>Cathartic Reunion</t>
  </si>
  <si>
    <t>Force of Negation (V.1)</t>
  </si>
  <si>
    <t>CVSALE-1107483796-01</t>
  </si>
  <si>
    <t>Rancor</t>
  </si>
  <si>
    <t>Corpse Appraiser (V.2)</t>
  </si>
  <si>
    <t>Go for the Throat</t>
  </si>
  <si>
    <t>Migloz, Maze Crusher (V.1)</t>
  </si>
  <si>
    <t>Lightning Strike</t>
  </si>
  <si>
    <t>Rockfall Vale</t>
  </si>
  <si>
    <t>Strangle</t>
  </si>
  <si>
    <t>Evolving Adaptive</t>
  </si>
  <si>
    <t>Audacity</t>
  </si>
  <si>
    <t>Thrun, Breaker of Silence (V.1)</t>
  </si>
  <si>
    <t>100 KMC Perfect Sized Sleeves</t>
  </si>
  <si>
    <t>Version 2</t>
  </si>
  <si>
    <t>Bloodtithe Harvester</t>
  </si>
  <si>
    <t>Corpse Appraiser (V.1)</t>
  </si>
  <si>
    <t>Bladecoil Serpent</t>
  </si>
  <si>
    <t>Brokers Charm (V.1)</t>
  </si>
  <si>
    <t>Spara's Headquarters (V.1)</t>
  </si>
  <si>
    <t>CVSALE-1107026406-01</t>
  </si>
  <si>
    <t>CVSALE-1105458937-01</t>
  </si>
  <si>
    <t>Shark Typhoon</t>
  </si>
  <si>
    <t>Spell Pierce</t>
  </si>
  <si>
    <t>Blossoming Calm</t>
  </si>
  <si>
    <t>Flusterstorm</t>
  </si>
  <si>
    <t>Ornithopter [Playset]</t>
  </si>
  <si>
    <t>Zagoth Triome</t>
  </si>
  <si>
    <t>Dead // Gone [Playset]</t>
  </si>
  <si>
    <t>Celestial Purge [Playset]</t>
  </si>
  <si>
    <t>Raugrin Triome</t>
  </si>
  <si>
    <t>Nahiri, the Unforgiving (V.2)</t>
  </si>
  <si>
    <t>Magnetic Theft</t>
  </si>
  <si>
    <t>Spreading Seas [Playset]</t>
  </si>
  <si>
    <t>Summoner's Pact [Playset]</t>
  </si>
  <si>
    <t>Summoner's Pact</t>
  </si>
  <si>
    <t>Goblin Anarchomancer (V.1)</t>
  </si>
  <si>
    <t>Grapeshot</t>
  </si>
  <si>
    <t>Empty the Warrens</t>
  </si>
  <si>
    <t>Tyvar's Stand</t>
  </si>
  <si>
    <t>Strike It Rich</t>
  </si>
  <si>
    <t>Abundant Harvest</t>
  </si>
  <si>
    <t>Ground Rift</t>
  </si>
  <si>
    <t>Venerated Rotpriest (V.1)</t>
  </si>
  <si>
    <t>Phyrexia: All Will Be One: Promos</t>
  </si>
  <si>
    <t>Venerated Rotpriest</t>
  </si>
  <si>
    <t>Minor Misstep</t>
  </si>
  <si>
    <t>Distorted Curiosity</t>
  </si>
  <si>
    <t>The Seedcore</t>
  </si>
  <si>
    <t>Waterlogged Grove</t>
  </si>
  <si>
    <t>Postmortem Lunge</t>
  </si>
  <si>
    <t>Vizier of Remedies</t>
  </si>
  <si>
    <t>Devoted Druid</t>
  </si>
  <si>
    <t>Lightning Bolt [Playset]</t>
  </si>
  <si>
    <t>MagicFest Promos</t>
  </si>
  <si>
    <t>Celestial Colonnade</t>
  </si>
  <si>
    <t>Inspiring Vantage [Playset]</t>
  </si>
  <si>
    <t>Monastery Swiftspear [Playset]</t>
  </si>
  <si>
    <t>Eiganjo Castle</t>
  </si>
  <si>
    <t>Ignoble Hierarch [Playset]</t>
  </si>
  <si>
    <t>Blighted Agent</t>
  </si>
  <si>
    <t>Plague Stinger</t>
  </si>
  <si>
    <t>Scale Up</t>
  </si>
  <si>
    <t>Might of Old Krosa</t>
  </si>
  <si>
    <t>Dissenter's Deliverance</t>
  </si>
  <si>
    <t>Vines of Vastwood</t>
  </si>
  <si>
    <t>Pendelhaven</t>
  </si>
  <si>
    <t>Become Immense</t>
  </si>
  <si>
    <t>Glistener Elf</t>
  </si>
  <si>
    <t>Blossoming Defense</t>
  </si>
  <si>
    <t>Groundswell</t>
  </si>
  <si>
    <t>Snakeskin Veil (V.1)</t>
  </si>
  <si>
    <t>Ceremonious Rejection</t>
  </si>
  <si>
    <t>Viridian Corrupter</t>
  </si>
  <si>
    <t>Seachrome Coast</t>
  </si>
  <si>
    <t>Mirran Crusader</t>
  </si>
  <si>
    <t>Aether Vial [Playset]</t>
  </si>
  <si>
    <t>Kor Firewalker [Playset]</t>
  </si>
  <si>
    <t>Archon of Emeria [Playset]</t>
  </si>
  <si>
    <t>Ghost Quarter [Playset]</t>
  </si>
  <si>
    <t>Eiganjo, Seat of the Empire</t>
  </si>
  <si>
    <t>Skyclave Apparition</t>
  </si>
  <si>
    <t>Leonin Arbiter</t>
  </si>
  <si>
    <t>Chromatic Star (V.2)</t>
  </si>
  <si>
    <t>Batterskull</t>
  </si>
  <si>
    <t>Anointed Peacekeeper</t>
  </si>
  <si>
    <t>Thalia, Guardian of Thraben</t>
  </si>
  <si>
    <t>Blast Zone</t>
  </si>
  <si>
    <t>Containment Priest</t>
  </si>
  <si>
    <t>Cityscape Leveler (V.1)</t>
  </si>
  <si>
    <t>Karn Liberated</t>
  </si>
  <si>
    <t>Skysovereign, Consul Flagship</t>
  </si>
  <si>
    <t>Sylvan Scrying [Playset]</t>
  </si>
  <si>
    <t>Xander's Lounge (V.1)</t>
  </si>
  <si>
    <t>Mishra's Bauble (V.1)</t>
  </si>
  <si>
    <t>Unmoored Ego</t>
  </si>
  <si>
    <t>Indatha Triome</t>
  </si>
  <si>
    <t>Karn's Sylex</t>
  </si>
  <si>
    <t>Haywire Mite</t>
  </si>
  <si>
    <t>Trinisphere</t>
  </si>
  <si>
    <t>Springleaf Drum (V.1)</t>
  </si>
  <si>
    <t>Karn, the Great Creator [Playset]</t>
  </si>
  <si>
    <t>Mystical Archive: "Brainstorm" Playmat</t>
  </si>
  <si>
    <t>Leyline Binding</t>
  </si>
  <si>
    <t>Leyline Binding (V.2)</t>
  </si>
  <si>
    <t>Lightning Helix (V.1) [Playset]</t>
  </si>
  <si>
    <t>Lightning Bolt (V.1) [Playset]</t>
  </si>
  <si>
    <t>Bloodbraid Elf</t>
  </si>
  <si>
    <t>General Ferrous Rokiric</t>
  </si>
  <si>
    <t>Golem Token (Artifact 4/4)</t>
  </si>
  <si>
    <t>Angel Token (White 4/4)</t>
  </si>
  <si>
    <t>Zombie Token (B 2/2) // Angel Token (W 4/4)</t>
  </si>
  <si>
    <t>Sunhome, Fortress of the Legion</t>
  </si>
  <si>
    <t>Commander: Strixhaven</t>
  </si>
  <si>
    <t>Cindervines</t>
  </si>
  <si>
    <t>Dromoka's Command</t>
  </si>
  <si>
    <t>Lightning Helix</t>
  </si>
  <si>
    <t>Hidetsugu Consumes All // Vessel of the All-Consuming</t>
  </si>
  <si>
    <t>Shrapnel Blast</t>
  </si>
  <si>
    <t>Duel Decks: Elves vs. Inventors</t>
  </si>
  <si>
    <t>Spreading Seas</t>
  </si>
  <si>
    <t>Alpine Moon</t>
  </si>
  <si>
    <t>Brazen Borrower // Petty Theft (V.2)</t>
  </si>
  <si>
    <t>Kolaghan's Command</t>
  </si>
  <si>
    <t>CVSALE-1097748382-01</t>
  </si>
  <si>
    <t>Polluted Delta</t>
  </si>
  <si>
    <t>Watery Grave [Playset]</t>
  </si>
  <si>
    <t>Ephemerate (V.1) [Playset]</t>
  </si>
  <si>
    <t>Bloodchief's Thirst</t>
  </si>
  <si>
    <t>Simic Growth Chamber [Playset]</t>
  </si>
  <si>
    <t>Gruul Turf [Playset]</t>
  </si>
  <si>
    <t>Kolaghan's Command [Playset]</t>
  </si>
  <si>
    <t>Mana Tithe</t>
  </si>
  <si>
    <t>Kaya's Guile</t>
  </si>
  <si>
    <t>Battlefield Forge</t>
  </si>
  <si>
    <t>Unfinity</t>
  </si>
  <si>
    <t>Cling to Dust</t>
  </si>
  <si>
    <t>Jegantha, the Wellspring</t>
  </si>
  <si>
    <t>Kaheera, the Orphanguard</t>
  </si>
  <si>
    <t>Deflecting Palm</t>
  </si>
  <si>
    <t>CVSALE-1097325133-01</t>
  </si>
  <si>
    <t>CVSALE-1097268072-01</t>
  </si>
  <si>
    <t>Malakir Rebirth // Malakir Mire</t>
  </si>
  <si>
    <t>Third Path Iconoclast</t>
  </si>
  <si>
    <t>Supernatural Stamina [Playset]</t>
  </si>
  <si>
    <t>Gurmag Angler [Playset]</t>
  </si>
  <si>
    <t>Charming Prince [Playset]</t>
  </si>
  <si>
    <t>Kataki, War's Wage</t>
  </si>
  <si>
    <t>Modern Event Deck 2014</t>
  </si>
  <si>
    <t>Necromentia (V.1)</t>
  </si>
  <si>
    <t>Core 2021: Promos</t>
  </si>
  <si>
    <t>Necromentia</t>
  </si>
  <si>
    <t>Ultimate Guard Boulder Deck Case 80+</t>
  </si>
  <si>
    <t>Ruby</t>
  </si>
  <si>
    <t>Frosted</t>
  </si>
  <si>
    <t>Amber</t>
  </si>
  <si>
    <t>CVSALE-1096959898-01</t>
  </si>
  <si>
    <t>Lion Sash</t>
  </si>
  <si>
    <t>Leyline of Sanctity [Playset]</t>
  </si>
  <si>
    <t>Silent Clearing</t>
  </si>
  <si>
    <t>Rest in Peace</t>
  </si>
  <si>
    <t>Soul-Scar Mage</t>
  </si>
  <si>
    <t>Light Up the Stage</t>
  </si>
  <si>
    <t>Dragon's Claw</t>
  </si>
  <si>
    <t>Sprite Dragon</t>
  </si>
  <si>
    <t>Vapor Snag</t>
  </si>
  <si>
    <t>Invasive Surgery</t>
  </si>
  <si>
    <t>Veil of Summer</t>
  </si>
  <si>
    <t>Banefire</t>
  </si>
  <si>
    <t>Castle Vantress</t>
  </si>
  <si>
    <t>Esper Charm</t>
  </si>
  <si>
    <t>Creeping Tar Pit</t>
  </si>
  <si>
    <t>Fatal Push [Playset]</t>
  </si>
  <si>
    <t>Wastes (V.3)</t>
  </si>
  <si>
    <t>Grafdigger's Cage</t>
  </si>
  <si>
    <t>Dauthi Voidwalker [Playset]</t>
  </si>
  <si>
    <t>Commander 2016</t>
  </si>
  <si>
    <t>Sphinx's Revelation</t>
  </si>
  <si>
    <t>Silverbluff Bridge [Playset]</t>
  </si>
  <si>
    <t>Archmage's Charm</t>
  </si>
  <si>
    <t>Hallowed Moonlight</t>
  </si>
  <si>
    <t>Solitude [Playset]</t>
  </si>
  <si>
    <t>Dovin's Veto</t>
  </si>
  <si>
    <t>Void Mirror</t>
  </si>
  <si>
    <t>CVSALE-1096000000-01</t>
  </si>
  <si>
    <t>Reality Heist</t>
  </si>
  <si>
    <t>Undying Evil</t>
  </si>
  <si>
    <t>Frogmite</t>
  </si>
  <si>
    <t>Thoughtcast</t>
  </si>
  <si>
    <t>Nature's Claim</t>
  </si>
  <si>
    <t>Germ Token (Black 0/0)</t>
  </si>
  <si>
    <t>Phyrexian Germ Token (Black 0/0)</t>
  </si>
  <si>
    <t>Thoughtseize [Playset]</t>
  </si>
  <si>
    <t>Drown in the Loch [Playset]</t>
  </si>
  <si>
    <t>Fracture</t>
  </si>
  <si>
    <t>Wall of Omens</t>
  </si>
  <si>
    <t>Priest of Fell Rites</t>
  </si>
  <si>
    <t>Ephemerate</t>
  </si>
  <si>
    <t>Feign Death</t>
  </si>
  <si>
    <t>Night's Whisper</t>
  </si>
  <si>
    <t>Cranial Plating</t>
  </si>
  <si>
    <t>Aether Spellbomb</t>
  </si>
  <si>
    <t>Jumpstart</t>
  </si>
  <si>
    <t>Sojourner's Companion</t>
  </si>
  <si>
    <t>Darksteel Citadel</t>
  </si>
  <si>
    <t>Thought Monitor</t>
  </si>
  <si>
    <t>Tanglepool Bridge</t>
  </si>
  <si>
    <t>Amethyst</t>
  </si>
  <si>
    <t>Smash to Smithereens</t>
  </si>
  <si>
    <t>Sword of Fire and Ice</t>
  </si>
  <si>
    <t>Shambling Vent</t>
  </si>
  <si>
    <t>Touch the Spirit Realm</t>
  </si>
  <si>
    <t>Game Day Promos</t>
  </si>
  <si>
    <t>Undying Malice</t>
  </si>
  <si>
    <t>Roiling Vortex</t>
  </si>
  <si>
    <t>Curse of Silence</t>
  </si>
  <si>
    <t>Geist of Saint Traft</t>
  </si>
  <si>
    <t>Stoneforge Mystic [Playset]</t>
  </si>
  <si>
    <t>Ultra Pro Collectors Portfolio - 4-Pocket Black</t>
  </si>
  <si>
    <t>2016 Version</t>
  </si>
  <si>
    <t>Version 1</t>
  </si>
  <si>
    <t>Storage box for 400 cards</t>
  </si>
  <si>
    <t>Ultra-Pro Solid Black Deckbox</t>
  </si>
  <si>
    <t>Urza's Saga [Playset]</t>
  </si>
  <si>
    <t>Cryptic Command</t>
  </si>
  <si>
    <t>CVSALE-1094021888-01</t>
  </si>
  <si>
    <t>Snap</t>
  </si>
  <si>
    <t>Spellstutter Sprite</t>
  </si>
  <si>
    <t>Thornwind Faeries</t>
  </si>
  <si>
    <t>Commander Anthology</t>
  </si>
  <si>
    <t>Faerie Duelist</t>
  </si>
  <si>
    <t>Spire Golem</t>
  </si>
  <si>
    <t>Moon-Circuit Hacker</t>
  </si>
  <si>
    <t>Faerie Seer</t>
  </si>
  <si>
    <t>Faerie Miscreant</t>
  </si>
  <si>
    <t>Steel Sabotage</t>
  </si>
  <si>
    <t>Signature Spellbook: Jace</t>
  </si>
  <si>
    <t>Mystic Sanctuary</t>
  </si>
  <si>
    <t>Lonely Sandbar</t>
  </si>
  <si>
    <t>Forgotten Cave</t>
  </si>
  <si>
    <t>Island (V.9)</t>
  </si>
  <si>
    <t>Brainstorm</t>
  </si>
  <si>
    <t>Augur of Bolas</t>
  </si>
  <si>
    <t>Tolarian Terror</t>
  </si>
  <si>
    <t>The Modern Age // Vector Glider</t>
  </si>
  <si>
    <t>Shore Up</t>
  </si>
  <si>
    <t>Frantic Inventory</t>
  </si>
  <si>
    <t>Lose Focus</t>
  </si>
  <si>
    <t>Ultra Pro Collectors Portfolio</t>
  </si>
  <si>
    <t>CVSALE-1093432462-02</t>
  </si>
  <si>
    <t>CVSALE-1093432462-01</t>
  </si>
  <si>
    <t>Wear // Tear</t>
  </si>
  <si>
    <t>CVSALE-1093422778-02</t>
  </si>
  <si>
    <t>Enchantress's Presence (V.1)</t>
  </si>
  <si>
    <t>CVSALE-1093422778-01</t>
  </si>
  <si>
    <t>Sythis, Harvest's Hand</t>
  </si>
  <si>
    <t>Destiny Spinner</t>
  </si>
  <si>
    <t>Commune with Spirits</t>
  </si>
  <si>
    <t>Solitary Confinement (V.1)</t>
  </si>
  <si>
    <t>Abundant Growth</t>
  </si>
  <si>
    <t>Snow-Covered Plains</t>
  </si>
  <si>
    <t>Flame Blitz</t>
  </si>
  <si>
    <t>Malachit</t>
  </si>
  <si>
    <t>Sigil of the Empty Throne</t>
  </si>
  <si>
    <t>Seal of Primordium</t>
  </si>
  <si>
    <t>Mishra's Bauble [Playset]</t>
  </si>
  <si>
    <t>Shadowspear</t>
  </si>
  <si>
    <t>Kor Duelist</t>
  </si>
  <si>
    <t>Gateway Promos</t>
  </si>
  <si>
    <t>Ascendant Packleader</t>
  </si>
  <si>
    <t>Reckless Stormseeker // Storm-Charged Slasher</t>
  </si>
  <si>
    <t>Quirion Beastcaller</t>
  </si>
  <si>
    <t>Thundering Raiju</t>
  </si>
  <si>
    <t>Squee, Dubious Monarch (V.1)</t>
  </si>
  <si>
    <t>Halana and Alena, Partners</t>
  </si>
  <si>
    <t>Yavimaya Iconoclast</t>
  </si>
  <si>
    <t>Kumano Faces Kakkazan // Etching of Kumano</t>
  </si>
  <si>
    <t>Radha's Firebrand</t>
  </si>
  <si>
    <t>Kami's Flare</t>
  </si>
  <si>
    <t>Sokenzan, Crucible of Defiance</t>
  </si>
  <si>
    <t>Phoenix Chick</t>
  </si>
  <si>
    <t>Racers' Ring</t>
  </si>
  <si>
    <t>Creepy Puppeteer</t>
  </si>
  <si>
    <t>Flame Discharge</t>
  </si>
  <si>
    <t>Tamiyo's Safekeeping</t>
  </si>
  <si>
    <t>Rending Flame</t>
  </si>
  <si>
    <t>Innistrad: Double Feature</t>
  </si>
  <si>
    <t>Outland Liberator // Frenzied Trapbreaker</t>
  </si>
  <si>
    <t>Poppy Topaz</t>
  </si>
  <si>
    <t>Sapphire</t>
  </si>
  <si>
    <t>CVSALE-1092676783-01</t>
  </si>
  <si>
    <t>Game Day Set Promos</t>
  </si>
  <si>
    <t>Springleaf Drum</t>
  </si>
  <si>
    <t>Open the Armory</t>
  </si>
  <si>
    <t>Ornithopter</t>
  </si>
  <si>
    <t>Ingenious Smith</t>
  </si>
  <si>
    <t>Kor Outfitter</t>
  </si>
  <si>
    <t>Blacksmith's Skill</t>
  </si>
  <si>
    <t>Kaldra Compleat</t>
  </si>
  <si>
    <t>Wurm Token (Artifact 3/3 Deathtouch)</t>
  </si>
  <si>
    <t>Commander Anthology II</t>
  </si>
  <si>
    <t>Wurm Token (Artifact 3/3 Lifelink)</t>
  </si>
  <si>
    <t>Hushbringer</t>
  </si>
  <si>
    <t>Blinkmoth Nexus [Playset]</t>
  </si>
  <si>
    <t>Blade of the Oni</t>
  </si>
  <si>
    <t>Nettlecyst</t>
  </si>
  <si>
    <t>Lavinia, Azorius Renegade</t>
  </si>
  <si>
    <t>Esper Sentinel [Playset]</t>
  </si>
  <si>
    <t>Sigarda's Aid [Playset]</t>
  </si>
  <si>
    <t>Puresteel Paladin [Playset]</t>
  </si>
  <si>
    <t>Colossus Hammer [Playset]</t>
  </si>
  <si>
    <t>Once Upon a Time</t>
  </si>
  <si>
    <t>Throne of Eldraine: Extras</t>
  </si>
  <si>
    <t>Chromatic Star</t>
  </si>
  <si>
    <t>Warping Wail</t>
  </si>
  <si>
    <t>Thragtusk</t>
  </si>
  <si>
    <t>Boros Charm (V.1)</t>
  </si>
  <si>
    <t>Skewer the Critics</t>
  </si>
  <si>
    <t>Inscribed Tablet</t>
  </si>
  <si>
    <t>Nimble Obstructionist</t>
  </si>
  <si>
    <t>Ultra-Pro Solid Aqua Deck Box</t>
  </si>
  <si>
    <t>Ultra-Pro Solid Brown Deckbox</t>
  </si>
  <si>
    <t>Ugin, the Spirit Dragon (V.1)</t>
  </si>
  <si>
    <t>Core 2021: Extras</t>
  </si>
  <si>
    <t>Foundry Street Denizen [Playset]</t>
  </si>
  <si>
    <t>Mogg War Marshal [Playset]</t>
  </si>
  <si>
    <t>Waker of Waves</t>
  </si>
  <si>
    <t>Curator of Mysteries</t>
  </si>
  <si>
    <t>Striped Riverwinder</t>
  </si>
  <si>
    <t>Colossal Skyturtle</t>
  </si>
  <si>
    <t>Shriekmaw</t>
  </si>
  <si>
    <t>Pieces of the Puzzle</t>
  </si>
  <si>
    <t>Isamaru, Hound of Konda</t>
  </si>
  <si>
    <t>Jace, the Mind Sculptor</t>
  </si>
  <si>
    <t>Eternal Masters</t>
  </si>
  <si>
    <t>Snapcaster Mage [Playset]</t>
  </si>
  <si>
    <t>Windborn Muse</t>
  </si>
  <si>
    <t>Commander: Innistrad: Crimson Vow</t>
  </si>
  <si>
    <t>Ajani Vengeant</t>
  </si>
  <si>
    <t>Duel Decks: Ajani vs. Nicol Bolas</t>
  </si>
  <si>
    <t>Apostle's Blessing [Playset]</t>
  </si>
  <si>
    <t>Mutagenic Growth [Playset]</t>
  </si>
  <si>
    <t>Mogg Flunkies</t>
  </si>
  <si>
    <t>Premium Deck Series: Fire &amp; Lightning</t>
  </si>
  <si>
    <t>Apostle's Blessing</t>
  </si>
  <si>
    <t>Festival Crasher</t>
  </si>
  <si>
    <t>Kiln Fiend</t>
  </si>
  <si>
    <t>Temur Battle Rage</t>
  </si>
  <si>
    <t>Crash Through</t>
  </si>
  <si>
    <t>Ancestral Anger</t>
  </si>
  <si>
    <t>Treetop Village</t>
  </si>
  <si>
    <t>Counterspell (V.1)</t>
  </si>
  <si>
    <t>Shattering Spree</t>
  </si>
  <si>
    <t>Guildpact</t>
  </si>
  <si>
    <t>Desperate Ritual</t>
  </si>
  <si>
    <t>Impulse</t>
  </si>
  <si>
    <t>Aria of Flame</t>
  </si>
  <si>
    <t>Consider</t>
  </si>
  <si>
    <t>Fire // Ice</t>
  </si>
  <si>
    <t>Delver of Secrets / Insectile Aberration</t>
  </si>
  <si>
    <t>Electrolyze</t>
  </si>
  <si>
    <t>Sleight of Hand</t>
  </si>
  <si>
    <t>Sulfur Falls</t>
  </si>
  <si>
    <t>Early Frost</t>
  </si>
  <si>
    <t>Echoing Truth</t>
  </si>
  <si>
    <t>Whipcorder</t>
  </si>
  <si>
    <t>Silver Knight</t>
  </si>
  <si>
    <t>Pacifism</t>
  </si>
  <si>
    <t>From the Vault: Angels</t>
  </si>
  <si>
    <t>Oblation</t>
  </si>
  <si>
    <t>Akroma's Vengeance</t>
  </si>
  <si>
    <t>Commander 2014</t>
  </si>
  <si>
    <t>Savannah Lions</t>
  </si>
  <si>
    <t>Renewed Faith</t>
  </si>
  <si>
    <t>Wing Shards</t>
  </si>
  <si>
    <t>Secluded Steppe</t>
  </si>
  <si>
    <t>Temple of the False God</t>
  </si>
  <si>
    <t>Eight-and-a-Half-Tails</t>
  </si>
  <si>
    <t>Kami of Ancient Law</t>
  </si>
  <si>
    <t>Goblin Pyromancer</t>
  </si>
  <si>
    <t>Goblin Token (Red 1/1)</t>
  </si>
  <si>
    <t>Gempalm Incinerator</t>
  </si>
  <si>
    <t>Duel Decks: Anthology</t>
  </si>
  <si>
    <t>Goblin Matron</t>
  </si>
  <si>
    <t>Goblin Piledriver</t>
  </si>
  <si>
    <t>Dashboard actualizado con Compra y Venta separadas</t>
  </si>
  <si>
    <t>Lineas coleccion</t>
  </si>
  <si>
    <t>Lineas Compra</t>
  </si>
  <si>
    <t>Gasto total mensual</t>
  </si>
  <si>
    <t>Lineas Venta</t>
  </si>
  <si>
    <t>Resumen por TCG</t>
  </si>
  <si>
    <t>Suma de Total</t>
  </si>
  <si>
    <t>Gasto compra total</t>
  </si>
  <si>
    <t>Quantity compra</t>
  </si>
  <si>
    <t>Total compra</t>
  </si>
  <si>
    <t>Precio venta</t>
  </si>
  <si>
    <t>Importe venta total</t>
  </si>
  <si>
    <t>Lineas Cancelado</t>
  </si>
  <si>
    <t>Resumen Compra/Venta</t>
  </si>
  <si>
    <t>Tipo Operacion</t>
  </si>
  <si>
    <t>Suma Quantity</t>
  </si>
  <si>
    <t>Top ediciones por gasto</t>
  </si>
  <si>
    <t>Suma de Quantity</t>
  </si>
  <si>
    <t>Cantidad total por idioma</t>
  </si>
  <si>
    <t>Idioma</t>
  </si>
  <si>
    <t>Cartas con mayor gasto</t>
  </si>
  <si>
    <t>Portugués</t>
  </si>
  <si>
    <t>Coreano</t>
  </si>
  <si>
    <t>Resumen de actualizacion: Cancelados marcados y Graficos con formulas</t>
  </si>
  <si>
    <t>Lineas Coleccion antes de separar</t>
  </si>
  <si>
    <t>Lineas Compra/Venta originales separadas</t>
  </si>
  <si>
    <t>Lineas Coleccion finales</t>
  </si>
  <si>
    <t>Lineas Compra finales</t>
  </si>
  <si>
    <t>Lineas Venta finales</t>
  </si>
  <si>
    <t>Lineas Compra/Venta restantes</t>
  </si>
  <si>
    <t>Ventas Compra/Venta mapeadas a pedido CardMarket</t>
  </si>
  <si>
    <t>Ventas Compra/Venta sin pedido identificado</t>
  </si>
  <si>
    <t>Ajuste neto aplicado en Precio de venta por matching mbox</t>
  </si>
  <si>
    <t>Gasto compra total final</t>
  </si>
  <si>
    <t>Importe venta total final</t>
  </si>
  <si>
    <t>Lineas finales en Pedidos CardMarket</t>
  </si>
  <si>
    <t>Regla nueva</t>
  </si>
  <si>
    <t>Compra y Venta ya no comparten fila: Total queda como importe de la operacion y Precio de venta solo se rellena en ventas.</t>
  </si>
  <si>
    <t>Trazabilidad</t>
  </si>
  <si>
    <t>Ver hoja Desglose Compra Venta para el origen de cada split Compra/Venta.</t>
  </si>
  <si>
    <t>Detalle matching Compra/Venta</t>
  </si>
  <si>
    <t>CardMarket corregido desde precio unitario</t>
  </si>
  <si>
    <t>CardMarket corregido desde precio unitario (candidato ambiguo resuelto)</t>
  </si>
  <si>
    <t>CardMarket exacto</t>
  </si>
  <si>
    <t>CardMarket exacto (candidato ambiguo resuelto)</t>
  </si>
  <si>
    <t>Sintético sin pedido identificado</t>
  </si>
  <si>
    <t>Pedidos con comentario Cancelado marcados como Cancelado</t>
  </si>
  <si>
    <t>Pedidos cuyo Tipo Operación ha cambiado a Cancelado</t>
  </si>
  <si>
    <t>Lineas Coleccion marcadas como Cancelado</t>
  </si>
  <si>
    <t>Lineas Coleccion cuyo Tipo Operación ha cambiado a Cancelado</t>
  </si>
  <si>
    <t>Formulas KPI implementadas</t>
  </si>
  <si>
    <t>Graficos!H1:H6</t>
  </si>
  <si>
    <t>Formula gasto mensual</t>
  </si>
  <si>
    <t>Graficos!A5</t>
  </si>
  <si>
    <t>Formula resumen TCG</t>
  </si>
  <si>
    <t>Graficos!J5</t>
  </si>
  <si>
    <t>Formula resumen Compra/Venta/Cancelado</t>
  </si>
  <si>
    <t>Graficos!J19</t>
  </si>
  <si>
    <t>Formula rankings</t>
  </si>
  <si>
    <t>Graficos!J35, Graficos!A56, Graficos!A78</t>
  </si>
  <si>
    <t>Nota</t>
  </si>
  <si>
    <t>Las formulas dinamicas se recalculan al abrir el archivo en Excel.</t>
  </si>
  <si>
    <t>Codigo Hareruya</t>
  </si>
  <si>
    <t>Edicion normalizada</t>
  </si>
  <si>
    <t>Lineas activas</t>
  </si>
  <si>
    <t>Codigo fuente</t>
  </si>
  <si>
    <t>Fuente / nota</t>
  </si>
  <si>
    <t>2X2-BF</t>
  </si>
  <si>
    <t>2x2</t>
  </si>
  <si>
    <t>https://scryfall.com/sets/2x2</t>
  </si>
  <si>
    <t>2XM</t>
  </si>
  <si>
    <t>2xm</t>
  </si>
  <si>
    <t>https://scryfall.com/sets/2xm</t>
  </si>
  <si>
    <t>2XM-BF</t>
  </si>
  <si>
    <t>4EDBB</t>
  </si>
  <si>
    <t>4bb</t>
  </si>
  <si>
    <t>https://scryfall.com/sets/4bb</t>
  </si>
  <si>
    <t>5ED</t>
  </si>
  <si>
    <t>5ed</t>
  </si>
  <si>
    <t>https://scryfall.com/sets/5ed</t>
  </si>
  <si>
    <t>ALL</t>
  </si>
  <si>
    <t>all</t>
  </si>
  <si>
    <t>https://scryfall.com/sets/all</t>
  </si>
  <si>
    <t>APC</t>
  </si>
  <si>
    <t>apc</t>
  </si>
  <si>
    <t>https://scryfall.com/sets/apc</t>
  </si>
  <si>
    <t>BRC-BF</t>
  </si>
  <si>
    <t>brc</t>
  </si>
  <si>
    <t>https://scryfall.com/sets/brc</t>
  </si>
  <si>
    <t>BRR</t>
  </si>
  <si>
    <t>brr</t>
  </si>
  <si>
    <t>https://scryfall.com/sets/brr</t>
  </si>
  <si>
    <t>DFT</t>
  </si>
  <si>
    <t>dft</t>
  </si>
  <si>
    <t>https://scryfall.com/sets/dft</t>
  </si>
  <si>
    <t>DFT-BF</t>
  </si>
  <si>
    <t>DMU</t>
  </si>
  <si>
    <t>dmu</t>
  </si>
  <si>
    <t>https://scryfall.com/sets/dmu</t>
  </si>
  <si>
    <t>DMU-BF</t>
  </si>
  <si>
    <t>DRK</t>
  </si>
  <si>
    <t>drk</t>
  </si>
  <si>
    <t>https://scryfall.com/sets/drk</t>
  </si>
  <si>
    <t>DSK</t>
  </si>
  <si>
    <t>dsk</t>
  </si>
  <si>
    <t>https://scryfall.com/sets/dsk</t>
  </si>
  <si>
    <t>DSK-BF</t>
  </si>
  <si>
    <t>FUT</t>
  </si>
  <si>
    <t>fut</t>
  </si>
  <si>
    <t>https://scryfall.com/sets/fut</t>
  </si>
  <si>
    <t>H2R</t>
  </si>
  <si>
    <t>h2r</t>
  </si>
  <si>
    <t>https://scryfall.com/sets/h2r</t>
  </si>
  <si>
    <t>INR</t>
  </si>
  <si>
    <t>inr</t>
  </si>
  <si>
    <t>https://scryfall.com/sets/inr</t>
  </si>
  <si>
    <t>INV</t>
  </si>
  <si>
    <t>inv</t>
  </si>
  <si>
    <t>https://scryfall.com/sets/inv</t>
  </si>
  <si>
    <t>JUD</t>
  </si>
  <si>
    <t>jud</t>
  </si>
  <si>
    <t>https://scryfall.com/sets/jud</t>
  </si>
  <si>
    <t>LGN</t>
  </si>
  <si>
    <t>lgn</t>
  </si>
  <si>
    <t>https://scryfall.com/sets/lgn</t>
  </si>
  <si>
    <t>LTR</t>
  </si>
  <si>
    <t>ltr</t>
  </si>
  <si>
    <t>https://scryfall.com/sets/ltr</t>
  </si>
  <si>
    <t>MH2-BF</t>
  </si>
  <si>
    <t>mh2</t>
  </si>
  <si>
    <t>https://scryfall.com/sets/mh2</t>
  </si>
  <si>
    <t>MH3</t>
  </si>
  <si>
    <t>mh3</t>
  </si>
  <si>
    <t>https://scryfall.com/sets/mh3</t>
  </si>
  <si>
    <t>MH3-BF</t>
  </si>
  <si>
    <t>MIR</t>
  </si>
  <si>
    <t>mir</t>
  </si>
  <si>
    <t>https://scryfall.com/sets/mir</t>
  </si>
  <si>
    <t>MKM</t>
  </si>
  <si>
    <t>mkm</t>
  </si>
  <si>
    <t>https://scryfall.com/sets/mkm</t>
  </si>
  <si>
    <t>MMQ</t>
  </si>
  <si>
    <t>mmq</t>
  </si>
  <si>
    <t>https://scryfall.com/sets/mmq</t>
  </si>
  <si>
    <t>NEM</t>
  </si>
  <si>
    <t>nem</t>
  </si>
  <si>
    <t>https://scryfall.com/sets/nem</t>
  </si>
  <si>
    <t>NEO-BF</t>
  </si>
  <si>
    <t>neo</t>
  </si>
  <si>
    <t>https://scryfall.com/sets/neo</t>
  </si>
  <si>
    <t>ODY</t>
  </si>
  <si>
    <t>ody</t>
  </si>
  <si>
    <t>https://scryfall.com/sets/ody</t>
  </si>
  <si>
    <t>ONE-BF</t>
  </si>
  <si>
    <t>one</t>
  </si>
  <si>
    <t>https://scryfall.com/sets/one</t>
  </si>
  <si>
    <t>ONS</t>
  </si>
  <si>
    <t>ons</t>
  </si>
  <si>
    <t>https://scryfall.com/sets/ons</t>
  </si>
  <si>
    <t>PLS</t>
  </si>
  <si>
    <t>pls</t>
  </si>
  <si>
    <t>https://scryfall.com/sets/pls</t>
  </si>
  <si>
    <t>RVR</t>
  </si>
  <si>
    <t>rvr</t>
  </si>
  <si>
    <t>https://scryfall.com/sets/rvr</t>
  </si>
  <si>
    <t>SCG</t>
  </si>
  <si>
    <t>scg</t>
  </si>
  <si>
    <t>https://scryfall.com/sets/scg</t>
  </si>
  <si>
    <t>SOM</t>
  </si>
  <si>
    <t>som</t>
  </si>
  <si>
    <t>https://scryfall.com/sets/som</t>
  </si>
  <si>
    <t>STA-JP</t>
  </si>
  <si>
    <t>sta</t>
  </si>
  <si>
    <t>https://scryfall.com/sets/sta</t>
  </si>
  <si>
    <t>TDM-BF</t>
  </si>
  <si>
    <t>tdm</t>
  </si>
  <si>
    <t>https://scryfall.com/sets/tdm</t>
  </si>
  <si>
    <t>TMP</t>
  </si>
  <si>
    <t>tmp</t>
  </si>
  <si>
    <t>https://scryfall.com/sets/tmp</t>
  </si>
  <si>
    <t>TSR-BS</t>
  </si>
  <si>
    <t>tsr</t>
  </si>
  <si>
    <t>https://scryfall.com/sets/tsr</t>
  </si>
  <si>
    <t>UDS</t>
  </si>
  <si>
    <t>uds</t>
  </si>
  <si>
    <t>https://scryfall.com/sets/uds</t>
  </si>
  <si>
    <t>ULG</t>
  </si>
  <si>
    <t>ulg</t>
  </si>
  <si>
    <t>https://scryfall.com/sets/ulg</t>
  </si>
  <si>
    <t>USG</t>
  </si>
  <si>
    <t>usg</t>
  </si>
  <si>
    <t>https://scryfall.com/sets/usg</t>
  </si>
  <si>
    <t>VIS</t>
  </si>
  <si>
    <t>vis</t>
  </si>
  <si>
    <t>https://scryfall.com/sets/vis</t>
  </si>
  <si>
    <t>WAR-ART</t>
  </si>
  <si>
    <t>war</t>
  </si>
  <si>
    <t>https://scryfall.com/sets/war</t>
  </si>
  <si>
    <t>WOE-BF</t>
  </si>
  <si>
    <t>woe</t>
  </si>
  <si>
    <t>https://scryfall.com/sets/woe</t>
  </si>
  <si>
    <t>WTH</t>
  </si>
  <si>
    <t>wth</t>
  </si>
  <si>
    <t>https://scryfall.com/sets/wth</t>
  </si>
  <si>
    <t>ZEN</t>
  </si>
  <si>
    <t>zen</t>
  </si>
  <si>
    <t>https://scryfall.com/sets/zen</t>
  </si>
  <si>
    <t>ZNE</t>
  </si>
  <si>
    <t>zne</t>
  </si>
  <si>
    <t>https://scryfall.com/sets/zne</t>
  </si>
  <si>
    <t>流星マーク</t>
  </si>
  <si>
    <t/>
  </si>
  <si>
    <t>Marca promocional Hareruya; normalizada como Promos</t>
  </si>
  <si>
    <t>Lineas Hareruya sin codigo de expansion</t>
  </si>
  <si>
    <t>Notas</t>
  </si>
  <si>
    <t>Importado desde Pedidos WhatsApp</t>
  </si>
  <si>
    <t>Fila original Coleccion</t>
  </si>
  <si>
    <t>Pedido compra</t>
  </si>
  <si>
    <t>Pedido venta</t>
  </si>
  <si>
    <t>Estado matching</t>
  </si>
  <si>
    <t>Qty compra original</t>
  </si>
  <si>
    <t>Total compra original</t>
  </si>
  <si>
    <t>Precio venta anterior</t>
  </si>
  <si>
    <t>Precio venta separado</t>
  </si>
  <si>
    <t>Comprador venta</t>
  </si>
  <si>
    <t>Fecha venta</t>
  </si>
  <si>
    <t>Qty venta</t>
  </si>
  <si>
    <t>Unit venta</t>
  </si>
  <si>
    <t>13.11.2025</t>
  </si>
  <si>
    <t>22.08.2025</t>
  </si>
  <si>
    <t>24.10.2025</t>
  </si>
  <si>
    <t>27.05.2026</t>
  </si>
  <si>
    <t>25.08.2025</t>
  </si>
  <si>
    <t>11.02.2025</t>
  </si>
  <si>
    <t>No identificado</t>
  </si>
  <si>
    <t>23.01.2026</t>
  </si>
  <si>
    <t>11.12.2025</t>
  </si>
  <si>
    <t>03.09.2024</t>
  </si>
  <si>
    <t>22.02.2025</t>
  </si>
  <si>
    <t>21.05.2025</t>
  </si>
  <si>
    <t>09.03.2026</t>
  </si>
  <si>
    <t>18.02.2026</t>
  </si>
  <si>
    <t>17.02.2026</t>
  </si>
  <si>
    <t>02.04.2025</t>
  </si>
  <si>
    <t>12.01.2025</t>
  </si>
  <si>
    <t>27.01.2025</t>
  </si>
  <si>
    <t>27.11.2025</t>
  </si>
  <si>
    <t>12.03.2025</t>
  </si>
  <si>
    <t>07.02.2025</t>
  </si>
  <si>
    <t>05.02.2026</t>
  </si>
  <si>
    <t>13.02.2025</t>
  </si>
  <si>
    <t>07.01.2025</t>
  </si>
  <si>
    <t>31.10.2024</t>
  </si>
  <si>
    <t>13.07.2024</t>
  </si>
  <si>
    <t>31.12.2024</t>
  </si>
  <si>
    <t>09.01.2026</t>
  </si>
  <si>
    <t>05.12.2025</t>
  </si>
  <si>
    <t>02.10.2025</t>
  </si>
  <si>
    <t>17.12.2025</t>
  </si>
  <si>
    <t>22.03.2024</t>
  </si>
  <si>
    <t>10.01.2025</t>
  </si>
  <si>
    <t>01.02.2024</t>
  </si>
  <si>
    <t>12.07.2024</t>
  </si>
  <si>
    <t>03.03.2024</t>
  </si>
  <si>
    <t>20.02.2025</t>
  </si>
  <si>
    <t>18.01.2026</t>
  </si>
  <si>
    <t>06.09.2024</t>
  </si>
  <si>
    <t>16.01.2026</t>
  </si>
  <si>
    <t>29.08.2024</t>
  </si>
  <si>
    <t>23.02.2024</t>
  </si>
  <si>
    <t>06.09.2023</t>
  </si>
  <si>
    <t>22.07.2023</t>
  </si>
  <si>
    <t>04.06.2026</t>
  </si>
  <si>
    <t>06.08.2024</t>
  </si>
  <si>
    <t>21.05.2024</t>
  </si>
  <si>
    <t>02.08.2024</t>
  </si>
  <si>
    <t>17.07.2025</t>
  </si>
  <si>
    <t>14.08.2025</t>
  </si>
  <si>
    <t>21.04.2026</t>
  </si>
  <si>
    <t>12.11.2024</t>
  </si>
  <si>
    <t>12.05.2025</t>
  </si>
  <si>
    <t>27.07.2023</t>
  </si>
  <si>
    <t>05.02.2024</t>
  </si>
  <si>
    <t>16.02.2024</t>
  </si>
  <si>
    <t>Ranking</t>
  </si>
  <si>
    <t>=ORDENAR(UNICOS(FILTRAR(Colección[Edición];Colección[Edición]&lt;&gt;"")))</t>
  </si>
  <si>
    <t>=ORDENAR(UNICOS(FILTRAR(Colección[Carta];Colección[Carta]&lt;&gt;"")))</t>
  </si>
  <si>
    <t>=ORDENAR(UNICOS(FILTRAR(Colección[Idioma];Colección[Idioma]&lt;&gt;"")))</t>
  </si>
  <si>
    <t>Etiquetas de fila</t>
  </si>
  <si>
    <t>(en blanco)</t>
  </si>
  <si>
    <t>Total general</t>
  </si>
  <si>
    <t>Nachín</t>
  </si>
  <si>
    <t>Magic Barcelona</t>
  </si>
  <si>
    <t>Unleashed Booster Box Case (6x)</t>
  </si>
  <si>
    <t>Collector Booster Box The Hobbit</t>
  </si>
  <si>
    <t>The Hobbit</t>
  </si>
  <si>
    <t>N/A</t>
  </si>
  <si>
    <t>#112488</t>
  </si>
  <si>
    <t>CardMarket</t>
  </si>
  <si>
    <t>Refund</t>
  </si>
  <si>
    <t>Faus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</si>
</sst>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\€"/>
    <numFmt numFmtId="165" formatCode="#,##0.0000\ \€"/>
    <numFmt numFmtId="166" formatCode="_-[$€-2]\ * #,##0.00_-;\-[$€-2]\ * #,##0.00_-;_-[$€-2]\ * &quot;-&quot;??_-;_-@_-"/>
    <numFmt numFmtId="167" formatCode="#,##0.00\ &quot;€&quot;"/>
  </numFmts>
  <fonts count="8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2"/>
      <color rgb="FF1F4E7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/>
      <right/>
      <top/>
      <bottom/>
      <diagonal/>
    </border>
    <border>
      <left style="thin">
        <color rgb="FFD9EAF7"/>
      </left>
      <right/>
      <top style="thin">
        <color rgb="FFD9EAF7"/>
      </top>
      <bottom style="thin">
        <color rgb="FFD9EAF7"/>
      </bottom>
      <diagonal/>
    </border>
    <border>
      <left/>
      <right style="thin">
        <color rgb="FFD9EAF7"/>
      </right>
      <top style="thin">
        <color rgb="FFD9EAF7"/>
      </top>
      <bottom style="thin">
        <color rgb="FFD9EAF7"/>
      </bottom>
      <diagonal/>
    </border>
  </borders>
  <cellStyleXfs count="1">
    <xf numFmtId="0" fontId="0" fillId="0" borderId="1"/>
  </cellStyleXfs>
  <cellXfs count="48">
    <xf numFmtId="0" fontId="0" fillId="0" borderId="0" xfId="0" applyBorder="1"/>
    <xf numFmtId="164" fontId="0" fillId="0" borderId="0" xfId="0" applyNumberFormat="1" applyBorder="1"/>
    <xf numFmtId="14" fontId="0" fillId="0" borderId="0" xfId="0" applyNumberFormat="1" applyBorder="1"/>
    <xf numFmtId="165" fontId="0" fillId="0" borderId="0" xfId="0" applyNumberFormat="1" applyBorder="1"/>
    <xf numFmtId="0" fontId="4" fillId="0" borderId="1" xfId="0" applyFont="1"/>
    <xf numFmtId="0" fontId="2" fillId="0" borderId="1" xfId="0" applyFont="1"/>
    <xf numFmtId="0" fontId="4" fillId="0" borderId="2" xfId="0" applyFont="1" applyBorder="1"/>
    <xf numFmtId="164" fontId="4" fillId="0" borderId="2" xfId="0" applyNumberFormat="1" applyFont="1" applyBorder="1"/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4" fillId="0" borderId="1" xfId="0" applyFont="1" applyAlignment="1">
      <alignment vertical="top" wrapText="1"/>
    </xf>
    <xf numFmtId="0" fontId="6" fillId="0" borderId="0" xfId="0" applyFont="1" applyBorder="1"/>
    <xf numFmtId="0" fontId="0" fillId="0" borderId="3" xfId="0" applyBorder="1"/>
    <xf numFmtId="0" fontId="5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/>
    </xf>
    <xf numFmtId="164" fontId="4" fillId="0" borderId="0" xfId="0" applyNumberFormat="1" applyFont="1" applyBorder="1"/>
    <xf numFmtId="0" fontId="0" fillId="0" borderId="0" xfId="0" applyBorder="1" applyAlignment="1">
      <alignment wrapText="1"/>
    </xf>
    <xf numFmtId="164" fontId="6" fillId="4" borderId="0" xfId="0" applyNumberFormat="1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vertical="top" wrapText="1"/>
    </xf>
    <xf numFmtId="164" fontId="6" fillId="7" borderId="0" xfId="0" applyNumberFormat="1" applyFont="1" applyFill="1" applyBorder="1" applyAlignment="1">
      <alignment horizontal="center" vertical="center" wrapText="1"/>
    </xf>
    <xf numFmtId="164" fontId="6" fillId="7" borderId="2" xfId="0" applyNumberFormat="1" applyFont="1" applyFill="1" applyBorder="1" applyAlignment="1">
      <alignment horizontal="center" vertical="center" wrapText="1"/>
    </xf>
    <xf numFmtId="1" fontId="5" fillId="2" borderId="0" xfId="0" applyNumberFormat="1" applyFont="1" applyFill="1" applyBorder="1" applyAlignment="1">
      <alignment horizontal="center" vertical="center" wrapText="1"/>
    </xf>
    <xf numFmtId="1" fontId="6" fillId="4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Border="1"/>
    <xf numFmtId="1" fontId="4" fillId="0" borderId="2" xfId="0" applyNumberFormat="1" applyFont="1" applyBorder="1"/>
    <xf numFmtId="0" fontId="3" fillId="7" borderId="0" xfId="0" applyFont="1" applyFill="1" applyBorder="1" applyAlignment="1">
      <alignment vertical="top" wrapText="1"/>
    </xf>
    <xf numFmtId="0" fontId="0" fillId="0" borderId="0" xfId="0" pivotButton="1" applyBorder="1"/>
    <xf numFmtId="0" fontId="0" fillId="0" borderId="0" xfId="0" applyBorder="1" applyAlignment="1">
      <alignment horizontal="left"/>
    </xf>
    <xf numFmtId="166" fontId="0" fillId="0" borderId="0" xfId="0" applyNumberFormat="1" applyBorder="1"/>
    <xf numFmtId="167" fontId="0" fillId="0" borderId="0" xfId="0" applyNumberFormat="1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top" wrapText="1"/>
    </xf>
    <xf numFmtId="164" fontId="0" fillId="0" borderId="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 vertical="top" wrapText="1"/>
    </xf>
    <xf numFmtId="0" fontId="5" fillId="6" borderId="0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numFmt numFmtId="166" formatCode="_-[$€-2]\ * #,##0.00_-;\-[$€-2]\ * #,##0.00_-;_-[$€-2]\ * &quot;-&quot;??_-;_-@_-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GASTO TOTAL MENSUAL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Legacy'!$B$4</c:f>
              <c:strCache>
                <c:ptCount val="1"/>
                <c:pt idx="0">
                  <c:v>Suma de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'Graficos Legacy'!$A$5:$A$50</c:f>
              <c:strCache>
                <c:ptCount val="46"/>
                <c:pt idx="0">
                  <c:v>2026-06 junio</c:v>
                </c:pt>
                <c:pt idx="1">
                  <c:v>2026-05 mayo</c:v>
                </c:pt>
                <c:pt idx="2">
                  <c:v>2026-04 abril</c:v>
                </c:pt>
                <c:pt idx="3">
                  <c:v>2026-03 marzo</c:v>
                </c:pt>
                <c:pt idx="4">
                  <c:v>2026-02 febrero</c:v>
                </c:pt>
                <c:pt idx="5">
                  <c:v>2026-01 enero</c:v>
                </c:pt>
                <c:pt idx="6">
                  <c:v>2025-12 diciembre</c:v>
                </c:pt>
                <c:pt idx="7">
                  <c:v>2025-11 noviembre</c:v>
                </c:pt>
                <c:pt idx="8">
                  <c:v>2025-10 octubre</c:v>
                </c:pt>
                <c:pt idx="9">
                  <c:v>2025-09 septiembre</c:v>
                </c:pt>
                <c:pt idx="10">
                  <c:v>2025-08 agosto</c:v>
                </c:pt>
                <c:pt idx="11">
                  <c:v>2025-07 julio</c:v>
                </c:pt>
                <c:pt idx="12">
                  <c:v>2025-06 junio</c:v>
                </c:pt>
                <c:pt idx="13">
                  <c:v>2025-05 mayo</c:v>
                </c:pt>
                <c:pt idx="14">
                  <c:v>2025-04 abril</c:v>
                </c:pt>
                <c:pt idx="15">
                  <c:v>2025-03 marzo</c:v>
                </c:pt>
                <c:pt idx="16">
                  <c:v>2025-02 febrero</c:v>
                </c:pt>
                <c:pt idx="17">
                  <c:v>2025-01 enero</c:v>
                </c:pt>
                <c:pt idx="18">
                  <c:v>2024-12 diciembre</c:v>
                </c:pt>
                <c:pt idx="19">
                  <c:v>2024-11 noviembre</c:v>
                </c:pt>
                <c:pt idx="20">
                  <c:v>2024-10 octubre</c:v>
                </c:pt>
                <c:pt idx="21">
                  <c:v>2024-09 septiembre</c:v>
                </c:pt>
                <c:pt idx="22">
                  <c:v>2024-08 agosto</c:v>
                </c:pt>
                <c:pt idx="23">
                  <c:v>2024-07 julio</c:v>
                </c:pt>
                <c:pt idx="24">
                  <c:v>2024-06 junio</c:v>
                </c:pt>
                <c:pt idx="25">
                  <c:v>2024-05 mayo</c:v>
                </c:pt>
                <c:pt idx="26">
                  <c:v>2024-04 abril</c:v>
                </c:pt>
                <c:pt idx="27">
                  <c:v>2024-03 marzo</c:v>
                </c:pt>
                <c:pt idx="28">
                  <c:v>2024-02 febrero</c:v>
                </c:pt>
                <c:pt idx="29">
                  <c:v>2024-01 enero</c:v>
                </c:pt>
                <c:pt idx="30">
                  <c:v>2023-12 diciembre</c:v>
                </c:pt>
                <c:pt idx="31">
                  <c:v>2023-11 noviembre</c:v>
                </c:pt>
                <c:pt idx="32">
                  <c:v>2023-10 octubre</c:v>
                </c:pt>
                <c:pt idx="33">
                  <c:v>2023-09 septiembre</c:v>
                </c:pt>
                <c:pt idx="34">
                  <c:v>2023-08 agosto</c:v>
                </c:pt>
                <c:pt idx="35">
                  <c:v>2023-07 julio</c:v>
                </c:pt>
                <c:pt idx="36">
                  <c:v>2023-06 junio</c:v>
                </c:pt>
                <c:pt idx="37">
                  <c:v>2023-05 mayo</c:v>
                </c:pt>
                <c:pt idx="38">
                  <c:v>2023-04 abril</c:v>
                </c:pt>
                <c:pt idx="39">
                  <c:v>2023-03 marzo</c:v>
                </c:pt>
                <c:pt idx="40">
                  <c:v>2023-02 febrero</c:v>
                </c:pt>
                <c:pt idx="41">
                  <c:v>2023-01 enero</c:v>
                </c:pt>
                <c:pt idx="42">
                  <c:v>2022-12 diciembre</c:v>
                </c:pt>
                <c:pt idx="43">
                  <c:v>2022-11 noviembre</c:v>
                </c:pt>
                <c:pt idx="44">
                  <c:v>2022-10 octubre</c:v>
                </c:pt>
                <c:pt idx="45">
                  <c:v>2022-09 septiembre</c:v>
                </c:pt>
              </c:strCache>
            </c:strRef>
          </c:cat>
          <c:val>
            <c:numRef>
              <c:f>'Graficos Legacy'!$B$5:$B$50</c:f>
              <c:numCache>
                <c:formatCode>#,##0.00\ \€</c:formatCode>
                <c:ptCount val="46"/>
                <c:pt idx="0">
                  <c:v>3510.83</c:v>
                </c:pt>
                <c:pt idx="1">
                  <c:v>1230.3000000000002</c:v>
                </c:pt>
                <c:pt idx="2">
                  <c:v>27.76</c:v>
                </c:pt>
                <c:pt idx="3">
                  <c:v>241.54000000000002</c:v>
                </c:pt>
                <c:pt idx="4">
                  <c:v>358.21</c:v>
                </c:pt>
                <c:pt idx="5">
                  <c:v>2448.5600000000004</c:v>
                </c:pt>
                <c:pt idx="6">
                  <c:v>1465.13</c:v>
                </c:pt>
                <c:pt idx="7">
                  <c:v>554.11000000000013</c:v>
                </c:pt>
                <c:pt idx="8">
                  <c:v>456.02999999999992</c:v>
                </c:pt>
                <c:pt idx="9">
                  <c:v>195.61999999999995</c:v>
                </c:pt>
                <c:pt idx="10">
                  <c:v>243.64</c:v>
                </c:pt>
                <c:pt idx="11">
                  <c:v>739.23000000000013</c:v>
                </c:pt>
                <c:pt idx="12">
                  <c:v>701.6600000000002</c:v>
                </c:pt>
                <c:pt idx="13">
                  <c:v>490.35000000000008</c:v>
                </c:pt>
                <c:pt idx="14">
                  <c:v>2333.71</c:v>
                </c:pt>
                <c:pt idx="15">
                  <c:v>2207.0009090909098</c:v>
                </c:pt>
                <c:pt idx="16">
                  <c:v>937.97</c:v>
                </c:pt>
                <c:pt idx="17">
                  <c:v>562.58999999999992</c:v>
                </c:pt>
                <c:pt idx="18">
                  <c:v>897.1400000000001</c:v>
                </c:pt>
                <c:pt idx="19">
                  <c:v>583.04999999999995</c:v>
                </c:pt>
                <c:pt idx="20">
                  <c:v>800.76000000000022</c:v>
                </c:pt>
                <c:pt idx="21">
                  <c:v>450.38999999999987</c:v>
                </c:pt>
                <c:pt idx="22">
                  <c:v>664.06999999999994</c:v>
                </c:pt>
                <c:pt idx="23">
                  <c:v>1260.3100000000004</c:v>
                </c:pt>
                <c:pt idx="24">
                  <c:v>2096.5300000000007</c:v>
                </c:pt>
                <c:pt idx="25">
                  <c:v>1971.4700000000009</c:v>
                </c:pt>
                <c:pt idx="26">
                  <c:v>497.53999999999996</c:v>
                </c:pt>
                <c:pt idx="27">
                  <c:v>519.02</c:v>
                </c:pt>
                <c:pt idx="28">
                  <c:v>435.2399999999999</c:v>
                </c:pt>
                <c:pt idx="29">
                  <c:v>596.41999999999985</c:v>
                </c:pt>
                <c:pt idx="30">
                  <c:v>1079.9100000000001</c:v>
                </c:pt>
                <c:pt idx="31">
                  <c:v>361.7</c:v>
                </c:pt>
                <c:pt idx="32">
                  <c:v>487.0199999999985</c:v>
                </c:pt>
                <c:pt idx="33">
                  <c:v>424.94000000000005</c:v>
                </c:pt>
                <c:pt idx="34">
                  <c:v>134.94999999999999</c:v>
                </c:pt>
                <c:pt idx="35">
                  <c:v>1108.3935582822091</c:v>
                </c:pt>
                <c:pt idx="36">
                  <c:v>334.71999999999997</c:v>
                </c:pt>
                <c:pt idx="37">
                  <c:v>616.66</c:v>
                </c:pt>
                <c:pt idx="38">
                  <c:v>212.49000000000004</c:v>
                </c:pt>
                <c:pt idx="39">
                  <c:v>429.28000000000003</c:v>
                </c:pt>
                <c:pt idx="40">
                  <c:v>296.16000000000008</c:v>
                </c:pt>
                <c:pt idx="41">
                  <c:v>867.2099999999997</c:v>
                </c:pt>
                <c:pt idx="42">
                  <c:v>1214.04</c:v>
                </c:pt>
                <c:pt idx="43">
                  <c:v>1144.7500000000005</c:v>
                </c:pt>
                <c:pt idx="44">
                  <c:v>1119.4899999999998</c:v>
                </c:pt>
                <c:pt idx="45">
                  <c:v>374.48000000000008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A-4AFB-8C35-F85D9F2AF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ES"/>
                  <a:t>Total</a:t>
                </a:r>
              </a:p>
            </c:rich>
          </c:tx>
          <c:overlay val="0"/>
        </c:title>
        <c:numFmt formatCode="#,##0.00\ \€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CANTIDAD TOTAL POR IDIOMA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'Graficos Legacy'!$B$55</c:f>
              <c:strCache>
                <c:ptCount val="1"/>
                <c:pt idx="0">
                  <c:v>Suma de Quantity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'Graficos Legacy'!$A$56:$A$65</c:f>
              <c:strCache>
                <c:ptCount val="10"/>
                <c:pt idx="0">
                  <c:v>Inglés</c:v>
                </c:pt>
                <c:pt idx="1">
                  <c:v>Japonés</c:v>
                </c:pt>
                <c:pt idx="2">
                  <c:v>Español</c:v>
                </c:pt>
                <c:pt idx="3">
                  <c:v>Chino-S</c:v>
                </c:pt>
                <c:pt idx="4">
                  <c:v>Italiano</c:v>
                </c:pt>
                <c:pt idx="5">
                  <c:v>Chino-T</c:v>
                </c:pt>
                <c:pt idx="6">
                  <c:v>Chino</c:v>
                </c:pt>
                <c:pt idx="7">
                  <c:v>Francés</c:v>
                </c:pt>
                <c:pt idx="8">
                  <c:v>Alemán</c:v>
                </c:pt>
                <c:pt idx="9">
                  <c:v>Ruso</c:v>
                </c:pt>
              </c:strCache>
            </c:strRef>
          </c:cat>
          <c:val>
            <c:numRef>
              <c:f>'Graficos Legacy'!$B$56:$B$65</c:f>
              <c:numCache>
                <c:formatCode>0</c:formatCode>
                <c:ptCount val="10"/>
                <c:pt idx="0">
                  <c:v>5499</c:v>
                </c:pt>
                <c:pt idx="1">
                  <c:v>1098</c:v>
                </c:pt>
                <c:pt idx="2">
                  <c:v>451</c:v>
                </c:pt>
                <c:pt idx="3">
                  <c:v>64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C-41F3-9298-E47C3FE5E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CANTIDAD POR TCG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'Graficos Legacy'!$K$4</c:f>
              <c:strCache>
                <c:ptCount val="1"/>
                <c:pt idx="0">
                  <c:v>Quantity compra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'Graficos Legacy'!$J$5:$J$7</c:f>
              <c:strCache>
                <c:ptCount val="3"/>
                <c:pt idx="0">
                  <c:v>Magic The Gathering</c:v>
                </c:pt>
                <c:pt idx="1">
                  <c:v>Riftbound</c:v>
                </c:pt>
                <c:pt idx="2">
                  <c:v>One Piece</c:v>
                </c:pt>
              </c:strCache>
            </c:strRef>
          </c:cat>
          <c:val>
            <c:numRef>
              <c:f>'Graficos Legacy'!$K$5:$K$7</c:f>
              <c:numCache>
                <c:formatCode>0</c:formatCode>
                <c:ptCount val="3"/>
                <c:pt idx="0">
                  <c:v>6337</c:v>
                </c:pt>
                <c:pt idx="1">
                  <c:v>429</c:v>
                </c:pt>
                <c:pt idx="2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5-4C28-B87E-099739655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TOTAL POR OPERACIÓN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'Graficos Legacy'!$K$18</c:f>
              <c:strCache>
                <c:ptCount val="1"/>
                <c:pt idx="0">
                  <c:v>Suma Quantity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'Graficos Legacy'!$J$19:$J$21</c:f>
              <c:strCache>
                <c:ptCount val="3"/>
                <c:pt idx="0">
                  <c:v>Compra</c:v>
                </c:pt>
                <c:pt idx="1">
                  <c:v>Venta</c:v>
                </c:pt>
                <c:pt idx="2">
                  <c:v>Cancelado</c:v>
                </c:pt>
              </c:strCache>
            </c:strRef>
          </c:cat>
          <c:val>
            <c:numRef>
              <c:f>'Graficos Legacy'!$K$19:$K$21</c:f>
              <c:numCache>
                <c:formatCode>0</c:formatCode>
                <c:ptCount val="3"/>
                <c:pt idx="0">
                  <c:v>7139</c:v>
                </c:pt>
                <c:pt idx="1">
                  <c:v>1073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3-447C-A402-4576D7E92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GASTO POR EDICIÓN (TOP 15)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Legacy'!$K$34</c:f>
              <c:strCache>
                <c:ptCount val="1"/>
                <c:pt idx="0">
                  <c:v>Suma de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'Graficos Legacy'!$J$35:$J$49</c:f>
              <c:strCache>
                <c:ptCount val="15"/>
                <c:pt idx="0">
                  <c:v>Modern Horizons 2: Extras</c:v>
                </c:pt>
                <c:pt idx="1">
                  <c:v>Unleashed</c:v>
                </c:pt>
                <c:pt idx="2">
                  <c:v>Modern Horizons 3</c:v>
                </c:pt>
                <c:pt idx="3">
                  <c:v>Exodus</c:v>
                </c:pt>
                <c:pt idx="4">
                  <c:v>Modern Horizons 3: Extras</c:v>
                </c:pt>
                <c:pt idx="5">
                  <c:v>The Lord of the Rings: Tales of Middle-earth</c:v>
                </c:pt>
                <c:pt idx="6">
                  <c:v>Urza's Saga</c:v>
                </c:pt>
                <c:pt idx="7">
                  <c:v>Revised</c:v>
                </c:pt>
                <c:pt idx="8">
                  <c:v>Onslaught</c:v>
                </c:pt>
                <c:pt idx="9">
                  <c:v>Modern Horizons 2</c:v>
                </c:pt>
                <c:pt idx="10">
                  <c:v>Fourth Edition: Black Bordered</c:v>
                </c:pt>
                <c:pt idx="11">
                  <c:v>Spiritforged</c:v>
                </c:pt>
                <c:pt idx="12">
                  <c:v>Origins</c:v>
                </c:pt>
                <c:pt idx="13">
                  <c:v>Time Spiral Remastered: Extras</c:v>
                </c:pt>
                <c:pt idx="14">
                  <c:v>Origins: Promos</c:v>
                </c:pt>
              </c:strCache>
            </c:strRef>
          </c:cat>
          <c:val>
            <c:numRef>
              <c:f>'Graficos Legacy'!$K$35:$K$49</c:f>
              <c:numCache>
                <c:formatCode>#,##0.00\ \€</c:formatCode>
                <c:ptCount val="15"/>
                <c:pt idx="0">
                  <c:v>2246.7576849564061</c:v>
                </c:pt>
                <c:pt idx="1">
                  <c:v>1759.3655064535035</c:v>
                </c:pt>
                <c:pt idx="2">
                  <c:v>1489.2333972531139</c:v>
                </c:pt>
                <c:pt idx="3">
                  <c:v>1327.3304545454544</c:v>
                </c:pt>
                <c:pt idx="4">
                  <c:v>1316.4213645391437</c:v>
                </c:pt>
                <c:pt idx="5">
                  <c:v>1260.9507710879286</c:v>
                </c:pt>
                <c:pt idx="6">
                  <c:v>1128.7761866105607</c:v>
                </c:pt>
                <c:pt idx="7">
                  <c:v>1025</c:v>
                </c:pt>
                <c:pt idx="8">
                  <c:v>1002.029082816231</c:v>
                </c:pt>
                <c:pt idx="9">
                  <c:v>994.977256829515</c:v>
                </c:pt>
                <c:pt idx="10">
                  <c:v>737.84363636363639</c:v>
                </c:pt>
                <c:pt idx="11">
                  <c:v>683.23768481422985</c:v>
                </c:pt>
                <c:pt idx="12">
                  <c:v>643.58689707992733</c:v>
                </c:pt>
                <c:pt idx="13">
                  <c:v>571.77355455712063</c:v>
                </c:pt>
                <c:pt idx="14">
                  <c:v>554.98916666666673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3-4672-AA80-A7250A47F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ES"/>
                  <a:t>Total</a:t>
                </a:r>
              </a:p>
            </c:rich>
          </c:tx>
          <c:overlay val="0"/>
        </c:title>
        <c:numFmt formatCode="#,##0.00\ \€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CARTAS CON MAYOR GASTO (TOP 15)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'Graficos Legacy'!$B$77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'Graficos Legacy'!$A$78:$A$92</c:f>
              <c:strCache>
                <c:ptCount val="15"/>
                <c:pt idx="0">
                  <c:v>City of Traitors</c:v>
                </c:pt>
                <c:pt idx="1">
                  <c:v>Serra's Sanctum</c:v>
                </c:pt>
                <c:pt idx="2">
                  <c:v>Underground Sea</c:v>
                </c:pt>
                <c:pt idx="3">
                  <c:v>Scrubland</c:v>
                </c:pt>
                <c:pt idx="4">
                  <c:v>Flooded Strand</c:v>
                </c:pt>
                <c:pt idx="5">
                  <c:v>Vivi Ornitier (V.1)</c:v>
                </c:pt>
                <c:pt idx="6">
                  <c:v>Wooded Foothills</c:v>
                </c:pt>
                <c:pt idx="7">
                  <c:v>Chrome Mox</c:v>
                </c:pt>
                <c:pt idx="8">
                  <c:v>Mox Opal</c:v>
                </c:pt>
                <c:pt idx="9">
                  <c:v>Orcish Bowmasters</c:v>
                </c:pt>
                <c:pt idx="10">
                  <c:v>Bloodstained Mire</c:v>
                </c:pt>
                <c:pt idx="11">
                  <c:v>Agatha's Soul Cauldron</c:v>
                </c:pt>
                <c:pt idx="12">
                  <c:v>Badgermole Cub</c:v>
                </c:pt>
                <c:pt idx="13">
                  <c:v>Arcane Box Set</c:v>
                </c:pt>
                <c:pt idx="14">
                  <c:v>Worlds Bundle 2025</c:v>
                </c:pt>
              </c:strCache>
            </c:strRef>
          </c:cat>
          <c:val>
            <c:numRef>
              <c:f>'Graficos Legacy'!$B$78:$B$92</c:f>
              <c:numCache>
                <c:formatCode>#,##0.00\ \€</c:formatCode>
                <c:ptCount val="15"/>
                <c:pt idx="0">
                  <c:v>1293.9699999999998</c:v>
                </c:pt>
                <c:pt idx="1">
                  <c:v>1030</c:v>
                </c:pt>
                <c:pt idx="2">
                  <c:v>600</c:v>
                </c:pt>
                <c:pt idx="3">
                  <c:v>425</c:v>
                </c:pt>
                <c:pt idx="4">
                  <c:v>393.35597593186452</c:v>
                </c:pt>
                <c:pt idx="5">
                  <c:v>324.79000000000002</c:v>
                </c:pt>
                <c:pt idx="6">
                  <c:v>323.41572815533982</c:v>
                </c:pt>
                <c:pt idx="7">
                  <c:v>315.49</c:v>
                </c:pt>
                <c:pt idx="8">
                  <c:v>296.72727272727275</c:v>
                </c:pt>
                <c:pt idx="9">
                  <c:v>272.64999999999998</c:v>
                </c:pt>
                <c:pt idx="10">
                  <c:v>268.3757281553398</c:v>
                </c:pt>
                <c:pt idx="11">
                  <c:v>266.25</c:v>
                </c:pt>
                <c:pt idx="12">
                  <c:v>241.8191208923003</c:v>
                </c:pt>
                <c:pt idx="13">
                  <c:v>237.57916666666671</c:v>
                </c:pt>
                <c:pt idx="14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D-40F6-B675-F1584F8F6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ES"/>
                  <a:t>Total</a:t>
                </a:r>
              </a:p>
            </c:rich>
          </c:tx>
          <c:overlay val="0"/>
        </c:title>
        <c:numFmt formatCode="#,##0.00\ \€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11</xdr:row>
      <xdr:rowOff>152400</xdr:rowOff>
    </xdr:from>
    <xdr:ext cx="5760000" cy="324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53</xdr:row>
      <xdr:rowOff>0</xdr:rowOff>
    </xdr:from>
    <xdr:ext cx="5760000" cy="3240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428625</xdr:colOff>
      <xdr:row>2</xdr:row>
      <xdr:rowOff>9525</xdr:rowOff>
    </xdr:from>
    <xdr:ext cx="5760000" cy="32400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419100</xdr:colOff>
      <xdr:row>17</xdr:row>
      <xdr:rowOff>180975</xdr:rowOff>
    </xdr:from>
    <xdr:ext cx="5760000" cy="32400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390525</xdr:colOff>
      <xdr:row>34</xdr:row>
      <xdr:rowOff>0</xdr:rowOff>
    </xdr:from>
    <xdr:ext cx="5760000" cy="3240000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3</xdr:col>
      <xdr:colOff>0</xdr:colOff>
      <xdr:row>75</xdr:row>
      <xdr:rowOff>0</xdr:rowOff>
    </xdr:from>
    <xdr:ext cx="5760000" cy="3240000"/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en Hurtado de Saracho Garcia" refreshedDate="46204.778141319446" createdVersion="8" refreshedVersion="8" minRefreshableVersion="3" recordCount="3856" xr:uid="{E27EDD9B-8D8F-4B29-96FA-87770A21742C}">
  <cacheSource type="worksheet">
    <worksheetSource ref="A1:O1048576" sheet="Colección"/>
  </cacheSource>
  <cacheFields count="15">
    <cacheField name="Order Number" numFmtId="0">
      <sharedItems containsBlank="1" containsMixedTypes="1" containsNumber="1" containsInteger="1" minValue="1088204073" maxValue="1285152349"/>
    </cacheField>
    <cacheField name="Mes" numFmtId="0">
      <sharedItems containsBlank="1" count="13">
        <s v="Junio"/>
        <s v="Mayo"/>
        <s v="Abril"/>
        <s v="Marzo"/>
        <s v="Febrero"/>
        <s v="Enero"/>
        <s v="Diciembre"/>
        <s v="Noviembre"/>
        <s v="Octubre"/>
        <s v="Septiembre"/>
        <s v="Agosto"/>
        <s v="Julio"/>
        <m/>
      </sharedItems>
    </cacheField>
    <cacheField name="Año" numFmtId="0">
      <sharedItems containsString="0" containsBlank="1" containsNumber="1" containsInteger="1" minValue="2022" maxValue="2026" count="6">
        <n v="2026"/>
        <n v="2025"/>
        <n v="2024"/>
        <n v="2023"/>
        <n v="2022"/>
        <m/>
      </sharedItems>
    </cacheField>
    <cacheField name="Date" numFmtId="0">
      <sharedItems containsNonDate="0" containsDate="1" containsString="0" containsBlank="1" minDate="2022-09-14T20:26:31" maxDate="2026-06-29T20:21:26"/>
    </cacheField>
    <cacheField name="Seller / Buyer" numFmtId="0">
      <sharedItems containsBlank="1"/>
    </cacheField>
    <cacheField name="Card Name" numFmtId="0">
      <sharedItems containsBlank="1" count="2620">
        <s v="Super-Soldier Serum"/>
        <s v="Unleashed Booster Box Case (6x)"/>
        <s v="Collector Booster Box The Hobbit"/>
        <s v="First Mate"/>
        <s v="Body Rune (V.2 - Showcase)"/>
        <s v="Shepherd's Heirloom"/>
        <s v="Challenge"/>
        <s v="Sabotage"/>
        <s v="Demacian Diplomat"/>
        <s v="Grim Resolve"/>
        <s v="Irresistible Faefolk"/>
        <s v="Repulse"/>
        <s v="Pit Rookie"/>
        <s v="The Candlelit Sanctum"/>
        <s v="Fiora, Victorious"/>
        <s v="Sett, Brawler (V.2 - Showcase)"/>
        <s v="Kinkou Monk"/>
        <s v="Punch First"/>
        <s v="Acceptable Losses"/>
        <s v="Unyielding Spirit"/>
        <s v="Unsung Hero"/>
        <s v="Trifarian War Camp"/>
        <s v="Desert's Call"/>
        <s v="Valley of Idols"/>
        <s v="Elder Dragon (V.2 - Showcase)"/>
        <s v="Akshan, Mischievous"/>
        <s v="Riposte"/>
        <s v="Fiora, Worthy (V.2 - Showcase)"/>
        <s v="Fiora, Grand Duelist (V.2 - Showcase)"/>
        <s v="Arcane Box Set"/>
        <s v="Worlds Bundle 2025"/>
        <s v="Gust"/>
        <s v="Snapcaster Mage"/>
        <s v="Brainsurge"/>
        <s v="Voldaren Epicure"/>
        <s v="Hex Magic"/>
        <s v="Stacked Deck"/>
        <s v="Unleashed Booster Box"/>
        <s v="Brimaz, Blight of Oreskos"/>
        <s v="Imperial Decree"/>
        <s v="Sprite Fountain"/>
        <s v="Viktor, Herald of the Arcane (V.2 - Showcase)"/>
        <s v="Plundering Poro"/>
        <s v="Viktor, Leader (V.2 - Showcase)"/>
        <s v="Bellows Breath"/>
        <s v="Deadly Flourish"/>
        <s v="Azir, Emperor of the Sands (V.2 - Showcase)"/>
        <s v="Sand Soldier"/>
        <s v="Reflection"/>
        <s v="Xin Zhao, Vigilant"/>
        <s v="Chakram Dancer"/>
        <s v="Safety Inspector"/>
        <s v="Shadow's Call"/>
        <s v="Sprite Burst"/>
        <s v="Sprite"/>
        <s v="Hall of Legends"/>
        <s v="Seat of Power"/>
        <s v="Azir, Sovereign (V.2 - Showcase)"/>
        <s v="Order Rune (V.2 - Showcase)"/>
        <s v="Brutalizer"/>
        <s v="Doran's Shield"/>
        <s v="Eye of the Herald"/>
        <s v="Soul Sword"/>
        <s v="B.F. Sword"/>
        <s v="Guards!"/>
        <s v="Arise!"/>
        <s v="Azir, Emperor of the Sands (V.1 - Rare)"/>
        <s v="Leblanc, Fragmented (V.1 - Rare)"/>
        <s v="Salvage"/>
        <s v="Wages of Pain"/>
        <s v="Downwell"/>
        <s v="Diana, Scorn of the Moon (V.2 - Showcase)"/>
        <s v="Leblanc, Deceiver (V.2 - Showcase)"/>
        <s v="Leblanc, Fragmented (V.2 - Showcase)"/>
        <s v="Atakhan"/>
        <s v="Soaring Scout"/>
        <s v="Harnessed Dragon"/>
        <s v="Ashe, Focused"/>
        <s v="Black Rose Dignitary"/>
        <s v="Ruined Rex"/>
        <s v="Sacrifice"/>
        <s v="The Ruination"/>
        <s v="Baited Hook"/>
        <s v="Mirror Image"/>
        <s v="Vi, Peacekeeper (V.2 - Showcase)"/>
        <s v="Karthus, Eternal"/>
        <s v="Deathgrip"/>
        <s v="Glasc Mixologist"/>
        <s v="Watchful Sentry"/>
        <s v="Honest Broker"/>
        <s v="Hidden Blade"/>
        <s v="Cull the Weak"/>
        <s v="Rift Herald (V.2 - Showcase)"/>
        <s v="Umbral Collar Zealot"/>
        <s v="Saruman of Many Colors"/>
        <s v="Mind Rune (V.2 - Showcase)"/>
        <s v="Rabadon's Deathcrown"/>
        <s v="Charm"/>
        <s v="Angler Beast"/>
        <s v="Lonely Poro"/>
        <s v="Singularity"/>
        <s v="Fateful Absence"/>
        <s v="Moonfall"/>
        <s v="Goblin Warchief"/>
        <s v="Sunderflock"/>
        <s v="Traveling Merchant"/>
        <s v="Targon's Peak"/>
        <s v="Smoke Screen"/>
        <s v="Hard Bargain"/>
        <s v="Thousand-Tailed Watcher"/>
        <s v="Diana, Lunari (V.2 - Showcase)"/>
        <s v="Diana, Scorn of the Moon (V.1 - Rare)"/>
        <s v="Turn to Dust"/>
        <s v="Eclipse"/>
        <s v="Ravenbloom Student"/>
        <s v="Treasure Hoard"/>
        <s v="Stupefy"/>
        <s v="Vex, Cheerless"/>
        <s v="Hwei, Brooding Painter"/>
        <s v="Shardless Agent (V.1)"/>
        <s v="Emperor's Divide"/>
        <s v="Fade from History"/>
        <s v="The Syren"/>
        <s v="Last Rites"/>
        <s v="Ember Monk"/>
        <s v="Wistfulness"/>
        <s v="Umezawa's Jitte"/>
        <s v="Lunar Revel Bundle Playmat"/>
        <s v="Shadow"/>
        <s v="Conscription"/>
        <s v="Seal of Discord"/>
        <s v="Chaos Rune"/>
        <s v="Calm Rune"/>
        <s v="Existential Dread"/>
        <s v="Switcheroo"/>
        <s v="Bandle Tree"/>
        <s v="Startipped Peak"/>
        <s v="Star Spring"/>
        <s v="Kha'Zix, Mutating Horror (V.2 - Showcase)"/>
        <s v="Pyke, Returned (V.2 - Showcase)"/>
        <s v="Teemo, Scout (V.1 - Rare)"/>
        <s v="Treasure Hunter"/>
        <s v="Mutated Mouser"/>
        <s v="Evelynn, Entrancing"/>
        <s v="Vex, Gloomist (V.2 - Showcase)"/>
        <s v="Sona, Harmonious"/>
        <s v="Star-Crossed"/>
        <s v="Defiant Dance"/>
        <s v="Tideturner"/>
        <s v="Boots of Swiftness"/>
        <s v="Factory Recall"/>
        <s v="Defy"/>
        <s v="Rebuke"/>
        <s v="Adaptatron"/>
        <s v="Ride the Wind"/>
        <s v="Back Off"/>
        <s v="Abandon"/>
        <s v="Sneaky Deckhand"/>
        <s v="Not So Fast"/>
        <s v="Flash"/>
        <s v="Zhonya's Hourglass"/>
        <s v="Discipline"/>
        <s v="Stellacorn Herder"/>
        <s v="Guardian Angel"/>
        <s v="Heart of Dark Ice"/>
        <s v="Edge of Night"/>
        <s v="Fizz, Trickster"/>
        <s v="Scuttle Crab"/>
        <s v="Mindsplitter"/>
        <s v="En Garde"/>
        <s v="Disarming Rake"/>
        <s v="Sunken Temple"/>
        <s v="Abandoned Hall"/>
        <s v="Rockfall Path"/>
        <s v="Calm Rune (V.1 - Common)"/>
        <s v="Chaos Rune (V.1 - Common)"/>
        <s v="Irelia, Blade Dancer (V.2 - Showcase)"/>
        <s v="Irelia, Fervent (V.3 - Showcase)"/>
        <s v="Vex, Apathetic (V.2 - Showcase)"/>
        <s v="Skycoach Conductor // All Aboard"/>
        <s v="Flitterwing Nuisance"/>
        <s v="March of Reckless Joy"/>
        <s v="Legion Leadership // Legion Stronghold"/>
        <s v="Flashback"/>
        <s v="Gran-Gran"/>
        <s v="Pensive Professor"/>
        <s v="Exhibition Tidecaller"/>
        <s v="Stormscale Scion"/>
        <s v="Fatestitcher"/>
        <s v="Empty the Warrens (V.2)"/>
        <s v="Flow State"/>
        <s v="Ghostly Prison"/>
        <s v="Soul's Attendant"/>
        <s v="Flare of Duplication"/>
        <s v="Genesis"/>
        <s v="Urza's Mine (V.2)"/>
        <s v="Silverbluff Bridge"/>
        <s v="Terminate"/>
        <s v="Skrelv, Defector Mite"/>
        <s v="Construct Token (Artifact */*)"/>
        <s v="Replenish"/>
        <s v="Fiery Islet"/>
        <s v="Weapons Manufacturing"/>
        <s v="Claws of Gix"/>
        <s v="Engineered Explosives"/>
        <s v="Narset, Parter of Veils"/>
        <s v="Invisible Stalker"/>
        <s v="Leonardo, Cutting Edge"/>
        <s v="Haliya, Guided by Light"/>
        <s v="Heliod, Sun-Crowned"/>
        <s v="Monastery Swiftspear"/>
        <s v="Heliod, the Radiant Dawn // Heliod, the Warped Eclipse"/>
        <s v="Archangel Elspeth"/>
        <s v="Death Cloud"/>
        <s v="Marauding Mako"/>
        <s v="Questing Beast"/>
        <s v="Roaring Furnace // Steaming Sauna"/>
        <s v="Soul Warden"/>
        <s v="Lindblum, Industrial Regency // Mage Siege"/>
        <s v="Siege-Gang Commander"/>
        <s v="Sunspine Lynx"/>
        <s v="Braids, Cabal Minion"/>
        <s v="Glacial Fortress"/>
        <s v="Essence Flux"/>
        <s v="Eldritch Evolution"/>
        <s v="Krang, Master Mind"/>
        <s v="Does Machines"/>
        <s v="Sewer-veillance Cam"/>
        <s v="Skateboard"/>
        <s v="Meteor Sword"/>
        <s v="Tide Shaper (V.1)"/>
        <s v="Voldaren Thrillseeker"/>
        <s v="Analyze the Pollen"/>
        <s v="Absorb"/>
        <s v="Prized Amalgam"/>
        <s v="Welding Jar"/>
        <s v="Cloudshift"/>
        <s v="Decree of Silence"/>
        <s v="Loran's Escape"/>
        <s v="Ultima"/>
        <s v="Insatiable Avarice"/>
        <s v="Weather the Storm"/>
        <s v="Urborg Scavengers (V.1)"/>
        <s v="Wastewood Verge"/>
        <s v="Glissa, Herald of Predation"/>
        <s v="Phyrexian Unlife"/>
        <s v="Raffine, Scheming Seer (V.1)"/>
        <s v="Melira, Sylvok Outcast"/>
        <s v="Caves of Koilos"/>
        <s v="Utopia Sprawl"/>
        <s v="Ouroboroid"/>
        <s v="Darkslick Shores"/>
        <s v="Badgermole Cub"/>
        <s v="Monument to Endurance"/>
        <s v="Lush Portico"/>
        <s v="Formidable Speaker"/>
        <s v="Three Steps Ahead"/>
        <s v="Boros Charm"/>
        <s v="Stoneforge Mystic"/>
        <s v="Restoration Angel"/>
        <s v="Flamebraider"/>
        <s v="Eldrazi Linebreaker"/>
        <s v="Hexing Squelcher"/>
        <s v="Caves of Chaos Adventurer"/>
        <s v="Loran of the Third Path"/>
        <s v="Baral, Chief of Compliance"/>
        <s v="Enduring Courage (V.1)"/>
        <s v="Stonecoil Serpent"/>
        <s v="Scurry Oak"/>
        <s v="Lorwyn Eclipsed: Common Set"/>
        <s v="Wanderwine Hub"/>
        <s v="Sygg, Wanderwine Wisdom // Sygg, Wanderbrine Shield"/>
        <s v="Champions of the Shoal"/>
        <s v="Disruptor of Currents"/>
        <s v="Silvergill Mentor"/>
        <s v="Deepway Navigator"/>
        <s v="Null Rod"/>
        <s v="Ral, Crackling Wit (V.1)"/>
        <s v="City of Traitors"/>
        <s v="Fblthp, the Lost"/>
        <s v="Viridian Longbow"/>
        <s v="Distortion Strike"/>
        <s v="Urza's Bauble"/>
        <s v="Portent"/>
        <s v="Lotus Petal"/>
        <s v="Nevermore"/>
        <s v="Ancient Stirrings"/>
        <s v="Ezuri, Stalker of Spheres"/>
        <s v="Worldwalker Helm"/>
        <s v="Aftermath Analyst"/>
        <s v="Seal of Cleansing"/>
        <s v="Wild Nacatl"/>
        <s v="Arcane Proxy"/>
        <s v="Leyline of the Void"/>
        <s v="Frenzied Baloth (V.2)"/>
        <s v="Rending Volley"/>
        <s v="Illness in the Ranks"/>
        <s v="Brazen Borrower // Petty Theft"/>
        <s v="Hardened Scales"/>
        <s v="Unearth"/>
        <s v="Smile at Death (V.2)"/>
        <s v="Hall of Heliod's Generosity"/>
        <s v="Squee, Goblin Nabob"/>
        <s v="Tormod's Crypt"/>
        <s v="Meddling Mage"/>
        <s v="Searing Blaze"/>
        <s v="Lightning Bolt"/>
        <s v="Capsize"/>
        <s v="Call of the Ring"/>
        <s v="Novice Inspector"/>
        <s v="Step Through (V.1)"/>
        <s v="Dread Return"/>
        <s v="Cephalid Illusionist"/>
        <s v="Serenity"/>
        <s v="Nomads en-Kor"/>
        <s v="Shuko"/>
        <s v="Ninja of the Deep Hours"/>
        <s v="Cultivator Colossus (V.2)"/>
        <s v="Urza's Power Plant"/>
        <s v="Urza's Mine"/>
        <s v="Urza's Tower"/>
        <s v="Phantasmal Shieldback"/>
        <s v="Snow-Covered Island"/>
        <s v="Snow-Covered Forest"/>
        <s v="Prismatic Vista (V.1)"/>
        <s v="Karakas"/>
        <s v="Koma, World-Eater (V.2)"/>
        <s v="Damn"/>
        <s v="Chromatic Sphere"/>
        <s v="Buried Alive"/>
        <s v="Magus of the Moon"/>
        <s v="Archon of Emeria"/>
        <s v="Oblivion Stone"/>
        <s v="Cyclonic Rift"/>
        <s v="Eldrazi Confluence"/>
        <s v="Culling Ritual"/>
        <s v="Concealed Courtyard"/>
        <s v="Goblin Ringleader"/>
        <s v="Stormchaser's Talent"/>
        <s v="Psychatog"/>
        <s v="Nightscape Familiar"/>
        <s v="Elephant Grass"/>
        <s v="Thraben Inspector"/>
        <s v="Serra's Sanctum"/>
        <s v="Accumulated Knowledge"/>
        <s v="Tranquil Domain"/>
        <s v="Sanctum Weaver"/>
        <s v="Mogg Fanatic"/>
        <s v="Freed from the Real"/>
        <s v="Sundown Pass"/>
        <s v="Riverpyre Verge"/>
        <s v="Fulminator Mage"/>
        <s v="Forensic Gadgeteer (V.2)"/>
        <s v="Watery Grave (V.2)"/>
        <s v="Marvin, Murderous Mimic (V.2)"/>
        <s v="Mindbreak Trap"/>
        <s v="Fiery Confluence"/>
        <s v="Ravenous Trap"/>
        <s v="Opt"/>
        <s v="Cragcrown Pathway // Timbercrown Pathway"/>
        <s v="Annie Joins Up (V.2)"/>
        <s v="Lumra, Bellow of the Woods (V.1)"/>
        <s v="Yasharn, Implacable Earth"/>
        <s v="Hullbreacher"/>
        <s v="Broadside Bombardiers"/>
        <s v="Persist"/>
        <s v="Goro-Goro and Satoru (V.1)"/>
        <s v="Simian Spirit Guide"/>
        <s v="Preacher of the Schism"/>
        <s v="Shatterskull Smashing // Shatterskull, the Hammer Pass"/>
        <s v="Pyrogoyf (V.1)"/>
        <s v="Goblin Guide"/>
        <s v="Hullbreaker Horror"/>
        <s v="Collective Brutality"/>
        <s v="Tourach, Dread Cantor"/>
        <s v="Mistvault Bridge"/>
        <s v="Serum Visions"/>
        <s v="Deceiver Exarch"/>
        <s v="Barrowgoyf (V.1)"/>
        <s v="Sin, Spira's Punishment (V.1)"/>
        <s v="Ancient Den"/>
        <s v="Karplusan Forest"/>
        <s v="Foil"/>
        <s v="Treasure Vault"/>
        <s v="Profane Tutor"/>
        <s v="Underground Sea"/>
        <s v="Simic Growth Chamber"/>
        <s v="Cosmogrand Zenith"/>
        <s v="Grist, the Hunger Tide (V.1)"/>
        <s v="Split Up"/>
        <s v="Stinkweed Imp"/>
        <s v="Wrenn and Realmbreaker (V.2)"/>
        <s v="Remand"/>
        <s v="Hushwood Verge"/>
        <s v="Birthing Ritual"/>
        <s v="Goblin Sharpshooter"/>
        <s v="Teysa Karlov (V.1)"/>
        <s v="Thornspire Verge"/>
        <s v="Preacher of the Schism (V.2)"/>
        <s v="Chrome Mox"/>
        <s v="Territorial Kavu"/>
        <s v="Emperor of Bones"/>
        <s v="Wonder"/>
        <s v="Yuriko, the Tiger's Shadow"/>
        <s v="Exhume"/>
        <s v="Smuggler's Surprise"/>
        <s v="Outcaster Trailblazer"/>
        <s v="Ancient Cornucopia (V.1)"/>
        <s v="Dress Down"/>
        <s v="Daze"/>
        <s v="Untimely Malfunction"/>
        <s v="Vandalblast"/>
        <s v="Heroes' Hangout"/>
        <s v="Mycosynth Lattice"/>
        <s v="Splash Portal"/>
        <s v="Past in Flames"/>
        <s v="Eddymurk Crab"/>
        <s v="Accumulate Wisdom"/>
        <s v="Serpent of the Pass"/>
        <s v="Combustion Technique"/>
        <s v="Firebending Lesson"/>
        <s v="Iroh's Demonstration"/>
        <s v="Abandon Attachments"/>
        <s v="Dragonfly Swarm"/>
        <s v="It'll Quench Ya!"/>
        <s v="Octopus Form"/>
        <s v="Bloated Contaminator"/>
        <s v="Propaganda"/>
        <s v="Path to Exile"/>
        <s v="Bender's Waterskin"/>
        <s v="Memory Guardian"/>
        <s v="Boomerang Basics"/>
        <s v="Price of Freedom"/>
        <s v="Phyrexian Tower"/>
        <s v="Geralf's Messenger"/>
        <s v="Counterspell"/>
        <s v="Floodpits Drowner"/>
        <s v="Planar Nexus"/>
        <s v="Cloudpost"/>
        <s v="Glimmerpost"/>
        <s v="Ice-Fang Coatl"/>
        <s v="Azure Beastbinder"/>
        <s v="Enduring Curiosity"/>
        <s v="Ulamog, the Defiler"/>
        <s v="Counterflux"/>
        <s v="Damnation"/>
        <s v="Slaughter Pact"/>
        <s v="Lórien Revealed"/>
        <s v="Cunning Wish"/>
        <s v="Kitchen Finks"/>
        <s v="Shatterstorm"/>
        <s v="Roast"/>
        <s v="Trinket Mage"/>
        <s v="Elspeth, Sun's Champion"/>
        <s v="Keranos, God of Storms"/>
        <s v="Kiki-Jiki, Mirror Breaker"/>
        <s v="Vendilion Clique"/>
        <s v="Gideon Jura"/>
        <s v="Timely Reinforcements"/>
        <s v="Gitaxian Probe"/>
        <s v="Think Twice"/>
        <s v="Pia and Kiran Nalaar"/>
        <s v="Thrun, the Last Troll"/>
        <s v="Electrolyze (V.1)"/>
        <s v="Coiling Oracle"/>
        <s v="Shardless Agent (V.2)"/>
        <s v="Dark Confidant (V.1)"/>
        <s v="Ob Nixilis, the Adversary"/>
        <s v="Annul"/>
        <s v="Reckless Rage"/>
        <s v="Call of the Herd"/>
        <s v="Jackal Pup"/>
        <s v="Prismatic Ending (V.1)"/>
        <s v="Gloomlake Verge"/>
        <s v="Wish"/>
        <s v="Wrenn's Resolve"/>
        <s v="Reckless Impulse"/>
        <s v="Starting Town"/>
        <s v="Bringer of the Last Gift (V.2)"/>
        <s v="Kastral, the Windcrested (V.2)"/>
        <s v="Aether Vial"/>
        <s v="Night of Souls' Betrayal"/>
        <s v="Anger of the Gods"/>
        <s v="Feed the Clan"/>
        <s v="Tasigur, the Golden Fang"/>
        <s v="Jund Charm"/>
        <s v="Outpost Siege"/>
        <s v="Abrupt Decay"/>
        <s v="Raging Ravine"/>
        <s v="Scavenging Ooze"/>
        <s v="Maelstrom Pulse"/>
        <s v="Huntmaster of the Fells / Ravager of the Fells (V.2)"/>
        <s v="Olivia Voldaren"/>
        <s v="Amulet of Vigor"/>
        <s v="Sea Gate Restoration // Sea Gate, Reborn"/>
        <s v="Visions of Beyond"/>
        <s v="Art Series: Plains (V.1)"/>
        <s v="Profane Memento"/>
        <s v="Mind Funeral"/>
        <s v="Baleful Mastery"/>
        <s v="Crypt Incursion"/>
        <s v="Shelldock Isle"/>
        <s v="Mistrise Village (V.2)"/>
        <s v="Boseiju, Who Endures (V.2)"/>
        <s v="Whir of Invention"/>
        <s v="Ice-Fang Coatl (V.1)"/>
        <s v="Tezzeret the Seeker"/>
        <s v="Tameshi, Reality Architect"/>
        <s v="Disrupting Shoal"/>
        <s v="Beyeen Veil // Beyeen Coast"/>
        <s v="Suppression Ray // Orderly Plaza"/>
        <s v="Waterlogged Teachings // Inundated Archive"/>
        <s v="Deem Inferior"/>
        <s v="Hydroelectric Specimen // Hydroelectric Laboratory"/>
        <s v="Thraben Charm"/>
        <s v="Deranged Hermit"/>
        <s v="Hedge Maze"/>
        <s v="Superior Spider-Man"/>
        <s v="Forsaken Monument (V.1)"/>
        <s v="Glimpse the Impossible"/>
        <s v="Faithful Mending"/>
        <s v="Sheoldred, the Apocalypse"/>
        <s v="Sire of Seven Deaths"/>
        <s v="Mistcaller"/>
        <s v="Ketramose, the New Dawn"/>
        <s v="Cleansing Wildfire"/>
        <s v="Pestermite"/>
        <s v="Kraul Harpooner"/>
        <s v="Consult the Star Charts (V.2)"/>
        <s v="Brightglass Gearhulk"/>
        <s v="Terminal Velocity"/>
        <s v="Myr Enforcer"/>
        <s v="Cast Down"/>
        <s v="Dispel"/>
        <s v="Bind the Monster"/>
        <s v="Jukai Naturalist"/>
        <s v="Drossforge Bridge"/>
        <s v="Great Furnace"/>
        <s v="Reckoner's Bargain"/>
        <s v="Blood Fountain"/>
        <s v="Navigator's Compass"/>
        <s v="Black Mage's Rod"/>
        <s v="Makeshift Munitions"/>
        <s v="Eviscerator's Insight"/>
        <s v="Spymaster's Vault"/>
        <s v="Pinnacle Emissary"/>
        <s v="Mystic Gate"/>
        <s v="Otawara, Soaring City"/>
        <s v="Archaeomancer"/>
        <s v="Otter Token (Blue and Red 1/1)"/>
        <s v="Fish Token (Blue 1/1)"/>
        <s v="Treasure Token (V.2)"/>
        <s v="Dinosaur Dragon Token (Red 4/4)"/>
        <s v="Goblin Shaman Token (Red 2/2)"/>
        <s v="Start Your Engines! // Max Speed"/>
        <s v="Faerie Token (Blue 1/1) (V.1)"/>
        <s v="Human Soldier Token (White 1/1)"/>
        <s v="Vampire Token (White 1/1 Lifelink)"/>
        <s v="Map Token"/>
        <s v="Octopus Token (Blue 8/8)"/>
        <s v="Elegy Acolyte"/>
        <s v="Sunset Saboteur"/>
        <s v="Nowhere to Run"/>
        <s v="Flashfreeze"/>
        <s v="Defiled Crypt // Cadaver Lab"/>
        <s v="Devout Decree"/>
        <s v="Surgical Suite // Hospital Room"/>
        <s v="Intimidation Tactics"/>
        <s v="Faerie Conclave"/>
        <s v="Qarsi Revenant"/>
        <s v="Strategic Betrayal"/>
        <s v="Faebloom Trick"/>
        <s v="Shoot the Sheriff"/>
        <s v="Consult the Star Charts"/>
        <s v="Loot, the Pathfinder (V.2)"/>
        <s v="Twinmaw Stormbrood // Charring Bite"/>
        <s v="Broadside Barrage"/>
        <s v="Draconautics Engineer"/>
        <s v="Fear of Isolation"/>
        <s v="Quantum Riddler"/>
        <s v="Cosmogoyf"/>
        <s v="Lightning Bolt (V.2)"/>
        <s v="Edge of Eternities: Common Set"/>
        <s v="Edge of Eternities: Uncommon Set"/>
        <s v="Oildeep Gearhulk"/>
        <s v="Savra, Queen of the Golgari (V.2)"/>
        <s v="Late to Dinner"/>
        <s v="Restless Reef"/>
        <s v="Voice of Victory (V.2)"/>
        <s v="Sanctum of Ugin"/>
        <s v="Beza, the Bounding Spring"/>
        <s v="Agatha's Soul Cauldron"/>
        <s v="Teferi, Hero of Dominaria"/>
        <s v="Soulstone Sanctuary (V.1)"/>
        <s v="Vivi Ornitier (V.1)"/>
        <s v="Haunting Echoes"/>
        <s v="Ravenous Baloth"/>
        <s v="Living Wish"/>
        <s v="Spiritmonger"/>
        <s v="Cursed Totem"/>
        <s v="Marang River Regent // Coil and Catch"/>
        <s v="Jace Reawakened"/>
        <s v="Geralf, the Fleshwright"/>
        <s v="Artist's Talent"/>
        <s v="Thundering Falls"/>
        <s v="Kitsa, Otterball Elite"/>
        <s v="Cori Mountain Monastery"/>
        <s v="Get Out"/>
        <s v="Proft's Eidetic Memory"/>
        <s v="Sephiroth, One-Winged Angel Emblem // Robot Warrior Token"/>
        <s v="Tinybones Joins Up"/>
        <s v="Frontline Rush"/>
        <s v="Osteomancer Adept"/>
        <s v="Dragon Sniper"/>
        <s v="Town Greeter"/>
        <s v="Disruptive Stormbrood // Petty Revenge"/>
        <s v="Arabella, Abandoned Doll"/>
        <s v="The Wandering Rescuer"/>
        <s v="Molt Tender"/>
        <s v="Skyfisher Spider"/>
        <s v="Coati Scavenger"/>
        <s v="Gastal Raider"/>
        <s v="Great Arashin City"/>
        <s v="Nesting Bot"/>
        <s v="Steelshaper's Gift"/>
        <s v="Kassandra, Eagle Bearer"/>
        <s v="Assassin Token (B 1/1 Menace) // Phobos Token (R 3/2)"/>
        <s v="The Spear of Leonidas"/>
        <s v="Rushing River"/>
        <s v="Kaya, Orzhov Usurper"/>
        <s v="Ral, Crackling Wit"/>
        <s v="Warren Soultrader (V.2)"/>
        <s v="Academy Manufactor"/>
        <s v="Everywhere Token"/>
        <s v="Pernicious Deed"/>
        <s v="Lightning, Army of One (V.1)"/>
        <s v="Astrologian's Planisphere"/>
        <s v="Phoenix Down"/>
        <s v="Stolen Uniform"/>
        <s v="Cecil, Dark Knight // Cecil, Redeemed Paladin"/>
        <s v="Sephiroth, Fabled SOLDIER // Sephiroth, One-Winged Angel (V.1)"/>
        <s v="Raubahn, Bull of Ala Mhigo"/>
        <s v="Diamond Weapon"/>
        <s v="Restoration Magic"/>
        <s v="Rydia, Summoner of Mist"/>
        <s v="Zack Fair"/>
        <s v="Ambrosia Whiteheart"/>
        <s v="Yavimaya Elder"/>
        <s v="Phyrexian Rager"/>
        <s v="Esper Sentinel"/>
        <s v="Fire Magic"/>
        <s v="Urza, Lord High Artificer (V.1)"/>
        <s v="The Wandering Minstrel (V.1)"/>
        <s v="Flickerwisp"/>
        <s v="Galvanic Blast"/>
        <s v="Griselbrand (V.2)"/>
        <s v="Blade of the Bloodchief"/>
        <s v="Walking Ballista"/>
        <s v="Street Wraith (V.1)"/>
        <s v="Enchantress's Presence"/>
        <s v="Sterling Grove"/>
        <s v="Solitary Confinement"/>
        <s v="The Restoration of Eiganjo // Architect of Restoration (V.1)"/>
        <s v="On Thin Ice"/>
        <s v="Abundant Growth (V.2)"/>
        <s v="United Battlefront"/>
        <s v="Hall of Heliod's Generosity (V.1)"/>
        <s v="Portable Hole"/>
        <s v="Gemstone Mine (V.2)"/>
        <s v="The Watcher in the Water"/>
        <s v="Blooming Marsh"/>
        <s v="Nazgûl (V.4)"/>
        <s v="Nazgûl (V.6)"/>
        <s v="Last March of the Ents"/>
        <s v="Dawn of a New Age"/>
        <s v="Witch-king of Angmar (V.2)"/>
        <s v="Gandalf the White (V.2)"/>
        <s v="Saruman of Many Colors (V.2)"/>
        <s v="Aragorn, the Uniter (V.2)"/>
        <s v="The Wandering Emperor (V.2)"/>
        <s v="Grist, the Hunger Tide"/>
        <s v="Forbidden Orchard"/>
        <s v="Song of Creation"/>
        <s v="Narset, Jeskai Waymaster (V.2)"/>
        <s v="Vindicate (V.1)"/>
        <s v="Creeping Chill"/>
        <s v="Darkblast"/>
        <s v="Narcomoeba"/>
        <s v="Golgari Thug"/>
        <s v="Repeal"/>
        <s v="Vampires' Vengeance"/>
        <s v="Awaken the Honored Dead"/>
        <s v="Harvester of Misery (V.2)"/>
        <s v="Moonshaker Cavalry (V.2)"/>
        <s v="Unholy Annex // Ritual Chamber"/>
        <s v="Gifts Ungiven"/>
        <s v="Jeskai Ascendancy"/>
        <s v="Mistrise Village"/>
        <s v="Narset, Jeskai Waymaster"/>
        <s v="Portent of Calamity"/>
        <s v="Abstergo Entertainment (V.1)"/>
        <s v="Dryad of the Ilysian Grove"/>
        <s v="Intuition"/>
        <s v="Recurring Nightmare"/>
        <s v="Mind Stone"/>
        <s v="Samwise Gamgee"/>
        <s v="Lembas"/>
        <s v="Parallax Wave"/>
        <s v="Muddle the Mixture"/>
        <s v="Magmatic Hellkite (V.2)"/>
        <s v="Drake Hatcher (V.1)"/>
        <s v="Blood Artist"/>
        <s v="Winternight Stories"/>
        <s v="Flamehold Grappler"/>
        <s v="Lasyd Prowler"/>
        <s v="Severance Priest"/>
        <s v="Warleader's Call"/>
        <s v="Undercity Sewers"/>
        <s v="Kaito, Bane of Nightmares (V.1)"/>
        <s v="Azusa, Lost but Seeking"/>
        <s v="Glasspool Mimic // Glasspool Shore"/>
        <s v="Slickshot Show-Off"/>
        <s v="Omen of the Dead"/>
        <s v="Nurturing Pixie"/>
        <s v="Molten Rain"/>
        <s v="Mutavault"/>
        <s v="Goldmire Bridge"/>
        <s v="Spiteful Hexmage"/>
        <s v="Tersa Lightshatter"/>
        <s v="Roiling Dragonstorm"/>
        <s v="Glacial Dragonhunt"/>
        <s v="Rakshasa's Bargain"/>
        <s v="Skirmish Rhino"/>
        <s v="Sunpearl Kirin"/>
        <s v="Scalding Tarn"/>
        <s v="Sowing Mycospawn"/>
        <s v="Razortide Bridge"/>
        <s v="Spire of Industry"/>
        <s v="Cori-Steel Cutter"/>
        <s v="Voice of Victory"/>
        <s v="Bedlam Reveler"/>
        <s v="Lava Dart"/>
        <s v="Clarion Conqueror"/>
        <s v="Mox Opal"/>
        <s v="Subtlety"/>
        <s v="Aven Interrupter [Foil]"/>
        <s v="Svyelun of Sea and Sky"/>
        <s v="Svyelun of Sea and Sky [Foil]"/>
        <s v="March of Otherworldly Light"/>
        <s v="Lord of Atlantis"/>
        <s v="Powder Keg"/>
        <s v="Momentum Breaker"/>
        <s v="Tarmogoyf"/>
        <s v="Vodalian Hexcatcher"/>
        <s v="Field of Ruin"/>
        <s v="Quicksand"/>
        <s v="Humility"/>
        <s v="Glaring Fleshraker"/>
        <s v="Mystic Forge"/>
        <s v="Ugin, Eye of the Storms"/>
        <s v="Caller of the Claw"/>
        <s v="Phyrexian Furnace"/>
        <s v="Parallax Nexus"/>
        <s v="Llanowar Wastes"/>
        <s v="Gaea's Blessing"/>
        <s v="Carpet of Flowers"/>
        <s v="Blastoderm"/>
        <s v="Krosan Tusker"/>
        <s v="Uktabi Orangutan"/>
        <s v="Thrashing Wumpus"/>
        <s v="Prismatic Ending [Foil]"/>
        <s v="Sanctifier en-Vec [Foil]"/>
        <s v="Fractured Sanity"/>
        <s v="Tide Shaper [Foil]"/>
        <s v="Tourach, Dread Cantor [Foil]"/>
        <s v="Blazing Rootwalla"/>
        <s v="Chatterfang, Squirrel General"/>
        <s v="Ignoble Hierarch"/>
        <s v="Yavimaya, Cradle of Growth"/>
        <s v="Hareruya Dice (Black)"/>
        <s v="Hareruya Dice (Red)"/>
        <s v="Hareruya Dice (Green)"/>
        <s v="Hareruya Dice (Clear Red)"/>
        <s v="Hareruya Dice (Clear Green)"/>
        <s v="Hareruya Dice (Clear Blue)"/>
        <s v="Hareruya Dice (Clear Yellow)"/>
        <s v="Hareruya Dice (Clear Pink)"/>
        <s v="Hareruya Playmat (Red)"/>
        <s v="Hareruya Logo Pin Badge"/>
        <s v="Brainsurge [Foil]"/>
        <s v="Standstill"/>
        <s v="Coastal Tower"/>
        <s v="Adarkar Wastes"/>
        <s v="Divert"/>
        <s v="Sulfurous Springs"/>
        <s v="Dark Confidant [Foil]"/>
        <s v="Forest"/>
        <s v="Island"/>
        <s v="Mountain"/>
        <s v="Plains"/>
        <s v="Swamp"/>
        <s v="Aven Interrupter"/>
        <s v="Goblin Lackey"/>
        <s v="Cabal Therapy"/>
        <s v="Hearth Charm"/>
        <s v="Goblin Tinkerer"/>
        <s v="Skirk Prospector"/>
        <s v="Pyrokinesis"/>
        <s v="Vault of Whispers"/>
        <s v="Bojuka Bog"/>
        <s v="Desolation Angel"/>
        <s v="Perish"/>
        <s v="Planar Void"/>
        <s v="Rishadan Port"/>
        <s v="Snapcaster Mage [Foil]"/>
        <s v="Liliana of the Veil"/>
        <s v="Restless Fortress"/>
        <s v="Glint Hawk"/>
        <s v="Deadly Dispute [Foil]"/>
        <s v="Kor Skyfisher"/>
        <s v="Overlord of the Mistmoors [Foil]"/>
        <s v="Enlightened Tutor"/>
        <s v="Zur, Eternal Schemer (V.1)"/>
        <s v="Stern Scolding"/>
        <s v="Mindspring Merfolk"/>
        <s v="Soulless Jailer"/>
        <s v="Karn, the Great Creator"/>
        <s v="Ugin, the Ineffable"/>
        <s v="Gideon Blackblade"/>
        <s v="Teyo, the Shieldmage"/>
        <s v="The Wanderer"/>
        <s v="Jace, Wielder of Mysteries"/>
        <s v="Kasmina, Enigmatic Mentor"/>
        <s v="Davriel, Rogue Shadowmage"/>
        <s v="Ob Nixilis, the Hate-Twisted"/>
        <s v="Chandra, Fire Artisan"/>
        <s v="Jaya, Venerated Firemage"/>
        <s v="Sarkhan the Masterless"/>
        <s v="Tibalt, Rakish Instigator"/>
        <s v="Arlinn, Voice of the Pack"/>
        <s v="Jiang Yanggu, Wildcrafter"/>
        <s v="Vivien, Champion of the Wilds"/>
        <s v="Ajani, the Greathearted"/>
        <s v="Angrath, Captain of Chaos"/>
        <s v="Ashiok, Dream Render"/>
        <s v="Domri, Anarch of Bolas"/>
        <s v="Dovin, Hand of Control"/>
        <s v="Huatli, the Sun's Heart"/>
        <s v="Kaya, Bane of the Dead"/>
        <s v="Nahiri, Storm of Stone"/>
        <s v="Kiora, Behemoth Beckoner"/>
        <s v="Nicol Bolas, Dragon-God"/>
        <s v="Ral, Storm Conduit"/>
        <s v="Saheeli, Sublime Artificer"/>
        <s v="Samut, Tyrant Smasher"/>
        <s v="Sorin, Vengeful Bloodlord"/>
        <s v="Tamiyo, Collector of Tales"/>
        <s v="Teferi, Time Raveler"/>
        <s v="Vraska, Swarm's Eminence"/>
        <s v="Nissa, Who Shakes the World"/>
        <s v="Eternal Dragon"/>
        <s v="Carrion Feeder"/>
        <s v="Akroma, Angel of Wrath"/>
        <s v="Yavimaya Coast"/>
        <s v="Shivan Reef"/>
        <s v="Tribal Flames"/>
        <s v="Seasoned Pyromancer"/>
        <s v="Decree of Justice"/>
        <s v="Dawn Elemental"/>
        <s v="White Knight"/>
        <s v="Blood Moon"/>
        <s v="Keyword Counter (Stun)"/>
        <s v="Keyword Counter (Hexproof)"/>
        <s v="Keyword Counter (Indestructible)"/>
        <s v="Keyword Counter (Flying)"/>
        <s v="Keyword Counter Set (Deathtouch, Finality, Goad, Lifelink)"/>
        <s v="Gruul Turf"/>
        <s v="Golgari Rot Farm"/>
        <s v="Selesnya Sanctuary"/>
        <s v="Boros Garrison"/>
        <s v="Reflecting Pool"/>
        <s v="Cultivator Colossus"/>
        <s v="Orzhov Basilica"/>
        <s v="Dust to Dust"/>
        <s v="Hollow One"/>
        <s v="Mukotai Ambusher"/>
        <s v="Pawpatch Formation"/>
        <s v="Torpor Orb"/>
        <s v="Scrubland"/>
        <s v="Gerrard's Verdict"/>
        <s v="Phyrexian Arena"/>
        <s v="Tainted Field"/>
        <s v="Exalted Angel"/>
        <s v="Ray of Enfeeblement"/>
        <s v="Blood Baron of Vizkopa"/>
        <s v="Shatter Assumptions"/>
        <s v="Dauthi Voidwalker (V.1)"/>
        <s v="Dauthi Voidwalker"/>
        <s v="Swords to Plowshares"/>
        <s v="Ertai Resurrected"/>
        <s v="Spell Snare"/>
        <s v="Wrath of God"/>
        <s v="Hypnotic Specter"/>
        <s v="Skeletal Scrying"/>
        <s v="Dust Bowl"/>
        <s v="Nantuko Shade"/>
        <s v="Disenchant"/>
        <s v="Withered Wretch"/>
        <s v="Barren Moor"/>
        <s v="Diabolic Edict"/>
        <s v="Circle Of Protection: Red"/>
        <s v="Warmth"/>
        <s v="Caretaker's Talent"/>
        <s v="Mirrex"/>
        <s v="Boon-Bringer Valkyrie"/>
        <s v="Dark Ritual"/>
        <s v="Herigast, Erupting Nullkite (V.1)"/>
        <s v="Herigast, Erupting Nullkite"/>
        <s v="Saradoc, Master of Buckland (V.2)"/>
        <s v="Overlord of the Hauntwoods"/>
        <s v="Urborg Scavengers"/>
        <s v="Ruthless Negotiation"/>
        <s v="Unyielding Gatekeeper"/>
        <s v="Talisman of Creativity (V.1)"/>
        <s v="Stock Up"/>
        <s v="Dusk Rose Reliquary"/>
        <s v="Bleachbone Verge"/>
        <s v="Wild Defiance"/>
        <s v="Shadowy Backstreet"/>
        <s v="Elegant Parlor"/>
        <s v="Arena of Glory"/>
        <s v="Raise the Past"/>
        <s v="Elas il-Kor, Sadistic Pilgrim (V.1)"/>
        <s v="Gnawing Vermin"/>
        <s v="Dewdrop Cure"/>
        <s v="Vengeful Bloodwitch"/>
        <s v="Infestation Sage"/>
        <s v="Quag Feast"/>
        <s v="Gas Guzzler"/>
        <s v="Zahur, Glory's Past"/>
        <s v="Splitskin Doll"/>
        <s v="Bartolomé del Presidio"/>
        <s v="Dredger's Insight"/>
        <s v="Embalmed Ascendant"/>
        <s v="Ocelot Pride (V.1)"/>
        <s v="Ajani, Nacatl Pariah // Ajani, Nacatl Avenger (V.1)"/>
        <s v="Vindicate"/>
        <s v="Guide of Souls"/>
        <s v="Stone Rain"/>
        <s v="Dispatch"/>
        <s v="Consign to Memory"/>
        <s v="White Orchid Phantom"/>
        <s v="Sanctifier en-Vec"/>
        <s v="Young Wolf"/>
        <s v="Thassa's Oracle"/>
        <s v="Memnite"/>
        <s v="Grapeshot (V.2)"/>
        <s v="Battlefield Improvisation"/>
        <s v="Leyline Axe (V.1)"/>
        <s v="Overlord of the Floodpits"/>
        <s v="The Aetherspark"/>
        <s v="Ringwraiths (V.2)"/>
        <s v="Assault on Osgiliath (V.2)"/>
        <s v="Elvish Mariner (V.2)"/>
        <s v="Elanor Gardner (V.2)"/>
        <s v="Kiora, the Rising Tide (V.1)"/>
        <s v="White Sun's Twilight"/>
        <s v="Bronze Bombshell"/>
        <s v="Street Wraith"/>
        <s v="Teferi, Who Slows the Sunset"/>
        <s v="Graveborn Muse"/>
        <s v="Serum Powder"/>
        <s v="Golgari Grave-Troll (V.1)"/>
        <s v="Writhing Chrysalis"/>
        <s v="Deathrite Shaman (V.1)"/>
        <s v="Gut Shot"/>
        <s v="World Breaker"/>
        <s v="Talisman of Curiosity (V.1)"/>
        <s v="Emrakul, the Promised End (V.1)"/>
        <s v="Goblin King"/>
        <s v="Young Wolf (V.2)"/>
        <s v="Blood Artist (V.2)"/>
        <s v="Sterling Grove (V.1)"/>
        <s v="Thoughtseize"/>
        <s v="Yedora, Grave Gardener (V.1)"/>
        <s v="Transmogrant's Crown"/>
        <s v="Spelunking"/>
        <s v="Crumbling Vestige"/>
        <s v="Risen Reef"/>
        <s v="Radiant Fountain"/>
        <s v="Scapeshift"/>
        <s v="Force of Despair"/>
        <s v="Crystal Barricade (V.1)"/>
        <s v="Plague Engineer (V.1)"/>
        <s v="Recruiter of the Guard"/>
        <s v="Phelia, Exuberant Shepherd"/>
        <s v="Aether Vial (V.1)"/>
        <s v="Sanctifier en-Vec (V.1)"/>
        <s v="Obelisk Spider"/>
        <s v="Phelia, Exuberant Shepherd (V.2)"/>
        <s v="White Orchid Phantom (V.2)"/>
        <s v="Tidehollow Sculler"/>
        <s v="Flame of Anor"/>
        <s v="Monstrous Rage"/>
        <s v="Tranquil Frillback"/>
        <s v="Ruby, Daring Tracker"/>
        <s v="Llanowar Elves"/>
        <s v="Pest Control (V.1)"/>
        <s v="Calamity, Galloping Inferno"/>
        <s v="Mercenary Token (R 1/1) // Meteorite Token"/>
        <s v="The Meathook Massacre (V.2)"/>
        <s v="Prosperous Innkeeper"/>
        <s v="Painter's Studio // Defaced Gallery"/>
        <s v="Obstinate Baloth"/>
        <s v="Underworld Breach (V.1)"/>
        <s v="The Meathook Massacre (V.1)"/>
        <s v="Sink into Stupor // Soporific Springs"/>
        <s v="Thing in the Ice / Awoken Horror"/>
        <s v="Rough // Tumble"/>
        <s v="Lightning Axe"/>
        <s v="Perennial Behemoth"/>
        <s v="Sword of Once and Future (V.2)"/>
        <s v="Stubborn Denial"/>
        <s v="Leyline of the Guildpact"/>
        <s v="Orvar, the All-Form"/>
        <s v="Scion of Draco (V.2)"/>
        <s v="Freestrider Lookout"/>
        <s v="Keen-Eyed Curator"/>
        <s v="Knight of Autumn"/>
        <s v="Sevinne's Reclamation"/>
        <s v="Nissa, Resurgent Animist (V.1)"/>
        <s v="Titania, Protector of Argoth (V.2)"/>
        <s v="Expressive Iteration"/>
        <s v="Nihil Spellbomb"/>
        <s v="Extirpate"/>
        <s v="Green Sun's Zenith"/>
        <s v="Urza's Cave"/>
        <s v="Monk Token (White 1/1 Prowess)"/>
        <s v="Griselbrand"/>
        <s v="Dissection Tools"/>
        <s v="Faithless Looting"/>
        <s v="Enduring Innocence"/>
        <s v="Demilich"/>
        <s v="Arclight Phoenix (V.1)"/>
        <s v="Protect the Negotiators"/>
        <s v="Mockingbird"/>
        <s v="Jace, the Perfected Mind (V.2)"/>
        <s v="Atraxa, Grand Unifier (V.1)"/>
        <s v="Goryo's Vengeance"/>
        <s v="Elesh Norn, Mother of Machines"/>
        <s v="Lithomantic Barrage"/>
        <s v="Destroy Evil"/>
        <s v="Disdainful Stroke"/>
        <s v="Torch the Tower"/>
        <s v="Imodane's Recruiter // Train Troops"/>
        <s v="Knight-Errant of Eos"/>
        <s v="Gleeful Demolition"/>
        <s v="Spyglass Siren"/>
        <s v="Clockwork Percussionist"/>
        <s v="Resolute Reinforcements"/>
        <s v="Hanweir Battlements / Hanweir, the Writhing Township"/>
        <s v="Lotus Field"/>
        <s v="Echoing Deeps"/>
        <s v="Arboreal Grazer"/>
        <s v="Outrageous Robbery"/>
        <s v="Chalice of the Void"/>
        <s v="Deep-Cavern Bat"/>
        <s v="Fountainport"/>
        <s v="Nissa, Ascended Animist (V.2)"/>
        <s v="Day of Judgment"/>
        <s v="Vivien Reid"/>
        <s v="Cavern of Souls"/>
        <s v="Overlord of the Boilerbilges"/>
        <s v="Wasteland Strangler"/>
        <s v="Orzhov Pontiff"/>
        <s v="Phyrexian Revoker (V.1)"/>
        <s v="Sanctum Prelate"/>
        <s v="Tamiyo, Inquisitive Student // Tamiyo, Seasoned Scholar"/>
        <s v="Not on My Watch"/>
        <s v="Sheltered by Ghosts"/>
        <s v="Beast Token (G 3/3) // Treefolk Token (G */*)"/>
        <s v="Unsummon"/>
        <s v="Insect Token (White 2/1)"/>
        <s v="Manifest Token (Colorless 2/2)"/>
        <s v="Undercity Informer"/>
        <s v="Surgical Extraction (V.1)"/>
        <s v="Graveyard Trespasser // Graveyard Glutton"/>
        <s v="Diabolic Intent (V.2)"/>
        <s v="Authority of the Consuls"/>
        <s v="Overlord of the Mistmoors"/>
        <s v="Doppelgang"/>
        <s v="Archangel of Wrath"/>
        <s v="Herd Migration"/>
        <s v="Psychic Frog (V.1)"/>
        <s v="Tamiyo, Inquisitive Student // Tamiyo, Seasoned Scholar (V.1)"/>
        <s v="Sword of Hearth and Home"/>
        <s v="Urabrask's Forge"/>
        <s v="Ajani, Nacatl Pariah // Ajani, Nacatl Avenger"/>
        <s v="Flare of Denial"/>
        <s v="Founding the Third Path"/>
        <s v="Forest (V.2)"/>
        <s v="Violent Urge"/>
        <s v="Gamegenic Playmat Tube"/>
        <s v="Suncleanser"/>
        <s v="Picklock Prankster // Free the Fae"/>
        <s v="Psychic Frog"/>
        <s v="Kogla and Yidaro"/>
        <s v="Flare of Denial (V.1)"/>
        <s v="Overlord of the Balemurk (V.2)"/>
        <s v="Painful Quandary (V.2)"/>
        <s v="Plains (V.1)"/>
        <s v="Plains (V.2)"/>
        <s v="Plains (V.3)"/>
        <s v="Plains (V.4)"/>
        <s v="Island (V.1)"/>
        <s v="Island (V.2)"/>
        <s v="Island (V.3)"/>
        <s v="Island (V.4)"/>
        <s v="Mountain (V.1)"/>
        <s v="Mountain (V.2)"/>
        <s v="Mountain (V.3)"/>
        <s v="Mountain (V.4)"/>
        <s v="Forest (V.1)"/>
        <s v="Forest (V.3)"/>
        <s v="Forest (V.4)"/>
        <s v="Swamp (V.2)"/>
        <s v="Swamp (V.1)"/>
        <s v="Swamp (V.3)"/>
        <s v="Swamp (V.4)"/>
        <s v="Witherbloom Command"/>
        <s v="Parhelion II"/>
        <s v="Grisly Salvage"/>
        <s v="Raffine's Informant"/>
        <s v="Esika's Chariot"/>
        <s v="Greasefang, Okiba Boss"/>
        <s v="Commandeer"/>
        <s v="Halo Forager"/>
        <s v="Orcish Bowmasters"/>
        <s v="Haughty Djinn"/>
        <s v="Helping Hand"/>
        <s v="Soul Partition"/>
        <s v="Chart a Course"/>
        <s v="Into the Flood Maw"/>
        <s v="Recommission"/>
        <s v="Monastery Mentor"/>
        <s v="Exorcise"/>
        <s v="Elspeth's Smite"/>
        <s v="Goblin Lore"/>
        <s v="Burning Inquiry"/>
        <s v="Expedition Map"/>
        <s v="Underworld Breach"/>
        <s v="Floodfarm Verge"/>
        <s v="Sunken Citadel"/>
        <s v="Restless Anchorage"/>
        <s v="Fear of Missing Out"/>
        <s v="Tarfire"/>
        <s v="Omnivorous Flytrap"/>
        <s v="Say Its Name"/>
        <s v="Altanak, the Thrice-Called"/>
        <s v="Thought Scour"/>
        <s v="Fire/Ice"/>
        <s v="Ocelot Pride"/>
        <s v="Wildgrowth Walker"/>
        <s v="Underground Mortuary"/>
        <s v="Abhorrent Oculus"/>
        <s v="Glistening Deluge"/>
        <s v="Magebane Lizard"/>
        <s v="Ghost Vacuum"/>
        <s v="Planar Genesis"/>
        <s v="High Noon"/>
        <s v="Basking Broodscale"/>
        <s v="Angel of the Ruins"/>
        <s v="Titanoth Rex"/>
        <s v="Amalia Benavides Aguirre"/>
        <s v="Viscera Seer"/>
        <s v="Cauldron Familiar"/>
        <s v="Consign to Memory [Playset]"/>
        <s v="Life from the Loam"/>
        <s v="Bloomburrow: Common Set"/>
        <s v="Mox Amber (V.1)"/>
        <s v="Emrakul, the Aeons Torn"/>
        <s v="Six [Playset]"/>
        <s v="Nulldrifter"/>
        <s v="Whipflare"/>
        <s v="Metallic Rebuke"/>
        <s v="Winter Moon"/>
        <s v="Sneaky Snacker"/>
        <s v="Grinding Station"/>
        <s v="Darksteel Citadel [Playset]"/>
        <s v="Emry, Lurker of the Loch [Playset]"/>
        <s v="Thoughtcast [Playset]"/>
        <s v="Thought Monitor [Playset]"/>
        <s v="Kappa Cannoneer"/>
        <s v="Tajuru Preserver"/>
        <s v="Voice of Resurgence"/>
        <s v="Horizon Canopy"/>
        <s v="Tibalt's Trickery (V.2)"/>
        <s v="Emberheart Challenger (V.2)"/>
        <s v="Virtue of Loyalty // Ardenvale Fealty"/>
        <s v="The Stone Brain"/>
        <s v="Grove of the Burnwillows"/>
        <s v="Ratchet Bomb"/>
        <s v="Kozilek's Return"/>
        <s v="Through the Breach"/>
        <s v="Talisman of Impulse"/>
        <s v="Boseiju, Who Shelters All"/>
        <s v="Dreadhorde Arcanist [Playset]"/>
        <s v="Thundertrap Trainer Token (Blue 1/1)"/>
        <s v="Roaming Throne (V.2)"/>
        <s v="Goblin Bombardment"/>
        <s v="Ugin's Labyrinth"/>
        <s v="Phyrexian Fleshgorger"/>
        <s v="Eldrazi Temple [Playset]"/>
        <s v="All Is Dust"/>
        <s v="Thought-Knot Seer"/>
        <s v="Talisman of Resilience (V.1)"/>
        <s v="Shifting Woodland"/>
        <s v="Drag the Canal"/>
        <s v="Thundertrap Trainer"/>
        <s v="Pyroclasm"/>
        <s v="Cascade Bluffs"/>
        <s v="Crackling Drake"/>
        <s v="Headless Rider (V.2)"/>
        <s v="Cauldron Familiar [Playset]"/>
        <s v="Wrath of the Skies (V.2)"/>
        <s v="Zulaport Cutthroat"/>
        <s v="Chord of Calling (V.1) [Playset]"/>
        <s v="Chord of Calling [Playset]"/>
        <s v="Overgrown Tomb"/>
        <s v="Temple Garden [Playset]"/>
        <s v="Helga, Skittish Seer"/>
        <s v="Plague Engineer"/>
        <s v="Archdruid's Charm (V.2)"/>
        <s v="Uro, Titan of Nature's Wrath"/>
        <s v="Sink into Stupor // Soporific Springs [Playset]"/>
        <s v="Fatal Push"/>
        <s v="Blood Crypt (V.2)"/>
        <s v="Scalding Tarn (V.1)"/>
        <s v="Dovin's Veto [Playset]"/>
        <s v="Ledger Shredder"/>
        <s v="Godless Shrine"/>
        <s v="Supreme Verdict"/>
        <s v="Renegade Rallier"/>
        <s v="Jet Medallion"/>
        <s v="Stomping Ground"/>
        <s v="Warren Soultrader"/>
        <s v="Monumental Henge"/>
        <s v="Steam Vents [Playset]"/>
        <s v="Marionette Apprentice"/>
        <s v="Hallowed Fountain [Playset]"/>
        <s v="Phlage, Titan of Fire's Fury"/>
        <s v="Flare of Fortitude (V.2)"/>
        <s v="Sacred Foundry (V.2)"/>
        <s v="Gaddock Teeg"/>
        <s v="Malevolent Rumble"/>
        <s v="Accursed Marauder (V.1)"/>
        <s v="Treasure Token // Energy Reserve (V.1)"/>
        <s v="Godless Shrine (V.2)"/>
        <s v="Windswept Heath"/>
        <s v="Flooded Strand"/>
        <s v="Watery Grave"/>
        <s v="Preordain [Playset]"/>
        <s v="Nethergoyf"/>
        <s v="Vanishing Verse"/>
        <s v="Wedding Announcement // Wedding Festivity"/>
        <s v="Noxious Ghoul"/>
        <s v="Prismatic Ending"/>
        <s v="Verdant Catacombs [Playset]"/>
        <s v="Phlage, Titan of Fire's Fury (V.1)"/>
        <s v="Lonis, Cryptozoologist"/>
        <s v="Verdant Catacombs (V.1)"/>
        <s v="Misty Rainforest (V.1)"/>
        <s v="Misty Rainforest [Playset]"/>
        <s v="Kozilek's Command"/>
        <s v="Marsh Flats (V.1)"/>
        <s v="Goryo's Vengeance [Playset]"/>
        <s v="Marsh Flats [Playset]"/>
        <s v="Terminus"/>
        <s v="Atraxa, Grand Unifier [Playset]"/>
        <s v="Shuko [Playset]"/>
        <s v="Arid Mesa (V.1)"/>
        <s v="Arid Mesa [Playset]"/>
        <s v="Preordain"/>
        <s v="Cat Token (W 1/1) // Servo Token (A 1/1)"/>
        <s v="Cat Warrior Token (W 2/1) // Servo Token (A 1/1)"/>
        <s v="Goblin Piledriver [Playset]"/>
        <s v="Snow-Covered Swamp"/>
        <s v="Snow-Covered Mountain"/>
        <s v="Cat Token (W 1/1) // Phyrexian Germ Token (B 0/0)"/>
        <s v="Ranger-Captain of Eos"/>
        <s v="Ensnaring Bridge"/>
        <s v="City's Blessing Token"/>
        <s v="Hollow One [Playset]"/>
        <s v="Spell Snare [Playset]"/>
        <s v="Tune the Narrative"/>
        <s v="Galvanic Discharge"/>
        <s v="Unstable Amulet (V.1)"/>
        <s v="Jolted Awake (V.1)"/>
        <s v="Geralf's Messenger [Playset]"/>
        <s v="Deafening Silence"/>
        <s v="Cat Token (White 1/1)"/>
        <s v="Bloodstained Mire"/>
        <s v="Gut Shot [Playset]"/>
        <s v="Legion's End"/>
        <s v="Chill"/>
        <s v="Protean Hulk"/>
        <s v="Omnath, Locus of Creation [Playset]"/>
        <s v="Damping Matrix"/>
        <s v="Past in Flames [Playset]"/>
        <s v="Harsh Mentor"/>
        <s v="Ruby Medallion"/>
        <s v="Dragon's Rage Channeler"/>
        <s v="Party Thrasher"/>
        <s v="Boggart Trawler // Boggart Bog"/>
        <s v="Razorgrass Ambush // Razorgrass Field"/>
        <s v="Reiterating Bolt"/>
        <s v="Essence Reliquary"/>
        <s v="Requisition Raid"/>
        <s v="Guardian of the Guildpact"/>
        <s v="Tunnel Ignus"/>
        <s v="Amped Raptor"/>
        <s v="Barbarian Ring"/>
        <s v="Ghostfire Slice"/>
        <s v="Outrider en-Kor"/>
        <s v="Boom // Bust"/>
        <s v="Aether Hub"/>
        <s v="Invert Polarity"/>
        <s v="Flagstones of Trokair [Playset]"/>
        <s v="Honest Rutstein"/>
        <s v="Toxic Deluge"/>
        <s v="Orim's Chant"/>
        <s v="Unstable Amulet"/>
        <s v="Sorin of House Markov // Sorin, Ravenous Neonate"/>
        <s v="Springheart Nantuko"/>
        <s v="Chthonian Nightmare"/>
        <s v="Disciple of Freyalise // Garden of Freyalise"/>
        <s v="Fell the Profane // Fell Mire"/>
        <s v="Static Prison"/>
        <s v="Sundering Eruption // Volcanic Fissure"/>
        <s v="Flare of Malice"/>
        <s v="Ral, Monsoon Mage // Ral, Leyline Prodigy"/>
        <s v="Six"/>
        <s v="Phyrexian Crusader"/>
        <s v="Necrodominance"/>
        <s v="Disruptor Flute"/>
        <s v="Six (V.2)"/>
        <s v="Isochron Scepter"/>
        <s v="Flare of Cultivation"/>
        <s v="Nadu, Winged Wisdom"/>
        <s v="Harbinger of the Seas"/>
        <s v="Witch Enchanter // Witch-Blessed Meadow"/>
        <s v="Cephalid Coliseum"/>
        <s v="Wrath of the Skies"/>
        <s v="Imskir Iron-Eater"/>
        <s v="Emeria's Call // Emeria, Shattered Skyclave [Playset]"/>
        <s v="Duress"/>
        <s v="Scion of Draco"/>
        <s v="Mana Leak"/>
        <s v="Failure // Comply"/>
        <s v="Lavaspur Boots"/>
        <s v="Shuraiya (OP06-009) (V.1)"/>
        <s v="Vinsmoke Judge (OP06-062) (V.1)"/>
        <s v="Force of Will"/>
        <s v="The Eternal Wanderer"/>
        <s v="Void Rend"/>
        <s v="Memory Deluge"/>
        <s v="Stubborn Denial [Playset]"/>
        <s v="Goblin Grenade [Playset]"/>
        <s v="Valki, God of Lies // Tibalt, Cosmic Impostor"/>
        <s v="Spellskite"/>
        <s v="Kaito, Dancing Shadow"/>
        <s v="Sigarda, Champion of Light"/>
        <s v="Depopulate"/>
        <s v="Pillage the Bog"/>
        <s v="Giver of Runes"/>
        <s v="The Reality Chip (V.1)"/>
        <s v="Wooded Foothills"/>
        <s v="Windswept Heath [Playset]"/>
        <s v="Gempalm Incinerator [Playset]"/>
        <s v="Noble Hierarch"/>
        <s v="Waterfront Bouncer"/>
        <s v="Aquamoeba"/>
        <s v="Merfolk Looter"/>
        <s v="Careful Study"/>
        <s v="Deep Analysis"/>
        <s v="Arrogant Wurm"/>
        <s v="Roar of the Wurm"/>
        <s v="Fact or Fiction"/>
        <s v="Circular Logic"/>
        <s v="Basking Rootwalla"/>
        <s v="Wild Mongrel"/>
        <s v="Lair of the Hydra"/>
        <s v="Cityscape Leveler"/>
        <s v="Leyline of the Guildpact [Playset]"/>
        <s v="Farewell"/>
        <s v="Blue Elemental Blast"/>
        <s v="Faerie Macabre"/>
        <s v="Ponder"/>
        <s v="Naturalize"/>
        <s v="Defense Grid (V.1)"/>
        <s v="Murderous Cut"/>
        <s v="Wurmcoil Engine (V.2)"/>
        <s v="Urza's Power Plant (V.3)"/>
        <s v="Urza's Mine (V.1)"/>
        <s v="Urza's Power Plant (V.1)"/>
        <s v="Urza's Tower (V.4)"/>
        <s v="Urza's Mine (V.4)"/>
        <s v="Urza's Power Plant (V.2)"/>
        <s v="Urza's Power Plant (V.4)"/>
        <s v="Urza's Tower (V.1)"/>
        <s v="Urza's Mine (V.3)"/>
        <s v="Urza's Tower (V.2)"/>
        <s v="Urza's Tower (V.3)"/>
        <s v="Serra Paragon"/>
        <s v="Ephemerate [Playset]"/>
        <s v="Charming Scoundrel"/>
        <s v="Gitaxian Probe [Playset]"/>
        <s v="Gush"/>
        <s v="Submerge"/>
        <s v="Frantic Search"/>
        <s v="Relic of Progenitus"/>
        <s v="Legion's End (V.1)"/>
        <s v="Stifle"/>
        <s v="Mental Note"/>
        <s v="Wasteland"/>
        <s v="Dismember"/>
        <s v="Sylvan Scrying"/>
        <s v="Worldsoul's Rage [Playset]"/>
        <s v="Narset's Reversal"/>
        <s v="Assimilation Aegis"/>
        <s v="Roxanne, Starfall Savant"/>
        <s v="Castle Garenbrig"/>
        <s v="Explore"/>
        <s v="Xander's Lounge (V.2)"/>
        <s v="Mirrorpool"/>
        <s v="Vesuva"/>
        <s v="Valakut, the Molten Pinnacle"/>
        <s v="Blind Obedience"/>
        <s v="Eidolon of the Great Revel [Playset]"/>
        <s v="Ultra Deck: The Three Brothers"/>
        <s v="Cryptic Coat"/>
        <s v="Satoru, the Infiltrator"/>
        <s v="Essence Flux [Playset]"/>
        <s v="Chrome Host Seedshark"/>
        <s v="Dryad of the Ilysian Grove [Playset]"/>
        <s v="Turn the Earth"/>
        <s v="Plaza of Heroes"/>
        <s v="Vinsmoke Reiju (OP06-042) (V.1)"/>
        <s v="DON!! (OP06)"/>
        <s v="Roronoa Zoro (OP06-118) (V.1)"/>
        <s v="Kouzuki Hiyori (OP06-106) (V.1)"/>
        <s v="Sunfall"/>
        <s v="The Mycosynth Gardens"/>
        <s v="Primeval Titan [Playset]"/>
        <s v="Hengegate Pathway // Mistgate Pathway"/>
        <s v="Meticulous Archive"/>
        <s v="Lamplight Phoenix"/>
        <s v="Shipwreck Marsh"/>
        <s v="Archfiend of the Dross"/>
        <s v="Raffine's Tower"/>
        <s v="Counterspell [Playset]"/>
        <s v="Endurance"/>
        <s v="Transmogrify"/>
        <s v="Press the Enemy"/>
        <s v="Day's Undoing"/>
        <s v="Cosmic Rebirth (V.1)"/>
        <s v="Terastodon"/>
        <s v="Geier Reach Sanitarium"/>
        <s v="Ardent Plea"/>
        <s v="Preacher of the Schism [Playset]"/>
        <s v="Wrenn and Six (V.1)"/>
        <s v="Timeless Dragon Token // Food Token"/>
        <s v="Timeless Dragon (V.3)"/>
        <s v="Plaza of Heroes (V.2)"/>
        <s v="Doorkeeper Thrull"/>
        <s v="Shrouded Shepherd // Cleave Shadows"/>
        <s v="Boros Charm (V.1) [Playset]"/>
        <s v="Dwarven Mine"/>
        <s v="Prismari Command"/>
        <s v="Barad-dûr (V.2)"/>
        <s v="Archon of Cruelty [Playset]"/>
        <s v="Indomitable Creativity [Playset]"/>
        <s v="Bitter Reunion"/>
        <s v="Stomping Ground (V.2)"/>
        <s v="Demolition Field"/>
        <s v="Den of the Bugbear"/>
        <s v="Showdown of the Skalds"/>
        <s v="Chainer's Edict (V.1)"/>
        <s v="Favored Hoplite"/>
        <s v="Homestead Courage"/>
        <s v="Illuminator Virtuoso"/>
        <s v="Sejiri Shelter // Sejiri Glacier"/>
        <s v="Tenth District Legionnaire"/>
        <s v="Defiant Strike (V.1)"/>
        <s v="Light of Hope"/>
        <s v="Gods Willing"/>
        <s v="Citizen's Crowbar"/>
        <s v="Spikefield Hazard // Spikefield Cave"/>
        <s v="Maestros Theater"/>
        <s v="Steam Vents"/>
        <s v="Kellan, Daring Traveler // Journey On"/>
        <s v="Restless Prairie"/>
        <s v="Living End"/>
        <s v="Ezrim, Agency Chief"/>
        <s v="Deduce"/>
        <s v="Unauthorized Exit"/>
        <s v="Case of the Gateway Express"/>
        <s v="Knockout Blow"/>
        <s v="Witchstalker Frenzy"/>
        <s v="Dig Through Time"/>
        <s v="Horned Loch-Whale // Lagoon Breach"/>
        <s v="Arms of Hadar"/>
        <s v="Suffocating Fumes"/>
        <s v="Treacherous Greed"/>
        <s v="Swiftfoot Boots (V.1)"/>
        <s v="Hibernation"/>
        <s v="Jetmir's Garden (V.2)"/>
        <s v="Breeding Pool"/>
        <s v="Ragavan, Nimble Pilferer [Playset]"/>
        <s v="Zopandrel, Hunger Dominus"/>
        <s v="Hallowed Fountain"/>
        <s v="Raucous Theater"/>
        <s v="Commercial District"/>
        <s v="Insidious Roots"/>
        <s v="No More Lies"/>
        <s v="Pick Your Poison"/>
        <s v="Necroduality"/>
        <s v="Spirebluff Canal"/>
        <s v="Necroplasm"/>
        <s v="Snuff Out"/>
        <s v="Of One Mind"/>
        <s v="Brinebarrow Intruder"/>
        <s v="Unexpected Fangs"/>
        <s v="Crawl from the Cellar"/>
        <s v="Rotten Reunion"/>
        <s v="Drown in Sorrow"/>
        <s v="Agony Warp"/>
        <s v="Thorn of the Black Rose"/>
        <s v="Murmuring Mystic"/>
        <s v="Treasure Token // The Monarch"/>
        <s v="Contaminated Aquifer"/>
        <s v="Dimir Aqueduct"/>
        <s v="Savai Triome"/>
        <s v="Street Wraith (V.2)"/>
        <s v="Living End [Playset]"/>
        <s v="Shardless Agent (V.1) [Playset]"/>
        <s v="Andúril, Flame of the West"/>
        <s v="Aragorn, the Uniter (V.1)"/>
        <s v="Gandalf the White (V.1)"/>
        <s v="Witch-king of Angmar (V.1)"/>
        <s v="Flowering of the White Tree"/>
        <s v="Sauron, the Dark Lord"/>
        <s v="Sauron's Ransom"/>
        <s v="Ice Age (OP02-117)"/>
        <s v="Mystical Dispute (V.2)"/>
        <s v="Soul-Guide Lantern (V.1)"/>
        <s v="Reclamation Sage"/>
        <s v="Unholy Heat"/>
        <s v="Spike Feeder"/>
        <s v="Break the Ice"/>
        <s v="Damping Sphere"/>
        <s v="Curly.Dadan (OP02-005)"/>
        <s v="Aclazotz, Deepest Betrayal // Temple of the Dead"/>
        <s v="Stalactite Stalker"/>
        <s v="Inti, Seneschal of the Sun"/>
        <s v="Stitcher's Supplier [Playset]"/>
        <s v="Hedron Crab [Playset]"/>
        <s v="Faerie Mastermind [Playset]"/>
        <s v="Ain (ST05-002)"/>
        <s v="Cut Down"/>
        <s v="Gix's Command"/>
        <s v="Negate"/>
        <s v="Malcolm, Alluring Scoundrel"/>
        <s v="Gix, Yawgmoth Praetor"/>
        <s v="Subterranean Schooner [Playset]"/>
        <s v="Shattered Sanctum"/>
        <s v="Dennick, Pious Apprentice // Dennick, Pious Apparition"/>
        <s v="Raffine, Scheming Seer (V.1) [Playset]"/>
        <s v="Lord Skitter, Sewer King"/>
        <s v="Kaido (OP05-118) (V.1)"/>
        <s v="Eustass&quot;Captain&quot;Kid (OP05-074) (V.1)"/>
        <s v="Monkey.D.Luffy (OP05-119) (V.1)"/>
        <s v="Koala (OP05-006) (V.1)"/>
        <s v="Ohm (OP05-101)"/>
        <s v="Ulti (OP05-043) (V.1)"/>
        <s v="Zoro-Juurou (OP05-067) (V.1)"/>
        <s v="Uso-Hachi (OP05-061)"/>
        <s v="Fire Fist (OP05-019)"/>
        <s v="Morley (OP05-016)"/>
        <s v="Rebecca (OP05-091) (V.1)"/>
        <s v="Enel (OP05-100) (V.1)"/>
        <s v="DON!!"/>
        <s v="Emporio.Ivankov (OP05-004)"/>
        <s v="Karasu (OP05-005)"/>
        <s v="Fra-Nosuke (OP05-070)"/>
        <s v="Satori (OP05-105)"/>
        <s v="El Thor (OP05-114)"/>
        <s v="Rob Lucci (OP05-093) (V.1)"/>
        <s v="Hound Blaze (OP05-057)"/>
        <s v="Sabo (OP05-007) (V.1)"/>
        <s v="Because the Side of Justice Will Be Whichever Side Wins!!"/>
        <s v="Haute Couture PatchWork (OP05-094)"/>
        <s v="Hina (OP05-050)"/>
        <s v="Nefeltari Vivi (OP05-086)"/>
        <s v="Vergo (OP05-023)"/>
        <s v="X.Drake (OP05-055) (V.1)"/>
        <s v="When You're at Sea You Fight against Pirates!! (OP05-076)"/>
        <s v="Belo Betty (OP05-002) (V.1)"/>
        <s v="Donquixote Rosinante (OP05-022) (V.1)"/>
        <s v="Sabo (OP05-001) (V.1)"/>
        <s v="Sakazuki (OP05-041) (V.1)"/>
        <s v="Monkey.D.Luffy (OP05-060) (V.1)"/>
        <s v="Enel (OP05-098) (V.1)"/>
        <s v="Pica (OP05-032) (V.1)"/>
        <s v="Baby 5 (OP05-034) (V.1)"/>
        <s v="Donquixote Rosinante (OP05-030)"/>
        <s v="Issho (OP05-042)"/>
        <s v="Bepo (OP05-071)"/>
        <s v="Killer (OP05-064)"/>
        <s v="Shirahoshi (OP05-082)"/>
        <s v="Shura (OP05-106)"/>
        <s v="Chaka (OP05-008)"/>
        <s v="Four Thousand-Brick Fist (OP05-020)"/>
        <s v="Inazuma (OP05-003)"/>
        <s v="Nico Robin (OP05-010)"/>
        <s v="Revolutionary Army HQ (OP05-021)"/>
        <s v="Donquixote Doflamingo (OP05-029)"/>
        <s v="Monet (OP05-036)"/>
        <s v="Stick-Stickem Meteora (OP05-039)"/>
        <s v="Trafalgar Law (OP05-027)"/>
        <s v="Bastille (OP05-048)"/>
        <s v="Haccha (OP05-049)"/>
        <s v="Let Us Begin the World of Violence!!! (OP05-059)"/>
        <s v="Monkey.D.Garp (OP05-054)"/>
        <s v="Miss Doublefinger(Zala) (OP05-073)"/>
        <s v="O-Nami (OP05-062)"/>
        <s v="Punk Rotten (OP05-078)"/>
        <s v="Elizabello II (OP05-080)"/>
        <s v="I Bid 500 Million!! (OP05-096)"/>
        <s v="Nefeltari Cobra (OP05-085)"/>
        <s v="One-Legged Toy Soldier (OP05-081)"/>
        <s v="Viola (OP05-079)"/>
        <s v="Amazon (OP05-099)"/>
        <s v="Conis (OP05-104)"/>
        <s v="Hotori (OP05-111)"/>
        <s v="Kotori (OP05-103)"/>
        <s v="Upper Yeard (OP05-117)"/>
        <s v="Bartholomew Kuma (OP05-011)"/>
        <s v="Buffalo (OP05-031)"/>
        <s v="Bunny Joe (OP05-013)"/>
        <s v="Donquixote Doflamingo (OP05-028)"/>
        <s v="Emporio Energy Hormone (OP05-018)"/>
        <s v="Gladius (OP05-025)"/>
        <s v="Hack (OP05-012)"/>
        <s v="Kuween (OP05-024)"/>
        <s v="Pell (OP05-014)"/>
        <s v="Sarquiss (OP05-026)"/>
        <s v="Toh-Toh (OP05-009)"/>
        <s v="Baby 5 (OP05-033)"/>
        <s v="Bellamy (OP05-035)"/>
        <s v="Charlestone (OP05-038)"/>
        <s v="Birdcage (OP05-040)"/>
        <s v="John Giant (OP05-044)"/>
        <s v="Stainless (OP05-045)"/>
        <s v="Dalmatian (OP05-046)"/>
        <s v="Basil Hawkins (OP05-047)"/>
        <s v="Maynard (OP05-052)"/>
        <s v="Mozambia (OP05-053)"/>
        <s v="X.Barrels (OP05-056)"/>
        <s v="It's a Waste of Human Life!! (OP05-058)"/>
        <s v="O-Robi (OP05-063)"/>
        <s v="San-Gorou (OP05-065)"/>
        <s v="Jinbe (OP05-066)"/>
        <s v="Chopa-Emon (OP05-068)"/>
        <s v="Hone-Kichi (OP05-072)"/>
        <s v="Mr.1(Daz.Bonez) (OP05-075)"/>
        <s v="Gamma Knife (OP05-077)"/>
        <s v="Sterry (OP05-083)"/>
        <s v="Saint Charlos (OP05-084)"/>
        <s v="Hakuba (OP05-087)"/>
        <s v="Saint Mjosgard (OP05-089)"/>
        <s v="Riku Doldo III (OP05-090)"/>
        <s v="Saint Rosward (OP05-092)"/>
        <s v="Dragon Claw (OP05-095)"/>
        <s v="Mary Geoise (OP05-097)"/>
        <s v="Lieutenant Spacey (OP05-107)"/>
        <s v="Nola (OP05-108)"/>
        <s v="Pagaya (OP05-109)"/>
        <s v="Holly (OP05-110)"/>
        <s v="Captain McKinley (OP05-112)"/>
        <s v="Yama (OP05-113)"/>
        <s v="Hino Bird Zap (OP05-116)"/>
        <s v="Borsalino (OP05-051) (V.1)"/>
        <s v="Trafalgar Law (OP05-069) (V.1)"/>
        <s v="Belo Betty (OP05-015) (V.1)"/>
        <s v="Gedatsu (OP05-102) (V.1)"/>
        <s v="Lindbergh (OP05-017)"/>
        <s v="Mansherry (OP05-088) (V.1)"/>
        <s v="Two-Hundred Million Volts Amaru (OP05-115)"/>
        <s v="Monkey.D.Luffy (OP04-090) (V.1)"/>
        <s v="Sanji (OP04-104) (V.1)"/>
        <s v="Donquixote Doflamingo (OP04-031) (V.1)"/>
        <s v="Pell (OP04-013) (V.1)"/>
        <s v="Sugar (OP04-024) (V.1)"/>
        <s v="Kaido (OP04-044) (V.1)"/>
        <s v="Donquixote Rosinante (OP04-119) (V.1)"/>
        <s v="Yamato (OP04-112) (V.1)"/>
        <s v="Sabo (OP04-083) (V.1)"/>
        <s v="Crocodile (OP04-060) (V.1)"/>
        <s v="Kutzil's Flanker"/>
        <s v="Warden of the Inner Sky"/>
        <s v="Get Lost"/>
        <s v="Gnome Soldier Token (Artifact */*) // Map Token"/>
        <s v="Dream Trawler"/>
        <s v="Shiryu (OP02-076)"/>
        <s v="Helmeppo (ST06-010)"/>
        <s v="Ketria Triome"/>
        <s v="Spiteful Banditry"/>
        <s v="Mithril Coat"/>
        <s v="Gandalf the White"/>
        <s v="Aragorn, the Uniter"/>
        <s v="The Lord of the Rings: Tales of Middle-earth: Art Series Set"/>
        <s v="The One Ring (V.1)"/>
        <s v="Legions to Ashes (V.1)"/>
        <s v="Wail of the Forgotten"/>
        <s v="The One Ring"/>
        <s v="Ragavan, Nimble Pilferer"/>
        <s v="Tony Tony.Chopper (OP02-034)"/>
        <s v="Molten Collapse"/>
        <s v="Construct Token (Artifact */*) (V.1)"/>
        <s v="Bitter Triumph"/>
        <s v="Vista (OP02-011)"/>
        <s v="Mr.1 (Daz.Bonez) (OP02-063)"/>
        <s v="Bonecrusher Giant // Stomp [Playset]"/>
        <s v="Marco (OP02-018) (V.1)"/>
        <s v="Carrot (OP02-029)"/>
        <s v="Whitey Bay (OP02-014)"/>
        <s v="Boa Hancock (OP02-059) (V.1)"/>
        <s v="Byrnndi World (OP02-082)"/>
        <s v="Hydra (OP02-090)"/>
        <s v="Bell-mere (OP02-112)"/>
        <s v="Gemstone Caverns"/>
        <s v="Conduit of Worlds"/>
        <s v="Tishana's Tidebinder"/>
        <s v="Gravecrawler [Playset]"/>
        <s v="Glimpse the Unthinkable"/>
        <s v="Vengevine"/>
        <s v="Bloodghast"/>
        <s v="Hedron Crab"/>
        <s v="Cruel Somnophage // Can't Wake Up"/>
        <s v="Souls of the Lost"/>
        <s v="Strict Proctor"/>
        <s v="Cursed Totem (V.1)"/>
        <s v="Glamdring"/>
        <s v="Minas Tirith"/>
        <s v="Tom Bombadil"/>
        <s v="Rishadan Dockhand"/>
        <s v="Tide Shaper"/>
        <s v="Silvergill Adept"/>
        <s v="Misty Rainforest"/>
        <s v="Mount Doom"/>
        <s v="Bonecrusher Giant // Stomp"/>
        <s v="Brotherhood's End"/>
        <s v="Fable of the Mirror-Breaker // Reflection of Kiki-Jiki"/>
        <s v="Unlicensed Hearse"/>
        <s v="Needleverge Pathway // Pillarverge Pathway"/>
        <s v="Hall of Storm Giants"/>
        <s v="Deserted Beach"/>
        <s v="Ashaya, Soul of the Wild (V.1)"/>
        <s v="Invasion of Gobakhan // Lightshield Array [Playset]"/>
        <s v="Vampire Token (BR 3/1) // Clue Token"/>
        <s v="Knight Token (W 2/2) // Food Token (V.3)"/>
        <s v="Soldier Token (White 1/1)"/>
        <s v="Spirit Token (Colorless 1/1)"/>
        <s v="Spirit Token (W 1/1) // Insect Token (G 1/1)"/>
        <s v="Spirit Token (W 4/4) // Blood Token"/>
        <s v="Phyrexian Goblin Token (R 1/1) // Phyrexian Mite Token (A 1/1)"/>
        <s v="100 Ultra Pro PLATINUM Nine Pocket Pages"/>
        <s v="100 Dragon Shield Sleeves"/>
        <s v="100 Gamegenic Just Sleeves Inner Sleeves"/>
        <s v="Gum-Gum Red Roc (OP04-056)"/>
        <s v="Usopp (OP04-003)"/>
        <s v="Bad Manners Kick Course (OP04-016)"/>
        <s v="Spiderweb (OP04-035)"/>
        <s v="Flapping Thread (OP04-037)"/>
        <s v="Sasaki (OP04-048)"/>
        <s v="Mr.4(Babe) (OP04-071)"/>
        <s v="Kyros (OP04-082) (V.1)"/>
        <s v="Bartolomeo (OP04-089)"/>
        <s v="Rebecca (OP04-092)"/>
        <s v="Gum-Gum King Kong Gun (OP04-093)"/>
        <s v="Capone&quot;Gang&quot;Bege&quot; (OP04-100) (V.1)"/>
        <s v="Trueno Bastardo (OP04-094)"/>
        <s v="Gyats (OP04-080)"/>
        <s v="Apis (OP04-041)"/>
        <s v="Barrier!! (OP04-095)"/>
        <s v="Black Maria (OP04-052)"/>
        <s v="Carmel (OP04-101)"/>
        <s v="Charlotte Perospero (OP04-107)"/>
        <s v="Corrida Coliseum (OP04-096)"/>
        <s v="Dellinger (OP04-029)"/>
        <s v="Donquixote Family (OP04-036)"/>
        <s v="Giolla (OP04-025)"/>
        <s v="Hanger (OP04-050)"/>
        <s v="Ice Oni (OP04-047)"/>
        <s v="Karoo (OP04-004)"/>
        <s v="Kuro (OP04-023)"/>
        <s v="Miss.Goldenweek(Marianne) (OP04-065)"/>
        <s v="Miss.MerryChristmas(Drophy) (OP04-067)"/>
        <s v="Nami (OP04-011)"/>
        <s v="Nefeltari Cobra (OP04-012)"/>
        <s v="Oimo &amp; Kashii (OP04-078)"/>
        <s v="Otama (OP04-097)"/>
        <s v="Plague Rounds (OP04-055)"/>
        <s v="Pound (OP04-110)"/>
        <s v="Rabiyan (OP04-113)"/>
        <s v="Randolph (OP04-114)"/>
        <s v="Rokki (OP04-054)"/>
        <s v="Sanji (OP04-007)"/>
        <s v="Stussy (OP04-084)"/>
        <s v="The Weak Do Not Have the Right to Choose How They Die!!!"/>
        <s v="Tom (OP04-061)"/>
        <s v="Tonoyasu (OP04-109)"/>
        <s v="Viola (OP04-021)"/>
        <s v="Yokozuna (OP04-068)"/>
        <s v="Baby 5 (OP04-032)"/>
        <s v="Charlotte Moscato (OP04-108)"/>
        <s v="Dragon Twister Demolition Breath (OP04-057)"/>
        <s v="Enchanting Vertigo Dance (OP04-018)"/>
        <s v="Eric (OP04-022)"/>
        <s v="Hajrudin (OP04-088)"/>
        <s v="Hera (OP04-111)"/>
        <s v="Iceburg (OP04-059)"/>
        <s v="Kouzuki Hiyori (OP04-103)"/>
        <s v="Lao.G (OP04-034)"/>
        <s v="Monkey.D.Luffy (OP04-014)"/>
        <s v="Mr.3(Galdino) (OP04-070)"/>
        <s v="Nez-Palm Cannon (OP04-075)"/>
        <s v="Page One (OP04-053)"/>
        <s v="Queen (OP04-046)"/>
        <s v="Suleiman (OP04-085)"/>
        <s v="Super Spot-Billed Duck Troops (OP04-009)"/>
        <s v="Toko (OP04-098)"/>
        <s v="Cavendish (OP04-081)"/>
        <s v="Chaka (OP04-008)"/>
        <s v="Charlotte Amande (OP04-105)"/>
        <s v="Colors Trap (OP04-074)"/>
        <s v="Diamante (OP04-028) (V.1)"/>
        <s v="Franky (OP04-063)"/>
        <s v="Igaram (OP04-002)"/>
        <s v="Kin'emon (OP04-102)"/>
        <s v="King (OP04-045)"/>
        <s v="Miss.Valentine(Mikita) (OP04-066)"/>
        <s v="Mr.5(Gem) (OP04-072) (V.1)"/>
        <s v="Olin (OP04-099)"/>
        <s v="Roronoa Zoro (OP04-015)"/>
        <s v="Senor Pink (OP04-026)"/>
        <s v="Trebol (OP04-030) (V.1)"/>
        <s v="Ulti (OP04-043)"/>
        <s v="Crocodile (OP04-058) (V.1)"/>
        <s v="Donquixote Doflamingo (OP04-019) (V.1)"/>
        <s v="Issho (OP04-020) (V.1)"/>
        <s v="Nefeltari Vivi (OP04-001) (V.1)"/>
        <s v="Queen (OP04-040) (V.1)"/>
        <s v="Rebecca (OP04-039) (V.1)"/>
        <s v="Sacred Foundry"/>
        <s v="Grave Pact (V.1)"/>
        <s v="Forge Devil"/>
        <s v="Venerated Loxodon"/>
        <s v="Giant Killer // Chop Down"/>
        <s v="Reidane, God of the Worthy // Valkmira, Protector's Shield"/>
        <s v="Regal Bunnicorn"/>
        <s v="Reckless Bushwhacker [Playset]"/>
        <s v="Clarion Spirit"/>
        <s v="Shefet Dunes"/>
        <s v="Wilds of Eldraine: Common Set"/>
        <s v="Magmatic Channeler"/>
        <s v="Gum-Gum Rain (OP02-068)"/>
        <s v="Minokoala (OP02-086) (V.1)"/>
        <s v="Minotaur (OP02-087)"/>
        <s v="Tsuru (OP02-106)"/>
        <s v="Tashigi (ST06-006)"/>
        <s v="DEATH WINK (OP02-069)"/>
        <s v="Ornithopter (V.2) [Playset]"/>
        <s v="Arid Mesa"/>
        <s v="Marsh Flats"/>
        <s v="Verdant Catacombs"/>
        <s v="Takenuma, Abandoned Mire (V.2)"/>
        <s v="Sun Quan, Lord of Wu"/>
        <s v="Ozolith, the Shattered Spire"/>
        <s v="The Ozolith"/>
        <s v="Patchwork Automaton"/>
        <s v="Arcbound Ravager"/>
        <s v="Elvish Archivist"/>
        <s v="Hangarback Walker"/>
        <s v="Zabaz, the Glimmerwasp"/>
        <s v="Collector Ouphe"/>
        <s v="Up the Beanstalk"/>
        <s v="Obsidian Charmaw"/>
        <s v="Questing Druid // Seek the Beast"/>
        <s v="Elusive Otter // Grove's Bounty"/>
        <s v="Wicked Role / Cursed Role Token"/>
        <s v="Monster Role / Sorcerer Role Token"/>
        <s v="Fallaji Archaeologist"/>
        <s v="Hearth Elemental // Stoke Genius"/>
        <s v="Royal Role / Young Hero Role Token"/>
        <s v="Palantír of Orthanc"/>
        <s v="Blood Crypt"/>
        <s v="Pithing Needle"/>
        <s v="Not Dead After All"/>
        <s v="Elemental Token (Red 1/1)"/>
        <s v="Orc Army Token (B 0/0) // Food Token (V.3)"/>
        <s v="Samurai Token (White 2/2)"/>
        <s v="Stone of Erech"/>
        <s v="Kroxa, Titan of Death's Hunger"/>
        <s v="Makino (OP02-015)"/>
        <s v="Buena Festa (ST05-014)"/>
        <s v="Thatch (OP02-007)"/>
        <s v="Troll of Khazad-dûm"/>
        <s v="Murktide Regent"/>
        <s v="Plant Token (Green 0/1)"/>
        <s v="Omen of the Sea"/>
        <s v="Rhino Token (Green 4/4)"/>
        <s v="Snake Token (B 1/1) // Zombie Token (B 2/2)"/>
        <s v="Food Token (V.3)"/>
        <s v="Whitebeard Pirates (OP02-022)"/>
        <s v="Crashing Footfalls [Playset]"/>
        <s v="Slicer, Hired Muscle // Slicer, High-Speed Antagonist (V.1)"/>
        <s v="Elvish Mariner (V.1)"/>
        <s v="Ringwraiths (V.1)"/>
        <s v="Boromir, Warden of the Tower (V.1)"/>
        <s v="Grief [Playset]"/>
        <s v="Castle Locthwain (V.2)"/>
        <s v="Inevitable Betrayal (V.1)"/>
        <s v="Terminate [Playset]"/>
        <s v="Nishoba Brawler [Playset]"/>
        <s v="Tear Asunder"/>
        <s v="Fury [Playset]"/>
        <s v="Glóin, Dwarf Emissary"/>
        <s v="Borne Upon a Wind"/>
        <s v="Doors of Durin"/>
        <s v="Paulie (OP03-066) (V.1)"/>
        <s v="Haruta (OP03-009)"/>
        <s v="Kuroobi (OP03-026)"/>
        <s v="Legolas, Master Archer (V.2)"/>
        <s v="Horn of the Mark"/>
        <s v="Display of Power"/>
        <s v="Arwen, Mortal Queen"/>
        <s v="Lotho, Corrupt Shirriff"/>
        <s v="Elven Chorus"/>
        <s v="Phial of Galadriel"/>
        <s v="Isildur's Fateful Strike"/>
        <s v="Shelob, Child of Ungoliant"/>
        <s v="Minas Tirith (V.1)"/>
        <s v="Goldberry, River-Daughter"/>
        <s v="The Battle of Bywater"/>
        <s v="Hew the Entwood"/>
        <s v="Horn of Gondor"/>
        <s v="The Shire"/>
        <s v="Moria Marauder"/>
        <s v="Sharkey, Tyrant of the Shire"/>
        <s v="Galadriel of Lothlórien (V.2)"/>
        <s v="Barad-dûr (V.1)"/>
        <s v="Fall of Cair Andros"/>
        <s v="Lobelia Sackville-Baggins (V.1)"/>
        <s v="Leyline of the Void [Playset]"/>
        <s v="Death's Shadow [Playset]"/>
        <s v="Sauron's Ransom [Playset]"/>
        <s v="Maul of the Skyclaves"/>
        <s v="Invasion of Ixalan // Belligerent Regisaur"/>
        <s v="Dusk Legion Duelist"/>
        <s v="Academy Manufactor [Playset]"/>
        <s v="Woe Strider"/>
        <s v="Rosie Cotton of South Lane"/>
        <s v="Gilded Goose"/>
        <s v="Sarinth Steelseeker"/>
        <s v="Censor"/>
        <s v="Jwari Disruption // Jwari Ruins"/>
        <s v="Squirrel Token (Green 1/1)"/>
        <s v="Food Token (V.1)"/>
        <s v="Food Token (V.2)"/>
        <s v="Scrapwork Mutt"/>
        <s v="Clue Token"/>
        <s v="Treasure Token"/>
        <s v="Cast into the Fire"/>
        <s v="Nazgûl (V.2)"/>
        <s v="Rivendell"/>
        <s v="Mines of Moria"/>
        <s v="Reprieve"/>
        <s v="Issho (OP03-078) (V.1)"/>
        <s v="Kaku (OP03-080) (V.1)"/>
        <s v="Rob Lucci (OP03-092) (V.1)"/>
        <s v="Charlotte Perospero (OP03-113) (V.1)"/>
        <s v="Charlotte Linlin (OP03-114) (V.1)"/>
        <s v="Charlotte Cracker (OP03-108) (V.1)"/>
        <s v="Krieg (OP03-025) (V.1)"/>
        <s v="Usopp (OP03-041) (V.1)"/>
        <s v="Marco (OP03-013) (V.1)"/>
        <s v="Lobelia Sackville-Baggins (V.2)"/>
        <s v="Gandalf, Friend of the Shire"/>
        <s v="Wizard's Rockets"/>
        <s v="Bilbo, Retired Burglar"/>
        <s v="Frodo Baggins"/>
        <s v="Boromir, Warden of the Tower (V.2)"/>
        <s v="Éowyn, Fearless Knight"/>
        <s v="Voracious Fell Beast"/>
        <s v="Rising of the Day"/>
        <s v="Sting, the Glinting Dagger"/>
        <s v="The Grey Havens"/>
        <s v="Pippin, Guard of the Citadel (V.2)"/>
        <s v="Mirkwood Bats"/>
        <s v="Rangers of Ithilien"/>
        <s v="Orc Army Token (Black 0/0) (V.2)"/>
        <s v="Shadow of the Enemy"/>
        <s v="Radagast the Brown"/>
        <s v="Boromir, Warden of the Tower"/>
        <s v="Lobelia Sackville-Baggins"/>
        <s v="Faramir, Prince of Ithilien"/>
        <s v="The Ring Goes South"/>
        <s v="Delighted Halfling"/>
        <s v="Barad-dûr"/>
        <s v="Frodo, Sauron's Bane"/>
        <s v="There and Back Again"/>
        <s v="Witch-king of Angmar"/>
        <s v="Delighted Halfling (V.2)"/>
        <s v="Shagrat, Loot Bearer"/>
        <s v="Delighted Halfling (V.1)"/>
        <s v="Generous Ent"/>
        <s v="Oliphaunt"/>
        <s v="Forge Anew"/>
        <s v="Adio (OP03-002)"/>
        <s v="Air Door (OP03-094)"/>
        <s v="Blamenco (OP03-011)"/>
        <s v="Boodle (OP03-050)"/>
        <s v="Buchi (OP03-034)"/>
        <s v="Buggy (OP03-008)"/>
        <s v="Carne (OP03-045)"/>
        <s v="Charlotte Oven (OP03-105)"/>
        <s v="Chew (OP03-029)"/>
        <s v="Cross Fire (OP03-017)"/>
        <s v="Fukurou (OP03-088)"/>
        <s v="Hatchan (OP03-033)"/>
        <s v="Ikoku Sovereignty (OP03-118)"/>
        <s v="Kaku (OP03-059)"/>
        <s v="Kalifa (OP03-060)"/>
        <s v="Lim (OP03-015)"/>
        <s v="Napoleon (OP03-117)"/>
        <s v="Nojiko (OP03-048)"/>
        <s v="One, Two, Jango (OP03-039)"/>
        <s v="Patty (OP03-049)"/>
        <s v="Peepley Lulu (OP03-067)"/>
        <s v="Shirahoshi (OP03-116)"/>
        <s v="Shirley (OP03-104)"/>
        <s v="Tempest Kick Sky Slicer (OP03-096)"/>
        <s v="Monkey.D.Garp (OP03-014)"/>
        <s v="Sanji's Pilaf (OP03-056)"/>
        <s v="Thatch (OP03-005)"/>
        <s v="Top Knot (OP03-074)"/>
        <s v="Vergo (OP03-079)"/>
        <s v="Wanze (OP03-093)"/>
        <s v="Zambai (OP03-063)"/>
        <s v="Alvida (OP03-023)"/>
        <s v="Bobbin the Disposer (OP03-103)"/>
        <s v="Buggy (OP03-032)"/>
        <s v="Camie (OP03-101)"/>
        <s v="Charlotte Chiffon (OP03-109)"/>
        <s v="Charlotte Galette (OP03-107)"/>
        <s v="Charlotte Opera (OP03-106)"/>
        <s v="Charlotte Praline (OP03-111)"/>
        <s v="Chimney &amp; Gonbe (OP03-065)"/>
        <s v="Corgy (OP03-083)"/>
        <s v="Curiel (OP03-004)"/>
        <s v="Enies Lobby (OP03-098)"/>
        <s v="Fiery Doll (OP03-019)"/>
        <s v="Fossa (OP03-010)"/>
        <s v="Gaimon (OP03-043)"/>
        <s v="Galley-La Company (OP03-075)"/>
        <s v="Genzo (OP03-046)"/>
        <s v="Gum-Gum Giant Gavel (OP03-055)"/>
        <s v="Helmeppo (OP03-091)"/>
        <s v="Hull Dismantler Slash (OP03-073)"/>
        <s v="Jabra (OP03-085)"/>
        <s v="Jerry (OP03-084)"/>
        <s v="Kingbaum (OP03-100)"/>
        <s v="Kiwi &amp; Mozu (OP03-061)"/>
        <s v="Kumadori (OP03-082)"/>
        <s v="Merry (OP03-052)"/>
        <s v="Minorhinoceros (OP03-069)"/>
        <s v="Minozebra (OP03-068)"/>
        <s v="Momoo (OP03-035)"/>
        <s v="Namule (OP03-007)"/>
        <s v="Nero (OP03-087)"/>
        <s v="Out-of-the-Bag (OP03-036)"/>
        <s v="Pearl (OP03-031)"/>
        <s v="Sham (OP03-027)"/>
        <s v="Soap Sheep (OP03-095)"/>
        <s v="Speed Jil (OP03-006)"/>
        <s v="Striker (OP03-020)"/>
        <s v="Thunder Bolt (OP03-121)"/>
        <s v="Tilestone (OP03-064)"/>
        <s v="Tooth Attack (OP03-037)"/>
        <s v="Tropical Torment (OP03-120)"/>
        <s v="Usopp's Pirate Crew (OP03-042)"/>
        <s v="Usopp's Rubber Band of Doom!!! (OP03-054)"/>
        <s v="Yosaku &amp; Johnny (OP03-053)"/>
        <s v="Arlong (OP03-022) (V.1)"/>
        <s v="Charlotte Katakuri (OP03-099) (V.1)"/>
        <s v="Charlotte Linlin (OP03-077) (V.1)"/>
        <s v="Iceburg (OP03-058) (V.1)"/>
        <s v="Kuro (OP03-021) (V.1)"/>
        <s v="Nami (OP03-040) (V.1)"/>
        <s v="Portgas.D.Ace (OP03-001) (V.1)"/>
        <s v="Rob Lucci (OP03-076) (V.1)"/>
        <s v="Bell-mère (OP03-051)"/>
        <s v="Blueno (OP03-090)"/>
        <s v="Brannew (OP03-089)"/>
        <s v="Buzz Cut Mochi (OP03-119)"/>
        <s v="Charlotte Pudding (OP03-112) (V.1)"/>
        <s v="Charlotte Smoothie (OP03-110)"/>
        <s v="Deathly Poison Gas Bomb MH5 (OP03-038)"/>
        <s v="Fire Fist (OP03-018) (V.1)"/>
        <s v="Flame Emperor (OP03-016)"/>
        <s v="Gin (OP03-024) (V.1)"/>
        <s v="Gum-Gum Jet Gatling (OP03-072)"/>
        <s v="Izo (OP03-003)"/>
        <s v="Jango (OP03-028)"/>
        <s v="Kalifa (OP03-081) (V.1)"/>
        <s v="Kaya (OP03-044)"/>
        <s v="Kokoro (OP03-062)"/>
        <s v="Marshall.D.Teach (OP03-012)"/>
        <s v="Monkey.D.Luffy (OP03-070)"/>
        <s v="Nami (OP03-030)"/>
        <s v="Rob Lucci (OP03-071)"/>
        <s v="Sanji (OP03-102)"/>
        <s v="Six King Pistol (OP03-097)"/>
        <s v="Spandam (OP03-086) (V.1)"/>
        <s v="Streusen (OP03-115)"/>
        <s v="Three Thousand Worlds (OP03-057)"/>
        <s v="Zeff (OP03-047) (V.1)"/>
        <s v="Uta (P-011)"/>
        <s v="Koby (P-014)"/>
        <s v="Helmeppo (P-020)"/>
        <s v="Jellyfish Pirates (P-012)"/>
        <s v="Bartolomeo (P-018)"/>
        <s v="Morgan (P-026)"/>
        <s v="Shanks (P-016) (V.1)"/>
        <s v="Trafalgar Law (P-017)"/>
        <s v="Bepo (P-019)"/>
        <s v="Benn.Beckman (P-021)"/>
        <s v="I'm Gonna Be King of the Pirates!! (P-024)"/>
        <s v="Franky (OP01-021) (V.1)"/>
        <s v="Black Maria (ST04-011) (V.1)"/>
        <s v="Gimli, Mournful Avenger (V.2)"/>
        <s v="Galadriel of Lothlórien (V.1)"/>
        <s v="Gimli, Mournful Avenger (V.1)"/>
        <s v="Pippin, Guard of the Citadel (V.1)"/>
        <s v="Legolas, Master Archer (V.1)"/>
        <s v="Merry, Esquire of Rohan (V.1)"/>
        <s v="Elrond, Master of Healing (V.1)"/>
        <s v="The Balrog, Durin's Bane"/>
        <s v="Frodo, Sauron's Bane (V.1)"/>
        <s v="Gothmog, Morgul Lieutenant"/>
        <s v="Prince Imrahil the Fair"/>
        <s v="Sméagol, Helpful Guide"/>
        <s v="Fangorn, Tree Shepherd"/>
        <s v="Éomer, Marshal of Rohan"/>
        <s v="Assault on Osgiliath (V.1)"/>
        <s v="Aragorn, Company Leader (V.1)"/>
        <s v="Gandalf the Grey"/>
        <s v="Foray of Orcs"/>
        <s v="Many Partings"/>
        <s v="Elrond, Master of Healing (V.2)"/>
        <s v="Smaug Token (Red 6/6)"/>
        <s v="Tentacle Token (Blue 1/1)"/>
        <s v="Ballistic Boulder Token (Artifact 2/1)"/>
        <s v="Saradoc, Master of Buckland (V.1)"/>
        <s v="Dunland Crebain"/>
        <s v="Spirit Token (White 1/1)"/>
        <s v="Human Soldier Token (White 1/1) (V.1)"/>
        <s v="The Lord of the Rings: Tales of Middle-earth: Uncommon Set"/>
        <s v="Sauron, the Necromancer"/>
        <s v="Lost Isle Calling"/>
        <s v="Aragorn, Company Leader (V.2)"/>
        <s v="Fall of Gil-galad"/>
        <s v="War of the Last Alliance"/>
        <s v="Gimli, Mournful Avenger"/>
        <s v="Merry, Esquire of Rohan"/>
        <s v="The Lord of the Rings: Tales of Middle-earth: Full-art Map Basic..."/>
        <s v="The Lord of the Rings: Tales of Middle-earth: Common Set"/>
        <s v="Faramir, Field Commander"/>
        <s v="Frodo Baggins (V.1)"/>
        <s v="Gandalf, Friend of the Shire (V.1)"/>
        <s v="Gimli, Counter of Kills"/>
        <s v="Gollum, Patient Plotter (V.1)"/>
        <s v="Legolas, Counter of Kills"/>
        <s v="Elrond, Master of Healing"/>
        <s v="Scroll of Isildur"/>
        <s v="Aragorn, Company Leader"/>
        <s v="One Ring to Rule Them All"/>
        <s v="Galadriel of Lothlórien"/>
        <s v="King of the Oathbreakers"/>
        <s v="Legolas, Master Archer"/>
        <s v="Pippin, Guard of the Citadel"/>
        <s v="Memory Deluge [Playset]"/>
        <s v="Kaheera, the Orphanguard (V.1)"/>
        <s v="Temporary Lockdown"/>
        <s v="Crime // Punishment"/>
        <s v="Twilight Mire"/>
        <s v="Strangleroot Geist [Playset]"/>
        <s v="Silence"/>
        <s v="Prismatic Ending (V.1) [Playset]"/>
        <s v="Choke"/>
        <s v="Scavenging Ooze [Playset]"/>
        <s v="Wall of Roots [Playset]"/>
        <s v="Tocasia's Welcome"/>
        <s v="Ultimate Guard Boulder Deck Case 100+"/>
        <s v="10 Ultimate Guard Dividers"/>
        <s v="Eldritch Evolution [Playset]"/>
        <s v="Yawgmoth, Thran Physician [Playset]"/>
        <s v="Fading Hope"/>
        <s v="Ulamog, the Ceaseless Hunger"/>
        <s v="Invasion of New Phyrexia // Teferi Akosa of Zhalfir"/>
        <s v="Seaquake (OP02-021)"/>
        <s v="Edward.Newgate (OP02-004) (V.1)"/>
        <s v="Sakazuki (OP02-099) (V.1)"/>
        <s v="Borsalino (OP02-114) (V.1)"/>
        <s v="Monkey.D.Luffy (OP02-062) (V.1)"/>
        <s v="Eustass&quot;Captain&quot;Kid (OP01-051) (V.1)"/>
        <s v="Roronoa Zoro (OP01-025) (V.1)"/>
        <s v="Kin'emon (OP01-040) (V.1)"/>
        <s v="Crocodile (OP01-067) (V.1)"/>
        <s v="Monkey.D.Luffy (OP01-024) (V.1)"/>
        <s v="Magellan (OP02-085) (V.1)"/>
        <s v="King (OP01-096) (V.1)"/>
        <s v="Kouzuki Oden (OP02-030) (V.1)"/>
        <s v="Kaido (OP01-094) (V.1)"/>
        <s v="Boa Hancock (OP01-078) (V.1)"/>
        <s v="Portgas.D.Ace (OP02-013) (V.1)"/>
        <s v="Trafalgar Law (OP01-047) (V.1)"/>
        <s v="Dracule Mihawk (OP01-070) (V.1)"/>
        <s v="Ms. All Sunday (OP01-079)"/>
        <s v="Emporio.Ivankov (OP02-051) (V.1)"/>
        <s v="Kuzan (OP02-096) (V.1)"/>
        <s v="Invasion of Ikoria // Zilortha, Apex of Ikoria"/>
        <s v="Irrigated Farmland"/>
        <s v="Behold the Multiverse"/>
        <s v="Lay Down Arms"/>
        <s v="Saw It Coming"/>
        <s v="Castle Ardenvale"/>
        <s v="Make Disappear"/>
        <s v="Prairie Stream"/>
        <s v="Divine Smite"/>
        <s v="Regal Caracal"/>
        <s v="Test of Talents"/>
        <s v="Change the Equation"/>
        <s v="Ruin Crab [Playset]"/>
        <s v="Force of Vigor"/>
        <s v="Etali, Primal Conqueror // Etali, Primal Sickness"/>
        <s v="Ayara, Widow of the Realm // Ayara, Furnace Queen"/>
        <s v="Zenith Chronicler"/>
        <s v="Deathbloom Ritualist"/>
        <s v="Atraxa, Grand Unifier"/>
        <s v="Solemnity"/>
        <s v="Nine Lives"/>
        <s v="Bone Shards (V.1)"/>
        <s v="Tainted Indulgence"/>
        <s v="Shadow Prophecy"/>
        <s v="Mystical Dispute"/>
        <s v="Ancient Grudge"/>
        <s v="Silversmote Ghoul"/>
        <s v="Pyrite Spellbomb"/>
        <s v="Melira, the Living Cure"/>
        <s v="Asmoranomardicadaistinaculdacar"/>
        <s v="The Underworld Cookbook (V.1)"/>
        <s v="Sunken Ruins"/>
        <s v="Conflagrate"/>
        <s v="Foundation Breaker"/>
        <s v="Shark Token (U */*) // Shark Token (U */*)"/>
        <s v="Otherworldly Gaze"/>
        <s v="Tome Scour"/>
        <s v="Thrilling Discovery"/>
        <s v="Ox of Agonas"/>
        <s v="Starter Deck: ONE PIECE FILM edition"/>
        <s v="Starter Deck: Absolute Justice"/>
        <s v="Cathartic Reunion"/>
        <s v="Force of Negation (V.1)"/>
        <s v="Rancor"/>
        <s v="Corpse Appraiser (V.2)"/>
        <s v="Go for the Throat"/>
        <s v="Migloz, Maze Crusher (V.1)"/>
        <s v="Lightning Strike"/>
        <s v="Rockfall Vale"/>
        <s v="Strangle"/>
        <s v="Evolving Adaptive"/>
        <s v="Audacity"/>
        <s v="Thrun, Breaker of Silence (V.1)"/>
        <s v="100 KMC Perfect Sized Sleeves"/>
        <s v="Bloodtithe Harvester"/>
        <s v="Corpse Appraiser (V.1)"/>
        <s v="Bladecoil Serpent"/>
        <s v="Brokers Charm (V.1)"/>
        <s v="Spara's Headquarters (V.1)"/>
        <s v="Shark Typhoon"/>
        <s v="Spell Pierce"/>
        <s v="Blossoming Calm"/>
        <s v="Flusterstorm"/>
        <s v="Ornithopter [Playset]"/>
        <s v="Zagoth Triome"/>
        <s v="Dead // Gone [Playset]"/>
        <s v="Celestial Purge [Playset]"/>
        <s v="Raugrin Triome"/>
        <s v="Nahiri, the Unforgiving (V.2)"/>
        <s v="Magnetic Theft"/>
        <s v="Spreading Seas [Playset]"/>
        <s v="Summoner's Pact [Playset]"/>
        <s v="Summoner's Pact"/>
        <s v="Goblin Anarchomancer (V.1)"/>
        <s v="Grapeshot"/>
        <s v="Empty the Warrens"/>
        <s v="Tyvar's Stand"/>
        <s v="Strike It Rich"/>
        <s v="Abundant Harvest"/>
        <s v="Ground Rift"/>
        <s v="Venerated Rotpriest (V.1)"/>
        <s v="Venerated Rotpriest"/>
        <s v="Minor Misstep"/>
        <s v="Distorted Curiosity"/>
        <s v="The Seedcore"/>
        <s v="Waterlogged Grove"/>
        <s v="Postmortem Lunge"/>
        <s v="Vizier of Remedies"/>
        <s v="Devoted Druid"/>
        <s v="Lightning Bolt [Playset]"/>
        <s v="Celestial Colonnade"/>
        <s v="Inspiring Vantage [Playset]"/>
        <s v="Monastery Swiftspear [Playset]"/>
        <s v="Eiganjo Castle"/>
        <s v="Ignoble Hierarch [Playset]"/>
        <s v="Blighted Agent"/>
        <s v="Plague Stinger"/>
        <s v="Scale Up"/>
        <s v="Might of Old Krosa"/>
        <s v="Dissenter's Deliverance"/>
        <s v="Vines of Vastwood"/>
        <s v="Pendelhaven"/>
        <s v="Become Immense"/>
        <s v="Glistener Elf"/>
        <s v="Blossoming Defense"/>
        <s v="Groundswell"/>
        <s v="Snakeskin Veil (V.1)"/>
        <s v="Ceremonious Rejection"/>
        <s v="Viridian Corrupter"/>
        <s v="Seachrome Coast"/>
        <s v="Mirran Crusader"/>
        <s v="Aether Vial [Playset]"/>
        <s v="Kor Firewalker [Playset]"/>
        <s v="Archon of Emeria [Playset]"/>
        <s v="Ghost Quarter [Playset]"/>
        <s v="Eiganjo, Seat of the Empire"/>
        <s v="Skyclave Apparition"/>
        <s v="Leonin Arbiter"/>
        <s v="Chromatic Star (V.2)"/>
        <s v="Batterskull"/>
        <s v="Anointed Peacekeeper"/>
        <s v="Thalia, Guardian of Thraben"/>
        <s v="Blast Zone"/>
        <s v="Containment Priest"/>
        <s v="Cityscape Leveler (V.1)"/>
        <s v="Karn Liberated"/>
        <s v="Skysovereign, Consul Flagship"/>
        <s v="Sylvan Scrying [Playset]"/>
        <s v="Xander's Lounge (V.1)"/>
        <s v="Mishra's Bauble (V.1)"/>
        <s v="Unmoored Ego"/>
        <s v="Indatha Triome"/>
        <s v="Karn's Sylex"/>
        <s v="Haywire Mite"/>
        <s v="Trinisphere"/>
        <s v="Springleaf Drum (V.1)"/>
        <s v="Karn, the Great Creator [Playset]"/>
        <s v="Mystical Archive: &quot;Brainstorm&quot; Playmat"/>
        <s v="Leyline Binding"/>
        <s v="Leyline Binding (V.2)"/>
        <s v="Lightning Helix (V.1) [Playset]"/>
        <s v="Lightning Bolt (V.1) [Playset]"/>
        <s v="Bloodbraid Elf"/>
        <s v="General Ferrous Rokiric"/>
        <s v="Golem Token (Artifact 4/4)"/>
        <s v="Angel Token (White 4/4)"/>
        <s v="Zombie Token (B 2/2) // Angel Token (W 4/4)"/>
        <s v="Sunhome, Fortress of the Legion"/>
        <s v="Cindervines"/>
        <s v="Dromoka's Command"/>
        <s v="Lightning Helix"/>
        <s v="Hidetsugu Consumes All // Vessel of the All-Consuming"/>
        <s v="Shrapnel Blast"/>
        <s v="Spreading Seas"/>
        <s v="Alpine Moon"/>
        <s v="Brazen Borrower // Petty Theft (V.2)"/>
        <s v="Kolaghan's Command"/>
        <s v="Polluted Delta"/>
        <s v="Watery Grave [Playset]"/>
        <s v="Ephemerate (V.1) [Playset]"/>
        <s v="Bloodchief's Thirst"/>
        <s v="Simic Growth Chamber [Playset]"/>
        <s v="Gruul Turf [Playset]"/>
        <s v="Kolaghan's Command [Playset]"/>
        <s v="Mana Tithe"/>
        <s v="Kaya's Guile"/>
        <s v="Battlefield Forge"/>
        <s v="Cling to Dust"/>
        <s v="Jegantha, the Wellspring"/>
        <s v="Kaheera, the Orphanguard"/>
        <s v="Deflecting Palm"/>
        <s v="Malakir Rebirth // Malakir Mire"/>
        <s v="Third Path Iconoclast"/>
        <s v="Supernatural Stamina [Playset]"/>
        <s v="Gurmag Angler [Playset]"/>
        <s v="Charming Prince [Playset]"/>
        <s v="Kataki, War's Wage"/>
        <s v="Necromentia (V.1)"/>
        <s v="Necromentia"/>
        <s v="Ultimate Guard Boulder Deck Case 80+"/>
        <s v="Lion Sash"/>
        <s v="Leyline of Sanctity [Playset]"/>
        <s v="Silent Clearing"/>
        <s v="Rest in Peace"/>
        <s v="Soul-Scar Mage"/>
        <s v="Light Up the Stage"/>
        <s v="Dragon's Claw"/>
        <s v="Sprite Dragon"/>
        <s v="Vapor Snag"/>
        <s v="Invasive Surgery"/>
        <s v="Veil of Summer"/>
        <s v="Banefire"/>
        <s v="Castle Vantress"/>
        <s v="Esper Charm"/>
        <s v="Creeping Tar Pit"/>
        <s v="Fatal Push [Playset]"/>
        <s v="Wastes (V.3)"/>
        <s v="Grafdigger's Cage"/>
        <s v="Dauthi Voidwalker [Playset]"/>
        <s v="Sphinx's Revelation"/>
        <s v="Silverbluff Bridge [Playset]"/>
        <s v="Archmage's Charm"/>
        <s v="Hallowed Moonlight"/>
        <s v="Solitude [Playset]"/>
        <s v="Dovin's Veto"/>
        <s v="Void Mirror"/>
        <s v="Reality Heist"/>
        <s v="Undying Evil"/>
        <s v="Frogmite"/>
        <s v="Thoughtcast"/>
        <s v="Nature's Claim"/>
        <s v="Germ Token (Black 0/0)"/>
        <s v="Phyrexian Germ Token (Black 0/0)"/>
        <s v="Thoughtseize [Playset]"/>
        <s v="Drown in the Loch [Playset]"/>
        <s v="Fracture"/>
        <s v="Wall of Omens"/>
        <s v="Priest of Fell Rites"/>
        <s v="Ephemerate"/>
        <s v="Feign Death"/>
        <s v="Night's Whisper"/>
        <s v="Cranial Plating"/>
        <s v="Aether Spellbomb"/>
        <s v="Sojourner's Companion"/>
        <s v="Darksteel Citadel"/>
        <s v="Thought Monitor"/>
        <s v="Tanglepool Bridge"/>
        <s v="Smash to Smithereens"/>
        <s v="Sword of Fire and Ice"/>
        <s v="Shambling Vent"/>
        <s v="Touch the Spirit Realm"/>
        <s v="Undying Malice"/>
        <s v="Roiling Vortex"/>
        <s v="Curse of Silence"/>
        <s v="Geist of Saint Traft"/>
        <s v="Stoneforge Mystic [Playset]"/>
        <s v="Ultra Pro Collectors Portfolio - 4-Pocket Black"/>
        <s v="Storage box for 400 cards"/>
        <s v="Ultra-Pro Solid Black Deckbox"/>
        <s v="Urza's Saga [Playset]"/>
        <s v="Cryptic Command"/>
        <s v="Snap"/>
        <s v="Spellstutter Sprite"/>
        <s v="Thornwind Faeries"/>
        <s v="Faerie Duelist"/>
        <s v="Spire Golem"/>
        <s v="Moon-Circuit Hacker"/>
        <s v="Faerie Seer"/>
        <s v="Faerie Miscreant"/>
        <s v="Steel Sabotage"/>
        <s v="Mystic Sanctuary"/>
        <s v="Lonely Sandbar"/>
        <s v="Forgotten Cave"/>
        <s v="Island (V.9)"/>
        <s v="Brainstorm"/>
        <s v="Augur of Bolas"/>
        <s v="Tolarian Terror"/>
        <s v="The Modern Age // Vector Glider"/>
        <s v="Shore Up"/>
        <s v="Frantic Inventory"/>
        <s v="Lose Focus"/>
        <s v="Ultra Pro Collectors Portfolio"/>
        <s v="Wear // Tear"/>
        <s v="Enchantress's Presence (V.1)"/>
        <s v="Sythis, Harvest's Hand"/>
        <s v="Destiny Spinner"/>
        <s v="Commune with Spirits"/>
        <s v="Solitary Confinement (V.1)"/>
        <s v="Abundant Growth"/>
        <s v="Snow-Covered Plains"/>
        <s v="Flame Blitz"/>
        <s v="Sigil of the Empty Throne"/>
        <s v="Seal of Primordium"/>
        <s v="Mishra's Bauble [Playset]"/>
        <s v="Shadowspear"/>
        <s v="Kor Duelist"/>
        <s v="Ascendant Packleader"/>
        <s v="Reckless Stormseeker // Storm-Charged Slasher"/>
        <s v="Quirion Beastcaller"/>
        <s v="Thundering Raiju"/>
        <s v="Squee, Dubious Monarch (V.1)"/>
        <s v="Halana and Alena, Partners"/>
        <s v="Yavimaya Iconoclast"/>
        <s v="Kumano Faces Kakkazan // Etching of Kumano"/>
        <s v="Radha's Firebrand"/>
        <s v="Kami's Flare"/>
        <s v="Sokenzan, Crucible of Defiance"/>
        <s v="Phoenix Chick"/>
        <s v="Racers' Ring"/>
        <s v="Creepy Puppeteer"/>
        <s v="Flame Discharge"/>
        <s v="Tamiyo's Safekeeping"/>
        <s v="Rending Flame"/>
        <s v="Outland Liberator // Frenzied Trapbreaker"/>
        <s v="Springleaf Drum"/>
        <s v="Open the Armory"/>
        <s v="Ornithopter"/>
        <s v="Ingenious Smith"/>
        <s v="Kor Outfitter"/>
        <s v="Blacksmith's Skill"/>
        <s v="Kaldra Compleat"/>
        <s v="Wurm Token (Artifact 3/3 Deathtouch)"/>
        <s v="Wurm Token (Artifact 3/3 Lifelink)"/>
        <s v="Hushbringer"/>
        <s v="Blinkmoth Nexus [Playset]"/>
        <s v="Blade of the Oni"/>
        <s v="Nettlecyst"/>
        <s v="Lavinia, Azorius Renegade"/>
        <s v="Esper Sentinel [Playset]"/>
        <s v="Sigarda's Aid [Playset]"/>
        <s v="Puresteel Paladin [Playset]"/>
        <s v="Colossus Hammer [Playset]"/>
        <s v="Once Upon a Time"/>
        <s v="Chromatic Star"/>
        <s v="Warping Wail"/>
        <s v="Thragtusk"/>
        <s v="Boros Charm (V.1)"/>
        <s v="Skewer the Critics"/>
        <s v="Inscribed Tablet"/>
        <s v="Nimble Obstructionist"/>
        <s v="Ultra-Pro Solid Aqua Deck Box"/>
        <s v="Ultra-Pro Solid Brown Deckbox"/>
        <s v="Ugin, the Spirit Dragon (V.1)"/>
        <s v="Foundry Street Denizen [Playset]"/>
        <s v="Mogg War Marshal [Playset]"/>
        <s v="Waker of Waves"/>
        <s v="Curator of Mysteries"/>
        <s v="Striped Riverwinder"/>
        <s v="Colossal Skyturtle"/>
        <s v="Shriekmaw"/>
        <s v="Pieces of the Puzzle"/>
        <s v="Isamaru, Hound of Konda"/>
        <s v="Jace, the Mind Sculptor"/>
        <s v="Snapcaster Mage [Playset]"/>
        <s v="Windborn Muse"/>
        <s v="Ajani Vengeant"/>
        <s v="Apostle's Blessing [Playset]"/>
        <s v="Mutagenic Growth [Playset]"/>
        <s v="Mogg Flunkies"/>
        <s v="Apostle's Blessing"/>
        <s v="Festival Crasher"/>
        <s v="Kiln Fiend"/>
        <s v="Temur Battle Rage"/>
        <s v="Crash Through"/>
        <s v="Ancestral Anger"/>
        <s v="Treetop Village"/>
        <s v="Counterspell (V.1)"/>
        <s v="Shattering Spree"/>
        <s v="Desperate Ritual"/>
        <s v="Impulse"/>
        <s v="Aria of Flame"/>
        <s v="Consider"/>
        <s v="Fire // Ice"/>
        <s v="Delver of Secrets / Insectile Aberration"/>
        <s v="Electrolyze"/>
        <s v="Sleight of Hand"/>
        <s v="Sulfur Falls"/>
        <s v="Early Frost"/>
        <s v="Echoing Truth"/>
        <s v="Whipcorder"/>
        <s v="Silver Knight"/>
        <s v="Pacifism"/>
        <s v="Oblation"/>
        <s v="Akroma's Vengeance"/>
        <s v="Savannah Lions"/>
        <s v="Renewed Faith"/>
        <s v="Wing Shards"/>
        <s v="Secluded Steppe"/>
        <s v="Temple of the False God"/>
        <s v="Eight-and-a-Half-Tails"/>
        <s v="Kami of Ancient Law"/>
        <s v="Goblin Pyromancer"/>
        <s v="Goblin Token (Red 1/1)"/>
        <s v="Gempalm Incinerator"/>
        <s v="Goblin Matron"/>
        <s v="Goblin Piledriver"/>
        <m/>
      </sharedItems>
    </cacheField>
    <cacheField name="Edition" numFmtId="0">
      <sharedItems containsBlank="1" count="345">
        <s v="Marvel Super Heroes"/>
        <s v="Unleashed"/>
        <s v="The Hobbit"/>
        <s v="Origins"/>
        <s v="Spiritforged"/>
        <s v="Origins: Promos"/>
        <s v="Innistrad Remastered: Extras"/>
        <s v="Modern Horizons 3: Extras"/>
        <s v="Innistrad: Crimson Vow"/>
        <s v="Commander: March of the Machine"/>
        <s v="Edge of Eternities: Promos"/>
        <s v="The Lord of the Rings: Tales of Middle-earth"/>
        <s v="Innistrad: Midnight Hunt"/>
        <s v="Scourge"/>
        <s v="Lorwyn Eclipsed: Extras"/>
        <s v="Modern Horizons 2"/>
        <s v="The Brothers' War: Extras"/>
        <s v="Betrayers of Kamigawa"/>
        <s v="Spiritforged: Promos"/>
        <s v="Proving Grounds"/>
        <s v="Secrets of Strixhaven: Extras"/>
        <s v="Kamigawa: Neon Dynasty"/>
        <s v="Modern Horizons 3"/>
        <s v="DCI Promos"/>
        <s v="Tarkir: Dragonstorm"/>
        <s v="Secret Lair Drop Series"/>
        <s v="Secrets of Strixhaven: Mystical Archive"/>
        <s v="Secrets of Strixhaven"/>
        <s v="Commander: Kaldheim"/>
        <s v="Rise of the Eldrazi"/>
        <s v="Judgment"/>
        <s v="Chronicles"/>
        <s v="Commander: The Brothers' War"/>
        <s v="Commander: Dominaria United"/>
        <s v="Phyrexia: All Will Be One"/>
        <s v="Unstable"/>
        <s v="Urza's Destiny"/>
        <s v="Modern Horizons"/>
        <s v="Edge of Eternities"/>
        <s v="Time Spiral"/>
        <s v="Ultimate Masters"/>
        <s v="War of the Spark"/>
        <s v="Innistrad"/>
        <s v="Teenage Mutant Ninja Turtles"/>
        <s v="Edge of Eternities: Extras"/>
        <s v="Theros Beyond Death"/>
        <s v="Khans of Tarkir"/>
        <s v="March of the Machine: The Aftermath"/>
        <s v="March of the Machine: Extras"/>
        <s v="The List"/>
        <s v="Aetherdrift: Promos"/>
        <s v="Duskmourn: House of Horror"/>
        <s v="Magic 2010"/>
        <s v="FINAL FANTASY"/>
        <s v="Bloomburrow: Extras"/>
        <s v="Odyssey"/>
        <s v="Innistrad Remastered"/>
        <s v="Shadows over Innistrad"/>
        <s v="Eldritch Moon"/>
        <s v="Avatar: The Last Airbender"/>
        <s v="Modern Horizons 2: Extras"/>
        <s v="March of the Machine"/>
        <s v="Murders at Karlov Manor: Extras"/>
        <s v="Starter Commander Decks"/>
        <s v="Double Masters 2022"/>
        <s v="Double Masters"/>
        <s v="Avacyn Restored"/>
        <s v="The Brothers' War"/>
        <s v="Outlaws of Thunder Junction"/>
        <s v="Aetherdrift: Extras"/>
        <s v="Enchanting Tales"/>
        <s v="Streets of New Capenna: Extras"/>
        <s v="New Phyrexia"/>
        <s v="Apocalypse"/>
        <s v="Commander: Adventures in the Forgotten Realms"/>
        <s v="Magic: The Gathering | Avatar: The Last Airbender"/>
        <s v="Murders at Karlov Manor"/>
        <s v="Gatecrash"/>
        <s v="Worldwake"/>
        <s v="Lorwyn Eclipsed"/>
        <s v="Commander Legends: Battle for Baldur's Gate: Extras"/>
        <s v="Aether Revolt"/>
        <s v="Duskmourn: House of Horror: Extras"/>
        <s v="Throne of Eldraine"/>
        <s v="Lorwyn"/>
        <s v="Lorwyn Eclipsed: Promos"/>
        <s v="Weatherlight"/>
        <s v="Exodus"/>
        <s v="Time Spiral Remastered: Extras"/>
        <s v="Mirrodin"/>
        <s v="Iconic Masters"/>
        <s v="Ice Age"/>
        <s v="Tempest"/>
        <s v="Universes Beyond: Doctor Who"/>
        <s v="Nemesis"/>
        <s v="Shards of Alara"/>
        <s v="Core 2020"/>
        <s v="Dragons of Tarkir"/>
        <s v="Special Guests"/>
        <s v="Tarkir: Dragonstorm: Promos"/>
        <s v="Commander 2019"/>
        <s v="Core 2021"/>
        <s v="Magic 2011"/>
        <s v="Dominaria Remastered: Extras"/>
        <s v="Torment"/>
        <s v="Stronghold"/>
        <s v="Innistrad: Crimson Vow: Promos"/>
        <s v="Foundations Jumpstart"/>
        <s v="Modern Horizons: Retro Frame Cards"/>
        <s v="Legends"/>
        <s v="Magic: The Gathering Foundations: Promo"/>
        <s v="Invasion"/>
        <s v="Time Spiral Remastered"/>
        <s v="Zendikar Rising"/>
        <s v="Commander"/>
        <s v="Return to Ravnica"/>
        <s v="Commander: Modern Horizons 3"/>
        <s v="Kaladesh"/>
        <s v="Bloomburrow"/>
        <s v="Planeshift"/>
        <s v="Urza's Saga"/>
        <s v="Mirage"/>
        <s v="Saviors of Kamigawa"/>
        <s v="Murders at Karlov Manor: Promos"/>
        <s v="Future Sight"/>
        <s v="Duskmourn: House of Horror: Promo"/>
        <s v="Zendikar"/>
        <s v="Commander: The Lost Caverns of Ixalan"/>
        <s v="Outlaws of Thunder Junction: Promos"/>
        <s v="Commander Legends"/>
        <s v="Commander: The Lost Caverns of Ixalan: Ex"/>
        <s v="Commander: March of the Machine: Ext"/>
        <s v="Planar Chaos"/>
        <s v="The Lost Caverns of Ixalan"/>
        <s v="Zendikar Rising Expeditions"/>
        <s v="Commander: Modern Horizons 3: Extras"/>
        <s v="Fifth Dawn"/>
        <s v="Commander 2013"/>
        <s v="Magic: The Gathering - FINAL FANTASY: Extras"/>
        <s v="Dominaria United"/>
        <s v="Prophecy"/>
        <s v="Adventures in the Forgotten Realms: Extras"/>
        <s v="Revised"/>
        <s v="Sin edición especificada"/>
        <s v="Modern Masters"/>
        <s v="March of the Machine: Promos"/>
        <s v="Ravnica: City of Guilds"/>
        <s v="Onslaught"/>
        <s v="Multiverse Legends"/>
        <s v="The Lost Caverns of Ixalan: Promos"/>
        <s v="Secret Lair Drop Series: 30th Anniversary Countdown"/>
        <s v="The Big Score"/>
        <s v="Mystery Booster"/>
        <s v="Magic: The Gathering | Marvel's Spider-Man"/>
        <s v="Judge Rewards Promos"/>
        <s v="Conflux"/>
        <s v="Aetherdrift"/>
        <s v="Dark Ascension"/>
        <s v="Mercadian Masques"/>
        <s v="Scars of Mirrodin"/>
        <s v="Shadowmoor"/>
        <s v="Foreign Black Bordered"/>
        <s v="Secret Lair Drop Series: 30th Anniversa"/>
        <s v="Journey into Nyx"/>
        <s v="Morningtide"/>
        <s v="Magic 2012"/>
        <s v="Magic Origins"/>
        <s v="Mirrodin Besieged"/>
        <s v="Mystical Archive"/>
        <s v="Ravnica Remastered: Extras"/>
        <s v="Streets of New Capenna"/>
        <s v="Rivals of Ixalan"/>
        <s v="Chronicles: Japanese"/>
        <s v="Magic: The Gathering - FINAL FANTASY"/>
        <s v="Bloomburrow: Promos"/>
        <s v="Champions of Kamigawa"/>
        <s v="Fate Reforged"/>
        <s v="Promos"/>
        <s v="Alara Reborn"/>
        <s v="Innistrad: Midnight Hunt: Promos"/>
        <s v="Kamigawa: Neon Dynasty: Extras"/>
        <s v="Magic 2015"/>
        <s v="Strixhaven: School of Mages"/>
        <s v="Dragon's Maze"/>
        <s v="Secret Lair Drop Series: February Superdrop 2022"/>
        <s v="Secret Lair Drop Series: October Superdrop"/>
        <s v="Urza's Legacy"/>
        <s v="Magic: The Gathering | Marvel's Spider-Man:"/>
        <s v="Zendikar Rising: Promos"/>
        <s v="Secret Lair Drop Series: December Super"/>
        <s v="Magic: The Gathering Foundations"/>
        <s v="Core 2019"/>
        <s v="Guilds of Ravnica"/>
        <s v="Dominaria"/>
        <s v="Battle for Zendikar"/>
        <s v="Kaldheim"/>
        <s v="Ixalan"/>
        <s v="Magic 2014"/>
        <s v="Cats &amp; Cantrips Tokens"/>
        <s v="The Lost Caverns of Ixalan: Extras"/>
        <s v="Wilds of Eldraine"/>
        <s v="Magic: The Gathering Foundations: Extras"/>
        <s v="Outlaws of Thunder Junction: Extras"/>
        <s v="Tarkir: Dragonstorm: Extras"/>
        <s v="UA 3/"/>
        <s v="Universes Beyond: Assassin's Creed"/>
        <s v="Universes Beyond: Warhammer 40,000"/>
        <s v="Ravnica Allegiance"/>
        <s v="Duskmourn: House of Horror: Tokens"/>
        <s v="Modern Horizons 3: Retro Frame Cards"/>
        <s v="Adventures in the Forgotten Realms"/>
        <s v="Kamigawa: Neon Dynasty: Promos"/>
        <s v="Ikoria: Lair of Behemoths"/>
        <s v="Wilds of Eldraine: Promos"/>
        <s v="Phyrexia: All Will Be One: Extras"/>
        <s v="Zendikar Rising: Expeditions"/>
        <s v="Double Masters 2022: Extras"/>
        <s v="Fourth Edition: Black Bordered"/>
        <s v="Visions"/>
        <s v="Retro Frame Artifacts"/>
        <s v="Legions"/>
        <s v="Accesorios"/>
        <s v="Fifth Edition"/>
        <s v="Ravnica Remastered"/>
        <s v="Alliances"/>
        <s v="Wilds of Eldraine: Extras"/>
        <s v="Dominaria United: Extras"/>
        <s v="Double Masters: Extras"/>
        <s v="The Dark"/>
        <s v="Dissension"/>
        <s v="Universes Beyond: Assassin's Creed: E"/>
        <s v="Darksteel"/>
        <s v="Oath of the Gatewatch"/>
        <s v="Tenth Edition"/>
        <s v="Theros"/>
        <s v="Duel Decks: Elves vs. Goblins"/>
        <s v="Hour of Devastation"/>
        <s v="Adventures in the Forgotten Realms: Promos"/>
        <s v="Theros Beyond Death: Promos"/>
        <s v="Kaldheim: Extras"/>
        <s v="Commander Masters: Extras"/>
        <s v="Commander: Duskmourn: House of Horror: Extras"/>
        <s v="Buy a Box Promos"/>
        <s v="Bloomburrow: Tokens"/>
        <s v="The Brothers' War: Promos"/>
        <s v="Black"/>
        <s v="Commander 2018"/>
        <s v="Ikoria: Lair of Behemoths: Extras"/>
        <s v="Store Championship Promos"/>
        <s v="Theros Beyond Death: Extras"/>
        <s v="Modern Masters 2015"/>
        <s v="Kaldheim: Promos"/>
        <s v="Player Rewards Promos"/>
        <s v="Commander: Outlaws of Thunder Junction"/>
        <s v="Prerelease Promos"/>
        <s v="Friday Night Magic Promos"/>
        <s v="Ninth Edition"/>
        <s v="Universes Beyond: Fallou"/>
        <s v="Secret Lair Drop Series: Out of Time Super"/>
        <s v="Modern Masters 2017"/>
        <s v="Modern Horizons 3: Tok"/>
        <s v="Masters 25"/>
        <s v="Zendikar Rising: Extras"/>
        <s v="Amonkhet"/>
        <s v="From the Vault: Realms"/>
        <s v="Wings of the Captain"/>
        <s v="Duel Decks: Merfolk vs. Goblins"/>
        <s v="Dominaria Remastered"/>
        <s v="Core 2020: Extras"/>
        <s v="Streets of New Capenna: Promos"/>
        <s v="Ultra Deck: The Three Brothers"/>
        <s v="30th Anniversary Celebration"/>
        <s v="Release Promos"/>
        <s v="Commander Masters"/>
        <s v="Dominaria United: Promos"/>
        <s v="Commander Legends: Extras"/>
        <s v="Secret Lair Commander Deck: Raining Cats"/>
        <s v="Commander Legends: Battle for Baldur's Gate"/>
        <s v="Commander: Ikoria"/>
        <s v="Unglued"/>
        <s v="Commander: The Lord of the Rings:"/>
        <s v="Paramount War"/>
        <s v="Starter Deck: ONE PIECE FILM edition"/>
        <s v="Awakening of the New Era"/>
        <s v="OP05-"/>
        <s v="Kingdoms of Intrigue"/>
        <s v="Starter Deck: Absolute Justice"/>
        <s v="Guilds of Ravnica: Guild Kits"/>
        <s v="Secret Lair Drop Series: April Superdrop 2022"/>
        <s v="Unhinged"/>
        <s v="Innistrad: Crimson Vow: Extras"/>
        <s v="OP04-0"/>
        <s v="Duel Decks: Nissa vs. Ob Nixilis"/>
        <s v="Commander Collectio"/>
        <s v="Throne of Eldraine: Promos"/>
        <s v="Pillars of Strength"/>
        <s v="Romance Dawn"/>
        <s v="The Lord of the Rings: Tales of Middle-earth: Extras"/>
        <s v="Commander: Streets of New Capenna"/>
        <s v="Commander: The Lord of the Rings: Tales of Middle-"/>
        <s v="Unfinity: Extras"/>
        <s v="Innistrad: Midnight Hunt: Extras"/>
        <s v="Unnumbered Promos"/>
        <s v="Eventide"/>
        <s v="Clear"/>
        <s v="Magic the Gathering"/>
        <s v="Commander: Kamigawa: Neon Dynasty"/>
        <s v="Version 2"/>
        <s v="Phyrexia: All Will Be One: Promos"/>
        <s v="MagicFest Promos"/>
        <s v="Commander: Strixhaven"/>
        <s v="Duel Decks: Elves vs. Inventors"/>
        <s v="Unfinity"/>
        <s v="Modern Event Deck 2014"/>
        <s v="Core 2021: Promos"/>
        <s v="Ruby"/>
        <s v="Frosted"/>
        <s v="Amber"/>
        <s v="Commander 2016"/>
        <s v="Jumpstart"/>
        <s v="Amethyst"/>
        <s v="Game Day Promos"/>
        <s v="2016 Version"/>
        <s v="Version 1"/>
        <s v="Commander Anthology"/>
        <s v="Signature Spellbook: Jace"/>
        <s v="Malachit"/>
        <s v="Gateway Promos"/>
        <s v="Innistrad: Double Feature"/>
        <s v="Poppy Topaz"/>
        <s v="Sapphire"/>
        <s v="Game Day Set Promos"/>
        <s v="Commander Anthology II"/>
        <s v="Throne of Eldraine: Extras"/>
        <s v="Core 2021: Extras"/>
        <s v="Eternal Masters"/>
        <s v="Commander: Innistrad: Crimson Vow"/>
        <s v="Duel Decks: Ajani vs. Nicol Bolas"/>
        <s v="Premium Deck Series: Fire &amp; Lightning"/>
        <s v="Guildpact"/>
        <s v="From the Vault: Angels"/>
        <s v="Commander 2014"/>
        <s v="Duel Decks: Anthology"/>
        <m/>
        <s v="FINAL FANTASY: Extras" u="1"/>
      </sharedItems>
    </cacheField>
    <cacheField name="Playset" numFmtId="0">
      <sharedItems containsBlank="1"/>
    </cacheField>
    <cacheField name="Language" numFmtId="0">
      <sharedItems containsBlank="1"/>
    </cacheField>
    <cacheField name="Unit Price" numFmtId="0">
      <sharedItems containsString="0" containsBlank="1" containsNumber="1" minValue="2.081027991487969E-2" maxValue="600"/>
    </cacheField>
    <cacheField name="Quantity" numFmtId="0">
      <sharedItems containsString="0" containsBlank="1" containsNumber="1" containsInteger="1" minValue="1" maxValue="10"/>
    </cacheField>
    <cacheField name="Total" numFmtId="0">
      <sharedItems containsString="0" containsBlank="1" containsNumber="1" minValue="2.2186311787072241E-2" maxValue="899.9"/>
    </cacheField>
    <cacheField name="Tipo Operación" numFmtId="0">
      <sharedItems containsBlank="1" count="4">
        <s v="Compra"/>
        <s v="Venta"/>
        <m/>
        <s v="Cancelado" u="1"/>
      </sharedItems>
    </cacheField>
    <cacheField name="Precio de venta" numFmtId="0">
      <sharedItems containsString="0" containsBlank="1" containsNumber="1" minValue="0.13439999999999999" maxValue="155.32000000000002"/>
    </cacheField>
    <cacheField name="TCG" numFmtId="0">
      <sharedItems containsBlank="1" count="4">
        <s v="Magic The Gathering"/>
        <s v="Riftbound"/>
        <s v="One Piec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6">
  <r>
    <n v="1285152349"/>
    <x v="0"/>
    <x v="0"/>
    <d v="2026-06-29T20:21:26"/>
    <s v="Distritozero-Bilbao"/>
    <x v="0"/>
    <x v="0"/>
    <s v="Si"/>
    <s v="Inglés"/>
    <n v="1.1025"/>
    <n v="4"/>
    <n v="4.41"/>
    <x v="0"/>
    <m/>
    <x v="0"/>
  </r>
  <r>
    <s v="N/A"/>
    <x v="0"/>
    <x v="0"/>
    <d v="2026-06-28T19:34:51"/>
    <s v="Nachín"/>
    <x v="1"/>
    <x v="1"/>
    <s v="No"/>
    <s v="Inglés"/>
    <n v="590"/>
    <n v="1"/>
    <n v="590"/>
    <x v="0"/>
    <m/>
    <x v="1"/>
  </r>
  <r>
    <s v="#112488"/>
    <x v="0"/>
    <x v="0"/>
    <d v="2026-06-28T19:34:51"/>
    <s v="Magic Barcelona"/>
    <x v="2"/>
    <x v="2"/>
    <s v="No"/>
    <s v="Inglés"/>
    <n v="449.95"/>
    <n v="2"/>
    <n v="899.9"/>
    <x v="0"/>
    <m/>
    <x v="0"/>
  </r>
  <r>
    <n v="1284988797"/>
    <x v="0"/>
    <x v="0"/>
    <d v="2026-06-28T19:34:51"/>
    <s v="Mariluz92"/>
    <x v="3"/>
    <x v="3"/>
    <s v="No"/>
    <s v="Inglés"/>
    <n v="1.7"/>
    <n v="1"/>
    <n v="1.7"/>
    <x v="0"/>
    <m/>
    <x v="1"/>
  </r>
  <r>
    <n v="1284988792"/>
    <x v="0"/>
    <x v="0"/>
    <d v="2026-06-28T19:34:51"/>
    <s v="Oscar161"/>
    <x v="3"/>
    <x v="3"/>
    <s v="No"/>
    <s v="Inglés"/>
    <n v="1.65"/>
    <n v="1"/>
    <n v="1.65"/>
    <x v="0"/>
    <m/>
    <x v="1"/>
  </r>
  <r>
    <n v="1284986651"/>
    <x v="0"/>
    <x v="0"/>
    <d v="2026-06-28T19:34:51"/>
    <s v="CartinhaBrilhante"/>
    <x v="4"/>
    <x v="1"/>
    <s v="No"/>
    <s v="Inglés"/>
    <n v="6.7282386595831616"/>
    <n v="2"/>
    <n v="13.456477319166323"/>
    <x v="0"/>
    <m/>
    <x v="1"/>
  </r>
  <r>
    <n v="1284986651"/>
    <x v="0"/>
    <x v="0"/>
    <d v="2026-06-28T19:34:51"/>
    <s v="CartinhaBrilhante"/>
    <x v="5"/>
    <x v="1"/>
    <s v="No"/>
    <s v="Inglés"/>
    <n v="0.30894973436861473"/>
    <n v="3"/>
    <n v="0.92684920310584418"/>
    <x v="0"/>
    <m/>
    <x v="1"/>
  </r>
  <r>
    <n v="1284986651"/>
    <x v="0"/>
    <x v="0"/>
    <d v="2026-06-28T19:34:51"/>
    <s v="CartinhaBrilhante"/>
    <x v="6"/>
    <x v="3"/>
    <s v="No"/>
    <s v="Inglés"/>
    <n v="0.3661626481405803"/>
    <n v="2"/>
    <n v="0.73232529628116061"/>
    <x v="0"/>
    <m/>
    <x v="1"/>
  </r>
  <r>
    <n v="1284986651"/>
    <x v="0"/>
    <x v="0"/>
    <d v="2026-06-28T19:34:51"/>
    <s v="CartinhaBrilhante"/>
    <x v="7"/>
    <x v="3"/>
    <s v="No"/>
    <s v="Inglés"/>
    <n v="13.158970167552109"/>
    <n v="3"/>
    <n v="39.476910502656324"/>
    <x v="0"/>
    <m/>
    <x v="1"/>
  </r>
  <r>
    <n v="1284986651"/>
    <x v="0"/>
    <x v="0"/>
    <d v="2026-06-28T19:34:51"/>
    <s v="CartinhaBrilhante"/>
    <x v="8"/>
    <x v="1"/>
    <s v="No"/>
    <s v="Inglés"/>
    <n v="0.20596648957907651"/>
    <n v="3"/>
    <n v="0.61789946873722956"/>
    <x v="0"/>
    <m/>
    <x v="1"/>
  </r>
  <r>
    <n v="1284986651"/>
    <x v="0"/>
    <x v="0"/>
    <d v="2026-06-28T19:34:51"/>
    <s v="CartinhaBrilhante"/>
    <x v="9"/>
    <x v="1"/>
    <s v="No"/>
    <s v="Inglés"/>
    <n v="0.26317940335104212"/>
    <n v="3"/>
    <n v="0.7895382100531263"/>
    <x v="0"/>
    <m/>
    <x v="1"/>
  </r>
  <r>
    <n v="1284986254"/>
    <x v="0"/>
    <x v="0"/>
    <d v="2026-06-28T19:34:51"/>
    <s v="PulpulFolker"/>
    <x v="10"/>
    <x v="1"/>
    <s v="No"/>
    <s v="Inglés"/>
    <n v="3.4719799498746871"/>
    <n v="2"/>
    <n v="6.9439598997493741"/>
    <x v="0"/>
    <m/>
    <x v="1"/>
  </r>
  <r>
    <n v="1284986254"/>
    <x v="0"/>
    <x v="0"/>
    <d v="2026-06-28T19:34:51"/>
    <s v="PulpulFolker"/>
    <x v="11"/>
    <x v="1"/>
    <s v="No"/>
    <s v="Inglés"/>
    <n v="3.4719799498746871"/>
    <n v="2"/>
    <n v="6.9439598997493741"/>
    <x v="0"/>
    <m/>
    <x v="1"/>
  </r>
  <r>
    <n v="1284986254"/>
    <x v="0"/>
    <x v="0"/>
    <d v="2026-06-28T19:34:51"/>
    <s v="PulpulFolker"/>
    <x v="12"/>
    <x v="3"/>
    <s v="No"/>
    <s v="Inglés"/>
    <n v="0.529624060150376"/>
    <n v="1"/>
    <n v="0.529624060150376"/>
    <x v="0"/>
    <m/>
    <x v="1"/>
  </r>
  <r>
    <n v="1284986254"/>
    <x v="0"/>
    <x v="0"/>
    <d v="2026-06-28T19:34:51"/>
    <s v="PulpulFolker"/>
    <x v="13"/>
    <x v="3"/>
    <s v="No"/>
    <s v="Inglés"/>
    <n v="1.6477192982456139"/>
    <n v="1"/>
    <n v="1.6477192982456139"/>
    <x v="0"/>
    <m/>
    <x v="1"/>
  </r>
  <r>
    <n v="1284986254"/>
    <x v="0"/>
    <x v="0"/>
    <d v="2026-06-28T19:34:51"/>
    <s v="PulpulFolker"/>
    <x v="4"/>
    <x v="1"/>
    <s v="Si"/>
    <s v="Inglés"/>
    <n v="7.0028070175438586"/>
    <n v="4"/>
    <n v="28.011228070175434"/>
    <x v="0"/>
    <m/>
    <x v="1"/>
  </r>
  <r>
    <n v="1284986254"/>
    <x v="0"/>
    <x v="0"/>
    <d v="2026-06-28T19:34:51"/>
    <s v="PulpulFolker"/>
    <x v="14"/>
    <x v="3"/>
    <s v="No"/>
    <s v="Inglés"/>
    <n v="2.8835087719298249"/>
    <n v="1"/>
    <n v="2.8835087719298249"/>
    <x v="0"/>
    <m/>
    <x v="1"/>
  </r>
  <r>
    <n v="1284983295"/>
    <x v="0"/>
    <x v="0"/>
    <d v="2026-06-28T19:34:51"/>
    <s v="Cyrusi"/>
    <x v="15"/>
    <x v="3"/>
    <s v="No"/>
    <s v="Inglés"/>
    <n v="24.53"/>
    <n v="2"/>
    <n v="49.06"/>
    <x v="0"/>
    <m/>
    <x v="1"/>
  </r>
  <r>
    <n v="1284982979"/>
    <x v="0"/>
    <x v="0"/>
    <d v="2026-06-28T19:34:51"/>
    <s v="Azgrand"/>
    <x v="15"/>
    <x v="3"/>
    <s v="No"/>
    <s v="Inglés"/>
    <n v="16.45"/>
    <n v="1"/>
    <n v="16.45"/>
    <x v="0"/>
    <m/>
    <x v="1"/>
  </r>
  <r>
    <n v="1284982829"/>
    <x v="0"/>
    <x v="0"/>
    <d v="2026-06-28T19:34:51"/>
    <s v="Canichev"/>
    <x v="11"/>
    <x v="1"/>
    <s v="No"/>
    <s v="Inglés"/>
    <n v="2.6969832402234641"/>
    <n v="1"/>
    <n v="2.6969832402234641"/>
    <x v="0"/>
    <m/>
    <x v="1"/>
  </r>
  <r>
    <n v="1284982829"/>
    <x v="0"/>
    <x v="0"/>
    <d v="2026-06-28T19:34:51"/>
    <s v="Canichev"/>
    <x v="16"/>
    <x v="3"/>
    <s v="No"/>
    <s v="Inglés"/>
    <n v="0.5430167597765363"/>
    <n v="1"/>
    <n v="0.5430167597765363"/>
    <x v="0"/>
    <m/>
    <x v="1"/>
  </r>
  <r>
    <n v="1284982814"/>
    <x v="0"/>
    <x v="0"/>
    <d v="2026-06-28T19:34:51"/>
    <s v="Gorgonas87"/>
    <x v="3"/>
    <x v="3"/>
    <s v="No"/>
    <s v="Inglés"/>
    <n v="0.54545454545454541"/>
    <n v="1"/>
    <n v="0.54545454545454541"/>
    <x v="0"/>
    <m/>
    <x v="1"/>
  </r>
  <r>
    <n v="1284982814"/>
    <x v="0"/>
    <x v="0"/>
    <d v="2026-06-28T19:34:51"/>
    <s v="Gorgonas87"/>
    <x v="17"/>
    <x v="4"/>
    <s v="No"/>
    <s v="Inglés"/>
    <n v="1.454545454545455"/>
    <n v="1"/>
    <n v="1.454545454545455"/>
    <x v="0"/>
    <m/>
    <x v="1"/>
  </r>
  <r>
    <n v="1284982624"/>
    <x v="0"/>
    <x v="0"/>
    <d v="2026-06-28T19:34:51"/>
    <s v="ManaCore"/>
    <x v="12"/>
    <x v="3"/>
    <s v="No"/>
    <s v="Inglés"/>
    <n v="1.4450000000000001"/>
    <n v="2"/>
    <n v="2.89"/>
    <x v="0"/>
    <m/>
    <x v="1"/>
  </r>
  <r>
    <n v="1284982290"/>
    <x v="0"/>
    <x v="0"/>
    <d v="2026-06-28T19:34:51"/>
    <s v="Silvela"/>
    <x v="17"/>
    <x v="4"/>
    <s v="No"/>
    <s v="Inglés"/>
    <n v="0.11812499999999999"/>
    <n v="2"/>
    <n v="0.23624999999999999"/>
    <x v="0"/>
    <m/>
    <x v="1"/>
  </r>
  <r>
    <n v="1284982290"/>
    <x v="0"/>
    <x v="0"/>
    <d v="2026-06-28T19:34:51"/>
    <s v="Silvela"/>
    <x v="18"/>
    <x v="3"/>
    <s v="No"/>
    <s v="Inglés"/>
    <n v="1.1812499999999999"/>
    <n v="1"/>
    <n v="1.1812499999999999"/>
    <x v="0"/>
    <m/>
    <x v="1"/>
  </r>
  <r>
    <n v="1284982290"/>
    <x v="0"/>
    <x v="0"/>
    <d v="2026-06-28T19:34:51"/>
    <s v="Silvela"/>
    <x v="19"/>
    <x v="3"/>
    <s v="No"/>
    <s v="Inglés"/>
    <n v="4.0162499999999994"/>
    <n v="2"/>
    <n v="8.0324999999999989"/>
    <x v="0"/>
    <m/>
    <x v="1"/>
  </r>
  <r>
    <n v="1284981397"/>
    <x v="0"/>
    <x v="0"/>
    <d v="2026-06-28T19:34:51"/>
    <s v="Moria05"/>
    <x v="20"/>
    <x v="4"/>
    <s v="No"/>
    <s v="Inglés"/>
    <n v="0.53920844327176776"/>
    <n v="3"/>
    <n v="1.6176253298153034"/>
    <x v="0"/>
    <m/>
    <x v="1"/>
  </r>
  <r>
    <n v="1284981397"/>
    <x v="0"/>
    <x v="0"/>
    <d v="2026-06-28T19:34:51"/>
    <s v="Moria05"/>
    <x v="21"/>
    <x v="3"/>
    <s v="No"/>
    <s v="Inglés"/>
    <n v="1.7144063324538259"/>
    <n v="1"/>
    <n v="1.7144063324538259"/>
    <x v="0"/>
    <m/>
    <x v="1"/>
  </r>
  <r>
    <n v="1284981397"/>
    <x v="0"/>
    <x v="0"/>
    <d v="2026-06-28T19:34:51"/>
    <s v="Moria05"/>
    <x v="22"/>
    <x v="4"/>
    <s v="No"/>
    <s v="Inglés"/>
    <n v="0.47007915567282321"/>
    <n v="3"/>
    <n v="1.4102374670184696"/>
    <x v="0"/>
    <m/>
    <x v="1"/>
  </r>
  <r>
    <n v="1284981397"/>
    <x v="0"/>
    <x v="0"/>
    <d v="2026-06-28T19:34:51"/>
    <s v="Moria05"/>
    <x v="23"/>
    <x v="1"/>
    <s v="No"/>
    <s v="Inglés"/>
    <n v="0.49773087071240107"/>
    <n v="1"/>
    <n v="0.49773087071240107"/>
    <x v="0"/>
    <m/>
    <x v="1"/>
  </r>
  <r>
    <n v="1284981025"/>
    <x v="0"/>
    <x v="0"/>
    <d v="2026-06-28T19:34:51"/>
    <s v="Distritozero-Bilbao"/>
    <x v="24"/>
    <x v="1"/>
    <s v="No"/>
    <s v="Inglés"/>
    <n v="22.95"/>
    <n v="2"/>
    <n v="45.9"/>
    <x v="0"/>
    <m/>
    <x v="1"/>
  </r>
  <r>
    <n v="1284981025"/>
    <x v="0"/>
    <x v="0"/>
    <d v="2026-06-28T19:34:51"/>
    <s v="Distritozero-Bilbao"/>
    <x v="25"/>
    <x v="4"/>
    <s v="No"/>
    <s v="Inglés"/>
    <n v="1.4"/>
    <n v="3"/>
    <n v="4.1999999999999993"/>
    <x v="0"/>
    <m/>
    <x v="1"/>
  </r>
  <r>
    <n v="1284981025"/>
    <x v="0"/>
    <x v="0"/>
    <d v="2026-06-28T19:34:51"/>
    <s v="Distritozero-Bilbao"/>
    <x v="26"/>
    <x v="4"/>
    <s v="No"/>
    <s v="Inglés"/>
    <n v="4.7"/>
    <n v="3"/>
    <n v="14.100000000000001"/>
    <x v="0"/>
    <m/>
    <x v="1"/>
  </r>
  <r>
    <n v="1284981025"/>
    <x v="0"/>
    <x v="0"/>
    <d v="2026-06-28T19:34:51"/>
    <s v="Distritozero-Bilbao"/>
    <x v="27"/>
    <x v="4"/>
    <s v="No"/>
    <s v="Inglés"/>
    <n v="4.95"/>
    <n v="1"/>
    <n v="4.95"/>
    <x v="0"/>
    <m/>
    <x v="1"/>
  </r>
  <r>
    <n v="1284969484"/>
    <x v="0"/>
    <x v="0"/>
    <d v="2026-06-28T18:40:59"/>
    <s v="Midgar"/>
    <x v="28"/>
    <x v="4"/>
    <s v="No"/>
    <s v="Inglés"/>
    <n v="62.520833333333343"/>
    <n v="1"/>
    <n v="62.520833333333343"/>
    <x v="0"/>
    <m/>
    <x v="1"/>
  </r>
  <r>
    <n v="1284969484"/>
    <x v="0"/>
    <x v="0"/>
    <d v="2026-06-28T18:40:59"/>
    <s v="Midgar"/>
    <x v="29"/>
    <x v="5"/>
    <s v="No"/>
    <s v="Inglés"/>
    <n v="237.57916666666671"/>
    <n v="1"/>
    <n v="237.57916666666671"/>
    <x v="0"/>
    <m/>
    <x v="1"/>
  </r>
  <r>
    <n v="1284968616"/>
    <x v="0"/>
    <x v="0"/>
    <d v="2026-06-28T17:57:29"/>
    <s v="Frikinexo"/>
    <x v="30"/>
    <x v="5"/>
    <s v="No"/>
    <s v="Inglés"/>
    <n v="236"/>
    <n v="1"/>
    <n v="236"/>
    <x v="0"/>
    <m/>
    <x v="1"/>
  </r>
  <r>
    <n v="1284926434"/>
    <x v="0"/>
    <x v="0"/>
    <d v="2026-06-28T17:57:29"/>
    <s v="RiftboundSpain"/>
    <x v="31"/>
    <x v="3"/>
    <s v="No"/>
    <s v="Inglés"/>
    <n v="1.083333333333333"/>
    <n v="3"/>
    <n v="3.2499999999999991"/>
    <x v="0"/>
    <m/>
    <x v="1"/>
  </r>
  <r>
    <n v="1284601698"/>
    <x v="0"/>
    <x v="0"/>
    <d v="2026-06-26T17:34:30"/>
    <s v="ElCige"/>
    <x v="32"/>
    <x v="6"/>
    <s v="Si"/>
    <s v="Japonés"/>
    <n v="21.96"/>
    <n v="4"/>
    <n v="87.84"/>
    <x v="1"/>
    <n v="87.84"/>
    <x v="0"/>
  </r>
  <r>
    <n v="1284476874"/>
    <x v="0"/>
    <x v="0"/>
    <d v="2026-06-26T03:25:02"/>
    <s v="RELIC-TCG"/>
    <x v="33"/>
    <x v="7"/>
    <s v="No"/>
    <s v="Japonés"/>
    <n v="4.55"/>
    <n v="1"/>
    <n v="4.55"/>
    <x v="1"/>
    <n v="4.55"/>
    <x v="0"/>
  </r>
  <r>
    <n v="1282390690"/>
    <x v="0"/>
    <x v="0"/>
    <d v="2026-06-24T13:08:27"/>
    <s v="Pyromonstah"/>
    <x v="34"/>
    <x v="8"/>
    <s v="Si"/>
    <s v="Inglés"/>
    <n v="0.61250000000000004"/>
    <n v="4"/>
    <n v="2.4500000000000002"/>
    <x v="1"/>
    <n v="2.4500000000000002"/>
    <x v="0"/>
  </r>
  <r>
    <n v="1284125120"/>
    <x v="0"/>
    <x v="0"/>
    <d v="2026-06-24T09:06:07"/>
    <s v="ColossalStore"/>
    <x v="35"/>
    <x v="0"/>
    <s v="Si"/>
    <s v="Inglés"/>
    <n v="0.70250000000000001"/>
    <n v="4"/>
    <n v="2.81"/>
    <x v="0"/>
    <m/>
    <x v="0"/>
  </r>
  <r>
    <n v="1283958909"/>
    <x v="0"/>
    <x v="0"/>
    <d v="2026-06-23T10:28:43"/>
    <s v="Ban365"/>
    <x v="36"/>
    <x v="5"/>
    <s v="No"/>
    <s v="Inglés"/>
    <n v="6.3533333333333326"/>
    <n v="3"/>
    <n v="19.059999999999999"/>
    <x v="0"/>
    <m/>
    <x v="1"/>
  </r>
  <r>
    <n v="1283814659"/>
    <x v="0"/>
    <x v="0"/>
    <d v="2026-06-22T18:12:17"/>
    <s v="Distritozero-Bilbao"/>
    <x v="37"/>
    <x v="1"/>
    <s v="No"/>
    <s v="Inglés"/>
    <n v="65"/>
    <n v="1"/>
    <n v="65"/>
    <x v="0"/>
    <m/>
    <x v="1"/>
  </r>
  <r>
    <n v="1282631998"/>
    <x v="0"/>
    <x v="0"/>
    <d v="2026-06-16T11:46:41"/>
    <s v="MikiRosinyol"/>
    <x v="38"/>
    <x v="9"/>
    <s v="No"/>
    <s v="Inglés"/>
    <n v="1.7"/>
    <n v="1"/>
    <n v="1.7"/>
    <x v="1"/>
    <n v="1.7"/>
    <x v="0"/>
  </r>
  <r>
    <n v="1282393287"/>
    <x v="0"/>
    <x v="0"/>
    <d v="2026-06-15T09:13:02"/>
    <s v="Distritozero-San"/>
    <x v="39"/>
    <x v="3"/>
    <s v="No"/>
    <s v="Inglés"/>
    <n v="3.45"/>
    <n v="1"/>
    <n v="3.45"/>
    <x v="0"/>
    <m/>
    <x v="1"/>
  </r>
  <r>
    <n v="1282393284"/>
    <x v="0"/>
    <x v="0"/>
    <d v="2026-06-15T09:13:02"/>
    <s v="DISTRITOZERO-TOLOSA"/>
    <x v="40"/>
    <x v="1"/>
    <s v="No"/>
    <s v="Inglés"/>
    <n v="4.4233333333333329"/>
    <n v="3"/>
    <n v="13.27"/>
    <x v="0"/>
    <m/>
    <x v="1"/>
  </r>
  <r>
    <n v="1282393282"/>
    <x v="0"/>
    <x v="0"/>
    <d v="2026-06-15T09:13:02"/>
    <s v="Taiaburame"/>
    <x v="41"/>
    <x v="3"/>
    <s v="No"/>
    <s v="Inglés"/>
    <n v="67.06"/>
    <n v="1"/>
    <n v="67.06"/>
    <x v="0"/>
    <m/>
    <x v="1"/>
  </r>
  <r>
    <n v="1282393281"/>
    <x v="0"/>
    <x v="0"/>
    <d v="2026-06-15T09:13:02"/>
    <s v="VaroCorp"/>
    <x v="39"/>
    <x v="3"/>
    <s v="No"/>
    <s v="Inglés"/>
    <n v="3.6749999999999998"/>
    <n v="2"/>
    <n v="7.35"/>
    <x v="0"/>
    <m/>
    <x v="1"/>
  </r>
  <r>
    <n v="1282393280"/>
    <x v="0"/>
    <x v="0"/>
    <d v="2026-06-15T09:13:02"/>
    <s v="TCG-MultiVerse"/>
    <x v="42"/>
    <x v="4"/>
    <s v="No"/>
    <s v="Inglés"/>
    <n v="0.93333333333333324"/>
    <n v="3"/>
    <n v="2.8"/>
    <x v="0"/>
    <m/>
    <x v="1"/>
  </r>
  <r>
    <n v="1282393042"/>
    <x v="0"/>
    <x v="0"/>
    <d v="2026-06-15T09:07:12"/>
    <s v="QTShyGuy"/>
    <x v="43"/>
    <x v="5"/>
    <s v="No"/>
    <s v="Inglés"/>
    <n v="62.35"/>
    <n v="1"/>
    <n v="62.35"/>
    <x v="0"/>
    <m/>
    <x v="1"/>
  </r>
  <r>
    <n v="1282329702"/>
    <x v="0"/>
    <x v="0"/>
    <d v="2026-06-14T21:34:28"/>
    <s v="Romperal"/>
    <x v="44"/>
    <x v="4"/>
    <s v="No"/>
    <s v="Inglés"/>
    <n v="1.9833333333333329"/>
    <n v="3"/>
    <n v="5.9499999999999993"/>
    <x v="0"/>
    <m/>
    <x v="1"/>
  </r>
  <r>
    <n v="1282325871"/>
    <x v="0"/>
    <x v="0"/>
    <d v="2026-06-14T21:34:28"/>
    <s v="Random-player"/>
    <x v="45"/>
    <x v="1"/>
    <s v="No"/>
    <s v="Inglés"/>
    <n v="1.1685208816705339"/>
    <n v="2"/>
    <n v="2.3370417633410678"/>
    <x v="0"/>
    <m/>
    <x v="1"/>
  </r>
  <r>
    <n v="1282325871"/>
    <x v="0"/>
    <x v="0"/>
    <d v="2026-06-14T21:34:28"/>
    <s v="Random-player"/>
    <x v="46"/>
    <x v="4"/>
    <s v="No"/>
    <s v="Inglés"/>
    <n v="58.426044083526683"/>
    <n v="1"/>
    <n v="58.426044083526683"/>
    <x v="0"/>
    <m/>
    <x v="1"/>
  </r>
  <r>
    <n v="1282325871"/>
    <x v="0"/>
    <x v="0"/>
    <d v="2026-06-14T21:34:28"/>
    <s v="Random-player"/>
    <x v="47"/>
    <x v="4"/>
    <s v="No"/>
    <s v="Inglés"/>
    <n v="0.22047563805104409"/>
    <n v="5"/>
    <n v="1.1023781902552203"/>
    <x v="0"/>
    <m/>
    <x v="1"/>
  </r>
  <r>
    <n v="1282325871"/>
    <x v="0"/>
    <x v="0"/>
    <d v="2026-06-14T21:34:28"/>
    <s v="Random-player"/>
    <x v="48"/>
    <x v="1"/>
    <s v="No"/>
    <s v="Inglés"/>
    <n v="0.34173723897911829"/>
    <n v="2"/>
    <n v="0.68347447795823657"/>
    <x v="0"/>
    <m/>
    <x v="1"/>
  </r>
  <r>
    <n v="1282325871"/>
    <x v="0"/>
    <x v="0"/>
    <d v="2026-06-14T21:34:28"/>
    <s v="Random-player"/>
    <x v="49"/>
    <x v="4"/>
    <s v="No"/>
    <s v="Inglés"/>
    <n v="0.82678364269141535"/>
    <n v="3"/>
    <n v="2.480350928074246"/>
    <x v="0"/>
    <m/>
    <x v="1"/>
  </r>
  <r>
    <n v="1282325871"/>
    <x v="0"/>
    <x v="0"/>
    <d v="2026-06-14T21:34:28"/>
    <s v="Random-player"/>
    <x v="50"/>
    <x v="1"/>
    <s v="No"/>
    <s v="Inglés"/>
    <n v="0.51811774941995359"/>
    <n v="3"/>
    <n v="1.5543532482598608"/>
    <x v="0"/>
    <m/>
    <x v="1"/>
  </r>
  <r>
    <n v="1282325871"/>
    <x v="0"/>
    <x v="0"/>
    <d v="2026-06-14T21:34:28"/>
    <s v="Random-player"/>
    <x v="51"/>
    <x v="1"/>
    <s v="No"/>
    <s v="Inglés"/>
    <n v="1.20159222737819"/>
    <n v="3"/>
    <n v="3.6047766821345704"/>
    <x v="0"/>
    <m/>
    <x v="1"/>
  </r>
  <r>
    <n v="1282325871"/>
    <x v="0"/>
    <x v="0"/>
    <d v="2026-06-14T21:34:28"/>
    <s v="Random-player"/>
    <x v="52"/>
    <x v="1"/>
    <s v="No"/>
    <s v="Inglés"/>
    <n v="1.8079002320185611"/>
    <n v="1"/>
    <n v="1.8079002320185611"/>
    <x v="0"/>
    <m/>
    <x v="1"/>
  </r>
  <r>
    <n v="1282325871"/>
    <x v="0"/>
    <x v="0"/>
    <d v="2026-06-14T21:34:28"/>
    <s v="Random-player"/>
    <x v="53"/>
    <x v="1"/>
    <s v="No"/>
    <s v="Inglés"/>
    <n v="0.51811774941995359"/>
    <n v="3"/>
    <n v="1.5543532482598608"/>
    <x v="0"/>
    <m/>
    <x v="1"/>
  </r>
  <r>
    <n v="1282325871"/>
    <x v="0"/>
    <x v="0"/>
    <d v="2026-06-14T21:34:28"/>
    <s v="Random-player"/>
    <x v="54"/>
    <x v="3"/>
    <s v="Si"/>
    <s v="Inglés"/>
    <n v="0.15433294663573091"/>
    <n v="4"/>
    <n v="0.61733178654292364"/>
    <x v="0"/>
    <m/>
    <x v="1"/>
  </r>
  <r>
    <n v="1282325871"/>
    <x v="0"/>
    <x v="0"/>
    <d v="2026-06-14T21:34:28"/>
    <s v="Random-player"/>
    <x v="55"/>
    <x v="4"/>
    <s v="No"/>
    <s v="Inglés"/>
    <n v="1.1354495359628769"/>
    <n v="1"/>
    <n v="1.1354495359628769"/>
    <x v="0"/>
    <m/>
    <x v="1"/>
  </r>
  <r>
    <n v="1282325871"/>
    <x v="0"/>
    <x v="0"/>
    <d v="2026-06-14T21:34:28"/>
    <s v="Random-player"/>
    <x v="56"/>
    <x v="4"/>
    <s v="No"/>
    <s v="Inglés"/>
    <n v="0.71654582366589326"/>
    <n v="1"/>
    <n v="0.71654582366589326"/>
    <x v="0"/>
    <m/>
    <x v="1"/>
  </r>
  <r>
    <n v="1281467267"/>
    <x v="0"/>
    <x v="0"/>
    <d v="2026-06-10T20:14:34"/>
    <s v="abeltran013"/>
    <x v="57"/>
    <x v="4"/>
    <s v="No"/>
    <s v="Inglés"/>
    <n v="4.6444444444444439"/>
    <n v="1"/>
    <n v="4.6444444444444439"/>
    <x v="0"/>
    <m/>
    <x v="1"/>
  </r>
  <r>
    <n v="1281467267"/>
    <x v="0"/>
    <x v="0"/>
    <d v="2026-06-10T20:14:34"/>
    <s v="abeltran013"/>
    <x v="58"/>
    <x v="1"/>
    <s v="No"/>
    <s v="Inglés"/>
    <n v="5.8055555555555554"/>
    <n v="1"/>
    <n v="5.8055555555555554"/>
    <x v="0"/>
    <m/>
    <x v="1"/>
  </r>
  <r>
    <n v="1281431764"/>
    <x v="0"/>
    <x v="0"/>
    <d v="2026-06-10T16:35:06"/>
    <s v="DISTRITOZERO-TOLOSA"/>
    <x v="52"/>
    <x v="1"/>
    <s v="No"/>
    <s v="Inglés"/>
    <n v="2.2250000000000001"/>
    <n v="2"/>
    <n v="4.45"/>
    <x v="0"/>
    <m/>
    <x v="1"/>
  </r>
  <r>
    <n v="1281426334"/>
    <x v="0"/>
    <x v="0"/>
    <d v="2026-06-10T16:35:06"/>
    <s v="Robs25"/>
    <x v="59"/>
    <x v="4"/>
    <s v="No"/>
    <s v="Inglés"/>
    <n v="1.583333333333333"/>
    <n v="3"/>
    <n v="4.7499999999999991"/>
    <x v="0"/>
    <m/>
    <x v="1"/>
  </r>
  <r>
    <n v="1281426128"/>
    <x v="0"/>
    <x v="0"/>
    <d v="2026-06-10T16:35:06"/>
    <s v="Moria05"/>
    <x v="60"/>
    <x v="4"/>
    <s v="No"/>
    <s v="Inglés"/>
    <n v="0.30104391468005021"/>
    <n v="3"/>
    <n v="0.90313174404015062"/>
    <x v="0"/>
    <m/>
    <x v="1"/>
  </r>
  <r>
    <n v="1281426128"/>
    <x v="0"/>
    <x v="0"/>
    <d v="2026-06-10T16:35:06"/>
    <s v="Moria05"/>
    <x v="61"/>
    <x v="4"/>
    <s v="No"/>
    <s v="Inglés"/>
    <n v="0.47306900878293612"/>
    <n v="3"/>
    <n v="1.4192070263488084"/>
    <x v="0"/>
    <m/>
    <x v="1"/>
  </r>
  <r>
    <n v="1281426128"/>
    <x v="0"/>
    <x v="0"/>
    <d v="2026-06-10T16:35:06"/>
    <s v="Moria05"/>
    <x v="62"/>
    <x v="1"/>
    <s v="No"/>
    <s v="Inglés"/>
    <n v="0.47306900878293612"/>
    <n v="3"/>
    <n v="1.4192070263488084"/>
    <x v="0"/>
    <m/>
    <x v="1"/>
  </r>
  <r>
    <n v="1281426128"/>
    <x v="0"/>
    <x v="0"/>
    <d v="2026-06-10T16:35:06"/>
    <s v="Moria05"/>
    <x v="63"/>
    <x v="4"/>
    <s v="No"/>
    <s v="Inglés"/>
    <n v="2.128810539523212"/>
    <n v="3"/>
    <n v="6.3864316185696364"/>
    <x v="0"/>
    <m/>
    <x v="1"/>
  </r>
  <r>
    <n v="1281426128"/>
    <x v="0"/>
    <x v="0"/>
    <d v="2026-06-10T16:35:06"/>
    <s v="Moria05"/>
    <x v="64"/>
    <x v="4"/>
    <s v="No"/>
    <s v="Inglés"/>
    <n v="0.36555332496863241"/>
    <n v="3"/>
    <n v="1.0966599749058972"/>
    <x v="0"/>
    <m/>
    <x v="1"/>
  </r>
  <r>
    <n v="1281426128"/>
    <x v="0"/>
    <x v="0"/>
    <d v="2026-06-10T16:35:06"/>
    <s v="Moria05"/>
    <x v="65"/>
    <x v="4"/>
    <s v="No"/>
    <s v="Inglés"/>
    <n v="24.717855708908409"/>
    <n v="3"/>
    <n v="74.153567126725221"/>
    <x v="0"/>
    <m/>
    <x v="1"/>
  </r>
  <r>
    <n v="1281426128"/>
    <x v="0"/>
    <x v="0"/>
    <d v="2026-06-10T16:35:06"/>
    <s v="Moria05"/>
    <x v="66"/>
    <x v="4"/>
    <s v="No"/>
    <s v="Inglés"/>
    <n v="0.31179548306148053"/>
    <n v="1"/>
    <n v="0.31179548306148053"/>
    <x v="0"/>
    <m/>
    <x v="1"/>
  </r>
  <r>
    <n v="1281332356"/>
    <x v="0"/>
    <x v="0"/>
    <d v="2026-06-10T07:46:13"/>
    <s v="DISTRITOZERO-TOLOSA"/>
    <x v="67"/>
    <x v="1"/>
    <s v="No"/>
    <s v="Inglés"/>
    <n v="2.0299999999999998"/>
    <n v="1"/>
    <n v="2.0299999999999998"/>
    <x v="0"/>
    <m/>
    <x v="1"/>
  </r>
  <r>
    <n v="1281325913"/>
    <x v="0"/>
    <x v="0"/>
    <d v="2026-06-10T07:03:03"/>
    <s v="DISTRITOZERO-TOLOSA"/>
    <x v="58"/>
    <x v="1"/>
    <s v="No"/>
    <s v="Inglés"/>
    <n v="5.9833333333333334"/>
    <n v="3"/>
    <n v="17.95"/>
    <x v="0"/>
    <m/>
    <x v="1"/>
  </r>
  <r>
    <n v="1280926007"/>
    <x v="0"/>
    <x v="0"/>
    <d v="2026-06-08T11:39:54"/>
    <s v="Shadowland"/>
    <x v="68"/>
    <x v="3"/>
    <s v="No"/>
    <s v="Inglés"/>
    <n v="7.45"/>
    <n v="1"/>
    <n v="7.45"/>
    <x v="0"/>
    <m/>
    <x v="1"/>
  </r>
  <r>
    <n v="1280879493"/>
    <x v="0"/>
    <x v="0"/>
    <d v="2026-06-08T10:06:45"/>
    <s v="Moria05"/>
    <x v="69"/>
    <x v="4"/>
    <s v="No"/>
    <s v="Inglés"/>
    <n v="1.0751774949765569"/>
    <n v="3"/>
    <n v="3.2255324849296709"/>
    <x v="0"/>
    <m/>
    <x v="1"/>
  </r>
  <r>
    <n v="1280879493"/>
    <x v="0"/>
    <x v="0"/>
    <d v="2026-06-08T10:06:45"/>
    <s v="Moria05"/>
    <x v="70"/>
    <x v="4"/>
    <s v="No"/>
    <s v="Inglés"/>
    <n v="13.15446751507033"/>
    <n v="1"/>
    <n v="13.15446751507033"/>
    <x v="0"/>
    <m/>
    <x v="1"/>
  </r>
  <r>
    <n v="1280668188"/>
    <x v="0"/>
    <x v="0"/>
    <d v="2026-06-07T09:25:48"/>
    <s v="Seikros"/>
    <x v="71"/>
    <x v="1"/>
    <s v="No"/>
    <s v="Inglés"/>
    <n v="112.06"/>
    <n v="1"/>
    <n v="112.06"/>
    <x v="0"/>
    <m/>
    <x v="1"/>
  </r>
  <r>
    <n v="1280656915"/>
    <x v="0"/>
    <x v="0"/>
    <d v="2026-06-07T08:25:23"/>
    <s v="Distritozero-Bilbao"/>
    <x v="72"/>
    <x v="1"/>
    <s v="No"/>
    <s v="Inglés"/>
    <n v="92.75"/>
    <n v="1"/>
    <n v="92.75"/>
    <x v="0"/>
    <m/>
    <x v="1"/>
  </r>
  <r>
    <n v="1280654053"/>
    <x v="0"/>
    <x v="0"/>
    <d v="2026-06-07T08:05:40"/>
    <s v="tonibetran"/>
    <x v="58"/>
    <x v="1"/>
    <s v="No"/>
    <s v="Inglés"/>
    <n v="5.4647435897435894"/>
    <n v="2"/>
    <n v="10.929487179487179"/>
    <x v="0"/>
    <m/>
    <x v="1"/>
  </r>
  <r>
    <n v="1280654053"/>
    <x v="0"/>
    <x v="0"/>
    <d v="2026-06-07T08:05:40"/>
    <s v="tonibetran"/>
    <x v="73"/>
    <x v="1"/>
    <s v="No"/>
    <s v="Inglés"/>
    <n v="5.4647435897435894"/>
    <n v="1"/>
    <n v="5.4647435897435894"/>
    <x v="0"/>
    <m/>
    <x v="1"/>
  </r>
  <r>
    <n v="1280654053"/>
    <x v="0"/>
    <x v="0"/>
    <d v="2026-06-07T08:05:40"/>
    <s v="tonibetran"/>
    <x v="74"/>
    <x v="1"/>
    <s v="No"/>
    <s v="Inglés"/>
    <n v="0.21858974358974359"/>
    <n v="3"/>
    <n v="0.65576923076923077"/>
    <x v="0"/>
    <m/>
    <x v="1"/>
  </r>
  <r>
    <n v="1280654047"/>
    <x v="0"/>
    <x v="0"/>
    <d v="2026-06-07T08:05:40"/>
    <s v="lacolmenatcg"/>
    <x v="58"/>
    <x v="1"/>
    <s v="No"/>
    <s v="Inglés"/>
    <n v="5.7249999999999996"/>
    <n v="2"/>
    <n v="11.45"/>
    <x v="0"/>
    <m/>
    <x v="1"/>
  </r>
  <r>
    <n v="1280652580"/>
    <x v="0"/>
    <x v="0"/>
    <d v="2026-06-07T08:05:40"/>
    <s v="SantaAnaFriki"/>
    <x v="75"/>
    <x v="3"/>
    <s v="No"/>
    <s v="Inglés"/>
    <n v="1.480272108843538"/>
    <n v="2"/>
    <n v="2.960544217687076"/>
    <x v="0"/>
    <m/>
    <x v="1"/>
  </r>
  <r>
    <n v="1280652580"/>
    <x v="0"/>
    <x v="0"/>
    <d v="2026-06-07T08:05:40"/>
    <s v="SantaAnaFriki"/>
    <x v="76"/>
    <x v="3"/>
    <s v="No"/>
    <s v="Inglés"/>
    <n v="2.9605442176870751"/>
    <n v="1"/>
    <n v="2.9605442176870751"/>
    <x v="0"/>
    <m/>
    <x v="1"/>
  </r>
  <r>
    <n v="1280652580"/>
    <x v="0"/>
    <x v="0"/>
    <d v="2026-06-07T08:05:40"/>
    <s v="SantaAnaFriki"/>
    <x v="77"/>
    <x v="1"/>
    <s v="No"/>
    <s v="Inglés"/>
    <n v="0.44408163265306122"/>
    <n v="3"/>
    <n v="1.3322448979591837"/>
    <x v="0"/>
    <m/>
    <x v="1"/>
  </r>
  <r>
    <n v="1280652580"/>
    <x v="0"/>
    <x v="0"/>
    <d v="2026-06-07T08:05:40"/>
    <s v="SantaAnaFriki"/>
    <x v="78"/>
    <x v="1"/>
    <s v="No"/>
    <s v="Inglés"/>
    <n v="0.44408163265306122"/>
    <n v="3"/>
    <n v="1.3322448979591837"/>
    <x v="0"/>
    <m/>
    <x v="1"/>
  </r>
  <r>
    <n v="1280652580"/>
    <x v="0"/>
    <x v="0"/>
    <d v="2026-06-07T08:05:40"/>
    <s v="SantaAnaFriki"/>
    <x v="79"/>
    <x v="1"/>
    <s v="No"/>
    <s v="Inglés"/>
    <n v="0.44408163265306122"/>
    <n v="3"/>
    <n v="1.3322448979591837"/>
    <x v="0"/>
    <m/>
    <x v="1"/>
  </r>
  <r>
    <n v="1280652580"/>
    <x v="0"/>
    <x v="0"/>
    <d v="2026-06-07T08:05:40"/>
    <s v="SantaAnaFriki"/>
    <x v="80"/>
    <x v="1"/>
    <s v="No"/>
    <s v="Inglés"/>
    <n v="5.9210884353741502"/>
    <n v="2"/>
    <n v="11.8421768707483"/>
    <x v="0"/>
    <m/>
    <x v="1"/>
  </r>
  <r>
    <n v="1280650991"/>
    <x v="0"/>
    <x v="0"/>
    <d v="2026-06-07T08:05:40"/>
    <s v="pabler7"/>
    <x v="76"/>
    <x v="3"/>
    <s v="No"/>
    <s v="Inglés"/>
    <n v="3.4"/>
    <n v="1"/>
    <n v="3.4"/>
    <x v="0"/>
    <m/>
    <x v="1"/>
  </r>
  <r>
    <n v="1280650986"/>
    <x v="0"/>
    <x v="0"/>
    <d v="2026-06-07T08:05:40"/>
    <s v="profetajones"/>
    <x v="81"/>
    <x v="1"/>
    <s v="No"/>
    <s v="Inglés"/>
    <n v="9.4499999999999993"/>
    <n v="1"/>
    <n v="9.4499999999999993"/>
    <x v="0"/>
    <m/>
    <x v="1"/>
  </r>
  <r>
    <n v="1280650981"/>
    <x v="0"/>
    <x v="0"/>
    <d v="2026-06-07T08:05:40"/>
    <s v="vvvpxblccvvv"/>
    <x v="82"/>
    <x v="3"/>
    <s v="No"/>
    <s v="Inglés"/>
    <n v="48.199674616006469"/>
    <n v="1"/>
    <n v="48.199674616006469"/>
    <x v="0"/>
    <m/>
    <x v="1"/>
  </r>
  <r>
    <n v="1280650981"/>
    <x v="0"/>
    <x v="0"/>
    <d v="2026-06-07T08:05:40"/>
    <s v="vvvpxblccvvv"/>
    <x v="83"/>
    <x v="1"/>
    <s v="No"/>
    <s v="Inglés"/>
    <n v="19.27344179466451"/>
    <n v="3"/>
    <n v="57.820325383993534"/>
    <x v="0"/>
    <m/>
    <x v="1"/>
  </r>
  <r>
    <n v="1280650978"/>
    <x v="0"/>
    <x v="0"/>
    <d v="2026-06-07T08:05:40"/>
    <s v="XoriPain"/>
    <x v="84"/>
    <x v="1"/>
    <s v="No"/>
    <s v="Inglés"/>
    <n v="9.35"/>
    <n v="1"/>
    <n v="9.35"/>
    <x v="0"/>
    <m/>
    <x v="1"/>
  </r>
  <r>
    <n v="1280650976"/>
    <x v="0"/>
    <x v="0"/>
    <d v="2026-06-07T08:05:40"/>
    <s v="Viti122496"/>
    <x v="85"/>
    <x v="3"/>
    <s v="No"/>
    <s v="Inglés"/>
    <n v="3.9833333333333329"/>
    <n v="3"/>
    <n v="11.95"/>
    <x v="0"/>
    <m/>
    <x v="1"/>
  </r>
  <r>
    <n v="1280650972"/>
    <x v="0"/>
    <x v="0"/>
    <d v="2026-06-07T08:05:40"/>
    <s v="Greward"/>
    <x v="68"/>
    <x v="3"/>
    <s v="No"/>
    <s v="Inglés"/>
    <n v="7.15"/>
    <n v="1"/>
    <n v="7.15"/>
    <x v="0"/>
    <m/>
    <x v="1"/>
  </r>
  <r>
    <n v="1280650970"/>
    <x v="0"/>
    <x v="0"/>
    <d v="2026-06-07T08:05:40"/>
    <s v="AMMolto"/>
    <x v="84"/>
    <x v="1"/>
    <s v="No"/>
    <s v="Inglés"/>
    <n v="10.95"/>
    <n v="1"/>
    <n v="10.95"/>
    <x v="0"/>
    <m/>
    <x v="1"/>
  </r>
  <r>
    <n v="1280650965"/>
    <x v="0"/>
    <x v="0"/>
    <d v="2026-06-07T08:05:40"/>
    <s v="Moria05"/>
    <x v="86"/>
    <x v="4"/>
    <s v="No"/>
    <s v="Inglés"/>
    <n v="1.6105882352941181"/>
    <n v="3"/>
    <n v="4.8317647058823541"/>
    <x v="0"/>
    <m/>
    <x v="1"/>
  </r>
  <r>
    <n v="1280650965"/>
    <x v="0"/>
    <x v="0"/>
    <d v="2026-06-07T08:05:40"/>
    <s v="Moria05"/>
    <x v="87"/>
    <x v="4"/>
    <s v="No"/>
    <s v="Inglés"/>
    <n v="1.386895424836601"/>
    <n v="3"/>
    <n v="4.1606862745098034"/>
    <x v="0"/>
    <m/>
    <x v="1"/>
  </r>
  <r>
    <n v="1280650965"/>
    <x v="0"/>
    <x v="0"/>
    <d v="2026-06-07T08:05:40"/>
    <s v="Moria05"/>
    <x v="88"/>
    <x v="3"/>
    <s v="No"/>
    <s v="Inglés"/>
    <n v="1.6105882352941181"/>
    <n v="2"/>
    <n v="3.2211764705882362"/>
    <x v="0"/>
    <m/>
    <x v="1"/>
  </r>
  <r>
    <n v="1280650965"/>
    <x v="0"/>
    <x v="0"/>
    <d v="2026-06-07T08:05:40"/>
    <s v="Moria05"/>
    <x v="89"/>
    <x v="4"/>
    <s v="No"/>
    <s v="Inglés"/>
    <n v="0.49212418300653599"/>
    <n v="3"/>
    <n v="1.476372549019608"/>
    <x v="0"/>
    <m/>
    <x v="1"/>
  </r>
  <r>
    <n v="1280650957"/>
    <x v="0"/>
    <x v="0"/>
    <d v="2026-06-07T08:05:40"/>
    <s v="frikigema"/>
    <x v="90"/>
    <x v="3"/>
    <s v="No"/>
    <s v="Inglés"/>
    <n v="2.4500000000000002"/>
    <n v="1"/>
    <n v="2.4500000000000002"/>
    <x v="0"/>
    <m/>
    <x v="1"/>
  </r>
  <r>
    <n v="1280650954"/>
    <x v="0"/>
    <x v="0"/>
    <d v="2026-06-07T08:05:40"/>
    <s v="Anouskyy"/>
    <x v="80"/>
    <x v="1"/>
    <s v="No"/>
    <s v="Inglés"/>
    <n v="4.0075000000000003"/>
    <n v="1"/>
    <n v="4.0075000000000003"/>
    <x v="0"/>
    <m/>
    <x v="1"/>
  </r>
  <r>
    <n v="1280650954"/>
    <x v="0"/>
    <x v="0"/>
    <d v="2026-06-07T08:05:40"/>
    <s v="Anouskyy"/>
    <x v="68"/>
    <x v="3"/>
    <s v="No"/>
    <s v="Inglés"/>
    <n v="7.4424999999999999"/>
    <n v="1"/>
    <n v="7.4424999999999999"/>
    <x v="0"/>
    <m/>
    <x v="1"/>
  </r>
  <r>
    <n v="1280650952"/>
    <x v="0"/>
    <x v="0"/>
    <d v="2026-06-07T08:05:40"/>
    <s v="Llonson89"/>
    <x v="84"/>
    <x v="1"/>
    <s v="No"/>
    <s v="Inglés"/>
    <n v="9.4499999999999993"/>
    <n v="1"/>
    <n v="9.4499999999999993"/>
    <x v="0"/>
    <m/>
    <x v="1"/>
  </r>
  <r>
    <n v="1280650949"/>
    <x v="0"/>
    <x v="0"/>
    <d v="2026-06-07T08:05:40"/>
    <s v="andres3006"/>
    <x v="91"/>
    <x v="3"/>
    <s v="No"/>
    <s v="Inglés"/>
    <n v="2.58"/>
    <n v="1"/>
    <n v="2.58"/>
    <x v="0"/>
    <m/>
    <x v="1"/>
  </r>
  <r>
    <n v="1280650949"/>
    <x v="0"/>
    <x v="0"/>
    <d v="2026-06-07T08:05:40"/>
    <s v="andres3006"/>
    <x v="76"/>
    <x v="3"/>
    <s v="No"/>
    <s v="Inglés"/>
    <n v="3.87"/>
    <n v="1"/>
    <n v="3.87"/>
    <x v="0"/>
    <m/>
    <x v="1"/>
  </r>
  <r>
    <n v="1280650948"/>
    <x v="0"/>
    <x v="0"/>
    <d v="2026-06-07T08:05:40"/>
    <s v="JMDuran8"/>
    <x v="91"/>
    <x v="3"/>
    <s v="No"/>
    <s v="Inglés"/>
    <n v="2.5499999999999998"/>
    <n v="1"/>
    <n v="2.5499999999999998"/>
    <x v="0"/>
    <m/>
    <x v="1"/>
  </r>
  <r>
    <n v="1280650946"/>
    <x v="0"/>
    <x v="0"/>
    <d v="2026-06-07T08:05:40"/>
    <s v="Jinye"/>
    <x v="90"/>
    <x v="3"/>
    <s v="No"/>
    <s v="Inglés"/>
    <n v="2.4500000000000002"/>
    <n v="1"/>
    <n v="2.4500000000000002"/>
    <x v="0"/>
    <m/>
    <x v="1"/>
  </r>
  <r>
    <n v="1280650944"/>
    <x v="0"/>
    <x v="0"/>
    <d v="2026-06-07T08:05:40"/>
    <s v="Canguriya"/>
    <x v="90"/>
    <x v="3"/>
    <s v="No"/>
    <s v="Inglés"/>
    <n v="1.8783907056798621"/>
    <n v="1"/>
    <n v="1.8783907056798621"/>
    <x v="0"/>
    <m/>
    <x v="1"/>
  </r>
  <r>
    <n v="1280650944"/>
    <x v="0"/>
    <x v="0"/>
    <d v="2026-06-07T08:05:40"/>
    <s v="Canguriya"/>
    <x v="81"/>
    <x v="1"/>
    <s v="No"/>
    <s v="Inglés"/>
    <n v="11.19160929432014"/>
    <n v="1"/>
    <n v="11.19160929432014"/>
    <x v="0"/>
    <m/>
    <x v="1"/>
  </r>
  <r>
    <n v="1280650938"/>
    <x v="0"/>
    <x v="0"/>
    <d v="2026-06-07T08:05:40"/>
    <s v="Eslava"/>
    <x v="88"/>
    <x v="3"/>
    <s v="No"/>
    <s v="Inglés"/>
    <n v="1.3529411764705881"/>
    <n v="1"/>
    <n v="1.3529411764705881"/>
    <x v="0"/>
    <m/>
    <x v="1"/>
  </r>
  <r>
    <n v="1280650938"/>
    <x v="0"/>
    <x v="0"/>
    <d v="2026-06-07T08:05:40"/>
    <s v="Eslava"/>
    <x v="75"/>
    <x v="3"/>
    <s v="No"/>
    <s v="Inglés"/>
    <n v="0.94705882352941173"/>
    <n v="1"/>
    <n v="0.94705882352941173"/>
    <x v="0"/>
    <m/>
    <x v="1"/>
  </r>
  <r>
    <n v="1280650937"/>
    <x v="0"/>
    <x v="0"/>
    <d v="2026-06-07T08:05:40"/>
    <s v="WatchuTCG"/>
    <x v="91"/>
    <x v="3"/>
    <s v="No"/>
    <s v="Inglés"/>
    <n v="2.25"/>
    <n v="1"/>
    <n v="2.25"/>
    <x v="0"/>
    <m/>
    <x v="1"/>
  </r>
  <r>
    <n v="1280650896"/>
    <x v="0"/>
    <x v="0"/>
    <d v="2026-06-07T08:05:40"/>
    <s v="Pompo"/>
    <x v="82"/>
    <x v="3"/>
    <s v="No"/>
    <s v="Inglés"/>
    <n v="51.21753968253968"/>
    <n v="2"/>
    <n v="102.43507936507936"/>
    <x v="0"/>
    <m/>
    <x v="1"/>
  </r>
  <r>
    <n v="1280650896"/>
    <x v="0"/>
    <x v="0"/>
    <d v="2026-06-07T08:05:40"/>
    <s v="Pompo"/>
    <x v="92"/>
    <x v="1"/>
    <s v="No"/>
    <s v="Inglés"/>
    <n v="10.032301587301591"/>
    <n v="2"/>
    <n v="20.064603174603182"/>
    <x v="0"/>
    <m/>
    <x v="1"/>
  </r>
  <r>
    <n v="1280650896"/>
    <x v="0"/>
    <x v="0"/>
    <d v="2026-06-07T08:05:40"/>
    <s v="Pompo"/>
    <x v="92"/>
    <x v="1"/>
    <s v="No"/>
    <s v="Inglés"/>
    <n v="10.56031746031746"/>
    <n v="1"/>
    <n v="10.56031746031746"/>
    <x v="0"/>
    <m/>
    <x v="1"/>
  </r>
  <r>
    <n v="1280248997"/>
    <x v="0"/>
    <x v="0"/>
    <d v="2026-06-05T09:18:06"/>
    <s v="picsel-x"/>
    <x v="93"/>
    <x v="10"/>
    <s v="No"/>
    <s v="Inglés"/>
    <n v="1.7"/>
    <n v="1"/>
    <n v="1.7"/>
    <x v="1"/>
    <n v="1.7"/>
    <x v="0"/>
  </r>
  <r>
    <n v="1273923257"/>
    <x v="0"/>
    <x v="0"/>
    <d v="2026-06-04T14:13:52"/>
    <s v="Asonux"/>
    <x v="94"/>
    <x v="11"/>
    <s v="No"/>
    <s v="Inglés"/>
    <n v="1.95"/>
    <n v="1"/>
    <n v="1.95"/>
    <x v="1"/>
    <n v="1.95"/>
    <x v="0"/>
  </r>
  <r>
    <n v="1279743782"/>
    <x v="0"/>
    <x v="0"/>
    <d v="2026-06-02T21:54:37"/>
    <s v="freaktime"/>
    <x v="95"/>
    <x v="1"/>
    <s v="No"/>
    <s v="Inglés"/>
    <n v="6.45"/>
    <n v="1"/>
    <n v="6.45"/>
    <x v="0"/>
    <m/>
    <x v="1"/>
  </r>
  <r>
    <n v="1279736097"/>
    <x v="0"/>
    <x v="0"/>
    <d v="2026-06-02T21:50:34"/>
    <s v="lacolmenatcg"/>
    <x v="96"/>
    <x v="4"/>
    <s v="No"/>
    <s v="Inglés"/>
    <n v="1.65"/>
    <n v="1"/>
    <n v="1.65"/>
    <x v="0"/>
    <m/>
    <x v="1"/>
  </r>
  <r>
    <n v="1279736097"/>
    <x v="0"/>
    <x v="0"/>
    <d v="2026-06-02T21:50:34"/>
    <s v="lacolmenatcg"/>
    <x v="95"/>
    <x v="1"/>
    <s v="No"/>
    <s v="Inglés"/>
    <n v="7.15"/>
    <n v="2"/>
    <n v="14.3"/>
    <x v="0"/>
    <m/>
    <x v="1"/>
  </r>
  <r>
    <n v="1279736075"/>
    <x v="0"/>
    <x v="0"/>
    <d v="2026-06-02T21:50:34"/>
    <s v="MartaMiau"/>
    <x v="95"/>
    <x v="1"/>
    <s v="No"/>
    <s v="Inglés"/>
    <n v="5.7249999999999996"/>
    <n v="2"/>
    <n v="11.45"/>
    <x v="0"/>
    <m/>
    <x v="1"/>
  </r>
  <r>
    <n v="1279593576"/>
    <x v="0"/>
    <x v="0"/>
    <d v="2026-06-02T18:25:57"/>
    <s v="VCTCGCards"/>
    <x v="97"/>
    <x v="3"/>
    <s v="No"/>
    <s v="Inglés"/>
    <n v="2.8794258373205741"/>
    <n v="1"/>
    <n v="2.8794258373205741"/>
    <x v="0"/>
    <m/>
    <x v="1"/>
  </r>
  <r>
    <n v="1279593576"/>
    <x v="0"/>
    <x v="0"/>
    <d v="2026-06-02T18:25:57"/>
    <s v="VCTCGCards"/>
    <x v="98"/>
    <x v="1"/>
    <s v="No"/>
    <s v="Inglés"/>
    <n v="0.66057416267942592"/>
    <n v="1"/>
    <n v="0.66057416267942592"/>
    <x v="0"/>
    <m/>
    <x v="1"/>
  </r>
  <r>
    <n v="1279515389"/>
    <x v="0"/>
    <x v="0"/>
    <d v="2026-06-01T22:04:49"/>
    <s v="alvarocbcp"/>
    <x v="99"/>
    <x v="1"/>
    <s v="No"/>
    <s v="Inglés"/>
    <n v="67.010000000000005"/>
    <n v="1"/>
    <n v="67.010000000000005"/>
    <x v="0"/>
    <m/>
    <x v="1"/>
  </r>
  <r>
    <n v="1279514045"/>
    <x v="0"/>
    <x v="0"/>
    <d v="2026-06-01T22:04:49"/>
    <s v="ScorpyTCG"/>
    <x v="100"/>
    <x v="3"/>
    <s v="No"/>
    <s v="Inglés"/>
    <n v="7.4000000000000012"/>
    <n v="3"/>
    <n v="22.200000000000003"/>
    <x v="0"/>
    <m/>
    <x v="1"/>
  </r>
  <r>
    <n v="1275996078"/>
    <x v="1"/>
    <x v="0"/>
    <d v="2026-05-28T18:22:37"/>
    <s v="Rous2006"/>
    <x v="101"/>
    <x v="12"/>
    <s v="No"/>
    <s v="Español"/>
    <n v="1.7"/>
    <n v="1"/>
    <n v="1.7"/>
    <x v="1"/>
    <n v="1.7"/>
    <x v="0"/>
  </r>
  <r>
    <n v="1278501372"/>
    <x v="1"/>
    <x v="0"/>
    <d v="2026-05-28T10:43:05"/>
    <s v="PapaseyzZ"/>
    <x v="95"/>
    <x v="1"/>
    <s v="No"/>
    <s v="Inglés"/>
    <n v="6.7249999999999996"/>
    <n v="2"/>
    <n v="13.45"/>
    <x v="0"/>
    <m/>
    <x v="1"/>
  </r>
  <r>
    <n v="1278500695"/>
    <x v="1"/>
    <x v="0"/>
    <d v="2026-05-28T10:39:08"/>
    <s v="Diego3517"/>
    <x v="102"/>
    <x v="1"/>
    <s v="No"/>
    <s v="Inglés"/>
    <n v="24.06"/>
    <n v="1"/>
    <n v="24.06"/>
    <x v="0"/>
    <m/>
    <x v="1"/>
  </r>
  <r>
    <n v="1278427135"/>
    <x v="1"/>
    <x v="0"/>
    <d v="2026-05-28T10:39:08"/>
    <s v="Churrimancer"/>
    <x v="102"/>
    <x v="1"/>
    <s v="No"/>
    <s v="Inglés"/>
    <n v="24.53"/>
    <n v="2"/>
    <n v="49.06"/>
    <x v="0"/>
    <m/>
    <x v="1"/>
  </r>
  <r>
    <n v="1274354305"/>
    <x v="1"/>
    <x v="0"/>
    <d v="2026-05-27T04:29:52"/>
    <s v="AATHOV"/>
    <x v="103"/>
    <x v="13"/>
    <s v="No"/>
    <s v="Japonés"/>
    <n v="1.95"/>
    <n v="1"/>
    <n v="1.95"/>
    <x v="1"/>
    <n v="1.95"/>
    <x v="0"/>
  </r>
  <r>
    <n v="1278141189"/>
    <x v="1"/>
    <x v="0"/>
    <d v="2026-05-26T22:56:36"/>
    <s v="MrNonoHobbies"/>
    <x v="97"/>
    <x v="3"/>
    <s v="No"/>
    <s v="Inglés"/>
    <n v="3.14"/>
    <n v="1"/>
    <n v="3.14"/>
    <x v="0"/>
    <m/>
    <x v="1"/>
  </r>
  <r>
    <n v="1278141184"/>
    <x v="1"/>
    <x v="0"/>
    <d v="2026-05-26T22:56:36"/>
    <s v="crawlingmist"/>
    <x v="97"/>
    <x v="3"/>
    <s v="No"/>
    <s v="Inglés"/>
    <n v="3.14"/>
    <n v="1"/>
    <n v="3.14"/>
    <x v="0"/>
    <m/>
    <x v="1"/>
  </r>
  <r>
    <n v="1276244057"/>
    <x v="1"/>
    <x v="0"/>
    <d v="2026-05-26T12:51:33"/>
    <s v="Beliase"/>
    <x v="104"/>
    <x v="14"/>
    <s v="No"/>
    <s v="Inglés"/>
    <n v="3.9833333333333329"/>
    <n v="3"/>
    <n v="11.95"/>
    <x v="1"/>
    <n v="11.95"/>
    <x v="0"/>
  </r>
  <r>
    <n v="1277856677"/>
    <x v="1"/>
    <x v="0"/>
    <d v="2026-05-25T11:22:03"/>
    <s v="Magicevent"/>
    <x v="18"/>
    <x v="3"/>
    <s v="No"/>
    <s v="Inglés"/>
    <n v="2.4265007776049772"/>
    <n v="1"/>
    <n v="2.4265007776049772"/>
    <x v="0"/>
    <m/>
    <x v="1"/>
  </r>
  <r>
    <n v="1277856677"/>
    <x v="1"/>
    <x v="0"/>
    <d v="2026-05-25T11:22:03"/>
    <s v="Magicevent"/>
    <x v="105"/>
    <x v="3"/>
    <s v="No"/>
    <s v="Inglés"/>
    <n v="1.8137480559875581"/>
    <n v="2"/>
    <n v="3.6274961119751161"/>
    <x v="0"/>
    <m/>
    <x v="1"/>
  </r>
  <r>
    <n v="1277856677"/>
    <x v="1"/>
    <x v="0"/>
    <d v="2026-05-25T11:22:03"/>
    <s v="Magicevent"/>
    <x v="106"/>
    <x v="3"/>
    <s v="No"/>
    <s v="Inglés"/>
    <n v="1.826003110419907"/>
    <n v="1"/>
    <n v="1.826003110419907"/>
    <x v="0"/>
    <m/>
    <x v="1"/>
  </r>
  <r>
    <n v="1277855906"/>
    <x v="1"/>
    <x v="0"/>
    <d v="2026-05-25T11:22:03"/>
    <s v="KairaCards"/>
    <x v="107"/>
    <x v="3"/>
    <s v="No"/>
    <s v="Inglés"/>
    <n v="1.7749999999999999"/>
    <n v="2"/>
    <n v="3.55"/>
    <x v="0"/>
    <m/>
    <x v="1"/>
  </r>
  <r>
    <n v="1277855753"/>
    <x v="1"/>
    <x v="0"/>
    <d v="2026-05-25T11:22:03"/>
    <s v="Marix03"/>
    <x v="105"/>
    <x v="3"/>
    <s v="No"/>
    <s v="Inglés"/>
    <n v="1.11002508361204"/>
    <n v="1"/>
    <n v="1.11002508361204"/>
    <x v="0"/>
    <m/>
    <x v="1"/>
  </r>
  <r>
    <n v="1277855753"/>
    <x v="1"/>
    <x v="0"/>
    <d v="2026-05-25T11:22:03"/>
    <s v="Marix03"/>
    <x v="108"/>
    <x v="4"/>
    <s v="No"/>
    <s v="Inglés"/>
    <n v="3.3525"/>
    <n v="2"/>
    <n v="6.7050000000000001"/>
    <x v="0"/>
    <m/>
    <x v="1"/>
  </r>
  <r>
    <n v="1277855753"/>
    <x v="1"/>
    <x v="0"/>
    <d v="2026-05-25T11:22:03"/>
    <s v="Marix03"/>
    <x v="95"/>
    <x v="1"/>
    <s v="No"/>
    <s v="Inglés"/>
    <n v="5.5949749163879599"/>
    <n v="1"/>
    <n v="5.5949749163879599"/>
    <x v="0"/>
    <m/>
    <x v="1"/>
  </r>
  <r>
    <n v="1277854593"/>
    <x v="1"/>
    <x v="0"/>
    <d v="2026-05-25T11:22:03"/>
    <s v="elgatodorado"/>
    <x v="109"/>
    <x v="3"/>
    <s v="No"/>
    <s v="Inglés"/>
    <n v="21.45"/>
    <n v="1"/>
    <n v="21.45"/>
    <x v="0"/>
    <m/>
    <x v="1"/>
  </r>
  <r>
    <n v="1277844004"/>
    <x v="1"/>
    <x v="0"/>
    <d v="2026-05-25T11:22:03"/>
    <s v="spasiv"/>
    <x v="110"/>
    <x v="1"/>
    <s v="No"/>
    <s v="Inglés"/>
    <n v="6.4442231075697212"/>
    <n v="1"/>
    <n v="6.4442231075697212"/>
    <x v="0"/>
    <m/>
    <x v="1"/>
  </r>
  <r>
    <n v="1277844004"/>
    <x v="1"/>
    <x v="0"/>
    <d v="2026-05-25T11:22:03"/>
    <s v="spasiv"/>
    <x v="111"/>
    <x v="1"/>
    <s v="No"/>
    <s v="Inglés"/>
    <n v="2.5776892430278881E-2"/>
    <n v="1"/>
    <n v="2.5776892430278881E-2"/>
    <x v="0"/>
    <m/>
    <x v="1"/>
  </r>
  <r>
    <n v="1277842511"/>
    <x v="1"/>
    <x v="0"/>
    <d v="2026-05-25T11:22:03"/>
    <s v="ManaVortex-POOL4YOU"/>
    <x v="112"/>
    <x v="1"/>
    <s v="No"/>
    <s v="Inglés"/>
    <n v="0.97274509803921561"/>
    <n v="3"/>
    <n v="2.9182352941176468"/>
    <x v="0"/>
    <m/>
    <x v="1"/>
  </r>
  <r>
    <n v="1277842511"/>
    <x v="1"/>
    <x v="0"/>
    <d v="2026-05-25T11:22:03"/>
    <s v="ManaVortex-POOL4YOU"/>
    <x v="113"/>
    <x v="1"/>
    <s v="No"/>
    <s v="Inglés"/>
    <n v="0.53058823529411769"/>
    <n v="3"/>
    <n v="1.591764705882353"/>
    <x v="0"/>
    <m/>
    <x v="1"/>
  </r>
  <r>
    <n v="1277835312"/>
    <x v="1"/>
    <x v="0"/>
    <d v="2026-05-25T11:22:03"/>
    <s v="Battlefields3D"/>
    <x v="114"/>
    <x v="3"/>
    <s v="No"/>
    <s v="Inglés"/>
    <n v="0.69830508474576269"/>
    <n v="3"/>
    <n v="2.094915254237288"/>
    <x v="0"/>
    <m/>
    <x v="1"/>
  </r>
  <r>
    <n v="1277835312"/>
    <x v="1"/>
    <x v="0"/>
    <d v="2026-05-25T11:22:03"/>
    <s v="Battlefields3D"/>
    <x v="108"/>
    <x v="4"/>
    <s v="No"/>
    <s v="Inglés"/>
    <n v="4.0734463276836159"/>
    <n v="1"/>
    <n v="4.0734463276836159"/>
    <x v="0"/>
    <m/>
    <x v="1"/>
  </r>
  <r>
    <n v="1277835312"/>
    <x v="1"/>
    <x v="0"/>
    <d v="2026-05-25T11:22:03"/>
    <s v="Battlefields3D"/>
    <x v="115"/>
    <x v="4"/>
    <s v="No"/>
    <s v="Inglés"/>
    <n v="0.64011299435028257"/>
    <n v="1"/>
    <n v="0.64011299435028257"/>
    <x v="0"/>
    <m/>
    <x v="1"/>
  </r>
  <r>
    <n v="1277835312"/>
    <x v="1"/>
    <x v="0"/>
    <d v="2026-05-25T11:22:03"/>
    <s v="Battlefields3D"/>
    <x v="116"/>
    <x v="3"/>
    <s v="No"/>
    <s v="Inglés"/>
    <n v="1.163841807909604"/>
    <n v="3"/>
    <n v="3.4915254237288122"/>
    <x v="0"/>
    <m/>
    <x v="1"/>
  </r>
  <r>
    <n v="1277823599"/>
    <x v="1"/>
    <x v="0"/>
    <d v="2026-05-25T11:22:03"/>
    <s v="cmtilines"/>
    <x v="117"/>
    <x v="4"/>
    <s v="No"/>
    <s v="Inglés"/>
    <n v="0.70452476572958511"/>
    <n v="3"/>
    <n v="2.1135742971887552"/>
    <x v="0"/>
    <m/>
    <x v="1"/>
  </r>
  <r>
    <n v="1277823599"/>
    <x v="1"/>
    <x v="0"/>
    <d v="2026-05-25T11:22:03"/>
    <s v="cmtilines"/>
    <x v="118"/>
    <x v="1"/>
    <s v="No"/>
    <s v="Inglés"/>
    <n v="2.2688085676037479"/>
    <n v="3"/>
    <n v="6.8064257028112438"/>
    <x v="0"/>
    <m/>
    <x v="1"/>
  </r>
  <r>
    <n v="1276609179"/>
    <x v="1"/>
    <x v="0"/>
    <d v="2026-05-25T11:01:25"/>
    <s v="miguividal"/>
    <x v="119"/>
    <x v="15"/>
    <s v="No"/>
    <s v="Inglés"/>
    <n v="0.97499999999999998"/>
    <n v="2"/>
    <n v="1.95"/>
    <x v="1"/>
    <n v="1.95"/>
    <x v="0"/>
  </r>
  <r>
    <n v="1277236340"/>
    <x v="1"/>
    <x v="0"/>
    <d v="2026-05-22T15:20:09"/>
    <s v="Miceliongames"/>
    <x v="120"/>
    <x v="4"/>
    <s v="No"/>
    <s v="Inglés"/>
    <n v="1.95"/>
    <n v="1"/>
    <n v="1.95"/>
    <x v="0"/>
    <m/>
    <x v="1"/>
  </r>
  <r>
    <n v="1277231573"/>
    <x v="1"/>
    <x v="0"/>
    <d v="2026-05-22T15:20:09"/>
    <s v="Piratebash"/>
    <x v="120"/>
    <x v="4"/>
    <s v="No"/>
    <s v="Inglés"/>
    <n v="1.4550000000000001"/>
    <n v="2"/>
    <n v="2.91"/>
    <x v="0"/>
    <m/>
    <x v="1"/>
  </r>
  <r>
    <n v="1276666850"/>
    <x v="1"/>
    <x v="0"/>
    <d v="2026-05-19T19:53:38"/>
    <s v="edosolo"/>
    <x v="121"/>
    <x v="16"/>
    <s v="No"/>
    <s v="Inglés"/>
    <n v="2.7250000000000001"/>
    <n v="2"/>
    <n v="5.45"/>
    <x v="0"/>
    <m/>
    <x v="0"/>
  </r>
  <r>
    <n v="1276611355"/>
    <x v="1"/>
    <x v="0"/>
    <d v="2026-05-19T10:43:52"/>
    <s v="Fraviac"/>
    <x v="122"/>
    <x v="3"/>
    <s v="No"/>
    <s v="Inglés"/>
    <n v="1.75"/>
    <n v="1"/>
    <n v="1.75"/>
    <x v="0"/>
    <m/>
    <x v="1"/>
  </r>
  <r>
    <n v="1276596993"/>
    <x v="1"/>
    <x v="0"/>
    <d v="2026-05-19T10:43:52"/>
    <s v="AInnistrad"/>
    <x v="123"/>
    <x v="4"/>
    <s v="No"/>
    <s v="Inglés"/>
    <n v="28.5"/>
    <n v="2"/>
    <n v="57"/>
    <x v="0"/>
    <m/>
    <x v="1"/>
  </r>
  <r>
    <n v="1276595473"/>
    <x v="1"/>
    <x v="0"/>
    <d v="2026-05-19T10:43:52"/>
    <s v="InfinityMana"/>
    <x v="36"/>
    <x v="3"/>
    <s v="No"/>
    <s v="Inglés"/>
    <n v="5.3198780487804882"/>
    <n v="1"/>
    <n v="5.3198780487804882"/>
    <x v="0"/>
    <m/>
    <x v="1"/>
  </r>
  <r>
    <n v="1276595473"/>
    <x v="1"/>
    <x v="0"/>
    <d v="2026-05-19T10:43:52"/>
    <s v="InfinityMana"/>
    <x v="124"/>
    <x v="3"/>
    <s v="No"/>
    <s v="Inglés"/>
    <n v="0.23012195121951221"/>
    <n v="1"/>
    <n v="0.23012195121951221"/>
    <x v="0"/>
    <m/>
    <x v="1"/>
  </r>
  <r>
    <n v="1276449169"/>
    <x v="1"/>
    <x v="0"/>
    <d v="2026-05-18T16:32:57"/>
    <s v="MansionMarkov"/>
    <x v="125"/>
    <x v="14"/>
    <s v="No"/>
    <s v="Inglés"/>
    <n v="14.34"/>
    <n v="1"/>
    <n v="14.34"/>
    <x v="0"/>
    <m/>
    <x v="0"/>
  </r>
  <r>
    <n v="1276440581"/>
    <x v="1"/>
    <x v="0"/>
    <d v="2026-05-18T16:32:57"/>
    <s v="SantaAnaFriki"/>
    <x v="125"/>
    <x v="14"/>
    <s v="No"/>
    <s v="Inglés"/>
    <n v="16.353333333333339"/>
    <n v="3"/>
    <n v="49.060000000000016"/>
    <x v="0"/>
    <m/>
    <x v="0"/>
  </r>
  <r>
    <n v="1276426649"/>
    <x v="1"/>
    <x v="0"/>
    <d v="2026-05-18T15:09:07"/>
    <s v="pacofaco"/>
    <x v="126"/>
    <x v="17"/>
    <s v="No"/>
    <s v="Inglés"/>
    <n v="11.45"/>
    <n v="1"/>
    <n v="11.45"/>
    <x v="0"/>
    <m/>
    <x v="0"/>
  </r>
  <r>
    <n v="1276426574"/>
    <x v="1"/>
    <x v="0"/>
    <d v="2026-05-18T15:09:07"/>
    <s v="Levodin"/>
    <x v="126"/>
    <x v="17"/>
    <s v="No"/>
    <s v="Inglés"/>
    <n v="9.44"/>
    <n v="1"/>
    <n v="9.44"/>
    <x v="0"/>
    <m/>
    <x v="0"/>
  </r>
  <r>
    <n v="1276420896"/>
    <x v="1"/>
    <x v="0"/>
    <d v="2026-05-18T14:51:30"/>
    <s v="AleGean"/>
    <x v="127"/>
    <x v="18"/>
    <s v="No"/>
    <s v="Inglés"/>
    <n v="24.15"/>
    <n v="1"/>
    <n v="24.15"/>
    <x v="0"/>
    <m/>
    <x v="1"/>
  </r>
  <r>
    <n v="1276368338"/>
    <x v="1"/>
    <x v="0"/>
    <d v="2026-05-18T10:36:18"/>
    <s v="Distritozero-San"/>
    <x v="128"/>
    <x v="1"/>
    <s v="No"/>
    <s v="Inglés"/>
    <n v="2.48"/>
    <n v="3"/>
    <n v="7.4399999999999995"/>
    <x v="0"/>
    <m/>
    <x v="1"/>
  </r>
  <r>
    <n v="1276368338"/>
    <x v="1"/>
    <x v="0"/>
    <d v="2026-05-18T10:36:18"/>
    <s v="Distritozero-San"/>
    <x v="129"/>
    <x v="1"/>
    <s v="No"/>
    <s v="Inglés"/>
    <n v="0.15"/>
    <n v="3"/>
    <n v="0.44999999999999996"/>
    <x v="0"/>
    <m/>
    <x v="1"/>
  </r>
  <r>
    <n v="1276368255"/>
    <x v="1"/>
    <x v="0"/>
    <d v="2026-05-18T10:36:18"/>
    <s v="Greward"/>
    <x v="130"/>
    <x v="3"/>
    <s v="No"/>
    <s v="Inglés"/>
    <n v="21.15"/>
    <n v="1"/>
    <n v="21.15"/>
    <x v="0"/>
    <m/>
    <x v="1"/>
  </r>
  <r>
    <n v="1276365871"/>
    <x v="1"/>
    <x v="0"/>
    <d v="2026-05-18T10:20:56"/>
    <s v="Distritozero-San"/>
    <x v="131"/>
    <x v="1"/>
    <s v="No"/>
    <s v="Inglés"/>
    <n v="7.94"/>
    <n v="2"/>
    <n v="15.88"/>
    <x v="0"/>
    <m/>
    <x v="1"/>
  </r>
  <r>
    <n v="1276365871"/>
    <x v="1"/>
    <x v="0"/>
    <d v="2026-05-18T10:20:56"/>
    <s v="Distritozero-San"/>
    <x v="132"/>
    <x v="1"/>
    <s v="No"/>
    <s v="Inglés"/>
    <n v="7"/>
    <n v="2"/>
    <n v="14"/>
    <x v="0"/>
    <m/>
    <x v="1"/>
  </r>
  <r>
    <n v="1276364502"/>
    <x v="1"/>
    <x v="0"/>
    <d v="2026-05-18T10:15:13"/>
    <s v="Cami18"/>
    <x v="133"/>
    <x v="1"/>
    <s v="No"/>
    <s v="Inglés"/>
    <n v="1.95"/>
    <n v="1"/>
    <n v="1.95"/>
    <x v="0"/>
    <m/>
    <x v="1"/>
  </r>
  <r>
    <n v="1276364490"/>
    <x v="1"/>
    <x v="0"/>
    <d v="2026-05-18T10:15:13"/>
    <s v="Ludyurk"/>
    <x v="133"/>
    <x v="1"/>
    <s v="No"/>
    <s v="Inglés"/>
    <n v="1.7250000000000001"/>
    <n v="2"/>
    <n v="3.45"/>
    <x v="0"/>
    <m/>
    <x v="1"/>
  </r>
  <r>
    <n v="1276364321"/>
    <x v="1"/>
    <x v="0"/>
    <d v="2026-05-18T10:15:13"/>
    <s v="WonderSaves"/>
    <x v="120"/>
    <x v="4"/>
    <s v="No"/>
    <s v="Inglés"/>
    <n v="0.5033333333333333"/>
    <n v="3"/>
    <n v="1.5099999999999998"/>
    <x v="0"/>
    <m/>
    <x v="1"/>
  </r>
  <r>
    <n v="1276364037"/>
    <x v="1"/>
    <x v="0"/>
    <d v="2026-05-18T10:15:13"/>
    <s v="JupiterMadridNorte"/>
    <x v="134"/>
    <x v="4"/>
    <s v="No"/>
    <s v="Inglés"/>
    <n v="0.83333333333333337"/>
    <n v="3"/>
    <n v="2.5"/>
    <x v="0"/>
    <m/>
    <x v="1"/>
  </r>
  <r>
    <n v="1276363015"/>
    <x v="1"/>
    <x v="0"/>
    <d v="2026-05-18T10:06:14"/>
    <s v="ByteArenaTCG"/>
    <x v="135"/>
    <x v="3"/>
    <s v="No"/>
    <s v="Inglés"/>
    <n v="1.1318181818181821"/>
    <n v="1"/>
    <n v="1.1318181818181821"/>
    <x v="0"/>
    <m/>
    <x v="1"/>
  </r>
  <r>
    <n v="1276363015"/>
    <x v="1"/>
    <x v="0"/>
    <d v="2026-05-18T10:06:14"/>
    <s v="ByteArenaTCG"/>
    <x v="136"/>
    <x v="3"/>
    <s v="No"/>
    <s v="Inglés"/>
    <n v="1.697727272727273"/>
    <n v="1"/>
    <n v="1.697727272727273"/>
    <x v="0"/>
    <m/>
    <x v="1"/>
  </r>
  <r>
    <n v="1276363015"/>
    <x v="1"/>
    <x v="0"/>
    <d v="2026-05-18T10:06:14"/>
    <s v="ByteArenaTCG"/>
    <x v="137"/>
    <x v="1"/>
    <s v="No"/>
    <s v="Inglés"/>
    <n v="0.56590909090909092"/>
    <n v="1"/>
    <n v="0.56590909090909092"/>
    <x v="0"/>
    <m/>
    <x v="1"/>
  </r>
  <r>
    <n v="1276363015"/>
    <x v="1"/>
    <x v="0"/>
    <d v="2026-05-18T10:06:14"/>
    <s v="ByteArenaTCG"/>
    <x v="131"/>
    <x v="1"/>
    <s v="No"/>
    <s v="Inglés"/>
    <n v="9.0545454545454547"/>
    <n v="1"/>
    <n v="9.0545454545454547"/>
    <x v="0"/>
    <m/>
    <x v="1"/>
  </r>
  <r>
    <n v="1276361995"/>
    <x v="1"/>
    <x v="0"/>
    <d v="2026-05-18T10:06:14"/>
    <s v="ZruspaTCG"/>
    <x v="138"/>
    <x v="1"/>
    <s v="No"/>
    <s v="Inglés"/>
    <n v="4.8285714285714283"/>
    <n v="1"/>
    <n v="4.8285714285714283"/>
    <x v="0"/>
    <m/>
    <x v="1"/>
  </r>
  <r>
    <n v="1276361995"/>
    <x v="1"/>
    <x v="0"/>
    <d v="2026-05-18T10:06:14"/>
    <s v="ZruspaTCG"/>
    <x v="139"/>
    <x v="1"/>
    <s v="No"/>
    <s v="Inglés"/>
    <n v="3.621428571428571"/>
    <n v="1"/>
    <n v="3.621428571428571"/>
    <x v="0"/>
    <m/>
    <x v="1"/>
  </r>
  <r>
    <n v="1276361207"/>
    <x v="1"/>
    <x v="0"/>
    <d v="2026-05-18T10:06:14"/>
    <s v="Piratebash"/>
    <x v="140"/>
    <x v="3"/>
    <s v="No"/>
    <s v="Inglés"/>
    <n v="0.82097421203438381"/>
    <n v="3"/>
    <n v="2.4629226361031513"/>
    <x v="0"/>
    <m/>
    <x v="1"/>
  </r>
  <r>
    <n v="1276361207"/>
    <x v="1"/>
    <x v="0"/>
    <d v="2026-05-18T10:06:14"/>
    <s v="Piratebash"/>
    <x v="124"/>
    <x v="3"/>
    <s v="No"/>
    <s v="Inglés"/>
    <n v="0.21232091690544411"/>
    <n v="1"/>
    <n v="0.21232091690544411"/>
    <x v="0"/>
    <m/>
    <x v="1"/>
  </r>
  <r>
    <n v="1276361207"/>
    <x v="1"/>
    <x v="0"/>
    <d v="2026-05-18T10:06:14"/>
    <s v="Piratebash"/>
    <x v="141"/>
    <x v="18"/>
    <s v="No"/>
    <s v="Inglés"/>
    <n v="0.69358166189111747"/>
    <n v="3"/>
    <n v="2.0807449856733524"/>
    <x v="0"/>
    <m/>
    <x v="1"/>
  </r>
  <r>
    <n v="1276361207"/>
    <x v="1"/>
    <x v="0"/>
    <d v="2026-05-18T10:06:14"/>
    <s v="Piratebash"/>
    <x v="142"/>
    <x v="1"/>
    <s v="No"/>
    <s v="Inglés"/>
    <n v="0.1840114613180516"/>
    <n v="1"/>
    <n v="0.1840114613180516"/>
    <x v="0"/>
    <m/>
    <x v="1"/>
  </r>
  <r>
    <n v="1276361197"/>
    <x v="1"/>
    <x v="0"/>
    <d v="2026-05-18T10:06:14"/>
    <s v="yzekogame"/>
    <x v="139"/>
    <x v="1"/>
    <s v="No"/>
    <s v="Inglés"/>
    <n v="3.375"/>
    <n v="1"/>
    <n v="3.375"/>
    <x v="0"/>
    <m/>
    <x v="1"/>
  </r>
  <r>
    <n v="1276361197"/>
    <x v="1"/>
    <x v="0"/>
    <d v="2026-05-18T10:06:14"/>
    <s v="yzekogame"/>
    <x v="143"/>
    <x v="1"/>
    <s v="No"/>
    <s v="Inglés"/>
    <n v="1.6875"/>
    <n v="3"/>
    <n v="5.0625"/>
    <x v="0"/>
    <m/>
    <x v="1"/>
  </r>
  <r>
    <n v="1276361197"/>
    <x v="1"/>
    <x v="0"/>
    <d v="2026-05-18T10:06:14"/>
    <s v="yzekogame"/>
    <x v="142"/>
    <x v="1"/>
    <s v="No"/>
    <s v="Inglés"/>
    <n v="0.33750000000000002"/>
    <n v="2"/>
    <n v="0.67500000000000004"/>
    <x v="0"/>
    <m/>
    <x v="1"/>
  </r>
  <r>
    <n v="1276361197"/>
    <x v="1"/>
    <x v="0"/>
    <d v="2026-05-18T10:06:14"/>
    <s v="yzekogame"/>
    <x v="138"/>
    <x v="1"/>
    <s v="No"/>
    <s v="Inglés"/>
    <n v="3.9375"/>
    <n v="1"/>
    <n v="3.9375"/>
    <x v="0"/>
    <m/>
    <x v="1"/>
  </r>
  <r>
    <n v="1276361160"/>
    <x v="1"/>
    <x v="0"/>
    <d v="2026-05-18T10:06:14"/>
    <s v="teff13"/>
    <x v="144"/>
    <x v="1"/>
    <s v="No"/>
    <s v="Inglés"/>
    <n v="76.29554140127388"/>
    <n v="1"/>
    <n v="76.29554140127388"/>
    <x v="0"/>
    <m/>
    <x v="1"/>
  </r>
  <r>
    <n v="1276361160"/>
    <x v="1"/>
    <x v="0"/>
    <d v="2026-05-18T10:06:14"/>
    <s v="teff13"/>
    <x v="139"/>
    <x v="1"/>
    <s v="No"/>
    <s v="Inglés"/>
    <n v="4.359745222929936"/>
    <n v="1"/>
    <n v="4.359745222929936"/>
    <x v="0"/>
    <m/>
    <x v="1"/>
  </r>
  <r>
    <n v="1276361160"/>
    <x v="1"/>
    <x v="0"/>
    <d v="2026-05-18T10:06:14"/>
    <s v="teff13"/>
    <x v="138"/>
    <x v="1"/>
    <s v="No"/>
    <s v="Inglés"/>
    <n v="4.9047133757961783"/>
    <n v="1"/>
    <n v="4.9047133757961783"/>
    <x v="0"/>
    <m/>
    <x v="1"/>
  </r>
  <r>
    <n v="1276361133"/>
    <x v="1"/>
    <x v="0"/>
    <d v="2026-05-18T10:06:14"/>
    <s v="pabler7"/>
    <x v="145"/>
    <x v="3"/>
    <s v="No"/>
    <s v="Inglés"/>
    <n v="8.4333333333333336"/>
    <n v="3"/>
    <n v="25.3"/>
    <x v="0"/>
    <m/>
    <x v="1"/>
  </r>
  <r>
    <n v="1276350182"/>
    <x v="1"/>
    <x v="0"/>
    <d v="2026-05-18T09:52:24"/>
    <s v="La-Forja89"/>
    <x v="98"/>
    <x v="1"/>
    <s v="No"/>
    <s v="Inglés"/>
    <n v="0.73266990291262135"/>
    <n v="2"/>
    <n v="1.4653398058252427"/>
    <x v="0"/>
    <m/>
    <x v="1"/>
  </r>
  <r>
    <n v="1276350182"/>
    <x v="1"/>
    <x v="0"/>
    <d v="2026-05-18T09:52:24"/>
    <s v="La-Forja89"/>
    <x v="146"/>
    <x v="1"/>
    <s v="No"/>
    <s v="Inglés"/>
    <n v="0.68155339805825255"/>
    <n v="3"/>
    <n v="2.0446601941747575"/>
    <x v="0"/>
    <m/>
    <x v="1"/>
  </r>
  <r>
    <n v="1276349689"/>
    <x v="1"/>
    <x v="0"/>
    <d v="2026-05-18T09:52:24"/>
    <s v="Du4rd"/>
    <x v="36"/>
    <x v="3"/>
    <s v="No"/>
    <s v="Inglés"/>
    <n v="5.6749999999999998"/>
    <n v="2"/>
    <n v="11.35"/>
    <x v="0"/>
    <m/>
    <x v="1"/>
  </r>
  <r>
    <n v="1276288887"/>
    <x v="1"/>
    <x v="0"/>
    <d v="2026-05-17T21:34:15"/>
    <s v="Itaca"/>
    <x v="132"/>
    <x v="1"/>
    <s v="Si"/>
    <s v="Inglés"/>
    <n v="8.4498150887573971"/>
    <n v="4"/>
    <n v="33.799260355029588"/>
    <x v="0"/>
    <m/>
    <x v="1"/>
  </r>
  <r>
    <n v="1276288887"/>
    <x v="1"/>
    <x v="0"/>
    <d v="2026-05-17T21:34:15"/>
    <s v="Itaca"/>
    <x v="131"/>
    <x v="1"/>
    <s v="Si"/>
    <s v="Inglés"/>
    <n v="9.5126849112426033"/>
    <n v="4"/>
    <n v="38.050739644970413"/>
    <x v="0"/>
    <m/>
    <x v="1"/>
  </r>
  <r>
    <n v="1276247604"/>
    <x v="1"/>
    <x v="0"/>
    <d v="2026-05-17T18:51:37"/>
    <s v="UrfWed"/>
    <x v="147"/>
    <x v="4"/>
    <s v="No"/>
    <s v="Inglés"/>
    <n v="19.95"/>
    <n v="1"/>
    <n v="19.95"/>
    <x v="0"/>
    <m/>
    <x v="1"/>
  </r>
  <r>
    <n v="1276247424"/>
    <x v="1"/>
    <x v="0"/>
    <d v="2026-05-17T18:51:37"/>
    <s v="CityOfCards"/>
    <x v="147"/>
    <x v="4"/>
    <s v="No"/>
    <s v="Inglés"/>
    <n v="20.350000000000001"/>
    <n v="1"/>
    <n v="20.350000000000001"/>
    <x v="0"/>
    <m/>
    <x v="1"/>
  </r>
  <r>
    <n v="1276244956"/>
    <x v="1"/>
    <x v="0"/>
    <d v="2026-05-17T18:51:37"/>
    <s v="Distritozero-Bilbao"/>
    <x v="147"/>
    <x v="4"/>
    <s v="No"/>
    <s v="Inglés"/>
    <n v="24.75"/>
    <n v="1"/>
    <n v="24.75"/>
    <x v="0"/>
    <m/>
    <x v="1"/>
  </r>
  <r>
    <n v="1276244802"/>
    <x v="1"/>
    <x v="0"/>
    <d v="2026-05-17T18:51:37"/>
    <s v="Moria05"/>
    <x v="148"/>
    <x v="3"/>
    <s v="No"/>
    <s v="Inglés"/>
    <n v="1.9633333333333329"/>
    <n v="3"/>
    <n v="5.8899999999999988"/>
    <x v="0"/>
    <m/>
    <x v="1"/>
  </r>
  <r>
    <n v="1276238993"/>
    <x v="1"/>
    <x v="0"/>
    <d v="2026-05-17T18:20:43"/>
    <s v="argoneffra"/>
    <x v="149"/>
    <x v="4"/>
    <s v="No"/>
    <s v="Inglés"/>
    <n v="1.6358547008547011"/>
    <n v="1"/>
    <n v="1.6358547008547011"/>
    <x v="0"/>
    <m/>
    <x v="1"/>
  </r>
  <r>
    <n v="1276238993"/>
    <x v="1"/>
    <x v="0"/>
    <d v="2026-05-17T18:20:43"/>
    <s v="argoneffra"/>
    <x v="150"/>
    <x v="4"/>
    <s v="No"/>
    <s v="Inglés"/>
    <n v="0.92320512820512812"/>
    <n v="1"/>
    <n v="0.92320512820512812"/>
    <x v="0"/>
    <m/>
    <x v="1"/>
  </r>
  <r>
    <n v="1276238993"/>
    <x v="1"/>
    <x v="0"/>
    <d v="2026-05-17T18:20:43"/>
    <s v="argoneffra"/>
    <x v="99"/>
    <x v="4"/>
    <s v="No"/>
    <s v="Inglés"/>
    <n v="0.61547008547008542"/>
    <n v="2"/>
    <n v="1.2309401709401708"/>
    <x v="0"/>
    <m/>
    <x v="1"/>
  </r>
  <r>
    <n v="1276219583"/>
    <x v="1"/>
    <x v="0"/>
    <d v="2026-05-17T18:20:43"/>
    <s v="Denvalgte"/>
    <x v="97"/>
    <x v="3"/>
    <s v="No"/>
    <s v="Inglés"/>
    <n v="0.58333333333333337"/>
    <n v="3"/>
    <n v="1.75"/>
    <x v="0"/>
    <m/>
    <x v="1"/>
  </r>
  <r>
    <n v="1276219580"/>
    <x v="1"/>
    <x v="0"/>
    <d v="2026-05-17T18:20:43"/>
    <s v="TheTraderTCG"/>
    <x v="151"/>
    <x v="3"/>
    <s v="No"/>
    <s v="Inglés"/>
    <n v="3.6362704918032791"/>
    <n v="1"/>
    <n v="3.6362704918032791"/>
    <x v="0"/>
    <m/>
    <x v="1"/>
  </r>
  <r>
    <n v="1276219580"/>
    <x v="1"/>
    <x v="0"/>
    <d v="2026-05-17T18:20:43"/>
    <s v="TheTraderTCG"/>
    <x v="152"/>
    <x v="3"/>
    <s v="No"/>
    <s v="Inglés"/>
    <n v="3.915983606557377"/>
    <n v="2"/>
    <n v="7.831967213114754"/>
    <x v="0"/>
    <m/>
    <x v="1"/>
  </r>
  <r>
    <n v="1276219580"/>
    <x v="1"/>
    <x v="0"/>
    <d v="2026-05-17T18:20:43"/>
    <s v="TheTraderTCG"/>
    <x v="153"/>
    <x v="3"/>
    <s v="No"/>
    <s v="Inglés"/>
    <n v="2.1817622950819668"/>
    <n v="1"/>
    <n v="2.1817622950819668"/>
    <x v="0"/>
    <m/>
    <x v="1"/>
  </r>
  <r>
    <n v="1276219579"/>
    <x v="1"/>
    <x v="0"/>
    <d v="2026-05-17T18:20:43"/>
    <s v="bamias"/>
    <x v="154"/>
    <x v="3"/>
    <s v="No"/>
    <s v="Inglés"/>
    <n v="3.45"/>
    <n v="1"/>
    <n v="3.45"/>
    <x v="0"/>
    <m/>
    <x v="1"/>
  </r>
  <r>
    <n v="1276219576"/>
    <x v="1"/>
    <x v="0"/>
    <d v="2026-05-17T18:20:43"/>
    <s v="distritozero-vitoria"/>
    <x v="155"/>
    <x v="1"/>
    <s v="No"/>
    <s v="Inglés"/>
    <n v="1.183544303797468"/>
    <n v="3"/>
    <n v="3.550632911392404"/>
    <x v="0"/>
    <m/>
    <x v="1"/>
  </r>
  <r>
    <n v="1276219576"/>
    <x v="1"/>
    <x v="0"/>
    <d v="2026-05-17T18:20:43"/>
    <s v="distritozero-vitoria"/>
    <x v="156"/>
    <x v="1"/>
    <s v="No"/>
    <s v="Inglés"/>
    <n v="2.899683544303798"/>
    <n v="2"/>
    <n v="5.7993670886075961"/>
    <x v="0"/>
    <m/>
    <x v="1"/>
  </r>
  <r>
    <n v="1276219574"/>
    <x v="1"/>
    <x v="0"/>
    <d v="2026-05-17T18:20:43"/>
    <s v="Jokalizu"/>
    <x v="156"/>
    <x v="1"/>
    <s v="No"/>
    <s v="Inglés"/>
    <n v="3.45"/>
    <n v="1"/>
    <n v="3.45"/>
    <x v="0"/>
    <m/>
    <x v="1"/>
  </r>
  <r>
    <n v="1276219573"/>
    <x v="1"/>
    <x v="0"/>
    <d v="2026-05-17T18:20:43"/>
    <s v="E1000iko"/>
    <x v="151"/>
    <x v="3"/>
    <s v="No"/>
    <s v="Inglés"/>
    <n v="4.2807692307692307"/>
    <n v="1"/>
    <n v="4.2807692307692307"/>
    <x v="0"/>
    <m/>
    <x v="1"/>
  </r>
  <r>
    <n v="1276219573"/>
    <x v="1"/>
    <x v="0"/>
    <d v="2026-05-17T18:20:43"/>
    <s v="E1000iko"/>
    <x v="154"/>
    <x v="3"/>
    <s v="No"/>
    <s v="Inglés"/>
    <n v="3.6692307692307691"/>
    <n v="1"/>
    <n v="3.6692307692307691"/>
    <x v="0"/>
    <m/>
    <x v="1"/>
  </r>
  <r>
    <n v="1276219569"/>
    <x v="1"/>
    <x v="0"/>
    <d v="2026-05-17T18:20:43"/>
    <s v="CartinhaBrilhante"/>
    <x v="153"/>
    <x v="3"/>
    <s v="No"/>
    <s v="Inglés"/>
    <n v="1.521970954356846"/>
    <n v="1"/>
    <n v="1.521970954356846"/>
    <x v="0"/>
    <m/>
    <x v="1"/>
  </r>
  <r>
    <n v="1276219569"/>
    <x v="1"/>
    <x v="0"/>
    <d v="2026-05-17T18:20:43"/>
    <s v="CartinhaBrilhante"/>
    <x v="152"/>
    <x v="3"/>
    <s v="No"/>
    <s v="Inglés"/>
    <n v="3.7984232365145232"/>
    <n v="1"/>
    <n v="3.7984232365145232"/>
    <x v="0"/>
    <m/>
    <x v="1"/>
  </r>
  <r>
    <n v="1276219569"/>
    <x v="1"/>
    <x v="0"/>
    <d v="2026-05-17T18:20:43"/>
    <s v="CartinhaBrilhante"/>
    <x v="157"/>
    <x v="3"/>
    <s v="No"/>
    <s v="Inglés"/>
    <n v="0.94960580912863068"/>
    <n v="1"/>
    <n v="0.94960580912863068"/>
    <x v="0"/>
    <m/>
    <x v="1"/>
  </r>
  <r>
    <n v="1276219568"/>
    <x v="1"/>
    <x v="0"/>
    <d v="2026-05-17T18:20:43"/>
    <s v="Nandisk0"/>
    <x v="158"/>
    <x v="4"/>
    <s v="No"/>
    <s v="Inglés"/>
    <n v="2.04"/>
    <n v="1"/>
    <n v="2.04"/>
    <x v="0"/>
    <m/>
    <x v="1"/>
  </r>
  <r>
    <n v="1276219568"/>
    <x v="1"/>
    <x v="0"/>
    <d v="2026-05-17T18:20:43"/>
    <s v="Nandisk0"/>
    <x v="159"/>
    <x v="19"/>
    <s v="No"/>
    <s v="Inglés"/>
    <n v="8.16"/>
    <n v="1"/>
    <n v="8.16"/>
    <x v="0"/>
    <m/>
    <x v="0"/>
  </r>
  <r>
    <n v="1276219564"/>
    <x v="1"/>
    <x v="0"/>
    <d v="2026-05-17T18:20:43"/>
    <s v="TheGreatCollectorPSA"/>
    <x v="158"/>
    <x v="4"/>
    <s v="No"/>
    <s v="Inglés"/>
    <n v="4.4400000000000004"/>
    <n v="1"/>
    <n v="4.4400000000000004"/>
    <x v="0"/>
    <m/>
    <x v="1"/>
  </r>
  <r>
    <n v="1276219563"/>
    <x v="1"/>
    <x v="0"/>
    <d v="2026-05-17T18:20:43"/>
    <s v="Wilsonetti66"/>
    <x v="160"/>
    <x v="3"/>
    <s v="No"/>
    <s v="Inglés"/>
    <n v="8.6999999999999993"/>
    <n v="1"/>
    <n v="8.6999999999999993"/>
    <x v="0"/>
    <m/>
    <x v="1"/>
  </r>
  <r>
    <n v="1276219562"/>
    <x v="1"/>
    <x v="0"/>
    <d v="2026-05-17T18:20:43"/>
    <s v="RiftboundSpain"/>
    <x v="161"/>
    <x v="3"/>
    <s v="No"/>
    <s v="Inglés"/>
    <n v="1.4833333333333329"/>
    <n v="3"/>
    <n v="4.4499999999999993"/>
    <x v="0"/>
    <m/>
    <x v="1"/>
  </r>
  <r>
    <n v="1276219561"/>
    <x v="1"/>
    <x v="0"/>
    <d v="2026-05-17T18:20:43"/>
    <s v="Kaizen99"/>
    <x v="158"/>
    <x v="4"/>
    <s v="No"/>
    <s v="Inglés"/>
    <n v="4.1900000000000004"/>
    <n v="1"/>
    <n v="4.1900000000000004"/>
    <x v="0"/>
    <m/>
    <x v="1"/>
  </r>
  <r>
    <n v="1276219560"/>
    <x v="1"/>
    <x v="0"/>
    <d v="2026-05-17T18:20:43"/>
    <s v="KairaCards"/>
    <x v="149"/>
    <x v="4"/>
    <s v="No"/>
    <s v="Inglés"/>
    <n v="1.717834394904459"/>
    <n v="2"/>
    <n v="3.435668789808918"/>
    <x v="0"/>
    <m/>
    <x v="1"/>
  </r>
  <r>
    <n v="1276219560"/>
    <x v="1"/>
    <x v="0"/>
    <d v="2026-05-17T18:20:43"/>
    <s v="KairaCards"/>
    <x v="162"/>
    <x v="4"/>
    <s v="No"/>
    <s v="Inglés"/>
    <n v="1.9547770700636939"/>
    <n v="3"/>
    <n v="5.8643312101910823"/>
    <x v="0"/>
    <m/>
    <x v="1"/>
  </r>
  <r>
    <n v="1276219554"/>
    <x v="1"/>
    <x v="0"/>
    <d v="2026-05-17T18:20:43"/>
    <s v="VipsMasterDuels"/>
    <x v="122"/>
    <x v="3"/>
    <s v="No"/>
    <s v="Inglés"/>
    <n v="0.98333333333333339"/>
    <n v="2"/>
    <n v="1.9666666666666668"/>
    <x v="0"/>
    <m/>
    <x v="1"/>
  </r>
  <r>
    <n v="1276219554"/>
    <x v="1"/>
    <x v="0"/>
    <d v="2026-05-17T18:20:43"/>
    <s v="VipsMasterDuels"/>
    <x v="150"/>
    <x v="4"/>
    <s v="No"/>
    <s v="Inglés"/>
    <n v="0.98333333333333339"/>
    <n v="1"/>
    <n v="0.98333333333333339"/>
    <x v="0"/>
    <m/>
    <x v="1"/>
  </r>
  <r>
    <n v="1276219520"/>
    <x v="1"/>
    <x v="0"/>
    <d v="2026-05-17T18:20:43"/>
    <s v="Battlefields3D"/>
    <x v="151"/>
    <x v="3"/>
    <s v="No"/>
    <s v="Inglés"/>
    <n v="4.6694356005788711"/>
    <n v="1"/>
    <n v="4.6694356005788711"/>
    <x v="0"/>
    <m/>
    <x v="1"/>
  </r>
  <r>
    <n v="1276219520"/>
    <x v="1"/>
    <x v="0"/>
    <d v="2026-05-17T18:20:43"/>
    <s v="Battlefields3D"/>
    <x v="153"/>
    <x v="3"/>
    <s v="No"/>
    <s v="Inglés"/>
    <n v="2.1065123010130251"/>
    <n v="1"/>
    <n v="2.1065123010130251"/>
    <x v="0"/>
    <m/>
    <x v="1"/>
  </r>
  <r>
    <n v="1276219520"/>
    <x v="1"/>
    <x v="0"/>
    <d v="2026-05-17T18:20:43"/>
    <s v="Battlefields3D"/>
    <x v="154"/>
    <x v="3"/>
    <s v="No"/>
    <s v="Inglés"/>
    <n v="3.5108538350217078"/>
    <n v="1"/>
    <n v="3.5108538350217078"/>
    <x v="0"/>
    <m/>
    <x v="1"/>
  </r>
  <r>
    <n v="1276219520"/>
    <x v="1"/>
    <x v="0"/>
    <d v="2026-05-17T18:20:43"/>
    <s v="Battlefields3D"/>
    <x v="157"/>
    <x v="3"/>
    <s v="No"/>
    <s v="Inglés"/>
    <n v="2.340569223347805"/>
    <n v="1"/>
    <n v="2.340569223347805"/>
    <x v="0"/>
    <m/>
    <x v="1"/>
  </r>
  <r>
    <n v="1276219520"/>
    <x v="1"/>
    <x v="0"/>
    <d v="2026-05-17T18:20:43"/>
    <s v="Battlefields3D"/>
    <x v="99"/>
    <x v="4"/>
    <s v="No"/>
    <s v="Inglés"/>
    <n v="0.58514230583695126"/>
    <n v="1"/>
    <n v="0.58514230583695126"/>
    <x v="0"/>
    <m/>
    <x v="1"/>
  </r>
  <r>
    <n v="1276219520"/>
    <x v="1"/>
    <x v="0"/>
    <d v="2026-05-17T18:20:43"/>
    <s v="Battlefields3D"/>
    <x v="150"/>
    <x v="4"/>
    <s v="No"/>
    <s v="Inglés"/>
    <n v="0.87771345875542695"/>
    <n v="1"/>
    <n v="0.87771345875542695"/>
    <x v="0"/>
    <m/>
    <x v="1"/>
  </r>
  <r>
    <n v="1276219520"/>
    <x v="1"/>
    <x v="0"/>
    <d v="2026-05-17T18:20:43"/>
    <s v="Battlefields3D"/>
    <x v="163"/>
    <x v="4"/>
    <s v="No"/>
    <s v="Inglés"/>
    <n v="3.4991509889049688"/>
    <n v="3"/>
    <n v="10.497452966714906"/>
    <x v="0"/>
    <m/>
    <x v="1"/>
  </r>
  <r>
    <n v="1276219520"/>
    <x v="1"/>
    <x v="0"/>
    <d v="2026-05-17T18:20:43"/>
    <s v="Battlefields3D"/>
    <x v="164"/>
    <x v="4"/>
    <s v="No"/>
    <s v="Inglés"/>
    <n v="0.29257115291847557"/>
    <n v="3"/>
    <n v="0.87771345875542672"/>
    <x v="0"/>
    <m/>
    <x v="1"/>
  </r>
  <r>
    <n v="1276219520"/>
    <x v="1"/>
    <x v="0"/>
    <d v="2026-05-17T18:20:43"/>
    <s v="Battlefields3D"/>
    <x v="165"/>
    <x v="4"/>
    <s v="No"/>
    <s v="Inglés"/>
    <n v="0.58514230583695126"/>
    <n v="3"/>
    <n v="1.7554269175108539"/>
    <x v="0"/>
    <m/>
    <x v="1"/>
  </r>
  <r>
    <n v="1276219520"/>
    <x v="1"/>
    <x v="0"/>
    <d v="2026-05-17T18:20:43"/>
    <s v="Battlefields3D"/>
    <x v="166"/>
    <x v="4"/>
    <s v="No"/>
    <s v="Inglés"/>
    <n v="1.3458273034249879"/>
    <n v="3"/>
    <n v="4.0374819102749635"/>
    <x v="0"/>
    <m/>
    <x v="1"/>
  </r>
  <r>
    <n v="1276219520"/>
    <x v="1"/>
    <x v="0"/>
    <d v="2026-05-17T18:20:43"/>
    <s v="Battlefields3D"/>
    <x v="167"/>
    <x v="1"/>
    <s v="No"/>
    <s v="Inglés"/>
    <n v="1.170284611673903"/>
    <n v="3"/>
    <n v="3.5108538350217087"/>
    <x v="0"/>
    <m/>
    <x v="1"/>
  </r>
  <r>
    <n v="1276219520"/>
    <x v="1"/>
    <x v="0"/>
    <d v="2026-05-17T18:20:43"/>
    <s v="Battlefields3D"/>
    <x v="168"/>
    <x v="3"/>
    <s v="No"/>
    <s v="Inglés"/>
    <n v="5.5003376748673416"/>
    <n v="1"/>
    <n v="5.5003376748673416"/>
    <x v="0"/>
    <m/>
    <x v="1"/>
  </r>
  <r>
    <n v="1276219520"/>
    <x v="1"/>
    <x v="0"/>
    <d v="2026-05-17T18:20:43"/>
    <s v="Battlefields3D"/>
    <x v="169"/>
    <x v="3"/>
    <s v="No"/>
    <s v="Inglés"/>
    <n v="0.52662807525325617"/>
    <n v="3"/>
    <n v="1.5798842257597685"/>
    <x v="0"/>
    <m/>
    <x v="1"/>
  </r>
  <r>
    <n v="1276219520"/>
    <x v="1"/>
    <x v="0"/>
    <d v="2026-05-17T18:20:43"/>
    <s v="Battlefields3D"/>
    <x v="170"/>
    <x v="4"/>
    <s v="No"/>
    <s v="Inglés"/>
    <n v="0.52662807525325617"/>
    <n v="3"/>
    <n v="1.5798842257597685"/>
    <x v="0"/>
    <m/>
    <x v="1"/>
  </r>
  <r>
    <n v="1276219520"/>
    <x v="1"/>
    <x v="0"/>
    <d v="2026-05-17T18:20:43"/>
    <s v="Battlefields3D"/>
    <x v="171"/>
    <x v="4"/>
    <s v="No"/>
    <s v="Inglés"/>
    <n v="1.2287988422575979"/>
    <n v="1"/>
    <n v="1.2287988422575979"/>
    <x v="0"/>
    <m/>
    <x v="1"/>
  </r>
  <r>
    <n v="1276219520"/>
    <x v="1"/>
    <x v="0"/>
    <d v="2026-05-17T18:20:43"/>
    <s v="Battlefields3D"/>
    <x v="172"/>
    <x v="1"/>
    <s v="No"/>
    <s v="Inglés"/>
    <n v="0.64365653642064646"/>
    <n v="1"/>
    <n v="0.64365653642064646"/>
    <x v="0"/>
    <m/>
    <x v="1"/>
  </r>
  <r>
    <n v="1276219520"/>
    <x v="1"/>
    <x v="0"/>
    <d v="2026-05-17T18:20:43"/>
    <s v="Battlefields3D"/>
    <x v="173"/>
    <x v="4"/>
    <s v="No"/>
    <s v="Inglés"/>
    <n v="1.1117703810902071"/>
    <n v="1"/>
    <n v="1.1117703810902071"/>
    <x v="0"/>
    <m/>
    <x v="1"/>
  </r>
  <r>
    <n v="1276219520"/>
    <x v="1"/>
    <x v="0"/>
    <d v="2026-05-17T18:20:43"/>
    <s v="Battlefields3D"/>
    <x v="174"/>
    <x v="4"/>
    <s v="No"/>
    <s v="Inglés"/>
    <n v="0.17554269175108539"/>
    <n v="6"/>
    <n v="1.0532561505065123"/>
    <x v="0"/>
    <m/>
    <x v="1"/>
  </r>
  <r>
    <n v="1276219520"/>
    <x v="1"/>
    <x v="0"/>
    <d v="2026-05-17T18:20:43"/>
    <s v="Battlefields3D"/>
    <x v="175"/>
    <x v="4"/>
    <s v="No"/>
    <s v="Inglés"/>
    <n v="0.17554269175108539"/>
    <n v="6"/>
    <n v="1.0532561505065123"/>
    <x v="0"/>
    <m/>
    <x v="1"/>
  </r>
  <r>
    <n v="1276151760"/>
    <x v="1"/>
    <x v="0"/>
    <d v="2026-05-17T11:42:37"/>
    <s v="XeNonWoN"/>
    <x v="176"/>
    <x v="4"/>
    <s v="No"/>
    <s v="Inglés"/>
    <n v="82.06"/>
    <n v="1"/>
    <n v="82.06"/>
    <x v="0"/>
    <m/>
    <x v="1"/>
  </r>
  <r>
    <n v="1276142537"/>
    <x v="1"/>
    <x v="0"/>
    <d v="2026-05-17T11:42:37"/>
    <s v="Predatorix"/>
    <x v="177"/>
    <x v="4"/>
    <s v="No"/>
    <s v="Inglés"/>
    <n v="122.06"/>
    <n v="1"/>
    <n v="122.06"/>
    <x v="0"/>
    <m/>
    <x v="1"/>
  </r>
  <r>
    <n v="1276141010"/>
    <x v="1"/>
    <x v="0"/>
    <d v="2026-05-17T11:42:37"/>
    <s v="Distritozero-San"/>
    <x v="178"/>
    <x v="1"/>
    <s v="No"/>
    <s v="Inglés"/>
    <n v="29.95"/>
    <n v="1"/>
    <n v="29.95"/>
    <x v="0"/>
    <m/>
    <x v="1"/>
  </r>
  <r>
    <n v="1276140995"/>
    <x v="1"/>
    <x v="0"/>
    <d v="2026-05-17T11:42:37"/>
    <s v="Distritozero-Bilbao"/>
    <x v="178"/>
    <x v="1"/>
    <s v="No"/>
    <s v="Inglés"/>
    <n v="28.5"/>
    <n v="2"/>
    <n v="57"/>
    <x v="0"/>
    <m/>
    <x v="1"/>
  </r>
  <r>
    <n v="1275963226"/>
    <x v="1"/>
    <x v="0"/>
    <d v="2026-05-16T20:19:07"/>
    <s v="PlaneswalkersVLC"/>
    <x v="179"/>
    <x v="20"/>
    <s v="No"/>
    <s v="Inglés"/>
    <n v="1.6636363636363629"/>
    <n v="3"/>
    <n v="4.9909090909090885"/>
    <x v="0"/>
    <m/>
    <x v="0"/>
  </r>
  <r>
    <n v="1275963226"/>
    <x v="1"/>
    <x v="0"/>
    <d v="2026-05-16T20:19:07"/>
    <s v="PlaneswalkersVLC"/>
    <x v="180"/>
    <x v="14"/>
    <s v="No"/>
    <s v="Inglés"/>
    <n v="2.079545454545455"/>
    <n v="2"/>
    <n v="4.1590909090909101"/>
    <x v="0"/>
    <m/>
    <x v="0"/>
  </r>
  <r>
    <n v="1275846152"/>
    <x v="1"/>
    <x v="0"/>
    <d v="2026-05-15T21:04:40"/>
    <s v="AlcomagicTCGs"/>
    <x v="181"/>
    <x v="21"/>
    <s v="Si"/>
    <s v="Inglés"/>
    <n v="0.51249999999999996"/>
    <n v="4"/>
    <n v="2.0499999999999998"/>
    <x v="0"/>
    <m/>
    <x v="0"/>
  </r>
  <r>
    <n v="1275845928"/>
    <x v="1"/>
    <x v="0"/>
    <d v="2026-05-15T21:04:40"/>
    <s v="Deckpoint"/>
    <x v="182"/>
    <x v="22"/>
    <s v="Si"/>
    <s v="Inglés"/>
    <n v="0.51249999999999996"/>
    <n v="4"/>
    <n v="2.0499999999999998"/>
    <x v="0"/>
    <m/>
    <x v="0"/>
  </r>
  <r>
    <n v="1275843154"/>
    <x v="1"/>
    <x v="0"/>
    <d v="2026-05-15T21:04:40"/>
    <s v="Distritozero-San"/>
    <x v="183"/>
    <x v="20"/>
    <s v="No"/>
    <s v="Inglés"/>
    <n v="9.4499999999999993"/>
    <n v="2"/>
    <n v="18.899999999999999"/>
    <x v="0"/>
    <m/>
    <x v="0"/>
  </r>
  <r>
    <n v="1275840855"/>
    <x v="1"/>
    <x v="0"/>
    <d v="2026-05-15T21:04:40"/>
    <s v="vivabender"/>
    <x v="184"/>
    <x v="23"/>
    <s v="Si"/>
    <s v="Inglés"/>
    <n v="0.46249999999999991"/>
    <n v="4"/>
    <n v="1.8499999999999996"/>
    <x v="0"/>
    <m/>
    <x v="0"/>
  </r>
  <r>
    <n v="1275840500"/>
    <x v="1"/>
    <x v="0"/>
    <d v="2026-05-15T21:04:40"/>
    <s v="PlaneswalkersVLC"/>
    <x v="185"/>
    <x v="20"/>
    <s v="Si"/>
    <s v="Inglés"/>
    <n v="1.627941176470588"/>
    <n v="4"/>
    <n v="6.511764705882352"/>
    <x v="0"/>
    <m/>
    <x v="0"/>
  </r>
  <r>
    <n v="1275840500"/>
    <x v="1"/>
    <x v="0"/>
    <d v="2026-05-15T21:04:40"/>
    <s v="PlaneswalkersVLC"/>
    <x v="186"/>
    <x v="20"/>
    <s v="No"/>
    <s v="Inglés"/>
    <n v="2.170588235294117"/>
    <n v="2"/>
    <n v="4.3411764705882341"/>
    <x v="0"/>
    <m/>
    <x v="0"/>
  </r>
  <r>
    <n v="1275840500"/>
    <x v="1"/>
    <x v="0"/>
    <d v="2026-05-15T21:04:40"/>
    <s v="PlaneswalkersVLC"/>
    <x v="187"/>
    <x v="24"/>
    <s v="No"/>
    <s v="Inglés"/>
    <n v="3.7985294117647062"/>
    <n v="2"/>
    <n v="7.5970588235294123"/>
    <x v="0"/>
    <m/>
    <x v="0"/>
  </r>
  <r>
    <n v="1275840114"/>
    <x v="1"/>
    <x v="0"/>
    <d v="2026-05-15T21:04:40"/>
    <s v="Mazvigosl"/>
    <x v="188"/>
    <x v="25"/>
    <s v="Si"/>
    <s v="Inglés"/>
    <n v="4.0625"/>
    <n v="4"/>
    <n v="16.25"/>
    <x v="0"/>
    <m/>
    <x v="0"/>
  </r>
  <r>
    <n v="1270673758"/>
    <x v="2"/>
    <x v="0"/>
    <d v="2026-04-22T11:57:02"/>
    <s v="Shark-Games"/>
    <x v="189"/>
    <x v="26"/>
    <s v="No"/>
    <s v="Inglés"/>
    <n v="6.3900000000000006"/>
    <n v="1"/>
    <n v="6.3900000000000006"/>
    <x v="0"/>
    <m/>
    <x v="0"/>
  </r>
  <r>
    <n v="1270672711"/>
    <x v="2"/>
    <x v="0"/>
    <d v="2026-04-22T11:57:02"/>
    <s v="Moria05"/>
    <x v="190"/>
    <x v="27"/>
    <s v="Si"/>
    <s v="Inglés"/>
    <n v="5.3425000000000002"/>
    <n v="4"/>
    <n v="21.37"/>
    <x v="0"/>
    <m/>
    <x v="0"/>
  </r>
  <r>
    <n v="1266121863"/>
    <x v="2"/>
    <x v="0"/>
    <d v="2026-04-21T09:32:44"/>
    <s v="Metropolis-Center"/>
    <x v="191"/>
    <x v="28"/>
    <s v="No"/>
    <s v="Inglés"/>
    <n v="5.3772321428571432"/>
    <n v="2"/>
    <n v="10.754464285714286"/>
    <x v="1"/>
    <n v="10.754464285714286"/>
    <x v="0"/>
  </r>
  <r>
    <n v="1268320882"/>
    <x v="2"/>
    <x v="0"/>
    <d v="2026-04-10T17:08:43"/>
    <s v="Ikeraso"/>
    <x v="192"/>
    <x v="29"/>
    <s v="No"/>
    <s v="Chino-S"/>
    <n v="3.6150000000000002"/>
    <n v="2"/>
    <n v="7.23"/>
    <x v="1"/>
    <n v="7.23"/>
    <x v="0"/>
  </r>
  <r>
    <n v="1263537193"/>
    <x v="2"/>
    <x v="0"/>
    <d v="2026-04-05T14:17:38"/>
    <s v="jcarrillo"/>
    <x v="193"/>
    <x v="22"/>
    <s v="No"/>
    <s v="Inglés"/>
    <n v="1.95"/>
    <n v="1"/>
    <n v="1.95"/>
    <x v="1"/>
    <n v="1.95"/>
    <x v="0"/>
  </r>
  <r>
    <n v="1267203294"/>
    <x v="2"/>
    <x v="0"/>
    <d v="2026-04-05T10:12:23"/>
    <s v="duboity"/>
    <x v="194"/>
    <x v="30"/>
    <s v="No"/>
    <s v="Inglés"/>
    <n v="5.4"/>
    <n v="1"/>
    <n v="5.4"/>
    <x v="1"/>
    <n v="5.4"/>
    <x v="0"/>
  </r>
  <r>
    <n v="1266994871"/>
    <x v="2"/>
    <x v="0"/>
    <d v="2026-04-04T08:36:40"/>
    <s v="tulsaworm"/>
    <x v="195"/>
    <x v="31"/>
    <s v="No"/>
    <s v="Inglés"/>
    <n v="1.6749999999999998"/>
    <n v="2"/>
    <n v="3.3499999999999996"/>
    <x v="1"/>
    <n v="3.3499999999999996"/>
    <x v="0"/>
  </r>
  <r>
    <n v="1263299290"/>
    <x v="3"/>
    <x v="0"/>
    <d v="2026-03-31T12:29:11"/>
    <s v="Riotaire"/>
    <x v="196"/>
    <x v="32"/>
    <s v="Si"/>
    <s v="Inglés"/>
    <n v="2.3125"/>
    <n v="4"/>
    <n v="9.25"/>
    <x v="1"/>
    <n v="9.25"/>
    <x v="0"/>
  </r>
  <r>
    <n v="1266121863"/>
    <x v="3"/>
    <x v="0"/>
    <d v="2026-03-31T05:38:02"/>
    <s v="Metropolis-Center"/>
    <x v="197"/>
    <x v="33"/>
    <s v="Si"/>
    <s v="Inglés"/>
    <n v="0.14794303797468361"/>
    <n v="4"/>
    <n v="0.59177215189873444"/>
    <x v="1"/>
    <n v="0.59177215189873422"/>
    <x v="0"/>
  </r>
  <r>
    <n v="1266121863"/>
    <x v="3"/>
    <x v="0"/>
    <d v="2026-03-31T05:38:02"/>
    <s v="Metropolis-Center"/>
    <x v="198"/>
    <x v="34"/>
    <s v="No"/>
    <s v="Inglés"/>
    <n v="1.449841772151899"/>
    <n v="2"/>
    <n v="2.899683544303798"/>
    <x v="1"/>
    <n v="2.899683544303798"/>
    <x v="0"/>
  </r>
  <r>
    <n v="1265242239"/>
    <x v="3"/>
    <x v="0"/>
    <d v="2026-03-26T22:45:46"/>
    <s v="SatoruGojoD"/>
    <x v="199"/>
    <x v="35"/>
    <s v="Si"/>
    <s v="Inglés"/>
    <n v="1.1125"/>
    <n v="4"/>
    <n v="4.45"/>
    <x v="0"/>
    <m/>
    <x v="0"/>
  </r>
  <r>
    <n v="1265192498"/>
    <x v="3"/>
    <x v="0"/>
    <d v="2026-03-26T15:52:36"/>
    <s v="Wallace83"/>
    <x v="200"/>
    <x v="36"/>
    <s v="No"/>
    <s v="Japonés"/>
    <n v="121.9220532646048"/>
    <n v="1"/>
    <n v="121.9220532646048"/>
    <x v="0"/>
    <m/>
    <x v="0"/>
  </r>
  <r>
    <n v="1265192498"/>
    <x v="3"/>
    <x v="0"/>
    <d v="2026-03-26T15:52:36"/>
    <s v="Wallace83"/>
    <x v="199"/>
    <x v="35"/>
    <s v="No"/>
    <s v="Inglés"/>
    <n v="1.537946735395189"/>
    <n v="1"/>
    <n v="1.537946735395189"/>
    <x v="0"/>
    <m/>
    <x v="0"/>
  </r>
  <r>
    <n v="1264242539"/>
    <x v="3"/>
    <x v="0"/>
    <d v="2026-03-21T10:08:19"/>
    <s v="ugatortuga"/>
    <x v="201"/>
    <x v="37"/>
    <s v="No"/>
    <s v="Inglés"/>
    <n v="3.6749999999999998"/>
    <n v="2"/>
    <n v="7.35"/>
    <x v="0"/>
    <m/>
    <x v="0"/>
  </r>
  <r>
    <n v="1264228159"/>
    <x v="3"/>
    <x v="0"/>
    <d v="2026-03-21T10:08:19"/>
    <s v="Bazaarofmagic"/>
    <x v="202"/>
    <x v="38"/>
    <s v="No"/>
    <s v="Inglés"/>
    <n v="5.2938405797101442"/>
    <n v="2"/>
    <n v="10.587681159420288"/>
    <x v="0"/>
    <m/>
    <x v="0"/>
  </r>
  <r>
    <n v="1264228159"/>
    <x v="3"/>
    <x v="0"/>
    <d v="2026-03-21T10:08:19"/>
    <s v="Bazaarofmagic"/>
    <x v="203"/>
    <x v="39"/>
    <s v="No"/>
    <s v="Inglés"/>
    <n v="3.9007246376811588"/>
    <n v="3"/>
    <n v="11.702173913043477"/>
    <x v="0"/>
    <m/>
    <x v="0"/>
  </r>
  <r>
    <n v="1264228159"/>
    <x v="3"/>
    <x v="0"/>
    <d v="2026-03-21T10:08:19"/>
    <s v="Bazaarofmagic"/>
    <x v="204"/>
    <x v="40"/>
    <s v="No"/>
    <s v="Inglés"/>
    <n v="8.0800724637681149"/>
    <n v="2"/>
    <n v="16.16014492753623"/>
    <x v="0"/>
    <m/>
    <x v="0"/>
  </r>
  <r>
    <n v="1262419985"/>
    <x v="3"/>
    <x v="0"/>
    <d v="2026-03-17T10:40:35"/>
    <s v="Mazvigosl"/>
    <x v="205"/>
    <x v="41"/>
    <s v="No"/>
    <s v="Inglés"/>
    <n v="0.54632587859424919"/>
    <n v="3"/>
    <n v="1.6389776357827475"/>
    <x v="1"/>
    <n v="1.6389776357827475"/>
    <x v="0"/>
  </r>
  <r>
    <n v="1262419985"/>
    <x v="3"/>
    <x v="0"/>
    <d v="2026-03-17T10:40:35"/>
    <s v="Mazvigosl"/>
    <x v="206"/>
    <x v="42"/>
    <s v="No"/>
    <s v="Chino-S"/>
    <n v="0.54632587859424919"/>
    <n v="1"/>
    <n v="0.54632587859424919"/>
    <x v="1"/>
    <n v="0.54632587859424919"/>
    <x v="0"/>
  </r>
  <r>
    <n v="1262889786"/>
    <x v="3"/>
    <x v="0"/>
    <d v="2026-03-13T21:02:07"/>
    <s v="DISTRITOZERO-TOLOSA"/>
    <x v="207"/>
    <x v="43"/>
    <s v="Si"/>
    <s v="Inglés"/>
    <n v="1.2725"/>
    <n v="4"/>
    <n v="5.09"/>
    <x v="0"/>
    <m/>
    <x v="0"/>
  </r>
  <r>
    <n v="1262888434"/>
    <x v="3"/>
    <x v="0"/>
    <d v="2026-03-13T21:02:07"/>
    <s v="PlaneswalkersVLC"/>
    <x v="208"/>
    <x v="44"/>
    <s v="Si"/>
    <s v="Inglés"/>
    <n v="6.0125000000000002"/>
    <n v="4"/>
    <n v="24.05"/>
    <x v="0"/>
    <m/>
    <x v="0"/>
  </r>
  <r>
    <n v="1262887894"/>
    <x v="3"/>
    <x v="0"/>
    <d v="2026-03-13T21:02:07"/>
    <s v="sekkuar"/>
    <x v="209"/>
    <x v="45"/>
    <s v="No"/>
    <s v="Inglés"/>
    <n v="10.715"/>
    <n v="2"/>
    <n v="21.43"/>
    <x v="0"/>
    <m/>
    <x v="0"/>
  </r>
  <r>
    <n v="1262629977"/>
    <x v="3"/>
    <x v="0"/>
    <d v="2026-03-12T13:40:39"/>
    <s v="Indio1000"/>
    <x v="210"/>
    <x v="46"/>
    <s v="Si"/>
    <s v="Japonés"/>
    <n v="0.61250000000000004"/>
    <n v="4"/>
    <n v="2.4500000000000002"/>
    <x v="1"/>
    <n v="2.4500000000000002"/>
    <x v="0"/>
  </r>
  <r>
    <n v="1262419985"/>
    <x v="3"/>
    <x v="0"/>
    <d v="2026-03-11T11:42:58"/>
    <s v="Mazvigosl"/>
    <x v="211"/>
    <x v="47"/>
    <s v="No"/>
    <s v="Inglés"/>
    <n v="1.060642570281124"/>
    <n v="1"/>
    <n v="1.060642570281124"/>
    <x v="1"/>
    <n v="1.060642570281124"/>
    <x v="0"/>
  </r>
  <r>
    <n v="1262419985"/>
    <x v="3"/>
    <x v="0"/>
    <d v="2026-03-11T11:42:58"/>
    <s v="Mazvigosl"/>
    <x v="212"/>
    <x v="48"/>
    <s v="No"/>
    <s v="Inglés"/>
    <n v="3.2935742971887549"/>
    <n v="1"/>
    <n v="3.2935742971887549"/>
    <x v="1"/>
    <n v="3.2935742971887549"/>
    <x v="0"/>
  </r>
  <r>
    <n v="1262419985"/>
    <x v="3"/>
    <x v="0"/>
    <d v="2026-03-11T11:42:58"/>
    <s v="Mazvigosl"/>
    <x v="213"/>
    <x v="49"/>
    <s v="No"/>
    <s v="Inglés"/>
    <n v="1.060642570281124"/>
    <n v="1"/>
    <n v="1.060642570281124"/>
    <x v="1"/>
    <n v="1.060642570281124"/>
    <x v="0"/>
  </r>
  <r>
    <n v="1262419985"/>
    <x v="3"/>
    <x v="0"/>
    <d v="2026-03-11T11:42:58"/>
    <s v="Mazvigosl"/>
    <x v="214"/>
    <x v="50"/>
    <s v="No"/>
    <s v="Inglés"/>
    <n v="0.27911646586345379"/>
    <n v="1"/>
    <n v="0.27911646586345379"/>
    <x v="1"/>
    <n v="0.27911646586345379"/>
    <x v="0"/>
  </r>
  <r>
    <n v="1262419985"/>
    <x v="3"/>
    <x v="0"/>
    <d v="2026-03-11T11:42:58"/>
    <s v="Mazvigosl"/>
    <x v="215"/>
    <x v="49"/>
    <s v="No"/>
    <s v="Inglés"/>
    <n v="3.2935742971887549"/>
    <n v="1"/>
    <n v="3.2935742971887549"/>
    <x v="1"/>
    <n v="3.2935742971887549"/>
    <x v="0"/>
  </r>
  <r>
    <n v="1262419985"/>
    <x v="3"/>
    <x v="0"/>
    <d v="2026-03-11T11:42:58"/>
    <s v="Mazvigosl"/>
    <x v="216"/>
    <x v="51"/>
    <s v="No"/>
    <s v="Inglés"/>
    <n v="0.27911646586345379"/>
    <n v="1"/>
    <n v="0.27911646586345379"/>
    <x v="1"/>
    <n v="0.27911646586345379"/>
    <x v="0"/>
  </r>
  <r>
    <n v="1262419985"/>
    <x v="3"/>
    <x v="0"/>
    <d v="2026-03-11T11:42:58"/>
    <s v="Mazvigosl"/>
    <x v="217"/>
    <x v="52"/>
    <s v="No"/>
    <s v="Inglés"/>
    <n v="0.80943775100401605"/>
    <n v="2"/>
    <n v="1.6188755020080321"/>
    <x v="1"/>
    <n v="1.6188755020080321"/>
    <x v="0"/>
  </r>
  <r>
    <n v="1262419985"/>
    <x v="3"/>
    <x v="0"/>
    <d v="2026-03-11T11:42:58"/>
    <s v="Mazvigosl"/>
    <x v="218"/>
    <x v="53"/>
    <s v="No"/>
    <s v="Inglés"/>
    <n v="1.060642570281124"/>
    <n v="1"/>
    <n v="1.060642570281124"/>
    <x v="1"/>
    <n v="1.060642570281124"/>
    <x v="0"/>
  </r>
  <r>
    <n v="1262398464"/>
    <x v="3"/>
    <x v="0"/>
    <d v="2026-03-11T09:37:29"/>
    <s v="blinking-cmc"/>
    <x v="219"/>
    <x v="13"/>
    <s v="No"/>
    <s v="Español"/>
    <n v="4.4000000000000004"/>
    <n v="1"/>
    <n v="4.4000000000000004"/>
    <x v="1"/>
    <n v="4.4000000000000004"/>
    <x v="0"/>
  </r>
  <r>
    <n v="1260428137"/>
    <x v="3"/>
    <x v="0"/>
    <d v="2026-03-09T18:40:44"/>
    <s v="Josestich66"/>
    <x v="220"/>
    <x v="54"/>
    <s v="No"/>
    <s v="Japonés"/>
    <n v="4.6749999999999998"/>
    <n v="2"/>
    <n v="9.35"/>
    <x v="1"/>
    <n v="9.35"/>
    <x v="0"/>
  </r>
  <r>
    <n v="1259925283"/>
    <x v="3"/>
    <x v="0"/>
    <d v="2026-03-09T10:07:05"/>
    <s v="monchosdeck"/>
    <x v="221"/>
    <x v="55"/>
    <s v="No"/>
    <s v="Japonés"/>
    <n v="4.631845238095238"/>
    <n v="2"/>
    <n v="9.2636904761904759"/>
    <x v="1"/>
    <n v="9.2636904761904759"/>
    <x v="0"/>
  </r>
  <r>
    <n v="1259925283"/>
    <x v="3"/>
    <x v="0"/>
    <d v="2026-03-09T10:07:05"/>
    <s v="monchosdeck"/>
    <x v="222"/>
    <x v="52"/>
    <s v="No"/>
    <s v="Español"/>
    <n v="0.58630952380952384"/>
    <n v="1"/>
    <n v="0.58630952380952384"/>
    <x v="1"/>
    <n v="0.58630952380952384"/>
    <x v="0"/>
  </r>
  <r>
    <n v="1261791271"/>
    <x v="3"/>
    <x v="0"/>
    <d v="2026-03-08T09:34:28"/>
    <s v="gerardsm"/>
    <x v="223"/>
    <x v="56"/>
    <s v="No"/>
    <s v="Inglés"/>
    <n v="0.41111111111111109"/>
    <n v="1"/>
    <n v="0.41111111111111109"/>
    <x v="1"/>
    <n v="0.41111111111111109"/>
    <x v="0"/>
  </r>
  <r>
    <n v="1261791271"/>
    <x v="3"/>
    <x v="0"/>
    <d v="2026-03-08T09:34:28"/>
    <s v="gerardsm"/>
    <x v="223"/>
    <x v="57"/>
    <s v="No"/>
    <s v="Inglés"/>
    <n v="0.41111111111111109"/>
    <n v="2"/>
    <n v="0.82222222222222219"/>
    <x v="1"/>
    <n v="0.82222222222222219"/>
    <x v="0"/>
  </r>
  <r>
    <n v="1261791271"/>
    <x v="3"/>
    <x v="0"/>
    <d v="2026-03-08T09:34:28"/>
    <s v="gerardsm"/>
    <x v="224"/>
    <x v="58"/>
    <s v="No"/>
    <s v="Inglés"/>
    <n v="2.4666666666666668"/>
    <n v="1"/>
    <n v="2.4666666666666668"/>
    <x v="1"/>
    <n v="2.4666666666666668"/>
    <x v="0"/>
  </r>
  <r>
    <n v="1261362738"/>
    <x v="3"/>
    <x v="0"/>
    <d v="2026-03-06T05:58:09"/>
    <s v="Distritozero-Bilbao"/>
    <x v="225"/>
    <x v="43"/>
    <s v="No"/>
    <s v="Inglés"/>
    <n v="3.4"/>
    <n v="2"/>
    <n v="6.8"/>
    <x v="0"/>
    <m/>
    <x v="0"/>
  </r>
  <r>
    <n v="1261362700"/>
    <x v="3"/>
    <x v="0"/>
    <d v="2026-03-06T05:58:09"/>
    <s v="ColossalStore"/>
    <x v="226"/>
    <x v="43"/>
    <s v="Si"/>
    <s v="Inglés"/>
    <n v="1.8625"/>
    <n v="4"/>
    <n v="7.45"/>
    <x v="0"/>
    <m/>
    <x v="0"/>
  </r>
  <r>
    <n v="1261092661"/>
    <x v="3"/>
    <x v="0"/>
    <d v="2026-03-04T22:27:25"/>
    <s v="Magicevent"/>
    <x v="227"/>
    <x v="43"/>
    <s v="Si"/>
    <s v="Inglés"/>
    <n v="0.25083333333333341"/>
    <n v="4"/>
    <n v="1.0033333333333336"/>
    <x v="0"/>
    <m/>
    <x v="0"/>
  </r>
  <r>
    <n v="1261092661"/>
    <x v="3"/>
    <x v="0"/>
    <d v="2026-03-04T22:27:25"/>
    <s v="Magicevent"/>
    <x v="228"/>
    <x v="43"/>
    <s v="No"/>
    <s v="Inglés"/>
    <n v="1.71724358974359"/>
    <n v="1"/>
    <n v="1.71724358974359"/>
    <x v="0"/>
    <m/>
    <x v="0"/>
  </r>
  <r>
    <n v="1261092661"/>
    <x v="3"/>
    <x v="0"/>
    <d v="2026-03-04T22:27:25"/>
    <s v="Magicevent"/>
    <x v="229"/>
    <x v="59"/>
    <s v="No"/>
    <s v="Inglés"/>
    <n v="0.28942307692307689"/>
    <n v="1"/>
    <n v="0.28942307692307689"/>
    <x v="0"/>
    <m/>
    <x v="0"/>
  </r>
  <r>
    <n v="1260889596"/>
    <x v="3"/>
    <x v="0"/>
    <d v="2026-03-03T15:35:28"/>
    <s v="Tenebre"/>
    <x v="230"/>
    <x v="60"/>
    <s v="Si"/>
    <s v="Japonés"/>
    <n v="1.5999999999999999"/>
    <n v="4"/>
    <n v="6.3999999999999995"/>
    <x v="1"/>
    <n v="6.3999999999999995"/>
    <x v="0"/>
  </r>
  <r>
    <n v="1258407112"/>
    <x v="3"/>
    <x v="0"/>
    <d v="2026-03-03T10:19:19"/>
    <s v="Metropolis-Center"/>
    <x v="231"/>
    <x v="61"/>
    <s v="No"/>
    <s v="Inglés"/>
    <n v="0.2698087431693989"/>
    <n v="3"/>
    <n v="0.80942622950819665"/>
    <x v="1"/>
    <n v="0.80942622950819676"/>
    <x v="0"/>
  </r>
  <r>
    <n v="1258407112"/>
    <x v="3"/>
    <x v="0"/>
    <d v="2026-03-03T10:19:19"/>
    <s v="Metropolis-Center"/>
    <x v="232"/>
    <x v="62"/>
    <s v="No"/>
    <s v="Inglés"/>
    <n v="0.5396174863387978"/>
    <n v="2"/>
    <n v="1.0792349726775956"/>
    <x v="1"/>
    <n v="1.0792349726775956"/>
    <x v="0"/>
  </r>
  <r>
    <n v="1258407112"/>
    <x v="3"/>
    <x v="0"/>
    <d v="2026-03-03T10:19:19"/>
    <s v="Metropolis-Center"/>
    <x v="233"/>
    <x v="63"/>
    <s v="No"/>
    <s v="Inglés"/>
    <n v="0.2698087431693989"/>
    <n v="2"/>
    <n v="0.5396174863387978"/>
    <x v="1"/>
    <n v="0.5396174863387978"/>
    <x v="0"/>
  </r>
  <r>
    <n v="1258407112"/>
    <x v="3"/>
    <x v="0"/>
    <d v="2026-03-03T10:19:19"/>
    <s v="Metropolis-Center"/>
    <x v="234"/>
    <x v="64"/>
    <s v="No"/>
    <s v="Japonés"/>
    <n v="0.2698087431693989"/>
    <n v="1"/>
    <n v="0.2698087431693989"/>
    <x v="1"/>
    <n v="0.2698087431693989"/>
    <x v="0"/>
  </r>
  <r>
    <n v="1257613765"/>
    <x v="3"/>
    <x v="0"/>
    <d v="2026-03-03T08:45:27"/>
    <s v="esatheking"/>
    <x v="235"/>
    <x v="65"/>
    <s v="Si"/>
    <s v="Inglés"/>
    <n v="1.1499999999999999"/>
    <n v="4"/>
    <n v="4.5999999999999996"/>
    <x v="1"/>
    <n v="4.5999999999999996"/>
    <x v="0"/>
  </r>
  <r>
    <n v="1254403240"/>
    <x v="4"/>
    <x v="0"/>
    <d v="2026-02-21T10:13:39"/>
    <s v="Fabuloussanta"/>
    <x v="236"/>
    <x v="66"/>
    <s v="No"/>
    <s v="Español"/>
    <n v="1.0777777777777779"/>
    <n v="1"/>
    <n v="1.0777777777777779"/>
    <x v="1"/>
    <n v="1.0777777777777779"/>
    <x v="0"/>
  </r>
  <r>
    <n v="1258565333"/>
    <x v="4"/>
    <x v="0"/>
    <d v="2026-02-20T06:13:56"/>
    <s v="NerdOgre"/>
    <x v="237"/>
    <x v="13"/>
    <s v="No"/>
    <s v="Español"/>
    <n v="10.399999999999999"/>
    <n v="1"/>
    <n v="10.399999999999999"/>
    <x v="1"/>
    <n v="10.399999999999999"/>
    <x v="0"/>
  </r>
  <r>
    <n v="1257189486"/>
    <x v="4"/>
    <x v="0"/>
    <d v="2026-02-19T19:26:11"/>
    <s v="mariozeferino"/>
    <x v="238"/>
    <x v="67"/>
    <s v="Si"/>
    <s v="Inglés"/>
    <n v="1.1499999999999999"/>
    <n v="4"/>
    <n v="4.5999999999999996"/>
    <x v="1"/>
    <n v="4.5999999999999996"/>
    <x v="0"/>
  </r>
  <r>
    <n v="1258407112"/>
    <x v="4"/>
    <x v="0"/>
    <d v="2026-02-19T14:27:05"/>
    <s v="Metropolis-Center"/>
    <x v="239"/>
    <x v="53"/>
    <s v="No"/>
    <s v="Inglés"/>
    <n v="1.142657342657343"/>
    <n v="1"/>
    <n v="1.142657342657343"/>
    <x v="1"/>
    <n v="1.142657342657343"/>
    <x v="0"/>
  </r>
  <r>
    <n v="1258407112"/>
    <x v="4"/>
    <x v="0"/>
    <d v="2026-02-19T14:27:05"/>
    <s v="Metropolis-Center"/>
    <x v="240"/>
    <x v="68"/>
    <s v="No"/>
    <s v="Inglés"/>
    <n v="1.9846153846153849"/>
    <n v="3"/>
    <n v="5.9538461538461549"/>
    <x v="1"/>
    <n v="5.953846153846154"/>
    <x v="0"/>
  </r>
  <r>
    <n v="1256139128"/>
    <x v="4"/>
    <x v="0"/>
    <d v="2026-02-18T14:55:09"/>
    <s v="CorzoDoMonte"/>
    <x v="241"/>
    <x v="37"/>
    <s v="No"/>
    <s v="Inglés"/>
    <n v="1.6749999999999998"/>
    <n v="2"/>
    <n v="3.3499999999999996"/>
    <x v="1"/>
    <n v="3.3499999999999996"/>
    <x v="0"/>
  </r>
  <r>
    <n v="1257677828"/>
    <x v="4"/>
    <x v="0"/>
    <d v="2026-02-18T12:50:15"/>
    <s v="adrilg98"/>
    <x v="242"/>
    <x v="47"/>
    <s v="No"/>
    <s v="Inglés"/>
    <n v="2.3726457399103138"/>
    <n v="1"/>
    <n v="2.3726457399103138"/>
    <x v="1"/>
    <n v="2.3726457399103138"/>
    <x v="0"/>
  </r>
  <r>
    <n v="1255989435"/>
    <x v="4"/>
    <x v="0"/>
    <d v="2026-02-17T17:11:22"/>
    <s v="kaiserknight19"/>
    <x v="243"/>
    <x v="69"/>
    <s v="No"/>
    <s v="Inglés"/>
    <n v="8.4"/>
    <n v="1"/>
    <n v="8.4"/>
    <x v="1"/>
    <n v="8.4"/>
    <x v="0"/>
  </r>
  <r>
    <n v="1257677828"/>
    <x v="4"/>
    <x v="0"/>
    <d v="2026-02-15T16:43:15"/>
    <s v="adrilg98"/>
    <x v="244"/>
    <x v="48"/>
    <s v="No"/>
    <s v="Inglés"/>
    <n v="0.30418535127055307"/>
    <n v="1"/>
    <n v="0.30418535127055307"/>
    <x v="1"/>
    <n v="0.30418535127055307"/>
    <x v="0"/>
  </r>
  <r>
    <n v="1257677828"/>
    <x v="4"/>
    <x v="0"/>
    <d v="2026-02-15T16:43:15"/>
    <s v="adrilg98"/>
    <x v="245"/>
    <x v="70"/>
    <s v="No"/>
    <s v="Inglés"/>
    <n v="0.30418535127055307"/>
    <n v="1"/>
    <n v="0.30418535127055307"/>
    <x v="1"/>
    <n v="0.30418535127055307"/>
    <x v="0"/>
  </r>
  <r>
    <n v="1257677828"/>
    <x v="4"/>
    <x v="0"/>
    <d v="2026-02-15T16:43:15"/>
    <s v="adrilg98"/>
    <x v="246"/>
    <x v="71"/>
    <s v="No"/>
    <s v="Inglés"/>
    <n v="4.8547982062780273"/>
    <n v="1"/>
    <n v="4.8547982062780273"/>
    <x v="1"/>
    <n v="4.8547982062780273"/>
    <x v="0"/>
  </r>
  <r>
    <n v="1250724952"/>
    <x v="4"/>
    <x v="0"/>
    <d v="2026-02-15T11:09:11"/>
    <s v="enriquemouh1"/>
    <x v="247"/>
    <x v="72"/>
    <s v="No"/>
    <s v="Chino-S"/>
    <n v="3.4"/>
    <n v="1"/>
    <n v="3.4"/>
    <x v="1"/>
    <n v="3.4"/>
    <x v="0"/>
  </r>
  <r>
    <n v="1257556326"/>
    <x v="4"/>
    <x v="0"/>
    <d v="2026-02-15T08:33:49"/>
    <s v="Warscapez"/>
    <x v="248"/>
    <x v="73"/>
    <s v="No"/>
    <s v="Chino-S"/>
    <n v="10.674999999999999"/>
    <n v="2"/>
    <n v="21.349999999999998"/>
    <x v="1"/>
    <n v="21.349999999999998"/>
    <x v="0"/>
  </r>
  <r>
    <n v="1253816762"/>
    <x v="4"/>
    <x v="0"/>
    <d v="2026-02-14T12:35:48"/>
    <s v="RaulV"/>
    <x v="249"/>
    <x v="74"/>
    <s v="Si"/>
    <s v="Inglés"/>
    <n v="1.3125"/>
    <n v="4"/>
    <n v="5.25"/>
    <x v="1"/>
    <n v="5.25"/>
    <x v="0"/>
  </r>
  <r>
    <n v="1256847267"/>
    <x v="4"/>
    <x v="0"/>
    <d v="2026-02-11T19:19:54"/>
    <s v="Mathmechenjoyer"/>
    <x v="250"/>
    <x v="44"/>
    <s v="No"/>
    <s v="Inglés"/>
    <n v="33.43"/>
    <n v="1"/>
    <n v="33.43"/>
    <x v="0"/>
    <m/>
    <x v="0"/>
  </r>
  <r>
    <n v="1255258655"/>
    <x v="4"/>
    <x v="0"/>
    <d v="2026-02-11T00:25:12"/>
    <s v="Osomore3"/>
    <x v="251"/>
    <x v="34"/>
    <s v="Si"/>
    <s v="Inglés"/>
    <n v="3.0625"/>
    <n v="4"/>
    <n v="12.25"/>
    <x v="1"/>
    <n v="12.25"/>
    <x v="0"/>
  </r>
  <r>
    <n v="1256802315"/>
    <x v="4"/>
    <x v="0"/>
    <d v="2026-02-10T21:44:42"/>
    <s v="Vanja0411"/>
    <x v="252"/>
    <x v="75"/>
    <s v="No"/>
    <s v="Inglés"/>
    <n v="55.9"/>
    <n v="1"/>
    <n v="55.9"/>
    <x v="0"/>
    <m/>
    <x v="0"/>
  </r>
  <r>
    <n v="1255482037"/>
    <x v="4"/>
    <x v="0"/>
    <d v="2026-02-09T13:50:56"/>
    <s v="Kenoven"/>
    <x v="253"/>
    <x v="69"/>
    <s v="Si"/>
    <s v="Inglés"/>
    <n v="15.557499999999999"/>
    <n v="4"/>
    <n v="62.23"/>
    <x v="1"/>
    <n v="62.23"/>
    <x v="0"/>
  </r>
  <r>
    <n v="1249091802"/>
    <x v="4"/>
    <x v="0"/>
    <d v="2026-02-09T11:18:46"/>
    <s v="debz701"/>
    <x v="254"/>
    <x v="76"/>
    <s v="No"/>
    <s v="Español"/>
    <n v="8.5500000000000007"/>
    <n v="1"/>
    <n v="8.5500000000000007"/>
    <x v="1"/>
    <n v="8.5500000000000007"/>
    <x v="0"/>
  </r>
  <r>
    <n v="1256231608"/>
    <x v="4"/>
    <x v="0"/>
    <d v="2026-02-08T12:22:49"/>
    <s v="Xalvix"/>
    <x v="252"/>
    <x v="75"/>
    <s v="No"/>
    <s v="Inglés"/>
    <n v="63.539120892300318"/>
    <n v="1"/>
    <n v="63.539120892300318"/>
    <x v="0"/>
    <m/>
    <x v="0"/>
  </r>
  <r>
    <n v="1256231608"/>
    <x v="4"/>
    <x v="0"/>
    <d v="2026-02-08T12:22:49"/>
    <s v="Xalvix"/>
    <x v="255"/>
    <x v="14"/>
    <s v="No"/>
    <s v="Inglés"/>
    <n v="26.270879107699692"/>
    <n v="1"/>
    <n v="26.270879107699692"/>
    <x v="0"/>
    <m/>
    <x v="0"/>
  </r>
  <r>
    <n v="1256265067"/>
    <x v="4"/>
    <x v="0"/>
    <d v="2026-02-08T11:58:21"/>
    <s v="Deilicious"/>
    <x v="240"/>
    <x v="68"/>
    <s v="No"/>
    <s v="Inglés"/>
    <n v="5.4"/>
    <n v="1"/>
    <n v="5.4"/>
    <x v="1"/>
    <n v="5.4"/>
    <x v="0"/>
  </r>
  <r>
    <n v="1255847996"/>
    <x v="4"/>
    <x v="0"/>
    <d v="2026-02-06T15:47:56"/>
    <s v="PabloTutor"/>
    <x v="252"/>
    <x v="75"/>
    <s v="No"/>
    <s v="Inglés"/>
    <n v="62.38"/>
    <n v="1"/>
    <n v="62.38"/>
    <x v="0"/>
    <m/>
    <x v="0"/>
  </r>
  <r>
    <n v="1254900778"/>
    <x v="4"/>
    <x v="0"/>
    <d v="2026-02-05T16:47:28"/>
    <s v="Cualquiera"/>
    <x v="256"/>
    <x v="68"/>
    <s v="No"/>
    <s v="Inglés"/>
    <n v="9.4"/>
    <n v="1"/>
    <n v="9.4"/>
    <x v="1"/>
    <n v="9.4"/>
    <x v="0"/>
  </r>
  <r>
    <n v="1255562695"/>
    <x v="4"/>
    <x v="0"/>
    <d v="2026-02-04T23:07:39"/>
    <s v="willybizarre"/>
    <x v="257"/>
    <x v="77"/>
    <s v="Si"/>
    <s v="Japonés"/>
    <n v="4.3525"/>
    <n v="4"/>
    <n v="17.41"/>
    <x v="0"/>
    <m/>
    <x v="0"/>
  </r>
  <r>
    <n v="1255553836"/>
    <x v="4"/>
    <x v="0"/>
    <d v="2026-02-04T19:06:45"/>
    <s v="DaniSMTG"/>
    <x v="258"/>
    <x v="78"/>
    <s v="No"/>
    <s v="Inglés"/>
    <n v="16.715"/>
    <n v="2"/>
    <n v="33.43"/>
    <x v="0"/>
    <m/>
    <x v="0"/>
  </r>
  <r>
    <n v="1255474256"/>
    <x v="4"/>
    <x v="0"/>
    <d v="2026-02-04T11:10:05"/>
    <s v="TrashBandi"/>
    <x v="194"/>
    <x v="30"/>
    <s v="No"/>
    <s v="Español"/>
    <n v="4.4000000000000004"/>
    <n v="1"/>
    <n v="4.4000000000000004"/>
    <x v="1"/>
    <n v="4.4000000000000004"/>
    <x v="0"/>
  </r>
  <r>
    <n v="1252733258"/>
    <x v="4"/>
    <x v="0"/>
    <d v="2026-02-02T23:06:10"/>
    <s v="erion"/>
    <x v="259"/>
    <x v="66"/>
    <s v="Si"/>
    <s v="Español"/>
    <n v="0.86250000000000004"/>
    <n v="4"/>
    <n v="3.45"/>
    <x v="1"/>
    <n v="3.45"/>
    <x v="0"/>
  </r>
  <r>
    <n v="1254926624"/>
    <x v="4"/>
    <x v="0"/>
    <d v="2026-02-01T18:53:37"/>
    <s v="Distritozero-Bilbao"/>
    <x v="260"/>
    <x v="79"/>
    <s v="Si"/>
    <s v="Inglés"/>
    <n v="0.35"/>
    <n v="4"/>
    <n v="1.4"/>
    <x v="0"/>
    <m/>
    <x v="0"/>
  </r>
  <r>
    <n v="1254783097"/>
    <x v="4"/>
    <x v="0"/>
    <d v="2026-02-01T01:34:45"/>
    <s v="Pepelurr"/>
    <x v="104"/>
    <x v="14"/>
    <s v="No"/>
    <s v="Inglés"/>
    <n v="4.45"/>
    <n v="1"/>
    <n v="4.45"/>
    <x v="0"/>
    <m/>
    <x v="0"/>
  </r>
  <r>
    <n v="1254712460"/>
    <x v="5"/>
    <x v="0"/>
    <d v="2026-01-31T19:05:00"/>
    <s v="HamelinGames"/>
    <x v="104"/>
    <x v="14"/>
    <s v="No"/>
    <s v="Inglés"/>
    <n v="3.7250000000000001"/>
    <n v="2"/>
    <n v="7.45"/>
    <x v="0"/>
    <m/>
    <x v="0"/>
  </r>
  <r>
    <n v="1254395151"/>
    <x v="5"/>
    <x v="0"/>
    <d v="2026-01-30T11:12:50"/>
    <s v="virpermar"/>
    <x v="261"/>
    <x v="22"/>
    <s v="No"/>
    <s v="Inglés"/>
    <n v="0.27427514346118997"/>
    <n v="1"/>
    <n v="0.27427514346118997"/>
    <x v="0"/>
    <m/>
    <x v="0"/>
  </r>
  <r>
    <n v="1254395151"/>
    <x v="5"/>
    <x v="0"/>
    <d v="2026-01-30T11:12:50"/>
    <s v="virpermar"/>
    <x v="262"/>
    <x v="14"/>
    <s v="No"/>
    <s v="Inglés"/>
    <n v="24.125241618846271"/>
    <n v="3"/>
    <n v="72.37572485653881"/>
    <x v="0"/>
    <m/>
    <x v="0"/>
  </r>
  <r>
    <n v="1254143197"/>
    <x v="5"/>
    <x v="0"/>
    <d v="2026-01-29T06:39:08"/>
    <s v="Devian-Magic-Cards"/>
    <x v="263"/>
    <x v="80"/>
    <s v="Si"/>
    <s v="Inglés"/>
    <n v="1.3025"/>
    <n v="4"/>
    <n v="5.21"/>
    <x v="0"/>
    <m/>
    <x v="0"/>
  </r>
  <r>
    <n v="1252089479"/>
    <x v="5"/>
    <x v="0"/>
    <d v="2026-01-28T15:34:21"/>
    <s v="Farrukyto"/>
    <x v="264"/>
    <x v="67"/>
    <s v="No"/>
    <s v="Español"/>
    <n v="3.3155982905982908"/>
    <n v="2"/>
    <n v="6.6311965811965816"/>
    <x v="1"/>
    <n v="6.6311965811965816"/>
    <x v="0"/>
  </r>
  <r>
    <n v="1252089479"/>
    <x v="5"/>
    <x v="0"/>
    <d v="2026-01-28T15:34:21"/>
    <s v="Farrukyto"/>
    <x v="265"/>
    <x v="81"/>
    <s v="No"/>
    <s v="Inglés"/>
    <n v="1.0677350427350427"/>
    <n v="3"/>
    <n v="3.2032051282051279"/>
    <x v="1"/>
    <n v="3.2032051282051279"/>
    <x v="0"/>
  </r>
  <r>
    <n v="1252378732"/>
    <x v="5"/>
    <x v="0"/>
    <d v="2026-01-28T15:25:41"/>
    <s v="Squirle"/>
    <x v="266"/>
    <x v="82"/>
    <s v="No"/>
    <s v="Inglés"/>
    <n v="1.8823529411764706"/>
    <n v="2"/>
    <n v="3.7647058823529411"/>
    <x v="1"/>
    <n v="3.7647058823529411"/>
    <x v="0"/>
  </r>
  <r>
    <n v="1252378732"/>
    <x v="5"/>
    <x v="0"/>
    <d v="2026-01-28T15:25:41"/>
    <s v="Squirle"/>
    <x v="267"/>
    <x v="83"/>
    <s v="No"/>
    <s v="Inglés"/>
    <n v="0.62745098039215685"/>
    <n v="1"/>
    <n v="0.62745098039215685"/>
    <x v="1"/>
    <n v="0.62745098039215685"/>
    <x v="0"/>
  </r>
  <r>
    <n v="1252378732"/>
    <x v="5"/>
    <x v="0"/>
    <d v="2026-01-28T15:25:41"/>
    <s v="Squirle"/>
    <x v="268"/>
    <x v="15"/>
    <s v="Si"/>
    <s v="Inglés"/>
    <n v="0.62745098039215685"/>
    <n v="4"/>
    <n v="2.5098039215686274"/>
    <x v="1"/>
    <n v="2.5098039215686274"/>
    <x v="0"/>
  </r>
  <r>
    <n v="1254002338"/>
    <x v="5"/>
    <x v="0"/>
    <d v="2026-01-28T10:26:22"/>
    <s v="Distritozero-San"/>
    <x v="269"/>
    <x v="79"/>
    <s v="Si"/>
    <s v="Inglés"/>
    <n v="4.9400000000000004"/>
    <n v="4"/>
    <n v="19.760000000000002"/>
    <x v="0"/>
    <m/>
    <x v="0"/>
  </r>
  <r>
    <n v="1253991394"/>
    <x v="5"/>
    <x v="0"/>
    <d v="2026-01-28T10:25:07"/>
    <s v="JLCantabria"/>
    <x v="270"/>
    <x v="84"/>
    <s v="No"/>
    <s v="Inglés"/>
    <n v="2.4500000000000002"/>
    <n v="1"/>
    <n v="2.4500000000000002"/>
    <x v="0"/>
    <m/>
    <x v="0"/>
  </r>
  <r>
    <n v="1253991384"/>
    <x v="5"/>
    <x v="0"/>
    <d v="2026-01-28T10:25:07"/>
    <s v="JPizarro"/>
    <x v="270"/>
    <x v="84"/>
    <s v="No"/>
    <s v="Inglés"/>
    <n v="1.383333333333334"/>
    <n v="3"/>
    <n v="4.1500000000000021"/>
    <x v="0"/>
    <m/>
    <x v="0"/>
  </r>
  <r>
    <n v="1253991180"/>
    <x v="5"/>
    <x v="0"/>
    <d v="2026-01-28T10:25:07"/>
    <s v="Distritozero-Bilbao"/>
    <x v="271"/>
    <x v="85"/>
    <s v="Si"/>
    <s v="Inglés"/>
    <n v="0.7"/>
    <n v="4"/>
    <n v="2.8"/>
    <x v="0"/>
    <m/>
    <x v="0"/>
  </r>
  <r>
    <n v="1253986679"/>
    <x v="5"/>
    <x v="0"/>
    <d v="2026-01-28T10:25:07"/>
    <s v="Distritozero-San"/>
    <x v="272"/>
    <x v="79"/>
    <s v="Si"/>
    <s v="Inglés"/>
    <n v="0.6"/>
    <n v="4"/>
    <n v="2.4"/>
    <x v="0"/>
    <m/>
    <x v="0"/>
  </r>
  <r>
    <n v="1253986679"/>
    <x v="5"/>
    <x v="0"/>
    <d v="2026-01-28T10:25:07"/>
    <s v="Distritozero-San"/>
    <x v="273"/>
    <x v="14"/>
    <s v="No"/>
    <s v="Inglés"/>
    <n v="0.75"/>
    <n v="2"/>
    <n v="1.5"/>
    <x v="0"/>
    <m/>
    <x v="0"/>
  </r>
  <r>
    <n v="1253986679"/>
    <x v="5"/>
    <x v="0"/>
    <d v="2026-01-28T10:25:07"/>
    <s v="Distritozero-San"/>
    <x v="273"/>
    <x v="14"/>
    <s v="No"/>
    <s v="Inglés"/>
    <n v="0.75"/>
    <n v="2"/>
    <n v="1.5"/>
    <x v="0"/>
    <m/>
    <x v="0"/>
  </r>
  <r>
    <n v="1253986679"/>
    <x v="5"/>
    <x v="0"/>
    <d v="2026-01-28T10:25:07"/>
    <s v="Distritozero-San"/>
    <x v="274"/>
    <x v="79"/>
    <s v="Si"/>
    <s v="Inglés"/>
    <n v="0.15"/>
    <n v="4"/>
    <n v="0.6"/>
    <x v="0"/>
    <m/>
    <x v="0"/>
  </r>
  <r>
    <n v="1253986679"/>
    <x v="5"/>
    <x v="0"/>
    <d v="2026-01-28T10:25:07"/>
    <s v="Distritozero-San"/>
    <x v="275"/>
    <x v="79"/>
    <s v="Si"/>
    <s v="Inglés"/>
    <n v="0.6"/>
    <n v="4"/>
    <n v="2.4"/>
    <x v="0"/>
    <m/>
    <x v="0"/>
  </r>
  <r>
    <n v="1253572152"/>
    <x v="5"/>
    <x v="0"/>
    <d v="2026-01-26T21:01:09"/>
    <s v="roman1981"/>
    <x v="276"/>
    <x v="86"/>
    <s v="No"/>
    <s v="Japonés"/>
    <n v="116.99"/>
    <n v="1"/>
    <n v="116.99"/>
    <x v="0"/>
    <m/>
    <x v="0"/>
  </r>
  <r>
    <n v="1249777080"/>
    <x v="5"/>
    <x v="0"/>
    <d v="2026-01-23T14:33:44"/>
    <s v="davtaz"/>
    <x v="277"/>
    <x v="54"/>
    <s v="No"/>
    <s v="Japonés"/>
    <n v="18"/>
    <n v="1"/>
    <n v="18"/>
    <x v="1"/>
    <n v="18"/>
    <x v="0"/>
  </r>
  <r>
    <n v="1252837493"/>
    <x v="5"/>
    <x v="0"/>
    <d v="2026-01-22T16:17:25"/>
    <s v="Metropolis-Center"/>
    <x v="278"/>
    <x v="87"/>
    <s v="No"/>
    <s v="Japonés"/>
    <n v="327.54401760685369"/>
    <n v="1"/>
    <n v="327.54401760685369"/>
    <x v="0"/>
    <m/>
    <x v="0"/>
  </r>
  <r>
    <n v="1252837493"/>
    <x v="5"/>
    <x v="0"/>
    <d v="2026-01-22T16:17:25"/>
    <s v="Metropolis-Center"/>
    <x v="278"/>
    <x v="87"/>
    <s v="No"/>
    <s v="Japonés"/>
    <n v="322.42598239314623"/>
    <n v="1"/>
    <n v="322.42598239314623"/>
    <x v="0"/>
    <m/>
    <x v="0"/>
  </r>
  <r>
    <n v="1252582075"/>
    <x v="5"/>
    <x v="0"/>
    <d v="2026-01-21T11:55:18"/>
    <s v="klugekarten"/>
    <x v="279"/>
    <x v="88"/>
    <s v="No"/>
    <s v="Inglés"/>
    <n v="7.44"/>
    <n v="1"/>
    <n v="7.44"/>
    <x v="0"/>
    <m/>
    <x v="0"/>
  </r>
  <r>
    <n v="1252580960"/>
    <x v="5"/>
    <x v="0"/>
    <d v="2026-01-21T11:55:18"/>
    <s v="BowmanTCG"/>
    <x v="279"/>
    <x v="88"/>
    <s v="No"/>
    <s v="Inglés"/>
    <n v="6.44"/>
    <n v="1"/>
    <n v="6.44"/>
    <x v="0"/>
    <m/>
    <x v="0"/>
  </r>
  <r>
    <n v="1251259881"/>
    <x v="5"/>
    <x v="0"/>
    <d v="2026-01-21T10:52:44"/>
    <s v="w-thanos"/>
    <x v="280"/>
    <x v="89"/>
    <s v="No"/>
    <s v="Español"/>
    <n v="0.2866161616161616"/>
    <n v="1"/>
    <n v="0.2866161616161616"/>
    <x v="1"/>
    <n v="0.2866161616161616"/>
    <x v="0"/>
  </r>
  <r>
    <n v="1251259881"/>
    <x v="5"/>
    <x v="0"/>
    <d v="2026-01-21T10:52:44"/>
    <s v="w-thanos"/>
    <x v="281"/>
    <x v="90"/>
    <s v="Si"/>
    <s v="Inglés"/>
    <n v="0.2866161616161616"/>
    <n v="4"/>
    <n v="1.1464646464646464"/>
    <x v="1"/>
    <n v="1.1464646464646464"/>
    <x v="0"/>
  </r>
  <r>
    <n v="1252502785"/>
    <x v="5"/>
    <x v="0"/>
    <d v="2026-01-21T08:37:29"/>
    <s v="Ilstram"/>
    <x v="282"/>
    <x v="91"/>
    <s v="No"/>
    <s v="Inglés"/>
    <n v="10.79158761160714"/>
    <n v="2"/>
    <n v="21.58317522321428"/>
    <x v="0"/>
    <m/>
    <x v="0"/>
  </r>
  <r>
    <n v="1252502785"/>
    <x v="5"/>
    <x v="0"/>
    <d v="2026-01-21T08:37:29"/>
    <s v="Ilstram"/>
    <x v="282"/>
    <x v="91"/>
    <s v="No"/>
    <s v="Inglés"/>
    <n v="10.34341238839286"/>
    <n v="2"/>
    <n v="20.68682477678572"/>
    <x v="0"/>
    <m/>
    <x v="0"/>
  </r>
  <r>
    <n v="1252489296"/>
    <x v="5"/>
    <x v="0"/>
    <d v="2026-01-20T22:35:50"/>
    <s v="TEMPEST-STORE"/>
    <x v="283"/>
    <x v="91"/>
    <s v="Si"/>
    <s v="Inglés"/>
    <n v="3.103540922087205"/>
    <n v="4"/>
    <n v="12.41416368834882"/>
    <x v="0"/>
    <m/>
    <x v="0"/>
  </r>
  <r>
    <n v="1252489296"/>
    <x v="5"/>
    <x v="0"/>
    <d v="2026-01-20T22:35:50"/>
    <s v="TEMPEST-STORE"/>
    <x v="284"/>
    <x v="92"/>
    <s v="Si"/>
    <s v="Japonés"/>
    <n v="25.938959077912791"/>
    <n v="4"/>
    <n v="103.75583631165117"/>
    <x v="0"/>
    <m/>
    <x v="0"/>
  </r>
  <r>
    <n v="1250212850"/>
    <x v="5"/>
    <x v="0"/>
    <d v="2026-01-20T19:32:07"/>
    <s v="Yajaidi"/>
    <x v="285"/>
    <x v="42"/>
    <s v="No"/>
    <s v="Inglés"/>
    <n v="0.55492424242424243"/>
    <n v="3"/>
    <n v="1.6647727272727273"/>
    <x v="1"/>
    <n v="1.6647727272727273"/>
    <x v="0"/>
  </r>
  <r>
    <n v="1250212850"/>
    <x v="5"/>
    <x v="0"/>
    <d v="2026-01-20T19:32:07"/>
    <s v="Yajaidi"/>
    <x v="222"/>
    <x v="93"/>
    <s v="Si"/>
    <s v="Inglés"/>
    <n v="0.27746212121212122"/>
    <n v="4"/>
    <n v="1.1098484848484849"/>
    <x v="1"/>
    <n v="1.1098484848484849"/>
    <x v="0"/>
  </r>
  <r>
    <n v="1250212850"/>
    <x v="5"/>
    <x v="0"/>
    <d v="2026-01-20T19:32:07"/>
    <s v="Yajaidi"/>
    <x v="286"/>
    <x v="65"/>
    <s v="Si"/>
    <s v="Inglés"/>
    <n v="0.27746212121212122"/>
    <n v="4"/>
    <n v="1.1098484848484849"/>
    <x v="1"/>
    <n v="1.1098484848484849"/>
    <x v="0"/>
  </r>
  <r>
    <n v="1252378732"/>
    <x v="5"/>
    <x v="0"/>
    <d v="2026-01-20T12:53:19"/>
    <s v="Squirle"/>
    <x v="287"/>
    <x v="34"/>
    <s v="No"/>
    <s v="Inglés"/>
    <n v="0.34027777777777779"/>
    <n v="1"/>
    <n v="0.34027777777777779"/>
    <x v="1"/>
    <n v="0.34027777777777779"/>
    <x v="0"/>
  </r>
  <r>
    <n v="1252378732"/>
    <x v="5"/>
    <x v="0"/>
    <d v="2026-01-20T12:53:19"/>
    <s v="Squirle"/>
    <x v="288"/>
    <x v="10"/>
    <s v="No"/>
    <s v="Inglés"/>
    <n v="4.0152777777777784"/>
    <n v="1"/>
    <n v="4.0152777777777784"/>
    <x v="1"/>
    <n v="4.0152777777777784"/>
    <x v="0"/>
  </r>
  <r>
    <n v="1252277888"/>
    <x v="5"/>
    <x v="0"/>
    <d v="2026-01-19T22:00:02"/>
    <s v="andresrelease"/>
    <x v="289"/>
    <x v="76"/>
    <s v="No"/>
    <s v="Español"/>
    <n v="2.4"/>
    <n v="1"/>
    <n v="2.4"/>
    <x v="1"/>
    <n v="2.4"/>
    <x v="0"/>
  </r>
  <r>
    <n v="1252234284"/>
    <x v="5"/>
    <x v="0"/>
    <d v="2026-01-19T18:55:52"/>
    <s v="shat16"/>
    <x v="290"/>
    <x v="94"/>
    <s v="No"/>
    <s v="Japonés"/>
    <n v="2.2250000000000001"/>
    <n v="2"/>
    <n v="4.45"/>
    <x v="1"/>
    <n v="4.45"/>
    <x v="0"/>
  </r>
  <r>
    <n v="1250537633"/>
    <x v="5"/>
    <x v="0"/>
    <d v="2026-01-19T14:41:02"/>
    <s v="Armolea"/>
    <x v="291"/>
    <x v="95"/>
    <s v="Si"/>
    <s v="Inglés"/>
    <n v="0.61250000000000004"/>
    <n v="4"/>
    <n v="2.4500000000000002"/>
    <x v="1"/>
    <n v="2.4500000000000002"/>
    <x v="0"/>
  </r>
  <r>
    <n v="1252089479"/>
    <x v="5"/>
    <x v="0"/>
    <d v="2026-01-19T01:06:06"/>
    <s v="Farrukyto"/>
    <x v="292"/>
    <x v="67"/>
    <s v="No"/>
    <s v="Español"/>
    <n v="0.6058394160583942"/>
    <n v="1"/>
    <n v="0.6058394160583942"/>
    <x v="1"/>
    <n v="0.6058394160583942"/>
    <x v="0"/>
  </r>
  <r>
    <n v="1252089479"/>
    <x v="5"/>
    <x v="0"/>
    <d v="2026-01-19T01:06:06"/>
    <s v="Farrukyto"/>
    <x v="293"/>
    <x v="96"/>
    <s v="No"/>
    <s v="Español"/>
    <n v="0.6058394160583942"/>
    <n v="1"/>
    <n v="0.6058394160583942"/>
    <x v="1"/>
    <n v="0.6058394160583942"/>
    <x v="0"/>
  </r>
  <r>
    <n v="1252089479"/>
    <x v="5"/>
    <x v="0"/>
    <d v="2026-01-19T01:06:06"/>
    <s v="Farrukyto"/>
    <x v="294"/>
    <x v="10"/>
    <s v="No"/>
    <s v="Inglés"/>
    <n v="2.362773722627737"/>
    <n v="1"/>
    <n v="2.362773722627737"/>
    <x v="1"/>
    <n v="2.362773722627737"/>
    <x v="0"/>
  </r>
  <r>
    <n v="1245357481"/>
    <x v="5"/>
    <x v="0"/>
    <d v="2026-01-18T08:51:05"/>
    <s v="Argili"/>
    <x v="295"/>
    <x v="97"/>
    <s v="No"/>
    <s v="Inglés"/>
    <n v="0.91500000000000004"/>
    <n v="2"/>
    <n v="1.83"/>
    <x v="1"/>
    <n v="1.83"/>
    <x v="0"/>
  </r>
  <r>
    <n v="1251821338"/>
    <x v="5"/>
    <x v="0"/>
    <d v="2026-01-17T23:49:48"/>
    <s v="zerosgames"/>
    <x v="296"/>
    <x v="77"/>
    <s v="No"/>
    <s v="Inglés"/>
    <n v="0.1182389937106918"/>
    <n v="2"/>
    <n v="0.2364779874213836"/>
    <x v="0"/>
    <m/>
    <x v="0"/>
  </r>
  <r>
    <n v="1251821338"/>
    <x v="5"/>
    <x v="0"/>
    <d v="2026-01-17T23:49:48"/>
    <s v="zerosgames"/>
    <x v="297"/>
    <x v="98"/>
    <s v="No"/>
    <s v="Inglés"/>
    <n v="9.1635220125786159"/>
    <n v="1"/>
    <n v="9.1635220125786159"/>
    <x v="0"/>
    <m/>
    <x v="0"/>
  </r>
  <r>
    <n v="1249955163"/>
    <x v="5"/>
    <x v="0"/>
    <d v="2026-01-16T17:25:13"/>
    <s v="huekix"/>
    <x v="298"/>
    <x v="70"/>
    <s v="No"/>
    <s v="Inglés"/>
    <n v="4.4000000000000004"/>
    <n v="1"/>
    <n v="4.4000000000000004"/>
    <x v="1"/>
    <n v="4.4000000000000004"/>
    <x v="0"/>
  </r>
  <r>
    <n v="1248289480"/>
    <x v="5"/>
    <x v="0"/>
    <d v="2026-01-15T20:07:34"/>
    <s v="adriangd"/>
    <x v="299"/>
    <x v="64"/>
    <s v="Si"/>
    <s v="Inglés"/>
    <n v="0.47166666666666668"/>
    <n v="4"/>
    <n v="1.8866666666666667"/>
    <x v="1"/>
    <n v="1.8866666666666667"/>
    <x v="0"/>
  </r>
  <r>
    <n v="1251425870"/>
    <x v="5"/>
    <x v="0"/>
    <d v="2026-01-15T16:06:38"/>
    <s v="MoLyyy"/>
    <x v="217"/>
    <x v="52"/>
    <s v="No"/>
    <s v="Inglés"/>
    <n v="2.9000000000000004"/>
    <n v="1"/>
    <n v="2.9000000000000004"/>
    <x v="1"/>
    <n v="2.9000000000000004"/>
    <x v="0"/>
  </r>
  <r>
    <n v="1251407559"/>
    <x v="5"/>
    <x v="0"/>
    <d v="2026-01-15T14:08:02"/>
    <s v="LycorisBlood"/>
    <x v="300"/>
    <x v="99"/>
    <s v="No"/>
    <s v="Inglés"/>
    <n v="2.4"/>
    <n v="1"/>
    <n v="2.4"/>
    <x v="1"/>
    <n v="2.4"/>
    <x v="0"/>
  </r>
  <r>
    <n v="1248408245"/>
    <x v="5"/>
    <x v="0"/>
    <d v="2026-01-15T13:49:41"/>
    <s v="Arkanum"/>
    <x v="301"/>
    <x v="37"/>
    <s v="No"/>
    <s v="Español"/>
    <n v="7.7980275229357803"/>
    <n v="1"/>
    <n v="7.7980275229357803"/>
    <x v="1"/>
    <n v="7.7980275229357803"/>
    <x v="0"/>
  </r>
  <r>
    <n v="1250094794"/>
    <x v="5"/>
    <x v="0"/>
    <d v="2026-01-15T12:22:23"/>
    <s v="Slashtico"/>
    <x v="302"/>
    <x v="100"/>
    <s v="Si"/>
    <s v="Inglés"/>
    <n v="0.86250000000000004"/>
    <n v="4"/>
    <n v="3.45"/>
    <x v="1"/>
    <n v="3.45"/>
    <x v="0"/>
  </r>
  <r>
    <n v="1249422644"/>
    <x v="5"/>
    <x v="0"/>
    <d v="2026-01-15T09:35:16"/>
    <s v="AlbertMP"/>
    <x v="303"/>
    <x v="101"/>
    <s v="No"/>
    <s v="Inglés"/>
    <n v="0.73333333333333339"/>
    <n v="3"/>
    <n v="2.2000000000000002"/>
    <x v="1"/>
    <n v="2.2000000000000002"/>
    <x v="0"/>
  </r>
  <r>
    <n v="1251259881"/>
    <x v="5"/>
    <x v="0"/>
    <d v="2026-01-14T18:19:16"/>
    <s v="w-thanos"/>
    <x v="304"/>
    <x v="65"/>
    <s v="No"/>
    <s v="Inglés"/>
    <n v="1.1875"/>
    <n v="1"/>
    <n v="1.1875"/>
    <x v="1"/>
    <n v="1.1875"/>
    <x v="0"/>
  </r>
  <r>
    <n v="1251259881"/>
    <x v="5"/>
    <x v="0"/>
    <d v="2026-01-14T18:19:16"/>
    <s v="w-thanos"/>
    <x v="305"/>
    <x v="78"/>
    <s v="No"/>
    <s v="Inglés"/>
    <n v="1.1875"/>
    <n v="1"/>
    <n v="1.1875"/>
    <x v="1"/>
    <n v="1.1875"/>
    <x v="0"/>
  </r>
  <r>
    <n v="1251259881"/>
    <x v="5"/>
    <x v="0"/>
    <d v="2026-01-14T18:19:16"/>
    <s v="w-thanos"/>
    <x v="305"/>
    <x v="78"/>
    <s v="No"/>
    <s v="Alemán"/>
    <n v="1.1875"/>
    <n v="1"/>
    <n v="1.1875"/>
    <x v="1"/>
    <n v="1.1875"/>
    <x v="0"/>
  </r>
  <r>
    <n v="1251259881"/>
    <x v="5"/>
    <x v="0"/>
    <d v="2026-01-14T18:19:16"/>
    <s v="w-thanos"/>
    <x v="306"/>
    <x v="102"/>
    <s v="Si"/>
    <s v="Francés"/>
    <n v="0.296875"/>
    <n v="4"/>
    <n v="1.1875"/>
    <x v="1"/>
    <n v="1.1875"/>
    <x v="0"/>
  </r>
  <r>
    <n v="1251259881"/>
    <x v="5"/>
    <x v="0"/>
    <d v="2026-01-14T18:19:16"/>
    <s v="w-thanos"/>
    <x v="307"/>
    <x v="92"/>
    <s v="No"/>
    <s v="Inglés"/>
    <n v="0.625"/>
    <n v="1"/>
    <n v="0.625"/>
    <x v="1"/>
    <n v="0.625"/>
    <x v="0"/>
  </r>
  <r>
    <n v="1249717335"/>
    <x v="5"/>
    <x v="0"/>
    <d v="2026-01-14T16:31:13"/>
    <s v="Sheisenn1809"/>
    <x v="308"/>
    <x v="11"/>
    <s v="No"/>
    <s v="Inglés"/>
    <n v="3.4"/>
    <n v="1"/>
    <n v="3.4"/>
    <x v="1"/>
    <n v="3.4"/>
    <x v="0"/>
  </r>
  <r>
    <n v="1249045481"/>
    <x v="5"/>
    <x v="0"/>
    <d v="2026-01-14T14:03:01"/>
    <s v="SnowyKnight"/>
    <x v="309"/>
    <x v="76"/>
    <s v="Si"/>
    <s v="Inglés"/>
    <n v="1.4645833333333331"/>
    <n v="4"/>
    <n v="5.8583333333333325"/>
    <x v="1"/>
    <n v="5.8583333333333325"/>
    <x v="0"/>
  </r>
  <r>
    <n v="1251202625"/>
    <x v="5"/>
    <x v="0"/>
    <d v="2026-01-14T13:04:48"/>
    <s v="Distritozero-Bilbao"/>
    <x v="310"/>
    <x v="60"/>
    <s v="Si"/>
    <s v="Inglés"/>
    <n v="0.05"/>
    <n v="4"/>
    <n v="0.2"/>
    <x v="0"/>
    <m/>
    <x v="0"/>
  </r>
  <r>
    <n v="1251202598"/>
    <x v="5"/>
    <x v="0"/>
    <d v="2026-01-14T13:04:48"/>
    <s v="punipwni"/>
    <x v="311"/>
    <x v="103"/>
    <s v="No"/>
    <s v="Japonés"/>
    <n v="2.726281433921883"/>
    <n v="1"/>
    <n v="2.726281433921883"/>
    <x v="0"/>
    <m/>
    <x v="0"/>
  </r>
  <r>
    <n v="1251202598"/>
    <x v="5"/>
    <x v="0"/>
    <d v="2026-01-14T13:04:48"/>
    <s v="punipwni"/>
    <x v="312"/>
    <x v="104"/>
    <s v="Si"/>
    <s v="Japonés"/>
    <n v="4.3534296415195293"/>
    <n v="4"/>
    <n v="17.413718566078117"/>
    <x v="0"/>
    <m/>
    <x v="0"/>
  </r>
  <r>
    <n v="1251202381"/>
    <x v="5"/>
    <x v="0"/>
    <d v="2026-01-14T13:04:48"/>
    <s v="willybizarre"/>
    <x v="313"/>
    <x v="86"/>
    <s v="No"/>
    <s v="Japonés"/>
    <n v="6.4258003010536884"/>
    <n v="1"/>
    <n v="6.4258003010536884"/>
    <x v="0"/>
    <m/>
    <x v="0"/>
  </r>
  <r>
    <n v="1251202381"/>
    <x v="5"/>
    <x v="0"/>
    <d v="2026-01-14T13:04:48"/>
    <s v="willybizarre"/>
    <x v="314"/>
    <x v="105"/>
    <s v="Si"/>
    <s v="Japonés"/>
    <n v="2.1347817360762669"/>
    <n v="4"/>
    <n v="8.5391269443050675"/>
    <x v="0"/>
    <m/>
    <x v="0"/>
  </r>
  <r>
    <n v="1251202381"/>
    <x v="5"/>
    <x v="0"/>
    <d v="2026-01-14T13:04:48"/>
    <s v="willybizarre"/>
    <x v="315"/>
    <x v="17"/>
    <s v="No"/>
    <s v="Inglés"/>
    <n v="3.207536377320622"/>
    <n v="2"/>
    <n v="6.415072754641244"/>
    <x v="0"/>
    <m/>
    <x v="0"/>
  </r>
  <r>
    <n v="1246778711"/>
    <x v="5"/>
    <x v="0"/>
    <d v="2026-01-14T12:29:16"/>
    <s v="botusfetus"/>
    <x v="316"/>
    <x v="17"/>
    <s v="No"/>
    <s v="Inglés"/>
    <n v="1.2825"/>
    <n v="1"/>
    <n v="1.2825"/>
    <x v="1"/>
    <n v="1.2825"/>
    <x v="0"/>
  </r>
  <r>
    <n v="1247478896"/>
    <x v="5"/>
    <x v="0"/>
    <d v="2026-01-14T09:05:23"/>
    <s v="Mikota"/>
    <x v="317"/>
    <x v="106"/>
    <s v="No"/>
    <s v="Inglés"/>
    <n v="5.28"/>
    <n v="1"/>
    <n v="5.28"/>
    <x v="1"/>
    <n v="5.28"/>
    <x v="0"/>
  </r>
  <r>
    <n v="1248886513"/>
    <x v="5"/>
    <x v="0"/>
    <d v="2026-01-13T18:38:45"/>
    <s v="Voldraek"/>
    <x v="318"/>
    <x v="65"/>
    <s v="Si"/>
    <s v="Inglés"/>
    <n v="0.70416666666666672"/>
    <n v="4"/>
    <n v="2.8166666666666669"/>
    <x v="1"/>
    <n v="2.8166666666666669"/>
    <x v="0"/>
  </r>
  <r>
    <n v="1248886513"/>
    <x v="5"/>
    <x v="0"/>
    <d v="2026-01-13T18:38:45"/>
    <s v="Voldraek"/>
    <x v="319"/>
    <x v="65"/>
    <s v="Si"/>
    <s v="Inglés"/>
    <n v="0.70416666666666672"/>
    <n v="4"/>
    <n v="2.8166666666666669"/>
    <x v="1"/>
    <n v="2.8166666666666669"/>
    <x v="0"/>
  </r>
  <r>
    <n v="1248886513"/>
    <x v="5"/>
    <x v="0"/>
    <d v="2026-01-13T18:38:45"/>
    <s v="Voldraek"/>
    <x v="320"/>
    <x v="65"/>
    <s v="Si"/>
    <s v="Inglés"/>
    <n v="0.70416666666666672"/>
    <n v="4"/>
    <n v="2.8166666666666669"/>
    <x v="1"/>
    <n v="2.8166666666666669"/>
    <x v="0"/>
  </r>
  <r>
    <n v="1250998236"/>
    <x v="5"/>
    <x v="0"/>
    <d v="2026-01-13T11:23:48"/>
    <s v="Shark-Games"/>
    <x v="321"/>
    <x v="107"/>
    <s v="Si"/>
    <s v="Inglés"/>
    <n v="0.45"/>
    <n v="4"/>
    <n v="1.8"/>
    <x v="0"/>
    <m/>
    <x v="0"/>
  </r>
  <r>
    <n v="1250996062"/>
    <x v="5"/>
    <x v="0"/>
    <d v="2026-01-13T11:23:48"/>
    <s v="willybizarre"/>
    <x v="322"/>
    <x v="91"/>
    <s v="No"/>
    <s v="Inglés"/>
    <n v="4.4737374581939804"/>
    <n v="2"/>
    <n v="8.9474749163879608"/>
    <x v="0"/>
    <m/>
    <x v="0"/>
  </r>
  <r>
    <n v="1250996062"/>
    <x v="5"/>
    <x v="0"/>
    <d v="2026-01-13T11:23:48"/>
    <s v="willybizarre"/>
    <x v="323"/>
    <x v="91"/>
    <s v="No"/>
    <s v="Inglés"/>
    <n v="2.2312625418060201"/>
    <n v="2"/>
    <n v="4.4625250836120403"/>
    <x v="0"/>
    <m/>
    <x v="0"/>
  </r>
  <r>
    <n v="1250993041"/>
    <x v="5"/>
    <x v="0"/>
    <d v="2026-01-13T11:23:48"/>
    <s v="ManaTrust"/>
    <x v="324"/>
    <x v="108"/>
    <s v="No"/>
    <s v="Inglés"/>
    <n v="53.516666666666673"/>
    <n v="3"/>
    <n v="160.55000000000001"/>
    <x v="0"/>
    <m/>
    <x v="0"/>
  </r>
  <r>
    <n v="1250947586"/>
    <x v="5"/>
    <x v="0"/>
    <d v="2026-01-13T07:07:40"/>
    <s v="villa"/>
    <x v="325"/>
    <x v="109"/>
    <s v="No"/>
    <s v="Inglés"/>
    <n v="53.38"/>
    <n v="1"/>
    <n v="53.38"/>
    <x v="0"/>
    <m/>
    <x v="0"/>
  </r>
  <r>
    <n v="1250941116"/>
    <x v="5"/>
    <x v="0"/>
    <d v="2026-01-13T00:33:04"/>
    <s v="theratrix"/>
    <x v="326"/>
    <x v="110"/>
    <s v="No"/>
    <s v="Inglés"/>
    <n v="1"/>
    <n v="1"/>
    <n v="1"/>
    <x v="1"/>
    <n v="1"/>
    <x v="0"/>
  </r>
  <r>
    <n v="1250941116"/>
    <x v="5"/>
    <x v="0"/>
    <d v="2026-01-13T00:33:04"/>
    <s v="theratrix"/>
    <x v="289"/>
    <x v="76"/>
    <s v="No"/>
    <s v="Inglés"/>
    <n v="1.9"/>
    <n v="1"/>
    <n v="1.9"/>
    <x v="1"/>
    <n v="1.9"/>
    <x v="0"/>
  </r>
  <r>
    <n v="1248193531"/>
    <x v="5"/>
    <x v="0"/>
    <d v="2026-01-11T09:41:06"/>
    <s v="salucks"/>
    <x v="327"/>
    <x v="15"/>
    <s v="No"/>
    <s v="Inglés"/>
    <n v="2.1749999999999998"/>
    <n v="1"/>
    <n v="2.1749999999999998"/>
    <x v="1"/>
    <n v="2.1749999999999998"/>
    <x v="0"/>
  </r>
  <r>
    <n v="1249242627"/>
    <x v="5"/>
    <x v="0"/>
    <d v="2026-01-10T16:33:19"/>
    <s v="reumah"/>
    <x v="328"/>
    <x v="111"/>
    <s v="No"/>
    <s v="Español"/>
    <n v="1.2311224489795918"/>
    <n v="2"/>
    <n v="2.4622448979591836"/>
    <x v="1"/>
    <n v="2.4622448979591836"/>
    <x v="0"/>
  </r>
  <r>
    <n v="1247375996"/>
    <x v="5"/>
    <x v="0"/>
    <d v="2026-01-09T14:30:54"/>
    <s v="troncete"/>
    <x v="329"/>
    <x v="22"/>
    <s v="Si"/>
    <s v="Inglés"/>
    <n v="0.83250000000000002"/>
    <n v="4"/>
    <n v="3.33"/>
    <x v="1"/>
    <n v="3.33"/>
    <x v="0"/>
  </r>
  <r>
    <n v="1249268818"/>
    <x v="5"/>
    <x v="0"/>
    <d v="2026-01-09T12:29:26"/>
    <s v="Overrchepa"/>
    <x v="330"/>
    <x v="112"/>
    <s v="No"/>
    <s v="Inglés"/>
    <n v="5.6749999999999998"/>
    <n v="2"/>
    <n v="11.35"/>
    <x v="1"/>
    <n v="11.35"/>
    <x v="0"/>
  </r>
  <r>
    <n v="1250212850"/>
    <x v="5"/>
    <x v="0"/>
    <d v="2026-01-08T22:12:10"/>
    <s v="Yajaidi"/>
    <x v="331"/>
    <x v="113"/>
    <s v="Si"/>
    <s v="Inglés"/>
    <n v="0.66874999999999996"/>
    <n v="4"/>
    <n v="2.6749999999999998"/>
    <x v="1"/>
    <n v="2.6749999999999998"/>
    <x v="0"/>
  </r>
  <r>
    <n v="1250212850"/>
    <x v="5"/>
    <x v="0"/>
    <d v="2026-01-08T22:12:10"/>
    <s v="Yajaidi"/>
    <x v="332"/>
    <x v="114"/>
    <s v="No"/>
    <s v="Español"/>
    <n v="0.65160256410256401"/>
    <n v="2"/>
    <n v="1.303205128205128"/>
    <x v="1"/>
    <n v="1.303205128205128"/>
    <x v="0"/>
  </r>
  <r>
    <n v="1250180858"/>
    <x v="5"/>
    <x v="0"/>
    <d v="2026-01-08T21:38:55"/>
    <s v="champizor"/>
    <x v="333"/>
    <x v="115"/>
    <s v="No"/>
    <s v="Inglés"/>
    <n v="25.45"/>
    <n v="1"/>
    <n v="25.45"/>
    <x v="0"/>
    <m/>
    <x v="0"/>
  </r>
  <r>
    <n v="1250180793"/>
    <x v="5"/>
    <x v="0"/>
    <d v="2026-01-08T21:38:55"/>
    <s v="Lhush"/>
    <x v="334"/>
    <x v="116"/>
    <s v="No"/>
    <s v="Inglés"/>
    <n v="5.95"/>
    <n v="1"/>
    <n v="5.95"/>
    <x v="0"/>
    <m/>
    <x v="0"/>
  </r>
  <r>
    <n v="1250175970"/>
    <x v="5"/>
    <x v="0"/>
    <d v="2026-01-08T21:38:55"/>
    <s v="jaumejr"/>
    <x v="335"/>
    <x v="23"/>
    <s v="Si"/>
    <s v="Inglés"/>
    <n v="3.3125"/>
    <n v="4"/>
    <n v="13.25"/>
    <x v="0"/>
    <m/>
    <x v="0"/>
  </r>
  <r>
    <n v="1249026814"/>
    <x v="5"/>
    <x v="0"/>
    <d v="2026-01-08T13:38:38"/>
    <s v="Aitorplanchas"/>
    <x v="336"/>
    <x v="117"/>
    <s v="Si"/>
    <s v="Inglés"/>
    <n v="1.3125"/>
    <n v="4"/>
    <n v="5.25"/>
    <x v="1"/>
    <n v="5.25"/>
    <x v="0"/>
  </r>
  <r>
    <n v="1248630308"/>
    <x v="5"/>
    <x v="0"/>
    <d v="2026-01-08T12:40:20"/>
    <s v="ChaugnarFaugn"/>
    <x v="337"/>
    <x v="73"/>
    <s v="No"/>
    <s v="Japonés"/>
    <n v="2.3258695652173911"/>
    <n v="1"/>
    <n v="2.3258695652173911"/>
    <x v="1"/>
    <n v="2.3258695652173911"/>
    <x v="0"/>
  </r>
  <r>
    <n v="1250045793"/>
    <x v="5"/>
    <x v="0"/>
    <d v="2026-01-07T23:31:11"/>
    <s v="miguividal"/>
    <x v="195"/>
    <x v="31"/>
    <s v="No"/>
    <s v="Inglés"/>
    <n v="2.4"/>
    <n v="1"/>
    <n v="2.4"/>
    <x v="1"/>
    <n v="2.4"/>
    <x v="0"/>
  </r>
  <r>
    <n v="1247810200"/>
    <x v="5"/>
    <x v="0"/>
    <d v="2026-01-06T14:19:13"/>
    <s v="enrico3547"/>
    <x v="338"/>
    <x v="118"/>
    <s v="Si"/>
    <s v="Inglés"/>
    <n v="13.85"/>
    <n v="4"/>
    <n v="55.4"/>
    <x v="1"/>
    <n v="55.4"/>
    <x v="0"/>
  </r>
  <r>
    <n v="1249470201"/>
    <x v="5"/>
    <x v="0"/>
    <d v="2026-01-04T21:51:14"/>
    <s v="JuneSG"/>
    <x v="339"/>
    <x v="55"/>
    <s v="No"/>
    <s v="Español"/>
    <n v="6.4"/>
    <n v="1"/>
    <n v="6.4"/>
    <x v="1"/>
    <n v="6.4"/>
    <x v="0"/>
  </r>
  <r>
    <n v="1249242627"/>
    <x v="5"/>
    <x v="0"/>
    <d v="2026-01-03T18:51:09"/>
    <s v="reumah"/>
    <x v="340"/>
    <x v="119"/>
    <s v="Si"/>
    <s v="Japonés"/>
    <n v="9.08203125E-2"/>
    <n v="4"/>
    <n v="0.36328125"/>
    <x v="1"/>
    <n v="0.36328125"/>
    <x v="0"/>
  </r>
  <r>
    <n v="1249242627"/>
    <x v="5"/>
    <x v="0"/>
    <d v="2026-01-03T18:51:09"/>
    <s v="reumah"/>
    <x v="341"/>
    <x v="49"/>
    <s v="No"/>
    <s v="Inglés"/>
    <n v="0.7265625"/>
    <n v="1"/>
    <n v="0.7265625"/>
    <x v="1"/>
    <n v="0.7265625"/>
    <x v="0"/>
  </r>
  <r>
    <n v="1249242627"/>
    <x v="5"/>
    <x v="0"/>
    <d v="2026-01-03T18:51:09"/>
    <s v="reumah"/>
    <x v="290"/>
    <x v="94"/>
    <s v="No"/>
    <s v="Japonés"/>
    <n v="2.1796875"/>
    <n v="1"/>
    <n v="2.1796875"/>
    <x v="1"/>
    <n v="2.1796875"/>
    <x v="0"/>
  </r>
  <r>
    <n v="1249045481"/>
    <x v="5"/>
    <x v="0"/>
    <d v="2026-01-02T16:00:05"/>
    <s v="SnowyKnight"/>
    <x v="342"/>
    <x v="57"/>
    <s v="Si"/>
    <s v="Japonés"/>
    <n v="0.19791666666666671"/>
    <n v="4"/>
    <n v="0.79166666666666685"/>
    <x v="1"/>
    <n v="0.79166666666666674"/>
    <x v="0"/>
  </r>
  <r>
    <s v="WA-20260101-03"/>
    <x v="5"/>
    <x v="0"/>
    <d v="2026-01-01T00:00:00"/>
    <s v="Willybizarre"/>
    <x v="343"/>
    <x v="120"/>
    <s v="No"/>
    <s v="Japonés"/>
    <n v="330"/>
    <n v="1"/>
    <n v="330"/>
    <x v="0"/>
    <m/>
    <x v="0"/>
  </r>
  <r>
    <s v="WA-20260101-02"/>
    <x v="5"/>
    <x v="0"/>
    <d v="2026-01-01T00:00:00"/>
    <s v="Liddia7"/>
    <x v="344"/>
    <x v="94"/>
    <s v="No"/>
    <s v="Japonés"/>
    <n v="2.5"/>
    <n v="3"/>
    <n v="7.5"/>
    <x v="0"/>
    <m/>
    <x v="0"/>
  </r>
  <r>
    <s v="WA-20260101-02"/>
    <x v="5"/>
    <x v="0"/>
    <d v="2026-01-01T00:00:00"/>
    <s v="Liddia7"/>
    <x v="345"/>
    <x v="121"/>
    <s v="No"/>
    <s v="Japonés"/>
    <n v="6"/>
    <n v="4"/>
    <n v="24"/>
    <x v="0"/>
    <m/>
    <x v="0"/>
  </r>
  <r>
    <s v="WA-20260101-01"/>
    <x v="5"/>
    <x v="0"/>
    <d v="2026-01-01T00:00:00"/>
    <s v="Bronhy"/>
    <x v="343"/>
    <x v="120"/>
    <s v="No"/>
    <s v="Japonés"/>
    <n v="350"/>
    <n v="2"/>
    <n v="700"/>
    <x v="0"/>
    <m/>
    <x v="0"/>
  </r>
  <r>
    <n v="1248630308"/>
    <x v="6"/>
    <x v="1"/>
    <d v="2025-12-30T21:44:08"/>
    <s v="ChaugnarFaugn"/>
    <x v="339"/>
    <x v="55"/>
    <s v="No"/>
    <s v="Español"/>
    <n v="5.9041304347826076"/>
    <n v="1"/>
    <n v="5.9041304347826076"/>
    <x v="1"/>
    <n v="5.9041304347826076"/>
    <x v="0"/>
  </r>
  <r>
    <n v="1247229759"/>
    <x v="6"/>
    <x v="1"/>
    <d v="2025-12-30T21:00:27"/>
    <s v="daktylus75"/>
    <x v="346"/>
    <x v="15"/>
    <s v="Si"/>
    <s v="Inglés"/>
    <n v="3.3125"/>
    <n v="4"/>
    <n v="13.25"/>
    <x v="1"/>
    <n v="13.25"/>
    <x v="0"/>
  </r>
  <r>
    <n v="1247288758"/>
    <x v="6"/>
    <x v="1"/>
    <d v="2025-12-30T15:34:35"/>
    <s v="Langi"/>
    <x v="347"/>
    <x v="92"/>
    <s v="Si"/>
    <s v="Inglés"/>
    <n v="2.5625"/>
    <n v="4"/>
    <n v="10.25"/>
    <x v="1"/>
    <n v="10.25"/>
    <x v="0"/>
  </r>
  <r>
    <n v="1248408245"/>
    <x v="6"/>
    <x v="1"/>
    <d v="2025-12-29T17:40:10"/>
    <s v="Arkanum"/>
    <x v="348"/>
    <x v="122"/>
    <s v="No"/>
    <s v="Español"/>
    <n v="4.4319724770642202"/>
    <n v="1"/>
    <n v="4.4319724770642202"/>
    <x v="1"/>
    <n v="4.4319724770642202"/>
    <x v="0"/>
  </r>
  <r>
    <n v="1247290743"/>
    <x v="6"/>
    <x v="1"/>
    <d v="2025-12-29T12:12:07"/>
    <s v="SantiBosch"/>
    <x v="349"/>
    <x v="93"/>
    <s v="No"/>
    <s v="Inglés"/>
    <n v="5.3329842931937179"/>
    <n v="1"/>
    <n v="5.3329842931937179"/>
    <x v="1"/>
    <n v="5.3329842931937179"/>
    <x v="0"/>
  </r>
  <r>
    <n v="1246809442"/>
    <x v="6"/>
    <x v="1"/>
    <d v="2025-12-29T10:15:46"/>
    <s v="Racato"/>
    <x v="350"/>
    <x v="69"/>
    <s v="Si"/>
    <s v="Inglés"/>
    <n v="21.849999999999998"/>
    <n v="4"/>
    <n v="87.399999999999991"/>
    <x v="1"/>
    <n v="87.399999999999991"/>
    <x v="0"/>
  </r>
  <r>
    <n v="1248289480"/>
    <x v="6"/>
    <x v="1"/>
    <d v="2025-12-28T23:11:17"/>
    <s v="adriangd"/>
    <x v="351"/>
    <x v="65"/>
    <s v="No"/>
    <s v="Inglés"/>
    <n v="1.3866666666666669"/>
    <n v="1"/>
    <n v="1.3866666666666669"/>
    <x v="1"/>
    <n v="1.3866666666666669"/>
    <x v="0"/>
  </r>
  <r>
    <n v="1248066770"/>
    <x v="6"/>
    <x v="1"/>
    <d v="2025-12-27T16:45:24"/>
    <s v="Javieeh"/>
    <x v="352"/>
    <x v="123"/>
    <s v="No"/>
    <s v="Inglés"/>
    <n v="0.57869822485207101"/>
    <n v="1"/>
    <n v="0.57869822485207101"/>
    <x v="1"/>
    <n v="0.57869822485207101"/>
    <x v="0"/>
  </r>
  <r>
    <n v="1248066770"/>
    <x v="6"/>
    <x v="1"/>
    <d v="2025-12-27T16:45:24"/>
    <s v="Javieeh"/>
    <x v="353"/>
    <x v="10"/>
    <s v="No"/>
    <s v="Inglés"/>
    <n v="9.2013017751479289"/>
    <n v="1"/>
    <n v="9.2013017751479289"/>
    <x v="1"/>
    <n v="9.2013017751479289"/>
    <x v="0"/>
  </r>
  <r>
    <n v="1247673365"/>
    <x v="6"/>
    <x v="1"/>
    <d v="2025-12-24T17:30:12"/>
    <s v="Vitosellmagic"/>
    <x v="330"/>
    <x v="124"/>
    <s v="No"/>
    <s v="Inglés"/>
    <n v="8.3933333333333326"/>
    <n v="3"/>
    <n v="25.18"/>
    <x v="0"/>
    <m/>
    <x v="0"/>
  </r>
  <r>
    <n v="1247489911"/>
    <x v="6"/>
    <x v="1"/>
    <d v="2025-12-23T11:18:08"/>
    <s v="Zeross"/>
    <x v="33"/>
    <x v="7"/>
    <s v="No"/>
    <s v="Japonés"/>
    <n v="4.4000000000000004"/>
    <n v="1"/>
    <n v="4.4000000000000004"/>
    <x v="1"/>
    <n v="4.4000000000000004"/>
    <x v="0"/>
  </r>
  <r>
    <n v="1247427520"/>
    <x v="6"/>
    <x v="1"/>
    <d v="2025-12-22T21:44:11"/>
    <s v="Larguiruncio"/>
    <x v="354"/>
    <x v="125"/>
    <s v="No"/>
    <s v="Inglés"/>
    <n v="1.58"/>
    <n v="1"/>
    <n v="1.58"/>
    <x v="1"/>
    <n v="1.58"/>
    <x v="0"/>
  </r>
  <r>
    <n v="1247407412"/>
    <x v="6"/>
    <x v="1"/>
    <d v="2025-12-22T19:37:37"/>
    <s v="peruherrero1"/>
    <x v="355"/>
    <x v="126"/>
    <s v="No"/>
    <s v="Inglés"/>
    <n v="10.97666666666667"/>
    <n v="3"/>
    <n v="32.930000000000007"/>
    <x v="0"/>
    <m/>
    <x v="0"/>
  </r>
  <r>
    <n v="1247238483"/>
    <x v="6"/>
    <x v="1"/>
    <d v="2025-12-21T23:29:59"/>
    <s v="ManaVortex-POOL4YOU"/>
    <x v="356"/>
    <x v="127"/>
    <s v="No"/>
    <s v="Inglés"/>
    <n v="1.2677848101265821"/>
    <n v="2"/>
    <n v="2.5355696202531641"/>
    <x v="0"/>
    <m/>
    <x v="0"/>
  </r>
  <r>
    <n v="1247238483"/>
    <x v="6"/>
    <x v="1"/>
    <d v="2025-12-21T23:29:59"/>
    <s v="ManaVortex-POOL4YOU"/>
    <x v="357"/>
    <x v="126"/>
    <s v="Si"/>
    <s v="Inglés"/>
    <n v="0.88360759493670882"/>
    <n v="4"/>
    <n v="3.5344303797468353"/>
    <x v="0"/>
    <m/>
    <x v="0"/>
  </r>
  <r>
    <n v="1247290743"/>
    <x v="6"/>
    <x v="1"/>
    <d v="2025-12-21T23:09:13"/>
    <s v="SantiBosch"/>
    <x v="358"/>
    <x v="111"/>
    <s v="No"/>
    <s v="Inglés"/>
    <n v="0.53868528214077949"/>
    <n v="1"/>
    <n v="0.53868528214077949"/>
    <x v="1"/>
    <n v="0.53868528214077949"/>
    <x v="0"/>
  </r>
  <r>
    <n v="1247290743"/>
    <x v="6"/>
    <x v="1"/>
    <d v="2025-12-21T23:09:13"/>
    <s v="SantiBosch"/>
    <x v="359"/>
    <x v="113"/>
    <s v="No"/>
    <s v="Inglés"/>
    <n v="2.1008726003490401"/>
    <n v="1"/>
    <n v="2.1008726003490401"/>
    <x v="1"/>
    <n v="2.1008726003490401"/>
    <x v="0"/>
  </r>
  <r>
    <n v="1247290743"/>
    <x v="6"/>
    <x v="1"/>
    <d v="2025-12-21T23:09:13"/>
    <s v="SantiBosch"/>
    <x v="360"/>
    <x v="128"/>
    <s v="No"/>
    <s v="Inglés"/>
    <n v="3.1782431646306"/>
    <n v="1"/>
    <n v="3.1782431646306"/>
    <x v="1"/>
    <n v="3.1782431646306"/>
    <x v="0"/>
  </r>
  <r>
    <n v="1247290743"/>
    <x v="6"/>
    <x v="1"/>
    <d v="2025-12-21T23:09:13"/>
    <s v="SantiBosch"/>
    <x v="192"/>
    <x v="29"/>
    <s v="No"/>
    <s v="Chino-S"/>
    <n v="3.113600930773706"/>
    <n v="1"/>
    <n v="3.113600930773706"/>
    <x v="1"/>
    <n v="3.113600930773706"/>
    <x v="0"/>
  </r>
  <r>
    <n v="1247238999"/>
    <x v="6"/>
    <x v="1"/>
    <d v="2025-12-21T17:05:25"/>
    <s v="AphexTwIIIn"/>
    <x v="192"/>
    <x v="29"/>
    <s v="No"/>
    <s v="Francés"/>
    <n v="4.95"/>
    <n v="1"/>
    <n v="4.95"/>
    <x v="1"/>
    <n v="4.95"/>
    <x v="0"/>
  </r>
  <r>
    <n v="1245439549"/>
    <x v="6"/>
    <x v="1"/>
    <d v="2025-12-21T15:32:43"/>
    <s v="Enderu01"/>
    <x v="361"/>
    <x v="54"/>
    <s v="No"/>
    <s v="Inglés"/>
    <n v="42.550000000000004"/>
    <n v="1"/>
    <n v="42.550000000000004"/>
    <x v="1"/>
    <n v="42.550000000000004"/>
    <x v="0"/>
  </r>
  <r>
    <s v="WA-20251220-01"/>
    <x v="6"/>
    <x v="1"/>
    <d v="2025-12-20T00:00:00"/>
    <s v="34628270693"/>
    <x v="278"/>
    <x v="87"/>
    <s v="No"/>
    <s v="Japonés"/>
    <n v="310"/>
    <n v="1"/>
    <n v="310"/>
    <x v="0"/>
    <m/>
    <x v="0"/>
  </r>
  <r>
    <n v="1247020450"/>
    <x v="6"/>
    <x v="1"/>
    <d v="2025-12-19T23:20:08"/>
    <s v="Cuatrolo"/>
    <x v="198"/>
    <x v="34"/>
    <s v="No"/>
    <s v="Inglés"/>
    <n v="3.2800000000000002"/>
    <n v="1"/>
    <n v="3.2800000000000002"/>
    <x v="1"/>
    <n v="3.2800000000000002"/>
    <x v="0"/>
  </r>
  <r>
    <n v="1245445493"/>
    <x v="6"/>
    <x v="1"/>
    <d v="2025-12-19T19:12:41"/>
    <s v="KingKenji"/>
    <x v="362"/>
    <x v="113"/>
    <s v="No"/>
    <s v="Inglés"/>
    <n v="0.3625919117647059"/>
    <n v="1"/>
    <n v="0.3625919117647059"/>
    <x v="1"/>
    <n v="0.3625919117647059"/>
    <x v="0"/>
  </r>
  <r>
    <n v="1246782050"/>
    <x v="6"/>
    <x v="1"/>
    <d v="2025-12-18T10:27:02"/>
    <s v="Devian-Magic-Cards"/>
    <x v="363"/>
    <x v="129"/>
    <s v="No"/>
    <s v="Inglés"/>
    <n v="3.5454325175672401"/>
    <n v="1"/>
    <n v="3.5454325175672401"/>
    <x v="0"/>
    <m/>
    <x v="0"/>
  </r>
  <r>
    <n v="1246782050"/>
    <x v="6"/>
    <x v="1"/>
    <d v="2025-12-18T10:27:02"/>
    <s v="Devian-Magic-Cards"/>
    <x v="364"/>
    <x v="130"/>
    <s v="No"/>
    <s v="Inglés"/>
    <n v="13.14097407317664"/>
    <n v="1"/>
    <n v="13.14097407317664"/>
    <x v="0"/>
    <m/>
    <x v="0"/>
  </r>
  <r>
    <n v="1246782050"/>
    <x v="6"/>
    <x v="1"/>
    <d v="2025-12-18T10:27:02"/>
    <s v="Devian-Magic-Cards"/>
    <x v="364"/>
    <x v="130"/>
    <s v="No"/>
    <s v="Inglés"/>
    <n v="13.484080445844439"/>
    <n v="1"/>
    <n v="13.484080445844439"/>
    <x v="0"/>
    <m/>
    <x v="0"/>
  </r>
  <r>
    <n v="1246782050"/>
    <x v="6"/>
    <x v="1"/>
    <d v="2025-12-18T10:27:02"/>
    <s v="Devian-Magic-Cards"/>
    <x v="364"/>
    <x v="130"/>
    <s v="No"/>
    <s v="Inglés"/>
    <n v="13.484080445844439"/>
    <n v="1"/>
    <n v="13.484080445844439"/>
    <x v="0"/>
    <m/>
    <x v="0"/>
  </r>
  <r>
    <n v="1246782050"/>
    <x v="6"/>
    <x v="1"/>
    <d v="2025-12-18T10:27:02"/>
    <s v="Devian-Magic-Cards"/>
    <x v="363"/>
    <x v="129"/>
    <s v="No"/>
    <s v="Inglés"/>
    <n v="3.5454325175672401"/>
    <n v="1"/>
    <n v="3.5454325175672401"/>
    <x v="0"/>
    <m/>
    <x v="0"/>
  </r>
  <r>
    <n v="1244990507"/>
    <x v="6"/>
    <x v="1"/>
    <d v="2025-12-17T17:32:26"/>
    <s v="eGodrama"/>
    <x v="365"/>
    <x v="15"/>
    <s v="Si"/>
    <s v="Inglés"/>
    <n v="3.1849401197604794"/>
    <n v="4"/>
    <n v="12.739760479041918"/>
    <x v="1"/>
    <n v="12.739760479041918"/>
    <x v="0"/>
  </r>
  <r>
    <n v="1246502519"/>
    <x v="6"/>
    <x v="1"/>
    <d v="2025-12-16T14:30:07"/>
    <s v="Aleixescurabello"/>
    <x v="366"/>
    <x v="131"/>
    <s v="No"/>
    <s v="Inglés"/>
    <n v="1.83"/>
    <n v="1"/>
    <n v="1.83"/>
    <x v="1"/>
    <n v="1.83"/>
    <x v="0"/>
  </r>
  <r>
    <n v="1246390151"/>
    <x v="6"/>
    <x v="1"/>
    <d v="2025-12-15T22:20:03"/>
    <s v="Seath93"/>
    <x v="278"/>
    <x v="87"/>
    <s v="No"/>
    <s v="Japonés"/>
    <n v="334"/>
    <n v="1"/>
    <n v="334"/>
    <x v="0"/>
    <m/>
    <x v="0"/>
  </r>
  <r>
    <n v="1246389998"/>
    <x v="6"/>
    <x v="1"/>
    <d v="2025-12-15T18:22:55"/>
    <s v="Rodrigbli"/>
    <x v="367"/>
    <x v="132"/>
    <s v="No"/>
    <s v="Español"/>
    <n v="1.53"/>
    <n v="1"/>
    <n v="1.53"/>
    <x v="0"/>
    <m/>
    <x v="0"/>
  </r>
  <r>
    <n v="1243741253"/>
    <x v="6"/>
    <x v="1"/>
    <d v="2025-12-14T12:23:32"/>
    <s v="Eriic05"/>
    <x v="368"/>
    <x v="133"/>
    <s v="No"/>
    <s v="Inglés"/>
    <n v="2.6150000000000002"/>
    <n v="1"/>
    <n v="2.6150000000000002"/>
    <x v="1"/>
    <n v="2.6150000000000002"/>
    <x v="0"/>
  </r>
  <r>
    <n v="1246129625"/>
    <x v="6"/>
    <x v="1"/>
    <d v="2025-12-14T07:00:21"/>
    <s v="Distritozero-San"/>
    <x v="369"/>
    <x v="134"/>
    <s v="No"/>
    <s v="Inglés"/>
    <n v="10"/>
    <n v="2"/>
    <n v="20"/>
    <x v="0"/>
    <m/>
    <x v="0"/>
  </r>
  <r>
    <n v="1246129625"/>
    <x v="6"/>
    <x v="1"/>
    <d v="2025-12-14T07:00:21"/>
    <s v="Distritozero-San"/>
    <x v="364"/>
    <x v="130"/>
    <s v="No"/>
    <s v="Inglés"/>
    <n v="11"/>
    <n v="1"/>
    <n v="11"/>
    <x v="0"/>
    <m/>
    <x v="0"/>
  </r>
  <r>
    <n v="1246129492"/>
    <x v="6"/>
    <x v="1"/>
    <d v="2025-12-14T07:00:21"/>
    <s v="Levodin"/>
    <x v="370"/>
    <x v="135"/>
    <s v="Si"/>
    <s v="Inglés"/>
    <n v="6.0724999999999998"/>
    <n v="4"/>
    <n v="24.29"/>
    <x v="0"/>
    <m/>
    <x v="0"/>
  </r>
  <r>
    <n v="1245818358"/>
    <x v="6"/>
    <x v="1"/>
    <d v="2025-12-12T00:00:07"/>
    <s v="Terricolous"/>
    <x v="371"/>
    <x v="126"/>
    <s v="Si"/>
    <s v="Italiano"/>
    <n v="1.1125"/>
    <n v="4"/>
    <n v="4.45"/>
    <x v="1"/>
    <n v="4.45"/>
    <x v="0"/>
  </r>
  <r>
    <n v="1242211482"/>
    <x v="6"/>
    <x v="1"/>
    <d v="2025-12-11T15:08:02"/>
    <s v="Gerardo80"/>
    <x v="368"/>
    <x v="133"/>
    <s v="No"/>
    <s v="Inglés"/>
    <n v="4.4000000000000004"/>
    <n v="1"/>
    <n v="4.4000000000000004"/>
    <x v="1"/>
    <n v="4.4000000000000004"/>
    <x v="0"/>
  </r>
  <r>
    <n v="1245614245"/>
    <x v="6"/>
    <x v="1"/>
    <d v="2025-12-10T19:36:11"/>
    <s v="AdryKeo"/>
    <x v="372"/>
    <x v="8"/>
    <s v="No"/>
    <s v="Español"/>
    <n v="3.2800000000000002"/>
    <n v="1"/>
    <n v="3.2800000000000002"/>
    <x v="1"/>
    <n v="3.2800000000000002"/>
    <x v="0"/>
  </r>
  <r>
    <n v="1245445493"/>
    <x v="6"/>
    <x v="1"/>
    <d v="2025-12-09T20:00:13"/>
    <s v="KingKenji"/>
    <x v="373"/>
    <x v="56"/>
    <s v="No"/>
    <s v="Inglés"/>
    <n v="0.3625919117647059"/>
    <n v="1"/>
    <n v="0.3625919117647059"/>
    <x v="1"/>
    <n v="0.3625919117647059"/>
    <x v="0"/>
  </r>
  <r>
    <n v="1245445493"/>
    <x v="6"/>
    <x v="1"/>
    <d v="2025-12-09T20:00:13"/>
    <s v="KingKenji"/>
    <x v="374"/>
    <x v="15"/>
    <s v="No"/>
    <s v="Inglés"/>
    <n v="1.377849264705882"/>
    <n v="1"/>
    <n v="1.377849264705882"/>
    <x v="1"/>
    <n v="1.377849264705882"/>
    <x v="0"/>
  </r>
  <r>
    <n v="1245445493"/>
    <x v="6"/>
    <x v="1"/>
    <d v="2025-12-09T20:00:13"/>
    <s v="KingKenji"/>
    <x v="246"/>
    <x v="71"/>
    <s v="No"/>
    <s v="Inglés"/>
    <n v="5.786966911764706"/>
    <n v="1"/>
    <n v="5.786966911764706"/>
    <x v="1"/>
    <n v="5.786966911764706"/>
    <x v="0"/>
  </r>
  <r>
    <n v="1243793386"/>
    <x v="6"/>
    <x v="1"/>
    <d v="2025-12-09T13:56:27"/>
    <s v="Rul83"/>
    <x v="375"/>
    <x v="32"/>
    <s v="Si"/>
    <s v="Inglés"/>
    <n v="0.83250000000000002"/>
    <n v="4"/>
    <n v="3.33"/>
    <x v="1"/>
    <n v="3.33"/>
    <x v="0"/>
  </r>
  <r>
    <n v="1244111848"/>
    <x v="6"/>
    <x v="1"/>
    <d v="2025-12-09T11:15:29"/>
    <s v="robleno"/>
    <x v="376"/>
    <x v="136"/>
    <s v="No"/>
    <s v="Inglés"/>
    <n v="0.39777777777777779"/>
    <n v="2"/>
    <n v="0.79555555555555557"/>
    <x v="1"/>
    <n v="0.79555555555555557"/>
    <x v="0"/>
  </r>
  <r>
    <n v="1244111848"/>
    <x v="6"/>
    <x v="1"/>
    <d v="2025-12-09T11:15:29"/>
    <s v="robleno"/>
    <x v="377"/>
    <x v="137"/>
    <s v="No"/>
    <s v="Inglés"/>
    <n v="0.39777777777777779"/>
    <n v="3"/>
    <n v="1.1933333333333334"/>
    <x v="1"/>
    <n v="1.1933333333333334"/>
    <x v="0"/>
  </r>
  <r>
    <n v="1245264371"/>
    <x v="6"/>
    <x v="1"/>
    <d v="2025-12-08T18:16:13"/>
    <s v="picsel-x"/>
    <x v="378"/>
    <x v="135"/>
    <s v="No"/>
    <s v="Inglés"/>
    <n v="15.28"/>
    <n v="1"/>
    <n v="15.28"/>
    <x v="0"/>
    <m/>
    <x v="0"/>
  </r>
  <r>
    <n v="1245010552"/>
    <x v="6"/>
    <x v="1"/>
    <d v="2025-12-07T10:54:20"/>
    <s v="DarumaGames"/>
    <x v="378"/>
    <x v="135"/>
    <s v="No"/>
    <s v="Inglés"/>
    <n v="19.32"/>
    <n v="1"/>
    <n v="19.32"/>
    <x v="0"/>
    <m/>
    <x v="0"/>
  </r>
  <r>
    <n v="1244994033"/>
    <x v="6"/>
    <x v="1"/>
    <d v="2025-12-07T10:53:22"/>
    <s v="Gatopardo"/>
    <x v="378"/>
    <x v="135"/>
    <s v="No"/>
    <s v="Inglés"/>
    <n v="18.329999999999998"/>
    <n v="1"/>
    <n v="18.329999999999998"/>
    <x v="0"/>
    <m/>
    <x v="0"/>
  </r>
  <r>
    <n v="1244990507"/>
    <x v="6"/>
    <x v="1"/>
    <d v="2025-12-07T09:08:11"/>
    <s v="eGodrama"/>
    <x v="379"/>
    <x v="138"/>
    <s v="No"/>
    <s v="Inglés"/>
    <n v="1.1109554140127389"/>
    <n v="1"/>
    <n v="1.1109554140127389"/>
    <x v="1"/>
    <n v="1.1109554140127389"/>
    <x v="0"/>
  </r>
  <r>
    <n v="1244893411"/>
    <x v="6"/>
    <x v="1"/>
    <d v="2025-12-06T17:20:10"/>
    <s v="Exarfox"/>
    <x v="380"/>
    <x v="89"/>
    <s v="No"/>
    <s v="Español"/>
    <n v="1.615"/>
    <n v="2"/>
    <n v="3.23"/>
    <x v="1"/>
    <n v="3.23"/>
    <x v="0"/>
  </r>
  <r>
    <n v="1243072138"/>
    <x v="6"/>
    <x v="1"/>
    <d v="2025-12-05T19:54:46"/>
    <s v="Ganfar"/>
    <x v="381"/>
    <x v="139"/>
    <s v="Si"/>
    <s v="Inglés"/>
    <n v="1.5625"/>
    <n v="4"/>
    <n v="6.25"/>
    <x v="1"/>
    <n v="6.25"/>
    <x v="0"/>
  </r>
  <r>
    <n v="1242651146"/>
    <x v="6"/>
    <x v="1"/>
    <d v="2025-12-05T16:42:23"/>
    <s v="joselu350z"/>
    <x v="382"/>
    <x v="140"/>
    <s v="No"/>
    <s v="Japonés"/>
    <n v="6.28"/>
    <n v="1"/>
    <n v="6.28"/>
    <x v="1"/>
    <n v="6.28"/>
    <x v="0"/>
  </r>
  <r>
    <n v="1243812749"/>
    <x v="6"/>
    <x v="1"/>
    <d v="2025-12-04T09:09:31"/>
    <s v="Gingi"/>
    <x v="383"/>
    <x v="141"/>
    <s v="No"/>
    <s v="Inglés"/>
    <n v="2.83"/>
    <n v="1"/>
    <n v="2.83"/>
    <x v="1"/>
    <n v="2.83"/>
    <x v="0"/>
  </r>
  <r>
    <n v="1244398238"/>
    <x v="6"/>
    <x v="1"/>
    <d v="2025-12-03T15:35:19"/>
    <s v="oirakam"/>
    <x v="384"/>
    <x v="15"/>
    <s v="No"/>
    <s v="Español"/>
    <n v="3.2800000000000002"/>
    <n v="1"/>
    <n v="3.2800000000000002"/>
    <x v="1"/>
    <n v="3.2800000000000002"/>
    <x v="0"/>
  </r>
  <r>
    <s v="WA-20251203-03"/>
    <x v="6"/>
    <x v="1"/>
    <d v="2025-12-03T00:00:00"/>
    <s v="Aner"/>
    <x v="385"/>
    <x v="142"/>
    <s v="No"/>
    <s v="Inglés"/>
    <n v="600"/>
    <n v="1"/>
    <n v="600"/>
    <x v="0"/>
    <m/>
    <x v="0"/>
  </r>
  <r>
    <s v="WA-20251203-02"/>
    <x v="6"/>
    <x v="1"/>
    <d v="2025-12-03T00:00:00"/>
    <s v="34688908486"/>
    <x v="386"/>
    <x v="143"/>
    <s v="Si"/>
    <s v="Japonés"/>
    <n v="2.75"/>
    <n v="4"/>
    <n v="11"/>
    <x v="1"/>
    <n v="11"/>
    <x v="0"/>
  </r>
  <r>
    <s v="WA-20251203-01"/>
    <x v="6"/>
    <x v="1"/>
    <d v="2025-12-03T00:00:00"/>
    <s v="34644320420"/>
    <x v="387"/>
    <x v="38"/>
    <s v="Si"/>
    <s v="Inglés"/>
    <n v="11.25"/>
    <n v="4"/>
    <n v="45"/>
    <x v="1"/>
    <n v="45"/>
    <x v="0"/>
  </r>
  <r>
    <n v="1244251179"/>
    <x v="6"/>
    <x v="1"/>
    <d v="2025-12-02T18:43:12"/>
    <s v="TK-13"/>
    <x v="388"/>
    <x v="60"/>
    <s v="No"/>
    <s v="Inglés"/>
    <n v="8.4"/>
    <n v="1"/>
    <n v="8.4"/>
    <x v="1"/>
    <n v="8.4"/>
    <x v="0"/>
  </r>
  <r>
    <n v="1242930381"/>
    <x v="6"/>
    <x v="1"/>
    <d v="2025-12-02T17:14:20"/>
    <s v="Metadiscipulo"/>
    <x v="389"/>
    <x v="51"/>
    <s v="No"/>
    <s v="Inglés"/>
    <n v="2.2132994923857869"/>
    <n v="2"/>
    <n v="4.4265989847715739"/>
    <x v="1"/>
    <n v="4.4265989847715739"/>
    <x v="0"/>
  </r>
  <r>
    <n v="1242930381"/>
    <x v="6"/>
    <x v="1"/>
    <d v="2025-12-02T17:14:20"/>
    <s v="Metadiscipulo"/>
    <x v="256"/>
    <x v="68"/>
    <s v="No"/>
    <s v="Inglés"/>
    <n v="6.7534010152284267"/>
    <n v="1"/>
    <n v="6.7534010152284267"/>
    <x v="1"/>
    <n v="6.7534010152284267"/>
    <x v="0"/>
  </r>
  <r>
    <n v="1242015691"/>
    <x v="6"/>
    <x v="1"/>
    <d v="2025-12-02T15:41:05"/>
    <s v="AnicientToenail"/>
    <x v="390"/>
    <x v="144"/>
    <s v="Si"/>
    <s v="Inglés"/>
    <n v="1.5625"/>
    <n v="4"/>
    <n v="6.25"/>
    <x v="1"/>
    <n v="6.25"/>
    <x v="0"/>
  </r>
  <r>
    <n v="1244130136"/>
    <x v="6"/>
    <x v="1"/>
    <d v="2025-12-02T00:09:10"/>
    <s v="Percy666"/>
    <x v="391"/>
    <x v="145"/>
    <s v="No"/>
    <s v="Inglés"/>
    <n v="4.4000000000000004"/>
    <n v="1"/>
    <n v="4.4000000000000004"/>
    <x v="1"/>
    <n v="4.4000000000000004"/>
    <x v="0"/>
  </r>
  <r>
    <n v="1244111848"/>
    <x v="6"/>
    <x v="1"/>
    <d v="2025-12-01T22:48:13"/>
    <s v="robleno"/>
    <x v="392"/>
    <x v="146"/>
    <s v="No"/>
    <s v="Alemán"/>
    <n v="0.25800000000000001"/>
    <n v="2"/>
    <n v="0.51600000000000001"/>
    <x v="1"/>
    <n v="0.51600000000000001"/>
    <x v="0"/>
  </r>
  <r>
    <n v="1244111848"/>
    <x v="6"/>
    <x v="1"/>
    <d v="2025-12-01T22:48:13"/>
    <s v="robleno"/>
    <x v="392"/>
    <x v="146"/>
    <s v="No"/>
    <s v="Español"/>
    <n v="0.51600000000000001"/>
    <n v="1"/>
    <n v="0.51600000000000001"/>
    <x v="1"/>
    <n v="0.51600000000000001"/>
    <x v="0"/>
  </r>
  <r>
    <n v="1244111848"/>
    <x v="6"/>
    <x v="1"/>
    <d v="2025-12-01T22:48:13"/>
    <s v="robleno"/>
    <x v="392"/>
    <x v="146"/>
    <s v="No"/>
    <s v="Francés"/>
    <n v="0.51600000000000001"/>
    <n v="1"/>
    <n v="0.51600000000000001"/>
    <x v="1"/>
    <n v="0.51600000000000001"/>
    <x v="0"/>
  </r>
  <r>
    <n v="1243134485"/>
    <x v="6"/>
    <x v="1"/>
    <d v="2025-12-01T14:41:52"/>
    <s v="danicsb"/>
    <x v="393"/>
    <x v="82"/>
    <s v="No"/>
    <s v="Inglés"/>
    <n v="5.6150000000000002"/>
    <n v="2"/>
    <n v="11.23"/>
    <x v="1"/>
    <n v="11.23"/>
    <x v="0"/>
  </r>
  <r>
    <n v="1241597708"/>
    <x v="6"/>
    <x v="1"/>
    <d v="2025-12-01T08:38:43"/>
    <s v="Lyrae"/>
    <x v="394"/>
    <x v="7"/>
    <s v="No"/>
    <s v="Inglés"/>
    <n v="8.0300000000000011"/>
    <n v="1"/>
    <n v="8.0300000000000011"/>
    <x v="1"/>
    <n v="8.0300000000000011"/>
    <x v="0"/>
  </r>
  <r>
    <s v="WA-20251201-01"/>
    <x v="6"/>
    <x v="1"/>
    <d v="2025-12-01T00:00:00"/>
    <s v="34640601276"/>
    <x v="395"/>
    <x v="147"/>
    <s v="No"/>
    <s v="Japonés"/>
    <n v="25"/>
    <n v="1"/>
    <n v="25"/>
    <x v="1"/>
    <n v="25"/>
    <x v="0"/>
  </r>
  <r>
    <n v="1243929990"/>
    <x v="7"/>
    <x v="1"/>
    <d v="2025-11-30T23:08:10"/>
    <s v="Mariscot"/>
    <x v="396"/>
    <x v="148"/>
    <s v="No"/>
    <s v="Inglés"/>
    <n v="2.2800000000000002"/>
    <n v="1"/>
    <n v="2.2800000000000002"/>
    <x v="1"/>
    <n v="2.2800000000000002"/>
    <x v="0"/>
  </r>
  <r>
    <n v="1240763009"/>
    <x v="7"/>
    <x v="1"/>
    <d v="2025-11-30T10:52:15"/>
    <s v="monomoi"/>
    <x v="397"/>
    <x v="82"/>
    <s v="No"/>
    <s v="Inglés"/>
    <n v="5.3933333333333335"/>
    <n v="3"/>
    <n v="16.18"/>
    <x v="1"/>
    <n v="16.18"/>
    <x v="0"/>
  </r>
  <r>
    <n v="1243741253"/>
    <x v="7"/>
    <x v="1"/>
    <d v="2025-11-29T21:39:08"/>
    <s v="Eriic05"/>
    <x v="398"/>
    <x v="149"/>
    <s v="No"/>
    <s v="Inglés"/>
    <n v="2.6150000000000002"/>
    <n v="1"/>
    <n v="2.6150000000000002"/>
    <x v="1"/>
    <n v="2.6150000000000002"/>
    <x v="0"/>
  </r>
  <r>
    <n v="1243620987"/>
    <x v="7"/>
    <x v="1"/>
    <d v="2025-11-29T17:26:04"/>
    <s v="Warscapez"/>
    <x v="344"/>
    <x v="94"/>
    <s v="Si"/>
    <s v="Inglés"/>
    <n v="1.2825"/>
    <n v="4"/>
    <n v="5.13"/>
    <x v="1"/>
    <n v="5.13"/>
    <x v="0"/>
  </r>
  <r>
    <n v="1243580885"/>
    <x v="7"/>
    <x v="1"/>
    <d v="2025-11-28T21:32:52"/>
    <s v="obsl1980"/>
    <x v="399"/>
    <x v="150"/>
    <s v="Si"/>
    <s v="Inglés"/>
    <n v="78.872500000000002"/>
    <n v="4"/>
    <n v="315.49"/>
    <x v="0"/>
    <m/>
    <x v="0"/>
  </r>
  <r>
    <n v="1242114768"/>
    <x v="7"/>
    <x v="1"/>
    <d v="2025-11-28T20:54:47"/>
    <s v="Jeizer"/>
    <x v="400"/>
    <x v="15"/>
    <s v="Si"/>
    <s v="Inglés"/>
    <n v="0.47166666666666668"/>
    <n v="4"/>
    <n v="1.8866666666666667"/>
    <x v="1"/>
    <n v="1.8866666666666667"/>
    <x v="0"/>
  </r>
  <r>
    <n v="1242114768"/>
    <x v="7"/>
    <x v="1"/>
    <d v="2025-11-28T20:54:47"/>
    <s v="Jeizer"/>
    <x v="205"/>
    <x v="41"/>
    <s v="No"/>
    <s v="Inglés"/>
    <n v="0.94333333333333336"/>
    <n v="1"/>
    <n v="0.94333333333333336"/>
    <x v="1"/>
    <n v="0.94333333333333336"/>
    <x v="0"/>
  </r>
  <r>
    <n v="1241881703"/>
    <x v="7"/>
    <x v="1"/>
    <d v="2025-11-27T12:44:57"/>
    <s v="polmoneys"/>
    <x v="401"/>
    <x v="22"/>
    <s v="No"/>
    <s v="Inglés"/>
    <n v="3.6150000000000002"/>
    <n v="2"/>
    <n v="7.23"/>
    <x v="1"/>
    <n v="7.23"/>
    <x v="0"/>
  </r>
  <r>
    <n v="1242056139"/>
    <x v="7"/>
    <x v="1"/>
    <d v="2025-11-27T06:44:37"/>
    <s v="Marcelrocle"/>
    <x v="389"/>
    <x v="51"/>
    <s v="No"/>
    <s v="Inglés"/>
    <n v="3.6150000000000002"/>
    <n v="2"/>
    <n v="7.23"/>
    <x v="1"/>
    <n v="7.23"/>
    <x v="0"/>
  </r>
  <r>
    <n v="1243238844"/>
    <x v="7"/>
    <x v="1"/>
    <d v="2025-11-26T21:03:03"/>
    <s v="Fenrir97"/>
    <x v="402"/>
    <x v="30"/>
    <s v="No"/>
    <s v="Chino-S"/>
    <n v="3.2800000000000002"/>
    <n v="1"/>
    <n v="3.2800000000000002"/>
    <x v="1"/>
    <n v="3.2800000000000002"/>
    <x v="0"/>
  </r>
  <r>
    <n v="1243145592"/>
    <x v="7"/>
    <x v="1"/>
    <d v="2025-11-26T11:12:21"/>
    <s v="Ferberino"/>
    <x v="403"/>
    <x v="138"/>
    <s v="No"/>
    <s v="Inglés"/>
    <n v="3.2800000000000002"/>
    <n v="1"/>
    <n v="3.2800000000000002"/>
    <x v="1"/>
    <n v="3.2800000000000002"/>
    <x v="0"/>
  </r>
  <r>
    <n v="1242941050"/>
    <x v="7"/>
    <x v="1"/>
    <d v="2025-11-25T06:28:02"/>
    <s v="mesegue"/>
    <x v="404"/>
    <x v="120"/>
    <s v="Si"/>
    <s v="Japonés"/>
    <n v="4.2825000000000006"/>
    <n v="4"/>
    <n v="17.130000000000003"/>
    <x v="1"/>
    <n v="17.130000000000003"/>
    <x v="0"/>
  </r>
  <r>
    <n v="1237409267"/>
    <x v="7"/>
    <x v="1"/>
    <d v="2025-11-24T15:56:27"/>
    <s v="luigireyes892"/>
    <x v="394"/>
    <x v="22"/>
    <s v="Si"/>
    <s v="Inglés"/>
    <n v="6.2825000000000006"/>
    <n v="4"/>
    <n v="25.130000000000003"/>
    <x v="1"/>
    <n v="25.130000000000003"/>
    <x v="0"/>
  </r>
  <r>
    <n v="1241565486"/>
    <x v="7"/>
    <x v="1"/>
    <d v="2025-11-24T15:23:48"/>
    <s v="Kevin9990"/>
    <x v="405"/>
    <x v="68"/>
    <s v="Si"/>
    <s v="Inglés"/>
    <n v="5.5625"/>
    <n v="4"/>
    <n v="22.25"/>
    <x v="1"/>
    <n v="22.25"/>
    <x v="0"/>
  </r>
  <r>
    <n v="1241668804"/>
    <x v="7"/>
    <x v="1"/>
    <d v="2025-11-24T14:52:38"/>
    <s v="toycastle-D"/>
    <x v="406"/>
    <x v="68"/>
    <s v="Si"/>
    <s v="Inglés"/>
    <n v="1.0963836477987421"/>
    <n v="4"/>
    <n v="4.3855345911949684"/>
    <x v="1"/>
    <n v="4.3855345911949684"/>
    <x v="0"/>
  </r>
  <r>
    <n v="1241668804"/>
    <x v="7"/>
    <x v="1"/>
    <d v="2025-11-24T14:52:38"/>
    <s v="toycastle-D"/>
    <x v="407"/>
    <x v="151"/>
    <s v="No"/>
    <s v="Inglés"/>
    <n v="1.0963836477987421"/>
    <n v="1"/>
    <n v="1.0963836477987421"/>
    <x v="1"/>
    <n v="1.0963836477987421"/>
    <x v="0"/>
  </r>
  <r>
    <n v="1241668804"/>
    <x v="7"/>
    <x v="1"/>
    <d v="2025-11-24T14:52:38"/>
    <s v="toycastle-D"/>
    <x v="408"/>
    <x v="15"/>
    <s v="No"/>
    <s v="Inglés"/>
    <n v="0.57704402515723274"/>
    <n v="3"/>
    <n v="1.7311320754716983"/>
    <x v="1"/>
    <n v="1.7311320754716981"/>
    <x v="0"/>
  </r>
  <r>
    <n v="1241668804"/>
    <x v="7"/>
    <x v="1"/>
    <d v="2025-11-24T14:52:38"/>
    <s v="toycastle-D"/>
    <x v="409"/>
    <x v="152"/>
    <s v="No"/>
    <s v="Inglés"/>
    <n v="2.2504716981132074"/>
    <n v="3"/>
    <n v="6.7514150943396221"/>
    <x v="1"/>
    <n v="6.7514150943396221"/>
    <x v="0"/>
  </r>
  <r>
    <n v="1242778113"/>
    <x v="7"/>
    <x v="1"/>
    <d v="2025-11-24T08:35:49"/>
    <s v="Churls94"/>
    <x v="410"/>
    <x v="51"/>
    <s v="No"/>
    <s v="Inglés"/>
    <n v="3.33"/>
    <n v="1"/>
    <n v="3.33"/>
    <x v="0"/>
    <m/>
    <x v="0"/>
  </r>
  <r>
    <n v="1242739223"/>
    <x v="7"/>
    <x v="1"/>
    <d v="2025-11-24T08:35:49"/>
    <s v="TEMPEST-STORE"/>
    <x v="411"/>
    <x v="88"/>
    <s v="No"/>
    <s v="Japonés"/>
    <n v="2.8607142857142862"/>
    <n v="2"/>
    <n v="5.7214285714285724"/>
    <x v="0"/>
    <m/>
    <x v="0"/>
  </r>
  <r>
    <n v="1242739223"/>
    <x v="7"/>
    <x v="1"/>
    <d v="2025-11-24T08:35:49"/>
    <s v="TEMPEST-STORE"/>
    <x v="412"/>
    <x v="153"/>
    <s v="No"/>
    <s v="Inglés"/>
    <n v="0.25428571428571428"/>
    <n v="2"/>
    <n v="0.50857142857142856"/>
    <x v="0"/>
    <m/>
    <x v="0"/>
  </r>
  <r>
    <n v="1242523059"/>
    <x v="7"/>
    <x v="1"/>
    <d v="2025-11-22T17:06:32"/>
    <s v="CityOfCards"/>
    <x v="413"/>
    <x v="154"/>
    <s v="No"/>
    <s v="Inglés"/>
    <n v="14.29"/>
    <n v="1"/>
    <n v="14.29"/>
    <x v="0"/>
    <m/>
    <x v="0"/>
  </r>
  <r>
    <n v="1242522935"/>
    <x v="7"/>
    <x v="1"/>
    <d v="2025-11-22T17:06:32"/>
    <s v="PlaneswalkersVLC"/>
    <x v="414"/>
    <x v="118"/>
    <s v="Si"/>
    <s v="Inglés"/>
    <n v="0.83250000000000002"/>
    <n v="4"/>
    <n v="3.33"/>
    <x v="0"/>
    <m/>
    <x v="0"/>
  </r>
  <r>
    <n v="1242317669"/>
    <x v="7"/>
    <x v="1"/>
    <d v="2025-11-21T12:18:03"/>
    <s v="Metropolis-Center"/>
    <x v="415"/>
    <x v="42"/>
    <s v="No"/>
    <s v="Inglés"/>
    <n v="0.69275362318840583"/>
    <n v="1"/>
    <n v="0.69275362318840583"/>
    <x v="1"/>
    <n v="0.69275362318840583"/>
    <x v="0"/>
  </r>
  <r>
    <n v="1242320169"/>
    <x v="7"/>
    <x v="1"/>
    <d v="2025-11-21T10:56:26"/>
    <s v="PlaneswalkersVLC"/>
    <x v="416"/>
    <x v="118"/>
    <s v="Si"/>
    <s v="Inglés"/>
    <n v="0.14736842105263159"/>
    <n v="4"/>
    <n v="0.58947368421052637"/>
    <x v="0"/>
    <m/>
    <x v="0"/>
  </r>
  <r>
    <n v="1242320169"/>
    <x v="7"/>
    <x v="1"/>
    <d v="2025-11-21T10:56:26"/>
    <s v="PlaneswalkersVLC"/>
    <x v="417"/>
    <x v="75"/>
    <s v="Si"/>
    <s v="Inglés"/>
    <n v="1.1052631578947369"/>
    <n v="4"/>
    <n v="4.4210526315789478"/>
    <x v="0"/>
    <m/>
    <x v="0"/>
  </r>
  <r>
    <n v="1242320169"/>
    <x v="7"/>
    <x v="1"/>
    <d v="2025-11-21T10:56:26"/>
    <s v="PlaneswalkersVLC"/>
    <x v="184"/>
    <x v="75"/>
    <s v="Si"/>
    <s v="Inglés"/>
    <n v="0.22105263157894739"/>
    <n v="4"/>
    <n v="0.88421052631578956"/>
    <x v="0"/>
    <m/>
    <x v="0"/>
  </r>
  <r>
    <n v="1242320169"/>
    <x v="7"/>
    <x v="1"/>
    <d v="2025-11-21T10:56:26"/>
    <s v="PlaneswalkersVLC"/>
    <x v="418"/>
    <x v="75"/>
    <s v="Si"/>
    <s v="Inglés"/>
    <n v="0.14736842105263159"/>
    <n v="4"/>
    <n v="0.58947368421052637"/>
    <x v="0"/>
    <m/>
    <x v="0"/>
  </r>
  <r>
    <n v="1242320169"/>
    <x v="7"/>
    <x v="1"/>
    <d v="2025-11-21T10:56:26"/>
    <s v="PlaneswalkersVLC"/>
    <x v="419"/>
    <x v="75"/>
    <s v="Si"/>
    <s v="Inglés"/>
    <n v="0.14736842105263159"/>
    <n v="4"/>
    <n v="0.58947368421052637"/>
    <x v="0"/>
    <m/>
    <x v="0"/>
  </r>
  <r>
    <n v="1242320169"/>
    <x v="7"/>
    <x v="1"/>
    <d v="2025-11-21T10:56:26"/>
    <s v="PlaneswalkersVLC"/>
    <x v="420"/>
    <x v="75"/>
    <s v="Si"/>
    <s v="Inglés"/>
    <n v="0.14736842105263159"/>
    <n v="4"/>
    <n v="0.58947368421052637"/>
    <x v="0"/>
    <m/>
    <x v="0"/>
  </r>
  <r>
    <n v="1242320169"/>
    <x v="7"/>
    <x v="1"/>
    <d v="2025-11-21T10:56:26"/>
    <s v="PlaneswalkersVLC"/>
    <x v="421"/>
    <x v="75"/>
    <s v="Si"/>
    <s v="Inglés"/>
    <n v="0.14736842105263159"/>
    <n v="4"/>
    <n v="0.58947368421052637"/>
    <x v="0"/>
    <m/>
    <x v="0"/>
  </r>
  <r>
    <n v="1242320169"/>
    <x v="7"/>
    <x v="1"/>
    <d v="2025-11-21T10:56:26"/>
    <s v="PlaneswalkersVLC"/>
    <x v="422"/>
    <x v="75"/>
    <s v="Si"/>
    <s v="Inglés"/>
    <n v="0.29473684210526319"/>
    <n v="4"/>
    <n v="1.1789473684210527"/>
    <x v="0"/>
    <m/>
    <x v="0"/>
  </r>
  <r>
    <n v="1242320169"/>
    <x v="7"/>
    <x v="1"/>
    <d v="2025-11-21T10:56:26"/>
    <s v="PlaneswalkersVLC"/>
    <x v="423"/>
    <x v="75"/>
    <s v="Si"/>
    <s v="Inglés"/>
    <n v="0.14736842105263159"/>
    <n v="4"/>
    <n v="0.58947368421052637"/>
    <x v="0"/>
    <m/>
    <x v="0"/>
  </r>
  <r>
    <n v="1242320169"/>
    <x v="7"/>
    <x v="1"/>
    <d v="2025-11-21T10:56:26"/>
    <s v="PlaneswalkersVLC"/>
    <x v="424"/>
    <x v="75"/>
    <s v="Si"/>
    <s v="Inglés"/>
    <n v="0.14736842105263159"/>
    <n v="4"/>
    <n v="0.58947368421052637"/>
    <x v="0"/>
    <m/>
    <x v="0"/>
  </r>
  <r>
    <n v="1242320169"/>
    <x v="7"/>
    <x v="1"/>
    <d v="2025-11-21T10:56:26"/>
    <s v="PlaneswalkersVLC"/>
    <x v="425"/>
    <x v="75"/>
    <s v="Si"/>
    <s v="Inglés"/>
    <n v="0.14736842105263159"/>
    <n v="4"/>
    <n v="0.58947368421052637"/>
    <x v="0"/>
    <m/>
    <x v="0"/>
  </r>
  <r>
    <n v="1242249150"/>
    <x v="7"/>
    <x v="1"/>
    <d v="2025-11-20T21:10:03"/>
    <s v="Rguerrero"/>
    <x v="426"/>
    <x v="34"/>
    <s v="No"/>
    <s v="Inglés"/>
    <n v="2.2800000000000002"/>
    <n v="1"/>
    <n v="2.2800000000000002"/>
    <x v="1"/>
    <n v="2.2800000000000002"/>
    <x v="0"/>
  </r>
  <r>
    <n v="1241942137"/>
    <x v="7"/>
    <x v="1"/>
    <d v="2025-11-18T23:14:39"/>
    <s v="CardCrack"/>
    <x v="427"/>
    <x v="92"/>
    <s v="No"/>
    <s v="Japonés"/>
    <n v="3.3450000000000002"/>
    <n v="2"/>
    <n v="6.69"/>
    <x v="0"/>
    <m/>
    <x v="0"/>
  </r>
  <r>
    <n v="1241802115"/>
    <x v="7"/>
    <x v="1"/>
    <d v="2025-11-18T07:49:07"/>
    <s v="King-spiegelei"/>
    <x v="428"/>
    <x v="155"/>
    <s v="Si"/>
    <s v="Inglés"/>
    <n v="1.5625"/>
    <n v="4"/>
    <n v="6.25"/>
    <x v="1"/>
    <n v="6.25"/>
    <x v="0"/>
  </r>
  <r>
    <n v="1241737569"/>
    <x v="7"/>
    <x v="1"/>
    <d v="2025-11-17T19:54:38"/>
    <s v="Magicevent"/>
    <x v="429"/>
    <x v="75"/>
    <s v="Si"/>
    <s v="Inglés"/>
    <n v="0.23144021739130441"/>
    <n v="4"/>
    <n v="0.92576086956521764"/>
    <x v="0"/>
    <m/>
    <x v="0"/>
  </r>
  <r>
    <n v="1241737569"/>
    <x v="7"/>
    <x v="1"/>
    <d v="2025-11-17T19:54:38"/>
    <s v="Magicevent"/>
    <x v="430"/>
    <x v="156"/>
    <s v="Si"/>
    <s v="Inglés"/>
    <n v="0.25866847826086958"/>
    <n v="4"/>
    <n v="1.0346739130434783"/>
    <x v="0"/>
    <m/>
    <x v="0"/>
  </r>
  <r>
    <n v="1241737569"/>
    <x v="7"/>
    <x v="1"/>
    <d v="2025-11-17T19:54:38"/>
    <s v="Magicevent"/>
    <x v="431"/>
    <x v="75"/>
    <s v="Si"/>
    <s v="Inglés"/>
    <n v="0.25866847826086958"/>
    <n v="4"/>
    <n v="1.0346739130434783"/>
    <x v="0"/>
    <m/>
    <x v="0"/>
  </r>
  <r>
    <n v="1241737569"/>
    <x v="7"/>
    <x v="1"/>
    <d v="2025-11-17T19:54:38"/>
    <s v="Magicevent"/>
    <x v="432"/>
    <x v="75"/>
    <s v="Si"/>
    <s v="Inglés"/>
    <n v="0.50372282608695651"/>
    <n v="4"/>
    <n v="2.014891304347826"/>
    <x v="0"/>
    <m/>
    <x v="0"/>
  </r>
  <r>
    <n v="1240558130"/>
    <x v="7"/>
    <x v="1"/>
    <d v="2025-11-17T15:33:00"/>
    <s v="CaballeroLuna"/>
    <x v="433"/>
    <x v="22"/>
    <s v="No"/>
    <s v="Inglés"/>
    <n v="19.28"/>
    <n v="1"/>
    <n v="19.28"/>
    <x v="1"/>
    <n v="19.28"/>
    <x v="0"/>
  </r>
  <r>
    <n v="1241668804"/>
    <x v="7"/>
    <x v="1"/>
    <d v="2025-11-17T14:08:07"/>
    <s v="toycastle-D"/>
    <x v="434"/>
    <x v="157"/>
    <s v="Si"/>
    <s v="Inglés"/>
    <n v="0.34728773584905659"/>
    <n v="4"/>
    <n v="1.3891509433962264"/>
    <x v="1"/>
    <n v="1.3891509433962259"/>
    <x v="0"/>
  </r>
  <r>
    <n v="1241664035"/>
    <x v="7"/>
    <x v="1"/>
    <d v="2025-11-17T12:14:09"/>
    <s v="kikekai"/>
    <x v="435"/>
    <x v="158"/>
    <s v="No"/>
    <s v="Japonés"/>
    <n v="2.6236363636363635"/>
    <n v="1"/>
    <n v="2.6236363636363635"/>
    <x v="1"/>
    <n v="2.6236363636363635"/>
    <x v="0"/>
  </r>
  <r>
    <n v="1241664035"/>
    <x v="7"/>
    <x v="1"/>
    <d v="2025-11-17T12:14:09"/>
    <s v="kikekai"/>
    <x v="436"/>
    <x v="51"/>
    <s v="No"/>
    <s v="Japonés"/>
    <n v="1.2781818181818183"/>
    <n v="2"/>
    <n v="2.5563636363636366"/>
    <x v="1"/>
    <n v="2.5563636363636366"/>
    <x v="0"/>
  </r>
  <r>
    <n v="1241623919"/>
    <x v="7"/>
    <x v="1"/>
    <d v="2025-11-17T07:00:19"/>
    <s v="Mubatcg"/>
    <x v="394"/>
    <x v="7"/>
    <s v="No"/>
    <s v="Inglés"/>
    <n v="9.32"/>
    <n v="1"/>
    <n v="9.32"/>
    <x v="0"/>
    <m/>
    <x v="0"/>
  </r>
  <r>
    <n v="1241155381"/>
    <x v="7"/>
    <x v="1"/>
    <d v="2025-11-14T17:21:59"/>
    <s v="YildumMTG"/>
    <x v="437"/>
    <x v="116"/>
    <s v="No"/>
    <s v="Inglés"/>
    <n v="5.3595267260579069"/>
    <n v="2"/>
    <n v="10.719053452115814"/>
    <x v="0"/>
    <m/>
    <x v="0"/>
  </r>
  <r>
    <n v="1241155381"/>
    <x v="7"/>
    <x v="1"/>
    <d v="2025-11-14T17:21:59"/>
    <s v="YildumMTG"/>
    <x v="437"/>
    <x v="116"/>
    <s v="No"/>
    <s v="Inglés"/>
    <n v="4.2854732739420944"/>
    <n v="2"/>
    <n v="8.5709465478841889"/>
    <x v="0"/>
    <m/>
    <x v="0"/>
  </r>
  <r>
    <n v="1241154975"/>
    <x v="7"/>
    <x v="1"/>
    <d v="2025-11-14T17:21:59"/>
    <s v="GENEXCOMICS"/>
    <x v="438"/>
    <x v="89"/>
    <s v="Si"/>
    <s v="Inglés"/>
    <n v="0.49546875000000001"/>
    <n v="4"/>
    <n v="1.9818750000000001"/>
    <x v="0"/>
    <m/>
    <x v="0"/>
  </r>
  <r>
    <n v="1241154975"/>
    <x v="7"/>
    <x v="1"/>
    <d v="2025-11-14T17:21:59"/>
    <s v="GENEXCOMICS"/>
    <x v="439"/>
    <x v="159"/>
    <s v="Si"/>
    <s v="Inglés"/>
    <n v="0.63703125000000005"/>
    <n v="4"/>
    <n v="2.5481250000000002"/>
    <x v="0"/>
    <m/>
    <x v="0"/>
  </r>
  <r>
    <n v="1239994419"/>
    <x v="7"/>
    <x v="1"/>
    <d v="2025-11-14T16:38:55"/>
    <s v="thesammu"/>
    <x v="440"/>
    <x v="37"/>
    <s v="Si"/>
    <s v="Inglés"/>
    <n v="1.5825"/>
    <n v="4"/>
    <n v="6.33"/>
    <x v="1"/>
    <n v="6.33"/>
    <x v="0"/>
  </r>
  <r>
    <n v="1238778886"/>
    <x v="7"/>
    <x v="1"/>
    <d v="2025-11-14T16:02:40"/>
    <s v="Kurgankurgan"/>
    <x v="441"/>
    <x v="54"/>
    <s v="No"/>
    <s v="Inglés"/>
    <n v="11.174999999999999"/>
    <n v="2"/>
    <n v="22.349999999999998"/>
    <x v="1"/>
    <n v="22.349999999999998"/>
    <x v="0"/>
  </r>
  <r>
    <n v="1240546158"/>
    <x v="7"/>
    <x v="1"/>
    <d v="2025-11-14T13:28:35"/>
    <s v="awgodi"/>
    <x v="442"/>
    <x v="51"/>
    <s v="Si"/>
    <s v="Japonés"/>
    <n v="6.2825000000000006"/>
    <n v="4"/>
    <n v="25.130000000000003"/>
    <x v="1"/>
    <n v="25.130000000000003"/>
    <x v="0"/>
  </r>
  <r>
    <n v="1239427732"/>
    <x v="7"/>
    <x v="1"/>
    <d v="2025-11-13T15:56:12"/>
    <s v="Vladitsv"/>
    <x v="208"/>
    <x v="44"/>
    <s v="Si"/>
    <s v="Inglés"/>
    <n v="4.8324999999999996"/>
    <n v="4"/>
    <n v="19.329999999999998"/>
    <x v="1"/>
    <n v="19.329999999999998"/>
    <x v="0"/>
  </r>
  <r>
    <n v="1240414115"/>
    <x v="7"/>
    <x v="1"/>
    <d v="2025-11-13T12:14:14"/>
    <s v="Lorme87"/>
    <x v="443"/>
    <x v="22"/>
    <s v="No"/>
    <s v="Japonés"/>
    <n v="20.926666666666666"/>
    <n v="3"/>
    <n v="62.78"/>
    <x v="1"/>
    <n v="62.779999999999994"/>
    <x v="0"/>
  </r>
  <r>
    <n v="1240849073"/>
    <x v="7"/>
    <x v="1"/>
    <d v="2025-11-12T15:37:00"/>
    <s v="AlexJandro41"/>
    <x v="444"/>
    <x v="115"/>
    <s v="No"/>
    <s v="Inglés"/>
    <n v="1.83"/>
    <n v="1"/>
    <n v="1.83"/>
    <x v="0"/>
    <m/>
    <x v="0"/>
  </r>
  <r>
    <n v="1240847981"/>
    <x v="7"/>
    <x v="1"/>
    <d v="2025-11-12T15:37:00"/>
    <s v="Marillion81"/>
    <x v="445"/>
    <x v="132"/>
    <s v="No"/>
    <s v="Inglés"/>
    <n v="17.75"/>
    <n v="1"/>
    <n v="17.75"/>
    <x v="0"/>
    <m/>
    <x v="0"/>
  </r>
  <r>
    <n v="1240847029"/>
    <x v="7"/>
    <x v="1"/>
    <d v="2025-11-12T15:24:31"/>
    <s v="Itaca"/>
    <x v="446"/>
    <x v="124"/>
    <s v="No"/>
    <s v="Inglés"/>
    <n v="2.1150000000000002"/>
    <n v="2"/>
    <n v="4.2300000000000004"/>
    <x v="0"/>
    <m/>
    <x v="0"/>
  </r>
  <r>
    <n v="1240841505"/>
    <x v="7"/>
    <x v="1"/>
    <d v="2025-11-12T14:47:52"/>
    <s v="Itaca"/>
    <x v="223"/>
    <x v="6"/>
    <s v="Si"/>
    <s v="Inglés"/>
    <n v="1.0825"/>
    <n v="4"/>
    <n v="4.33"/>
    <x v="0"/>
    <m/>
    <x v="0"/>
  </r>
  <r>
    <n v="1239882307"/>
    <x v="7"/>
    <x v="1"/>
    <d v="2025-11-12T12:24:40"/>
    <s v="dasmak"/>
    <x v="447"/>
    <x v="11"/>
    <s v="No"/>
    <s v="Inglés"/>
    <n v="3.2800000000000002"/>
    <n v="1"/>
    <n v="3.2800000000000002"/>
    <x v="1"/>
    <n v="3.2800000000000002"/>
    <x v="0"/>
  </r>
  <r>
    <n v="1240764273"/>
    <x v="7"/>
    <x v="1"/>
    <d v="2025-11-12T00:26:05"/>
    <s v="Warscapez"/>
    <x v="448"/>
    <x v="30"/>
    <s v="Si"/>
    <s v="Inglés"/>
    <n v="5.2324999999999999"/>
    <n v="4"/>
    <n v="20.93"/>
    <x v="1"/>
    <n v="20.93"/>
    <x v="0"/>
  </r>
  <r>
    <n v="1240434008"/>
    <x v="7"/>
    <x v="1"/>
    <d v="2025-11-10T10:19:22"/>
    <s v="MacMarkoS"/>
    <x v="428"/>
    <x v="88"/>
    <s v="No"/>
    <s v="Inglés"/>
    <n v="3.83"/>
    <n v="1"/>
    <n v="3.83"/>
    <x v="0"/>
    <m/>
    <x v="0"/>
  </r>
  <r>
    <n v="1240433989"/>
    <x v="7"/>
    <x v="1"/>
    <d v="2025-11-10T10:19:22"/>
    <s v="AlexJandro41"/>
    <x v="428"/>
    <x v="88"/>
    <s v="No"/>
    <s v="Inglés"/>
    <n v="3.8911764705882348"/>
    <n v="3"/>
    <n v="11.673529411764704"/>
    <x v="0"/>
    <m/>
    <x v="0"/>
  </r>
  <r>
    <n v="1240433989"/>
    <x v="7"/>
    <x v="1"/>
    <d v="2025-11-10T10:19:22"/>
    <s v="AlexJandro41"/>
    <x v="259"/>
    <x v="88"/>
    <s v="No"/>
    <s v="Inglés"/>
    <n v="0.77823529411764703"/>
    <n v="2"/>
    <n v="1.5564705882352941"/>
    <x v="0"/>
    <m/>
    <x v="0"/>
  </r>
  <r>
    <n v="1240433322"/>
    <x v="7"/>
    <x v="1"/>
    <d v="2025-11-10T10:19:22"/>
    <s v="pepinerocharro"/>
    <x v="449"/>
    <x v="160"/>
    <s v="No"/>
    <s v="Inglés"/>
    <n v="0.54333333333333333"/>
    <n v="3"/>
    <n v="1.63"/>
    <x v="0"/>
    <m/>
    <x v="0"/>
  </r>
  <r>
    <n v="1240432988"/>
    <x v="7"/>
    <x v="1"/>
    <d v="2025-11-10T10:19:22"/>
    <s v="datolu"/>
    <x v="376"/>
    <x v="136"/>
    <s v="No"/>
    <s v="Inglés"/>
    <n v="1.115"/>
    <n v="2"/>
    <n v="2.23"/>
    <x v="0"/>
    <m/>
    <x v="0"/>
  </r>
  <r>
    <n v="1240431832"/>
    <x v="7"/>
    <x v="1"/>
    <d v="2025-11-10T10:19:22"/>
    <s v="RubendsTMT"/>
    <x v="450"/>
    <x v="161"/>
    <s v="No"/>
    <s v="Francés"/>
    <n v="2.209090909090909"/>
    <n v="1"/>
    <n v="2.209090909090909"/>
    <x v="0"/>
    <m/>
    <x v="0"/>
  </r>
  <r>
    <n v="1240431832"/>
    <x v="7"/>
    <x v="1"/>
    <d v="2025-11-10T10:19:22"/>
    <s v="RubendsTMT"/>
    <x v="451"/>
    <x v="97"/>
    <s v="No"/>
    <s v="Inglés"/>
    <n v="0.1104545454545455"/>
    <n v="2"/>
    <n v="0.220909090909091"/>
    <x v="0"/>
    <m/>
    <x v="0"/>
  </r>
  <r>
    <n v="1240429845"/>
    <x v="7"/>
    <x v="1"/>
    <d v="2025-11-10T10:19:22"/>
    <s v="Keywiz"/>
    <x v="452"/>
    <x v="88"/>
    <s v="No"/>
    <s v="Inglés"/>
    <n v="0.72240802675585281"/>
    <n v="1"/>
    <n v="0.72240802675585281"/>
    <x v="0"/>
    <m/>
    <x v="0"/>
  </r>
  <r>
    <n v="1240429845"/>
    <x v="7"/>
    <x v="1"/>
    <d v="2025-11-10T10:19:22"/>
    <s v="Keywiz"/>
    <x v="453"/>
    <x v="162"/>
    <s v="No"/>
    <s v="Inglés"/>
    <n v="3.597591973244147"/>
    <n v="1"/>
    <n v="3.597591973244147"/>
    <x v="0"/>
    <m/>
    <x v="0"/>
  </r>
  <r>
    <n v="1240428040"/>
    <x v="7"/>
    <x v="1"/>
    <d v="2025-11-10T10:19:22"/>
    <s v="willybizarre"/>
    <x v="454"/>
    <x v="163"/>
    <s v="No"/>
    <s v="Inglés"/>
    <n v="3.6549999999999998"/>
    <n v="2"/>
    <n v="7.31"/>
    <x v="0"/>
    <m/>
    <x v="0"/>
  </r>
  <r>
    <n v="1240427599"/>
    <x v="7"/>
    <x v="1"/>
    <d v="2025-11-10T10:19:22"/>
    <s v="Yonlu"/>
    <x v="455"/>
    <x v="88"/>
    <s v="No"/>
    <s v="Inglés"/>
    <n v="6.78"/>
    <n v="1"/>
    <n v="6.78"/>
    <x v="0"/>
    <m/>
    <x v="0"/>
  </r>
  <r>
    <n v="1240421247"/>
    <x v="7"/>
    <x v="1"/>
    <d v="2025-11-10T10:19:22"/>
    <s v="Kirishima"/>
    <x v="456"/>
    <x v="164"/>
    <s v="No"/>
    <s v="Inglés"/>
    <n v="4.6258823529411766"/>
    <n v="2"/>
    <n v="9.2517647058823531"/>
    <x v="0"/>
    <m/>
    <x v="0"/>
  </r>
  <r>
    <n v="1240421247"/>
    <x v="7"/>
    <x v="1"/>
    <d v="2025-11-10T10:19:22"/>
    <s v="Kirishima"/>
    <x v="457"/>
    <x v="29"/>
    <s v="No"/>
    <s v="Inglés"/>
    <n v="0.57823529411764707"/>
    <n v="1"/>
    <n v="0.57823529411764707"/>
    <x v="0"/>
    <m/>
    <x v="0"/>
  </r>
  <r>
    <n v="1240417559"/>
    <x v="7"/>
    <x v="1"/>
    <d v="2025-11-10T10:19:22"/>
    <s v="ManaVortex-POOL4YOU"/>
    <x v="458"/>
    <x v="165"/>
    <s v="No"/>
    <s v="Inglés"/>
    <n v="0.75377345378735228"/>
    <n v="2"/>
    <n v="1.5075469075747046"/>
    <x v="0"/>
    <m/>
    <x v="0"/>
  </r>
  <r>
    <n v="1240417559"/>
    <x v="7"/>
    <x v="1"/>
    <d v="2025-11-10T10:19:22"/>
    <s v="ManaVortex-POOL4YOU"/>
    <x v="459"/>
    <x v="72"/>
    <s v="Si"/>
    <s v="Japonés"/>
    <n v="3.113412091730368"/>
    <n v="4"/>
    <n v="12.453648366921472"/>
    <x v="0"/>
    <m/>
    <x v="0"/>
  </r>
  <r>
    <n v="1240417559"/>
    <x v="7"/>
    <x v="1"/>
    <d v="2025-11-10T10:19:22"/>
    <s v="ManaVortex-POOL4YOU"/>
    <x v="460"/>
    <x v="6"/>
    <s v="Si"/>
    <s v="Inglés"/>
    <n v="0.25125781792911739"/>
    <n v="4"/>
    <n v="1.0050312717164696"/>
    <x v="0"/>
    <m/>
    <x v="0"/>
  </r>
  <r>
    <n v="1240417559"/>
    <x v="7"/>
    <x v="1"/>
    <d v="2025-11-10T10:19:22"/>
    <s v="ManaVortex-POOL4YOU"/>
    <x v="461"/>
    <x v="166"/>
    <s v="No"/>
    <s v="Inglés"/>
    <n v="0.75377345378735228"/>
    <n v="1"/>
    <n v="0.75377345378735228"/>
    <x v="0"/>
    <m/>
    <x v="0"/>
  </r>
  <r>
    <n v="1240175085"/>
    <x v="7"/>
    <x v="1"/>
    <d v="2025-11-08T20:58:49"/>
    <s v="Nappalm"/>
    <x v="462"/>
    <x v="167"/>
    <s v="No"/>
    <s v="Inglés"/>
    <n v="1.278414634146342"/>
    <n v="2"/>
    <n v="2.5568292682926841"/>
    <x v="0"/>
    <m/>
    <x v="0"/>
  </r>
  <r>
    <n v="1240175085"/>
    <x v="7"/>
    <x v="1"/>
    <d v="2025-11-08T20:58:49"/>
    <s v="Nappalm"/>
    <x v="392"/>
    <x v="88"/>
    <s v="Si"/>
    <s v="Inglés"/>
    <n v="1.7432926829268289"/>
    <n v="4"/>
    <n v="6.9731707317073157"/>
    <x v="0"/>
    <m/>
    <x v="0"/>
  </r>
  <r>
    <n v="1240174616"/>
    <x v="7"/>
    <x v="1"/>
    <d v="2025-11-08T20:58:49"/>
    <s v="Distritozero-Bilbao"/>
    <x v="463"/>
    <x v="168"/>
    <s v="Si"/>
    <s v="Inglés"/>
    <n v="0.5"/>
    <n v="4"/>
    <n v="2"/>
    <x v="0"/>
    <m/>
    <x v="0"/>
  </r>
  <r>
    <n v="1240170413"/>
    <x v="7"/>
    <x v="1"/>
    <d v="2025-11-08T20:58:49"/>
    <s v="Metropolis-Center"/>
    <x v="464"/>
    <x v="169"/>
    <s v="No"/>
    <s v="Inglés"/>
    <n v="1.155"/>
    <n v="2"/>
    <n v="2.31"/>
    <x v="0"/>
    <m/>
    <x v="0"/>
  </r>
  <r>
    <n v="1240170405"/>
    <x v="7"/>
    <x v="1"/>
    <d v="2025-11-08T20:58:49"/>
    <s v="Queldromajedi"/>
    <x v="464"/>
    <x v="169"/>
    <s v="No"/>
    <s v="Inglés"/>
    <n v="1.0649999999999999"/>
    <n v="2"/>
    <n v="2.13"/>
    <x v="0"/>
    <m/>
    <x v="0"/>
  </r>
  <r>
    <n v="1240170186"/>
    <x v="7"/>
    <x v="1"/>
    <d v="2025-11-08T20:58:49"/>
    <s v="adi90"/>
    <x v="465"/>
    <x v="60"/>
    <s v="Si"/>
    <s v="Inglés"/>
    <n v="2.3774999999999999"/>
    <n v="4"/>
    <n v="9.51"/>
    <x v="0"/>
    <m/>
    <x v="0"/>
  </r>
  <r>
    <n v="1239758352"/>
    <x v="7"/>
    <x v="1"/>
    <d v="2025-11-06T12:05:27"/>
    <s v="DOMPICHE"/>
    <x v="258"/>
    <x v="78"/>
    <s v="No"/>
    <s v="Inglés"/>
    <n v="10.664999999999999"/>
    <n v="2"/>
    <n v="21.33"/>
    <x v="0"/>
    <m/>
    <x v="0"/>
  </r>
  <r>
    <n v="1239756058"/>
    <x v="7"/>
    <x v="1"/>
    <d v="2025-11-06T12:05:27"/>
    <s v="JupiterMadridNorte"/>
    <x v="466"/>
    <x v="169"/>
    <s v="No"/>
    <s v="Japonés"/>
    <n v="13.14"/>
    <n v="1"/>
    <n v="13.14"/>
    <x v="0"/>
    <m/>
    <x v="0"/>
  </r>
  <r>
    <n v="1238166844"/>
    <x v="7"/>
    <x v="1"/>
    <d v="2025-11-06T00:01:38"/>
    <s v="Raykerebagon"/>
    <x v="467"/>
    <x v="170"/>
    <s v="No"/>
    <s v="Inglés"/>
    <n v="3.1532901554404149"/>
    <n v="1"/>
    <n v="3.1532901554404149"/>
    <x v="1"/>
    <n v="3.1532901554404149"/>
    <x v="0"/>
  </r>
  <r>
    <n v="1238166844"/>
    <x v="7"/>
    <x v="1"/>
    <d v="2025-11-06T00:01:38"/>
    <s v="Raykerebagon"/>
    <x v="468"/>
    <x v="120"/>
    <s v="No"/>
    <s v="Japonés"/>
    <n v="3.1532901554404149"/>
    <n v="2"/>
    <n v="6.3065803108808298"/>
    <x v="1"/>
    <n v="6.3065803108808298"/>
    <x v="0"/>
  </r>
  <r>
    <n v="1238166844"/>
    <x v="7"/>
    <x v="1"/>
    <d v="2025-11-06T00:01:38"/>
    <s v="Raykerebagon"/>
    <x v="469"/>
    <x v="171"/>
    <s v="No"/>
    <s v="Inglés"/>
    <n v="0.96202072538860106"/>
    <n v="2"/>
    <n v="1.9240414507772021"/>
    <x v="1"/>
    <n v="1.9240414507772021"/>
    <x v="0"/>
  </r>
  <r>
    <n v="1239069185"/>
    <x v="7"/>
    <x v="1"/>
    <d v="2025-11-02T13:40:09"/>
    <s v="Asranhor"/>
    <x v="470"/>
    <x v="55"/>
    <s v="No"/>
    <s v="Japonés"/>
    <n v="6.0007581227436821"/>
    <n v="2"/>
    <n v="12.001516245487364"/>
    <x v="1"/>
    <n v="12.001516245487361"/>
    <x v="0"/>
  </r>
  <r>
    <n v="1238949577"/>
    <x v="7"/>
    <x v="1"/>
    <d v="2025-11-01T20:20:03"/>
    <s v="kikekai"/>
    <x v="471"/>
    <x v="92"/>
    <s v="No"/>
    <s v="Japonés"/>
    <n v="4.3933333333333335"/>
    <n v="3"/>
    <n v="13.18"/>
    <x v="1"/>
    <n v="13.180000000000001"/>
    <x v="0"/>
  </r>
  <r>
    <n v="1238163768"/>
    <x v="7"/>
    <x v="1"/>
    <d v="2025-11-01T11:26:21"/>
    <s v="Hacter"/>
    <x v="472"/>
    <x v="60"/>
    <s v="Si"/>
    <s v="Español"/>
    <n v="2.2824999999999998"/>
    <n v="4"/>
    <n v="9.129999999999999"/>
    <x v="1"/>
    <n v="9.129999999999999"/>
    <x v="0"/>
  </r>
  <r>
    <n v="1237155870"/>
    <x v="8"/>
    <x v="1"/>
    <d v="2025-10-31T09:47:32"/>
    <s v="MVozila"/>
    <x v="473"/>
    <x v="82"/>
    <s v="No"/>
    <s v="Inglés"/>
    <n v="12.174999999999999"/>
    <n v="2"/>
    <n v="24.349999999999998"/>
    <x v="1"/>
    <n v="24.349999999999998"/>
    <x v="0"/>
  </r>
  <r>
    <n v="1238707570"/>
    <x v="8"/>
    <x v="1"/>
    <d v="2025-10-31T08:08:10"/>
    <s v="Nikuu"/>
    <x v="303"/>
    <x v="172"/>
    <s v="No"/>
    <s v="Japonés"/>
    <n v="11.28"/>
    <n v="1"/>
    <n v="11.28"/>
    <x v="1"/>
    <n v="11.28"/>
    <x v="0"/>
  </r>
  <r>
    <n v="1238467066"/>
    <x v="8"/>
    <x v="1"/>
    <d v="2025-10-29T17:22:44"/>
    <s v="Nappalm"/>
    <x v="474"/>
    <x v="141"/>
    <s v="No"/>
    <s v="Inglés"/>
    <n v="2.665"/>
    <n v="2"/>
    <n v="5.33"/>
    <x v="0"/>
    <m/>
    <x v="0"/>
  </r>
  <r>
    <n v="1238464752"/>
    <x v="8"/>
    <x v="1"/>
    <d v="2025-10-29T17:22:44"/>
    <s v="AlexJandro41"/>
    <x v="475"/>
    <x v="61"/>
    <s v="No"/>
    <s v="Inglés"/>
    <n v="1.915"/>
    <n v="2"/>
    <n v="3.83"/>
    <x v="0"/>
    <m/>
    <x v="0"/>
  </r>
  <r>
    <n v="1238462551"/>
    <x v="8"/>
    <x v="1"/>
    <d v="2025-10-29T17:22:44"/>
    <s v="juanhevia"/>
    <x v="476"/>
    <x v="8"/>
    <s v="Si"/>
    <s v="Inglés"/>
    <n v="1.1325000000000001"/>
    <n v="4"/>
    <n v="4.53"/>
    <x v="0"/>
    <m/>
    <x v="0"/>
  </r>
  <r>
    <n v="1236601962"/>
    <x v="8"/>
    <x v="1"/>
    <d v="2025-10-29T15:12:32"/>
    <s v="Kacon"/>
    <x v="477"/>
    <x v="173"/>
    <s v="Si"/>
    <s v="Inglés"/>
    <n v="16.8"/>
    <n v="4"/>
    <n v="67.2"/>
    <x v="1"/>
    <n v="67.2"/>
    <x v="0"/>
  </r>
  <r>
    <n v="1238166844"/>
    <x v="8"/>
    <x v="1"/>
    <d v="2025-10-27T20:25:20"/>
    <s v="Raykerebagon"/>
    <x v="478"/>
    <x v="149"/>
    <s v="No"/>
    <s v="Inglés"/>
    <n v="0.27891304347826079"/>
    <n v="1"/>
    <n v="0.27891304347826079"/>
    <x v="1"/>
    <n v="0.27891304347826079"/>
    <x v="0"/>
  </r>
  <r>
    <n v="1238166844"/>
    <x v="8"/>
    <x v="1"/>
    <d v="2025-10-27T20:25:20"/>
    <s v="Raykerebagon"/>
    <x v="479"/>
    <x v="174"/>
    <s v="No"/>
    <s v="Inglés"/>
    <n v="0.55782608695652169"/>
    <n v="1"/>
    <n v="0.55782608695652169"/>
    <x v="1"/>
    <n v="0.55782608695652169"/>
    <x v="0"/>
  </r>
  <r>
    <n v="1238166844"/>
    <x v="8"/>
    <x v="1"/>
    <d v="2025-10-27T20:25:20"/>
    <s v="Raykerebagon"/>
    <x v="480"/>
    <x v="90"/>
    <s v="No"/>
    <s v="Inglés"/>
    <n v="2.2034130434782608"/>
    <n v="2"/>
    <n v="4.4068260869565217"/>
    <x v="1"/>
    <n v="4.4068260869565217"/>
    <x v="0"/>
  </r>
  <r>
    <n v="1238013373"/>
    <x v="8"/>
    <x v="1"/>
    <d v="2025-10-26T21:24:59"/>
    <s v="Dragonesylosetas"/>
    <x v="481"/>
    <x v="175"/>
    <s v="No"/>
    <s v="Inglés"/>
    <n v="1.115"/>
    <n v="2"/>
    <n v="2.23"/>
    <x v="0"/>
    <m/>
    <x v="0"/>
  </r>
  <r>
    <n v="1238012706"/>
    <x v="8"/>
    <x v="1"/>
    <d v="2025-10-26T21:24:59"/>
    <s v="Goodmanwarrior"/>
    <x v="482"/>
    <x v="88"/>
    <s v="No"/>
    <s v="Inglés"/>
    <n v="1.165"/>
    <n v="2"/>
    <n v="2.33"/>
    <x v="0"/>
    <m/>
    <x v="0"/>
  </r>
  <r>
    <n v="1238010432"/>
    <x v="8"/>
    <x v="1"/>
    <d v="2025-10-26T21:24:59"/>
    <s v="tiburonapu"/>
    <x v="483"/>
    <x v="46"/>
    <s v="Si"/>
    <s v="Inglés"/>
    <n v="0.245"/>
    <n v="4"/>
    <n v="0.98"/>
    <x v="0"/>
    <m/>
    <x v="0"/>
  </r>
  <r>
    <n v="1238010432"/>
    <x v="8"/>
    <x v="1"/>
    <d v="2025-10-26T21:24:59"/>
    <s v="tiburonapu"/>
    <x v="484"/>
    <x v="88"/>
    <s v="No"/>
    <s v="Inglés"/>
    <n v="1.2250000000000001"/>
    <n v="2"/>
    <n v="2.4500000000000002"/>
    <x v="0"/>
    <m/>
    <x v="0"/>
  </r>
  <r>
    <n v="1237966382"/>
    <x v="8"/>
    <x v="1"/>
    <d v="2025-10-26T21:24:59"/>
    <s v="abel89"/>
    <x v="485"/>
    <x v="95"/>
    <s v="No"/>
    <s v="Inglés"/>
    <n v="0.24325203252032521"/>
    <n v="1"/>
    <n v="0.24325203252032521"/>
    <x v="0"/>
    <m/>
    <x v="0"/>
  </r>
  <r>
    <n v="1237966382"/>
    <x v="8"/>
    <x v="1"/>
    <d v="2025-10-26T21:24:59"/>
    <s v="abel89"/>
    <x v="486"/>
    <x v="176"/>
    <s v="No"/>
    <s v="Inglés"/>
    <n v="0.3648780487804878"/>
    <n v="1"/>
    <n v="0.3648780487804878"/>
    <x v="0"/>
    <m/>
    <x v="0"/>
  </r>
  <r>
    <n v="1237966382"/>
    <x v="8"/>
    <x v="1"/>
    <d v="2025-10-26T21:24:59"/>
    <s v="abel89"/>
    <x v="487"/>
    <x v="88"/>
    <s v="No"/>
    <s v="Inglés"/>
    <n v="3.5879674796747971"/>
    <n v="1"/>
    <n v="3.5879674796747971"/>
    <x v="0"/>
    <m/>
    <x v="0"/>
  </r>
  <r>
    <n v="1237966382"/>
    <x v="8"/>
    <x v="1"/>
    <d v="2025-10-26T21:24:59"/>
    <s v="abel89"/>
    <x v="488"/>
    <x v="78"/>
    <s v="Si"/>
    <s v="Inglés"/>
    <n v="0.60813008130081303"/>
    <n v="4"/>
    <n v="2.4325203252032521"/>
    <x v="0"/>
    <m/>
    <x v="0"/>
  </r>
  <r>
    <n v="1237966382"/>
    <x v="8"/>
    <x v="1"/>
    <d v="2025-10-26T21:24:59"/>
    <s v="abel89"/>
    <x v="489"/>
    <x v="177"/>
    <s v="No"/>
    <s v="Inglés"/>
    <n v="0.42569105691056908"/>
    <n v="2"/>
    <n v="0.85138211382113815"/>
    <x v="0"/>
    <m/>
    <x v="0"/>
  </r>
  <r>
    <n v="1237966174"/>
    <x v="8"/>
    <x v="1"/>
    <d v="2025-10-26T21:24:59"/>
    <s v="teff13"/>
    <x v="490"/>
    <x v="178"/>
    <s v="No"/>
    <s v="Inglés"/>
    <n v="1.665"/>
    <n v="2"/>
    <n v="3.33"/>
    <x v="0"/>
    <m/>
    <x v="0"/>
  </r>
  <r>
    <n v="1237965823"/>
    <x v="8"/>
    <x v="1"/>
    <d v="2025-10-26T21:24:59"/>
    <s v="Moshitron"/>
    <x v="491"/>
    <x v="179"/>
    <s v="No"/>
    <s v="Inglés"/>
    <n v="0.99500000000000011"/>
    <n v="2"/>
    <n v="1.9900000000000002"/>
    <x v="0"/>
    <m/>
    <x v="0"/>
  </r>
  <r>
    <n v="1237965372"/>
    <x v="8"/>
    <x v="1"/>
    <d v="2025-10-26T21:24:59"/>
    <s v="ray17"/>
    <x v="492"/>
    <x v="42"/>
    <s v="No"/>
    <s v="Inglés"/>
    <n v="4.53"/>
    <n v="1"/>
    <n v="4.53"/>
    <x v="0"/>
    <m/>
    <x v="0"/>
  </r>
  <r>
    <n v="1234987459"/>
    <x v="8"/>
    <x v="1"/>
    <d v="2025-10-24T06:28:58"/>
    <s v="Ancor96"/>
    <x v="493"/>
    <x v="78"/>
    <s v="No"/>
    <s v="Inglés"/>
    <n v="24.28"/>
    <n v="1"/>
    <n v="24.28"/>
    <x v="1"/>
    <n v="24.28"/>
    <x v="0"/>
  </r>
  <r>
    <n v="1237431851"/>
    <x v="8"/>
    <x v="1"/>
    <d v="2025-10-23T19:07:46"/>
    <s v="NotRealy"/>
    <x v="494"/>
    <x v="113"/>
    <s v="Si"/>
    <s v="Inglés"/>
    <n v="36.174999999999997"/>
    <n v="4"/>
    <n v="144.69999999999999"/>
    <x v="0"/>
    <m/>
    <x v="0"/>
  </r>
  <r>
    <n v="1237338508"/>
    <x v="8"/>
    <x v="1"/>
    <d v="2025-10-22T16:12:00"/>
    <s v="nyahbingiman"/>
    <x v="495"/>
    <x v="165"/>
    <s v="Si"/>
    <s v="Chino-S"/>
    <n v="6.5308988764044944"/>
    <n v="4"/>
    <n v="26.123595505617978"/>
    <x v="0"/>
    <m/>
    <x v="0"/>
  </r>
  <r>
    <n v="1237338508"/>
    <x v="8"/>
    <x v="1"/>
    <d v="2025-10-22T16:12:00"/>
    <s v="nyahbingiman"/>
    <x v="496"/>
    <x v="180"/>
    <s v="No"/>
    <s v="Inglés"/>
    <n v="0.1264044943820225"/>
    <n v="1"/>
    <n v="0.1264044943820225"/>
    <x v="0"/>
    <m/>
    <x v="0"/>
  </r>
  <r>
    <n v="1237292133"/>
    <x v="8"/>
    <x v="1"/>
    <d v="2025-10-22T16:12:00"/>
    <s v="Tcgtradedealer"/>
    <x v="497"/>
    <x v="181"/>
    <s v="No"/>
    <s v="Inglés"/>
    <n v="1.155"/>
    <n v="2"/>
    <n v="2.31"/>
    <x v="0"/>
    <m/>
    <x v="0"/>
  </r>
  <r>
    <n v="1237292131"/>
    <x v="8"/>
    <x v="1"/>
    <d v="2025-10-22T16:12:00"/>
    <s v="Forny07"/>
    <x v="498"/>
    <x v="178"/>
    <s v="No"/>
    <s v="Inglés"/>
    <n v="1.115"/>
    <n v="2"/>
    <n v="2.23"/>
    <x v="0"/>
    <m/>
    <x v="0"/>
  </r>
  <r>
    <n v="1237292123"/>
    <x v="8"/>
    <x v="1"/>
    <d v="2025-10-22T16:12:00"/>
    <s v="TesoroArcano"/>
    <x v="499"/>
    <x v="182"/>
    <s v="No"/>
    <s v="Japonés"/>
    <n v="0.59214733542319742"/>
    <n v="2"/>
    <n v="1.1842946708463948"/>
    <x v="0"/>
    <m/>
    <x v="0"/>
  </r>
  <r>
    <n v="1237292123"/>
    <x v="8"/>
    <x v="1"/>
    <d v="2025-10-22T16:12:00"/>
    <s v="TesoroArcano"/>
    <x v="500"/>
    <x v="183"/>
    <s v="No"/>
    <s v="Japonés"/>
    <n v="0.60423197492163006"/>
    <n v="2"/>
    <n v="1.2084639498432601"/>
    <x v="0"/>
    <m/>
    <x v="0"/>
  </r>
  <r>
    <n v="1237292123"/>
    <x v="8"/>
    <x v="1"/>
    <d v="2025-10-22T16:12:00"/>
    <s v="TesoroArcano"/>
    <x v="501"/>
    <x v="184"/>
    <s v="No"/>
    <s v="Inglés"/>
    <n v="5.317241379310345"/>
    <n v="1"/>
    <n v="5.317241379310345"/>
    <x v="0"/>
    <m/>
    <x v="0"/>
  </r>
  <r>
    <n v="1237057578"/>
    <x v="8"/>
    <x v="1"/>
    <d v="2025-10-20T20:35:04"/>
    <s v="Skone1993"/>
    <x v="502"/>
    <x v="99"/>
    <s v="No"/>
    <s v="Inglés"/>
    <n v="6.28"/>
    <n v="1"/>
    <n v="6.28"/>
    <x v="1"/>
    <n v="6.28"/>
    <x v="0"/>
  </r>
  <r>
    <n v="1236431090"/>
    <x v="8"/>
    <x v="1"/>
    <d v="2025-10-17T08:05:09"/>
    <s v="Jabo37"/>
    <x v="503"/>
    <x v="180"/>
    <s v="No"/>
    <s v="Inglés"/>
    <n v="38.93"/>
    <n v="1"/>
    <n v="38.93"/>
    <x v="0"/>
    <m/>
    <x v="0"/>
  </r>
  <r>
    <n v="1236168020"/>
    <x v="8"/>
    <x v="1"/>
    <d v="2025-10-15T12:40:40"/>
    <s v="kashtmtg"/>
    <x v="504"/>
    <x v="81"/>
    <s v="Si"/>
    <s v="Inglés"/>
    <n v="5.3224999999999998"/>
    <n v="4"/>
    <n v="21.29"/>
    <x v="0"/>
    <m/>
    <x v="0"/>
  </r>
  <r>
    <n v="1235996091"/>
    <x v="8"/>
    <x v="1"/>
    <d v="2025-10-14T08:09:03"/>
    <s v="mundicomics"/>
    <x v="505"/>
    <x v="108"/>
    <s v="No"/>
    <s v="Inglés"/>
    <n v="4.62"/>
    <n v="1"/>
    <n v="4.62"/>
    <x v="0"/>
    <m/>
    <x v="0"/>
  </r>
  <r>
    <n v="1235995421"/>
    <x v="8"/>
    <x v="1"/>
    <d v="2025-10-14T08:09:03"/>
    <s v="vikmar18"/>
    <x v="505"/>
    <x v="108"/>
    <s v="No"/>
    <s v="Inglés"/>
    <n v="3.4433333333333329"/>
    <n v="3"/>
    <n v="10.329999999999998"/>
    <x v="0"/>
    <m/>
    <x v="0"/>
  </r>
  <r>
    <n v="1234193549"/>
    <x v="8"/>
    <x v="1"/>
    <d v="2025-10-14T07:56:39"/>
    <s v="erreme2121"/>
    <x v="493"/>
    <x v="78"/>
    <s v="No"/>
    <s v="Inglés"/>
    <n v="23.28"/>
    <n v="1"/>
    <n v="23.28"/>
    <x v="1"/>
    <n v="23.28"/>
    <x v="0"/>
  </r>
  <r>
    <n v="1235893246"/>
    <x v="8"/>
    <x v="1"/>
    <d v="2025-10-13T21:14:15"/>
    <s v="CityOfCards"/>
    <x v="394"/>
    <x v="7"/>
    <s v="No"/>
    <s v="Inglés"/>
    <n v="7.6150000000000002"/>
    <n v="2"/>
    <n v="15.23"/>
    <x v="0"/>
    <m/>
    <x v="0"/>
  </r>
  <r>
    <n v="1235893234"/>
    <x v="8"/>
    <x v="1"/>
    <d v="2025-10-13T21:14:15"/>
    <s v="james1234"/>
    <x v="394"/>
    <x v="7"/>
    <s v="No"/>
    <s v="Inglés"/>
    <n v="7.915"/>
    <n v="2"/>
    <n v="15.83"/>
    <x v="0"/>
    <m/>
    <x v="0"/>
  </r>
  <r>
    <n v="1235615590"/>
    <x v="8"/>
    <x v="1"/>
    <d v="2025-10-11T23:45:45"/>
    <s v="MADAKIBA"/>
    <x v="506"/>
    <x v="185"/>
    <s v="No"/>
    <s v="Inglés"/>
    <n v="19.329999999999998"/>
    <n v="1"/>
    <n v="19.329999999999998"/>
    <x v="0"/>
    <m/>
    <x v="0"/>
  </r>
  <r>
    <n v="1235614540"/>
    <x v="8"/>
    <x v="1"/>
    <d v="2025-10-11T23:45:45"/>
    <s v="barrocus"/>
    <x v="507"/>
    <x v="21"/>
    <s v="Si"/>
    <s v="Inglés"/>
    <n v="0.83250000000000002"/>
    <n v="4"/>
    <n v="3.33"/>
    <x v="0"/>
    <m/>
    <x v="0"/>
  </r>
  <r>
    <n v="1235614411"/>
    <x v="8"/>
    <x v="1"/>
    <d v="2025-10-11T23:45:45"/>
    <s v="Serket"/>
    <x v="508"/>
    <x v="17"/>
    <s v="No"/>
    <s v="Inglés"/>
    <n v="5.5566666666666684"/>
    <n v="3"/>
    <n v="16.670000000000005"/>
    <x v="0"/>
    <m/>
    <x v="0"/>
  </r>
  <r>
    <n v="1235614380"/>
    <x v="8"/>
    <x v="1"/>
    <d v="2025-10-11T23:45:45"/>
    <s v="abel89"/>
    <x v="508"/>
    <x v="17"/>
    <s v="No"/>
    <s v="Inglés"/>
    <n v="5.58"/>
    <n v="1"/>
    <n v="5.58"/>
    <x v="0"/>
    <m/>
    <x v="0"/>
  </r>
  <r>
    <n v="1235567765"/>
    <x v="8"/>
    <x v="1"/>
    <d v="2025-10-11T19:16:23"/>
    <s v="Distritozero-Bilbao"/>
    <x v="509"/>
    <x v="113"/>
    <s v="Si"/>
    <s v="Inglés"/>
    <n v="0.05"/>
    <n v="4"/>
    <n v="0.2"/>
    <x v="0"/>
    <m/>
    <x v="0"/>
  </r>
  <r>
    <n v="1235516214"/>
    <x v="8"/>
    <x v="1"/>
    <d v="2025-10-11T19:16:23"/>
    <s v="FranMTG666"/>
    <x v="510"/>
    <x v="22"/>
    <s v="Si"/>
    <s v="Inglés"/>
    <n v="0.1940869565217391"/>
    <n v="4"/>
    <n v="0.77634782608695641"/>
    <x v="0"/>
    <m/>
    <x v="0"/>
  </r>
  <r>
    <n v="1235516214"/>
    <x v="8"/>
    <x v="1"/>
    <d v="2025-10-11T19:16:23"/>
    <s v="FranMTG666"/>
    <x v="511"/>
    <x v="22"/>
    <s v="No"/>
    <s v="Inglés"/>
    <n v="1.272347826086957"/>
    <n v="1"/>
    <n v="1.272347826086957"/>
    <x v="0"/>
    <m/>
    <x v="0"/>
  </r>
  <r>
    <n v="1235516214"/>
    <x v="8"/>
    <x v="1"/>
    <d v="2025-10-11T19:16:23"/>
    <s v="FranMTG666"/>
    <x v="512"/>
    <x v="22"/>
    <s v="Si"/>
    <s v="Inglés"/>
    <n v="0.10782608695652179"/>
    <n v="4"/>
    <n v="0.43130434782608718"/>
    <x v="0"/>
    <m/>
    <x v="0"/>
  </r>
  <r>
    <n v="1235474583"/>
    <x v="8"/>
    <x v="1"/>
    <d v="2025-10-11T19:16:23"/>
    <s v="InfinityMana"/>
    <x v="513"/>
    <x v="60"/>
    <s v="No"/>
    <s v="Inglés"/>
    <n v="0.7425968992248061"/>
    <n v="3"/>
    <n v="2.2277906976744184"/>
    <x v="0"/>
    <m/>
    <x v="0"/>
  </r>
  <r>
    <n v="1235474583"/>
    <x v="8"/>
    <x v="1"/>
    <d v="2025-10-11T19:16:23"/>
    <s v="InfinityMana"/>
    <x v="511"/>
    <x v="22"/>
    <s v="No"/>
    <s v="Inglés"/>
    <n v="0.37887596899224812"/>
    <n v="3"/>
    <n v="1.1366279069767444"/>
    <x v="0"/>
    <m/>
    <x v="0"/>
  </r>
  <r>
    <n v="1235474583"/>
    <x v="8"/>
    <x v="1"/>
    <d v="2025-10-11T19:16:23"/>
    <s v="InfinityMana"/>
    <x v="514"/>
    <x v="22"/>
    <s v="No"/>
    <s v="Inglés"/>
    <n v="0.2727906976744186"/>
    <n v="2"/>
    <n v="0.54558139534883721"/>
    <x v="0"/>
    <m/>
    <x v="0"/>
  </r>
  <r>
    <n v="1234897710"/>
    <x v="8"/>
    <x v="1"/>
    <d v="2025-10-07T18:27:17"/>
    <s v="SchwarzesFleisch"/>
    <x v="515"/>
    <x v="186"/>
    <s v="No"/>
    <s v="Japonés"/>
    <n v="43.550000000000004"/>
    <n v="1"/>
    <n v="43.550000000000004"/>
    <x v="1"/>
    <n v="43.550000000000004"/>
    <x v="0"/>
  </r>
  <r>
    <n v="1234769905"/>
    <x v="8"/>
    <x v="1"/>
    <d v="2025-10-07T09:36:26"/>
    <s v="ElDuelistaStore"/>
    <x v="516"/>
    <x v="62"/>
    <s v="No"/>
    <s v="Inglés"/>
    <n v="17.829999999999998"/>
    <n v="1"/>
    <n v="17.829999999999998"/>
    <x v="0"/>
    <m/>
    <x v="0"/>
  </r>
  <r>
    <n v="1234769837"/>
    <x v="8"/>
    <x v="1"/>
    <d v="2025-10-07T09:36:26"/>
    <s v="Sunder"/>
    <x v="493"/>
    <x v="78"/>
    <s v="No"/>
    <s v="Inglés"/>
    <n v="27.965"/>
    <n v="2"/>
    <n v="55.93"/>
    <x v="0"/>
    <m/>
    <x v="0"/>
  </r>
  <r>
    <n v="1234281990"/>
    <x v="8"/>
    <x v="1"/>
    <d v="2025-10-04T08:50:47"/>
    <s v="sergiador"/>
    <x v="517"/>
    <x v="187"/>
    <s v="No"/>
    <s v="Inglés"/>
    <n v="2.33"/>
    <n v="1"/>
    <n v="2.33"/>
    <x v="0"/>
    <m/>
    <x v="0"/>
  </r>
  <r>
    <n v="1232760932"/>
    <x v="8"/>
    <x v="1"/>
    <d v="2025-10-02T16:12:12"/>
    <s v="alextormento"/>
    <x v="493"/>
    <x v="78"/>
    <s v="No"/>
    <s v="Español"/>
    <n v="23.28"/>
    <n v="1"/>
    <n v="23.28"/>
    <x v="1"/>
    <n v="23.28"/>
    <x v="0"/>
  </r>
  <r>
    <n v="1233634174"/>
    <x v="9"/>
    <x v="1"/>
    <d v="2025-09-30T14:40:14"/>
    <s v="Bartinh0"/>
    <x v="518"/>
    <x v="188"/>
    <s v="No"/>
    <s v="Inglés"/>
    <n v="3.2800000000000002"/>
    <n v="1"/>
    <n v="3.2800000000000002"/>
    <x v="1"/>
    <n v="3.2800000000000002"/>
    <x v="0"/>
  </r>
  <r>
    <n v="1233538458"/>
    <x v="9"/>
    <x v="1"/>
    <d v="2025-09-30T09:22:49"/>
    <s v="whitecat81"/>
    <x v="205"/>
    <x v="189"/>
    <s v="No"/>
    <s v="Inglés"/>
    <n v="28.82"/>
    <n v="1"/>
    <n v="28.82"/>
    <x v="0"/>
    <m/>
    <x v="0"/>
  </r>
  <r>
    <n v="1233538447"/>
    <x v="9"/>
    <x v="1"/>
    <d v="2025-09-30T09:22:49"/>
    <s v="Sergon923"/>
    <x v="519"/>
    <x v="22"/>
    <s v="Si"/>
    <s v="Inglés"/>
    <n v="0.27659107534747618"/>
    <n v="4"/>
    <n v="1.1063643013899047"/>
    <x v="0"/>
    <m/>
    <x v="0"/>
  </r>
  <r>
    <n v="1233538447"/>
    <x v="9"/>
    <x v="1"/>
    <d v="2025-09-30T09:22:49"/>
    <s v="Sergon923"/>
    <x v="205"/>
    <x v="189"/>
    <s v="No"/>
    <s v="Inglés"/>
    <n v="24.837878566203361"/>
    <n v="3"/>
    <n v="74.513635698610088"/>
    <x v="0"/>
    <m/>
    <x v="0"/>
  </r>
  <r>
    <n v="1232885725"/>
    <x v="9"/>
    <x v="1"/>
    <d v="2025-09-26T08:31:55"/>
    <s v="ManaVortex-POOL4YOU"/>
    <x v="493"/>
    <x v="78"/>
    <s v="No"/>
    <s v="Inglés"/>
    <n v="26.29"/>
    <n v="1"/>
    <n v="26.29"/>
    <x v="0"/>
    <m/>
    <x v="0"/>
  </r>
  <r>
    <n v="1232881034"/>
    <x v="9"/>
    <x v="1"/>
    <d v="2025-09-26T08:00:42"/>
    <s v="kirthas17"/>
    <x v="520"/>
    <x v="12"/>
    <s v="No"/>
    <s v="Inglés"/>
    <n v="1.615"/>
    <n v="2"/>
    <n v="3.23"/>
    <x v="0"/>
    <m/>
    <x v="0"/>
  </r>
  <r>
    <n v="1232881019"/>
    <x v="9"/>
    <x v="1"/>
    <d v="2025-09-26T08:00:42"/>
    <s v="Alcomagic23"/>
    <x v="520"/>
    <x v="12"/>
    <s v="No"/>
    <s v="Inglés"/>
    <n v="1.2549999999999999"/>
    <n v="2"/>
    <n v="2.5099999999999998"/>
    <x v="0"/>
    <m/>
    <x v="0"/>
  </r>
  <r>
    <n v="1231603567"/>
    <x v="9"/>
    <x v="1"/>
    <d v="2025-09-25T10:02:41"/>
    <s v="dacamcue"/>
    <x v="521"/>
    <x v="139"/>
    <s v="No"/>
    <s v="Español"/>
    <n v="60.88"/>
    <n v="1"/>
    <n v="60.88"/>
    <x v="1"/>
    <n v="60.88"/>
    <x v="0"/>
  </r>
  <r>
    <n v="1231365830"/>
    <x v="9"/>
    <x v="1"/>
    <d v="2025-09-16T15:45:07"/>
    <s v="Yonlu"/>
    <x v="522"/>
    <x v="190"/>
    <s v="No"/>
    <s v="Inglés"/>
    <n v="23.33"/>
    <n v="1"/>
    <n v="23.33"/>
    <x v="0"/>
    <m/>
    <x v="0"/>
  </r>
  <r>
    <n v="1231302663"/>
    <x v="9"/>
    <x v="1"/>
    <d v="2025-09-16T15:45:07"/>
    <s v="ruicasasnovas"/>
    <x v="523"/>
    <x v="191"/>
    <s v="No"/>
    <s v="Japonés"/>
    <n v="1.45"/>
    <n v="3"/>
    <n v="4.3499999999999996"/>
    <x v="0"/>
    <m/>
    <x v="0"/>
  </r>
  <r>
    <n v="1231010967"/>
    <x v="9"/>
    <x v="1"/>
    <d v="2025-09-14T20:58:09"/>
    <s v="BURPEE"/>
    <x v="103"/>
    <x v="13"/>
    <s v="No"/>
    <s v="Japonés"/>
    <n v="3.83"/>
    <n v="1"/>
    <n v="3.83"/>
    <x v="0"/>
    <m/>
    <x v="0"/>
  </r>
  <r>
    <n v="1230933881"/>
    <x v="9"/>
    <x v="1"/>
    <d v="2025-09-14T01:29:03"/>
    <s v="SergioAP"/>
    <x v="524"/>
    <x v="156"/>
    <s v="No"/>
    <s v="Inglés"/>
    <n v="16.78"/>
    <n v="1"/>
    <n v="16.78"/>
    <x v="1"/>
    <n v="16.78"/>
    <x v="0"/>
  </r>
  <r>
    <n v="1230639811"/>
    <x v="9"/>
    <x v="1"/>
    <d v="2025-09-12T13:10:36"/>
    <s v="Pluvialis"/>
    <x v="441"/>
    <x v="54"/>
    <s v="No"/>
    <s v="Inglés"/>
    <n v="2.33"/>
    <n v="1"/>
    <n v="2.33"/>
    <x v="0"/>
    <m/>
    <x v="0"/>
  </r>
  <r>
    <n v="1230513565"/>
    <x v="9"/>
    <x v="1"/>
    <d v="2025-09-11T12:03:29"/>
    <s v="Mazvigosl"/>
    <x v="525"/>
    <x v="113"/>
    <s v="Si"/>
    <s v="Inglés"/>
    <n v="0.88250000000000006"/>
    <n v="4"/>
    <n v="3.5300000000000002"/>
    <x v="0"/>
    <m/>
    <x v="0"/>
  </r>
  <r>
    <n v="1230512829"/>
    <x v="9"/>
    <x v="1"/>
    <d v="2025-09-11T12:03:29"/>
    <s v="Metropolis-Center"/>
    <x v="464"/>
    <x v="169"/>
    <s v="Si"/>
    <s v="Inglés"/>
    <n v="0.30435483870967739"/>
    <n v="4"/>
    <n v="1.2174193548387096"/>
    <x v="0"/>
    <m/>
    <x v="0"/>
  </r>
  <r>
    <n v="1230512829"/>
    <x v="9"/>
    <x v="1"/>
    <d v="2025-09-11T12:03:29"/>
    <s v="Metropolis-Center"/>
    <x v="526"/>
    <x v="84"/>
    <s v="Si"/>
    <s v="Inglés"/>
    <n v="0.62139112903225802"/>
    <n v="4"/>
    <n v="2.4855645161290321"/>
    <x v="0"/>
    <m/>
    <x v="0"/>
  </r>
  <r>
    <n v="1230512829"/>
    <x v="9"/>
    <x v="1"/>
    <d v="2025-09-11T12:03:29"/>
    <s v="Metropolis-Center"/>
    <x v="279"/>
    <x v="88"/>
    <s v="Si"/>
    <s v="Inglés"/>
    <n v="0.49457661290322591"/>
    <n v="4"/>
    <n v="1.9783064516129036"/>
    <x v="0"/>
    <m/>
    <x v="0"/>
  </r>
  <r>
    <n v="1230512829"/>
    <x v="9"/>
    <x v="1"/>
    <d v="2025-09-11T12:03:29"/>
    <s v="Metropolis-Center"/>
    <x v="527"/>
    <x v="192"/>
    <s v="No"/>
    <s v="Inglés"/>
    <n v="0.30435483870967739"/>
    <n v="2"/>
    <n v="0.60870967741935478"/>
    <x v="0"/>
    <m/>
    <x v="0"/>
  </r>
  <r>
    <n v="1230501200"/>
    <x v="9"/>
    <x v="1"/>
    <d v="2025-09-11T10:37:04"/>
    <s v="Guliver"/>
    <x v="528"/>
    <x v="10"/>
    <s v="No"/>
    <s v="Inglés"/>
    <n v="10.4"/>
    <n v="1"/>
    <n v="10.4"/>
    <x v="1"/>
    <n v="10.4"/>
    <x v="0"/>
  </r>
  <r>
    <n v="1226424166"/>
    <x v="9"/>
    <x v="1"/>
    <d v="2025-09-05T15:24:29"/>
    <s v="Genaker"/>
    <x v="529"/>
    <x v="156"/>
    <s v="No"/>
    <s v="Inglés"/>
    <n v="6.6150000000000002"/>
    <n v="2"/>
    <n v="13.23"/>
    <x v="1"/>
    <n v="13.23"/>
    <x v="0"/>
  </r>
  <r>
    <n v="1229479613"/>
    <x v="9"/>
    <x v="1"/>
    <d v="2025-09-05T10:02:07"/>
    <s v="Distritozero-Bilbao"/>
    <x v="530"/>
    <x v="38"/>
    <s v="Si"/>
    <s v="Inglés"/>
    <n v="0.3"/>
    <n v="4"/>
    <n v="1.2"/>
    <x v="0"/>
    <m/>
    <x v="0"/>
  </r>
  <r>
    <n v="1229426370"/>
    <x v="9"/>
    <x v="1"/>
    <d v="2025-09-05T10:02:07"/>
    <s v="DUAL-GAMES"/>
    <x v="531"/>
    <x v="89"/>
    <s v="Si"/>
    <s v="Japonés"/>
    <n v="2.2825000000000002"/>
    <n v="4"/>
    <n v="9.1300000000000008"/>
    <x v="0"/>
    <m/>
    <x v="0"/>
  </r>
  <r>
    <n v="1229423458"/>
    <x v="9"/>
    <x v="1"/>
    <d v="2025-09-04T21:47:52"/>
    <s v="davislarra"/>
    <x v="532"/>
    <x v="193"/>
    <s v="No"/>
    <s v="Japonés"/>
    <n v="1.83"/>
    <n v="1"/>
    <n v="1.83"/>
    <x v="0"/>
    <m/>
    <x v="0"/>
  </r>
  <r>
    <n v="1229323496"/>
    <x v="9"/>
    <x v="1"/>
    <d v="2025-09-04T11:58:31"/>
    <s v="OzJuegos"/>
    <x v="533"/>
    <x v="194"/>
    <s v="Si"/>
    <s v="Inglés"/>
    <n v="0.58274999999999999"/>
    <n v="4"/>
    <n v="2.331"/>
    <x v="0"/>
    <m/>
    <x v="0"/>
  </r>
  <r>
    <n v="1229323496"/>
    <x v="9"/>
    <x v="1"/>
    <d v="2025-09-04T11:58:31"/>
    <s v="OzJuegos"/>
    <x v="534"/>
    <x v="195"/>
    <s v="Si"/>
    <s v="Inglés"/>
    <n v="0.24975"/>
    <n v="4"/>
    <n v="0.999"/>
    <x v="0"/>
    <m/>
    <x v="0"/>
  </r>
  <r>
    <n v="1229234217"/>
    <x v="9"/>
    <x v="1"/>
    <d v="2025-09-03T20:38:36"/>
    <s v="Sylvandis"/>
    <x v="535"/>
    <x v="21"/>
    <s v="No"/>
    <s v="Inglés"/>
    <n v="0.4279069767441861"/>
    <n v="1"/>
    <n v="0.4279069767441861"/>
    <x v="1"/>
    <n v="0.4279069767441861"/>
    <x v="0"/>
  </r>
  <r>
    <n v="1228632016"/>
    <x v="10"/>
    <x v="1"/>
    <d v="2025-08-31T15:27:52"/>
    <s v="Alcomagic23"/>
    <x v="536"/>
    <x v="32"/>
    <s v="No"/>
    <s v="Inglés"/>
    <n v="4.4155573376102648"/>
    <n v="1"/>
    <n v="4.4155573376102648"/>
    <x v="0"/>
    <m/>
    <x v="0"/>
  </r>
  <r>
    <n v="1228632016"/>
    <x v="10"/>
    <x v="1"/>
    <d v="2025-08-31T15:27:52"/>
    <s v="Alcomagic23"/>
    <x v="196"/>
    <x v="32"/>
    <s v="No"/>
    <s v="Inglés"/>
    <n v="1.6489174017642341"/>
    <n v="1"/>
    <n v="1.6489174017642341"/>
    <x v="0"/>
    <m/>
    <x v="0"/>
  </r>
  <r>
    <n v="1228632016"/>
    <x v="10"/>
    <x v="1"/>
    <d v="2025-08-31T15:27:52"/>
    <s v="Alcomagic23"/>
    <x v="537"/>
    <x v="32"/>
    <s v="No"/>
    <s v="Inglés"/>
    <n v="7.7355252606255016"/>
    <n v="1"/>
    <n v="7.7355252606255016"/>
    <x v="0"/>
    <m/>
    <x v="0"/>
  </r>
  <r>
    <n v="1228581261"/>
    <x v="10"/>
    <x v="1"/>
    <d v="2025-08-31T15:27:52"/>
    <s v="Levodin"/>
    <x v="538"/>
    <x v="21"/>
    <s v="Si"/>
    <s v="Inglés"/>
    <n v="1.5225"/>
    <n v="4"/>
    <n v="6.09"/>
    <x v="0"/>
    <m/>
    <x v="0"/>
  </r>
  <r>
    <n v="1228581019"/>
    <x v="10"/>
    <x v="1"/>
    <d v="2025-08-31T15:27:52"/>
    <s v="SharkGames-JP"/>
    <x v="539"/>
    <x v="8"/>
    <s v="No"/>
    <s v="Japonés"/>
    <n v="1.43"/>
    <n v="3"/>
    <n v="4.29"/>
    <x v="0"/>
    <m/>
    <x v="0"/>
  </r>
  <r>
    <n v="1228580791"/>
    <x v="10"/>
    <x v="1"/>
    <d v="2025-08-31T15:27:52"/>
    <s v="Mazvigosl"/>
    <x v="540"/>
    <x v="193"/>
    <s v="Si"/>
    <s v="Inglés"/>
    <n v="0.32556818181818181"/>
    <n v="4"/>
    <n v="1.3022727272727272"/>
    <x v="0"/>
    <m/>
    <x v="0"/>
  </r>
  <r>
    <n v="1228580791"/>
    <x v="10"/>
    <x v="1"/>
    <d v="2025-08-31T15:27:52"/>
    <s v="Mazvigosl"/>
    <x v="541"/>
    <x v="173"/>
    <s v="Si"/>
    <s v="Inglés"/>
    <n v="0.65113636363636362"/>
    <n v="4"/>
    <n v="2.6045454545454545"/>
    <x v="0"/>
    <m/>
    <x v="0"/>
  </r>
  <r>
    <n v="1228580791"/>
    <x v="10"/>
    <x v="1"/>
    <d v="2025-08-31T15:27:52"/>
    <s v="Mazvigosl"/>
    <x v="542"/>
    <x v="196"/>
    <s v="Si"/>
    <s v="Inglés"/>
    <n v="0.4557954545454545"/>
    <n v="4"/>
    <n v="1.823181818181818"/>
    <x v="0"/>
    <m/>
    <x v="0"/>
  </r>
  <r>
    <n v="1228559054"/>
    <x v="10"/>
    <x v="1"/>
    <d v="2025-08-31T15:27:52"/>
    <s v="CalongeComics"/>
    <x v="543"/>
    <x v="22"/>
    <s v="No"/>
    <s v="Inglés"/>
    <n v="0.35701444622792938"/>
    <n v="3"/>
    <n v="1.0710433386837881"/>
    <x v="0"/>
    <m/>
    <x v="0"/>
  </r>
  <r>
    <n v="1228559054"/>
    <x v="10"/>
    <x v="1"/>
    <d v="2025-08-31T15:27:52"/>
    <s v="CalongeComics"/>
    <x v="196"/>
    <x v="32"/>
    <s v="No"/>
    <s v="Inglés"/>
    <n v="2.082584269662922"/>
    <n v="3"/>
    <n v="6.2477528089887659"/>
    <x v="0"/>
    <m/>
    <x v="0"/>
  </r>
  <r>
    <n v="1228559054"/>
    <x v="10"/>
    <x v="1"/>
    <d v="2025-08-31T15:27:52"/>
    <s v="CalongeComics"/>
    <x v="536"/>
    <x v="32"/>
    <s v="No"/>
    <s v="Inglés"/>
    <n v="3.5701444622792931"/>
    <n v="3"/>
    <n v="10.710433386837879"/>
    <x v="0"/>
    <m/>
    <x v="0"/>
  </r>
  <r>
    <n v="1228559054"/>
    <x v="10"/>
    <x v="1"/>
    <d v="2025-08-31T15:27:52"/>
    <s v="CalongeComics"/>
    <x v="537"/>
    <x v="32"/>
    <s v="No"/>
    <s v="Inglés"/>
    <n v="7.7353130016051361"/>
    <n v="2"/>
    <n v="15.470626003210272"/>
    <x v="0"/>
    <m/>
    <x v="0"/>
  </r>
  <r>
    <n v="1228559054"/>
    <x v="10"/>
    <x v="1"/>
    <d v="2025-08-31T15:27:52"/>
    <s v="CalongeComics"/>
    <x v="375"/>
    <x v="32"/>
    <s v="Si"/>
    <s v="Inglés"/>
    <n v="0.89253611556982348"/>
    <n v="4"/>
    <n v="3.5701444622792939"/>
    <x v="0"/>
    <m/>
    <x v="0"/>
  </r>
  <r>
    <n v="1227787907"/>
    <x v="10"/>
    <x v="1"/>
    <d v="2025-08-26T20:39:37"/>
    <s v="ScaccoMalto"/>
    <x v="441"/>
    <x v="54"/>
    <s v="No"/>
    <s v="Inglés"/>
    <n v="0.8092307692307692"/>
    <n v="1"/>
    <n v="0.8092307692307692"/>
    <x v="0"/>
    <m/>
    <x v="0"/>
  </r>
  <r>
    <n v="1227787907"/>
    <x v="10"/>
    <x v="1"/>
    <d v="2025-08-26T20:39:37"/>
    <s v="ScaccoMalto"/>
    <x v="544"/>
    <x v="22"/>
    <s v="No"/>
    <s v="Inglés"/>
    <n v="1.8207692307692309"/>
    <n v="1"/>
    <n v="1.8207692307692309"/>
    <x v="0"/>
    <m/>
    <x v="0"/>
  </r>
  <r>
    <n v="1224093609"/>
    <x v="10"/>
    <x v="1"/>
    <d v="2025-08-25T18:47:46"/>
    <s v="dog-koko"/>
    <x v="545"/>
    <x v="38"/>
    <s v="No"/>
    <s v="Inglés"/>
    <n v="5.28"/>
    <n v="1"/>
    <n v="5.28"/>
    <x v="1"/>
    <n v="5.28"/>
    <x v="0"/>
  </r>
  <r>
    <n v="1223745664"/>
    <x v="10"/>
    <x v="1"/>
    <d v="2025-08-22T19:37:54"/>
    <s v="Riverup"/>
    <x v="258"/>
    <x v="78"/>
    <s v="No"/>
    <s v="Inglés"/>
    <n v="15.23"/>
    <n v="1"/>
    <n v="15.23"/>
    <x v="1"/>
    <n v="15.23"/>
    <x v="0"/>
  </r>
  <r>
    <n v="1226549900"/>
    <x v="10"/>
    <x v="1"/>
    <d v="2025-08-19T12:06:43"/>
    <s v="Distritozero-Bilbao"/>
    <x v="546"/>
    <x v="160"/>
    <s v="No"/>
    <s v="Inglés"/>
    <n v="5.8"/>
    <n v="1"/>
    <n v="5.8"/>
    <x v="0"/>
    <m/>
    <x v="0"/>
  </r>
  <r>
    <n v="1224460562"/>
    <x v="10"/>
    <x v="1"/>
    <d v="2025-08-14T10:15:23"/>
    <s v="vonkhades"/>
    <x v="547"/>
    <x v="21"/>
    <s v="No"/>
    <s v="Español"/>
    <n v="18.28"/>
    <n v="1"/>
    <n v="18.28"/>
    <x v="1"/>
    <n v="18.28"/>
    <x v="0"/>
  </r>
  <r>
    <n v="1225544837"/>
    <x v="10"/>
    <x v="1"/>
    <d v="2025-08-12T22:19:27"/>
    <s v="TopdeckPamplona"/>
    <x v="548"/>
    <x v="197"/>
    <s v="Si"/>
    <s v="Inglés"/>
    <n v="0.63250000000000006"/>
    <n v="4"/>
    <n v="2.5300000000000002"/>
    <x v="0"/>
    <m/>
    <x v="0"/>
  </r>
  <r>
    <n v="1225438468"/>
    <x v="10"/>
    <x v="1"/>
    <d v="2025-08-12T15:13:09"/>
    <s v="MtgCounterspell2"/>
    <x v="208"/>
    <x v="44"/>
    <s v="No"/>
    <s v="Inglés"/>
    <n v="2.6549999999999998"/>
    <n v="2"/>
    <n v="5.31"/>
    <x v="0"/>
    <m/>
    <x v="0"/>
  </r>
  <r>
    <n v="1225438461"/>
    <x v="10"/>
    <x v="1"/>
    <d v="2025-08-12T15:13:09"/>
    <s v="Fantastica"/>
    <x v="208"/>
    <x v="44"/>
    <s v="No"/>
    <s v="Inglés"/>
    <n v="2.5449999999999999"/>
    <n v="2"/>
    <n v="5.09"/>
    <x v="0"/>
    <m/>
    <x v="0"/>
  </r>
  <r>
    <n v="1224814437"/>
    <x v="10"/>
    <x v="1"/>
    <d v="2025-08-08T09:01:00"/>
    <s v="TokensForMTG"/>
    <x v="549"/>
    <x v="198"/>
    <s v="No"/>
    <s v="Inglés"/>
    <n v="1.763333333333333"/>
    <n v="5"/>
    <n v="8.8166666666666647"/>
    <x v="0"/>
    <m/>
    <x v="0"/>
  </r>
  <r>
    <n v="1224814437"/>
    <x v="10"/>
    <x v="1"/>
    <d v="2025-08-08T09:01:00"/>
    <s v="TokensForMTG"/>
    <x v="550"/>
    <x v="198"/>
    <s v="No"/>
    <s v="Inglés"/>
    <n v="1.763333333333333"/>
    <n v="2"/>
    <n v="3.526666666666666"/>
    <x v="0"/>
    <m/>
    <x v="0"/>
  </r>
  <r>
    <n v="1224814437"/>
    <x v="10"/>
    <x v="1"/>
    <d v="2025-08-08T09:01:00"/>
    <s v="TokensForMTG"/>
    <x v="551"/>
    <x v="198"/>
    <s v="No"/>
    <s v="Inglés"/>
    <n v="1.763333333333333"/>
    <n v="2"/>
    <n v="3.526666666666666"/>
    <x v="0"/>
    <m/>
    <x v="0"/>
  </r>
  <r>
    <n v="1224814437"/>
    <x v="10"/>
    <x v="1"/>
    <d v="2025-08-08T09:01:00"/>
    <s v="TokensForMTG"/>
    <x v="552"/>
    <x v="198"/>
    <s v="No"/>
    <s v="Inglés"/>
    <n v="1.763333333333333"/>
    <n v="2"/>
    <n v="3.526666666666666"/>
    <x v="0"/>
    <m/>
    <x v="0"/>
  </r>
  <r>
    <n v="1224814437"/>
    <x v="10"/>
    <x v="1"/>
    <d v="2025-08-08T09:01:00"/>
    <s v="TokensForMTG"/>
    <x v="553"/>
    <x v="198"/>
    <s v="No"/>
    <s v="Inglés"/>
    <n v="1.763333333333333"/>
    <n v="2"/>
    <n v="3.526666666666666"/>
    <x v="0"/>
    <m/>
    <x v="0"/>
  </r>
  <r>
    <n v="1224814437"/>
    <x v="10"/>
    <x v="1"/>
    <d v="2025-08-08T09:01:00"/>
    <s v="TokensForMTG"/>
    <x v="554"/>
    <x v="198"/>
    <s v="No"/>
    <s v="Inglés"/>
    <n v="1.763333333333333"/>
    <n v="1"/>
    <n v="1.763333333333333"/>
    <x v="0"/>
    <m/>
    <x v="0"/>
  </r>
  <r>
    <n v="1224814437"/>
    <x v="10"/>
    <x v="1"/>
    <d v="2025-08-08T09:01:00"/>
    <s v="TokensForMTG"/>
    <x v="555"/>
    <x v="198"/>
    <s v="No"/>
    <s v="Inglés"/>
    <n v="1.763333333333333"/>
    <n v="2"/>
    <n v="3.526666666666666"/>
    <x v="0"/>
    <m/>
    <x v="0"/>
  </r>
  <r>
    <n v="1224814437"/>
    <x v="10"/>
    <x v="1"/>
    <d v="2025-08-08T09:01:00"/>
    <s v="TokensForMTG"/>
    <x v="556"/>
    <x v="198"/>
    <s v="Si"/>
    <s v="Inglés"/>
    <n v="1.763333333333333"/>
    <n v="4"/>
    <n v="7.0533333333333319"/>
    <x v="0"/>
    <m/>
    <x v="0"/>
  </r>
  <r>
    <n v="1224814437"/>
    <x v="10"/>
    <x v="1"/>
    <d v="2025-08-08T09:01:00"/>
    <s v="TokensForMTG"/>
    <x v="557"/>
    <x v="198"/>
    <s v="No"/>
    <s v="Inglés"/>
    <n v="1.763333333333333"/>
    <n v="2"/>
    <n v="3.526666666666666"/>
    <x v="0"/>
    <m/>
    <x v="0"/>
  </r>
  <r>
    <n v="1224814437"/>
    <x v="10"/>
    <x v="1"/>
    <d v="2025-08-08T09:01:00"/>
    <s v="TokensForMTG"/>
    <x v="558"/>
    <x v="198"/>
    <s v="No"/>
    <s v="Inglés"/>
    <n v="1.763333333333333"/>
    <n v="1"/>
    <n v="1.763333333333333"/>
    <x v="0"/>
    <m/>
    <x v="0"/>
  </r>
  <r>
    <n v="1224814437"/>
    <x v="10"/>
    <x v="1"/>
    <d v="2025-08-08T09:01:00"/>
    <s v="TokensForMTG"/>
    <x v="559"/>
    <x v="198"/>
    <s v="No"/>
    <s v="Inglés"/>
    <n v="1.763333333333333"/>
    <n v="1"/>
    <n v="1.763333333333333"/>
    <x v="0"/>
    <m/>
    <x v="0"/>
  </r>
  <r>
    <n v="1224775193"/>
    <x v="10"/>
    <x v="1"/>
    <d v="2025-08-08T09:01:00"/>
    <s v="Distritozero-Bilbao"/>
    <x v="560"/>
    <x v="38"/>
    <s v="No"/>
    <s v="Inglés"/>
    <n v="0.95"/>
    <n v="2"/>
    <n v="1.9"/>
    <x v="0"/>
    <m/>
    <x v="0"/>
  </r>
  <r>
    <n v="1224775193"/>
    <x v="10"/>
    <x v="1"/>
    <d v="2025-08-08T09:01:00"/>
    <s v="Distritozero-Bilbao"/>
    <x v="561"/>
    <x v="38"/>
    <s v="No"/>
    <s v="Inglés"/>
    <n v="0.69999999999999984"/>
    <n v="3"/>
    <n v="2.0999999999999996"/>
    <x v="0"/>
    <m/>
    <x v="0"/>
  </r>
  <r>
    <n v="1224658889"/>
    <x v="10"/>
    <x v="1"/>
    <d v="2025-08-07T21:56:12"/>
    <s v="Moria05"/>
    <x v="560"/>
    <x v="38"/>
    <s v="No"/>
    <s v="Inglés"/>
    <n v="0.99557620817843873"/>
    <n v="1"/>
    <n v="0.99557620817843873"/>
    <x v="0"/>
    <m/>
    <x v="0"/>
  </r>
  <r>
    <n v="1224658889"/>
    <x v="10"/>
    <x v="1"/>
    <d v="2025-08-07T21:56:12"/>
    <s v="Moria05"/>
    <x v="562"/>
    <x v="51"/>
    <s v="Si"/>
    <s v="Inglés"/>
    <n v="1.499665427509294"/>
    <n v="4"/>
    <n v="5.998661710037176"/>
    <x v="0"/>
    <m/>
    <x v="0"/>
  </r>
  <r>
    <n v="1224658889"/>
    <x v="10"/>
    <x v="1"/>
    <d v="2025-08-07T21:56:12"/>
    <s v="Moria05"/>
    <x v="563"/>
    <x v="165"/>
    <s v="Si"/>
    <s v="Inglés"/>
    <n v="0.1134200743494424"/>
    <n v="4"/>
    <n v="0.45368029739776961"/>
    <x v="0"/>
    <m/>
    <x v="0"/>
  </r>
  <r>
    <n v="1224658889"/>
    <x v="10"/>
    <x v="1"/>
    <d v="2025-08-07T21:56:12"/>
    <s v="Moria05"/>
    <x v="564"/>
    <x v="51"/>
    <s v="No"/>
    <s v="Inglés"/>
    <n v="0.17643122676579931"/>
    <n v="2"/>
    <n v="0.35286245353159862"/>
    <x v="0"/>
    <m/>
    <x v="0"/>
  </r>
  <r>
    <n v="1224658889"/>
    <x v="10"/>
    <x v="1"/>
    <d v="2025-08-07T21:56:12"/>
    <s v="Moria05"/>
    <x v="565"/>
    <x v="96"/>
    <s v="Si"/>
    <s v="Inglés"/>
    <n v="0.1134200743494424"/>
    <n v="4"/>
    <n v="0.45368029739776961"/>
    <x v="0"/>
    <m/>
    <x v="0"/>
  </r>
  <r>
    <n v="1224658889"/>
    <x v="10"/>
    <x v="1"/>
    <d v="2025-08-07T21:56:12"/>
    <s v="Moria05"/>
    <x v="566"/>
    <x v="51"/>
    <s v="Si"/>
    <s v="Inglés"/>
    <n v="0.17643122676579931"/>
    <n v="4"/>
    <n v="0.70572490706319724"/>
    <x v="0"/>
    <m/>
    <x v="0"/>
  </r>
  <r>
    <n v="1224658889"/>
    <x v="10"/>
    <x v="1"/>
    <d v="2025-08-07T21:56:12"/>
    <s v="Moria05"/>
    <x v="567"/>
    <x v="156"/>
    <s v="Si"/>
    <s v="Inglés"/>
    <n v="0.30245353159851301"/>
    <n v="4"/>
    <n v="1.2098141263940521"/>
    <x v="0"/>
    <m/>
    <x v="0"/>
  </r>
  <r>
    <n v="1223440654"/>
    <x v="10"/>
    <x v="1"/>
    <d v="2025-08-07T12:54:42"/>
    <s v="FalcorMelkor"/>
    <x v="258"/>
    <x v="78"/>
    <s v="No"/>
    <s v="Inglés"/>
    <n v="15.23"/>
    <n v="1"/>
    <n v="15.23"/>
    <x v="1"/>
    <n v="15.23"/>
    <x v="0"/>
  </r>
  <r>
    <n v="1222728043"/>
    <x v="10"/>
    <x v="1"/>
    <d v="2025-08-06T10:42:39"/>
    <s v="Barea91"/>
    <x v="568"/>
    <x v="186"/>
    <s v="No"/>
    <s v="Japonés"/>
    <n v="2.665"/>
    <n v="2"/>
    <n v="5.33"/>
    <x v="1"/>
    <n v="5.33"/>
    <x v="0"/>
  </r>
  <r>
    <n v="1224420625"/>
    <x v="10"/>
    <x v="1"/>
    <d v="2025-08-06T08:39:15"/>
    <s v="ConjuroArcano"/>
    <x v="387"/>
    <x v="38"/>
    <s v="No"/>
    <s v="Inglés"/>
    <n v="22.73"/>
    <n v="1"/>
    <n v="22.73"/>
    <x v="0"/>
    <m/>
    <x v="0"/>
  </r>
  <r>
    <n v="1224420611"/>
    <x v="10"/>
    <x v="1"/>
    <d v="2025-08-06T08:39:15"/>
    <s v="Soulcolecter"/>
    <x v="387"/>
    <x v="38"/>
    <s v="No"/>
    <s v="Inglés"/>
    <n v="22.23"/>
    <n v="1"/>
    <n v="22.23"/>
    <x v="0"/>
    <m/>
    <x v="0"/>
  </r>
  <r>
    <n v="1224420222"/>
    <x v="10"/>
    <x v="1"/>
    <d v="2025-08-06T08:39:15"/>
    <s v="MTG-Berserks"/>
    <x v="387"/>
    <x v="38"/>
    <s v="No"/>
    <s v="Inglés"/>
    <n v="22.33"/>
    <n v="1"/>
    <n v="22.33"/>
    <x v="0"/>
    <m/>
    <x v="0"/>
  </r>
  <r>
    <n v="1224414109"/>
    <x v="10"/>
    <x v="1"/>
    <d v="2025-08-05T21:08:47"/>
    <s v="yurraman"/>
    <x v="387"/>
    <x v="38"/>
    <s v="No"/>
    <s v="Inglés"/>
    <n v="20.93"/>
    <n v="1"/>
    <n v="20.93"/>
    <x v="0"/>
    <m/>
    <x v="0"/>
  </r>
  <r>
    <n v="1223874918"/>
    <x v="10"/>
    <x v="1"/>
    <d v="2025-08-03T00:14:55"/>
    <s v="hitomicamacho"/>
    <x v="441"/>
    <x v="54"/>
    <s v="No"/>
    <s v="Inglés"/>
    <n v="1.73"/>
    <n v="1"/>
    <n v="1.73"/>
    <x v="0"/>
    <m/>
    <x v="0"/>
  </r>
  <r>
    <n v="1223874905"/>
    <x v="10"/>
    <x v="1"/>
    <d v="2025-08-03T00:14:55"/>
    <s v="OzJuegos"/>
    <x v="441"/>
    <x v="54"/>
    <s v="No"/>
    <s v="Inglés"/>
    <n v="0.51565217391304352"/>
    <n v="1"/>
    <n v="0.51565217391304352"/>
    <x v="0"/>
    <m/>
    <x v="0"/>
  </r>
  <r>
    <n v="1223874905"/>
    <x v="10"/>
    <x v="1"/>
    <d v="2025-08-03T00:14:55"/>
    <s v="OzJuegos"/>
    <x v="569"/>
    <x v="24"/>
    <s v="No"/>
    <s v="Inglés"/>
    <n v="1.804782608695652"/>
    <n v="2"/>
    <n v="3.609565217391304"/>
    <x v="0"/>
    <m/>
    <x v="0"/>
  </r>
  <r>
    <n v="1223874905"/>
    <x v="10"/>
    <x v="1"/>
    <d v="2025-08-03T00:14:55"/>
    <s v="OzJuegos"/>
    <x v="570"/>
    <x v="24"/>
    <s v="No"/>
    <s v="Inglés"/>
    <n v="0.25782608695652182"/>
    <n v="3"/>
    <n v="0.77347826086956539"/>
    <x v="0"/>
    <m/>
    <x v="0"/>
  </r>
  <r>
    <n v="1223874905"/>
    <x v="10"/>
    <x v="1"/>
    <d v="2025-08-03T00:14:55"/>
    <s v="OzJuegos"/>
    <x v="571"/>
    <x v="190"/>
    <s v="Si"/>
    <s v="Inglés"/>
    <n v="0.25782608695652182"/>
    <n v="4"/>
    <n v="1.0313043478260873"/>
    <x v="0"/>
    <m/>
    <x v="0"/>
  </r>
  <r>
    <n v="1223874829"/>
    <x v="10"/>
    <x v="1"/>
    <d v="2025-08-03T00:14:55"/>
    <s v="Danini1991"/>
    <x v="572"/>
    <x v="68"/>
    <s v="No"/>
    <s v="Inglés"/>
    <n v="0.96500000000000008"/>
    <n v="2"/>
    <n v="1.9300000000000002"/>
    <x v="0"/>
    <m/>
    <x v="0"/>
  </r>
  <r>
    <n v="1223874592"/>
    <x v="10"/>
    <x v="1"/>
    <d v="2025-08-03T00:14:55"/>
    <s v="Distritozero-San"/>
    <x v="216"/>
    <x v="82"/>
    <s v="No"/>
    <s v="Inglés"/>
    <n v="0.5"/>
    <n v="2"/>
    <n v="1"/>
    <x v="0"/>
    <m/>
    <x v="0"/>
  </r>
  <r>
    <n v="1223417082"/>
    <x v="11"/>
    <x v="1"/>
    <d v="2025-07-31T20:19:41"/>
    <s v="Mazvigosl"/>
    <x v="545"/>
    <x v="38"/>
    <s v="Si"/>
    <s v="Inglés"/>
    <n v="6.2324999999999999"/>
    <n v="4"/>
    <n v="24.93"/>
    <x v="0"/>
    <m/>
    <x v="0"/>
  </r>
  <r>
    <n v="1223357546"/>
    <x v="11"/>
    <x v="1"/>
    <d v="2025-07-31T09:16:01"/>
    <s v="Moria05"/>
    <x v="573"/>
    <x v="38"/>
    <s v="Si"/>
    <s v="Inglés"/>
    <n v="6.3125"/>
    <n v="4"/>
    <n v="25.25"/>
    <x v="0"/>
    <m/>
    <x v="0"/>
  </r>
  <r>
    <n v="1223170918"/>
    <x v="11"/>
    <x v="1"/>
    <d v="2025-07-30T11:04:12"/>
    <s v="Distritozero-Bilbao"/>
    <x v="574"/>
    <x v="69"/>
    <s v="No"/>
    <s v="Japonés"/>
    <n v="10.58"/>
    <n v="1"/>
    <n v="10.58"/>
    <x v="0"/>
    <m/>
    <x v="0"/>
  </r>
  <r>
    <n v="1223156230"/>
    <x v="11"/>
    <x v="1"/>
    <d v="2025-07-30T11:04:12"/>
    <s v="PERALTA"/>
    <x v="575"/>
    <x v="24"/>
    <s v="Si"/>
    <s v="Inglés"/>
    <n v="0.33721374045801528"/>
    <n v="4"/>
    <n v="1.3488549618320611"/>
    <x v="0"/>
    <m/>
    <x v="0"/>
  </r>
  <r>
    <n v="1223156230"/>
    <x v="11"/>
    <x v="1"/>
    <d v="2025-07-30T11:04:12"/>
    <s v="PERALTA"/>
    <x v="576"/>
    <x v="156"/>
    <s v="Si"/>
    <s v="Inglés"/>
    <n v="0.28101145038167941"/>
    <n v="4"/>
    <n v="1.1240458015267176"/>
    <x v="0"/>
    <m/>
    <x v="0"/>
  </r>
  <r>
    <n v="1223156230"/>
    <x v="11"/>
    <x v="1"/>
    <d v="2025-07-30T11:04:12"/>
    <s v="PERALTA"/>
    <x v="577"/>
    <x v="156"/>
    <s v="Si"/>
    <s v="Inglés"/>
    <n v="0.56202290076335881"/>
    <n v="4"/>
    <n v="2.2480916030534353"/>
    <x v="0"/>
    <m/>
    <x v="0"/>
  </r>
  <r>
    <n v="1223156230"/>
    <x v="11"/>
    <x v="1"/>
    <d v="2025-07-30T11:04:12"/>
    <s v="PERALTA"/>
    <x v="578"/>
    <x v="51"/>
    <s v="Si"/>
    <s v="Inglés"/>
    <n v="0.39341603053435109"/>
    <n v="4"/>
    <n v="1.5736641221374044"/>
    <x v="0"/>
    <m/>
    <x v="0"/>
  </r>
  <r>
    <n v="1223156230"/>
    <x v="11"/>
    <x v="1"/>
    <d v="2025-07-30T11:04:12"/>
    <s v="PERALTA"/>
    <x v="477"/>
    <x v="173"/>
    <s v="Si"/>
    <s v="Inglés"/>
    <n v="13.151335877862589"/>
    <n v="4"/>
    <n v="52.605343511450357"/>
    <x v="0"/>
    <m/>
    <x v="0"/>
  </r>
  <r>
    <n v="1223081321"/>
    <x v="11"/>
    <x v="1"/>
    <d v="2025-07-29T19:14:18"/>
    <s v="Itaca"/>
    <x v="579"/>
    <x v="38"/>
    <s v="No"/>
    <s v="Inglés"/>
    <n v="19.074999999999999"/>
    <n v="2"/>
    <n v="38.15"/>
    <x v="0"/>
    <m/>
    <x v="0"/>
  </r>
  <r>
    <n v="1222402773"/>
    <x v="11"/>
    <x v="1"/>
    <d v="2025-07-25T18:18:46"/>
    <s v="ColossalStore"/>
    <x v="580"/>
    <x v="44"/>
    <s v="No"/>
    <s v="Inglés"/>
    <n v="9.6300000000000008"/>
    <n v="1"/>
    <n v="9.6300000000000008"/>
    <x v="0"/>
    <m/>
    <x v="0"/>
  </r>
  <r>
    <n v="1222402771"/>
    <x v="11"/>
    <x v="1"/>
    <d v="2025-07-25T18:18:46"/>
    <s v="Parka1001"/>
    <x v="580"/>
    <x v="44"/>
    <s v="No"/>
    <s v="Inglés"/>
    <n v="8.33"/>
    <n v="1"/>
    <n v="8.33"/>
    <x v="0"/>
    <m/>
    <x v="0"/>
  </r>
  <r>
    <n v="1222402756"/>
    <x v="11"/>
    <x v="1"/>
    <d v="2025-07-25T18:18:46"/>
    <s v="Canocles"/>
    <x v="580"/>
    <x v="44"/>
    <s v="No"/>
    <s v="Inglés"/>
    <n v="9.6449999999999996"/>
    <n v="2"/>
    <n v="19.29"/>
    <x v="0"/>
    <m/>
    <x v="0"/>
  </r>
  <r>
    <n v="1220891108"/>
    <x v="11"/>
    <x v="1"/>
    <d v="2025-07-25T09:18:34"/>
    <s v="Kalerion1497"/>
    <x v="581"/>
    <x v="49"/>
    <s v="Si"/>
    <s v="Inglés"/>
    <n v="1.8325"/>
    <n v="4"/>
    <n v="7.33"/>
    <x v="1"/>
    <n v="7.33"/>
    <x v="0"/>
  </r>
  <r>
    <n v="1222199396"/>
    <x v="11"/>
    <x v="1"/>
    <d v="2025-07-24T11:00:53"/>
    <s v="ColossalStore"/>
    <x v="579"/>
    <x v="38"/>
    <s v="No"/>
    <s v="Inglés"/>
    <n v="11.765000000000001"/>
    <n v="2"/>
    <n v="23.53"/>
    <x v="0"/>
    <m/>
    <x v="0"/>
  </r>
  <r>
    <n v="1222074392"/>
    <x v="11"/>
    <x v="1"/>
    <d v="2025-07-23T17:28:11"/>
    <s v="Distritozero-Bilbao"/>
    <x v="582"/>
    <x v="38"/>
    <s v="Si"/>
    <s v="Inglés"/>
    <n v="2.95"/>
    <n v="4"/>
    <n v="11.8"/>
    <x v="0"/>
    <m/>
    <x v="0"/>
  </r>
  <r>
    <n v="1222074392"/>
    <x v="11"/>
    <x v="1"/>
    <d v="2025-07-23T17:28:11"/>
    <s v="Distritozero-Bilbao"/>
    <x v="583"/>
    <x v="38"/>
    <s v="Si"/>
    <s v="Inglés"/>
    <n v="5.95"/>
    <n v="4"/>
    <n v="23.8"/>
    <x v="0"/>
    <m/>
    <x v="0"/>
  </r>
  <r>
    <n v="1222016830"/>
    <x v="11"/>
    <x v="1"/>
    <d v="2025-07-23T17:28:11"/>
    <s v="Distritozero-San"/>
    <x v="584"/>
    <x v="156"/>
    <s v="No"/>
    <s v="Inglés"/>
    <n v="1.22"/>
    <n v="3"/>
    <n v="3.66"/>
    <x v="0"/>
    <m/>
    <x v="0"/>
  </r>
  <r>
    <n v="1222084678"/>
    <x v="11"/>
    <x v="1"/>
    <d v="2025-07-23T15:30:11"/>
    <s v="nstuFF"/>
    <x v="585"/>
    <x v="169"/>
    <s v="No"/>
    <s v="Inglés"/>
    <n v="3.4000000000000004"/>
    <n v="1"/>
    <n v="3.4000000000000004"/>
    <x v="1"/>
    <n v="3.4000000000000004"/>
    <x v="0"/>
  </r>
  <r>
    <n v="1221866548"/>
    <x v="11"/>
    <x v="1"/>
    <d v="2025-07-22T08:12:06"/>
    <s v="XAntonioX24"/>
    <x v="586"/>
    <x v="15"/>
    <s v="Si"/>
    <s v="Español"/>
    <n v="0.13022727272727269"/>
    <n v="4"/>
    <n v="0.52090909090909077"/>
    <x v="0"/>
    <m/>
    <x v="0"/>
  </r>
  <r>
    <n v="1221866548"/>
    <x v="11"/>
    <x v="1"/>
    <d v="2025-07-22T08:12:06"/>
    <s v="XAntonioX24"/>
    <x v="587"/>
    <x v="199"/>
    <s v="No"/>
    <s v="Inglés"/>
    <n v="2.6045454545454541"/>
    <n v="2"/>
    <n v="5.2090909090909081"/>
    <x v="0"/>
    <m/>
    <x v="0"/>
  </r>
  <r>
    <n v="1221866513"/>
    <x v="11"/>
    <x v="1"/>
    <d v="2025-07-22T08:12:06"/>
    <s v="TEMPEST-STORE"/>
    <x v="442"/>
    <x v="51"/>
    <s v="Si"/>
    <s v="Japonés"/>
    <n v="5.0325000000000006"/>
    <n v="4"/>
    <n v="20.130000000000003"/>
    <x v="0"/>
    <m/>
    <x v="0"/>
  </r>
  <r>
    <n v="1221500324"/>
    <x v="11"/>
    <x v="1"/>
    <d v="2025-07-19T22:21:02"/>
    <s v="hassassin"/>
    <x v="588"/>
    <x v="99"/>
    <s v="No"/>
    <s v="Inglés"/>
    <n v="10.83"/>
    <n v="1"/>
    <n v="10.83"/>
    <x v="1"/>
    <n v="10.83"/>
    <x v="0"/>
  </r>
  <r>
    <n v="1218759313"/>
    <x v="11"/>
    <x v="1"/>
    <d v="2025-07-17T09:44:20"/>
    <s v="Minitole"/>
    <x v="589"/>
    <x v="194"/>
    <s v="No"/>
    <s v="Español"/>
    <n v="8.2800000000000011"/>
    <n v="1"/>
    <n v="8.2800000000000011"/>
    <x v="1"/>
    <n v="8.2800000000000011"/>
    <x v="0"/>
  </r>
  <r>
    <n v="1219880469"/>
    <x v="11"/>
    <x v="1"/>
    <d v="2025-07-15T15:47:13"/>
    <s v="XAntonioX24"/>
    <x v="590"/>
    <x v="54"/>
    <s v="No"/>
    <s v="Inglés"/>
    <n v="19.914999999999999"/>
    <n v="2"/>
    <n v="39.83"/>
    <x v="1"/>
    <n v="39.83"/>
    <x v="0"/>
  </r>
  <r>
    <n v="1220383457"/>
    <x v="11"/>
    <x v="1"/>
    <d v="2025-07-11T22:57:16"/>
    <s v="Beale"/>
    <x v="591"/>
    <x v="200"/>
    <s v="No"/>
    <s v="Inglés"/>
    <n v="39.93"/>
    <n v="1"/>
    <n v="39.93"/>
    <x v="0"/>
    <m/>
    <x v="0"/>
  </r>
  <r>
    <n v="1220228340"/>
    <x v="11"/>
    <x v="1"/>
    <d v="2025-07-10T21:41:00"/>
    <s v="nicowilliams"/>
    <x v="239"/>
    <x v="138"/>
    <s v="No"/>
    <s v="Inglés"/>
    <n v="3.83"/>
    <n v="1"/>
    <n v="3.83"/>
    <x v="0"/>
    <m/>
    <x v="0"/>
  </r>
  <r>
    <n v="1220181697"/>
    <x v="11"/>
    <x v="1"/>
    <d v="2025-07-10T21:41:00"/>
    <s v="manudosde"/>
    <x v="592"/>
    <x v="25"/>
    <s v="No"/>
    <s v="Inglés"/>
    <n v="16.954999999999998"/>
    <n v="2"/>
    <n v="33.909999999999997"/>
    <x v="0"/>
    <m/>
    <x v="0"/>
  </r>
  <r>
    <n v="1220180784"/>
    <x v="11"/>
    <x v="1"/>
    <d v="2025-07-10T21:41:00"/>
    <s v="YildumMTG"/>
    <x v="593"/>
    <x v="201"/>
    <s v="No"/>
    <s v="Inglés"/>
    <n v="4.6550000000000002"/>
    <n v="2"/>
    <n v="9.31"/>
    <x v="0"/>
    <m/>
    <x v="0"/>
  </r>
  <r>
    <s v="WA-20250708-02"/>
    <x v="11"/>
    <x v="1"/>
    <d v="2025-07-08T00:00:00"/>
    <s v="David Rivero"/>
    <x v="594"/>
    <x v="138"/>
    <s v="No"/>
    <s v="Inglés"/>
    <n v="85"/>
    <n v="1"/>
    <n v="85"/>
    <x v="0"/>
    <m/>
    <x v="0"/>
  </r>
  <r>
    <s v="WA-20250708-01"/>
    <x v="11"/>
    <x v="1"/>
    <d v="2025-07-08T00:00:00"/>
    <s v="34653388331"/>
    <x v="358"/>
    <x v="111"/>
    <s v="No"/>
    <s v="Japonés"/>
    <n v="1"/>
    <n v="1"/>
    <n v="1"/>
    <x v="1"/>
    <n v="1"/>
    <x v="0"/>
  </r>
  <r>
    <s v="WA-20250708-01"/>
    <x v="11"/>
    <x v="1"/>
    <d v="2025-07-08T00:00:00"/>
    <s v="34653388331"/>
    <x v="358"/>
    <x v="111"/>
    <s v="No"/>
    <s v="Chino"/>
    <n v="0.5"/>
    <n v="3"/>
    <n v="1.5"/>
    <x v="1"/>
    <n v="1.5"/>
    <x v="0"/>
  </r>
  <r>
    <s v="WA-20250708-01"/>
    <x v="11"/>
    <x v="1"/>
    <d v="2025-07-08T00:00:00"/>
    <s v="34653388331"/>
    <x v="595"/>
    <x v="55"/>
    <s v="No"/>
    <s v="Japonés"/>
    <n v="8"/>
    <n v="2"/>
    <n v="16"/>
    <x v="1"/>
    <n v="16"/>
    <x v="0"/>
  </r>
  <r>
    <s v="WA-20250708-01"/>
    <x v="11"/>
    <x v="1"/>
    <d v="2025-07-08T00:00:00"/>
    <s v="34653388331"/>
    <x v="596"/>
    <x v="147"/>
    <s v="No"/>
    <s v="Japonés"/>
    <n v="17"/>
    <n v="4"/>
    <n v="68"/>
    <x v="1"/>
    <n v="68"/>
    <x v="0"/>
  </r>
  <r>
    <s v="WA-20250708-01"/>
    <x v="11"/>
    <x v="1"/>
    <d v="2025-07-08T00:00:00"/>
    <s v="34653388331"/>
    <x v="597"/>
    <x v="30"/>
    <s v="No"/>
    <s v="Japonés"/>
    <n v="4.5"/>
    <n v="4"/>
    <n v="18"/>
    <x v="1"/>
    <n v="18"/>
    <x v="0"/>
  </r>
  <r>
    <s v="WA-20250708-01"/>
    <x v="11"/>
    <x v="1"/>
    <d v="2025-07-08T00:00:00"/>
    <s v="34653388331"/>
    <x v="598"/>
    <x v="73"/>
    <s v="No"/>
    <s v="Japonés"/>
    <n v="3"/>
    <n v="1"/>
    <n v="3"/>
    <x v="1"/>
    <n v="3"/>
    <x v="0"/>
  </r>
  <r>
    <s v="WA-20250708-01"/>
    <x v="11"/>
    <x v="1"/>
    <d v="2025-07-08T00:00:00"/>
    <s v="34653388331"/>
    <x v="599"/>
    <x v="121"/>
    <s v="No"/>
    <s v="Japonés"/>
    <n v="20"/>
    <n v="1"/>
    <n v="20"/>
    <x v="1"/>
    <n v="20"/>
    <x v="0"/>
  </r>
  <r>
    <s v="CVSALE-1219222787-01"/>
    <x v="11"/>
    <x v="1"/>
    <d v="2025-07-04T15:02:09"/>
    <s v="Venta asociada sin pedido identificado"/>
    <x v="600"/>
    <x v="24"/>
    <s v="Si"/>
    <s v="Inglés"/>
    <n v="2.2293115942028985"/>
    <n v="4"/>
    <n v="8.9172463768115939"/>
    <x v="1"/>
    <n v="8.9172463768115939"/>
    <x v="0"/>
  </r>
  <r>
    <n v="1219230739"/>
    <x v="11"/>
    <x v="1"/>
    <d v="2025-07-04T15:02:09"/>
    <s v="valdrich8"/>
    <x v="601"/>
    <x v="202"/>
    <s v="No"/>
    <s v="Inglés"/>
    <n v="3.48"/>
    <n v="1"/>
    <n v="3.48"/>
    <x v="0"/>
    <m/>
    <x v="0"/>
  </r>
  <r>
    <n v="1219230717"/>
    <x v="11"/>
    <x v="1"/>
    <d v="2025-07-04T15:02:09"/>
    <s v="Mazvigosl"/>
    <x v="601"/>
    <x v="202"/>
    <s v="No"/>
    <s v="Inglés"/>
    <n v="4.3933333333333344"/>
    <n v="3"/>
    <n v="13.180000000000003"/>
    <x v="0"/>
    <m/>
    <x v="0"/>
  </r>
  <r>
    <n v="1219222787"/>
    <x v="11"/>
    <x v="1"/>
    <d v="2025-07-04T15:02:09"/>
    <s v="Itaca"/>
    <x v="602"/>
    <x v="68"/>
    <s v="No"/>
    <s v="Inglés"/>
    <n v="2.6074154589371981"/>
    <n v="2"/>
    <n v="5.2148309178743961"/>
    <x v="0"/>
    <m/>
    <x v="0"/>
  </r>
  <r>
    <n v="1219222787"/>
    <x v="11"/>
    <x v="1"/>
    <d v="2025-07-04T15:02:09"/>
    <s v="Itaca"/>
    <x v="600"/>
    <x v="24"/>
    <s v="Si"/>
    <s v="Inglés"/>
    <n v="4.2037922705314008"/>
    <n v="4"/>
    <n v="16.815169082125603"/>
    <x v="0"/>
    <m/>
    <x v="0"/>
  </r>
  <r>
    <n v="1219054032"/>
    <x v="11"/>
    <x v="1"/>
    <d v="2025-07-03T12:37:25"/>
    <s v="Pakkalicio"/>
    <x v="603"/>
    <x v="118"/>
    <s v="Si"/>
    <s v="Inglés"/>
    <n v="7.9325000000000001"/>
    <n v="4"/>
    <n v="31.73"/>
    <x v="0"/>
    <m/>
    <x v="0"/>
  </r>
  <r>
    <n v="1219053120"/>
    <x v="11"/>
    <x v="1"/>
    <d v="2025-07-03T12:29:48"/>
    <s v="mundicomics"/>
    <x v="253"/>
    <x v="69"/>
    <s v="Si"/>
    <s v="Inglés"/>
    <n v="7.9824999999999999"/>
    <n v="4"/>
    <n v="31.93"/>
    <x v="0"/>
    <m/>
    <x v="0"/>
  </r>
  <r>
    <n v="1219048667"/>
    <x v="11"/>
    <x v="1"/>
    <d v="2025-07-03T12:28:12"/>
    <s v="TEMPEST-STORE"/>
    <x v="277"/>
    <x v="54"/>
    <s v="No"/>
    <s v="Japonés"/>
    <n v="9.1550000000000011"/>
    <n v="2"/>
    <n v="18.310000000000002"/>
    <x v="0"/>
    <m/>
    <x v="0"/>
  </r>
  <r>
    <n v="1219047398"/>
    <x v="11"/>
    <x v="1"/>
    <d v="2025-07-03T12:28:12"/>
    <s v="marconi"/>
    <x v="604"/>
    <x v="62"/>
    <s v="No"/>
    <s v="Inglés"/>
    <n v="16.329999999999998"/>
    <n v="1"/>
    <n v="16.329999999999998"/>
    <x v="0"/>
    <m/>
    <x v="0"/>
  </r>
  <r>
    <n v="1219047393"/>
    <x v="11"/>
    <x v="1"/>
    <d v="2025-07-03T12:28:12"/>
    <s v="yeicocalderon"/>
    <x v="604"/>
    <x v="62"/>
    <s v="No"/>
    <s v="Inglés"/>
    <n v="15.26"/>
    <n v="1"/>
    <n v="15.26"/>
    <x v="0"/>
    <m/>
    <x v="0"/>
  </r>
  <r>
    <n v="1219045366"/>
    <x v="11"/>
    <x v="1"/>
    <d v="2025-07-03T12:28:12"/>
    <s v="TesoroDragon"/>
    <x v="605"/>
    <x v="54"/>
    <s v="No"/>
    <s v="Inglés"/>
    <n v="8.1650000000000009"/>
    <n v="2"/>
    <n v="16.330000000000002"/>
    <x v="0"/>
    <m/>
    <x v="0"/>
  </r>
  <r>
    <n v="1219042917"/>
    <x v="11"/>
    <x v="1"/>
    <d v="2025-07-03T12:28:12"/>
    <s v="ManaVortex-POOL4YOU"/>
    <x v="606"/>
    <x v="203"/>
    <s v="No"/>
    <s v="Inglés"/>
    <n v="1.9688058642705131"/>
    <n v="1"/>
    <n v="1.9688058642705131"/>
    <x v="0"/>
    <m/>
    <x v="0"/>
  </r>
  <r>
    <n v="1219042917"/>
    <x v="11"/>
    <x v="1"/>
    <d v="2025-07-03T12:28:12"/>
    <s v="ManaVortex-POOL4YOU"/>
    <x v="607"/>
    <x v="51"/>
    <s v="Si"/>
    <s v="Inglés"/>
    <n v="0.25583353038543388"/>
    <n v="4"/>
    <n v="1.0233341215417355"/>
    <x v="0"/>
    <m/>
    <x v="0"/>
  </r>
  <r>
    <n v="1219042917"/>
    <x v="11"/>
    <x v="1"/>
    <d v="2025-07-03T12:28:12"/>
    <s v="ManaVortex-POOL4YOU"/>
    <x v="350"/>
    <x v="69"/>
    <s v="Si"/>
    <s v="Inglés"/>
    <n v="11.011965003546941"/>
    <n v="4"/>
    <n v="44.047860014187762"/>
    <x v="0"/>
    <m/>
    <x v="0"/>
  </r>
  <r>
    <n v="1219042809"/>
    <x v="11"/>
    <x v="1"/>
    <d v="2025-07-03T12:28:12"/>
    <s v="Dreamstcgcards"/>
    <x v="608"/>
    <x v="62"/>
    <s v="Si"/>
    <s v="Inglés"/>
    <n v="4.7825000000000006"/>
    <n v="4"/>
    <n v="19.130000000000003"/>
    <x v="0"/>
    <m/>
    <x v="0"/>
  </r>
  <r>
    <n v="1218844710"/>
    <x v="11"/>
    <x v="1"/>
    <d v="2025-07-02T06:47:04"/>
    <s v="chricosga"/>
    <x v="609"/>
    <x v="204"/>
    <s v="No"/>
    <s v="Inglés"/>
    <n v="1.1048952879581151"/>
    <n v="1"/>
    <n v="1.1048952879581151"/>
    <x v="0"/>
    <m/>
    <x v="0"/>
  </r>
  <r>
    <n v="1218844710"/>
    <x v="11"/>
    <x v="1"/>
    <d v="2025-07-02T06:47:04"/>
    <s v="chricosga"/>
    <x v="368"/>
    <x v="133"/>
    <s v="No"/>
    <s v="Inglés"/>
    <n v="3.8950349040139618"/>
    <n v="3"/>
    <n v="11.685104712041886"/>
    <x v="0"/>
    <m/>
    <x v="0"/>
  </r>
  <r>
    <n v="1218844466"/>
    <x v="11"/>
    <x v="1"/>
    <d v="2025-07-02T06:47:04"/>
    <s v="WolfMinight"/>
    <x v="610"/>
    <x v="68"/>
    <s v="Si"/>
    <s v="Inglés"/>
    <n v="0.78249999999999997"/>
    <n v="4"/>
    <n v="3.13"/>
    <x v="0"/>
    <m/>
    <x v="0"/>
  </r>
  <r>
    <n v="1218815371"/>
    <x v="11"/>
    <x v="1"/>
    <d v="2025-07-02T06:47:04"/>
    <s v="CalongeComics"/>
    <x v="611"/>
    <x v="24"/>
    <s v="No"/>
    <s v="Inglés"/>
    <n v="0.54"/>
    <n v="2"/>
    <n v="1.08"/>
    <x v="0"/>
    <m/>
    <x v="0"/>
  </r>
  <r>
    <n v="1218815371"/>
    <x v="11"/>
    <x v="1"/>
    <d v="2025-07-02T06:47:04"/>
    <s v="CalongeComics"/>
    <x v="612"/>
    <x v="54"/>
    <s v="No"/>
    <s v="Inglés"/>
    <n v="1.35"/>
    <n v="2"/>
    <n v="2.7"/>
    <x v="0"/>
    <m/>
    <x v="0"/>
  </r>
  <r>
    <n v="1218815371"/>
    <x v="11"/>
    <x v="1"/>
    <d v="2025-07-02T06:47:04"/>
    <s v="CalongeComics"/>
    <x v="613"/>
    <x v="24"/>
    <s v="Si"/>
    <s v="Inglés"/>
    <n v="0.40500000000000003"/>
    <n v="4"/>
    <n v="1.62"/>
    <x v="0"/>
    <m/>
    <x v="0"/>
  </r>
  <r>
    <n v="1218815371"/>
    <x v="11"/>
    <x v="1"/>
    <d v="2025-07-02T06:47:04"/>
    <s v="CalongeComics"/>
    <x v="614"/>
    <x v="173"/>
    <s v="Si"/>
    <s v="Inglés"/>
    <n v="0.13500000000000001"/>
    <n v="4"/>
    <n v="0.54"/>
    <x v="0"/>
    <m/>
    <x v="0"/>
  </r>
  <r>
    <n v="1218815371"/>
    <x v="11"/>
    <x v="1"/>
    <d v="2025-07-02T06:47:04"/>
    <s v="CalongeComics"/>
    <x v="615"/>
    <x v="24"/>
    <s v="Si"/>
    <s v="Inglés"/>
    <n v="0.20250000000000001"/>
    <n v="4"/>
    <n v="0.81"/>
    <x v="0"/>
    <m/>
    <x v="0"/>
  </r>
  <r>
    <n v="1218815371"/>
    <x v="11"/>
    <x v="1"/>
    <d v="2025-07-02T06:47:04"/>
    <s v="CalongeComics"/>
    <x v="616"/>
    <x v="51"/>
    <s v="No"/>
    <s v="Inglés"/>
    <n v="0.67500000000000004"/>
    <n v="2"/>
    <n v="1.35"/>
    <x v="0"/>
    <m/>
    <x v="0"/>
  </r>
  <r>
    <n v="1218815145"/>
    <x v="11"/>
    <x v="1"/>
    <d v="2025-07-02T06:47:04"/>
    <s v="Distritozero-Bilbao"/>
    <x v="617"/>
    <x v="51"/>
    <s v="No"/>
    <s v="Inglés"/>
    <n v="1.44"/>
    <n v="2"/>
    <n v="2.88"/>
    <x v="0"/>
    <m/>
    <x v="0"/>
  </r>
  <r>
    <n v="1218815145"/>
    <x v="11"/>
    <x v="1"/>
    <d v="2025-07-02T06:47:04"/>
    <s v="Distritozero-Bilbao"/>
    <x v="231"/>
    <x v="61"/>
    <s v="No"/>
    <s v="Inglés"/>
    <n v="0.5"/>
    <n v="1"/>
    <n v="0.5"/>
    <x v="0"/>
    <m/>
    <x v="0"/>
  </r>
  <r>
    <n v="1218815145"/>
    <x v="11"/>
    <x v="1"/>
    <d v="2025-07-02T06:47:04"/>
    <s v="Distritozero-Bilbao"/>
    <x v="231"/>
    <x v="61"/>
    <s v="No"/>
    <s v="Inglés"/>
    <n v="0.5"/>
    <n v="1"/>
    <n v="0.5"/>
    <x v="0"/>
    <m/>
    <x v="0"/>
  </r>
  <r>
    <n v="1218815145"/>
    <x v="11"/>
    <x v="1"/>
    <d v="2025-07-02T06:47:04"/>
    <s v="Distritozero-Bilbao"/>
    <x v="618"/>
    <x v="156"/>
    <s v="Si"/>
    <s v="Inglés"/>
    <n v="0.08"/>
    <n v="4"/>
    <n v="0.32"/>
    <x v="0"/>
    <m/>
    <x v="0"/>
  </r>
  <r>
    <n v="1218815145"/>
    <x v="11"/>
    <x v="1"/>
    <d v="2025-07-02T06:47:04"/>
    <s v="Distritozero-Bilbao"/>
    <x v="619"/>
    <x v="67"/>
    <s v="No"/>
    <s v="Inglés"/>
    <n v="0.05"/>
    <n v="2"/>
    <n v="0.1"/>
    <x v="0"/>
    <m/>
    <x v="0"/>
  </r>
  <r>
    <n v="1218815145"/>
    <x v="11"/>
    <x v="1"/>
    <d v="2025-07-02T06:47:04"/>
    <s v="Distritozero-Bilbao"/>
    <x v="620"/>
    <x v="133"/>
    <s v="Si"/>
    <s v="Inglés"/>
    <n v="0.05"/>
    <n v="4"/>
    <n v="0.2"/>
    <x v="0"/>
    <m/>
    <x v="0"/>
  </r>
  <r>
    <n v="1218815145"/>
    <x v="11"/>
    <x v="1"/>
    <d v="2025-07-02T06:47:04"/>
    <s v="Distritozero-Bilbao"/>
    <x v="621"/>
    <x v="156"/>
    <s v="No"/>
    <s v="Inglés"/>
    <n v="0.05"/>
    <n v="2"/>
    <n v="0.1"/>
    <x v="0"/>
    <m/>
    <x v="0"/>
  </r>
  <r>
    <n v="1218815145"/>
    <x v="11"/>
    <x v="1"/>
    <d v="2025-07-02T06:47:04"/>
    <s v="Distritozero-Bilbao"/>
    <x v="622"/>
    <x v="24"/>
    <s v="No"/>
    <s v="Inglés"/>
    <n v="0.5"/>
    <n v="2"/>
    <n v="1"/>
    <x v="0"/>
    <m/>
    <x v="0"/>
  </r>
  <r>
    <n v="1218815145"/>
    <x v="11"/>
    <x v="1"/>
    <d v="2025-07-02T06:47:04"/>
    <s v="Distritozero-Bilbao"/>
    <x v="623"/>
    <x v="156"/>
    <s v="Si"/>
    <s v="Inglés"/>
    <n v="0.19"/>
    <n v="4"/>
    <n v="0.76"/>
    <x v="0"/>
    <m/>
    <x v="0"/>
  </r>
  <r>
    <n v="1218815145"/>
    <x v="11"/>
    <x v="1"/>
    <d v="2025-07-02T06:47:04"/>
    <s v="Distritozero-Bilbao"/>
    <x v="231"/>
    <x v="61"/>
    <s v="No"/>
    <s v="Inglés"/>
    <n v="0.5"/>
    <n v="1"/>
    <n v="0.5"/>
    <x v="0"/>
    <m/>
    <x v="0"/>
  </r>
  <r>
    <n v="1218676014"/>
    <x v="11"/>
    <x v="1"/>
    <d v="2025-07-01T06:24:12"/>
    <s v="felipetrabajo"/>
    <x v="624"/>
    <x v="136"/>
    <s v="No"/>
    <s v="Español"/>
    <n v="3.83"/>
    <n v="1"/>
    <n v="3.83"/>
    <x v="0"/>
    <m/>
    <x v="0"/>
  </r>
  <r>
    <n v="1218675019"/>
    <x v="11"/>
    <x v="1"/>
    <d v="2025-07-01T06:24:12"/>
    <s v="Eurekagames"/>
    <x v="625"/>
    <x v="205"/>
    <s v="No"/>
    <s v="Inglés"/>
    <n v="6.9019607843137258"/>
    <n v="2"/>
    <n v="13.803921568627452"/>
    <x v="0"/>
    <m/>
    <x v="0"/>
  </r>
  <r>
    <n v="1218675019"/>
    <x v="11"/>
    <x v="1"/>
    <d v="2025-07-01T06:24:12"/>
    <s v="Eurekagames"/>
    <x v="626"/>
    <x v="206"/>
    <s v="No"/>
    <s v="Inglés"/>
    <n v="0.276078431372549"/>
    <n v="1"/>
    <n v="0.276078431372549"/>
    <x v="0"/>
    <m/>
    <x v="0"/>
  </r>
  <r>
    <n v="1218530330"/>
    <x v="0"/>
    <x v="1"/>
    <d v="2025-06-30T15:18:29"/>
    <s v="Distritozero-Bilbao"/>
    <x v="627"/>
    <x v="205"/>
    <s v="No"/>
    <s v="Inglés"/>
    <n v="1.17"/>
    <n v="1"/>
    <n v="1.17"/>
    <x v="0"/>
    <m/>
    <x v="0"/>
  </r>
  <r>
    <n v="1218530330"/>
    <x v="0"/>
    <x v="1"/>
    <d v="2025-06-30T15:18:29"/>
    <s v="Distritozero-Bilbao"/>
    <x v="625"/>
    <x v="205"/>
    <s v="No"/>
    <s v="Inglés"/>
    <n v="6.97"/>
    <n v="2"/>
    <n v="13.94"/>
    <x v="0"/>
    <m/>
    <x v="0"/>
  </r>
  <r>
    <n v="1216632811"/>
    <x v="0"/>
    <x v="1"/>
    <d v="2025-06-30T11:52:05"/>
    <s v="ncarbo"/>
    <x v="628"/>
    <x v="119"/>
    <s v="No"/>
    <s v="Japonés"/>
    <n v="0.28633578431372547"/>
    <n v="2"/>
    <n v="0.57267156862745094"/>
    <x v="1"/>
    <n v="0.57267156862745094"/>
    <x v="0"/>
  </r>
  <r>
    <n v="1216632811"/>
    <x v="0"/>
    <x v="1"/>
    <d v="2025-06-30T11:52:05"/>
    <s v="ncarbo"/>
    <x v="629"/>
    <x v="207"/>
    <s v="No"/>
    <s v="Inglés"/>
    <n v="0.57267156862745094"/>
    <n v="1"/>
    <n v="0.57267156862745094"/>
    <x v="1"/>
    <n v="0.57267156862745094"/>
    <x v="0"/>
  </r>
  <r>
    <n v="1218020364"/>
    <x v="0"/>
    <x v="1"/>
    <d v="2025-06-26T21:45:16"/>
    <s v="MachacaMTGA"/>
    <x v="630"/>
    <x v="118"/>
    <s v="No"/>
    <s v="Español"/>
    <n v="7.28"/>
    <n v="1"/>
    <n v="7.28"/>
    <x v="1"/>
    <n v="7.28"/>
    <x v="0"/>
  </r>
  <r>
    <n v="1217486033"/>
    <x v="0"/>
    <x v="1"/>
    <d v="2025-06-23T13:52:01"/>
    <s v="pegajusus"/>
    <x v="631"/>
    <x v="7"/>
    <s v="No"/>
    <s v="Inglés"/>
    <n v="7.1933333333333316"/>
    <n v="3"/>
    <n v="21.579999999999995"/>
    <x v="0"/>
    <m/>
    <x v="0"/>
  </r>
  <r>
    <n v="1217261413"/>
    <x v="0"/>
    <x v="1"/>
    <d v="2025-06-21T22:10:07"/>
    <s v="banyos"/>
    <x v="632"/>
    <x v="15"/>
    <s v="Si"/>
    <s v="Español"/>
    <n v="3.2825000000000002"/>
    <n v="4"/>
    <n v="13.13"/>
    <x v="1"/>
    <n v="13.13"/>
    <x v="0"/>
  </r>
  <r>
    <n v="1216737518"/>
    <x v="0"/>
    <x v="1"/>
    <d v="2025-06-18T20:42:21"/>
    <s v="Zortake"/>
    <x v="594"/>
    <x v="138"/>
    <s v="No"/>
    <s v="Inglés"/>
    <n v="87.93"/>
    <n v="1"/>
    <n v="87.93"/>
    <x v="0"/>
    <m/>
    <x v="0"/>
  </r>
  <r>
    <n v="1215806617"/>
    <x v="0"/>
    <x v="1"/>
    <d v="2025-06-18T09:21:16"/>
    <s v="shiar"/>
    <x v="633"/>
    <x v="208"/>
    <s v="No"/>
    <s v="Inglés"/>
    <n v="2.7666666666666671"/>
    <n v="3"/>
    <n v="8.3000000000000007"/>
    <x v="1"/>
    <n v="8.3000000000000007"/>
    <x v="0"/>
  </r>
  <r>
    <n v="1216632811"/>
    <x v="0"/>
    <x v="1"/>
    <d v="2025-06-17T18:23:03"/>
    <s v="ncarbo"/>
    <x v="634"/>
    <x v="73"/>
    <s v="Si"/>
    <s v="Japonés"/>
    <n v="3.8660864485981312"/>
    <n v="4"/>
    <n v="15.464345794392525"/>
    <x v="1"/>
    <n v="15.46434579439252"/>
    <x v="0"/>
  </r>
  <r>
    <n v="1215825924"/>
    <x v="0"/>
    <x v="1"/>
    <d v="2025-06-12T17:14:05"/>
    <s v="Itaca"/>
    <x v="635"/>
    <x v="138"/>
    <s v="No"/>
    <s v="Inglés"/>
    <n v="28.074999999999999"/>
    <n v="2"/>
    <n v="56.15"/>
    <x v="0"/>
    <m/>
    <x v="0"/>
  </r>
  <r>
    <n v="1215739166"/>
    <x v="0"/>
    <x v="1"/>
    <d v="2025-06-12T06:00:02"/>
    <s v="Metropolis-Center"/>
    <x v="636"/>
    <x v="173"/>
    <s v="Si"/>
    <s v="Inglés"/>
    <n v="4.5136656441717804"/>
    <n v="4"/>
    <n v="18.054662576687122"/>
    <x v="0"/>
    <m/>
    <x v="0"/>
  </r>
  <r>
    <n v="1215739166"/>
    <x v="0"/>
    <x v="1"/>
    <d v="2025-06-12T06:00:02"/>
    <s v="Metropolis-Center"/>
    <x v="637"/>
    <x v="173"/>
    <s v="Si"/>
    <s v="Inglés"/>
    <n v="0.55430981595092021"/>
    <n v="4"/>
    <n v="2.2172392638036809"/>
    <x v="0"/>
    <m/>
    <x v="0"/>
  </r>
  <r>
    <n v="1215739166"/>
    <x v="0"/>
    <x v="1"/>
    <d v="2025-06-12T06:00:02"/>
    <s v="Metropolis-Center"/>
    <x v="638"/>
    <x v="173"/>
    <s v="Si"/>
    <s v="Inglés"/>
    <n v="1.1199320771253289"/>
    <n v="4"/>
    <n v="4.4797283085013158"/>
    <x v="0"/>
    <m/>
    <x v="0"/>
  </r>
  <r>
    <n v="1215739166"/>
    <x v="0"/>
    <x v="1"/>
    <d v="2025-06-12T06:00:02"/>
    <s v="Metropolis-Center"/>
    <x v="639"/>
    <x v="75"/>
    <s v="Si"/>
    <s v="Inglés"/>
    <n v="6.7195924627519723"/>
    <n v="4"/>
    <n v="26.878369851007889"/>
    <x v="0"/>
    <m/>
    <x v="0"/>
  </r>
  <r>
    <n v="1215625358"/>
    <x v="0"/>
    <x v="1"/>
    <d v="2025-06-11T12:29:03"/>
    <s v="digito1981"/>
    <x v="640"/>
    <x v="47"/>
    <s v="No"/>
    <s v="Inglés"/>
    <n v="75.91"/>
    <n v="1"/>
    <n v="75.91"/>
    <x v="0"/>
    <m/>
    <x v="0"/>
  </r>
  <r>
    <n v="1215625346"/>
    <x v="0"/>
    <x v="1"/>
    <d v="2025-06-11T12:29:03"/>
    <s v="Eudinho"/>
    <x v="640"/>
    <x v="47"/>
    <s v="No"/>
    <s v="Inglés"/>
    <n v="70.930000000000007"/>
    <n v="1"/>
    <n v="70.930000000000007"/>
    <x v="0"/>
    <m/>
    <x v="0"/>
  </r>
  <r>
    <n v="1215579303"/>
    <x v="0"/>
    <x v="1"/>
    <d v="2025-06-11T12:29:03"/>
    <s v="CalongeComics"/>
    <x v="641"/>
    <x v="138"/>
    <s v="Si"/>
    <s v="Inglés"/>
    <n v="1.0825"/>
    <n v="4"/>
    <n v="4.33"/>
    <x v="0"/>
    <m/>
    <x v="0"/>
  </r>
  <r>
    <n v="1215578294"/>
    <x v="0"/>
    <x v="1"/>
    <d v="2025-06-11T12:29:03"/>
    <s v="JupiterMadridNorte"/>
    <x v="642"/>
    <x v="173"/>
    <s v="Si"/>
    <s v="Inglés"/>
    <n v="0.51538461538461544"/>
    <n v="4"/>
    <n v="2.0615384615384618"/>
    <x v="0"/>
    <m/>
    <x v="0"/>
  </r>
  <r>
    <n v="1215578294"/>
    <x v="0"/>
    <x v="1"/>
    <d v="2025-06-11T12:29:03"/>
    <s v="JupiterMadridNorte"/>
    <x v="643"/>
    <x v="173"/>
    <s v="Si"/>
    <s v="Inglés"/>
    <n v="0.95346153846153847"/>
    <n v="4"/>
    <n v="3.8138461538461539"/>
    <x v="0"/>
    <m/>
    <x v="0"/>
  </r>
  <r>
    <n v="1215578294"/>
    <x v="0"/>
    <x v="1"/>
    <d v="2025-06-11T12:29:03"/>
    <s v="JupiterMadridNorte"/>
    <x v="644"/>
    <x v="173"/>
    <s v="Si"/>
    <s v="Inglés"/>
    <n v="0.36076923076923079"/>
    <n v="4"/>
    <n v="1.4430769230769231"/>
    <x v="0"/>
    <m/>
    <x v="0"/>
  </r>
  <r>
    <n v="1215578294"/>
    <x v="0"/>
    <x v="1"/>
    <d v="2025-06-11T12:29:03"/>
    <s v="JupiterMadridNorte"/>
    <x v="645"/>
    <x v="173"/>
    <s v="Si"/>
    <s v="Inglés"/>
    <n v="0.25769230769230772"/>
    <n v="4"/>
    <n v="1.0307692307692309"/>
    <x v="0"/>
    <m/>
    <x v="0"/>
  </r>
  <r>
    <n v="1215578294"/>
    <x v="0"/>
    <x v="1"/>
    <d v="2025-06-11T12:29:03"/>
    <s v="JupiterMadridNorte"/>
    <x v="646"/>
    <x v="173"/>
    <s v="Si"/>
    <s v="Inglés"/>
    <n v="0.25769230769230772"/>
    <n v="4"/>
    <n v="1.0307692307692309"/>
    <x v="0"/>
    <m/>
    <x v="0"/>
  </r>
  <r>
    <s v="WA-20250611-02"/>
    <x v="0"/>
    <x v="1"/>
    <d v="2025-06-11T00:00:00"/>
    <s v="34683281207"/>
    <x v="302"/>
    <x v="158"/>
    <s v="No"/>
    <s v="Japonés"/>
    <n v="15"/>
    <n v="1"/>
    <n v="15"/>
    <x v="1"/>
    <n v="15"/>
    <x v="0"/>
  </r>
  <r>
    <s v="WA-20250611-01"/>
    <x v="0"/>
    <x v="1"/>
    <d v="2025-06-11T00:00:00"/>
    <s v="34676414055"/>
    <x v="647"/>
    <x v="36"/>
    <s v="Si"/>
    <s v="Japonés"/>
    <n v="1"/>
    <n v="4"/>
    <n v="4"/>
    <x v="1"/>
    <n v="4"/>
    <x v="0"/>
  </r>
  <r>
    <s v="WA-20250611-01"/>
    <x v="0"/>
    <x v="1"/>
    <d v="2025-06-11T00:00:00"/>
    <s v="34676414055"/>
    <x v="648"/>
    <x v="73"/>
    <s v="Si"/>
    <s v="Japonés"/>
    <n v="1.5"/>
    <n v="4"/>
    <n v="6"/>
    <x v="1"/>
    <n v="6"/>
    <x v="0"/>
  </r>
  <r>
    <n v="1215387351"/>
    <x v="0"/>
    <x v="1"/>
    <d v="2025-06-09T22:55:03"/>
    <s v="Martwalks"/>
    <x v="649"/>
    <x v="15"/>
    <s v="No"/>
    <s v="Japonés"/>
    <n v="17.28"/>
    <n v="1"/>
    <n v="17.28"/>
    <x v="1"/>
    <n v="17.28"/>
    <x v="0"/>
  </r>
  <r>
    <n v="1215184874"/>
    <x v="0"/>
    <x v="1"/>
    <d v="2025-06-09T07:30:52"/>
    <s v="Shark-Games"/>
    <x v="650"/>
    <x v="173"/>
    <s v="No"/>
    <s v="Inglés"/>
    <n v="1.165"/>
    <n v="2"/>
    <n v="2.33"/>
    <x v="0"/>
    <m/>
    <x v="0"/>
  </r>
  <r>
    <n v="1215183701"/>
    <x v="0"/>
    <x v="1"/>
    <d v="2025-06-09T07:30:52"/>
    <s v="TEMPEST-STORE"/>
    <x v="651"/>
    <x v="103"/>
    <s v="No"/>
    <s v="Inglés"/>
    <n v="17.67324573665082"/>
    <n v="2"/>
    <n v="35.34649147330164"/>
    <x v="0"/>
    <m/>
    <x v="0"/>
  </r>
  <r>
    <n v="1215183701"/>
    <x v="0"/>
    <x v="1"/>
    <d v="2025-06-09T07:30:52"/>
    <s v="TEMPEST-STORE"/>
    <x v="650"/>
    <x v="173"/>
    <s v="No"/>
    <s v="Inglés"/>
    <n v="0.58289069052278442"/>
    <n v="2"/>
    <n v="1.1657813810455688"/>
    <x v="0"/>
    <m/>
    <x v="0"/>
  </r>
  <r>
    <n v="1215183701"/>
    <x v="0"/>
    <x v="1"/>
    <d v="2025-06-09T07:30:52"/>
    <s v="TEMPEST-STORE"/>
    <x v="652"/>
    <x v="138"/>
    <s v="No"/>
    <s v="Inglés"/>
    <n v="5.187727145652782"/>
    <n v="1"/>
    <n v="5.187727145652782"/>
    <x v="0"/>
    <m/>
    <x v="0"/>
  </r>
  <r>
    <n v="1215026902"/>
    <x v="0"/>
    <x v="1"/>
    <d v="2025-06-07T20:09:45"/>
    <s v="valdrich8"/>
    <x v="594"/>
    <x v="138"/>
    <s v="No"/>
    <s v="Inglés"/>
    <n v="75.930000000000007"/>
    <n v="1"/>
    <n v="75.930000000000007"/>
    <x v="0"/>
    <m/>
    <x v="0"/>
  </r>
  <r>
    <n v="1214932427"/>
    <x v="0"/>
    <x v="1"/>
    <d v="2025-06-07T17:59:07"/>
    <s v="AlexStrachan"/>
    <x v="594"/>
    <x v="138"/>
    <s v="No"/>
    <s v="Inglés"/>
    <n v="75.930000000000007"/>
    <n v="1"/>
    <n v="75.930000000000007"/>
    <x v="0"/>
    <m/>
    <x v="0"/>
  </r>
  <r>
    <n v="1214667069"/>
    <x v="0"/>
    <x v="1"/>
    <d v="2025-06-05T11:17:38"/>
    <s v="ElGansitoCaiman"/>
    <x v="653"/>
    <x v="88"/>
    <s v="Si"/>
    <s v="Inglés"/>
    <n v="0.63418355855855857"/>
    <n v="4"/>
    <n v="2.5367342342342343"/>
    <x v="0"/>
    <m/>
    <x v="0"/>
  </r>
  <r>
    <n v="1214667069"/>
    <x v="0"/>
    <x v="1"/>
    <d v="2025-06-05T11:17:38"/>
    <s v="ElGansitoCaiman"/>
    <x v="654"/>
    <x v="159"/>
    <s v="Si"/>
    <s v="Japonés"/>
    <n v="4.1383164414414413"/>
    <n v="4"/>
    <n v="16.553265765765765"/>
    <x v="0"/>
    <m/>
    <x v="0"/>
  </r>
  <r>
    <n v="1214237000"/>
    <x v="0"/>
    <x v="1"/>
    <d v="2025-06-02T21:55:49"/>
    <s v="TiendaMulligan"/>
    <x v="655"/>
    <x v="6"/>
    <s v="No"/>
    <s v="Inglés"/>
    <n v="9.995000000000001"/>
    <n v="2"/>
    <n v="19.990000000000002"/>
    <x v="0"/>
    <m/>
    <x v="0"/>
  </r>
  <r>
    <n v="1214178445"/>
    <x v="0"/>
    <x v="1"/>
    <d v="2025-06-02T13:19:06"/>
    <s v="TEMPEST-STORE"/>
    <x v="656"/>
    <x v="126"/>
    <s v="Si"/>
    <s v="Japonés"/>
    <n v="8.688727326353046"/>
    <n v="4"/>
    <n v="34.754909305412184"/>
    <x v="0"/>
    <m/>
    <x v="0"/>
  </r>
  <r>
    <n v="1214178445"/>
    <x v="0"/>
    <x v="1"/>
    <d v="2025-06-02T13:19:06"/>
    <s v="TEMPEST-STORE"/>
    <x v="657"/>
    <x v="81"/>
    <s v="No"/>
    <s v="Inglés"/>
    <n v="12.99503023152927"/>
    <n v="3"/>
    <n v="38.985090694587811"/>
    <x v="0"/>
    <m/>
    <x v="0"/>
  </r>
  <r>
    <n v="1213661322"/>
    <x v="1"/>
    <x v="1"/>
    <d v="2025-05-29T19:29:11"/>
    <s v="Distritozero-Bilbao"/>
    <x v="658"/>
    <x v="103"/>
    <s v="Si"/>
    <s v="Inglés"/>
    <n v="0.5"/>
    <n v="4"/>
    <n v="2"/>
    <x v="0"/>
    <m/>
    <x v="0"/>
  </r>
  <r>
    <n v="1213661182"/>
    <x v="1"/>
    <x v="1"/>
    <d v="2025-05-29T19:29:11"/>
    <s v="rinconete8"/>
    <x v="293"/>
    <x v="88"/>
    <s v="Si"/>
    <s v="Inglés"/>
    <n v="4.0325000000000006"/>
    <n v="4"/>
    <n v="16.130000000000003"/>
    <x v="0"/>
    <m/>
    <x v="0"/>
  </r>
  <r>
    <n v="1213603268"/>
    <x v="1"/>
    <x v="1"/>
    <d v="2025-05-29T19:17:59"/>
    <s v="AdCardCollectibles"/>
    <x v="249"/>
    <x v="169"/>
    <s v="No"/>
    <s v="Japonés"/>
    <n v="4.13"/>
    <n v="1"/>
    <n v="4.13"/>
    <x v="0"/>
    <m/>
    <x v="0"/>
  </r>
  <r>
    <n v="1213603229"/>
    <x v="1"/>
    <x v="1"/>
    <d v="2025-05-29T19:17:59"/>
    <s v="Terantino028"/>
    <x v="249"/>
    <x v="169"/>
    <s v="No"/>
    <s v="Japonés"/>
    <n v="1.9433333333333329"/>
    <n v="3"/>
    <n v="5.8299999999999983"/>
    <x v="0"/>
    <m/>
    <x v="0"/>
  </r>
  <r>
    <n v="1213603056"/>
    <x v="1"/>
    <x v="1"/>
    <d v="2025-05-29T19:17:59"/>
    <s v="Charly84"/>
    <x v="659"/>
    <x v="147"/>
    <s v="No"/>
    <s v="Japonés"/>
    <n v="8.2800000000000011"/>
    <n v="1"/>
    <n v="8.2800000000000011"/>
    <x v="0"/>
    <m/>
    <x v="0"/>
  </r>
  <r>
    <n v="1213603046"/>
    <x v="1"/>
    <x v="1"/>
    <d v="2025-05-29T19:17:59"/>
    <s v="DUAL-GAMES"/>
    <x v="659"/>
    <x v="147"/>
    <s v="No"/>
    <s v="Japonés"/>
    <n v="7.3933333333333344"/>
    <n v="3"/>
    <n v="22.180000000000003"/>
    <x v="0"/>
    <m/>
    <x v="0"/>
  </r>
  <r>
    <n v="1213602454"/>
    <x v="1"/>
    <x v="1"/>
    <d v="2025-05-29T19:17:59"/>
    <s v="TEMPEST-STORE"/>
    <x v="660"/>
    <x v="111"/>
    <s v="Si"/>
    <s v="Japonés"/>
    <n v="4.8374462750716329"/>
    <n v="4"/>
    <n v="19.349785100286532"/>
    <x v="0"/>
    <m/>
    <x v="0"/>
  </r>
  <r>
    <n v="1213602454"/>
    <x v="1"/>
    <x v="1"/>
    <d v="2025-05-29T19:17:59"/>
    <s v="TEMPEST-STORE"/>
    <x v="661"/>
    <x v="30"/>
    <s v="Si"/>
    <s v="Japonés"/>
    <n v="3.625053724928367"/>
    <n v="4"/>
    <n v="14.500214899713468"/>
    <x v="0"/>
    <m/>
    <x v="0"/>
  </r>
  <r>
    <n v="1213602383"/>
    <x v="1"/>
    <x v="1"/>
    <d v="2025-05-29T19:17:59"/>
    <s v="AstoraComics"/>
    <x v="662"/>
    <x v="180"/>
    <s v="No"/>
    <s v="Inglés"/>
    <n v="1.166666666666667"/>
    <n v="1"/>
    <n v="1.166666666666667"/>
    <x v="0"/>
    <m/>
    <x v="0"/>
  </r>
  <r>
    <n v="1213602383"/>
    <x v="1"/>
    <x v="1"/>
    <d v="2025-05-29T19:17:59"/>
    <s v="AstoraComics"/>
    <x v="662"/>
    <x v="180"/>
    <s v="No"/>
    <s v="Inglés"/>
    <n v="1.166666666666667"/>
    <n v="2"/>
    <n v="2.3333333333333339"/>
    <x v="0"/>
    <m/>
    <x v="0"/>
  </r>
  <r>
    <n v="1213602383"/>
    <x v="1"/>
    <x v="1"/>
    <d v="2025-05-29T19:17:59"/>
    <s v="AstoraComics"/>
    <x v="285"/>
    <x v="42"/>
    <s v="No"/>
    <s v="Inglés"/>
    <n v="0.41666666666666669"/>
    <n v="3"/>
    <n v="1.25"/>
    <x v="0"/>
    <m/>
    <x v="0"/>
  </r>
  <r>
    <n v="1213602303"/>
    <x v="1"/>
    <x v="1"/>
    <d v="2025-05-29T19:17:59"/>
    <s v="Mazvigosl"/>
    <x v="663"/>
    <x v="37"/>
    <s v="Si"/>
    <s v="Inglés"/>
    <n v="1.5325"/>
    <n v="4"/>
    <n v="6.13"/>
    <x v="0"/>
    <m/>
    <x v="0"/>
  </r>
  <r>
    <n v="1213602114"/>
    <x v="1"/>
    <x v="1"/>
    <d v="2025-05-29T19:17:59"/>
    <s v="Moria05"/>
    <x v="664"/>
    <x v="6"/>
    <s v="Si"/>
    <s v="Inglés"/>
    <n v="0.4720306513409962"/>
    <n v="4"/>
    <n v="1.8881226053639848"/>
    <x v="0"/>
    <m/>
    <x v="0"/>
  </r>
  <r>
    <n v="1213602114"/>
    <x v="1"/>
    <x v="1"/>
    <d v="2025-05-29T19:17:59"/>
    <s v="Moria05"/>
    <x v="665"/>
    <x v="24"/>
    <s v="Si"/>
    <s v="Inglés"/>
    <n v="0.9440613026819924"/>
    <n v="4"/>
    <n v="3.7762452107279696"/>
    <x v="0"/>
    <m/>
    <x v="0"/>
  </r>
  <r>
    <n v="1213602114"/>
    <x v="1"/>
    <x v="1"/>
    <d v="2025-05-29T19:17:59"/>
    <s v="Moria05"/>
    <x v="666"/>
    <x v="108"/>
    <s v="No"/>
    <s v="Inglés"/>
    <n v="13.93563218390805"/>
    <n v="1"/>
    <n v="13.93563218390805"/>
    <x v="0"/>
    <m/>
    <x v="0"/>
  </r>
  <r>
    <n v="1213506976"/>
    <x v="1"/>
    <x v="1"/>
    <d v="2025-05-28T18:46:07"/>
    <s v="Helldemonium"/>
    <x v="649"/>
    <x v="15"/>
    <s v="No"/>
    <s v="Japonés"/>
    <n v="18.399999999999999"/>
    <n v="1"/>
    <n v="18.399999999999999"/>
    <x v="1"/>
    <n v="18.399999999999999"/>
    <x v="0"/>
  </r>
  <r>
    <n v="1213306033"/>
    <x v="1"/>
    <x v="1"/>
    <d v="2025-05-27T20:50:46"/>
    <s v="willybizarre"/>
    <x v="649"/>
    <x v="209"/>
    <s v="Si"/>
    <s v="Japonés"/>
    <n v="18.440694024478042"/>
    <n v="4"/>
    <n v="73.762776097912166"/>
    <x v="0"/>
    <m/>
    <x v="0"/>
  </r>
  <r>
    <n v="1213306033"/>
    <x v="1"/>
    <x v="1"/>
    <d v="2025-05-27T20:50:46"/>
    <s v="willybizarre"/>
    <x v="667"/>
    <x v="210"/>
    <s v="No"/>
    <s v="Inglés"/>
    <n v="1.617223902087833"/>
    <n v="1"/>
    <n v="1.617223902087833"/>
    <x v="0"/>
    <m/>
    <x v="0"/>
  </r>
  <r>
    <n v="1213285311"/>
    <x v="1"/>
    <x v="1"/>
    <d v="2025-05-27T12:23:05"/>
    <s v="Tasel"/>
    <x v="649"/>
    <x v="15"/>
    <s v="No"/>
    <s v="Japonés"/>
    <n v="17.28"/>
    <n v="1"/>
    <n v="17.28"/>
    <x v="1"/>
    <n v="17.28"/>
    <x v="0"/>
  </r>
  <r>
    <n v="1213092096"/>
    <x v="1"/>
    <x v="1"/>
    <d v="2025-05-25T22:52:02"/>
    <s v="Xobpa"/>
    <x v="649"/>
    <x v="15"/>
    <s v="No"/>
    <s v="Japonés"/>
    <n v="17.28"/>
    <n v="1"/>
    <n v="17.28"/>
    <x v="1"/>
    <n v="17.28"/>
    <x v="0"/>
  </r>
  <r>
    <n v="1211013934"/>
    <x v="1"/>
    <x v="1"/>
    <d v="2025-05-25T20:32:25"/>
    <s v="Exarfox"/>
    <x v="668"/>
    <x v="103"/>
    <s v="Si"/>
    <s v="Inglés"/>
    <n v="1.7324999999999999"/>
    <n v="4"/>
    <n v="6.93"/>
    <x v="1"/>
    <n v="6.93"/>
    <x v="0"/>
  </r>
  <r>
    <n v="1211690069"/>
    <x v="1"/>
    <x v="1"/>
    <d v="2025-05-21T16:45:50"/>
    <s v="suavejuanma"/>
    <x v="669"/>
    <x v="11"/>
    <s v="No"/>
    <s v="Inglés"/>
    <n v="1.0679573712255772"/>
    <n v="1"/>
    <n v="1.0679573712255772"/>
    <x v="1"/>
    <n v="1.0679573712255772"/>
    <x v="0"/>
  </r>
  <r>
    <n v="1211962734"/>
    <x v="1"/>
    <x v="1"/>
    <d v="2025-05-18T17:04:10"/>
    <s v="Ellyps"/>
    <x v="670"/>
    <x v="202"/>
    <s v="No"/>
    <s v="Inglés"/>
    <n v="7.3500000000000005"/>
    <n v="1"/>
    <n v="7.3500000000000005"/>
    <x v="1"/>
    <n v="7.3500000000000005"/>
    <x v="0"/>
  </r>
  <r>
    <n v="1211774266"/>
    <x v="1"/>
    <x v="1"/>
    <d v="2025-05-16T20:55:09"/>
    <s v="GENEX-SANTACASILDA"/>
    <x v="671"/>
    <x v="11"/>
    <s v="No"/>
    <s v="Inglés"/>
    <n v="13.370230094959821"/>
    <n v="1"/>
    <n v="13.370230094959821"/>
    <x v="0"/>
    <m/>
    <x v="0"/>
  </r>
  <r>
    <n v="1211774266"/>
    <x v="1"/>
    <x v="1"/>
    <d v="2025-05-16T20:55:09"/>
    <s v="GENEX-SANTACASILDA"/>
    <x v="672"/>
    <x v="11"/>
    <s v="No"/>
    <s v="Inglés"/>
    <n v="12.15364864864865"/>
    <n v="1"/>
    <n v="12.15364864864865"/>
    <x v="0"/>
    <m/>
    <x v="0"/>
  </r>
  <r>
    <n v="1211774266"/>
    <x v="1"/>
    <x v="1"/>
    <d v="2025-05-16T20:55:09"/>
    <s v="GENEX-SANTACASILDA"/>
    <x v="669"/>
    <x v="11"/>
    <s v="No"/>
    <s v="Inglés"/>
    <n v="7.7861212563915263"/>
    <n v="1"/>
    <n v="7.7861212563915263"/>
    <x v="0"/>
    <m/>
    <x v="0"/>
  </r>
  <r>
    <n v="1211773233"/>
    <x v="1"/>
    <x v="1"/>
    <d v="2025-05-16T20:55:09"/>
    <s v="beGotham"/>
    <x v="673"/>
    <x v="11"/>
    <s v="No"/>
    <s v="Inglés"/>
    <n v="19.829999999999998"/>
    <n v="1"/>
    <n v="19.829999999999998"/>
    <x v="0"/>
    <m/>
    <x v="0"/>
  </r>
  <r>
    <n v="1211773018"/>
    <x v="1"/>
    <x v="1"/>
    <d v="2025-05-16T20:55:09"/>
    <s v="Moria05"/>
    <x v="674"/>
    <x v="11"/>
    <s v="No"/>
    <s v="Inglés"/>
    <n v="6.4951278326554336"/>
    <n v="1"/>
    <n v="6.4951278326554336"/>
    <x v="0"/>
    <m/>
    <x v="0"/>
  </r>
  <r>
    <n v="1211773018"/>
    <x v="1"/>
    <x v="1"/>
    <d v="2025-05-16T20:55:09"/>
    <s v="Moria05"/>
    <x v="675"/>
    <x v="11"/>
    <s v="No"/>
    <s v="Inglés"/>
    <n v="19.528829169087739"/>
    <n v="1"/>
    <n v="19.528829169087739"/>
    <x v="0"/>
    <m/>
    <x v="0"/>
  </r>
  <r>
    <n v="1211773018"/>
    <x v="1"/>
    <x v="1"/>
    <d v="2025-05-16T20:55:09"/>
    <s v="Moria05"/>
    <x v="676"/>
    <x v="11"/>
    <s v="No"/>
    <s v="Inglés"/>
    <n v="14.09812027890761"/>
    <n v="1"/>
    <n v="14.09812027890761"/>
    <x v="0"/>
    <m/>
    <x v="0"/>
  </r>
  <r>
    <n v="1211773018"/>
    <x v="1"/>
    <x v="1"/>
    <d v="2025-05-16T20:55:09"/>
    <s v="Moria05"/>
    <x v="677"/>
    <x v="11"/>
    <s v="No"/>
    <s v="Inglés"/>
    <n v="13.01197850087159"/>
    <n v="1"/>
    <n v="13.01197850087159"/>
    <x v="0"/>
    <m/>
    <x v="0"/>
  </r>
  <r>
    <n v="1211773018"/>
    <x v="1"/>
    <x v="1"/>
    <d v="2025-05-16T20:55:09"/>
    <s v="Moria05"/>
    <x v="678"/>
    <x v="11"/>
    <s v="No"/>
    <s v="Inglés"/>
    <n v="17.313099941894251"/>
    <n v="1"/>
    <n v="17.313099941894251"/>
    <x v="0"/>
    <m/>
    <x v="0"/>
  </r>
  <r>
    <n v="1211773018"/>
    <x v="1"/>
    <x v="1"/>
    <d v="2025-05-16T20:55:09"/>
    <s v="Moria05"/>
    <x v="308"/>
    <x v="11"/>
    <s v="No"/>
    <s v="Inglés"/>
    <n v="4.3228442765833819"/>
    <n v="1"/>
    <n v="4.3228442765833819"/>
    <x v="0"/>
    <m/>
    <x v="0"/>
  </r>
  <r>
    <n v="1211757537"/>
    <x v="1"/>
    <x v="1"/>
    <d v="2025-05-16T18:57:45"/>
    <s v="yosy-gvng"/>
    <x v="679"/>
    <x v="211"/>
    <s v="No"/>
    <s v="Inglés"/>
    <n v="8.9810638297872334"/>
    <n v="1"/>
    <n v="8.9810638297872334"/>
    <x v="1"/>
    <n v="8.9810638297872334"/>
    <x v="0"/>
  </r>
  <r>
    <n v="1211757537"/>
    <x v="1"/>
    <x v="1"/>
    <d v="2025-05-16T18:56:08"/>
    <s v="yosy-gvng"/>
    <x v="32"/>
    <x v="42"/>
    <s v="No"/>
    <s v="Inglés"/>
    <n v="11.71365853658537"/>
    <n v="1"/>
    <n v="11.71365853658537"/>
    <x v="1"/>
    <n v="11.71365853658537"/>
    <x v="0"/>
  </r>
  <r>
    <n v="1211757537"/>
    <x v="1"/>
    <x v="1"/>
    <d v="2025-05-16T18:56:08"/>
    <s v="yosy-gvng"/>
    <x v="680"/>
    <x v="15"/>
    <s v="Si"/>
    <s v="Inglés"/>
    <n v="0.26621951219512202"/>
    <n v="4"/>
    <n v="1.0648780487804881"/>
    <x v="1"/>
    <n v="1.0648780487804881"/>
    <x v="0"/>
  </r>
  <r>
    <n v="1211690069"/>
    <x v="1"/>
    <x v="1"/>
    <d v="2025-05-16T10:20:10"/>
    <s v="suavejuanma"/>
    <x v="32"/>
    <x v="42"/>
    <s v="No"/>
    <s v="Español"/>
    <n v="12.891000592066311"/>
    <n v="1"/>
    <n v="12.891000592066311"/>
    <x v="1"/>
    <n v="12.891000592066311"/>
    <x v="0"/>
  </r>
  <r>
    <n v="1211690069"/>
    <x v="1"/>
    <x v="1"/>
    <d v="2025-05-16T10:20:10"/>
    <s v="suavejuanma"/>
    <x v="681"/>
    <x v="175"/>
    <s v="No"/>
    <s v="Chino-S"/>
    <n v="4.2610420367081119"/>
    <n v="1"/>
    <n v="4.2610420367081119"/>
    <x v="1"/>
    <n v="4.2610420367081119"/>
    <x v="0"/>
  </r>
  <r>
    <n v="1211370924"/>
    <x v="1"/>
    <x v="1"/>
    <d v="2025-05-14T19:15:54"/>
    <s v="Asgaroth-PL"/>
    <x v="390"/>
    <x v="88"/>
    <s v="No"/>
    <s v="Inglés"/>
    <n v="4.66"/>
    <n v="1"/>
    <n v="4.66"/>
    <x v="0"/>
    <m/>
    <x v="0"/>
  </r>
  <r>
    <n v="1211352216"/>
    <x v="1"/>
    <x v="1"/>
    <d v="2025-05-14T19:15:54"/>
    <s v="Mazvigosl"/>
    <x v="682"/>
    <x v="212"/>
    <s v="Si"/>
    <s v="Inglés"/>
    <n v="1.7825"/>
    <n v="4"/>
    <n v="7.13"/>
    <x v="0"/>
    <m/>
    <x v="0"/>
  </r>
  <r>
    <n v="1211187803"/>
    <x v="1"/>
    <x v="1"/>
    <d v="2025-05-13T07:42:24"/>
    <s v="sirca"/>
    <x v="683"/>
    <x v="203"/>
    <s v="No"/>
    <s v="Inglés"/>
    <n v="7.83"/>
    <n v="1"/>
    <n v="7.83"/>
    <x v="0"/>
    <m/>
    <x v="0"/>
  </r>
  <r>
    <n v="1211187793"/>
    <x v="1"/>
    <x v="1"/>
    <d v="2025-05-13T07:42:24"/>
    <s v="BasicLandsandBeyond"/>
    <x v="683"/>
    <x v="203"/>
    <s v="No"/>
    <s v="Inglés"/>
    <n v="7.31"/>
    <n v="1"/>
    <n v="7.31"/>
    <x v="0"/>
    <m/>
    <x v="0"/>
  </r>
  <r>
    <n v="1211187774"/>
    <x v="1"/>
    <x v="1"/>
    <d v="2025-05-13T07:42:24"/>
    <s v="sengvalk"/>
    <x v="683"/>
    <x v="203"/>
    <s v="No"/>
    <s v="Inglés"/>
    <n v="7.9649999999999999"/>
    <n v="2"/>
    <n v="15.93"/>
    <x v="0"/>
    <m/>
    <x v="0"/>
  </r>
  <r>
    <n v="1209191236"/>
    <x v="1"/>
    <x v="1"/>
    <d v="2025-05-12T12:02:21"/>
    <s v="pacofaco"/>
    <x v="684"/>
    <x v="15"/>
    <s v="Si"/>
    <s v="Inglés"/>
    <n v="1.2825"/>
    <n v="4"/>
    <n v="5.13"/>
    <x v="1"/>
    <n v="5.13"/>
    <x v="0"/>
  </r>
  <r>
    <n v="1210865447"/>
    <x v="1"/>
    <x v="1"/>
    <d v="2025-05-11T00:00:57"/>
    <s v="CardwalletEU"/>
    <x v="234"/>
    <x v="88"/>
    <s v="No"/>
    <s v="Inglés"/>
    <n v="0.51944954128440368"/>
    <n v="2"/>
    <n v="1.0388990825688074"/>
    <x v="0"/>
    <m/>
    <x v="0"/>
  </r>
  <r>
    <n v="1210865447"/>
    <x v="1"/>
    <x v="1"/>
    <d v="2025-05-11T00:00:57"/>
    <s v="CardwalletEU"/>
    <x v="390"/>
    <x v="88"/>
    <s v="No"/>
    <s v="Inglés"/>
    <n v="5.4405504587155962"/>
    <n v="2"/>
    <n v="10.881100917431192"/>
    <x v="0"/>
    <m/>
    <x v="0"/>
  </r>
  <r>
    <n v="1210865028"/>
    <x v="1"/>
    <x v="1"/>
    <d v="2025-05-11T00:00:57"/>
    <s v="Desmonio"/>
    <x v="685"/>
    <x v="169"/>
    <s v="No"/>
    <s v="Inglés"/>
    <n v="0.94333333333333336"/>
    <n v="1"/>
    <n v="0.94333333333333336"/>
    <x v="0"/>
    <m/>
    <x v="0"/>
  </r>
  <r>
    <n v="1210865028"/>
    <x v="1"/>
    <x v="1"/>
    <d v="2025-05-11T00:00:57"/>
    <s v="Desmonio"/>
    <x v="686"/>
    <x v="169"/>
    <s v="No"/>
    <s v="Inglés"/>
    <n v="1.8866666666666669"/>
    <n v="1"/>
    <n v="1.8866666666666669"/>
    <x v="0"/>
    <m/>
    <x v="0"/>
  </r>
  <r>
    <n v="1210865024"/>
    <x v="1"/>
    <x v="1"/>
    <d v="2025-05-11T00:00:57"/>
    <s v="TinGoldfish"/>
    <x v="686"/>
    <x v="169"/>
    <s v="No"/>
    <s v="Inglés"/>
    <n v="1.83"/>
    <n v="1"/>
    <n v="1.83"/>
    <x v="0"/>
    <m/>
    <x v="0"/>
  </r>
  <r>
    <n v="1210865021"/>
    <x v="1"/>
    <x v="1"/>
    <d v="2025-05-11T00:00:57"/>
    <s v="ElGansitoCaiman"/>
    <x v="686"/>
    <x v="169"/>
    <s v="No"/>
    <s v="Inglés"/>
    <n v="1.655"/>
    <n v="2"/>
    <n v="3.31"/>
    <x v="0"/>
    <m/>
    <x v="0"/>
  </r>
  <r>
    <n v="1210864771"/>
    <x v="1"/>
    <x v="1"/>
    <d v="2025-05-11T00:00:57"/>
    <s v="Teban"/>
    <x v="687"/>
    <x v="169"/>
    <s v="Si"/>
    <s v="Inglés"/>
    <n v="2.3224999999999998"/>
    <n v="4"/>
    <n v="9.2899999999999991"/>
    <x v="0"/>
    <m/>
    <x v="0"/>
  </r>
  <r>
    <n v="1210864766"/>
    <x v="1"/>
    <x v="1"/>
    <d v="2025-05-11T00:00:57"/>
    <s v="Palacios1994"/>
    <x v="685"/>
    <x v="169"/>
    <s v="No"/>
    <s v="Inglés"/>
    <n v="1.9022474032105761"/>
    <n v="3"/>
    <n v="5.7067422096317282"/>
    <x v="0"/>
    <m/>
    <x v="0"/>
  </r>
  <r>
    <n v="1210864766"/>
    <x v="1"/>
    <x v="1"/>
    <d v="2025-05-11T00:00:57"/>
    <s v="Palacios1994"/>
    <x v="375"/>
    <x v="32"/>
    <s v="Si"/>
    <s v="Inglés"/>
    <n v="0.77665722379603397"/>
    <n v="4"/>
    <n v="3.1066288951841359"/>
    <x v="0"/>
    <m/>
    <x v="0"/>
  </r>
  <r>
    <n v="1210864766"/>
    <x v="1"/>
    <x v="1"/>
    <d v="2025-05-11T00:00:57"/>
    <s v="Palacios1994"/>
    <x v="196"/>
    <x v="32"/>
    <s v="Si"/>
    <s v="Inglés"/>
    <n v="0.77665722379603397"/>
    <n v="4"/>
    <n v="3.1066288951841359"/>
    <x v="0"/>
    <m/>
    <x v="0"/>
  </r>
  <r>
    <n v="1210864749"/>
    <x v="1"/>
    <x v="1"/>
    <d v="2025-05-11T00:00:57"/>
    <s v="Dominaria"/>
    <x v="688"/>
    <x v="169"/>
    <s v="Si"/>
    <s v="Inglés"/>
    <n v="0.82250000000000001"/>
    <n v="4"/>
    <n v="3.29"/>
    <x v="0"/>
    <m/>
    <x v="0"/>
  </r>
  <r>
    <n v="1210864745"/>
    <x v="1"/>
    <x v="1"/>
    <d v="2025-05-11T00:00:57"/>
    <s v="Davenfrostgk"/>
    <x v="390"/>
    <x v="88"/>
    <s v="No"/>
    <s v="Inglés"/>
    <n v="2.82"/>
    <n v="1"/>
    <n v="2.82"/>
    <x v="0"/>
    <m/>
    <x v="0"/>
  </r>
  <r>
    <n v="1210863081"/>
    <x v="1"/>
    <x v="1"/>
    <d v="2025-05-11T00:00:57"/>
    <s v="willybizarre"/>
    <x v="689"/>
    <x v="88"/>
    <s v="Si"/>
    <s v="Inglés"/>
    <n v="1.137943820224719"/>
    <n v="4"/>
    <n v="4.5517752808988758"/>
    <x v="0"/>
    <m/>
    <x v="0"/>
  </r>
  <r>
    <n v="1210863081"/>
    <x v="1"/>
    <x v="1"/>
    <d v="2025-05-11T00:00:57"/>
    <s v="willybizarre"/>
    <x v="234"/>
    <x v="88"/>
    <s v="No"/>
    <s v="Inglés"/>
    <n v="1.7126629213483151"/>
    <n v="2"/>
    <n v="3.4253258426966302"/>
    <x v="0"/>
    <m/>
    <x v="0"/>
  </r>
  <r>
    <n v="1210863081"/>
    <x v="1"/>
    <x v="1"/>
    <d v="2025-05-11T00:00:57"/>
    <s v="willybizarre"/>
    <x v="690"/>
    <x v="8"/>
    <s v="Si"/>
    <s v="Inglés"/>
    <n v="0.56322471910112359"/>
    <n v="4"/>
    <n v="2.2528988764044944"/>
    <x v="0"/>
    <m/>
    <x v="0"/>
  </r>
  <r>
    <n v="1210825468"/>
    <x v="1"/>
    <x v="1"/>
    <d v="2025-05-10T19:38:43"/>
    <s v="ManaTrust"/>
    <x v="691"/>
    <x v="203"/>
    <s v="No"/>
    <s v="Inglés"/>
    <n v="0.47587268993839837"/>
    <n v="1"/>
    <n v="0.47587268993839837"/>
    <x v="0"/>
    <m/>
    <x v="0"/>
  </r>
  <r>
    <n v="1210825468"/>
    <x v="1"/>
    <x v="1"/>
    <d v="2025-05-10T19:38:43"/>
    <s v="ManaTrust"/>
    <x v="692"/>
    <x v="151"/>
    <s v="No"/>
    <s v="Inglés"/>
    <n v="12.637063655030801"/>
    <n v="2"/>
    <n v="25.274127310061601"/>
    <x v="0"/>
    <m/>
    <x v="0"/>
  </r>
  <r>
    <n v="1210630550"/>
    <x v="1"/>
    <x v="1"/>
    <d v="2025-05-09T15:16:06"/>
    <s v="Saitama-Sama"/>
    <x v="693"/>
    <x v="213"/>
    <s v="No"/>
    <s v="Inglés"/>
    <n v="10.28"/>
    <n v="1"/>
    <n v="10.28"/>
    <x v="1"/>
    <n v="10.28"/>
    <x v="0"/>
  </r>
  <r>
    <n v="1209926605"/>
    <x v="1"/>
    <x v="1"/>
    <d v="2025-05-05T16:40:44"/>
    <s v="Moria05"/>
    <x v="694"/>
    <x v="51"/>
    <s v="Si"/>
    <s v="Inglés"/>
    <n v="3.2725"/>
    <n v="4"/>
    <n v="13.09"/>
    <x v="0"/>
    <m/>
    <x v="0"/>
  </r>
  <r>
    <n v="1208194604"/>
    <x v="1"/>
    <x v="1"/>
    <d v="2025-05-05T11:38:13"/>
    <s v="Sh4nk"/>
    <x v="695"/>
    <x v="64"/>
    <s v="No"/>
    <s v="Inglés"/>
    <n v="7.28"/>
    <n v="1"/>
    <n v="7.28"/>
    <x v="1"/>
    <n v="7.28"/>
    <x v="0"/>
  </r>
  <r>
    <n v="1209644453"/>
    <x v="1"/>
    <x v="1"/>
    <d v="2025-05-03T16:05:41"/>
    <s v="Murdock93"/>
    <x v="696"/>
    <x v="46"/>
    <s v="Si"/>
    <s v="Japonés"/>
    <n v="1.3325"/>
    <n v="4"/>
    <n v="5.33"/>
    <x v="0"/>
    <m/>
    <x v="0"/>
  </r>
  <r>
    <n v="1209583219"/>
    <x v="1"/>
    <x v="1"/>
    <d v="2025-05-03T16:03:03"/>
    <s v="Moria05"/>
    <x v="697"/>
    <x v="203"/>
    <s v="No"/>
    <s v="Inglés"/>
    <n v="14.991610446137109"/>
    <n v="1"/>
    <n v="14.991610446137109"/>
    <x v="0"/>
    <m/>
    <x v="0"/>
  </r>
  <r>
    <n v="1209583219"/>
    <x v="1"/>
    <x v="1"/>
    <d v="2025-05-03T16:03:03"/>
    <s v="Moria05"/>
    <x v="698"/>
    <x v="24"/>
    <s v="Si"/>
    <s v="Inglés"/>
    <n v="0.52545701849836779"/>
    <n v="4"/>
    <n v="2.1018280739934712"/>
    <x v="0"/>
    <m/>
    <x v="0"/>
  </r>
  <r>
    <n v="1209583219"/>
    <x v="1"/>
    <x v="1"/>
    <d v="2025-05-03T16:03:03"/>
    <s v="Moria05"/>
    <x v="699"/>
    <x v="118"/>
    <s v="Si"/>
    <s v="Inglés"/>
    <n v="0.24664309031556039"/>
    <n v="4"/>
    <n v="0.98657236126224157"/>
    <x v="0"/>
    <m/>
    <x v="0"/>
  </r>
  <r>
    <n v="1209583219"/>
    <x v="1"/>
    <x v="1"/>
    <d v="2025-05-03T16:03:03"/>
    <s v="Moria05"/>
    <x v="700"/>
    <x v="205"/>
    <s v="No"/>
    <s v="Inglés"/>
    <n v="1.629989118607182"/>
    <n v="1"/>
    <n v="1.629989118607182"/>
    <x v="0"/>
    <m/>
    <x v="0"/>
  </r>
  <r>
    <n v="1209236015"/>
    <x v="1"/>
    <x v="1"/>
    <d v="2025-05-01T01:49:03"/>
    <s v="Edi-88"/>
    <x v="701"/>
    <x v="45"/>
    <s v="Si"/>
    <s v="Inglés"/>
    <n v="5.5625"/>
    <n v="4"/>
    <n v="22.25"/>
    <x v="1"/>
    <n v="22.25"/>
    <x v="0"/>
  </r>
  <r>
    <s v="WA-20250430-01"/>
    <x v="2"/>
    <x v="1"/>
    <d v="2025-04-30T00:00:00"/>
    <s v="Japón"/>
    <x v="702"/>
    <x v="92"/>
    <s v="No"/>
    <s v="Japonés"/>
    <n v="100"/>
    <n v="1"/>
    <n v="100"/>
    <x v="0"/>
    <m/>
    <x v="0"/>
  </r>
  <r>
    <s v="WA-20250430-01"/>
    <x v="2"/>
    <x v="1"/>
    <d v="2025-04-30T00:00:00"/>
    <s v="Japón"/>
    <x v="703"/>
    <x v="87"/>
    <s v="No"/>
    <s v="Japonés"/>
    <n v="30"/>
    <n v="1"/>
    <n v="30"/>
    <x v="0"/>
    <m/>
    <x v="0"/>
  </r>
  <r>
    <n v="1208850807"/>
    <x v="2"/>
    <x v="1"/>
    <d v="2025-04-28T21:38:09"/>
    <s v="DUAL-GAMES"/>
    <x v="704"/>
    <x v="86"/>
    <s v="No"/>
    <s v="Japonés"/>
    <n v="2.1642592592592589"/>
    <n v="1"/>
    <n v="2.1642592592592589"/>
    <x v="0"/>
    <m/>
    <x v="0"/>
  </r>
  <r>
    <n v="1208850807"/>
    <x v="2"/>
    <x v="1"/>
    <d v="2025-04-28T21:38:09"/>
    <s v="DUAL-GAMES"/>
    <x v="704"/>
    <x v="86"/>
    <s v="No"/>
    <s v="Japonés"/>
    <n v="1.8657407407407409"/>
    <n v="1"/>
    <n v="1.8657407407407409"/>
    <x v="0"/>
    <m/>
    <x v="0"/>
  </r>
  <r>
    <n v="1208850772"/>
    <x v="2"/>
    <x v="1"/>
    <d v="2025-04-28T21:38:09"/>
    <s v="Aramian"/>
    <x v="704"/>
    <x v="86"/>
    <s v="No"/>
    <s v="Japonés"/>
    <n v="2.1800000000000002"/>
    <n v="1"/>
    <n v="2.1800000000000002"/>
    <x v="0"/>
    <m/>
    <x v="0"/>
  </r>
  <r>
    <n v="1208850769"/>
    <x v="2"/>
    <x v="1"/>
    <d v="2025-04-28T21:38:09"/>
    <s v="akromix"/>
    <x v="704"/>
    <x v="86"/>
    <s v="No"/>
    <s v="Japonés"/>
    <n v="2.0699999999999998"/>
    <n v="1"/>
    <n v="2.0699999999999998"/>
    <x v="0"/>
    <m/>
    <x v="0"/>
  </r>
  <r>
    <n v="1208848274"/>
    <x v="2"/>
    <x v="1"/>
    <d v="2025-04-28T21:38:09"/>
    <s v="PAQUIU"/>
    <x v="705"/>
    <x v="11"/>
    <s v="Si"/>
    <s v="Inglés"/>
    <n v="1.5640734824281151"/>
    <n v="4"/>
    <n v="6.2562939297124602"/>
    <x v="0"/>
    <m/>
    <x v="0"/>
  </r>
  <r>
    <n v="1208848274"/>
    <x v="2"/>
    <x v="1"/>
    <d v="2025-04-28T21:38:09"/>
    <s v="PAQUIU"/>
    <x v="706"/>
    <x v="11"/>
    <s v="No"/>
    <s v="Inglés"/>
    <n v="0.66685303514377003"/>
    <n v="2"/>
    <n v="1.3337060702875401"/>
    <x v="0"/>
    <m/>
    <x v="0"/>
  </r>
  <r>
    <n v="1208867327"/>
    <x v="2"/>
    <x v="1"/>
    <d v="2025-04-28T20:42:11"/>
    <s v="tobinono"/>
    <x v="707"/>
    <x v="94"/>
    <s v="Si"/>
    <s v="Japonés"/>
    <n v="29.849999999999998"/>
    <n v="4"/>
    <n v="119.39999999999999"/>
    <x v="1"/>
    <n v="119.39999999999999"/>
    <x v="0"/>
  </r>
  <r>
    <n v="1207830871"/>
    <x v="2"/>
    <x v="1"/>
    <d v="2025-04-28T19:51:30"/>
    <s v="Resail"/>
    <x v="695"/>
    <x v="64"/>
    <s v="No"/>
    <s v="Inglés"/>
    <n v="1.4433333333333334"/>
    <n v="3"/>
    <n v="4.33"/>
    <x v="1"/>
    <n v="4.33"/>
    <x v="0"/>
  </r>
  <r>
    <n v="1208671570"/>
    <x v="2"/>
    <x v="1"/>
    <d v="2025-04-27T17:55:04"/>
    <s v="XEMYNATOR"/>
    <x v="708"/>
    <x v="169"/>
    <s v="No"/>
    <s v="Inglés"/>
    <n v="2.08"/>
    <n v="1"/>
    <n v="2.08"/>
    <x v="1"/>
    <n v="2.08"/>
    <x v="0"/>
  </r>
  <r>
    <n v="1208569533"/>
    <x v="2"/>
    <x v="1"/>
    <d v="2025-04-27T07:35:30"/>
    <s v="Ornhiju"/>
    <x v="709"/>
    <x v="203"/>
    <s v="No"/>
    <s v="Inglés"/>
    <n v="2.5933333333333328"/>
    <n v="3"/>
    <n v="7.7799999999999985"/>
    <x v="0"/>
    <m/>
    <x v="0"/>
  </r>
  <r>
    <n v="1208522671"/>
    <x v="2"/>
    <x v="1"/>
    <d v="2025-04-27T07:35:30"/>
    <s v="Mazvigosl"/>
    <x v="710"/>
    <x v="201"/>
    <s v="Si"/>
    <s v="Inglés"/>
    <n v="1.0825"/>
    <n v="4"/>
    <n v="4.33"/>
    <x v="0"/>
    <m/>
    <x v="0"/>
  </r>
  <r>
    <n v="1208359683"/>
    <x v="2"/>
    <x v="1"/>
    <d v="2025-04-25T18:31:12"/>
    <s v="kisamurai"/>
    <x v="711"/>
    <x v="56"/>
    <s v="No"/>
    <s v="Inglés"/>
    <n v="1.83"/>
    <n v="1"/>
    <n v="1.83"/>
    <x v="1"/>
    <n v="1.83"/>
    <x v="0"/>
  </r>
  <r>
    <n v="1208259330"/>
    <x v="2"/>
    <x v="1"/>
    <d v="2025-04-25T18:13:32"/>
    <s v="Mazvigosl"/>
    <x v="712"/>
    <x v="24"/>
    <s v="Si"/>
    <s v="Inglés"/>
    <n v="1.071489971346705"/>
    <n v="4"/>
    <n v="4.2859598853868199"/>
    <x v="0"/>
    <m/>
    <x v="0"/>
  </r>
  <r>
    <n v="1208259330"/>
    <x v="2"/>
    <x v="1"/>
    <d v="2025-04-25T18:13:32"/>
    <s v="Mazvigosl"/>
    <x v="713"/>
    <x v="24"/>
    <s v="No"/>
    <s v="Inglés"/>
    <n v="0.58336676217765038"/>
    <n v="2"/>
    <n v="1.1667335243553008"/>
    <x v="0"/>
    <m/>
    <x v="0"/>
  </r>
  <r>
    <n v="1208259330"/>
    <x v="2"/>
    <x v="1"/>
    <d v="2025-04-25T18:13:32"/>
    <s v="Mazvigosl"/>
    <x v="714"/>
    <x v="24"/>
    <s v="Si"/>
    <s v="Inglés"/>
    <n v="0.35716332378223492"/>
    <n v="4"/>
    <n v="1.4286532951289397"/>
    <x v="0"/>
    <m/>
    <x v="0"/>
  </r>
  <r>
    <n v="1208259330"/>
    <x v="2"/>
    <x v="1"/>
    <d v="2025-04-25T18:13:32"/>
    <s v="Mazvigosl"/>
    <x v="715"/>
    <x v="24"/>
    <s v="Si"/>
    <s v="Inglés"/>
    <n v="0.35716332378223492"/>
    <n v="4"/>
    <n v="1.4286532951289397"/>
    <x v="0"/>
    <m/>
    <x v="0"/>
  </r>
  <r>
    <n v="1207654644"/>
    <x v="2"/>
    <x v="1"/>
    <d v="2025-04-24T10:46:55"/>
    <s v="ElDuelistaStore"/>
    <x v="716"/>
    <x v="76"/>
    <s v="No"/>
    <s v="Inglés"/>
    <n v="6.28"/>
    <n v="1"/>
    <n v="6.28"/>
    <x v="1"/>
    <n v="6.28"/>
    <x v="0"/>
  </r>
  <r>
    <n v="1208128891"/>
    <x v="2"/>
    <x v="1"/>
    <d v="2025-04-24T10:17:52"/>
    <s v="XAntonioX24"/>
    <x v="251"/>
    <x v="214"/>
    <s v="No"/>
    <s v="Inglés"/>
    <n v="6.665"/>
    <n v="2"/>
    <n v="13.33"/>
    <x v="0"/>
    <m/>
    <x v="0"/>
  </r>
  <r>
    <n v="1208128457"/>
    <x v="2"/>
    <x v="1"/>
    <d v="2025-04-24T10:17:52"/>
    <s v="Pucewolf"/>
    <x v="717"/>
    <x v="62"/>
    <s v="No"/>
    <s v="Inglés"/>
    <n v="35.18"/>
    <n v="1"/>
    <n v="35.18"/>
    <x v="0"/>
    <m/>
    <x v="0"/>
  </r>
  <r>
    <n v="1208125479"/>
    <x v="2"/>
    <x v="1"/>
    <d v="2025-04-24T09:54:48"/>
    <s v="STRANGECOMICS"/>
    <x v="718"/>
    <x v="82"/>
    <s v="No"/>
    <s v="Inglés"/>
    <n v="33.739999999999988"/>
    <n v="2"/>
    <n v="67.479999999999976"/>
    <x v="0"/>
    <m/>
    <x v="0"/>
  </r>
  <r>
    <n v="1208093671"/>
    <x v="2"/>
    <x v="1"/>
    <d v="2025-04-24T05:01:13"/>
    <s v="mclenders"/>
    <x v="719"/>
    <x v="175"/>
    <s v="No"/>
    <s v="Inglés"/>
    <n v="7.33"/>
    <n v="1"/>
    <n v="7.33"/>
    <x v="0"/>
    <m/>
    <x v="0"/>
  </r>
  <r>
    <n v="1208017294"/>
    <x v="2"/>
    <x v="1"/>
    <d v="2025-04-23T16:34:54"/>
    <s v="willybizarre"/>
    <x v="221"/>
    <x v="55"/>
    <s v="No"/>
    <s v="Japonés"/>
    <n v="5.4333333333333336"/>
    <n v="3"/>
    <n v="16.3"/>
    <x v="0"/>
    <m/>
    <x v="0"/>
  </r>
  <r>
    <n v="1207689655"/>
    <x v="2"/>
    <x v="1"/>
    <d v="2025-04-21T19:12:18"/>
    <s v="AIRSPACE"/>
    <x v="720"/>
    <x v="113"/>
    <s v="Si"/>
    <s v="Japonés"/>
    <n v="2.8125"/>
    <n v="4"/>
    <n v="11.25"/>
    <x v="0"/>
    <m/>
    <x v="0"/>
  </r>
  <r>
    <n v="1207683216"/>
    <x v="2"/>
    <x v="1"/>
    <d v="2025-04-21T18:26:27"/>
    <s v="Keiken"/>
    <x v="721"/>
    <x v="68"/>
    <s v="No"/>
    <s v="Inglés"/>
    <n v="9.33"/>
    <n v="1"/>
    <n v="9.33"/>
    <x v="0"/>
    <m/>
    <x v="0"/>
  </r>
  <r>
    <n v="1207683186"/>
    <x v="2"/>
    <x v="1"/>
    <d v="2025-04-21T18:26:27"/>
    <s v="Nikkilol"/>
    <x v="721"/>
    <x v="68"/>
    <s v="No"/>
    <s v="Inglés"/>
    <n v="8.4433333333333334"/>
    <n v="3"/>
    <n v="25.33"/>
    <x v="0"/>
    <m/>
    <x v="0"/>
  </r>
  <r>
    <n v="1207580959"/>
    <x v="2"/>
    <x v="1"/>
    <d v="2025-04-21T10:48:24"/>
    <s v="DRAGONCT"/>
    <x v="722"/>
    <x v="45"/>
    <s v="Si"/>
    <s v="Japonés"/>
    <n v="0.47249999999999998"/>
    <n v="4"/>
    <n v="1.89"/>
    <x v="0"/>
    <m/>
    <x v="0"/>
  </r>
  <r>
    <n v="1207579453"/>
    <x v="2"/>
    <x v="1"/>
    <d v="2025-04-21T10:48:24"/>
    <s v="GuidoMagic"/>
    <x v="723"/>
    <x v="68"/>
    <s v="Si"/>
    <s v="Inglés"/>
    <n v="0.58250000000000002"/>
    <n v="4"/>
    <n v="2.33"/>
    <x v="0"/>
    <m/>
    <x v="0"/>
  </r>
  <r>
    <n v="1207462104"/>
    <x v="2"/>
    <x v="1"/>
    <d v="2025-04-20T12:01:22"/>
    <s v="willybizarre"/>
    <x v="316"/>
    <x v="88"/>
    <s v="No"/>
    <s v="Inglés"/>
    <n v="6.4340746934225201"/>
    <n v="2"/>
    <n v="12.86814938684504"/>
    <x v="0"/>
    <m/>
    <x v="0"/>
  </r>
  <r>
    <n v="1207462104"/>
    <x v="2"/>
    <x v="1"/>
    <d v="2025-04-20T12:01:22"/>
    <s v="willybizarre"/>
    <x v="724"/>
    <x v="88"/>
    <s v="Si"/>
    <s v="Inglés"/>
    <n v="1.60046265328874"/>
    <n v="4"/>
    <n v="6.4018506131549602"/>
    <x v="0"/>
    <m/>
    <x v="0"/>
  </r>
  <r>
    <n v="1207437403"/>
    <x v="2"/>
    <x v="1"/>
    <d v="2025-04-20T09:09:16"/>
    <s v="willybizarre"/>
    <x v="725"/>
    <x v="164"/>
    <s v="No"/>
    <s v="Japonés"/>
    <n v="20.954999999999998"/>
    <n v="2"/>
    <n v="41.91"/>
    <x v="0"/>
    <m/>
    <x v="0"/>
  </r>
  <r>
    <n v="1207430842"/>
    <x v="2"/>
    <x v="1"/>
    <d v="2025-04-20T07:13:08"/>
    <s v="vondurich"/>
    <x v="725"/>
    <x v="164"/>
    <s v="No"/>
    <s v="Japonés"/>
    <n v="8.33"/>
    <n v="1"/>
    <n v="8.33"/>
    <x v="0"/>
    <m/>
    <x v="0"/>
  </r>
  <r>
    <n v="1207430826"/>
    <x v="2"/>
    <x v="1"/>
    <d v="2025-04-20T07:13:08"/>
    <s v="GENEXCOMICS"/>
    <x v="726"/>
    <x v="32"/>
    <s v="Si"/>
    <s v="Inglés"/>
    <n v="0.63250000000000006"/>
    <n v="4"/>
    <n v="2.5300000000000002"/>
    <x v="0"/>
    <m/>
    <x v="0"/>
  </r>
  <r>
    <n v="1206762007"/>
    <x v="2"/>
    <x v="1"/>
    <d v="2025-04-16T00:32:13"/>
    <s v="NeverlandMTG"/>
    <x v="727"/>
    <x v="200"/>
    <s v="Si"/>
    <s v="Inglés"/>
    <n v="1.0825"/>
    <n v="4"/>
    <n v="4.33"/>
    <x v="0"/>
    <m/>
    <x v="0"/>
  </r>
  <r>
    <n v="1206761112"/>
    <x v="2"/>
    <x v="1"/>
    <d v="2025-04-16T00:32:13"/>
    <s v="Moria05"/>
    <x v="728"/>
    <x v="24"/>
    <s v="No"/>
    <s v="Inglés"/>
    <n v="2.1569329073482431"/>
    <n v="3"/>
    <n v="6.4707987220447292"/>
    <x v="0"/>
    <m/>
    <x v="0"/>
  </r>
  <r>
    <n v="1206761112"/>
    <x v="2"/>
    <x v="1"/>
    <d v="2025-04-16T00:32:13"/>
    <s v="Moria05"/>
    <x v="729"/>
    <x v="24"/>
    <s v="Si"/>
    <s v="Inglés"/>
    <n v="0.21124600638977639"/>
    <n v="4"/>
    <n v="0.84498402555910557"/>
    <x v="0"/>
    <m/>
    <x v="0"/>
  </r>
  <r>
    <n v="1206761112"/>
    <x v="2"/>
    <x v="1"/>
    <d v="2025-04-16T00:32:13"/>
    <s v="Moria05"/>
    <x v="730"/>
    <x v="24"/>
    <s v="Si"/>
    <s v="Inglés"/>
    <n v="0.25571884984025561"/>
    <n v="4"/>
    <n v="1.0228753993610225"/>
    <x v="0"/>
    <m/>
    <x v="0"/>
  </r>
  <r>
    <n v="1206761112"/>
    <x v="2"/>
    <x v="1"/>
    <d v="2025-04-16T00:32:13"/>
    <s v="Moria05"/>
    <x v="731"/>
    <x v="24"/>
    <s v="Si"/>
    <s v="Inglés"/>
    <n v="1.934568690095847"/>
    <n v="4"/>
    <n v="7.7382747603833879"/>
    <x v="0"/>
    <m/>
    <x v="0"/>
  </r>
  <r>
    <n v="1206761112"/>
    <x v="2"/>
    <x v="1"/>
    <d v="2025-04-16T00:32:13"/>
    <s v="Moria05"/>
    <x v="732"/>
    <x v="24"/>
    <s v="Si"/>
    <s v="Inglés"/>
    <n v="0.37801916932907348"/>
    <n v="4"/>
    <n v="1.5120766773162939"/>
    <x v="0"/>
    <m/>
    <x v="0"/>
  </r>
  <r>
    <n v="1206761112"/>
    <x v="2"/>
    <x v="1"/>
    <d v="2025-04-16T00:32:13"/>
    <s v="Moria05"/>
    <x v="733"/>
    <x v="24"/>
    <s v="Si"/>
    <s v="Inglés"/>
    <n v="0.8227476038338658"/>
    <n v="4"/>
    <n v="3.2909904153354632"/>
    <x v="0"/>
    <m/>
    <x v="0"/>
  </r>
  <r>
    <s v="HAR-01897873"/>
    <x v="2"/>
    <x v="1"/>
    <d v="2025-04-15T00:00:00"/>
    <s v="Hareruya"/>
    <x v="734"/>
    <x v="215"/>
    <s v="No"/>
    <s v="Japonés"/>
    <n v="24.54545454545455"/>
    <n v="2"/>
    <n v="49.090909090909101"/>
    <x v="0"/>
    <m/>
    <x v="0"/>
  </r>
  <r>
    <s v="HAR-01897873"/>
    <x v="2"/>
    <x v="1"/>
    <d v="2025-04-15T00:00:00"/>
    <s v="Hareruya"/>
    <x v="734"/>
    <x v="215"/>
    <s v="No"/>
    <s v="Japonés"/>
    <n v="22.09090909090909"/>
    <n v="1"/>
    <n v="22.09090909090909"/>
    <x v="0"/>
    <m/>
    <x v="0"/>
  </r>
  <r>
    <s v="HAR-01896576"/>
    <x v="2"/>
    <x v="1"/>
    <d v="2025-04-14T00:00:00"/>
    <s v="Hareruya"/>
    <x v="735"/>
    <x v="7"/>
    <s v="No"/>
    <s v="Japonés"/>
    <n v="3.2727272727272729"/>
    <n v="2"/>
    <n v="6.5454545454545459"/>
    <x v="0"/>
    <m/>
    <x v="0"/>
  </r>
  <r>
    <n v="1206370849"/>
    <x v="2"/>
    <x v="1"/>
    <d v="2025-04-13T23:05:27"/>
    <s v="MolaxMTG"/>
    <x v="736"/>
    <x v="32"/>
    <s v="Si"/>
    <s v="Inglés"/>
    <n v="2.5825"/>
    <n v="4"/>
    <n v="10.33"/>
    <x v="0"/>
    <m/>
    <x v="0"/>
  </r>
  <r>
    <n v="1206370752"/>
    <x v="2"/>
    <x v="1"/>
    <d v="2025-04-13T23:05:27"/>
    <s v="FREAK-CORP"/>
    <x v="737"/>
    <x v="32"/>
    <s v="Si"/>
    <s v="Inglés"/>
    <n v="1.7725"/>
    <n v="4"/>
    <n v="7.09"/>
    <x v="0"/>
    <m/>
    <x v="0"/>
  </r>
  <r>
    <n v="1206370248"/>
    <x v="2"/>
    <x v="1"/>
    <d v="2025-04-13T23:02:49"/>
    <s v="Alfalfa"/>
    <x v="713"/>
    <x v="24"/>
    <s v="No"/>
    <s v="Inglés"/>
    <n v="0.31765486725663722"/>
    <n v="2"/>
    <n v="0.63530973451327444"/>
    <x v="0"/>
    <m/>
    <x v="0"/>
  </r>
  <r>
    <n v="1206370248"/>
    <x v="2"/>
    <x v="1"/>
    <d v="2025-04-13T23:02:49"/>
    <s v="Alfalfa"/>
    <x v="338"/>
    <x v="118"/>
    <s v="No"/>
    <s v="Inglés"/>
    <n v="11.647345132743361"/>
    <n v="2"/>
    <n v="23.294690265486722"/>
    <x v="0"/>
    <m/>
    <x v="0"/>
  </r>
  <r>
    <n v="1206370243"/>
    <x v="2"/>
    <x v="1"/>
    <d v="2025-04-13T23:02:49"/>
    <s v="Golgaritroll"/>
    <x v="338"/>
    <x v="118"/>
    <s v="No"/>
    <s v="Inglés"/>
    <n v="11.664999999999999"/>
    <n v="2"/>
    <n v="23.33"/>
    <x v="0"/>
    <m/>
    <x v="0"/>
  </r>
  <r>
    <n v="1206225580"/>
    <x v="2"/>
    <x v="1"/>
    <d v="2025-04-13T01:10:47"/>
    <s v="AtlasTCG"/>
    <x v="738"/>
    <x v="24"/>
    <s v="No"/>
    <s v="Inglés"/>
    <n v="12.515000000000001"/>
    <n v="2"/>
    <n v="25.03"/>
    <x v="0"/>
    <m/>
    <x v="0"/>
  </r>
  <r>
    <n v="1206225558"/>
    <x v="2"/>
    <x v="1"/>
    <d v="2025-04-13T01:10:47"/>
    <s v="marconi"/>
    <x v="739"/>
    <x v="24"/>
    <s v="No"/>
    <s v="Inglés"/>
    <n v="14.33"/>
    <n v="1"/>
    <n v="14.33"/>
    <x v="0"/>
    <m/>
    <x v="0"/>
  </r>
  <r>
    <n v="1206225438"/>
    <x v="2"/>
    <x v="1"/>
    <d v="2025-04-13T01:10:47"/>
    <s v="tanete87"/>
    <x v="739"/>
    <x v="24"/>
    <s v="No"/>
    <s v="Inglés"/>
    <n v="14.243387096774191"/>
    <n v="3"/>
    <n v="42.73016129032257"/>
    <x v="0"/>
    <m/>
    <x v="0"/>
  </r>
  <r>
    <n v="1206225438"/>
    <x v="2"/>
    <x v="1"/>
    <d v="2025-04-13T01:10:47"/>
    <s v="tanete87"/>
    <x v="738"/>
    <x v="24"/>
    <s v="No"/>
    <s v="Inglés"/>
    <n v="12.599919354838709"/>
    <n v="2"/>
    <n v="25.199838709677419"/>
    <x v="0"/>
    <m/>
    <x v="0"/>
  </r>
  <r>
    <s v="HAR-01895167"/>
    <x v="2"/>
    <x v="1"/>
    <d v="2025-04-13T00:00:00"/>
    <s v="Hareruya"/>
    <x v="740"/>
    <x v="88"/>
    <s v="Si"/>
    <s v="Japonés"/>
    <n v="0.27272727272727282"/>
    <n v="4"/>
    <n v="1.0909090909090913"/>
    <x v="0"/>
    <m/>
    <x v="0"/>
  </r>
  <r>
    <s v="HAR-01895167"/>
    <x v="2"/>
    <x v="1"/>
    <d v="2025-04-13T00:00:00"/>
    <s v="Hareruya"/>
    <x v="741"/>
    <x v="30"/>
    <s v="Si"/>
    <s v="Japonés"/>
    <n v="1.0909090909090911"/>
    <n v="4"/>
    <n v="4.3636363636363642"/>
    <x v="0"/>
    <m/>
    <x v="0"/>
  </r>
  <r>
    <s v="HAR-01895068"/>
    <x v="2"/>
    <x v="1"/>
    <d v="2025-04-13T00:00:00"/>
    <s v="Hareruya"/>
    <x v="742"/>
    <x v="203"/>
    <s v="Si"/>
    <s v="Japonés"/>
    <n v="6.5454545454545459"/>
    <n v="4"/>
    <n v="26.181818181818183"/>
    <x v="0"/>
    <m/>
    <x v="0"/>
  </r>
  <r>
    <s v="HAR-01895068"/>
    <x v="2"/>
    <x v="1"/>
    <d v="2025-04-13T00:00:00"/>
    <s v="Hareruya"/>
    <x v="743"/>
    <x v="159"/>
    <s v="Si"/>
    <s v="Japonés"/>
    <n v="74.181818181818187"/>
    <n v="4"/>
    <n v="296.72727272727275"/>
    <x v="0"/>
    <m/>
    <x v="0"/>
  </r>
  <r>
    <s v="HAR-01893499"/>
    <x v="2"/>
    <x v="1"/>
    <d v="2025-04-12T00:00:00"/>
    <s v="Hareruya"/>
    <x v="744"/>
    <x v="60"/>
    <s v="Si"/>
    <s v="Japonés"/>
    <n v="8.1818181818181817"/>
    <n v="4"/>
    <n v="32.727272727272727"/>
    <x v="0"/>
    <m/>
    <x v="0"/>
  </r>
  <r>
    <s v="HAR-01893499"/>
    <x v="2"/>
    <x v="1"/>
    <d v="2025-04-12T00:00:00"/>
    <s v="Hareruya"/>
    <x v="680"/>
    <x v="60"/>
    <s v="Si"/>
    <s v="Inglés"/>
    <n v="5.454545454545455"/>
    <n v="4"/>
    <n v="21.81818181818182"/>
    <x v="0"/>
    <m/>
    <x v="0"/>
  </r>
  <r>
    <s v="HAR-01893499"/>
    <x v="2"/>
    <x v="1"/>
    <d v="2025-04-12T00:00:00"/>
    <s v="Hareruya"/>
    <x v="386"/>
    <x v="216"/>
    <s v="Si"/>
    <s v="Japonés"/>
    <n v="0.81818181818181823"/>
    <n v="6"/>
    <n v="4.9090909090909092"/>
    <x v="0"/>
    <m/>
    <x v="0"/>
  </r>
  <r>
    <s v="HAR-01893219"/>
    <x v="2"/>
    <x v="1"/>
    <d v="2025-04-12T00:00:00"/>
    <s v="Hareruya"/>
    <x v="316"/>
    <x v="88"/>
    <s v="No"/>
    <s v="Japonés"/>
    <n v="2.1818181818181821"/>
    <n v="1"/>
    <n v="2.1818181818181821"/>
    <x v="0"/>
    <m/>
    <x v="0"/>
  </r>
  <r>
    <s v="HAR-01892317"/>
    <x v="2"/>
    <x v="1"/>
    <d v="2025-04-11T00:00:00"/>
    <s v="Hareruya"/>
    <x v="745"/>
    <x v="177"/>
    <s v="No"/>
    <s v="Japonés"/>
    <n v="9.8181818181818183"/>
    <n v="3"/>
    <n v="29.454545454545453"/>
    <x v="0"/>
    <m/>
    <x v="0"/>
  </r>
  <r>
    <s v="HAR-01892317"/>
    <x v="2"/>
    <x v="1"/>
    <d v="2025-04-11T00:00:00"/>
    <s v="Hareruya"/>
    <x v="342"/>
    <x v="88"/>
    <s v="Si"/>
    <s v="Japonés"/>
    <n v="1.0909090909090911"/>
    <n v="5"/>
    <n v="5.454545454545455"/>
    <x v="0"/>
    <m/>
    <x v="0"/>
  </r>
  <r>
    <s v="HAR-01892317"/>
    <x v="2"/>
    <x v="1"/>
    <d v="2025-04-11T00:00:00"/>
    <s v="Hareruya"/>
    <x v="746"/>
    <x v="60"/>
    <s v="No"/>
    <s v="Japonés"/>
    <n v="0.81818181818181823"/>
    <n v="2"/>
    <n v="1.6363636363636365"/>
    <x v="0"/>
    <m/>
    <x v="0"/>
  </r>
  <r>
    <s v="HAR-01892317"/>
    <x v="2"/>
    <x v="1"/>
    <d v="2025-04-11T00:00:00"/>
    <s v="Hareruya"/>
    <x v="747"/>
    <x v="60"/>
    <s v="No"/>
    <s v="Japonés"/>
    <n v="3.2727272727272729"/>
    <n v="1"/>
    <n v="3.2727272727272729"/>
    <x v="0"/>
    <m/>
    <x v="0"/>
  </r>
  <r>
    <s v="HAR-01892317"/>
    <x v="2"/>
    <x v="1"/>
    <d v="2025-04-11T00:00:00"/>
    <s v="Hareruya"/>
    <x v="748"/>
    <x v="180"/>
    <s v="No"/>
    <s v="Japonés"/>
    <n v="2.727272727272728"/>
    <n v="3"/>
    <n v="8.1818181818181834"/>
    <x v="0"/>
    <m/>
    <x v="0"/>
  </r>
  <r>
    <s v="HAR-01892317"/>
    <x v="2"/>
    <x v="1"/>
    <d v="2025-04-11T00:00:00"/>
    <s v="Hareruya"/>
    <x v="749"/>
    <x v="217"/>
    <s v="Si"/>
    <s v="Japonés"/>
    <n v="6.5454545454545459"/>
    <n v="4"/>
    <n v="26.181818181818183"/>
    <x v="0"/>
    <m/>
    <x v="0"/>
  </r>
  <r>
    <s v="HAR-01892317"/>
    <x v="2"/>
    <x v="1"/>
    <d v="2025-04-11T00:00:00"/>
    <s v="Hareruya"/>
    <x v="306"/>
    <x v="217"/>
    <s v="Si"/>
    <s v="Japonés"/>
    <n v="16.36363636363636"/>
    <n v="4"/>
    <n v="65.454545454545439"/>
    <x v="0"/>
    <m/>
    <x v="0"/>
  </r>
  <r>
    <s v="HAR-01892317"/>
    <x v="2"/>
    <x v="1"/>
    <d v="2025-04-11T00:00:00"/>
    <s v="Hareruya"/>
    <x v="750"/>
    <x v="36"/>
    <s v="No"/>
    <s v="Japonés"/>
    <n v="17.345454545454551"/>
    <n v="1"/>
    <n v="17.345454545454551"/>
    <x v="0"/>
    <m/>
    <x v="0"/>
  </r>
  <r>
    <s v="HAR-01892317"/>
    <x v="2"/>
    <x v="1"/>
    <d v="2025-04-11T00:00:00"/>
    <s v="Hareruya"/>
    <x v="751"/>
    <x v="156"/>
    <s v="Si"/>
    <s v="Japonés"/>
    <n v="1.0909090909090911"/>
    <n v="4"/>
    <n v="4.3636363636363642"/>
    <x v="0"/>
    <m/>
    <x v="0"/>
  </r>
  <r>
    <s v="HAR-01892317"/>
    <x v="2"/>
    <x v="1"/>
    <d v="2025-04-11T00:00:00"/>
    <s v="Hareruya"/>
    <x v="752"/>
    <x v="124"/>
    <s v="Si"/>
    <s v="Japonés"/>
    <n v="13.36363636363637"/>
    <n v="4"/>
    <n v="53.454545454545482"/>
    <x v="0"/>
    <m/>
    <x v="0"/>
  </r>
  <r>
    <s v="HAR-01892317"/>
    <x v="2"/>
    <x v="1"/>
    <d v="2025-04-11T00:00:00"/>
    <s v="Hareruya"/>
    <x v="753"/>
    <x v="139"/>
    <s v="No"/>
    <s v="Japonés"/>
    <n v="2.1818181818181821"/>
    <n v="1"/>
    <n v="2.1818181818181821"/>
    <x v="0"/>
    <m/>
    <x v="0"/>
  </r>
  <r>
    <s v="HAR-01892317"/>
    <x v="2"/>
    <x v="1"/>
    <d v="2025-04-11T00:00:00"/>
    <s v="Hareruya"/>
    <x v="547"/>
    <x v="180"/>
    <s v="No"/>
    <s v="Japonés"/>
    <n v="13.63636363636364"/>
    <n v="2"/>
    <n v="27.27272727272728"/>
    <x v="0"/>
    <m/>
    <x v="0"/>
  </r>
  <r>
    <s v="HAR-01892317"/>
    <x v="2"/>
    <x v="1"/>
    <d v="2025-04-11T00:00:00"/>
    <s v="Hareruya"/>
    <x v="754"/>
    <x v="88"/>
    <s v="No"/>
    <s v="Japonés"/>
    <n v="1.636363636363636"/>
    <n v="2"/>
    <n v="3.272727272727272"/>
    <x v="0"/>
    <m/>
    <x v="0"/>
  </r>
  <r>
    <n v="1205717316"/>
    <x v="2"/>
    <x v="1"/>
    <d v="2025-04-10T02:11:46"/>
    <s v="Bezzo88"/>
    <x v="755"/>
    <x v="218"/>
    <s v="No"/>
    <s v="Japonés"/>
    <n v="8.4464285714285712"/>
    <n v="2"/>
    <n v="16.892857142857142"/>
    <x v="0"/>
    <m/>
    <x v="0"/>
  </r>
  <r>
    <n v="1205717316"/>
    <x v="2"/>
    <x v="1"/>
    <d v="2025-04-10T02:11:46"/>
    <s v="Bezzo88"/>
    <x v="568"/>
    <x v="186"/>
    <s v="Si"/>
    <s v="Japonés"/>
    <n v="1.6892857142857141"/>
    <n v="4"/>
    <n v="6.7571428571428562"/>
    <x v="0"/>
    <m/>
    <x v="0"/>
  </r>
  <r>
    <s v="HAR-01891720"/>
    <x v="2"/>
    <x v="1"/>
    <d v="2025-04-10T00:00:00"/>
    <s v="Hareruya"/>
    <x v="756"/>
    <x v="92"/>
    <s v="No"/>
    <s v="Japonés"/>
    <n v="27.27272727272727"/>
    <n v="2"/>
    <n v="54.54545454545454"/>
    <x v="0"/>
    <m/>
    <x v="0"/>
  </r>
  <r>
    <s v="HAR-01891606"/>
    <x v="2"/>
    <x v="1"/>
    <d v="2025-04-10T00:00:00"/>
    <s v="Hareruya"/>
    <x v="735"/>
    <x v="7"/>
    <s v="No"/>
    <s v="Japonés"/>
    <n v="3.2727272727272729"/>
    <n v="1"/>
    <n v="3.2727272727272729"/>
    <x v="0"/>
    <m/>
    <x v="0"/>
  </r>
  <r>
    <s v="HAR-01891606"/>
    <x v="2"/>
    <x v="1"/>
    <d v="2025-04-10T00:00:00"/>
    <s v="Hareruya"/>
    <x v="757"/>
    <x v="22"/>
    <s v="Si"/>
    <s v="Japonés"/>
    <n v="1.0909090909090911"/>
    <n v="4"/>
    <n v="4.3636363636363642"/>
    <x v="0"/>
    <m/>
    <x v="0"/>
  </r>
  <r>
    <s v="HAR-01891606"/>
    <x v="2"/>
    <x v="1"/>
    <d v="2025-04-10T00:00:00"/>
    <s v="Hareruya"/>
    <x v="758"/>
    <x v="219"/>
    <s v="No"/>
    <s v="Japonés"/>
    <n v="3.2727272727272729"/>
    <n v="3"/>
    <n v="9.8181818181818183"/>
    <x v="0"/>
    <m/>
    <x v="0"/>
  </r>
  <r>
    <s v="HAR-01891552"/>
    <x v="2"/>
    <x v="1"/>
    <d v="2025-04-10T00:00:00"/>
    <s v="Hareruya"/>
    <x v="759"/>
    <x v="203"/>
    <s v="No"/>
    <s v="Japonés"/>
    <n v="65.454545454545453"/>
    <n v="1"/>
    <n v="65.454545454545453"/>
    <x v="0"/>
    <m/>
    <x v="0"/>
  </r>
  <r>
    <s v="HAR-01891552"/>
    <x v="2"/>
    <x v="1"/>
    <d v="2025-04-10T00:00:00"/>
    <s v="Hareruya"/>
    <x v="760"/>
    <x v="220"/>
    <s v="No"/>
    <s v="Japonés"/>
    <n v="2.1818181818181821"/>
    <n v="1"/>
    <n v="2.1818181818181821"/>
    <x v="0"/>
    <m/>
    <x v="0"/>
  </r>
  <r>
    <s v="HAR-01891394"/>
    <x v="2"/>
    <x v="1"/>
    <d v="2025-04-10T00:00:00"/>
    <s v="Hareruya"/>
    <x v="316"/>
    <x v="88"/>
    <s v="No"/>
    <s v="Japonés"/>
    <n v="2.1818181818181821"/>
    <n v="1"/>
    <n v="2.1818181818181821"/>
    <x v="0"/>
    <m/>
    <x v="0"/>
  </r>
  <r>
    <s v="HAR-01891330"/>
    <x v="2"/>
    <x v="1"/>
    <d v="2025-04-10T00:00:00"/>
    <s v="Hareruya"/>
    <x v="761"/>
    <x v="86"/>
    <s v="No"/>
    <s v="Japonés"/>
    <n v="5.454545454545455"/>
    <n v="3"/>
    <n v="16.363636363636367"/>
    <x v="0"/>
    <m/>
    <x v="0"/>
  </r>
  <r>
    <s v="HAR-01890647"/>
    <x v="2"/>
    <x v="1"/>
    <d v="2025-04-09T00:00:00"/>
    <s v="Hareruya"/>
    <x v="707"/>
    <x v="94"/>
    <s v="No"/>
    <s v="Japonés"/>
    <n v="13.963636363636359"/>
    <n v="3"/>
    <n v="41.890909090909076"/>
    <x v="0"/>
    <m/>
    <x v="0"/>
  </r>
  <r>
    <s v="HAR-01890175"/>
    <x v="2"/>
    <x v="1"/>
    <d v="2025-04-09T00:00:00"/>
    <s v="Hareruya"/>
    <x v="707"/>
    <x v="94"/>
    <s v="No"/>
    <s v="Japonés"/>
    <n v="13.036363636363641"/>
    <n v="1"/>
    <n v="13.036363636363641"/>
    <x v="0"/>
    <m/>
    <x v="0"/>
  </r>
  <r>
    <s v="HAR-01890175"/>
    <x v="2"/>
    <x v="1"/>
    <d v="2025-04-09T00:00:00"/>
    <s v="Hareruya"/>
    <x v="762"/>
    <x v="94"/>
    <s v="Si"/>
    <s v="Japonés"/>
    <n v="0.98181818181818192"/>
    <n v="4"/>
    <n v="3.9272727272727277"/>
    <x v="0"/>
    <m/>
    <x v="0"/>
  </r>
  <r>
    <s v="HAR-01890043"/>
    <x v="2"/>
    <x v="1"/>
    <d v="2025-04-09T00:00:00"/>
    <s v="Hareruya"/>
    <x v="648"/>
    <x v="73"/>
    <s v="Si"/>
    <s v="Japonés"/>
    <n v="0.54545454545454553"/>
    <n v="4"/>
    <n v="2.1818181818181821"/>
    <x v="0"/>
    <m/>
    <x v="0"/>
  </r>
  <r>
    <s v="HAR-01890043"/>
    <x v="2"/>
    <x v="1"/>
    <d v="2025-04-09T00:00:00"/>
    <s v="Hareruya"/>
    <x v="515"/>
    <x v="186"/>
    <s v="No"/>
    <s v="Japonés"/>
    <n v="26.72727272727273"/>
    <n v="2"/>
    <n v="53.45454545454546"/>
    <x v="0"/>
    <m/>
    <x v="0"/>
  </r>
  <r>
    <s v="HAR-01890043"/>
    <x v="2"/>
    <x v="1"/>
    <d v="2025-04-09T00:00:00"/>
    <s v="Hareruya"/>
    <x v="470"/>
    <x v="55"/>
    <s v="No"/>
    <s v="Japonés"/>
    <n v="10.90909090909091"/>
    <n v="2"/>
    <n v="21.81818181818182"/>
    <x v="0"/>
    <m/>
    <x v="0"/>
  </r>
  <r>
    <s v="HAR-01890043"/>
    <x v="2"/>
    <x v="1"/>
    <d v="2025-04-09T00:00:00"/>
    <s v="Hareruya"/>
    <x v="634"/>
    <x v="73"/>
    <s v="No"/>
    <s v="Japonés"/>
    <n v="8.1818181818181817"/>
    <n v="1"/>
    <n v="8.1818181818181817"/>
    <x v="0"/>
    <m/>
    <x v="0"/>
  </r>
  <r>
    <s v="HAR-01890043"/>
    <x v="2"/>
    <x v="1"/>
    <d v="2025-04-09T00:00:00"/>
    <s v="Hareruya"/>
    <x v="763"/>
    <x v="73"/>
    <s v="No"/>
    <s v="Japonés"/>
    <n v="8.7272727272727284"/>
    <n v="2"/>
    <n v="17.454545454545457"/>
    <x v="0"/>
    <m/>
    <x v="0"/>
  </r>
  <r>
    <s v="HAR-01890043"/>
    <x v="2"/>
    <x v="1"/>
    <d v="2025-04-09T00:00:00"/>
    <s v="Hareruya"/>
    <x v="763"/>
    <x v="73"/>
    <s v="No"/>
    <s v="Japonés"/>
    <n v="10.90909090909091"/>
    <n v="2"/>
    <n v="21.81818181818182"/>
    <x v="0"/>
    <m/>
    <x v="0"/>
  </r>
  <r>
    <s v="HAR-01890043"/>
    <x v="2"/>
    <x v="1"/>
    <d v="2025-04-09T00:00:00"/>
    <s v="Hareruya"/>
    <x v="647"/>
    <x v="36"/>
    <s v="Si"/>
    <s v="Japonés"/>
    <n v="0.54545454545454553"/>
    <n v="4"/>
    <n v="2.1818181818181821"/>
    <x v="0"/>
    <m/>
    <x v="0"/>
  </r>
  <r>
    <s v="HAR-01890043"/>
    <x v="2"/>
    <x v="1"/>
    <d v="2025-04-09T00:00:00"/>
    <s v="Hareruya"/>
    <x v="764"/>
    <x v="86"/>
    <s v="No"/>
    <s v="Japonés"/>
    <n v="1.0909090909090911"/>
    <n v="2"/>
    <n v="2.1818181818181821"/>
    <x v="0"/>
    <m/>
    <x v="0"/>
  </r>
  <r>
    <s v="HAR-01890043"/>
    <x v="2"/>
    <x v="1"/>
    <d v="2025-04-09T00:00:00"/>
    <s v="Hareruya"/>
    <x v="765"/>
    <x v="120"/>
    <s v="No"/>
    <s v="Japonés"/>
    <n v="6.5454545454545459"/>
    <n v="2"/>
    <n v="13.090909090909092"/>
    <x v="0"/>
    <m/>
    <x v="0"/>
  </r>
  <r>
    <s v="HAR-01890043"/>
    <x v="2"/>
    <x v="1"/>
    <d v="2025-04-09T00:00:00"/>
    <s v="Hareruya"/>
    <x v="766"/>
    <x v="94"/>
    <s v="No"/>
    <s v="Japonés"/>
    <n v="1.0909090909090911"/>
    <n v="2"/>
    <n v="2.1818181818181821"/>
    <x v="0"/>
    <m/>
    <x v="0"/>
  </r>
  <r>
    <s v="HAR-01890043"/>
    <x v="2"/>
    <x v="1"/>
    <d v="2025-04-09T00:00:00"/>
    <s v="Hareruya"/>
    <x v="767"/>
    <x v="147"/>
    <s v="No"/>
    <s v="Japonés"/>
    <n v="1.0909090909090911"/>
    <n v="1"/>
    <n v="1.0909090909090911"/>
    <x v="0"/>
    <m/>
    <x v="0"/>
  </r>
  <r>
    <s v="HAR-01890043"/>
    <x v="2"/>
    <x v="1"/>
    <d v="2025-04-09T00:00:00"/>
    <s v="Hareruya"/>
    <x v="597"/>
    <x v="30"/>
    <s v="Si"/>
    <s v="Japonés"/>
    <n v="4.3636363636363642"/>
    <n v="4"/>
    <n v="17.454545454545457"/>
    <x v="0"/>
    <m/>
    <x v="0"/>
  </r>
  <r>
    <s v="HAR-01890043"/>
    <x v="2"/>
    <x v="1"/>
    <d v="2025-04-09T00:00:00"/>
    <s v="Hareruya"/>
    <x v="768"/>
    <x v="218"/>
    <s v="No"/>
    <s v="Japonés"/>
    <n v="1.636363636363636"/>
    <n v="1"/>
    <n v="1.636363636363636"/>
    <x v="0"/>
    <m/>
    <x v="0"/>
  </r>
  <r>
    <s v="HAR-01890043"/>
    <x v="2"/>
    <x v="1"/>
    <d v="2025-04-09T00:00:00"/>
    <s v="Hareruya"/>
    <x v="769"/>
    <x v="158"/>
    <s v="No"/>
    <s v="Japonés"/>
    <n v="2.1818181818181821"/>
    <n v="1"/>
    <n v="2.1818181818181821"/>
    <x v="0"/>
    <m/>
    <x v="0"/>
  </r>
  <r>
    <s v="HAR-01889002"/>
    <x v="2"/>
    <x v="1"/>
    <d v="2025-04-08T00:00:00"/>
    <s v="Hareruya"/>
    <x v="770"/>
    <x v="60"/>
    <s v="Si"/>
    <s v="Japonés"/>
    <n v="2.1818181818181821"/>
    <n v="4"/>
    <n v="8.7272727272727284"/>
    <x v="0"/>
    <m/>
    <x v="0"/>
  </r>
  <r>
    <s v="HAR-01889002"/>
    <x v="2"/>
    <x v="1"/>
    <d v="2025-04-08T00:00:00"/>
    <s v="Hareruya"/>
    <x v="771"/>
    <x v="60"/>
    <s v="No"/>
    <s v="Japonés"/>
    <n v="1.0909090909090911"/>
    <n v="1"/>
    <n v="1.0909090909090911"/>
    <x v="0"/>
    <m/>
    <x v="0"/>
  </r>
  <r>
    <s v="HAR-01889002"/>
    <x v="2"/>
    <x v="1"/>
    <d v="2025-04-08T00:00:00"/>
    <s v="Hareruya"/>
    <x v="772"/>
    <x v="60"/>
    <s v="No"/>
    <s v="Japonés"/>
    <n v="1.0909090909090911"/>
    <n v="1"/>
    <n v="1.0909090909090911"/>
    <x v="0"/>
    <m/>
    <x v="0"/>
  </r>
  <r>
    <s v="HAR-01889002"/>
    <x v="2"/>
    <x v="1"/>
    <d v="2025-04-08T00:00:00"/>
    <s v="Hareruya"/>
    <x v="773"/>
    <x v="60"/>
    <s v="No"/>
    <s v="Japonés"/>
    <n v="0.81818181818181823"/>
    <n v="2"/>
    <n v="1.6363636363636365"/>
    <x v="0"/>
    <m/>
    <x v="0"/>
  </r>
  <r>
    <s v="HAR-01889002"/>
    <x v="2"/>
    <x v="1"/>
    <d v="2025-04-08T00:00:00"/>
    <s v="Hareruya"/>
    <x v="774"/>
    <x v="60"/>
    <s v="Si"/>
    <s v="Japonés"/>
    <n v="1.5272727272727269"/>
    <n v="4"/>
    <n v="6.1090909090909076"/>
    <x v="0"/>
    <m/>
    <x v="0"/>
  </r>
  <r>
    <s v="HAR-01889002"/>
    <x v="2"/>
    <x v="1"/>
    <d v="2025-04-08T00:00:00"/>
    <s v="Hareruya"/>
    <x v="775"/>
    <x v="60"/>
    <s v="Si"/>
    <s v="Japonés"/>
    <n v="0.27272727272727282"/>
    <n v="4"/>
    <n v="1.0909090909090913"/>
    <x v="0"/>
    <m/>
    <x v="0"/>
  </r>
  <r>
    <s v="HAR-01889002"/>
    <x v="2"/>
    <x v="1"/>
    <d v="2025-04-08T00:00:00"/>
    <s v="Hareruya"/>
    <x v="776"/>
    <x v="60"/>
    <s v="No"/>
    <s v="Japonés"/>
    <n v="1.0909090909090911"/>
    <n v="1"/>
    <n v="1.0909090909090911"/>
    <x v="0"/>
    <m/>
    <x v="0"/>
  </r>
  <r>
    <s v="HAR-01889002"/>
    <x v="2"/>
    <x v="1"/>
    <d v="2025-04-08T00:00:00"/>
    <s v="Hareruya"/>
    <x v="777"/>
    <x v="60"/>
    <s v="No"/>
    <s v="Japonés"/>
    <n v="2.1818181818181821"/>
    <n v="1"/>
    <n v="2.1818181818181821"/>
    <x v="0"/>
    <m/>
    <x v="0"/>
  </r>
  <r>
    <s v="HAR-01889002"/>
    <x v="2"/>
    <x v="1"/>
    <d v="2025-04-08T00:00:00"/>
    <s v="Hareruya"/>
    <x v="778"/>
    <x v="60"/>
    <s v="No"/>
    <s v="Japonés"/>
    <n v="6.5454545454545459"/>
    <n v="1"/>
    <n v="6.5454545454545459"/>
    <x v="0"/>
    <m/>
    <x v="0"/>
  </r>
  <r>
    <s v="HAR-01889002"/>
    <x v="2"/>
    <x v="1"/>
    <d v="2025-04-08T00:00:00"/>
    <s v="Hareruya"/>
    <x v="754"/>
    <x v="88"/>
    <s v="No"/>
    <s v="Japonés"/>
    <n v="1.636363636363636"/>
    <n v="1"/>
    <n v="1.636363636363636"/>
    <x v="0"/>
    <m/>
    <x v="0"/>
  </r>
  <r>
    <s v="HAR-01889002"/>
    <x v="2"/>
    <x v="1"/>
    <d v="2025-04-08T00:00:00"/>
    <s v="Hareruya"/>
    <x v="779"/>
    <x v="221"/>
    <s v="No"/>
    <s v="Japonés"/>
    <n v="3.2727272727272729"/>
    <n v="1"/>
    <n v="3.2727272727272729"/>
    <x v="0"/>
    <m/>
    <x v="0"/>
  </r>
  <r>
    <s v="HAR-01889002"/>
    <x v="2"/>
    <x v="1"/>
    <d v="2025-04-08T00:00:00"/>
    <s v="Hareruya"/>
    <x v="780"/>
    <x v="221"/>
    <s v="No"/>
    <s v="Japonés"/>
    <n v="3.2727272727272729"/>
    <n v="3"/>
    <n v="9.8181818181818183"/>
    <x v="0"/>
    <m/>
    <x v="0"/>
  </r>
  <r>
    <s v="HAR-01889002"/>
    <x v="2"/>
    <x v="1"/>
    <d v="2025-04-08T00:00:00"/>
    <s v="Hareruya"/>
    <x v="781"/>
    <x v="221"/>
    <s v="No"/>
    <s v="Japonés"/>
    <n v="3.2727272727272729"/>
    <n v="1"/>
    <n v="3.2727272727272729"/>
    <x v="0"/>
    <m/>
    <x v="0"/>
  </r>
  <r>
    <s v="HAR-01889002"/>
    <x v="2"/>
    <x v="1"/>
    <d v="2025-04-08T00:00:00"/>
    <s v="Hareruya"/>
    <x v="782"/>
    <x v="221"/>
    <s v="No"/>
    <s v="Japonés"/>
    <n v="3.2727272727272729"/>
    <n v="1"/>
    <n v="3.2727272727272729"/>
    <x v="0"/>
    <m/>
    <x v="0"/>
  </r>
  <r>
    <s v="HAR-01889002"/>
    <x v="2"/>
    <x v="1"/>
    <d v="2025-04-08T00:00:00"/>
    <s v="Hareruya"/>
    <x v="783"/>
    <x v="221"/>
    <s v="No"/>
    <s v="Japonés"/>
    <n v="3.2727272727272729"/>
    <n v="1"/>
    <n v="3.2727272727272729"/>
    <x v="0"/>
    <m/>
    <x v="0"/>
  </r>
  <r>
    <s v="HAR-01889002"/>
    <x v="2"/>
    <x v="1"/>
    <d v="2025-04-08T00:00:00"/>
    <s v="Hareruya"/>
    <x v="784"/>
    <x v="221"/>
    <s v="No"/>
    <s v="Japonés"/>
    <n v="3.2727272727272729"/>
    <n v="1"/>
    <n v="3.2727272727272729"/>
    <x v="0"/>
    <m/>
    <x v="0"/>
  </r>
  <r>
    <s v="HAR-01889002"/>
    <x v="2"/>
    <x v="1"/>
    <d v="2025-04-08T00:00:00"/>
    <s v="Hareruya"/>
    <x v="785"/>
    <x v="221"/>
    <s v="No"/>
    <s v="Japonés"/>
    <n v="3.2727272727272729"/>
    <n v="1"/>
    <n v="3.2727272727272729"/>
    <x v="0"/>
    <m/>
    <x v="0"/>
  </r>
  <r>
    <s v="HAR-01889002"/>
    <x v="2"/>
    <x v="1"/>
    <d v="2025-04-08T00:00:00"/>
    <s v="Hareruya"/>
    <x v="786"/>
    <x v="221"/>
    <s v="No"/>
    <s v="Japonés"/>
    <n v="3.2727272727272729"/>
    <n v="1"/>
    <n v="3.2727272727272729"/>
    <x v="0"/>
    <m/>
    <x v="0"/>
  </r>
  <r>
    <s v="HAR-01889002"/>
    <x v="2"/>
    <x v="1"/>
    <d v="2025-04-08T00:00:00"/>
    <s v="Hareruya"/>
    <x v="787"/>
    <x v="221"/>
    <s v="No"/>
    <s v="Japonés"/>
    <n v="10.90909090909091"/>
    <n v="1"/>
    <n v="10.90909090909091"/>
    <x v="0"/>
    <m/>
    <x v="0"/>
  </r>
  <r>
    <s v="HAR-01889002"/>
    <x v="2"/>
    <x v="1"/>
    <d v="2025-04-08T00:00:00"/>
    <s v="Hareruya"/>
    <x v="788"/>
    <x v="221"/>
    <s v="Si"/>
    <s v="Japonés"/>
    <n v="0.98181818181818192"/>
    <n v="10"/>
    <n v="9.8181818181818201"/>
    <x v="0"/>
    <m/>
    <x v="0"/>
  </r>
  <r>
    <s v="HAR-01889002"/>
    <x v="2"/>
    <x v="1"/>
    <d v="2025-04-08T00:00:00"/>
    <s v="Hareruya"/>
    <x v="789"/>
    <x v="7"/>
    <s v="Si"/>
    <s v="Japonés"/>
    <n v="1.636363636363636"/>
    <n v="4"/>
    <n v="6.5454545454545441"/>
    <x v="0"/>
    <m/>
    <x v="0"/>
  </r>
  <r>
    <s v="HAR-01889002"/>
    <x v="2"/>
    <x v="1"/>
    <d v="2025-04-08T00:00:00"/>
    <s v="Hareruya"/>
    <x v="790"/>
    <x v="55"/>
    <s v="Si"/>
    <s v="Japonés"/>
    <n v="4.3636363636363642"/>
    <n v="4"/>
    <n v="17.454545454545457"/>
    <x v="0"/>
    <m/>
    <x v="0"/>
  </r>
  <r>
    <s v="HAR-01889002"/>
    <x v="2"/>
    <x v="1"/>
    <d v="2025-04-08T00:00:00"/>
    <s v="Hareruya"/>
    <x v="568"/>
    <x v="186"/>
    <s v="No"/>
    <s v="Japonés"/>
    <n v="1.0909090909090911"/>
    <n v="2"/>
    <n v="2.1818181818181821"/>
    <x v="0"/>
    <m/>
    <x v="0"/>
  </r>
  <r>
    <s v="HAR-01889002"/>
    <x v="2"/>
    <x v="1"/>
    <d v="2025-04-08T00:00:00"/>
    <s v="Hareruya"/>
    <x v="791"/>
    <x v="111"/>
    <s v="No"/>
    <s v="Japonés"/>
    <n v="1.636363636363636"/>
    <n v="2"/>
    <n v="3.272727272727272"/>
    <x v="0"/>
    <m/>
    <x v="0"/>
  </r>
  <r>
    <s v="HAR-01889002"/>
    <x v="2"/>
    <x v="1"/>
    <d v="2025-04-08T00:00:00"/>
    <s v="Hareruya"/>
    <x v="792"/>
    <x v="222"/>
    <s v="Si"/>
    <s v="Japonés"/>
    <n v="4.3636363636363642"/>
    <n v="4"/>
    <n v="17.454545454545457"/>
    <x v="0"/>
    <m/>
    <x v="0"/>
  </r>
  <r>
    <s v="HAR-01889002"/>
    <x v="2"/>
    <x v="1"/>
    <d v="2025-04-08T00:00:00"/>
    <s v="Hareruya"/>
    <x v="599"/>
    <x v="121"/>
    <s v="No"/>
    <s v="Japonés"/>
    <n v="5.7272727272727284"/>
    <n v="2"/>
    <n v="11.454545454545457"/>
    <x v="0"/>
    <m/>
    <x v="0"/>
  </r>
  <r>
    <s v="HAR-01889002"/>
    <x v="2"/>
    <x v="1"/>
    <d v="2025-04-08T00:00:00"/>
    <s v="Hareruya"/>
    <x v="793"/>
    <x v="55"/>
    <s v="Si"/>
    <s v="Japonés"/>
    <n v="2.1818181818181821"/>
    <n v="4"/>
    <n v="8.7272727272727284"/>
    <x v="0"/>
    <m/>
    <x v="0"/>
  </r>
  <r>
    <s v="HAR-01889002"/>
    <x v="2"/>
    <x v="1"/>
    <d v="2025-04-08T00:00:00"/>
    <s v="Hareruya"/>
    <x v="794"/>
    <x v="222"/>
    <s v="Si"/>
    <s v="Japonés"/>
    <n v="3.8181818181818179"/>
    <n v="4"/>
    <n v="15.272727272727272"/>
    <x v="0"/>
    <m/>
    <x v="0"/>
  </r>
  <r>
    <s v="HAR-01887381"/>
    <x v="2"/>
    <x v="1"/>
    <d v="2025-04-06T00:00:00"/>
    <s v="Hareruya"/>
    <x v="795"/>
    <x v="223"/>
    <s v="No"/>
    <s v="Japonés"/>
    <n v="6.5454545454545459"/>
    <n v="3"/>
    <n v="19.636363636363637"/>
    <x v="0"/>
    <m/>
    <x v="0"/>
  </r>
  <r>
    <s v="HAR-01887381"/>
    <x v="2"/>
    <x v="1"/>
    <d v="2025-04-06T00:00:00"/>
    <s v="Hareruya"/>
    <x v="796"/>
    <x v="217"/>
    <s v="Si"/>
    <s v="Japonés"/>
    <n v="1.636363636363636"/>
    <n v="10"/>
    <n v="16.36363636363636"/>
    <x v="0"/>
    <m/>
    <x v="0"/>
  </r>
  <r>
    <s v="HAR-01887381"/>
    <x v="2"/>
    <x v="1"/>
    <d v="2025-04-06T00:00:00"/>
    <s v="Hareruya"/>
    <x v="797"/>
    <x v="217"/>
    <s v="Si"/>
    <s v="Japonés"/>
    <n v="1.636363636363636"/>
    <n v="10"/>
    <n v="16.36363636363636"/>
    <x v="0"/>
    <m/>
    <x v="0"/>
  </r>
  <r>
    <s v="HAR-01887381"/>
    <x v="2"/>
    <x v="1"/>
    <d v="2025-04-06T00:00:00"/>
    <s v="Hareruya"/>
    <x v="798"/>
    <x v="217"/>
    <s v="Si"/>
    <s v="Japonés"/>
    <n v="1.636363636363636"/>
    <n v="10"/>
    <n v="16.36363636363636"/>
    <x v="0"/>
    <m/>
    <x v="0"/>
  </r>
  <r>
    <s v="HAR-01887381"/>
    <x v="2"/>
    <x v="1"/>
    <d v="2025-04-06T00:00:00"/>
    <s v="Hareruya"/>
    <x v="798"/>
    <x v="217"/>
    <s v="Si"/>
    <s v="Japonés"/>
    <n v="1.636363636363636"/>
    <n v="10"/>
    <n v="16.36363636363636"/>
    <x v="0"/>
    <m/>
    <x v="0"/>
  </r>
  <r>
    <s v="HAR-01887381"/>
    <x v="2"/>
    <x v="1"/>
    <d v="2025-04-06T00:00:00"/>
    <s v="Hareruya"/>
    <x v="799"/>
    <x v="217"/>
    <s v="Si"/>
    <s v="Japonés"/>
    <n v="1.0909090909090911"/>
    <n v="10"/>
    <n v="10.90909090909091"/>
    <x v="0"/>
    <m/>
    <x v="0"/>
  </r>
  <r>
    <s v="HAR-01887381"/>
    <x v="2"/>
    <x v="1"/>
    <d v="2025-04-06T00:00:00"/>
    <s v="Hareruya"/>
    <x v="800"/>
    <x v="217"/>
    <s v="No"/>
    <s v="Japonés"/>
    <n v="1.3090909090909091"/>
    <n v="1"/>
    <n v="1.3090909090909091"/>
    <x v="0"/>
    <m/>
    <x v="0"/>
  </r>
  <r>
    <s v="HAR-01887381"/>
    <x v="2"/>
    <x v="1"/>
    <d v="2025-04-06T00:00:00"/>
    <s v="Hareruya"/>
    <x v="800"/>
    <x v="217"/>
    <s v="Si"/>
    <s v="Japonés"/>
    <n v="1.636363636363636"/>
    <n v="8"/>
    <n v="13.090909090909088"/>
    <x v="0"/>
    <m/>
    <x v="0"/>
  </r>
  <r>
    <s v="HAR-01887381"/>
    <x v="2"/>
    <x v="1"/>
    <d v="2025-04-06T00:00:00"/>
    <s v="Hareruya"/>
    <x v="797"/>
    <x v="65"/>
    <s v="Si"/>
    <s v="Japonés"/>
    <n v="0.81818181818181823"/>
    <n v="9"/>
    <n v="7.3636363636363642"/>
    <x v="0"/>
    <m/>
    <x v="0"/>
  </r>
  <r>
    <s v="HAR-01885845"/>
    <x v="2"/>
    <x v="1"/>
    <d v="2025-04-05T00:00:00"/>
    <s v="Hareruya"/>
    <x v="744"/>
    <x v="60"/>
    <s v="Si"/>
    <s v="Japonés"/>
    <n v="8.1818181818181817"/>
    <n v="4"/>
    <n v="32.727272727272727"/>
    <x v="0"/>
    <m/>
    <x v="0"/>
  </r>
  <r>
    <s v="HAR-01885845"/>
    <x v="2"/>
    <x v="1"/>
    <d v="2025-04-05T00:00:00"/>
    <s v="Hareruya"/>
    <x v="680"/>
    <x v="60"/>
    <s v="No"/>
    <s v="Inglés"/>
    <n v="5.454545454545455"/>
    <n v="3"/>
    <n v="16.363636363636367"/>
    <x v="0"/>
    <m/>
    <x v="0"/>
  </r>
  <r>
    <s v="HAR-01885845"/>
    <x v="2"/>
    <x v="1"/>
    <d v="2025-04-05T00:00:00"/>
    <s v="Hareruya"/>
    <x v="386"/>
    <x v="216"/>
    <s v="No"/>
    <s v="Japonés"/>
    <n v="0.81818181818181823"/>
    <n v="3"/>
    <n v="2.4545454545454546"/>
    <x v="0"/>
    <m/>
    <x v="0"/>
  </r>
  <r>
    <s v="HAR-01883907"/>
    <x v="2"/>
    <x v="1"/>
    <d v="2025-04-04T00:00:00"/>
    <s v="Hareruya"/>
    <x v="745"/>
    <x v="177"/>
    <s v="No"/>
    <s v="Japonés"/>
    <n v="9.8181818181818183"/>
    <n v="3"/>
    <n v="29.454545454545453"/>
    <x v="0"/>
    <m/>
    <x v="0"/>
  </r>
  <r>
    <s v="HAR-01883907"/>
    <x v="2"/>
    <x v="1"/>
    <d v="2025-04-04T00:00:00"/>
    <s v="Hareruya"/>
    <x v="342"/>
    <x v="88"/>
    <s v="Si"/>
    <s v="Japonés"/>
    <n v="1.0909090909090911"/>
    <n v="5"/>
    <n v="5.454545454545455"/>
    <x v="0"/>
    <m/>
    <x v="0"/>
  </r>
  <r>
    <s v="HAR-01883907"/>
    <x v="2"/>
    <x v="1"/>
    <d v="2025-04-04T00:00:00"/>
    <s v="Hareruya"/>
    <x v="746"/>
    <x v="60"/>
    <s v="No"/>
    <s v="Japonés"/>
    <n v="0.81818181818181823"/>
    <n v="2"/>
    <n v="1.6363636363636365"/>
    <x v="0"/>
    <m/>
    <x v="0"/>
  </r>
  <r>
    <s v="HAR-01883907"/>
    <x v="2"/>
    <x v="1"/>
    <d v="2025-04-04T00:00:00"/>
    <s v="Hareruya"/>
    <x v="747"/>
    <x v="60"/>
    <s v="No"/>
    <s v="Japonés"/>
    <n v="3.2727272727272729"/>
    <n v="1"/>
    <n v="3.2727272727272729"/>
    <x v="0"/>
    <m/>
    <x v="0"/>
  </r>
  <r>
    <s v="HAR-01883907"/>
    <x v="2"/>
    <x v="1"/>
    <d v="2025-04-04T00:00:00"/>
    <s v="Hareruya"/>
    <x v="748"/>
    <x v="180"/>
    <s v="No"/>
    <s v="Japonés"/>
    <n v="2.727272727272728"/>
    <n v="3"/>
    <n v="8.1818181818181834"/>
    <x v="0"/>
    <m/>
    <x v="0"/>
  </r>
  <r>
    <s v="HAR-01883907"/>
    <x v="2"/>
    <x v="1"/>
    <d v="2025-04-04T00:00:00"/>
    <s v="Hareruya"/>
    <x v="749"/>
    <x v="217"/>
    <s v="Si"/>
    <s v="Japonés"/>
    <n v="6.5454545454545459"/>
    <n v="4"/>
    <n v="26.181818181818183"/>
    <x v="0"/>
    <m/>
    <x v="0"/>
  </r>
  <r>
    <s v="HAR-01883907"/>
    <x v="2"/>
    <x v="1"/>
    <d v="2025-04-04T00:00:00"/>
    <s v="Hareruya"/>
    <x v="306"/>
    <x v="217"/>
    <s v="Si"/>
    <s v="Japonés"/>
    <n v="16.36363636363636"/>
    <n v="4"/>
    <n v="65.454545454545439"/>
    <x v="0"/>
    <m/>
    <x v="0"/>
  </r>
  <r>
    <s v="HAR-01883907"/>
    <x v="2"/>
    <x v="1"/>
    <d v="2025-04-04T00:00:00"/>
    <s v="Hareruya"/>
    <x v="750"/>
    <x v="36"/>
    <s v="No"/>
    <s v="Japonés"/>
    <n v="17.345454545454551"/>
    <n v="1"/>
    <n v="17.345454545454551"/>
    <x v="0"/>
    <m/>
    <x v="0"/>
  </r>
  <r>
    <s v="HAR-01883907"/>
    <x v="2"/>
    <x v="1"/>
    <d v="2025-04-04T00:00:00"/>
    <s v="Hareruya"/>
    <x v="751"/>
    <x v="156"/>
    <s v="Si"/>
    <s v="Japonés"/>
    <n v="1.5272727272727269"/>
    <n v="4"/>
    <n v="6.1090909090909076"/>
    <x v="0"/>
    <m/>
    <x v="0"/>
  </r>
  <r>
    <s v="HAR-01883907"/>
    <x v="2"/>
    <x v="1"/>
    <d v="2025-04-04T00:00:00"/>
    <s v="Hareruya"/>
    <x v="752"/>
    <x v="124"/>
    <s v="Si"/>
    <s v="Japonés"/>
    <n v="13.36363636363637"/>
    <n v="4"/>
    <n v="53.454545454545482"/>
    <x v="0"/>
    <m/>
    <x v="0"/>
  </r>
  <r>
    <s v="HAR-01883907"/>
    <x v="2"/>
    <x v="1"/>
    <d v="2025-04-04T00:00:00"/>
    <s v="Hareruya"/>
    <x v="753"/>
    <x v="139"/>
    <s v="No"/>
    <s v="Japonés"/>
    <n v="2.1818181818181821"/>
    <n v="1"/>
    <n v="2.1818181818181821"/>
    <x v="0"/>
    <m/>
    <x v="0"/>
  </r>
  <r>
    <s v="HAR-01883907"/>
    <x v="2"/>
    <x v="1"/>
    <d v="2025-04-04T00:00:00"/>
    <s v="Hareruya"/>
    <x v="547"/>
    <x v="180"/>
    <s v="No"/>
    <s v="Japonés"/>
    <n v="13.63636363636364"/>
    <n v="2"/>
    <n v="27.27272727272728"/>
    <x v="0"/>
    <m/>
    <x v="0"/>
  </r>
  <r>
    <s v="HAR-01883907"/>
    <x v="2"/>
    <x v="1"/>
    <d v="2025-04-04T00:00:00"/>
    <s v="Hareruya"/>
    <x v="754"/>
    <x v="88"/>
    <s v="No"/>
    <s v="Japonés"/>
    <n v="1.636363636363636"/>
    <n v="2"/>
    <n v="3.272727272727272"/>
    <x v="0"/>
    <m/>
    <x v="0"/>
  </r>
  <r>
    <n v="1202034396"/>
    <x v="2"/>
    <x v="1"/>
    <d v="2025-04-02T17:12:33"/>
    <s v="PlaneswalkersTeam"/>
    <x v="801"/>
    <x v="68"/>
    <s v="No"/>
    <s v="Inglés"/>
    <n v="7.32"/>
    <n v="1"/>
    <n v="7.32"/>
    <x v="1"/>
    <n v="7.32"/>
    <x v="0"/>
  </r>
  <r>
    <s v="HAR-01877422"/>
    <x v="3"/>
    <x v="1"/>
    <d v="2025-03-31T00:00:00"/>
    <s v="Hareruya"/>
    <x v="802"/>
    <x v="120"/>
    <s v="No"/>
    <s v="Japonés"/>
    <n v="8.7272727272727284"/>
    <n v="2"/>
    <n v="17.454545454545457"/>
    <x v="0"/>
    <m/>
    <x v="0"/>
  </r>
  <r>
    <s v="HAR-01877422"/>
    <x v="3"/>
    <x v="1"/>
    <d v="2025-03-31T00:00:00"/>
    <s v="Hareruya"/>
    <x v="103"/>
    <x v="13"/>
    <s v="No"/>
    <s v="Japonés"/>
    <n v="2.1818181818181821"/>
    <n v="2"/>
    <n v="4.3636363636363642"/>
    <x v="0"/>
    <m/>
    <x v="0"/>
  </r>
  <r>
    <s v="HAR-01877422"/>
    <x v="3"/>
    <x v="1"/>
    <d v="2025-03-31T00:00:00"/>
    <s v="Hareruya"/>
    <x v="803"/>
    <x v="30"/>
    <s v="Si"/>
    <s v="Japonés"/>
    <n v="5.6727272727272728"/>
    <n v="4"/>
    <n v="22.690909090909091"/>
    <x v="0"/>
    <m/>
    <x v="0"/>
  </r>
  <r>
    <s v="HAR-01877422"/>
    <x v="3"/>
    <x v="1"/>
    <d v="2025-03-31T00:00:00"/>
    <s v="Hareruya"/>
    <x v="804"/>
    <x v="218"/>
    <s v="Si"/>
    <s v="Japonés"/>
    <n v="0.98181818181818192"/>
    <n v="4"/>
    <n v="3.9272727272727277"/>
    <x v="0"/>
    <m/>
    <x v="0"/>
  </r>
  <r>
    <s v="HAR-01877422"/>
    <x v="3"/>
    <x v="1"/>
    <d v="2025-03-31T00:00:00"/>
    <s v="Hareruya"/>
    <x v="805"/>
    <x v="121"/>
    <s v="No"/>
    <s v="Japonés"/>
    <n v="0.54545454545454553"/>
    <n v="3"/>
    <n v="1.6363636363636367"/>
    <x v="0"/>
    <m/>
    <x v="0"/>
  </r>
  <r>
    <s v="HAR-01877422"/>
    <x v="3"/>
    <x v="1"/>
    <d v="2025-03-31T00:00:00"/>
    <s v="Hareruya"/>
    <x v="806"/>
    <x v="147"/>
    <s v="No"/>
    <s v="Japonés"/>
    <n v="1.0909090909090911"/>
    <n v="2"/>
    <n v="2.1818181818181821"/>
    <x v="0"/>
    <m/>
    <x v="0"/>
  </r>
  <r>
    <s v="HAR-01877422"/>
    <x v="3"/>
    <x v="1"/>
    <d v="2025-03-31T00:00:00"/>
    <s v="Hareruya"/>
    <x v="807"/>
    <x v="224"/>
    <s v="No"/>
    <s v="Inglés"/>
    <n v="3.709090909090909"/>
    <n v="2"/>
    <n v="7.418181818181818"/>
    <x v="0"/>
    <m/>
    <x v="0"/>
  </r>
  <r>
    <s v="HAR-01877422"/>
    <x v="3"/>
    <x v="1"/>
    <d v="2025-03-31T00:00:00"/>
    <s v="Hareruya"/>
    <x v="808"/>
    <x v="32"/>
    <s v="No"/>
    <s v="Japonés"/>
    <n v="3.8181818181818179"/>
    <n v="1"/>
    <n v="3.8181818181818179"/>
    <x v="0"/>
    <m/>
    <x v="0"/>
  </r>
  <r>
    <s v="HAR-01877422"/>
    <x v="3"/>
    <x v="1"/>
    <d v="2025-03-31T00:00:00"/>
    <s v="Hareruya"/>
    <x v="809"/>
    <x v="88"/>
    <s v="No"/>
    <s v="Japonés"/>
    <n v="3.2727272727272729"/>
    <n v="1"/>
    <n v="3.2727272727272729"/>
    <x v="0"/>
    <m/>
    <x v="0"/>
  </r>
  <r>
    <s v="HAR-01877422"/>
    <x v="3"/>
    <x v="1"/>
    <d v="2025-03-31T00:00:00"/>
    <s v="Hareruya"/>
    <x v="810"/>
    <x v="73"/>
    <s v="No"/>
    <s v="Japonés"/>
    <n v="1.636363636363636"/>
    <n v="1"/>
    <n v="1.636363636363636"/>
    <x v="0"/>
    <m/>
    <x v="0"/>
  </r>
  <r>
    <s v="HAR-01877422"/>
    <x v="3"/>
    <x v="1"/>
    <d v="2025-03-31T00:00:00"/>
    <s v="Hareruya"/>
    <x v="811"/>
    <x v="92"/>
    <s v="No"/>
    <s v="Japonés"/>
    <n v="1.636363636363636"/>
    <n v="2"/>
    <n v="3.272727272727272"/>
    <x v="0"/>
    <m/>
    <x v="0"/>
  </r>
  <r>
    <s v="HAR-01877422"/>
    <x v="3"/>
    <x v="1"/>
    <d v="2025-03-31T00:00:00"/>
    <s v="Hareruya"/>
    <x v="812"/>
    <x v="120"/>
    <s v="No"/>
    <s v="Japonés"/>
    <n v="4.3636363636363642"/>
    <n v="2"/>
    <n v="8.7272727272727284"/>
    <x v="0"/>
    <m/>
    <x v="0"/>
  </r>
  <r>
    <s v="HAR-01877422"/>
    <x v="3"/>
    <x v="1"/>
    <d v="2025-03-31T00:00:00"/>
    <s v="Hareruya"/>
    <x v="813"/>
    <x v="158"/>
    <s v="Si"/>
    <s v="Japonés"/>
    <n v="24.763636363636369"/>
    <n v="4"/>
    <n v="99.054545454545476"/>
    <x v="0"/>
    <m/>
    <x v="0"/>
  </r>
  <r>
    <s v="HAR-01877422"/>
    <x v="3"/>
    <x v="1"/>
    <d v="2025-03-31T00:00:00"/>
    <s v="Hareruya"/>
    <x v="395"/>
    <x v="147"/>
    <s v="No"/>
    <s v="Japonés"/>
    <n v="10.90909090909091"/>
    <n v="1"/>
    <n v="10.90909090909091"/>
    <x v="0"/>
    <m/>
    <x v="0"/>
  </r>
  <r>
    <s v="HAR-01872601"/>
    <x v="3"/>
    <x v="1"/>
    <d v="2025-03-26T00:00:00"/>
    <s v="Hareruya"/>
    <x v="814"/>
    <x v="56"/>
    <s v="No"/>
    <s v="Japonés"/>
    <n v="43.63636363636364"/>
    <n v="2"/>
    <n v="87.27272727272728"/>
    <x v="0"/>
    <m/>
    <x v="0"/>
  </r>
  <r>
    <s v="HAR-01872601"/>
    <x v="3"/>
    <x v="1"/>
    <d v="2025-03-26T00:00:00"/>
    <s v="Hareruya"/>
    <x v="32"/>
    <x v="56"/>
    <s v="No"/>
    <s v="Japonés"/>
    <n v="13.527272727272729"/>
    <n v="2"/>
    <n v="27.054545454545458"/>
    <x v="0"/>
    <m/>
    <x v="0"/>
  </r>
  <r>
    <s v="HAR-01871960"/>
    <x v="3"/>
    <x v="1"/>
    <d v="2025-03-26T00:00:00"/>
    <s v="Hareruya"/>
    <x v="815"/>
    <x v="56"/>
    <s v="Si"/>
    <s v="Japonés"/>
    <n v="14.072727272727271"/>
    <n v="4"/>
    <n v="56.290909090909082"/>
    <x v="0"/>
    <m/>
    <x v="0"/>
  </r>
  <r>
    <s v="HAR-01871960"/>
    <x v="3"/>
    <x v="1"/>
    <d v="2025-03-26T00:00:00"/>
    <s v="Hareruya"/>
    <x v="816"/>
    <x v="225"/>
    <s v="Si"/>
    <s v="Japonés"/>
    <n v="0.98181818181818192"/>
    <n v="4"/>
    <n v="3.9272727272727277"/>
    <x v="0"/>
    <m/>
    <x v="0"/>
  </r>
  <r>
    <s v="HAR-01871960"/>
    <x v="3"/>
    <x v="1"/>
    <d v="2025-03-26T00:00:00"/>
    <s v="Hareruya"/>
    <x v="817"/>
    <x v="159"/>
    <s v="Si"/>
    <s v="Japonés"/>
    <n v="1.0909090909090911"/>
    <n v="4"/>
    <n v="4.3636363636363642"/>
    <x v="0"/>
    <m/>
    <x v="0"/>
  </r>
  <r>
    <s v="HAR-01871960"/>
    <x v="3"/>
    <x v="1"/>
    <d v="2025-03-26T00:00:00"/>
    <s v="Hareruya"/>
    <x v="818"/>
    <x v="177"/>
    <s v="Si"/>
    <s v="Inglés"/>
    <n v="3.2727272727272729"/>
    <n v="4"/>
    <n v="13.090909090909092"/>
    <x v="0"/>
    <m/>
    <x v="0"/>
  </r>
  <r>
    <s v="HAR-01871960"/>
    <x v="3"/>
    <x v="1"/>
    <d v="2025-03-26T00:00:00"/>
    <s v="Hareruya"/>
    <x v="819"/>
    <x v="126"/>
    <s v="Si"/>
    <s v="Japonés"/>
    <n v="1.363636363636364"/>
    <n v="4"/>
    <n v="5.4545454545454559"/>
    <x v="0"/>
    <m/>
    <x v="0"/>
  </r>
  <r>
    <s v="HAR-01871944"/>
    <x v="3"/>
    <x v="1"/>
    <d v="2025-03-26T00:00:00"/>
    <s v="Hareruya"/>
    <x v="820"/>
    <x v="82"/>
    <s v="No"/>
    <s v="Japonés"/>
    <n v="16.36363636363636"/>
    <n v="1"/>
    <n v="16.36363636363636"/>
    <x v="0"/>
    <m/>
    <x v="0"/>
  </r>
  <r>
    <s v="HAR-01871944"/>
    <x v="3"/>
    <x v="1"/>
    <d v="2025-03-26T00:00:00"/>
    <s v="Hareruya"/>
    <x v="821"/>
    <x v="121"/>
    <s v="No"/>
    <s v="Japonés"/>
    <n v="10.90909090909091"/>
    <n v="2"/>
    <n v="21.81818181818182"/>
    <x v="0"/>
    <m/>
    <x v="0"/>
  </r>
  <r>
    <n v="1201256238"/>
    <x v="3"/>
    <x v="1"/>
    <d v="2025-03-25T18:01:54"/>
    <s v="Guilem44"/>
    <x v="822"/>
    <x v="226"/>
    <s v="No"/>
    <s v="Inglés"/>
    <n v="10.4"/>
    <n v="1"/>
    <n v="10.4"/>
    <x v="1"/>
    <n v="10.4"/>
    <x v="0"/>
  </r>
  <r>
    <s v="HAR-01871785"/>
    <x v="3"/>
    <x v="1"/>
    <d v="2025-03-25T00:00:00"/>
    <s v="Hareruya"/>
    <x v="823"/>
    <x v="11"/>
    <s v="Si"/>
    <s v="Japonés"/>
    <n v="1.636363636363636"/>
    <n v="4"/>
    <n v="6.5454545454545441"/>
    <x v="0"/>
    <m/>
    <x v="0"/>
  </r>
  <r>
    <s v="HAR-01871785"/>
    <x v="3"/>
    <x v="1"/>
    <d v="2025-03-25T00:00:00"/>
    <s v="Hareruya"/>
    <x v="436"/>
    <x v="51"/>
    <s v="Si"/>
    <s v="Japonés"/>
    <n v="0.98181818181818192"/>
    <n v="4"/>
    <n v="3.9272727272727277"/>
    <x v="0"/>
    <m/>
    <x v="0"/>
  </r>
  <r>
    <s v="HAR-01871785"/>
    <x v="3"/>
    <x v="1"/>
    <d v="2025-03-25T00:00:00"/>
    <s v="Hareruya"/>
    <x v="824"/>
    <x v="69"/>
    <s v="Si"/>
    <s v="Japonés"/>
    <n v="0.81818181818181823"/>
    <n v="8"/>
    <n v="6.5454545454545459"/>
    <x v="0"/>
    <m/>
    <x v="0"/>
  </r>
  <r>
    <s v="HAR-01871785"/>
    <x v="3"/>
    <x v="1"/>
    <d v="2025-03-25T00:00:00"/>
    <s v="Hareruya"/>
    <x v="824"/>
    <x v="156"/>
    <s v="Si"/>
    <s v="Japonés"/>
    <n v="0.81818181818181823"/>
    <n v="4"/>
    <n v="3.2727272727272729"/>
    <x v="0"/>
    <m/>
    <x v="0"/>
  </r>
  <r>
    <s v="HAR-01871785"/>
    <x v="3"/>
    <x v="1"/>
    <d v="2025-03-25T00:00:00"/>
    <s v="Hareruya"/>
    <x v="825"/>
    <x v="214"/>
    <s v="Si"/>
    <s v="Japonés"/>
    <n v="1.5272727272727269"/>
    <n v="8"/>
    <n v="12.218181818181815"/>
    <x v="0"/>
    <m/>
    <x v="0"/>
  </r>
  <r>
    <s v="HAR-01871722"/>
    <x v="3"/>
    <x v="1"/>
    <d v="2025-03-25T00:00:00"/>
    <s v="Hareruya"/>
    <x v="826"/>
    <x v="41"/>
    <s v="No"/>
    <s v="Japonés"/>
    <n v="6.5454545454545459"/>
    <n v="1"/>
    <n v="6.5454545454545459"/>
    <x v="0"/>
    <m/>
    <x v="0"/>
  </r>
  <r>
    <s v="HAR-01871722"/>
    <x v="3"/>
    <x v="1"/>
    <d v="2025-03-25T00:00:00"/>
    <s v="Hareruya"/>
    <x v="827"/>
    <x v="41"/>
    <s v="No"/>
    <s v="Japonés"/>
    <n v="0.98181818181818192"/>
    <n v="1"/>
    <n v="0.98181818181818192"/>
    <x v="0"/>
    <m/>
    <x v="0"/>
  </r>
  <r>
    <s v="HAR-01871722"/>
    <x v="3"/>
    <x v="1"/>
    <d v="2025-03-25T00:00:00"/>
    <s v="Hareruya"/>
    <x v="828"/>
    <x v="41"/>
    <s v="No"/>
    <s v="Japonés"/>
    <n v="0.81818181818181823"/>
    <n v="1"/>
    <n v="0.81818181818181823"/>
    <x v="0"/>
    <m/>
    <x v="0"/>
  </r>
  <r>
    <s v="HAR-01871722"/>
    <x v="3"/>
    <x v="1"/>
    <d v="2025-03-25T00:00:00"/>
    <s v="Hareruya"/>
    <x v="829"/>
    <x v="41"/>
    <s v="No"/>
    <s v="Japonés"/>
    <n v="0.16363636363636361"/>
    <n v="1"/>
    <n v="0.16363636363636361"/>
    <x v="0"/>
    <m/>
    <x v="0"/>
  </r>
  <r>
    <s v="HAR-01871722"/>
    <x v="3"/>
    <x v="1"/>
    <d v="2025-03-25T00:00:00"/>
    <s v="Hareruya"/>
    <x v="830"/>
    <x v="41"/>
    <s v="No"/>
    <s v="Japonés"/>
    <n v="0.27272727272727282"/>
    <n v="1"/>
    <n v="0.27272727272727282"/>
    <x v="0"/>
    <m/>
    <x v="0"/>
  </r>
  <r>
    <s v="HAR-01871722"/>
    <x v="3"/>
    <x v="1"/>
    <d v="2025-03-25T00:00:00"/>
    <s v="Hareruya"/>
    <x v="831"/>
    <x v="41"/>
    <s v="No"/>
    <s v="Japonés"/>
    <n v="4.3636363636363642"/>
    <n v="1"/>
    <n v="4.3636363636363642"/>
    <x v="0"/>
    <m/>
    <x v="0"/>
  </r>
  <r>
    <s v="HAR-01871722"/>
    <x v="3"/>
    <x v="1"/>
    <d v="2025-03-25T00:00:00"/>
    <s v="Hareruya"/>
    <x v="832"/>
    <x v="41"/>
    <s v="No"/>
    <s v="Japonés"/>
    <n v="0.27272727272727282"/>
    <n v="1"/>
    <n v="0.27272727272727282"/>
    <x v="0"/>
    <m/>
    <x v="0"/>
  </r>
  <r>
    <s v="HAR-01871722"/>
    <x v="3"/>
    <x v="1"/>
    <d v="2025-03-25T00:00:00"/>
    <s v="Hareruya"/>
    <x v="205"/>
    <x v="41"/>
    <s v="No"/>
    <s v="Japonés"/>
    <n v="4.3636363636363642"/>
    <n v="1"/>
    <n v="4.3636363636363642"/>
    <x v="0"/>
    <m/>
    <x v="0"/>
  </r>
  <r>
    <s v="HAR-01871722"/>
    <x v="3"/>
    <x v="1"/>
    <d v="2025-03-25T00:00:00"/>
    <s v="Hareruya"/>
    <x v="833"/>
    <x v="41"/>
    <s v="No"/>
    <s v="Japonés"/>
    <n v="0.16363636363636361"/>
    <n v="1"/>
    <n v="0.16363636363636361"/>
    <x v="0"/>
    <m/>
    <x v="0"/>
  </r>
  <r>
    <s v="HAR-01871722"/>
    <x v="3"/>
    <x v="1"/>
    <d v="2025-03-25T00:00:00"/>
    <s v="Hareruya"/>
    <x v="834"/>
    <x v="41"/>
    <s v="No"/>
    <s v="Japonés"/>
    <n v="0.16363636363636361"/>
    <n v="1"/>
    <n v="0.16363636363636361"/>
    <x v="0"/>
    <m/>
    <x v="0"/>
  </r>
  <r>
    <s v="HAR-01871722"/>
    <x v="3"/>
    <x v="1"/>
    <d v="2025-03-25T00:00:00"/>
    <s v="Hareruya"/>
    <x v="835"/>
    <x v="41"/>
    <s v="No"/>
    <s v="Japonés"/>
    <n v="0.4363636363636364"/>
    <n v="1"/>
    <n v="0.4363636363636364"/>
    <x v="0"/>
    <m/>
    <x v="0"/>
  </r>
  <r>
    <s v="HAR-01871722"/>
    <x v="3"/>
    <x v="1"/>
    <d v="2025-03-25T00:00:00"/>
    <s v="Hareruya"/>
    <x v="836"/>
    <x v="41"/>
    <s v="No"/>
    <s v="Japonés"/>
    <n v="0.16363636363636361"/>
    <n v="1"/>
    <n v="0.16363636363636361"/>
    <x v="0"/>
    <m/>
    <x v="0"/>
  </r>
  <r>
    <s v="HAR-01871722"/>
    <x v="3"/>
    <x v="1"/>
    <d v="2025-03-25T00:00:00"/>
    <s v="Hareruya"/>
    <x v="837"/>
    <x v="41"/>
    <s v="No"/>
    <s v="Japonés"/>
    <n v="0.27272727272727282"/>
    <n v="1"/>
    <n v="0.27272727272727282"/>
    <x v="0"/>
    <m/>
    <x v="0"/>
  </r>
  <r>
    <s v="HAR-01871722"/>
    <x v="3"/>
    <x v="1"/>
    <d v="2025-03-25T00:00:00"/>
    <s v="Hareruya"/>
    <x v="838"/>
    <x v="41"/>
    <s v="No"/>
    <s v="Japonés"/>
    <n v="0.27272727272727282"/>
    <n v="1"/>
    <n v="0.27272727272727282"/>
    <x v="0"/>
    <m/>
    <x v="0"/>
  </r>
  <r>
    <s v="HAR-01871722"/>
    <x v="3"/>
    <x v="1"/>
    <d v="2025-03-25T00:00:00"/>
    <s v="Hareruya"/>
    <x v="839"/>
    <x v="41"/>
    <s v="No"/>
    <s v="Japonés"/>
    <n v="0.16363636363636361"/>
    <n v="1"/>
    <n v="0.16363636363636361"/>
    <x v="0"/>
    <m/>
    <x v="0"/>
  </r>
  <r>
    <s v="HAR-01871722"/>
    <x v="3"/>
    <x v="1"/>
    <d v="2025-03-25T00:00:00"/>
    <s v="Hareruya"/>
    <x v="840"/>
    <x v="41"/>
    <s v="No"/>
    <s v="Japonés"/>
    <n v="0.16363636363636361"/>
    <n v="1"/>
    <n v="0.16363636363636361"/>
    <x v="0"/>
    <m/>
    <x v="0"/>
  </r>
  <r>
    <s v="HAR-01871722"/>
    <x v="3"/>
    <x v="1"/>
    <d v="2025-03-25T00:00:00"/>
    <s v="Hareruya"/>
    <x v="841"/>
    <x v="41"/>
    <s v="No"/>
    <s v="Japonés"/>
    <n v="0.98181818181818192"/>
    <n v="1"/>
    <n v="0.98181818181818192"/>
    <x v="0"/>
    <m/>
    <x v="0"/>
  </r>
  <r>
    <s v="HAR-01871722"/>
    <x v="3"/>
    <x v="1"/>
    <d v="2025-03-25T00:00:00"/>
    <s v="Hareruya"/>
    <x v="842"/>
    <x v="41"/>
    <s v="No"/>
    <s v="Japonés"/>
    <n v="0.54545454545454553"/>
    <n v="1"/>
    <n v="0.54545454545454553"/>
    <x v="0"/>
    <m/>
    <x v="0"/>
  </r>
  <r>
    <s v="HAR-01871722"/>
    <x v="3"/>
    <x v="1"/>
    <d v="2025-03-25T00:00:00"/>
    <s v="Hareruya"/>
    <x v="843"/>
    <x v="41"/>
    <s v="No"/>
    <s v="Japonés"/>
    <n v="0.16363636363636361"/>
    <n v="1"/>
    <n v="0.16363636363636361"/>
    <x v="0"/>
    <m/>
    <x v="0"/>
  </r>
  <r>
    <s v="HAR-01871722"/>
    <x v="3"/>
    <x v="1"/>
    <d v="2025-03-25T00:00:00"/>
    <s v="Hareruya"/>
    <x v="844"/>
    <x v="41"/>
    <s v="No"/>
    <s v="Japonés"/>
    <n v="0.98181818181818192"/>
    <n v="1"/>
    <n v="0.98181818181818192"/>
    <x v="0"/>
    <m/>
    <x v="0"/>
  </r>
  <r>
    <s v="HAR-01871722"/>
    <x v="3"/>
    <x v="1"/>
    <d v="2025-03-25T00:00:00"/>
    <s v="Hareruya"/>
    <x v="845"/>
    <x v="41"/>
    <s v="No"/>
    <s v="Japonés"/>
    <n v="1.0909090909090911"/>
    <n v="1"/>
    <n v="1.0909090909090911"/>
    <x v="0"/>
    <m/>
    <x v="0"/>
  </r>
  <r>
    <s v="HAR-01871722"/>
    <x v="3"/>
    <x v="1"/>
    <d v="2025-03-25T00:00:00"/>
    <s v="Hareruya"/>
    <x v="846"/>
    <x v="41"/>
    <s v="No"/>
    <s v="Japonés"/>
    <n v="0.27272727272727282"/>
    <n v="1"/>
    <n v="0.27272727272727282"/>
    <x v="0"/>
    <m/>
    <x v="0"/>
  </r>
  <r>
    <s v="HAR-01871722"/>
    <x v="3"/>
    <x v="1"/>
    <d v="2025-03-25T00:00:00"/>
    <s v="Hareruya"/>
    <x v="847"/>
    <x v="41"/>
    <s v="No"/>
    <s v="Japonés"/>
    <n v="0.27272727272727282"/>
    <n v="1"/>
    <n v="0.27272727272727282"/>
    <x v="0"/>
    <m/>
    <x v="0"/>
  </r>
  <r>
    <s v="HAR-01871722"/>
    <x v="3"/>
    <x v="1"/>
    <d v="2025-03-25T00:00:00"/>
    <s v="Hareruya"/>
    <x v="848"/>
    <x v="41"/>
    <s v="No"/>
    <s v="Japonés"/>
    <n v="0.16363636363636361"/>
    <n v="1"/>
    <n v="0.16363636363636361"/>
    <x v="0"/>
    <m/>
    <x v="0"/>
  </r>
  <r>
    <s v="HAR-01871722"/>
    <x v="3"/>
    <x v="1"/>
    <d v="2025-03-25T00:00:00"/>
    <s v="Hareruya"/>
    <x v="849"/>
    <x v="41"/>
    <s v="No"/>
    <s v="Japonés"/>
    <n v="0.16363636363636361"/>
    <n v="1"/>
    <n v="0.16363636363636361"/>
    <x v="0"/>
    <m/>
    <x v="0"/>
  </r>
  <r>
    <s v="HAR-01871722"/>
    <x v="3"/>
    <x v="1"/>
    <d v="2025-03-25T00:00:00"/>
    <s v="Hareruya"/>
    <x v="850"/>
    <x v="41"/>
    <s v="No"/>
    <s v="Japonés"/>
    <n v="0.81818181818181823"/>
    <n v="1"/>
    <n v="0.81818181818181823"/>
    <x v="0"/>
    <m/>
    <x v="0"/>
  </r>
  <r>
    <s v="HAR-01871722"/>
    <x v="3"/>
    <x v="1"/>
    <d v="2025-03-25T00:00:00"/>
    <s v="Hareruya"/>
    <x v="851"/>
    <x v="41"/>
    <s v="No"/>
    <s v="Japonés"/>
    <n v="2.1818181818181821"/>
    <n v="1"/>
    <n v="2.1818181818181821"/>
    <x v="0"/>
    <m/>
    <x v="0"/>
  </r>
  <r>
    <s v="HAR-01871722"/>
    <x v="3"/>
    <x v="1"/>
    <d v="2025-03-25T00:00:00"/>
    <s v="Hareruya"/>
    <x v="852"/>
    <x v="41"/>
    <s v="No"/>
    <s v="Japonés"/>
    <n v="0.54545454545454553"/>
    <n v="1"/>
    <n v="0.54545454545454553"/>
    <x v="0"/>
    <m/>
    <x v="0"/>
  </r>
  <r>
    <s v="HAR-01871722"/>
    <x v="3"/>
    <x v="1"/>
    <d v="2025-03-25T00:00:00"/>
    <s v="Hareruya"/>
    <x v="853"/>
    <x v="41"/>
    <s v="No"/>
    <s v="Japonés"/>
    <n v="0.54545454545454553"/>
    <n v="1"/>
    <n v="0.54545454545454553"/>
    <x v="0"/>
    <m/>
    <x v="0"/>
  </r>
  <r>
    <s v="HAR-01871722"/>
    <x v="3"/>
    <x v="1"/>
    <d v="2025-03-25T00:00:00"/>
    <s v="Hareruya"/>
    <x v="854"/>
    <x v="41"/>
    <s v="No"/>
    <s v="Japonés"/>
    <n v="0.16363636363636361"/>
    <n v="1"/>
    <n v="0.16363636363636361"/>
    <x v="0"/>
    <m/>
    <x v="0"/>
  </r>
  <r>
    <s v="HAR-01871722"/>
    <x v="3"/>
    <x v="1"/>
    <d v="2025-03-25T00:00:00"/>
    <s v="Hareruya"/>
    <x v="855"/>
    <x v="41"/>
    <s v="No"/>
    <s v="Japonés"/>
    <n v="0.81818181818181823"/>
    <n v="1"/>
    <n v="0.81818181818181823"/>
    <x v="0"/>
    <m/>
    <x v="0"/>
  </r>
  <r>
    <s v="HAR-01871722"/>
    <x v="3"/>
    <x v="1"/>
    <d v="2025-03-25T00:00:00"/>
    <s v="Hareruya"/>
    <x v="856"/>
    <x v="41"/>
    <s v="No"/>
    <s v="Japonés"/>
    <n v="1.636363636363636"/>
    <n v="1"/>
    <n v="1.636363636363636"/>
    <x v="0"/>
    <m/>
    <x v="0"/>
  </r>
  <r>
    <s v="HAR-01871722"/>
    <x v="3"/>
    <x v="1"/>
    <d v="2025-03-25T00:00:00"/>
    <s v="Hareruya"/>
    <x v="857"/>
    <x v="41"/>
    <s v="No"/>
    <s v="Japonés"/>
    <n v="3.8181818181818179"/>
    <n v="1"/>
    <n v="3.8181818181818179"/>
    <x v="0"/>
    <m/>
    <x v="0"/>
  </r>
  <r>
    <s v="HAR-01871722"/>
    <x v="3"/>
    <x v="1"/>
    <d v="2025-03-25T00:00:00"/>
    <s v="Hareruya"/>
    <x v="858"/>
    <x v="41"/>
    <s v="No"/>
    <s v="Japonés"/>
    <n v="0.16363636363636361"/>
    <n v="1"/>
    <n v="0.16363636363636361"/>
    <x v="0"/>
    <m/>
    <x v="0"/>
  </r>
  <r>
    <s v="HAR-01871722"/>
    <x v="3"/>
    <x v="1"/>
    <d v="2025-03-25T00:00:00"/>
    <s v="Hareruya"/>
    <x v="859"/>
    <x v="41"/>
    <s v="No"/>
    <s v="Japonés"/>
    <n v="2.727272727272728"/>
    <n v="1"/>
    <n v="2.727272727272728"/>
    <x v="0"/>
    <m/>
    <x v="0"/>
  </r>
  <r>
    <s v="HAR-01871722"/>
    <x v="3"/>
    <x v="1"/>
    <d v="2025-03-25T00:00:00"/>
    <s v="Hareruya"/>
    <x v="32"/>
    <x v="56"/>
    <s v="No"/>
    <s v="Japonés"/>
    <n v="13.527272727272729"/>
    <n v="1"/>
    <n v="13.527272727272729"/>
    <x v="0"/>
    <m/>
    <x v="0"/>
  </r>
  <r>
    <s v="HAR-01871722"/>
    <x v="3"/>
    <x v="1"/>
    <d v="2025-03-25T00:00:00"/>
    <s v="Hareruya"/>
    <x v="860"/>
    <x v="13"/>
    <s v="No"/>
    <s v="Japonés"/>
    <n v="10.90909090909091"/>
    <n v="2"/>
    <n v="21.81818181818182"/>
    <x v="0"/>
    <m/>
    <x v="0"/>
  </r>
  <r>
    <s v="HAR-01871722"/>
    <x v="3"/>
    <x v="1"/>
    <d v="2025-03-25T00:00:00"/>
    <s v="Hareruya"/>
    <x v="860"/>
    <x v="13"/>
    <s v="No"/>
    <s v="Japonés"/>
    <n v="8.7272727272727284"/>
    <n v="1"/>
    <n v="8.7272727272727284"/>
    <x v="0"/>
    <m/>
    <x v="0"/>
  </r>
  <r>
    <s v="HAR-01871722"/>
    <x v="3"/>
    <x v="1"/>
    <d v="2025-03-25T00:00:00"/>
    <s v="Hareruya"/>
    <x v="861"/>
    <x v="13"/>
    <s v="No"/>
    <s v="Japonés"/>
    <n v="1.636363636363636"/>
    <n v="3"/>
    <n v="4.9090909090909083"/>
    <x v="0"/>
    <m/>
    <x v="0"/>
  </r>
  <r>
    <s v="HAR-01871722"/>
    <x v="3"/>
    <x v="1"/>
    <d v="2025-03-25T00:00:00"/>
    <s v="Hareruya"/>
    <x v="862"/>
    <x v="220"/>
    <s v="No"/>
    <s v="Japonés"/>
    <n v="6.5454545454545459"/>
    <n v="1"/>
    <n v="6.5454545454545459"/>
    <x v="0"/>
    <m/>
    <x v="0"/>
  </r>
  <r>
    <s v="HAR-01871722"/>
    <x v="3"/>
    <x v="1"/>
    <d v="2025-03-25T00:00:00"/>
    <s v="Hareruya"/>
    <x v="863"/>
    <x v="226"/>
    <s v="Si"/>
    <s v="Japonés"/>
    <n v="0.98181818181818192"/>
    <n v="4"/>
    <n v="3.9272727272727277"/>
    <x v="0"/>
    <m/>
    <x v="0"/>
  </r>
  <r>
    <s v="HAR-01871722"/>
    <x v="3"/>
    <x v="1"/>
    <d v="2025-03-25T00:00:00"/>
    <s v="Hareruya"/>
    <x v="864"/>
    <x v="226"/>
    <s v="Si"/>
    <s v="Japonés"/>
    <n v="0.98181818181818192"/>
    <n v="4"/>
    <n v="3.9272727272727277"/>
    <x v="0"/>
    <m/>
    <x v="0"/>
  </r>
  <r>
    <s v="HAR-01871722"/>
    <x v="3"/>
    <x v="1"/>
    <d v="2025-03-25T00:00:00"/>
    <s v="Hareruya"/>
    <x v="248"/>
    <x v="226"/>
    <s v="Si"/>
    <s v="Japonés"/>
    <n v="1.0909090909090911"/>
    <n v="4"/>
    <n v="4.3636363636363642"/>
    <x v="0"/>
    <m/>
    <x v="0"/>
  </r>
  <r>
    <s v="HAR-01871722"/>
    <x v="3"/>
    <x v="1"/>
    <d v="2025-03-25T00:00:00"/>
    <s v="Hareruya"/>
    <x v="800"/>
    <x v="126"/>
    <s v="Si"/>
    <s v="Japonés"/>
    <n v="0.27272727272727282"/>
    <n v="10"/>
    <n v="2.7272727272727284"/>
    <x v="0"/>
    <m/>
    <x v="0"/>
  </r>
  <r>
    <s v="HAR-01871722"/>
    <x v="3"/>
    <x v="1"/>
    <d v="2025-03-25T00:00:00"/>
    <s v="Hareruya"/>
    <x v="799"/>
    <x v="126"/>
    <s v="Si"/>
    <s v="Japonés"/>
    <n v="0.54545454545454553"/>
    <n v="10"/>
    <n v="5.454545454545455"/>
    <x v="0"/>
    <m/>
    <x v="0"/>
  </r>
  <r>
    <s v="HAR-01871722"/>
    <x v="3"/>
    <x v="1"/>
    <d v="2025-03-25T00:00:00"/>
    <s v="Hareruya"/>
    <x v="381"/>
    <x v="226"/>
    <s v="Si"/>
    <s v="Japonés"/>
    <n v="2.0727272727272732"/>
    <n v="4"/>
    <n v="8.2909090909090928"/>
    <x v="0"/>
    <m/>
    <x v="0"/>
  </r>
  <r>
    <s v="HAR-01871722"/>
    <x v="3"/>
    <x v="1"/>
    <d v="2025-03-25T00:00:00"/>
    <s v="Hareruya"/>
    <x v="197"/>
    <x v="119"/>
    <s v="Si"/>
    <s v="Japonés"/>
    <n v="0.81818181818181823"/>
    <n v="4"/>
    <n v="3.2727272727272729"/>
    <x v="0"/>
    <m/>
    <x v="0"/>
  </r>
  <r>
    <s v="HAR-01871722"/>
    <x v="3"/>
    <x v="1"/>
    <d v="2025-03-25T00:00:00"/>
    <s v="Hareruya"/>
    <x v="865"/>
    <x v="111"/>
    <s v="Si"/>
    <s v="Japonés"/>
    <n v="1.0909090909090911"/>
    <n v="4"/>
    <n v="4.3636363636363642"/>
    <x v="0"/>
    <m/>
    <x v="0"/>
  </r>
  <r>
    <s v="HAR-01871722"/>
    <x v="3"/>
    <x v="1"/>
    <d v="2025-03-25T00:00:00"/>
    <s v="Hareruya"/>
    <x v="400"/>
    <x v="60"/>
    <s v="Si"/>
    <s v="Japonés"/>
    <n v="1.0909090909090911"/>
    <n v="4"/>
    <n v="4.3636363636363642"/>
    <x v="0"/>
    <m/>
    <x v="0"/>
  </r>
  <r>
    <s v="HAR-01869316"/>
    <x v="3"/>
    <x v="1"/>
    <d v="2025-03-24T00:00:00"/>
    <s v="Hareruya"/>
    <x v="866"/>
    <x v="216"/>
    <s v="Si"/>
    <s v="Japonés"/>
    <n v="8.0727272727272741"/>
    <n v="4"/>
    <n v="32.290909090909096"/>
    <x v="0"/>
    <m/>
    <x v="0"/>
  </r>
  <r>
    <s v="HAR-01869316"/>
    <x v="3"/>
    <x v="1"/>
    <d v="2025-03-24T00:00:00"/>
    <s v="Hareruya"/>
    <x v="867"/>
    <x v="13"/>
    <s v="Si"/>
    <s v="Japonés"/>
    <n v="10.90909090909091"/>
    <n v="4"/>
    <n v="43.63636363636364"/>
    <x v="0"/>
    <m/>
    <x v="0"/>
  </r>
  <r>
    <s v="HAR-01869316"/>
    <x v="3"/>
    <x v="1"/>
    <d v="2025-03-24T00:00:00"/>
    <s v="Hareruya"/>
    <x v="860"/>
    <x v="13"/>
    <s v="No"/>
    <s v="Japonés"/>
    <n v="10.90909090909091"/>
    <n v="1"/>
    <n v="10.90909090909091"/>
    <x v="0"/>
    <m/>
    <x v="0"/>
  </r>
  <r>
    <s v="HAR-01869316"/>
    <x v="3"/>
    <x v="1"/>
    <d v="2025-03-24T00:00:00"/>
    <s v="Hareruya"/>
    <x v="868"/>
    <x v="13"/>
    <s v="Si"/>
    <s v="Japonés"/>
    <n v="0.54545454545454553"/>
    <n v="4"/>
    <n v="2.1818181818181821"/>
    <x v="0"/>
    <m/>
    <x v="0"/>
  </r>
  <r>
    <s v="HAR-01869316"/>
    <x v="3"/>
    <x v="1"/>
    <d v="2025-03-24T00:00:00"/>
    <s v="Hareruya"/>
    <x v="869"/>
    <x v="217"/>
    <s v="Si"/>
    <s v="Japonés"/>
    <n v="2.1818181818181821"/>
    <n v="4"/>
    <n v="8.7272727272727284"/>
    <x v="0"/>
    <m/>
    <x v="0"/>
  </r>
  <r>
    <s v="HAR-01869316"/>
    <x v="3"/>
    <x v="1"/>
    <d v="2025-03-24T00:00:00"/>
    <s v="Hareruya"/>
    <x v="248"/>
    <x v="73"/>
    <s v="Si"/>
    <s v="Japonés"/>
    <n v="6.4363636363636374"/>
    <n v="4"/>
    <n v="25.74545454545455"/>
    <x v="0"/>
    <m/>
    <x v="0"/>
  </r>
  <r>
    <s v="HAR-01869316"/>
    <x v="3"/>
    <x v="1"/>
    <d v="2025-03-24T00:00:00"/>
    <s v="Hareruya"/>
    <x v="870"/>
    <x v="227"/>
    <s v="Si"/>
    <s v="Japonés"/>
    <n v="8.6181818181818191"/>
    <n v="4"/>
    <n v="34.472727272727276"/>
    <x v="0"/>
    <m/>
    <x v="0"/>
  </r>
  <r>
    <s v="HAR-01869316"/>
    <x v="3"/>
    <x v="1"/>
    <d v="2025-03-24T00:00:00"/>
    <s v="Hareruya"/>
    <x v="871"/>
    <x v="221"/>
    <s v="No"/>
    <s v="Japonés"/>
    <n v="1.636363636363636"/>
    <n v="1"/>
    <n v="1.636363636363636"/>
    <x v="0"/>
    <m/>
    <x v="0"/>
  </r>
  <r>
    <s v="HAR-01869316"/>
    <x v="3"/>
    <x v="1"/>
    <d v="2025-03-24T00:00:00"/>
    <s v="Hareruya"/>
    <x v="872"/>
    <x v="221"/>
    <s v="No"/>
    <s v="Japonés"/>
    <n v="1.636363636363636"/>
    <n v="1"/>
    <n v="1.636363636363636"/>
    <x v="0"/>
    <m/>
    <x v="0"/>
  </r>
  <r>
    <s v="HAR-01869316"/>
    <x v="3"/>
    <x v="1"/>
    <d v="2025-03-24T00:00:00"/>
    <s v="Hareruya"/>
    <x v="873"/>
    <x v="221"/>
    <s v="No"/>
    <s v="Japonés"/>
    <n v="1.636363636363636"/>
    <n v="1"/>
    <n v="1.636363636363636"/>
    <x v="0"/>
    <m/>
    <x v="0"/>
  </r>
  <r>
    <s v="HAR-01869316"/>
    <x v="3"/>
    <x v="1"/>
    <d v="2025-03-24T00:00:00"/>
    <s v="Hareruya"/>
    <x v="874"/>
    <x v="221"/>
    <s v="No"/>
    <s v="Japonés"/>
    <n v="1.636363636363636"/>
    <n v="1"/>
    <n v="1.636363636363636"/>
    <x v="0"/>
    <m/>
    <x v="0"/>
  </r>
  <r>
    <s v="HAR-01869316"/>
    <x v="3"/>
    <x v="1"/>
    <d v="2025-03-24T00:00:00"/>
    <s v="Hareruya"/>
    <x v="875"/>
    <x v="221"/>
    <s v="No"/>
    <s v="Japonés"/>
    <n v="5.454545454545455"/>
    <n v="1"/>
    <n v="5.454545454545455"/>
    <x v="0"/>
    <m/>
    <x v="0"/>
  </r>
  <r>
    <s v="HAR-01869316"/>
    <x v="3"/>
    <x v="1"/>
    <d v="2025-03-24T00:00:00"/>
    <s v="Hareruya"/>
    <x v="436"/>
    <x v="51"/>
    <s v="Si"/>
    <s v="Japonés"/>
    <n v="0.98181818181818192"/>
    <n v="8"/>
    <n v="7.8545454545454554"/>
    <x v="0"/>
    <m/>
    <x v="0"/>
  </r>
  <r>
    <s v="HAR-01869316"/>
    <x v="3"/>
    <x v="1"/>
    <d v="2025-03-24T00:00:00"/>
    <s v="Hareruya"/>
    <x v="386"/>
    <x v="216"/>
    <s v="No"/>
    <s v="Japonés"/>
    <n v="0.81818181818181823"/>
    <n v="2"/>
    <n v="1.6363636363636365"/>
    <x v="0"/>
    <m/>
    <x v="0"/>
  </r>
  <r>
    <s v="HAR-01869316"/>
    <x v="3"/>
    <x v="1"/>
    <d v="2025-03-24T00:00:00"/>
    <s v="Hareruya"/>
    <x v="876"/>
    <x v="216"/>
    <s v="Si"/>
    <s v="Japonés"/>
    <n v="0.54545454545454553"/>
    <n v="4"/>
    <n v="2.1818181818181821"/>
    <x v="0"/>
    <m/>
    <x v="0"/>
  </r>
  <r>
    <s v="HAR-01869316"/>
    <x v="3"/>
    <x v="1"/>
    <d v="2025-03-24T00:00:00"/>
    <s v="Hareruya"/>
    <x v="877"/>
    <x v="216"/>
    <s v="Si"/>
    <s v="Japonés"/>
    <n v="0.27272727272727282"/>
    <n v="4"/>
    <n v="1.0909090909090913"/>
    <x v="0"/>
    <m/>
    <x v="0"/>
  </r>
  <r>
    <s v="HAR-01869316"/>
    <x v="3"/>
    <x v="1"/>
    <d v="2025-03-24T00:00:00"/>
    <s v="Hareruya"/>
    <x v="878"/>
    <x v="216"/>
    <s v="Si"/>
    <s v="Japonés"/>
    <n v="0.4363636363636364"/>
    <n v="4"/>
    <n v="1.7454545454545456"/>
    <x v="0"/>
    <m/>
    <x v="0"/>
  </r>
  <r>
    <s v="HAR-01869316"/>
    <x v="3"/>
    <x v="1"/>
    <d v="2025-03-24T00:00:00"/>
    <s v="Hareruya"/>
    <x v="879"/>
    <x v="216"/>
    <s v="Si"/>
    <s v="Japonés"/>
    <n v="0.4363636363636364"/>
    <n v="4"/>
    <n v="1.7454545454545456"/>
    <x v="0"/>
    <m/>
    <x v="0"/>
  </r>
  <r>
    <s v="HAR-01869316"/>
    <x v="3"/>
    <x v="1"/>
    <d v="2025-03-24T00:00:00"/>
    <s v="Hareruya"/>
    <x v="880"/>
    <x v="92"/>
    <s v="No"/>
    <s v="Japonés"/>
    <n v="10.90909090909091"/>
    <n v="2"/>
    <n v="21.81818181818182"/>
    <x v="0"/>
    <m/>
    <x v="0"/>
  </r>
  <r>
    <s v="HAR-01869316"/>
    <x v="3"/>
    <x v="1"/>
    <d v="2025-03-24T00:00:00"/>
    <s v="Hareruya"/>
    <x v="289"/>
    <x v="76"/>
    <s v="Si"/>
    <s v="Japonés"/>
    <n v="0.98181818181818192"/>
    <n v="4"/>
    <n v="3.9272727272727277"/>
    <x v="0"/>
    <m/>
    <x v="0"/>
  </r>
  <r>
    <s v="HAR-01869316"/>
    <x v="3"/>
    <x v="1"/>
    <d v="2025-03-24T00:00:00"/>
    <s v="Hareruya"/>
    <x v="32"/>
    <x v="56"/>
    <s v="No"/>
    <s v="Japonés"/>
    <n v="13.527272727272729"/>
    <n v="3"/>
    <n v="40.581818181818186"/>
    <x v="0"/>
    <m/>
    <x v="0"/>
  </r>
  <r>
    <s v="HAR-01869316"/>
    <x v="3"/>
    <x v="1"/>
    <d v="2025-03-24T00:00:00"/>
    <s v="Hareruya"/>
    <x v="881"/>
    <x v="56"/>
    <s v="No"/>
    <s v="Japonés"/>
    <n v="3.709090909090909"/>
    <n v="1"/>
    <n v="3.709090909090909"/>
    <x v="0"/>
    <m/>
    <x v="0"/>
  </r>
  <r>
    <s v="HAR-01869316"/>
    <x v="3"/>
    <x v="1"/>
    <d v="2025-03-24T00:00:00"/>
    <s v="Hareruya"/>
    <x v="882"/>
    <x v="32"/>
    <s v="Si"/>
    <s v="Japonés"/>
    <n v="0.27272727272727282"/>
    <n v="4"/>
    <n v="1.0909090909090913"/>
    <x v="0"/>
    <m/>
    <x v="0"/>
  </r>
  <r>
    <s v="HAR-01869316"/>
    <x v="3"/>
    <x v="1"/>
    <d v="2025-03-24T00:00:00"/>
    <s v="Hareruya"/>
    <x v="808"/>
    <x v="32"/>
    <s v="No"/>
    <s v="Japonés"/>
    <n v="3.8181818181818179"/>
    <n v="3"/>
    <n v="11.454545454545453"/>
    <x v="0"/>
    <m/>
    <x v="0"/>
  </r>
  <r>
    <s v="HAR-01869316"/>
    <x v="3"/>
    <x v="1"/>
    <d v="2025-03-24T00:00:00"/>
    <s v="Hareruya"/>
    <x v="809"/>
    <x v="88"/>
    <s v="No"/>
    <s v="Japonés"/>
    <n v="3.2727272727272729"/>
    <n v="3"/>
    <n v="9.8181818181818183"/>
    <x v="0"/>
    <m/>
    <x v="0"/>
  </r>
  <r>
    <s v="HAR-01869316"/>
    <x v="3"/>
    <x v="1"/>
    <d v="2025-03-24T00:00:00"/>
    <s v="Hareruya"/>
    <x v="380"/>
    <x v="88"/>
    <s v="Si"/>
    <s v="Japonés"/>
    <n v="2.0727272727272732"/>
    <n v="4"/>
    <n v="8.2909090909090928"/>
    <x v="0"/>
    <m/>
    <x v="0"/>
  </r>
  <r>
    <s v="HAR-01869316"/>
    <x v="3"/>
    <x v="1"/>
    <d v="2025-03-24T00:00:00"/>
    <s v="Hareruya"/>
    <x v="883"/>
    <x v="228"/>
    <s v="No"/>
    <s v="Inglés"/>
    <n v="6.5454545454545459"/>
    <n v="3"/>
    <n v="19.636363636363637"/>
    <x v="0"/>
    <m/>
    <x v="0"/>
  </r>
  <r>
    <s v="HAR-01869316"/>
    <x v="3"/>
    <x v="1"/>
    <d v="2025-03-24T00:00:00"/>
    <s v="Hareruya"/>
    <x v="884"/>
    <x v="88"/>
    <s v="Si"/>
    <s v="Japonés"/>
    <n v="3.163636363636364"/>
    <n v="4"/>
    <n v="12.654545454545456"/>
    <x v="0"/>
    <m/>
    <x v="0"/>
  </r>
  <r>
    <s v="HAR-01869316"/>
    <x v="3"/>
    <x v="1"/>
    <d v="2025-03-24T00:00:00"/>
    <s v="Hareruya"/>
    <x v="799"/>
    <x v="120"/>
    <s v="Si"/>
    <s v="Japonés"/>
    <n v="0.4363636363636364"/>
    <n v="10"/>
    <n v="4.3636363636363642"/>
    <x v="0"/>
    <m/>
    <x v="0"/>
  </r>
  <r>
    <s v="HAR-01869316"/>
    <x v="3"/>
    <x v="1"/>
    <d v="2025-03-24T00:00:00"/>
    <s v="Hareruya"/>
    <x v="799"/>
    <x v="120"/>
    <s v="Si"/>
    <s v="Japonés"/>
    <n v="0.27272727272727282"/>
    <n v="10"/>
    <n v="2.7272727272727284"/>
    <x v="0"/>
    <m/>
    <x v="0"/>
  </r>
  <r>
    <s v="HAR-01869316"/>
    <x v="3"/>
    <x v="1"/>
    <d v="2025-03-24T00:00:00"/>
    <s v="Hareruya"/>
    <x v="799"/>
    <x v="120"/>
    <s v="Si"/>
    <s v="Japonés"/>
    <n v="0.4363636363636364"/>
    <n v="9"/>
    <n v="3.9272727272727277"/>
    <x v="0"/>
    <m/>
    <x v="0"/>
  </r>
  <r>
    <s v="HAR-01869316"/>
    <x v="3"/>
    <x v="1"/>
    <d v="2025-03-24T00:00:00"/>
    <s v="Hareruya"/>
    <x v="800"/>
    <x v="120"/>
    <s v="Si"/>
    <s v="Japonés"/>
    <n v="0.54545454545454553"/>
    <n v="10"/>
    <n v="5.454545454545455"/>
    <x v="0"/>
    <m/>
    <x v="0"/>
  </r>
  <r>
    <s v="HAR-01869316"/>
    <x v="3"/>
    <x v="1"/>
    <d v="2025-03-24T00:00:00"/>
    <s v="Hareruya"/>
    <x v="800"/>
    <x v="120"/>
    <s v="Si"/>
    <s v="Japonés"/>
    <n v="0.54545454545454553"/>
    <n v="10"/>
    <n v="5.454545454545455"/>
    <x v="0"/>
    <m/>
    <x v="0"/>
  </r>
  <r>
    <n v="1201280345"/>
    <x v="3"/>
    <x v="1"/>
    <d v="2025-03-14T08:11:12"/>
    <s v="Distritozero-Bilbao"/>
    <x v="885"/>
    <x v="180"/>
    <s v="Si"/>
    <s v="Inglés"/>
    <n v="0.15"/>
    <n v="4"/>
    <n v="0.6"/>
    <x v="0"/>
    <m/>
    <x v="0"/>
  </r>
  <r>
    <n v="1199075481"/>
    <x v="3"/>
    <x v="1"/>
    <d v="2025-03-12T15:08:03"/>
    <s v="pallekuling"/>
    <x v="886"/>
    <x v="118"/>
    <s v="No"/>
    <s v="Inglés"/>
    <n v="3.7666666666666671"/>
    <n v="3"/>
    <n v="11.3"/>
    <x v="1"/>
    <n v="11.3"/>
    <x v="0"/>
  </r>
  <r>
    <n v="1200766984"/>
    <x v="3"/>
    <x v="1"/>
    <d v="2025-03-11T10:36:35"/>
    <s v="scarekrown"/>
    <x v="887"/>
    <x v="72"/>
    <s v="No"/>
    <s v="Inglés"/>
    <n v="4.165"/>
    <n v="2"/>
    <n v="8.33"/>
    <x v="0"/>
    <m/>
    <x v="0"/>
  </r>
  <r>
    <s v="WA-20250311-03"/>
    <x v="3"/>
    <x v="1"/>
    <d v="2025-03-11T00:00:00"/>
    <s v="Pike"/>
    <x v="888"/>
    <x v="142"/>
    <s v="No"/>
    <s v="Inglés"/>
    <n v="220"/>
    <n v="1"/>
    <n v="220"/>
    <x v="0"/>
    <m/>
    <x v="0"/>
  </r>
  <r>
    <s v="WA-20250311-02"/>
    <x v="3"/>
    <x v="1"/>
    <d v="2025-03-11T00:00:00"/>
    <s v="Iñigo Anguiano"/>
    <x v="888"/>
    <x v="142"/>
    <s v="No"/>
    <s v="Inglés"/>
    <n v="205"/>
    <n v="1"/>
    <n v="205"/>
    <x v="0"/>
    <m/>
    <x v="0"/>
  </r>
  <r>
    <s v="WA-20250311-01"/>
    <x v="3"/>
    <x v="1"/>
    <d v="2025-03-11T00:00:00"/>
    <s v="CarlosMMD85"/>
    <x v="889"/>
    <x v="73"/>
    <s v="No"/>
    <s v="Japonés"/>
    <n v="2.5"/>
    <n v="4"/>
    <n v="10"/>
    <x v="0"/>
    <m/>
    <x v="0"/>
  </r>
  <r>
    <s v="WA-20250311-01"/>
    <x v="3"/>
    <x v="1"/>
    <d v="2025-03-11T00:00:00"/>
    <s v="CarlosMMD85"/>
    <x v="890"/>
    <x v="73"/>
    <s v="No"/>
    <s v="Japonés"/>
    <n v="6.5"/>
    <n v="3"/>
    <n v="19.5"/>
    <x v="0"/>
    <m/>
    <x v="0"/>
  </r>
  <r>
    <s v="WA-20250311-01"/>
    <x v="3"/>
    <x v="1"/>
    <d v="2025-03-11T00:00:00"/>
    <s v="CarlosMMD85"/>
    <x v="891"/>
    <x v="104"/>
    <s v="No"/>
    <s v="Japonés"/>
    <n v="1.5"/>
    <n v="2"/>
    <n v="3"/>
    <x v="0"/>
    <m/>
    <x v="0"/>
  </r>
  <r>
    <s v="WA-20250311-01"/>
    <x v="3"/>
    <x v="1"/>
    <d v="2025-03-11T00:00:00"/>
    <s v="CarlosMMD85"/>
    <x v="892"/>
    <x v="147"/>
    <s v="No"/>
    <s v="Japonés"/>
    <n v="24"/>
    <n v="3"/>
    <n v="72"/>
    <x v="0"/>
    <m/>
    <x v="0"/>
  </r>
  <r>
    <n v="1200449065"/>
    <x v="3"/>
    <x v="1"/>
    <d v="2025-03-09T00:25:21"/>
    <s v="TEMPEST-STORE"/>
    <x v="893"/>
    <x v="210"/>
    <s v="No"/>
    <s v="Inglés"/>
    <n v="0.31565217391304351"/>
    <n v="2"/>
    <n v="0.63130434782608702"/>
    <x v="0"/>
    <m/>
    <x v="0"/>
  </r>
  <r>
    <n v="1200449065"/>
    <x v="3"/>
    <x v="1"/>
    <d v="2025-03-09T00:25:21"/>
    <s v="TEMPEST-STORE"/>
    <x v="894"/>
    <x v="183"/>
    <s v="No"/>
    <s v="Inglés"/>
    <n v="1.183695652173913"/>
    <n v="2"/>
    <n v="2.3673913043478261"/>
    <x v="0"/>
    <m/>
    <x v="0"/>
  </r>
  <r>
    <n v="1200449065"/>
    <x v="3"/>
    <x v="1"/>
    <d v="2025-03-09T00:25:21"/>
    <s v="TEMPEST-STORE"/>
    <x v="895"/>
    <x v="37"/>
    <s v="No"/>
    <s v="Inglés"/>
    <n v="0.31565217391304351"/>
    <n v="2"/>
    <n v="0.63130434782608702"/>
    <x v="0"/>
    <m/>
    <x v="0"/>
  </r>
  <r>
    <n v="1200448424"/>
    <x v="3"/>
    <x v="1"/>
    <d v="2025-03-09T00:22:07"/>
    <s v="TEMPEST-STORE"/>
    <x v="896"/>
    <x v="60"/>
    <s v="Si"/>
    <s v="Japonés"/>
    <n v="17.432500000000001"/>
    <n v="4"/>
    <n v="69.73"/>
    <x v="0"/>
    <m/>
    <x v="0"/>
  </r>
  <r>
    <n v="1200447336"/>
    <x v="3"/>
    <x v="1"/>
    <d v="2025-03-09T00:06:14"/>
    <s v="FrankerG"/>
    <x v="897"/>
    <x v="15"/>
    <s v="Si"/>
    <s v="Inglés"/>
    <n v="10.432499999999999"/>
    <n v="4"/>
    <n v="41.73"/>
    <x v="1"/>
    <n v="41.73"/>
    <x v="0"/>
  </r>
  <r>
    <n v="1200252455"/>
    <x v="3"/>
    <x v="1"/>
    <d v="2025-03-07T23:33:47"/>
    <s v="villa"/>
    <x v="898"/>
    <x v="217"/>
    <s v="No"/>
    <s v="Japonés"/>
    <n v="48.88"/>
    <n v="1"/>
    <n v="48.88"/>
    <x v="0"/>
    <m/>
    <x v="0"/>
  </r>
  <r>
    <n v="1200219864"/>
    <x v="3"/>
    <x v="1"/>
    <d v="2025-03-07T17:55:32"/>
    <s v="MISHRAFACTORY"/>
    <x v="898"/>
    <x v="217"/>
    <s v="No"/>
    <s v="Japonés"/>
    <n v="50.93"/>
    <n v="1"/>
    <n v="50.93"/>
    <x v="0"/>
    <m/>
    <x v="0"/>
  </r>
  <r>
    <n v="1198652187"/>
    <x v="3"/>
    <x v="1"/>
    <d v="2025-03-07T14:27:29"/>
    <s v="Avalontcg"/>
    <x v="899"/>
    <x v="139"/>
    <s v="No"/>
    <s v="Inglés"/>
    <n v="0.54195583596214514"/>
    <n v="2"/>
    <n v="1.0839116719242903"/>
    <x v="1"/>
    <n v="1.0839116719242903"/>
    <x v="0"/>
  </r>
  <r>
    <n v="1198652187"/>
    <x v="3"/>
    <x v="1"/>
    <d v="2025-03-07T14:27:29"/>
    <s v="Avalontcg"/>
    <x v="900"/>
    <x v="229"/>
    <s v="No"/>
    <s v="Español"/>
    <n v="5.3653627760252371"/>
    <n v="3"/>
    <n v="16.096088328075712"/>
    <x v="1"/>
    <n v="16.096088328075712"/>
    <x v="0"/>
  </r>
  <r>
    <n v="1200167959"/>
    <x v="3"/>
    <x v="1"/>
    <d v="2025-03-07T11:00:52"/>
    <s v="willybizarre"/>
    <x v="898"/>
    <x v="217"/>
    <s v="No"/>
    <s v="Japonés"/>
    <n v="52.954999999999998"/>
    <n v="2"/>
    <n v="105.91"/>
    <x v="0"/>
    <m/>
    <x v="0"/>
  </r>
  <r>
    <s v="WA-20250307-03"/>
    <x v="3"/>
    <x v="1"/>
    <d v="2025-03-07T00:00:00"/>
    <s v="punipwni"/>
    <x v="901"/>
    <x v="217"/>
    <s v="No"/>
    <s v="Japonés"/>
    <n v="39"/>
    <n v="2"/>
    <n v="78"/>
    <x v="0"/>
    <m/>
    <x v="0"/>
  </r>
  <r>
    <s v="WA-20250307-03"/>
    <x v="3"/>
    <x v="1"/>
    <d v="2025-03-07T00:00:00"/>
    <s v="punipwni"/>
    <x v="902"/>
    <x v="217"/>
    <s v="No"/>
    <s v="Japonés"/>
    <n v="24"/>
    <n v="4"/>
    <n v="96"/>
    <x v="0"/>
    <m/>
    <x v="0"/>
  </r>
  <r>
    <s v="WA-20250307-03"/>
    <x v="3"/>
    <x v="1"/>
    <d v="2025-03-07T00:00:00"/>
    <s v="punipwni"/>
    <x v="903"/>
    <x v="55"/>
    <s v="No"/>
    <s v="Japonés"/>
    <n v="10"/>
    <n v="4"/>
    <n v="40"/>
    <x v="0"/>
    <m/>
    <x v="0"/>
  </r>
  <r>
    <s v="WA-20250307-03"/>
    <x v="3"/>
    <x v="1"/>
    <d v="2025-03-07T00:00:00"/>
    <s v="punipwni"/>
    <x v="904"/>
    <x v="158"/>
    <s v="No"/>
    <s v="Japonés"/>
    <n v="14"/>
    <n v="1"/>
    <n v="14"/>
    <x v="0"/>
    <m/>
    <x v="0"/>
  </r>
  <r>
    <s v="WA-20250307-03"/>
    <x v="3"/>
    <x v="1"/>
    <d v="2025-03-07T00:00:00"/>
    <s v="punipwni"/>
    <x v="905"/>
    <x v="104"/>
    <s v="No"/>
    <s v="Japonés"/>
    <n v="6.75"/>
    <n v="4"/>
    <n v="27"/>
    <x v="0"/>
    <m/>
    <x v="0"/>
  </r>
  <r>
    <s v="WA-20250307-03"/>
    <x v="3"/>
    <x v="1"/>
    <d v="2025-03-07T00:00:00"/>
    <s v="punipwni"/>
    <x v="906"/>
    <x v="217"/>
    <s v="No"/>
    <s v="Japonés"/>
    <n v="4"/>
    <n v="4"/>
    <n v="16"/>
    <x v="0"/>
    <m/>
    <x v="0"/>
  </r>
  <r>
    <s v="WA-20250307-03"/>
    <x v="3"/>
    <x v="1"/>
    <d v="2025-03-07T00:00:00"/>
    <s v="punipwni"/>
    <x v="907"/>
    <x v="220"/>
    <s v="No"/>
    <s v="Japonés"/>
    <n v="5"/>
    <n v="2"/>
    <n v="10"/>
    <x v="0"/>
    <m/>
    <x v="0"/>
  </r>
  <r>
    <s v="WA-20250307-03"/>
    <x v="3"/>
    <x v="1"/>
    <d v="2025-03-07T00:00:00"/>
    <s v="punipwni"/>
    <x v="891"/>
    <x v="104"/>
    <s v="No"/>
    <s v="Japonés"/>
    <n v="2.5"/>
    <n v="2"/>
    <n v="5"/>
    <x v="0"/>
    <m/>
    <x v="0"/>
  </r>
  <r>
    <s v="WA-20250307-03"/>
    <x v="3"/>
    <x v="1"/>
    <d v="2025-03-07T00:00:00"/>
    <s v="punipwni"/>
    <x v="908"/>
    <x v="147"/>
    <s v="No"/>
    <s v="Japonés"/>
    <n v="1"/>
    <n v="2"/>
    <n v="2"/>
    <x v="0"/>
    <m/>
    <x v="0"/>
  </r>
  <r>
    <s v="WA-20250307-03"/>
    <x v="3"/>
    <x v="1"/>
    <d v="2025-03-07T00:00:00"/>
    <s v="punipwni"/>
    <x v="909"/>
    <x v="92"/>
    <s v="No"/>
    <s v="Japonés"/>
    <n v="2"/>
    <n v="2"/>
    <n v="4"/>
    <x v="0"/>
    <m/>
    <x v="0"/>
  </r>
  <r>
    <s v="WA-20250307-03"/>
    <x v="3"/>
    <x v="1"/>
    <d v="2025-03-07T00:00:00"/>
    <s v="punipwni"/>
    <x v="910"/>
    <x v="217"/>
    <s v="No"/>
    <s v="Japonés"/>
    <n v="3"/>
    <n v="2"/>
    <n v="6"/>
    <x v="0"/>
    <m/>
    <x v="0"/>
  </r>
  <r>
    <s v="WA-20250307-03"/>
    <x v="3"/>
    <x v="1"/>
    <d v="2025-03-07T00:00:00"/>
    <s v="punipwni"/>
    <x v="911"/>
    <x v="92"/>
    <s v="No"/>
    <s v="Japonés"/>
    <n v="9"/>
    <n v="2"/>
    <n v="18"/>
    <x v="0"/>
    <m/>
    <x v="0"/>
  </r>
  <r>
    <s v="WA-20250307-03"/>
    <x v="3"/>
    <x v="1"/>
    <d v="2025-03-07T00:00:00"/>
    <s v="punipwni"/>
    <x v="290"/>
    <x v="94"/>
    <s v="No"/>
    <s v="Japonés"/>
    <n v="6"/>
    <n v="2"/>
    <n v="12"/>
    <x v="0"/>
    <m/>
    <x v="0"/>
  </r>
  <r>
    <s v="WA-20250307-02"/>
    <x v="3"/>
    <x v="1"/>
    <d v="2025-03-07T00:00:00"/>
    <s v="DanielJV"/>
    <x v="912"/>
    <x v="118"/>
    <s v="No"/>
    <s v="Inglés"/>
    <n v="13.99"/>
    <n v="4"/>
    <n v="55.96"/>
    <x v="0"/>
    <m/>
    <x v="0"/>
  </r>
  <r>
    <s v="WA-20250307-02"/>
    <x v="3"/>
    <x v="1"/>
    <d v="2025-03-07T00:00:00"/>
    <s v="DanielJV"/>
    <x v="913"/>
    <x v="34"/>
    <s v="No"/>
    <s v="Japonés"/>
    <n v="5.49"/>
    <n v="3"/>
    <n v="16.47"/>
    <x v="0"/>
    <m/>
    <x v="0"/>
  </r>
  <r>
    <s v="WA-20250307-02"/>
    <x v="3"/>
    <x v="1"/>
    <d v="2025-03-07T00:00:00"/>
    <s v="DanielJV"/>
    <x v="914"/>
    <x v="61"/>
    <s v="No"/>
    <s v="Inglés"/>
    <n v="0.99"/>
    <n v="2"/>
    <n v="1.98"/>
    <x v="0"/>
    <m/>
    <x v="0"/>
  </r>
  <r>
    <s v="WA-20250307-01"/>
    <x v="3"/>
    <x v="1"/>
    <d v="2025-03-07T00:00:00"/>
    <s v="Andrés Ramón"/>
    <x v="915"/>
    <x v="217"/>
    <s v="No"/>
    <s v="Japonés"/>
    <n v="8"/>
    <n v="4"/>
    <n v="32"/>
    <x v="0"/>
    <m/>
    <x v="0"/>
  </r>
  <r>
    <n v="1199135567"/>
    <x v="3"/>
    <x v="1"/>
    <d v="2025-03-05T21:52:09"/>
    <s v="Tychokk"/>
    <x v="590"/>
    <x v="54"/>
    <s v="No"/>
    <s v="Inglés"/>
    <n v="18.399999999999999"/>
    <n v="1"/>
    <n v="18.399999999999999"/>
    <x v="1"/>
    <n v="18.399999999999999"/>
    <x v="0"/>
  </r>
  <r>
    <n v="1199908282"/>
    <x v="3"/>
    <x v="1"/>
    <d v="2025-03-05T17:10:01"/>
    <s v="willybizarre"/>
    <x v="916"/>
    <x v="7"/>
    <s v="No"/>
    <s v="Inglés"/>
    <n v="3.6549999999999998"/>
    <n v="2"/>
    <n v="7.31"/>
    <x v="0"/>
    <m/>
    <x v="0"/>
  </r>
  <r>
    <n v="1199908252"/>
    <x v="3"/>
    <x v="1"/>
    <d v="2025-03-05T17:10:01"/>
    <s v="TEMPEST-STORE"/>
    <x v="916"/>
    <x v="7"/>
    <s v="No"/>
    <s v="Inglés"/>
    <n v="1.855"/>
    <n v="2"/>
    <n v="3.71"/>
    <x v="0"/>
    <m/>
    <x v="0"/>
  </r>
  <r>
    <n v="1199881376"/>
    <x v="3"/>
    <x v="1"/>
    <d v="2025-03-05T17:10:01"/>
    <s v="Moria05"/>
    <x v="917"/>
    <x v="22"/>
    <s v="Si"/>
    <s v="Inglés"/>
    <n v="1.3225"/>
    <n v="4"/>
    <n v="5.29"/>
    <x v="0"/>
    <m/>
    <x v="0"/>
  </r>
  <r>
    <n v="1199482485"/>
    <x v="3"/>
    <x v="1"/>
    <d v="2025-03-02T22:19:34"/>
    <s v="FiernusCards"/>
    <x v="918"/>
    <x v="11"/>
    <s v="No"/>
    <s v="Inglés"/>
    <n v="5.28"/>
    <n v="1"/>
    <n v="5.28"/>
    <x v="0"/>
    <m/>
    <x v="0"/>
  </r>
  <r>
    <n v="1198292265"/>
    <x v="4"/>
    <x v="1"/>
    <d v="2025-02-27T08:24:49"/>
    <s v="safetronik1985"/>
    <x v="919"/>
    <x v="51"/>
    <s v="Si"/>
    <s v="Inglés"/>
    <n v="16.3825"/>
    <n v="4"/>
    <n v="65.53"/>
    <x v="1"/>
    <n v="65.53"/>
    <x v="0"/>
  </r>
  <r>
    <n v="1198849030"/>
    <x v="4"/>
    <x v="1"/>
    <d v="2025-02-27T07:08:01"/>
    <s v="Ventura-Games"/>
    <x v="529"/>
    <x v="69"/>
    <s v="Si"/>
    <s v="Inglés"/>
    <n v="15.4975"/>
    <n v="4"/>
    <n v="61.99"/>
    <x v="0"/>
    <m/>
    <x v="0"/>
  </r>
  <r>
    <n v="1198819400"/>
    <x v="4"/>
    <x v="1"/>
    <d v="2025-02-26T22:14:39"/>
    <s v="FranMTG666"/>
    <x v="920"/>
    <x v="47"/>
    <s v="Si"/>
    <s v="Japonés"/>
    <n v="0.84987804878048778"/>
    <n v="4"/>
    <n v="3.3995121951219511"/>
    <x v="0"/>
    <m/>
    <x v="0"/>
  </r>
  <r>
    <n v="1198819400"/>
    <x v="4"/>
    <x v="1"/>
    <d v="2025-02-26T22:14:39"/>
    <s v="FranMTG666"/>
    <x v="242"/>
    <x v="47"/>
    <s v="No"/>
    <s v="Inglés"/>
    <n v="1.8352439024390239"/>
    <n v="2"/>
    <n v="3.6704878048780478"/>
    <x v="0"/>
    <m/>
    <x v="0"/>
  </r>
  <r>
    <n v="1198818969"/>
    <x v="4"/>
    <x v="1"/>
    <d v="2025-02-26T22:14:39"/>
    <s v="xCrossys"/>
    <x v="529"/>
    <x v="156"/>
    <s v="No"/>
    <s v="Inglés"/>
    <n v="17.315000000000001"/>
    <n v="2"/>
    <n v="34.630000000000003"/>
    <x v="0"/>
    <m/>
    <x v="0"/>
  </r>
  <r>
    <n v="1198731774"/>
    <x v="4"/>
    <x v="1"/>
    <d v="2025-02-26T22:14:39"/>
    <s v="Distritozero-Bilbao"/>
    <x v="921"/>
    <x v="118"/>
    <s v="Si"/>
    <s v="Inglés"/>
    <n v="0.05"/>
    <n v="4"/>
    <n v="0.2"/>
    <x v="0"/>
    <m/>
    <x v="0"/>
  </r>
  <r>
    <n v="1198731774"/>
    <x v="4"/>
    <x v="1"/>
    <d v="2025-02-26T22:14:39"/>
    <s v="Distritozero-Bilbao"/>
    <x v="922"/>
    <x v="62"/>
    <s v="Si"/>
    <s v="Japonés"/>
    <n v="0.5"/>
    <n v="4"/>
    <n v="2"/>
    <x v="0"/>
    <m/>
    <x v="0"/>
  </r>
  <r>
    <n v="1198703619"/>
    <x v="4"/>
    <x v="1"/>
    <d v="2025-02-26T10:31:09"/>
    <s v="Chaplin"/>
    <x v="243"/>
    <x v="69"/>
    <s v="No"/>
    <s v="Inglés"/>
    <n v="8.33"/>
    <n v="1"/>
    <n v="8.33"/>
    <x v="0"/>
    <m/>
    <x v="0"/>
  </r>
  <r>
    <n v="1197512959"/>
    <x v="4"/>
    <x v="1"/>
    <d v="2025-02-25T23:15:06"/>
    <s v="EndlessFate"/>
    <x v="822"/>
    <x v="226"/>
    <s v="No"/>
    <s v="Inglés"/>
    <n v="8.7666666666666675"/>
    <n v="3"/>
    <n v="26.300000000000004"/>
    <x v="1"/>
    <n v="26.3"/>
    <x v="0"/>
  </r>
  <r>
    <n v="1198557853"/>
    <x v="4"/>
    <x v="1"/>
    <d v="2025-02-25T13:48:33"/>
    <s v="ManaVortex-POOL4YOU"/>
    <x v="923"/>
    <x v="108"/>
    <s v="Si"/>
    <s v="Inglés"/>
    <n v="5.3125"/>
    <n v="4"/>
    <n v="21.25"/>
    <x v="0"/>
    <m/>
    <x v="0"/>
  </r>
  <r>
    <n v="1198557498"/>
    <x v="4"/>
    <x v="1"/>
    <d v="2025-02-25T13:46:18"/>
    <s v="Moria05"/>
    <x v="924"/>
    <x v="156"/>
    <s v="Si"/>
    <s v="Inglés"/>
    <n v="2.0724999999999998"/>
    <n v="4"/>
    <n v="8.2899999999999991"/>
    <x v="0"/>
    <m/>
    <x v="0"/>
  </r>
  <r>
    <n v="1198405778"/>
    <x v="4"/>
    <x v="1"/>
    <d v="2025-02-24T16:24:07"/>
    <s v="Distritozero-Bilbao"/>
    <x v="925"/>
    <x v="133"/>
    <s v="No"/>
    <s v="Inglés"/>
    <n v="0.25"/>
    <n v="2"/>
    <n v="0.5"/>
    <x v="0"/>
    <m/>
    <x v="0"/>
  </r>
  <r>
    <n v="1198404884"/>
    <x v="4"/>
    <x v="1"/>
    <d v="2025-02-24T16:20:12"/>
    <s v="Distritozero-Bilbao"/>
    <x v="926"/>
    <x v="69"/>
    <s v="Si"/>
    <s v="Inglés"/>
    <n v="8.5"/>
    <n v="4"/>
    <n v="34"/>
    <x v="0"/>
    <m/>
    <x v="0"/>
  </r>
  <r>
    <n v="1198404656"/>
    <x v="4"/>
    <x v="1"/>
    <d v="2025-02-24T16:20:12"/>
    <s v="2depiques"/>
    <x v="243"/>
    <x v="69"/>
    <s v="No"/>
    <s v="Inglés"/>
    <n v="7.7649999999999997"/>
    <n v="2"/>
    <n v="15.53"/>
    <x v="0"/>
    <m/>
    <x v="0"/>
  </r>
  <r>
    <n v="1192929609"/>
    <x v="4"/>
    <x v="1"/>
    <d v="2025-02-22T14:53:34"/>
    <s v="bonic"/>
    <x v="663"/>
    <x v="37"/>
    <s v="No"/>
    <s v="Inglés"/>
    <n v="2.4142857142857141"/>
    <n v="3"/>
    <n v="7.242857142857142"/>
    <x v="1"/>
    <n v="7.2428571428571429"/>
    <x v="0"/>
  </r>
  <r>
    <n v="1192929609"/>
    <x v="4"/>
    <x v="1"/>
    <d v="2025-02-22T14:53:34"/>
    <s v="bonic"/>
    <x v="927"/>
    <x v="66"/>
    <s v="No"/>
    <s v="Japonés"/>
    <n v="0.30952380952380953"/>
    <n v="2"/>
    <n v="0.61904761904761907"/>
    <x v="1"/>
    <n v="0.61904761904761907"/>
    <x v="0"/>
  </r>
  <r>
    <n v="1197895608"/>
    <x v="4"/>
    <x v="1"/>
    <d v="2025-02-21T13:47:10"/>
    <s v="NMapp"/>
    <x v="928"/>
    <x v="62"/>
    <s v="No"/>
    <s v="Inglés"/>
    <n v="18.420000000000002"/>
    <n v="1"/>
    <n v="18.420000000000002"/>
    <x v="0"/>
    <m/>
    <x v="0"/>
  </r>
  <r>
    <n v="1195629059"/>
    <x v="4"/>
    <x v="1"/>
    <d v="2025-02-20T13:51:00"/>
    <s v="Darkven66"/>
    <x v="467"/>
    <x v="170"/>
    <s v="No"/>
    <s v="Inglés"/>
    <n v="9.2800000000000011"/>
    <n v="1"/>
    <n v="9.2800000000000011"/>
    <x v="1"/>
    <n v="9.2800000000000011"/>
    <x v="0"/>
  </r>
  <r>
    <n v="1197519258"/>
    <x v="4"/>
    <x v="1"/>
    <d v="2025-02-19T08:15:28"/>
    <s v="sbz3r0"/>
    <x v="929"/>
    <x v="62"/>
    <s v="No"/>
    <s v="Inglés"/>
    <n v="14.23285714285714"/>
    <n v="1"/>
    <n v="14.23285714285714"/>
    <x v="0"/>
    <m/>
    <x v="0"/>
  </r>
  <r>
    <n v="1197519258"/>
    <x v="4"/>
    <x v="1"/>
    <d v="2025-02-19T08:15:28"/>
    <s v="sbz3r0"/>
    <x v="930"/>
    <x v="7"/>
    <s v="No"/>
    <s v="Inglés"/>
    <n v="11.59714285714286"/>
    <n v="1"/>
    <n v="11.59714285714286"/>
    <x v="0"/>
    <m/>
    <x v="0"/>
  </r>
  <r>
    <n v="1197472994"/>
    <x v="4"/>
    <x v="1"/>
    <d v="2025-02-18T21:18:42"/>
    <s v="xivi98"/>
    <x v="931"/>
    <x v="190"/>
    <s v="No"/>
    <s v="Inglés"/>
    <n v="2.0299999999999998"/>
    <n v="1"/>
    <n v="2.0299999999999998"/>
    <x v="0"/>
    <m/>
    <x v="0"/>
  </r>
  <r>
    <s v="CVSALE-1197466620-01"/>
    <x v="4"/>
    <x v="1"/>
    <d v="2025-02-18T20:58:19"/>
    <s v="Venta asociada sin pedido identificado"/>
    <x v="932"/>
    <x v="226"/>
    <s v="Si"/>
    <s v="Inglés"/>
    <n v="0.28054767650572399"/>
    <n v="4"/>
    <n v="1.1221907060228959"/>
    <x v="1"/>
    <n v="1.1221907060228959"/>
    <x v="0"/>
  </r>
  <r>
    <n v="1197466655"/>
    <x v="4"/>
    <x v="1"/>
    <d v="2025-02-18T20:58:19"/>
    <s v="prieti"/>
    <x v="931"/>
    <x v="190"/>
    <s v="No"/>
    <s v="Inglés"/>
    <n v="1.7233333333333329"/>
    <n v="3"/>
    <n v="5.169999999999999"/>
    <x v="0"/>
    <m/>
    <x v="0"/>
  </r>
  <r>
    <n v="1197466620"/>
    <x v="4"/>
    <x v="1"/>
    <d v="2025-02-18T20:58:19"/>
    <s v="Moria05"/>
    <x v="933"/>
    <x v="67"/>
    <s v="Si"/>
    <s v="Inglés"/>
    <n v="0.13828571428571429"/>
    <n v="4"/>
    <n v="0.55314285714285716"/>
    <x v="0"/>
    <m/>
    <x v="0"/>
  </r>
  <r>
    <n v="1197466620"/>
    <x v="4"/>
    <x v="1"/>
    <d v="2025-02-18T20:58:19"/>
    <s v="Moria05"/>
    <x v="934"/>
    <x v="118"/>
    <s v="Si"/>
    <s v="Inglés"/>
    <n v="0.1634285714285714"/>
    <n v="4"/>
    <n v="0.65371428571428558"/>
    <x v="0"/>
    <m/>
    <x v="0"/>
  </r>
  <r>
    <n v="1197466620"/>
    <x v="4"/>
    <x v="1"/>
    <d v="2025-02-18T20:58:19"/>
    <s v="Moria05"/>
    <x v="935"/>
    <x v="190"/>
    <s v="Si"/>
    <s v="Inglés"/>
    <n v="0.42742857142857149"/>
    <n v="4"/>
    <n v="1.709714285714286"/>
    <x v="0"/>
    <m/>
    <x v="0"/>
  </r>
  <r>
    <n v="1197466620"/>
    <x v="4"/>
    <x v="1"/>
    <d v="2025-02-18T20:58:19"/>
    <s v="Moria05"/>
    <x v="936"/>
    <x v="190"/>
    <s v="Si"/>
    <s v="Inglés"/>
    <n v="0.1131428571428571"/>
    <n v="4"/>
    <n v="0.4525714285714284"/>
    <x v="0"/>
    <m/>
    <x v="0"/>
  </r>
  <r>
    <n v="1197466620"/>
    <x v="4"/>
    <x v="1"/>
    <d v="2025-02-18T20:58:19"/>
    <s v="Moria05"/>
    <x v="937"/>
    <x v="156"/>
    <s v="Si"/>
    <s v="Inglés"/>
    <n v="0.36457142857142849"/>
    <n v="4"/>
    <n v="1.458285714285714"/>
    <x v="0"/>
    <m/>
    <x v="0"/>
  </r>
  <r>
    <n v="1197466620"/>
    <x v="4"/>
    <x v="1"/>
    <d v="2025-02-18T20:58:19"/>
    <s v="Moria05"/>
    <x v="938"/>
    <x v="69"/>
    <s v="Si"/>
    <s v="Inglés"/>
    <n v="0.74171428571428566"/>
    <n v="4"/>
    <n v="2.9668571428571426"/>
    <x v="0"/>
    <m/>
    <x v="0"/>
  </r>
  <r>
    <n v="1197466620"/>
    <x v="4"/>
    <x v="1"/>
    <d v="2025-02-18T20:58:19"/>
    <s v="Moria05"/>
    <x v="939"/>
    <x v="69"/>
    <s v="Si"/>
    <s v="Inglés"/>
    <n v="0.86742857142857144"/>
    <n v="4"/>
    <n v="3.4697142857142858"/>
    <x v="0"/>
    <m/>
    <x v="0"/>
  </r>
  <r>
    <n v="1197466620"/>
    <x v="4"/>
    <x v="1"/>
    <d v="2025-02-18T20:58:19"/>
    <s v="Moria05"/>
    <x v="940"/>
    <x v="51"/>
    <s v="Si"/>
    <s v="Inglés"/>
    <n v="0.17599999999999999"/>
    <n v="4"/>
    <n v="0.70399999999999996"/>
    <x v="0"/>
    <m/>
    <x v="0"/>
  </r>
  <r>
    <n v="1197466620"/>
    <x v="4"/>
    <x v="1"/>
    <d v="2025-02-18T20:58:19"/>
    <s v="Moria05"/>
    <x v="941"/>
    <x v="199"/>
    <s v="Si"/>
    <s v="Inglés"/>
    <n v="0.1634285714285714"/>
    <n v="4"/>
    <n v="0.65371428571428558"/>
    <x v="0"/>
    <m/>
    <x v="0"/>
  </r>
  <r>
    <n v="1197466620"/>
    <x v="4"/>
    <x v="1"/>
    <d v="2025-02-18T20:58:19"/>
    <s v="Moria05"/>
    <x v="942"/>
    <x v="156"/>
    <s v="Si"/>
    <s v="Inglés"/>
    <n v="0.23885714285714291"/>
    <n v="4"/>
    <n v="0.95542857142857163"/>
    <x v="0"/>
    <m/>
    <x v="0"/>
  </r>
  <r>
    <n v="1197466620"/>
    <x v="4"/>
    <x v="1"/>
    <d v="2025-02-18T20:58:19"/>
    <s v="Moria05"/>
    <x v="943"/>
    <x v="156"/>
    <s v="Si"/>
    <s v="Inglés"/>
    <n v="0.33942857142857152"/>
    <n v="4"/>
    <n v="1.3577142857142861"/>
    <x v="0"/>
    <m/>
    <x v="0"/>
  </r>
  <r>
    <n v="1197466620"/>
    <x v="4"/>
    <x v="1"/>
    <d v="2025-02-18T20:58:19"/>
    <s v="Moria05"/>
    <x v="623"/>
    <x v="156"/>
    <s v="Si"/>
    <s v="Inglés"/>
    <n v="0.30171428571428571"/>
    <n v="4"/>
    <n v="1.2068571428571429"/>
    <x v="0"/>
    <m/>
    <x v="0"/>
  </r>
  <r>
    <n v="1197466620"/>
    <x v="4"/>
    <x v="1"/>
    <d v="2025-02-18T20:58:19"/>
    <s v="Moria05"/>
    <x v="932"/>
    <x v="226"/>
    <s v="Si"/>
    <s v="Inglés"/>
    <n v="0.36457142857142849"/>
    <n v="4"/>
    <n v="1.458285714285714"/>
    <x v="0"/>
    <m/>
    <x v="0"/>
  </r>
  <r>
    <n v="1197377255"/>
    <x v="4"/>
    <x v="1"/>
    <d v="2025-02-18T12:25:04"/>
    <s v="TEMPEST-STORE"/>
    <x v="944"/>
    <x v="7"/>
    <s v="No"/>
    <s v="Japonés"/>
    <n v="57.915000000000013"/>
    <n v="2"/>
    <n v="115.83000000000003"/>
    <x v="0"/>
    <m/>
    <x v="0"/>
  </r>
  <r>
    <n v="1197371737"/>
    <x v="4"/>
    <x v="1"/>
    <d v="2025-02-18T11:30:12"/>
    <s v="pokerfish"/>
    <x v="944"/>
    <x v="7"/>
    <s v="No"/>
    <s v="Japonés"/>
    <n v="58.566394582346277"/>
    <n v="2"/>
    <n v="117.13278916469255"/>
    <x v="0"/>
    <m/>
    <x v="0"/>
  </r>
  <r>
    <n v="1197371737"/>
    <x v="4"/>
    <x v="1"/>
    <d v="2025-02-18T11:30:12"/>
    <s v="pokerfish"/>
    <x v="945"/>
    <x v="60"/>
    <s v="Si"/>
    <s v="Inglés"/>
    <n v="23.279302708826862"/>
    <n v="4"/>
    <n v="93.117210835307446"/>
    <x v="0"/>
    <m/>
    <x v="0"/>
  </r>
  <r>
    <n v="1197262980"/>
    <x v="4"/>
    <x v="1"/>
    <d v="2025-02-17T18:41:56"/>
    <s v="TEMPEST-STORE"/>
    <x v="946"/>
    <x v="73"/>
    <s v="Si"/>
    <s v="Japonés"/>
    <n v="6.7842911449016103"/>
    <n v="4"/>
    <n v="27.137164579606441"/>
    <x v="0"/>
    <m/>
    <x v="0"/>
  </r>
  <r>
    <n v="1197262980"/>
    <x v="4"/>
    <x v="1"/>
    <d v="2025-02-17T18:41:56"/>
    <s v="TEMPEST-STORE"/>
    <x v="947"/>
    <x v="7"/>
    <s v="Si"/>
    <s v="Japonés"/>
    <n v="5.323233452593918"/>
    <n v="4"/>
    <n v="21.292933810375672"/>
    <x v="0"/>
    <m/>
    <x v="0"/>
  </r>
  <r>
    <n v="1197262980"/>
    <x v="4"/>
    <x v="1"/>
    <d v="2025-02-17T18:41:56"/>
    <s v="TEMPEST-STORE"/>
    <x v="948"/>
    <x v="158"/>
    <s v="Si"/>
    <s v="Inglés"/>
    <n v="0.5549754025044723"/>
    <n v="4"/>
    <n v="2.2199016100178892"/>
    <x v="0"/>
    <m/>
    <x v="0"/>
  </r>
  <r>
    <n v="1196948257"/>
    <x v="4"/>
    <x v="1"/>
    <d v="2025-02-15T20:13:02"/>
    <s v="Txenso"/>
    <x v="415"/>
    <x v="88"/>
    <s v="No"/>
    <s v="Inglés"/>
    <n v="3.2800000000000002"/>
    <n v="1"/>
    <n v="3.2800000000000002"/>
    <x v="1"/>
    <n v="3.2800000000000002"/>
    <x v="0"/>
  </r>
  <r>
    <n v="1196694107"/>
    <x v="4"/>
    <x v="1"/>
    <d v="2025-02-14T09:02:45"/>
    <s v="Jabo37"/>
    <x v="949"/>
    <x v="72"/>
    <s v="Si"/>
    <s v="Japonés"/>
    <n v="1.8069230769230771"/>
    <n v="4"/>
    <n v="7.2276923076923083"/>
    <x v="0"/>
    <m/>
    <x v="0"/>
  </r>
  <r>
    <n v="1196694107"/>
    <x v="4"/>
    <x v="1"/>
    <d v="2025-02-14T09:02:45"/>
    <s v="Jabo37"/>
    <x v="667"/>
    <x v="210"/>
    <s v="No"/>
    <s v="Inglés"/>
    <n v="0.60230769230769232"/>
    <n v="1"/>
    <n v="0.60230769230769232"/>
    <x v="0"/>
    <m/>
    <x v="0"/>
  </r>
  <r>
    <n v="1191858521"/>
    <x v="4"/>
    <x v="1"/>
    <d v="2025-02-13T13:41:45"/>
    <s v="Crator46"/>
    <x v="950"/>
    <x v="22"/>
    <s v="No"/>
    <s v="Inglés"/>
    <n v="6.4141348973607037"/>
    <n v="2"/>
    <n v="12.828269794721407"/>
    <x v="1"/>
    <n v="12.828269794721407"/>
    <x v="0"/>
  </r>
  <r>
    <n v="1191858521"/>
    <x v="4"/>
    <x v="1"/>
    <d v="2025-02-13T13:41:45"/>
    <s v="Crator46"/>
    <x v="951"/>
    <x v="22"/>
    <s v="Si"/>
    <s v="Inglés"/>
    <n v="1.0241055718475074"/>
    <n v="4"/>
    <n v="4.0964222873900296"/>
    <x v="1"/>
    <n v="4.0964222873900296"/>
    <x v="0"/>
  </r>
  <r>
    <n v="1191858521"/>
    <x v="4"/>
    <x v="1"/>
    <d v="2025-02-13T13:41:45"/>
    <s v="Crator46"/>
    <x v="952"/>
    <x v="15"/>
    <s v="No"/>
    <s v="Inglés"/>
    <n v="0.48510263929618769"/>
    <n v="3"/>
    <n v="1.4553079178885631"/>
    <x v="1"/>
    <n v="1.4553079178885631"/>
    <x v="0"/>
  </r>
  <r>
    <n v="1194632647"/>
    <x v="4"/>
    <x v="1"/>
    <d v="2025-02-13T11:07:03"/>
    <s v="jostaher"/>
    <x v="953"/>
    <x v="157"/>
    <s v="Si"/>
    <s v="Español"/>
    <n v="0.31157407407407406"/>
    <n v="4"/>
    <n v="1.2462962962962962"/>
    <x v="1"/>
    <n v="1.2462962962962962"/>
    <x v="0"/>
  </r>
  <r>
    <n v="1195175019"/>
    <x v="4"/>
    <x v="1"/>
    <d v="2025-02-11T13:12:24"/>
    <s v="Liquiidzx"/>
    <x v="954"/>
    <x v="45"/>
    <s v="No"/>
    <s v="Chino-T"/>
    <n v="15.28"/>
    <n v="1"/>
    <n v="15.28"/>
    <x v="1"/>
    <n v="15.28"/>
    <x v="0"/>
  </r>
  <r>
    <n v="1194307080"/>
    <x v="4"/>
    <x v="1"/>
    <d v="2025-02-11T11:38:28"/>
    <s v="DarkJaBBa"/>
    <x v="591"/>
    <x v="200"/>
    <s v="No"/>
    <s v="Inglés"/>
    <n v="42.550000000000004"/>
    <n v="1"/>
    <n v="42.550000000000004"/>
    <x v="1"/>
    <n v="42.550000000000004"/>
    <x v="0"/>
  </r>
  <r>
    <n v="1195930029"/>
    <x v="4"/>
    <x v="1"/>
    <d v="2025-02-09T20:15:46"/>
    <s v="Distritozero-San"/>
    <x v="214"/>
    <x v="156"/>
    <s v="No"/>
    <s v="Inglés"/>
    <n v="1.4"/>
    <n v="2"/>
    <n v="2.8"/>
    <x v="0"/>
    <m/>
    <x v="0"/>
  </r>
  <r>
    <n v="1195814832"/>
    <x v="4"/>
    <x v="1"/>
    <d v="2025-02-09T09:05:23"/>
    <s v="MTGWARHAMMER"/>
    <x v="955"/>
    <x v="159"/>
    <s v="Si"/>
    <s v="Inglés"/>
    <n v="2.3224999999999998"/>
    <n v="4"/>
    <n v="9.2899999999999991"/>
    <x v="0"/>
    <m/>
    <x v="0"/>
  </r>
  <r>
    <n v="1195810272"/>
    <x v="4"/>
    <x v="1"/>
    <d v="2025-02-09T09:05:23"/>
    <s v="Darkven66"/>
    <x v="956"/>
    <x v="168"/>
    <s v="No"/>
    <s v="Japonés"/>
    <n v="11.33"/>
    <n v="1"/>
    <n v="11.33"/>
    <x v="0"/>
    <m/>
    <x v="0"/>
  </r>
  <r>
    <n v="1195771934"/>
    <x v="4"/>
    <x v="1"/>
    <d v="2025-02-09T00:20:58"/>
    <s v="mikiprat"/>
    <x v="957"/>
    <x v="230"/>
    <s v="Si"/>
    <s v="Inglés"/>
    <n v="2.2025000000000001"/>
    <n v="4"/>
    <n v="8.81"/>
    <x v="0"/>
    <m/>
    <x v="0"/>
  </r>
  <r>
    <n v="1195771378"/>
    <x v="4"/>
    <x v="1"/>
    <d v="2025-02-09T00:20:58"/>
    <s v="SrIbo"/>
    <x v="958"/>
    <x v="201"/>
    <s v="No"/>
    <s v="Inglés"/>
    <n v="3.33"/>
    <n v="1"/>
    <n v="3.33"/>
    <x v="0"/>
    <m/>
    <x v="0"/>
  </r>
  <r>
    <n v="1195771366"/>
    <x v="4"/>
    <x v="1"/>
    <d v="2025-02-09T00:20:58"/>
    <s v="XFincoX"/>
    <x v="958"/>
    <x v="201"/>
    <s v="No"/>
    <s v="Inglés"/>
    <n v="3.33"/>
    <n v="1"/>
    <n v="3.33"/>
    <x v="0"/>
    <m/>
    <x v="0"/>
  </r>
  <r>
    <n v="1195771354"/>
    <x v="4"/>
    <x v="1"/>
    <d v="2025-02-09T00:20:58"/>
    <s v="damian471"/>
    <x v="958"/>
    <x v="201"/>
    <s v="No"/>
    <s v="Inglés"/>
    <n v="3.33"/>
    <n v="1"/>
    <n v="3.33"/>
    <x v="0"/>
    <m/>
    <x v="0"/>
  </r>
  <r>
    <n v="1195771347"/>
    <x v="4"/>
    <x v="1"/>
    <d v="2025-02-09T00:20:58"/>
    <s v="amoxicilina"/>
    <x v="958"/>
    <x v="201"/>
    <s v="No"/>
    <s v="Inglés"/>
    <n v="3.33"/>
    <n v="1"/>
    <n v="3.33"/>
    <x v="0"/>
    <m/>
    <x v="0"/>
  </r>
  <r>
    <n v="1194954076"/>
    <x v="4"/>
    <x v="1"/>
    <d v="2025-02-07T13:10:10"/>
    <s v="Adricarf"/>
    <x v="959"/>
    <x v="51"/>
    <s v="No"/>
    <s v="Inglés"/>
    <n v="4.3435205992509367"/>
    <n v="3"/>
    <n v="13.03056179775281"/>
    <x v="1"/>
    <n v="13.03056179775281"/>
    <x v="0"/>
  </r>
  <r>
    <n v="1195374485"/>
    <x v="4"/>
    <x v="1"/>
    <d v="2025-02-06T14:14:15"/>
    <s v="Distritozero-Bilbao"/>
    <x v="960"/>
    <x v="156"/>
    <s v="No"/>
    <s v="Inglés"/>
    <n v="19.3"/>
    <n v="1"/>
    <n v="19.3"/>
    <x v="0"/>
    <m/>
    <x v="0"/>
  </r>
  <r>
    <n v="1195354710"/>
    <x v="4"/>
    <x v="1"/>
    <d v="2025-02-06T12:35:02"/>
    <s v="Distritozero-Bilbao"/>
    <x v="524"/>
    <x v="69"/>
    <s v="Si"/>
    <s v="Inglés"/>
    <n v="36"/>
    <n v="4"/>
    <n v="144"/>
    <x v="0"/>
    <m/>
    <x v="0"/>
  </r>
  <r>
    <n v="1195169549"/>
    <x v="4"/>
    <x v="1"/>
    <d v="2025-02-05T08:51:40"/>
    <s v="TCG-MultiVerse"/>
    <x v="961"/>
    <x v="11"/>
    <s v="No"/>
    <s v="Inglés"/>
    <n v="8.83"/>
    <n v="1"/>
    <n v="8.83"/>
    <x v="0"/>
    <m/>
    <x v="0"/>
  </r>
  <r>
    <n v="1195169543"/>
    <x v="4"/>
    <x v="1"/>
    <d v="2025-02-05T08:51:40"/>
    <s v="Puertofantasy"/>
    <x v="962"/>
    <x v="11"/>
    <s v="No"/>
    <s v="Inglés"/>
    <n v="5.78"/>
    <n v="1"/>
    <n v="5.78"/>
    <x v="0"/>
    <m/>
    <x v="0"/>
  </r>
  <r>
    <n v="1195169517"/>
    <x v="4"/>
    <x v="1"/>
    <d v="2025-02-05T08:51:40"/>
    <s v="Devian-Magic-Cards"/>
    <x v="963"/>
    <x v="11"/>
    <s v="No"/>
    <s v="Inglés"/>
    <n v="7.27"/>
    <n v="1"/>
    <n v="7.27"/>
    <x v="0"/>
    <m/>
    <x v="0"/>
  </r>
  <r>
    <n v="1195169424"/>
    <x v="4"/>
    <x v="1"/>
    <d v="2025-02-05T08:51:40"/>
    <s v="JijitheCat"/>
    <x v="964"/>
    <x v="11"/>
    <s v="No"/>
    <s v="Inglés"/>
    <n v="16.329999999999998"/>
    <n v="1"/>
    <n v="16.329999999999998"/>
    <x v="0"/>
    <m/>
    <x v="0"/>
  </r>
  <r>
    <n v="1195049267"/>
    <x v="4"/>
    <x v="1"/>
    <d v="2025-02-04T14:45:39"/>
    <s v="AreSz"/>
    <x v="965"/>
    <x v="201"/>
    <s v="No"/>
    <s v="Inglés"/>
    <n v="7.58"/>
    <n v="1"/>
    <n v="7.58"/>
    <x v="0"/>
    <m/>
    <x v="0"/>
  </r>
  <r>
    <n v="1194954076"/>
    <x v="4"/>
    <x v="1"/>
    <d v="2025-02-03T22:22:14"/>
    <s v="Adricarf"/>
    <x v="966"/>
    <x v="34"/>
    <s v="No"/>
    <s v="Español"/>
    <n v="1.8660550458715599"/>
    <n v="1"/>
    <n v="1.8660550458715599"/>
    <x v="1"/>
    <n v="1.8660550458715599"/>
    <x v="0"/>
  </r>
  <r>
    <n v="1194915006"/>
    <x v="4"/>
    <x v="1"/>
    <d v="2025-02-03T21:47:10"/>
    <s v="nilcornago"/>
    <x v="591"/>
    <x v="200"/>
    <s v="No"/>
    <s v="Inglés"/>
    <n v="35.93"/>
    <n v="1"/>
    <n v="35.93"/>
    <x v="0"/>
    <m/>
    <x v="0"/>
  </r>
  <r>
    <n v="1194632647"/>
    <x v="4"/>
    <x v="1"/>
    <d v="2025-02-02T08:23:06"/>
    <s v="jostaher"/>
    <x v="967"/>
    <x v="229"/>
    <s v="No"/>
    <s v="Español"/>
    <n v="1.286021505376344"/>
    <n v="1"/>
    <n v="1.286021505376344"/>
    <x v="1"/>
    <n v="1.286021505376344"/>
    <x v="0"/>
  </r>
  <r>
    <n v="1194632647"/>
    <x v="4"/>
    <x v="1"/>
    <d v="2025-02-02T08:23:06"/>
    <s v="jostaher"/>
    <x v="968"/>
    <x v="124"/>
    <s v="No"/>
    <s v="Español"/>
    <n v="0.57870967741935486"/>
    <n v="1"/>
    <n v="0.57870967741935486"/>
    <x v="1"/>
    <n v="0.57870967741935486"/>
    <x v="0"/>
  </r>
  <r>
    <n v="1194632647"/>
    <x v="4"/>
    <x v="1"/>
    <d v="2025-02-02T08:23:06"/>
    <s v="jostaher"/>
    <x v="969"/>
    <x v="12"/>
    <s v="No"/>
    <s v="Inglés"/>
    <n v="3.7937634408602152"/>
    <n v="1"/>
    <n v="3.7937634408602152"/>
    <x v="1"/>
    <n v="3.7937634408602152"/>
    <x v="0"/>
  </r>
  <r>
    <n v="1194449724"/>
    <x v="4"/>
    <x v="1"/>
    <d v="2025-02-01T01:55:06"/>
    <s v="Aruete"/>
    <x v="970"/>
    <x v="220"/>
    <s v="No"/>
    <s v="Español"/>
    <n v="3.33"/>
    <n v="1"/>
    <n v="3.33"/>
    <x v="1"/>
    <n v="3.33"/>
    <x v="0"/>
  </r>
  <r>
    <n v="1194109006"/>
    <x v="5"/>
    <x v="1"/>
    <d v="2025-01-30T06:42:01"/>
    <s v="GENEXCOMICS"/>
    <x v="971"/>
    <x v="231"/>
    <s v="Si"/>
    <s v="Inglés"/>
    <n v="1.3225"/>
    <n v="4"/>
    <n v="5.29"/>
    <x v="0"/>
    <m/>
    <x v="0"/>
  </r>
  <r>
    <n v="1194037612"/>
    <x v="5"/>
    <x v="1"/>
    <d v="2025-01-29T18:42:24"/>
    <s v="Dominaria"/>
    <x v="972"/>
    <x v="169"/>
    <s v="No"/>
    <s v="Inglés"/>
    <n v="1.137777777777778"/>
    <n v="9"/>
    <n v="10.240000000000002"/>
    <x v="0"/>
    <m/>
    <x v="0"/>
  </r>
  <r>
    <n v="1193948773"/>
    <x v="5"/>
    <x v="1"/>
    <d v="2025-01-29T10:02:15"/>
    <s v="StrangerMurcia"/>
    <x v="973"/>
    <x v="22"/>
    <s v="Si"/>
    <s v="Inglés"/>
    <n v="0.48249999999999998"/>
    <n v="4"/>
    <n v="1.93"/>
    <x v="0"/>
    <m/>
    <x v="0"/>
  </r>
  <r>
    <n v="1193948333"/>
    <x v="5"/>
    <x v="1"/>
    <d v="2025-01-29T10:02:15"/>
    <s v="Miceliongames"/>
    <x v="974"/>
    <x v="169"/>
    <s v="No"/>
    <s v="Inglés"/>
    <n v="6.0650000000000004"/>
    <n v="2"/>
    <n v="12.13"/>
    <x v="0"/>
    <m/>
    <x v="0"/>
  </r>
  <r>
    <n v="1193948201"/>
    <x v="5"/>
    <x v="1"/>
    <d v="2025-01-29T10:02:15"/>
    <s v="vicmilcar"/>
    <x v="974"/>
    <x v="169"/>
    <s v="No"/>
    <s v="Inglés"/>
    <n v="5.32"/>
    <n v="1"/>
    <n v="5.32"/>
    <x v="0"/>
    <m/>
    <x v="0"/>
  </r>
  <r>
    <n v="1193948195"/>
    <x v="5"/>
    <x v="1"/>
    <d v="2025-01-29T10:02:15"/>
    <s v="flake88"/>
    <x v="974"/>
    <x v="169"/>
    <s v="No"/>
    <s v="Inglés"/>
    <n v="4.33"/>
    <n v="1"/>
    <n v="4.33"/>
    <x v="0"/>
    <m/>
    <x v="0"/>
  </r>
  <r>
    <n v="1191950168"/>
    <x v="5"/>
    <x v="1"/>
    <d v="2025-01-27T19:40:01"/>
    <s v="waskache"/>
    <x v="975"/>
    <x v="72"/>
    <s v="Si"/>
    <s v="Chino-S"/>
    <n v="2.2824999999999998"/>
    <n v="4"/>
    <n v="9.129999999999999"/>
    <x v="1"/>
    <n v="9.129999999999999"/>
    <x v="0"/>
  </r>
  <r>
    <n v="1193419516"/>
    <x v="5"/>
    <x v="1"/>
    <d v="2025-01-26T12:29:21"/>
    <s v="Kerith"/>
    <x v="976"/>
    <x v="232"/>
    <s v="No"/>
    <s v="Japonés"/>
    <n v="4.7650000000000006"/>
    <n v="2"/>
    <n v="9.5300000000000011"/>
    <x v="0"/>
    <m/>
    <x v="0"/>
  </r>
  <r>
    <n v="1193417651"/>
    <x v="5"/>
    <x v="1"/>
    <d v="2025-01-26T12:29:21"/>
    <s v="MandruasMagicCorner"/>
    <x v="977"/>
    <x v="108"/>
    <s v="No"/>
    <s v="Inglés"/>
    <n v="4.53"/>
    <n v="2"/>
    <n v="9.06"/>
    <x v="0"/>
    <m/>
    <x v="0"/>
  </r>
  <r>
    <n v="1193417631"/>
    <x v="5"/>
    <x v="1"/>
    <d v="2025-01-26T12:29:21"/>
    <s v="ManaTemple"/>
    <x v="977"/>
    <x v="108"/>
    <s v="No"/>
    <s v="Inglés"/>
    <n v="3.1"/>
    <n v="2"/>
    <n v="6.2"/>
    <x v="0"/>
    <m/>
    <x v="0"/>
  </r>
  <r>
    <n v="1193402417"/>
    <x v="5"/>
    <x v="1"/>
    <d v="2025-01-26T12:29:21"/>
    <s v="Terantino028"/>
    <x v="978"/>
    <x v="6"/>
    <s v="No"/>
    <s v="Inglés"/>
    <n v="32.880000000000003"/>
    <n v="1"/>
    <n v="32.880000000000003"/>
    <x v="0"/>
    <m/>
    <x v="0"/>
  </r>
  <r>
    <n v="1193402396"/>
    <x v="5"/>
    <x v="1"/>
    <d v="2025-01-26T12:29:21"/>
    <s v="Moshitron"/>
    <x v="978"/>
    <x v="6"/>
    <s v="No"/>
    <s v="Inglés"/>
    <n v="30.864999999999998"/>
    <n v="2"/>
    <n v="61.73"/>
    <x v="0"/>
    <m/>
    <x v="0"/>
  </r>
  <r>
    <n v="1191918896"/>
    <x v="5"/>
    <x v="1"/>
    <d v="2025-01-25T12:33:30"/>
    <s v="lafamiliaesloprimero"/>
    <x v="979"/>
    <x v="233"/>
    <s v="No"/>
    <s v="Español"/>
    <n v="6.32"/>
    <n v="1"/>
    <n v="6.32"/>
    <x v="1"/>
    <n v="6.32"/>
    <x v="0"/>
  </r>
  <r>
    <n v="1193206309"/>
    <x v="5"/>
    <x v="1"/>
    <d v="2025-01-25T01:02:35"/>
    <s v="JupiterMadridNorte"/>
    <x v="980"/>
    <x v="6"/>
    <s v="Si"/>
    <s v="Inglés"/>
    <n v="0.86458227848101266"/>
    <n v="4"/>
    <n v="3.4583291139240506"/>
    <x v="0"/>
    <m/>
    <x v="0"/>
  </r>
  <r>
    <n v="1193206309"/>
    <x v="5"/>
    <x v="1"/>
    <d v="2025-01-25T01:02:35"/>
    <s v="JupiterMadridNorte"/>
    <x v="981"/>
    <x v="6"/>
    <s v="No"/>
    <s v="Inglés"/>
    <n v="5.7716708860759498"/>
    <n v="1"/>
    <n v="5.7716708860759498"/>
    <x v="0"/>
    <m/>
    <x v="0"/>
  </r>
  <r>
    <n v="1192612735"/>
    <x v="5"/>
    <x v="1"/>
    <d v="2025-01-24T18:20:45"/>
    <s v="Metropolis-Center"/>
    <x v="982"/>
    <x v="15"/>
    <s v="Si"/>
    <s v="Inglés"/>
    <n v="1.6114525139664804"/>
    <n v="4"/>
    <n v="6.4458100558659215"/>
    <x v="1"/>
    <n v="6.4458100558659215"/>
    <x v="0"/>
  </r>
  <r>
    <n v="1193092740"/>
    <x v="5"/>
    <x v="1"/>
    <d v="2025-01-24T11:47:05"/>
    <s v="MrDylan83"/>
    <x v="983"/>
    <x v="234"/>
    <s v="Si"/>
    <s v="Inglés"/>
    <n v="10.432499999999999"/>
    <n v="4"/>
    <n v="41.73"/>
    <x v="1"/>
    <n v="41.73"/>
    <x v="0"/>
  </r>
  <r>
    <n v="1192929609"/>
    <x v="5"/>
    <x v="1"/>
    <d v="2025-01-23T13:41:05"/>
    <s v="bonic"/>
    <x v="984"/>
    <x v="148"/>
    <s v="No"/>
    <s v="Inglés"/>
    <n v="0.69951140065146578"/>
    <n v="1"/>
    <n v="0.69951140065146578"/>
    <x v="1"/>
    <n v="0.69951140065146578"/>
    <x v="0"/>
  </r>
  <r>
    <n v="1192929609"/>
    <x v="5"/>
    <x v="1"/>
    <d v="2025-01-23T13:41:05"/>
    <s v="bonic"/>
    <x v="985"/>
    <x v="67"/>
    <s v="No"/>
    <s v="Español"/>
    <n v="0.69951140065146578"/>
    <n v="1"/>
    <n v="0.69951140065146578"/>
    <x v="1"/>
    <n v="0.69951140065146578"/>
    <x v="0"/>
  </r>
  <r>
    <n v="1192929609"/>
    <x v="5"/>
    <x v="1"/>
    <d v="2025-01-23T13:41:05"/>
    <s v="bonic"/>
    <x v="219"/>
    <x v="235"/>
    <s v="No"/>
    <s v="Inglés"/>
    <n v="0.69951140065146578"/>
    <n v="1"/>
    <n v="0.69951140065146578"/>
    <x v="1"/>
    <n v="0.69951140065146578"/>
    <x v="0"/>
  </r>
  <r>
    <n v="1192922162"/>
    <x v="5"/>
    <x v="1"/>
    <d v="2025-01-23T11:11:32"/>
    <s v="The-Collectible"/>
    <x v="801"/>
    <x v="68"/>
    <s v="No"/>
    <s v="Inglés"/>
    <n v="3.83"/>
    <n v="1"/>
    <n v="3.83"/>
    <x v="0"/>
    <m/>
    <x v="0"/>
  </r>
  <r>
    <n v="1192922149"/>
    <x v="5"/>
    <x v="1"/>
    <d v="2025-01-23T11:11:32"/>
    <s v="MagicMallorca"/>
    <x v="801"/>
    <x v="68"/>
    <s v="No"/>
    <s v="Inglés"/>
    <n v="3.83"/>
    <n v="1"/>
    <n v="3.83"/>
    <x v="0"/>
    <m/>
    <x v="0"/>
  </r>
  <r>
    <n v="1192922140"/>
    <x v="5"/>
    <x v="1"/>
    <d v="2025-01-23T11:11:32"/>
    <s v="Zarzi88"/>
    <x v="801"/>
    <x v="68"/>
    <s v="No"/>
    <s v="Inglés"/>
    <n v="3.63"/>
    <n v="1"/>
    <n v="3.63"/>
    <x v="0"/>
    <m/>
    <x v="0"/>
  </r>
  <r>
    <n v="1192851623"/>
    <x v="5"/>
    <x v="1"/>
    <d v="2025-01-22T20:41:37"/>
    <s v="Metropolis-Center"/>
    <x v="986"/>
    <x v="133"/>
    <s v="No"/>
    <s v="Inglés"/>
    <n v="2.2887246049661401"/>
    <n v="2"/>
    <n v="4.5774492099322801"/>
    <x v="0"/>
    <m/>
    <x v="0"/>
  </r>
  <r>
    <n v="1192851623"/>
    <x v="5"/>
    <x v="1"/>
    <d v="2025-01-22T20:41:37"/>
    <s v="Metropolis-Center"/>
    <x v="987"/>
    <x v="232"/>
    <s v="No"/>
    <s v="Inglés"/>
    <n v="0.39103837471783298"/>
    <n v="2"/>
    <n v="0.78207674943566596"/>
    <x v="0"/>
    <m/>
    <x v="0"/>
  </r>
  <r>
    <n v="1192851623"/>
    <x v="5"/>
    <x v="1"/>
    <d v="2025-01-22T20:41:37"/>
    <s v="Metropolis-Center"/>
    <x v="988"/>
    <x v="96"/>
    <s v="Si"/>
    <s v="Inglés"/>
    <n v="1.138611738148984"/>
    <n v="4"/>
    <n v="4.5544469525959359"/>
    <x v="0"/>
    <m/>
    <x v="0"/>
  </r>
  <r>
    <n v="1192851623"/>
    <x v="5"/>
    <x v="1"/>
    <d v="2025-01-22T20:41:37"/>
    <s v="Metropolis-Center"/>
    <x v="989"/>
    <x v="181"/>
    <s v="No"/>
    <s v="Inglés"/>
    <n v="0.27602708803611742"/>
    <n v="1"/>
    <n v="0.27602708803611742"/>
    <x v="0"/>
    <m/>
    <x v="0"/>
  </r>
  <r>
    <n v="1192836908"/>
    <x v="5"/>
    <x v="1"/>
    <d v="2025-01-22T19:22:14"/>
    <s v="Tramer"/>
    <x v="990"/>
    <x v="164"/>
    <s v="No"/>
    <s v="Chino-S"/>
    <n v="10.664999999999999"/>
    <n v="2"/>
    <n v="21.33"/>
    <x v="0"/>
    <m/>
    <x v="0"/>
  </r>
  <r>
    <n v="1192612735"/>
    <x v="5"/>
    <x v="1"/>
    <d v="2025-01-21T12:56:02"/>
    <s v="Metropolis-Center"/>
    <x v="480"/>
    <x v="90"/>
    <s v="No"/>
    <s v="Inglés"/>
    <n v="3.506107382550335"/>
    <n v="2"/>
    <n v="7.0122147651006701"/>
    <x v="1"/>
    <n v="7.012214765100671"/>
    <x v="0"/>
  </r>
  <r>
    <n v="1192398485"/>
    <x v="5"/>
    <x v="1"/>
    <d v="2025-01-19T23:50:28"/>
    <s v="Mikilin"/>
    <x v="335"/>
    <x v="182"/>
    <s v="No"/>
    <s v="Japonés"/>
    <n v="1.165"/>
    <n v="2"/>
    <n v="2.33"/>
    <x v="0"/>
    <m/>
    <x v="0"/>
  </r>
  <r>
    <n v="1192281332"/>
    <x v="5"/>
    <x v="1"/>
    <d v="2025-01-19T12:14:14"/>
    <s v="makotomonaka"/>
    <x v="415"/>
    <x v="42"/>
    <s v="No"/>
    <s v="Español"/>
    <n v="2.23"/>
    <n v="1"/>
    <n v="2.23"/>
    <x v="1"/>
    <n v="2.23"/>
    <x v="0"/>
  </r>
  <r>
    <n v="1192106338"/>
    <x v="5"/>
    <x v="1"/>
    <d v="2025-01-18T09:06:25"/>
    <s v="lucario90"/>
    <x v="336"/>
    <x v="202"/>
    <s v="No"/>
    <s v="Inglés"/>
    <n v="3.33"/>
    <n v="1"/>
    <n v="3.33"/>
    <x v="0"/>
    <m/>
    <x v="0"/>
  </r>
  <r>
    <n v="1192106329"/>
    <x v="5"/>
    <x v="1"/>
    <d v="2025-01-18T09:06:25"/>
    <s v="JupiterMadridCentral"/>
    <x v="336"/>
    <x v="202"/>
    <s v="No"/>
    <s v="Inglés"/>
    <n v="3.33"/>
    <n v="1"/>
    <n v="3.33"/>
    <x v="0"/>
    <m/>
    <x v="0"/>
  </r>
  <r>
    <n v="1192106327"/>
    <x v="5"/>
    <x v="1"/>
    <d v="2025-01-18T09:06:25"/>
    <s v="juliobonatti"/>
    <x v="336"/>
    <x v="202"/>
    <s v="No"/>
    <s v="Inglés"/>
    <n v="3.22"/>
    <n v="1"/>
    <n v="3.22"/>
    <x v="0"/>
    <m/>
    <x v="0"/>
  </r>
  <r>
    <n v="1191509329"/>
    <x v="5"/>
    <x v="1"/>
    <d v="2025-01-17T22:56:35"/>
    <s v="augustojas"/>
    <x v="991"/>
    <x v="37"/>
    <s v="No"/>
    <s v="Japonés"/>
    <n v="6.6150000000000002"/>
    <n v="2"/>
    <n v="13.23"/>
    <x v="1"/>
    <n v="13.23"/>
    <x v="0"/>
  </r>
  <r>
    <n v="1192004724"/>
    <x v="5"/>
    <x v="1"/>
    <d v="2025-01-17T14:34:37"/>
    <s v="Moria05"/>
    <x v="992"/>
    <x v="201"/>
    <s v="No"/>
    <s v="Inglés"/>
    <n v="2.9049999999999998"/>
    <n v="2"/>
    <n v="5.81"/>
    <x v="0"/>
    <m/>
    <x v="0"/>
  </r>
  <r>
    <n v="1192004406"/>
    <x v="5"/>
    <x v="1"/>
    <d v="2025-01-17T14:34:37"/>
    <s v="ManaVortex-POOL4YOU"/>
    <x v="993"/>
    <x v="108"/>
    <s v="No"/>
    <s v="Inglés"/>
    <n v="5.78"/>
    <n v="1"/>
    <n v="5.78"/>
    <x v="0"/>
    <m/>
    <x v="0"/>
  </r>
  <r>
    <n v="1191996305"/>
    <x v="5"/>
    <x v="1"/>
    <d v="2025-01-17T13:37:08"/>
    <s v="leocanalejo"/>
    <x v="994"/>
    <x v="22"/>
    <s v="Si"/>
    <s v="Inglés"/>
    <n v="8.432500000000001"/>
    <n v="4"/>
    <n v="33.730000000000004"/>
    <x v="1"/>
    <n v="33.730000000000004"/>
    <x v="0"/>
  </r>
  <r>
    <n v="1191648783"/>
    <x v="5"/>
    <x v="1"/>
    <d v="2025-01-15T23:24:28"/>
    <s v="Kewedo"/>
    <x v="995"/>
    <x v="22"/>
    <s v="No"/>
    <s v="Inglés"/>
    <n v="2.3200000000000003"/>
    <n v="1"/>
    <n v="2.3200000000000003"/>
    <x v="1"/>
    <n v="2.3200000000000003"/>
    <x v="0"/>
  </r>
  <r>
    <n v="1191707488"/>
    <x v="5"/>
    <x v="1"/>
    <d v="2025-01-15T15:40:00"/>
    <s v="DUAL-GAMES"/>
    <x v="996"/>
    <x v="216"/>
    <s v="Si"/>
    <s v="Inglés"/>
    <n v="11.45"/>
    <n v="4"/>
    <n v="45.8"/>
    <x v="0"/>
    <m/>
    <x v="0"/>
  </r>
  <r>
    <n v="1191705587"/>
    <x v="5"/>
    <x v="1"/>
    <d v="2025-01-15T15:40:00"/>
    <s v="TEMPEST-STORE"/>
    <x v="997"/>
    <x v="60"/>
    <s v="Si"/>
    <s v="Japonés"/>
    <n v="2.5825"/>
    <n v="4"/>
    <n v="10.33"/>
    <x v="0"/>
    <m/>
    <x v="0"/>
  </r>
  <r>
    <n v="1191700127"/>
    <x v="5"/>
    <x v="1"/>
    <d v="2025-01-15T14:47:59"/>
    <s v="Koby2000"/>
    <x v="994"/>
    <x v="7"/>
    <s v="No"/>
    <s v="Japonés"/>
    <n v="7.33"/>
    <n v="1"/>
    <n v="7.33"/>
    <x v="0"/>
    <m/>
    <x v="0"/>
  </r>
  <r>
    <n v="1191700121"/>
    <x v="5"/>
    <x v="1"/>
    <d v="2025-01-15T14:47:59"/>
    <s v="Ichiban-Cards"/>
    <x v="994"/>
    <x v="7"/>
    <s v="No"/>
    <s v="Japonés"/>
    <n v="7.83"/>
    <n v="1"/>
    <n v="7.83"/>
    <x v="0"/>
    <m/>
    <x v="0"/>
  </r>
  <r>
    <n v="1191700111"/>
    <x v="5"/>
    <x v="1"/>
    <d v="2025-01-15T14:47:59"/>
    <s v="MikeParty"/>
    <x v="994"/>
    <x v="7"/>
    <s v="No"/>
    <s v="Japonés"/>
    <n v="8.1650000000000009"/>
    <n v="2"/>
    <n v="16.330000000000002"/>
    <x v="0"/>
    <m/>
    <x v="0"/>
  </r>
  <r>
    <n v="1191698809"/>
    <x v="5"/>
    <x v="1"/>
    <d v="2025-01-15T14:47:59"/>
    <s v="Distritozero-Bilbao"/>
    <x v="998"/>
    <x v="236"/>
    <s v="No"/>
    <s v="Inglés"/>
    <n v="0.25"/>
    <n v="1"/>
    <n v="0.25"/>
    <x v="0"/>
    <m/>
    <x v="0"/>
  </r>
  <r>
    <n v="1191672454"/>
    <x v="5"/>
    <x v="1"/>
    <d v="2025-01-15T14:47:59"/>
    <s v="alvaroelda"/>
    <x v="983"/>
    <x v="88"/>
    <s v="Si"/>
    <s v="Inglés"/>
    <n v="21.802499999999998"/>
    <n v="4"/>
    <n v="87.21"/>
    <x v="0"/>
    <m/>
    <x v="0"/>
  </r>
  <r>
    <n v="1191552997"/>
    <x v="5"/>
    <x v="1"/>
    <d v="2025-01-14T15:55:10"/>
    <s v="kandun"/>
    <x v="995"/>
    <x v="22"/>
    <s v="No"/>
    <s v="Inglés"/>
    <n v="2.3933333333333331"/>
    <n v="3"/>
    <n v="7.18"/>
    <x v="1"/>
    <n v="7.18"/>
    <x v="0"/>
  </r>
  <r>
    <n v="1191518152"/>
    <x v="5"/>
    <x v="1"/>
    <d v="2025-01-14T12:04:43"/>
    <s v="Kar0nte"/>
    <x v="999"/>
    <x v="7"/>
    <s v="No"/>
    <s v="Inglés"/>
    <n v="4.33"/>
    <n v="1"/>
    <n v="4.33"/>
    <x v="0"/>
    <m/>
    <x v="0"/>
  </r>
  <r>
    <n v="1191518142"/>
    <x v="5"/>
    <x v="1"/>
    <d v="2025-01-14T12:04:43"/>
    <s v="Shark-Games"/>
    <x v="999"/>
    <x v="7"/>
    <s v="No"/>
    <s v="Inglés"/>
    <n v="4.4220682730923686"/>
    <n v="1"/>
    <n v="4.4220682730923686"/>
    <x v="0"/>
    <m/>
    <x v="0"/>
  </r>
  <r>
    <n v="1191518142"/>
    <x v="5"/>
    <x v="1"/>
    <d v="2025-01-14T12:04:43"/>
    <s v="Shark-Games"/>
    <x v="1000"/>
    <x v="7"/>
    <s v="No"/>
    <s v="Inglés"/>
    <n v="1.887931726907631"/>
    <n v="1"/>
    <n v="1.887931726907631"/>
    <x v="0"/>
    <m/>
    <x v="0"/>
  </r>
  <r>
    <n v="1191518134"/>
    <x v="5"/>
    <x v="1"/>
    <d v="2025-01-14T12:04:43"/>
    <s v="AvalonBurgos"/>
    <x v="999"/>
    <x v="7"/>
    <s v="No"/>
    <s v="Inglés"/>
    <n v="4.6550000000000002"/>
    <n v="2"/>
    <n v="9.31"/>
    <x v="0"/>
    <m/>
    <x v="0"/>
  </r>
  <r>
    <n v="1191517582"/>
    <x v="5"/>
    <x v="1"/>
    <d v="2025-01-14T12:04:43"/>
    <s v="Moria05"/>
    <x v="1000"/>
    <x v="7"/>
    <s v="No"/>
    <s v="Inglés"/>
    <n v="2.8697821100917431"/>
    <n v="3"/>
    <n v="8.6093463302752298"/>
    <x v="0"/>
    <m/>
    <x v="0"/>
  </r>
  <r>
    <n v="1191517582"/>
    <x v="5"/>
    <x v="1"/>
    <d v="2025-01-14T12:04:43"/>
    <s v="Moria05"/>
    <x v="1001"/>
    <x v="88"/>
    <s v="No"/>
    <s v="Inglés"/>
    <n v="1.4406536697247709"/>
    <n v="1"/>
    <n v="1.4406536697247709"/>
    <x v="0"/>
    <m/>
    <x v="0"/>
  </r>
  <r>
    <n v="1191506313"/>
    <x v="5"/>
    <x v="1"/>
    <d v="2025-01-14T10:36:07"/>
    <s v="WarLotus"/>
    <x v="928"/>
    <x v="62"/>
    <s v="No"/>
    <s v="Inglés"/>
    <n v="12.32"/>
    <n v="1"/>
    <n v="12.32"/>
    <x v="0"/>
    <m/>
    <x v="0"/>
  </r>
  <r>
    <n v="1188485592"/>
    <x v="5"/>
    <x v="1"/>
    <d v="2025-01-12T23:07:31"/>
    <s v="SrGekota"/>
    <x v="1002"/>
    <x v="11"/>
    <s v="Si"/>
    <s v="Inglés"/>
    <n v="5.2549999999999999"/>
    <n v="4"/>
    <n v="21.02"/>
    <x v="1"/>
    <n v="21.02"/>
    <x v="0"/>
  </r>
  <r>
    <n v="1189912274"/>
    <x v="5"/>
    <x v="1"/>
    <d v="2025-01-10T13:59:14"/>
    <s v="MiquelSenpai"/>
    <x v="1003"/>
    <x v="200"/>
    <s v="Si"/>
    <s v="Inglés"/>
    <n v="3.3225000000000002"/>
    <n v="4"/>
    <n v="13.290000000000001"/>
    <x v="1"/>
    <n v="13.290000000000001"/>
    <x v="0"/>
  </r>
  <r>
    <n v="1190728790"/>
    <x v="5"/>
    <x v="1"/>
    <d v="2025-01-09T22:27:32"/>
    <s v="CalongeComics"/>
    <x v="1004"/>
    <x v="47"/>
    <s v="No"/>
    <s v="Japonés"/>
    <n v="12.04585537918871"/>
    <n v="2"/>
    <n v="24.09171075837742"/>
    <x v="0"/>
    <m/>
    <x v="0"/>
  </r>
  <r>
    <n v="1190728790"/>
    <x v="5"/>
    <x v="1"/>
    <d v="2025-01-09T22:27:32"/>
    <s v="CalongeComics"/>
    <x v="1005"/>
    <x v="200"/>
    <s v="Si"/>
    <s v="Inglés"/>
    <n v="0.12045855379188709"/>
    <n v="4"/>
    <n v="0.48183421516754837"/>
    <x v="0"/>
    <m/>
    <x v="0"/>
  </r>
  <r>
    <n v="1190728790"/>
    <x v="5"/>
    <x v="1"/>
    <d v="2025-01-09T22:27:32"/>
    <s v="CalongeComics"/>
    <x v="1006"/>
    <x v="190"/>
    <s v="Si"/>
    <s v="Inglés"/>
    <n v="0.2409171075837743"/>
    <n v="4"/>
    <n v="0.96366843033509719"/>
    <x v="0"/>
    <m/>
    <x v="0"/>
  </r>
  <r>
    <n v="1190728790"/>
    <x v="5"/>
    <x v="1"/>
    <d v="2025-01-09T22:27:32"/>
    <s v="CalongeComics"/>
    <x v="405"/>
    <x v="68"/>
    <s v="No"/>
    <s v="Inglés"/>
    <n v="2.5898589065255728"/>
    <n v="1"/>
    <n v="2.5898589065255728"/>
    <x v="0"/>
    <m/>
    <x v="0"/>
  </r>
  <r>
    <n v="1190728790"/>
    <x v="5"/>
    <x v="1"/>
    <d v="2025-01-09T22:27:32"/>
    <s v="CalongeComics"/>
    <x v="406"/>
    <x v="68"/>
    <s v="Si"/>
    <s v="Inglés"/>
    <n v="1.505731922398589"/>
    <n v="4"/>
    <n v="6.022927689594356"/>
    <x v="0"/>
    <m/>
    <x v="0"/>
  </r>
  <r>
    <n v="1190720765"/>
    <x v="5"/>
    <x v="1"/>
    <d v="2025-01-09T22:27:32"/>
    <s v="Mazvigosl"/>
    <x v="1007"/>
    <x v="151"/>
    <s v="No"/>
    <s v="Inglés"/>
    <n v="7.0048131539611367"/>
    <n v="3"/>
    <n v="21.014439461883409"/>
    <x v="0"/>
    <m/>
    <x v="0"/>
  </r>
  <r>
    <n v="1190720765"/>
    <x v="5"/>
    <x v="1"/>
    <d v="2025-01-09T22:27:32"/>
    <s v="Mazvigosl"/>
    <x v="1008"/>
    <x v="68"/>
    <s v="Si"/>
    <s v="Inglés"/>
    <n v="0.2354559043348281"/>
    <n v="4"/>
    <n v="0.94182361733931241"/>
    <x v="0"/>
    <m/>
    <x v="0"/>
  </r>
  <r>
    <n v="1190720765"/>
    <x v="5"/>
    <x v="1"/>
    <d v="2025-01-09T22:27:32"/>
    <s v="Mazvigosl"/>
    <x v="405"/>
    <x v="68"/>
    <s v="No"/>
    <s v="Inglés"/>
    <n v="4.0027503736920771"/>
    <n v="3"/>
    <n v="12.008251121076231"/>
    <x v="0"/>
    <m/>
    <x v="0"/>
  </r>
  <r>
    <n v="1190720765"/>
    <x v="5"/>
    <x v="1"/>
    <d v="2025-01-09T22:27:32"/>
    <s v="Mazvigosl"/>
    <x v="1009"/>
    <x v="202"/>
    <s v="No"/>
    <s v="Inglés"/>
    <n v="1.059551569506727"/>
    <n v="1"/>
    <n v="1.059551569506727"/>
    <x v="0"/>
    <m/>
    <x v="0"/>
  </r>
  <r>
    <n v="1190720765"/>
    <x v="5"/>
    <x v="1"/>
    <d v="2025-01-09T22:27:32"/>
    <s v="Mazvigosl"/>
    <x v="266"/>
    <x v="82"/>
    <s v="No"/>
    <s v="Inglés"/>
    <n v="2.17796711509716"/>
    <n v="2"/>
    <n v="4.35593423019432"/>
    <x v="0"/>
    <m/>
    <x v="0"/>
  </r>
  <r>
    <n v="1188500052"/>
    <x v="5"/>
    <x v="1"/>
    <d v="2025-01-07T12:22:19"/>
    <s v="Vintar"/>
    <x v="1010"/>
    <x v="179"/>
    <s v="No"/>
    <s v="Inglés"/>
    <n v="26.524307329534288"/>
    <n v="2"/>
    <n v="53.048614659068576"/>
    <x v="1"/>
    <n v="53.048614659068576"/>
    <x v="0"/>
  </r>
  <r>
    <n v="1188500052"/>
    <x v="5"/>
    <x v="1"/>
    <d v="2025-01-07T12:22:19"/>
    <s v="Vintar"/>
    <x v="1011"/>
    <x v="237"/>
    <s v="No"/>
    <s v="Inglés"/>
    <n v="0.55374336804873259"/>
    <n v="1"/>
    <n v="0.55374336804873259"/>
    <x v="1"/>
    <n v="0.55374336804873259"/>
    <x v="0"/>
  </r>
  <r>
    <n v="1190070315"/>
    <x v="5"/>
    <x v="1"/>
    <d v="2025-01-06T02:13:17"/>
    <s v="Distritozero-Bilbao"/>
    <x v="1012"/>
    <x v="51"/>
    <s v="Si"/>
    <s v="Inglés"/>
    <n v="0.45"/>
    <n v="4"/>
    <n v="1.8"/>
    <x v="0"/>
    <m/>
    <x v="0"/>
  </r>
  <r>
    <n v="1190070315"/>
    <x v="5"/>
    <x v="1"/>
    <d v="2025-01-06T02:13:17"/>
    <s v="Distritozero-Bilbao"/>
    <x v="1013"/>
    <x v="67"/>
    <s v="Si"/>
    <s v="Inglés"/>
    <n v="0.25"/>
    <n v="4"/>
    <n v="1"/>
    <x v="0"/>
    <m/>
    <x v="0"/>
  </r>
  <r>
    <n v="1190070315"/>
    <x v="5"/>
    <x v="1"/>
    <d v="2025-01-06T02:13:17"/>
    <s v="Distritozero-Bilbao"/>
    <x v="254"/>
    <x v="76"/>
    <s v="No"/>
    <s v="Español"/>
    <n v="7.5"/>
    <n v="1"/>
    <n v="7.5"/>
    <x v="0"/>
    <m/>
    <x v="0"/>
  </r>
  <r>
    <n v="1190040779"/>
    <x v="5"/>
    <x v="1"/>
    <d v="2025-01-05T11:37:02"/>
    <s v="Lollomagic"/>
    <x v="912"/>
    <x v="118"/>
    <s v="No"/>
    <s v="Inglés"/>
    <n v="12.399999999999999"/>
    <n v="1"/>
    <n v="12.399999999999999"/>
    <x v="1"/>
    <n v="12.399999999999999"/>
    <x v="0"/>
  </r>
  <r>
    <n v="1190024451"/>
    <x v="5"/>
    <x v="1"/>
    <d v="2025-01-05T09:18:06"/>
    <s v="Nighthaze7170"/>
    <x v="912"/>
    <x v="118"/>
    <s v="No"/>
    <s v="Inglés"/>
    <n v="11.174999999999999"/>
    <n v="2"/>
    <n v="22.349999999999998"/>
    <x v="1"/>
    <n v="22.349999999999998"/>
    <x v="0"/>
  </r>
  <r>
    <n v="1189946352"/>
    <x v="5"/>
    <x v="1"/>
    <d v="2025-01-04T19:04:39"/>
    <s v="gonblk"/>
    <x v="365"/>
    <x v="98"/>
    <s v="No"/>
    <s v="Inglés"/>
    <n v="4.88"/>
    <n v="1"/>
    <n v="4.88"/>
    <x v="0"/>
    <m/>
    <x v="0"/>
  </r>
  <r>
    <n v="1187823895"/>
    <x v="5"/>
    <x v="1"/>
    <d v="2025-01-01T19:14:09"/>
    <s v="WastedHoms"/>
    <x v="1014"/>
    <x v="238"/>
    <s v="No"/>
    <s v="Español"/>
    <n v="12.17"/>
    <n v="1"/>
    <n v="12.17"/>
    <x v="1"/>
    <n v="12.17"/>
    <x v="0"/>
  </r>
  <r>
    <s v="WA-20250101-01"/>
    <x v="5"/>
    <x v="1"/>
    <d v="2025-01-01T00:00:00"/>
    <s v="Ivan Arjona"/>
    <x v="1015"/>
    <x v="6"/>
    <s v="No"/>
    <s v="Inglés"/>
    <n v="22"/>
    <n v="1"/>
    <n v="22"/>
    <x v="0"/>
    <m/>
    <x v="0"/>
  </r>
  <r>
    <n v="1187963406"/>
    <x v="6"/>
    <x v="2"/>
    <d v="2024-12-31T12:09:48"/>
    <s v="Yaivan"/>
    <x v="947"/>
    <x v="22"/>
    <s v="Si"/>
    <s v="Inglés"/>
    <n v="4.2050000000000001"/>
    <n v="4"/>
    <n v="16.82"/>
    <x v="1"/>
    <n v="16.82"/>
    <x v="0"/>
  </r>
  <r>
    <n v="1189233462"/>
    <x v="6"/>
    <x v="2"/>
    <d v="2024-12-30T21:49:03"/>
    <s v="gomezmiguel014g"/>
    <x v="249"/>
    <x v="223"/>
    <s v="No"/>
    <s v="Inglés"/>
    <n v="1.53"/>
    <n v="1"/>
    <n v="1.53"/>
    <x v="1"/>
    <n v="1.53"/>
    <x v="0"/>
  </r>
  <r>
    <n v="1188691279"/>
    <x v="6"/>
    <x v="2"/>
    <d v="2024-12-27T11:25:11"/>
    <s v="Distritozero-Bilbao"/>
    <x v="1016"/>
    <x v="22"/>
    <s v="No"/>
    <s v="Inglés"/>
    <n v="5"/>
    <n v="2"/>
    <n v="10"/>
    <x v="0"/>
    <m/>
    <x v="0"/>
  </r>
  <r>
    <n v="1188681463"/>
    <x v="6"/>
    <x v="2"/>
    <d v="2024-12-27T10:03:30"/>
    <s v="TEMPEST-STORE"/>
    <x v="1017"/>
    <x v="57"/>
    <s v="Si"/>
    <s v="Inglés"/>
    <n v="2.4075000000000002"/>
    <n v="4"/>
    <n v="9.6300000000000008"/>
    <x v="0"/>
    <m/>
    <x v="0"/>
  </r>
  <r>
    <n v="1188681463"/>
    <x v="6"/>
    <x v="2"/>
    <d v="2024-12-27T10:03:30"/>
    <s v="TEMPEST-STORE"/>
    <x v="1018"/>
    <x v="112"/>
    <s v="Si"/>
    <s v="Inglés"/>
    <n v="0.16875000000000001"/>
    <n v="4"/>
    <n v="0.67500000000000004"/>
    <x v="0"/>
    <m/>
    <x v="0"/>
  </r>
  <r>
    <n v="1188681463"/>
    <x v="6"/>
    <x v="2"/>
    <d v="2024-12-27T10:03:30"/>
    <s v="TEMPEST-STORE"/>
    <x v="1019"/>
    <x v="112"/>
    <s v="Si"/>
    <s v="Inglés"/>
    <n v="0.16875000000000001"/>
    <n v="4"/>
    <n v="0.67500000000000004"/>
    <x v="0"/>
    <m/>
    <x v="0"/>
  </r>
  <r>
    <n v="1187236864"/>
    <x v="6"/>
    <x v="2"/>
    <d v="2024-12-27T00:34:17"/>
    <s v="maikyhateyou"/>
    <x v="592"/>
    <x v="193"/>
    <s v="No"/>
    <s v="Inglés"/>
    <n v="11.559999999999999"/>
    <n v="2"/>
    <n v="23.119999999999997"/>
    <x v="1"/>
    <n v="23.119999999999997"/>
    <x v="0"/>
  </r>
  <r>
    <n v="1188500052"/>
    <x v="6"/>
    <x v="2"/>
    <d v="2024-12-25T23:30:05"/>
    <s v="Vintar"/>
    <x v="1020"/>
    <x v="67"/>
    <s v="No"/>
    <s v="Español"/>
    <n v="0.60152190051967336"/>
    <n v="1"/>
    <n v="0.60152190051967336"/>
    <x v="1"/>
    <n v="0.60152190051967336"/>
    <x v="0"/>
  </r>
  <r>
    <n v="1188500052"/>
    <x v="6"/>
    <x v="2"/>
    <d v="2024-12-25T23:30:05"/>
    <s v="Vintar"/>
    <x v="1021"/>
    <x v="145"/>
    <s v="No"/>
    <s v="Inglés"/>
    <n v="2.3940571640682999"/>
    <n v="1"/>
    <n v="2.3940571640682999"/>
    <x v="1"/>
    <n v="2.3940571640682999"/>
    <x v="0"/>
  </r>
  <r>
    <n v="1188504446"/>
    <x v="6"/>
    <x v="2"/>
    <d v="2024-12-25T22:22:26"/>
    <s v="MarianoLF"/>
    <x v="1022"/>
    <x v="46"/>
    <s v="Si"/>
    <s v="Inglés"/>
    <n v="2.6743965517241381"/>
    <n v="4"/>
    <n v="10.697586206896553"/>
    <x v="0"/>
    <m/>
    <x v="0"/>
  </r>
  <r>
    <n v="1188504446"/>
    <x v="6"/>
    <x v="2"/>
    <d v="2024-12-25T22:22:26"/>
    <s v="MarianoLF"/>
    <x v="1023"/>
    <x v="76"/>
    <s v="Si"/>
    <s v="Inglés"/>
    <n v="5.9431034482758616"/>
    <n v="4"/>
    <n v="23.772413793103446"/>
    <x v="0"/>
    <m/>
    <x v="0"/>
  </r>
  <r>
    <n v="1188496516"/>
    <x v="6"/>
    <x v="2"/>
    <d v="2024-12-25T22:22:26"/>
    <s v="ProjabMTG"/>
    <x v="365"/>
    <x v="98"/>
    <s v="No"/>
    <s v="Inglés"/>
    <n v="4.22"/>
    <n v="1"/>
    <n v="4.22"/>
    <x v="0"/>
    <m/>
    <x v="0"/>
  </r>
  <r>
    <n v="1188496514"/>
    <x v="6"/>
    <x v="2"/>
    <d v="2024-12-25T22:22:26"/>
    <s v="Escarmonce"/>
    <x v="365"/>
    <x v="98"/>
    <s v="No"/>
    <s v="Inglés"/>
    <n v="4.22"/>
    <n v="1"/>
    <n v="4.22"/>
    <x v="0"/>
    <m/>
    <x v="0"/>
  </r>
  <r>
    <n v="1188496512"/>
    <x v="6"/>
    <x v="2"/>
    <d v="2024-12-25T22:22:26"/>
    <s v="moriarty082"/>
    <x v="365"/>
    <x v="98"/>
    <s v="No"/>
    <s v="Inglés"/>
    <n v="4.22"/>
    <n v="1"/>
    <n v="4.22"/>
    <x v="0"/>
    <m/>
    <x v="0"/>
  </r>
  <r>
    <n v="1188494512"/>
    <x v="6"/>
    <x v="2"/>
    <d v="2024-12-25T22:22:26"/>
    <s v="TEMPEST-STORE"/>
    <x v="1024"/>
    <x v="239"/>
    <s v="No"/>
    <s v="Japonés"/>
    <n v="6.7986204343534062"/>
    <n v="2"/>
    <n v="13.597240868706812"/>
    <x v="0"/>
    <m/>
    <x v="0"/>
  </r>
  <r>
    <n v="1188494512"/>
    <x v="6"/>
    <x v="2"/>
    <d v="2024-12-25T22:22:26"/>
    <s v="TEMPEST-STORE"/>
    <x v="1025"/>
    <x v="60"/>
    <s v="Si"/>
    <s v="Japonés"/>
    <n v="7.6725666337611056"/>
    <n v="4"/>
    <n v="30.690266535044422"/>
    <x v="0"/>
    <m/>
    <x v="0"/>
  </r>
  <r>
    <n v="1188494512"/>
    <x v="6"/>
    <x v="2"/>
    <d v="2024-12-25T22:22:26"/>
    <s v="TEMPEST-STORE"/>
    <x v="1026"/>
    <x v="68"/>
    <s v="No"/>
    <s v="Inglés"/>
    <n v="1.702492596248766"/>
    <n v="1"/>
    <n v="1.702492596248766"/>
    <x v="0"/>
    <m/>
    <x v="0"/>
  </r>
  <r>
    <n v="1188486169"/>
    <x v="6"/>
    <x v="2"/>
    <d v="2024-12-25T20:02:16"/>
    <s v="LunarRush"/>
    <x v="1002"/>
    <x v="11"/>
    <s v="Si"/>
    <s v="Inglés"/>
    <n v="6.3049999999999997"/>
    <n v="4"/>
    <n v="25.22"/>
    <x v="0"/>
    <m/>
    <x v="0"/>
  </r>
  <r>
    <n v="1188355939"/>
    <x v="6"/>
    <x v="2"/>
    <d v="2024-12-24T15:47:55"/>
    <s v="Distritozero-San"/>
    <x v="1027"/>
    <x v="54"/>
    <s v="No"/>
    <s v="Japonés"/>
    <n v="1.95"/>
    <n v="1"/>
    <n v="1.95"/>
    <x v="0"/>
    <m/>
    <x v="0"/>
  </r>
  <r>
    <n v="1188344242"/>
    <x v="6"/>
    <x v="2"/>
    <d v="2024-12-24T15:46:08"/>
    <s v="AlexJandro41"/>
    <x v="1028"/>
    <x v="192"/>
    <s v="No"/>
    <s v="Inglés"/>
    <n v="1.143381389252949"/>
    <n v="1"/>
    <n v="1.143381389252949"/>
    <x v="0"/>
    <m/>
    <x v="0"/>
  </r>
  <r>
    <n v="1188344242"/>
    <x v="6"/>
    <x v="2"/>
    <d v="2024-12-24T15:46:08"/>
    <s v="AlexJandro41"/>
    <x v="1029"/>
    <x v="103"/>
    <s v="No"/>
    <s v="Inglés"/>
    <n v="1.143381389252949"/>
    <n v="1"/>
    <n v="1.143381389252949"/>
    <x v="0"/>
    <m/>
    <x v="0"/>
  </r>
  <r>
    <n v="1188344242"/>
    <x v="6"/>
    <x v="2"/>
    <d v="2024-12-24T15:46:08"/>
    <s v="AlexJandro41"/>
    <x v="335"/>
    <x v="182"/>
    <s v="No"/>
    <s v="Inglés"/>
    <n v="1.4292267365661859"/>
    <n v="1"/>
    <n v="1.4292267365661859"/>
    <x v="0"/>
    <m/>
    <x v="0"/>
  </r>
  <r>
    <n v="1188344242"/>
    <x v="6"/>
    <x v="2"/>
    <d v="2024-12-24T15:46:08"/>
    <s v="AlexJandro41"/>
    <x v="1030"/>
    <x v="47"/>
    <s v="No"/>
    <s v="Inglés"/>
    <n v="34.244272608125819"/>
    <n v="1"/>
    <n v="34.244272608125819"/>
    <x v="0"/>
    <m/>
    <x v="0"/>
  </r>
  <r>
    <n v="1188344242"/>
    <x v="6"/>
    <x v="2"/>
    <d v="2024-12-24T15:46:08"/>
    <s v="AlexJandro41"/>
    <x v="1031"/>
    <x v="60"/>
    <s v="No"/>
    <s v="Inglés"/>
    <n v="5.6597378768020974"/>
    <n v="1"/>
    <n v="5.6597378768020974"/>
    <x v="0"/>
    <m/>
    <x v="0"/>
  </r>
  <r>
    <n v="1187507001"/>
    <x v="6"/>
    <x v="2"/>
    <d v="2024-12-23T13:26:11"/>
    <s v="Canffen"/>
    <x v="1032"/>
    <x v="182"/>
    <s v="Si"/>
    <s v="Inglés"/>
    <n v="0.80499999999999994"/>
    <n v="4"/>
    <n v="3.2199999999999998"/>
    <x v="1"/>
    <n v="3.2199999999999998"/>
    <x v="0"/>
  </r>
  <r>
    <n v="1188177427"/>
    <x v="6"/>
    <x v="2"/>
    <d v="2024-12-23T09:25:21"/>
    <s v="biogenethik"/>
    <x v="1033"/>
    <x v="32"/>
    <s v="No"/>
    <s v="Inglés"/>
    <n v="5.9333333333333336"/>
    <n v="2"/>
    <n v="11.866666666666667"/>
    <x v="0"/>
    <m/>
    <x v="0"/>
  </r>
  <r>
    <n v="1188177427"/>
    <x v="6"/>
    <x v="2"/>
    <d v="2024-12-23T09:25:21"/>
    <s v="biogenethik"/>
    <x v="1033"/>
    <x v="32"/>
    <s v="No"/>
    <s v="Inglés"/>
    <n v="5.9333333333333336"/>
    <n v="1"/>
    <n v="5.9333333333333336"/>
    <x v="0"/>
    <m/>
    <x v="0"/>
  </r>
  <r>
    <n v="1188056180"/>
    <x v="6"/>
    <x v="2"/>
    <d v="2024-12-22T10:18:47"/>
    <s v="sukur"/>
    <x v="1034"/>
    <x v="112"/>
    <s v="No"/>
    <s v="Inglés"/>
    <n v="1.1796387520525451"/>
    <n v="2"/>
    <n v="2.3592775041050902"/>
    <x v="0"/>
    <m/>
    <x v="0"/>
  </r>
  <r>
    <n v="1188056180"/>
    <x v="6"/>
    <x v="2"/>
    <d v="2024-12-22T10:18:47"/>
    <s v="sukur"/>
    <x v="1035"/>
    <x v="167"/>
    <s v="No"/>
    <s v="Inglés"/>
    <n v="33.560722495894908"/>
    <n v="1"/>
    <n v="33.560722495894908"/>
    <x v="0"/>
    <m/>
    <x v="0"/>
  </r>
  <r>
    <n v="1188047728"/>
    <x v="6"/>
    <x v="2"/>
    <d v="2024-12-22T10:12:49"/>
    <s v="hofzge"/>
    <x v="1036"/>
    <x v="22"/>
    <s v="No"/>
    <s v="Inglés"/>
    <n v="0.40836636466591159"/>
    <n v="1"/>
    <n v="0.40836636466591159"/>
    <x v="0"/>
    <m/>
    <x v="0"/>
  </r>
  <r>
    <n v="1188047728"/>
    <x v="6"/>
    <x v="2"/>
    <d v="2024-12-22T10:12:49"/>
    <s v="hofzge"/>
    <x v="1035"/>
    <x v="167"/>
    <s v="No"/>
    <s v="Inglés"/>
    <n v="26.25212344280861"/>
    <n v="3"/>
    <n v="78.756370328425831"/>
    <x v="0"/>
    <m/>
    <x v="0"/>
  </r>
  <r>
    <n v="1188047728"/>
    <x v="6"/>
    <x v="2"/>
    <d v="2024-12-22T10:12:49"/>
    <s v="hofzge"/>
    <x v="1037"/>
    <x v="176"/>
    <s v="No"/>
    <s v="Japonés"/>
    <n v="0.29169026047565122"/>
    <n v="6"/>
    <n v="1.7501415628539072"/>
    <x v="0"/>
    <m/>
    <x v="0"/>
  </r>
  <r>
    <n v="1188047728"/>
    <x v="6"/>
    <x v="2"/>
    <d v="2024-12-22T10:12:49"/>
    <s v="hofzge"/>
    <x v="377"/>
    <x v="137"/>
    <s v="No"/>
    <s v="Inglés"/>
    <n v="0.50170724801812006"/>
    <n v="3"/>
    <n v="1.5051217440543603"/>
    <x v="0"/>
    <m/>
    <x v="0"/>
  </r>
  <r>
    <s v="CVSALE-1187904430-01"/>
    <x v="6"/>
    <x v="2"/>
    <d v="2024-12-20T23:15:04"/>
    <s v="Venta asociada sin pedido identificado"/>
    <x v="1038"/>
    <x v="66"/>
    <s v="No"/>
    <s v="Inglés"/>
    <n v="16.789235668789811"/>
    <n v="1"/>
    <n v="16.789235668789811"/>
    <x v="1"/>
    <n v="16.789235668789811"/>
    <x v="0"/>
  </r>
  <r>
    <n v="1187904430"/>
    <x v="6"/>
    <x v="2"/>
    <d v="2024-12-20T23:15:04"/>
    <s v="isabelungui"/>
    <x v="1039"/>
    <x v="51"/>
    <s v="No"/>
    <s v="Inglés"/>
    <n v="0.22403940886699511"/>
    <n v="1"/>
    <n v="0.22403940886699511"/>
    <x v="0"/>
    <m/>
    <x v="0"/>
  </r>
  <r>
    <n v="1187904430"/>
    <x v="6"/>
    <x v="2"/>
    <d v="2024-12-20T23:15:04"/>
    <s v="isabelungui"/>
    <x v="1038"/>
    <x v="66"/>
    <s v="No"/>
    <s v="Inglés"/>
    <n v="11.145960591133001"/>
    <n v="1"/>
    <n v="11.145960591133001"/>
    <x v="0"/>
    <m/>
    <x v="0"/>
  </r>
  <r>
    <n v="1187557684"/>
    <x v="6"/>
    <x v="2"/>
    <d v="2024-12-19T14:47:10"/>
    <s v="danarkobcn"/>
    <x v="1040"/>
    <x v="157"/>
    <s v="Si"/>
    <s v="Chino-S"/>
    <n v="1.3049999999999999"/>
    <n v="4"/>
    <n v="5.22"/>
    <x v="0"/>
    <m/>
    <x v="0"/>
  </r>
  <r>
    <n v="1187633318"/>
    <x v="6"/>
    <x v="2"/>
    <d v="2024-12-18T21:32:03"/>
    <s v="jimbo2991"/>
    <x v="1040"/>
    <x v="157"/>
    <s v="Si"/>
    <s v="Chino-T"/>
    <n v="1.3049999999999999"/>
    <n v="4"/>
    <n v="5.22"/>
    <x v="0"/>
    <m/>
    <x v="0"/>
  </r>
  <r>
    <n v="1187561567"/>
    <x v="6"/>
    <x v="2"/>
    <d v="2024-12-18T12:06:41"/>
    <s v="Distritozero-Bilbao"/>
    <x v="975"/>
    <x v="72"/>
    <s v="Si"/>
    <s v="Chino-S"/>
    <n v="1.95"/>
    <n v="4"/>
    <n v="7.8"/>
    <x v="0"/>
    <m/>
    <x v="0"/>
  </r>
  <r>
    <n v="1187539495"/>
    <x v="6"/>
    <x v="2"/>
    <d v="2024-12-18T09:09:06"/>
    <s v="almendra85"/>
    <x v="912"/>
    <x v="118"/>
    <s v="No"/>
    <s v="Inglés"/>
    <n v="12.17"/>
    <n v="1"/>
    <n v="12.17"/>
    <x v="1"/>
    <n v="12.17"/>
    <x v="0"/>
  </r>
  <r>
    <n v="1185865223"/>
    <x v="6"/>
    <x v="2"/>
    <d v="2024-12-17T13:58:22"/>
    <s v="MTB123"/>
    <x v="1041"/>
    <x v="51"/>
    <s v="Si"/>
    <s v="Inglés"/>
    <n v="8.7750000000000004"/>
    <n v="4"/>
    <n v="35.1"/>
    <x v="1"/>
    <n v="35.1"/>
    <x v="0"/>
  </r>
  <r>
    <n v="1187376953"/>
    <x v="6"/>
    <x v="2"/>
    <d v="2024-12-17T06:58:25"/>
    <s v="willybizarre"/>
    <x v="1042"/>
    <x v="210"/>
    <s v="Si"/>
    <s v="Japonés"/>
    <n v="3.205336481700118"/>
    <n v="4"/>
    <n v="12.821345926800472"/>
    <x v="0"/>
    <m/>
    <x v="0"/>
  </r>
  <r>
    <n v="1187376953"/>
    <x v="6"/>
    <x v="2"/>
    <d v="2024-12-17T06:58:25"/>
    <s v="willybizarre"/>
    <x v="975"/>
    <x v="72"/>
    <s v="No"/>
    <s v="Japonés"/>
    <n v="2.6693270365997641"/>
    <n v="2"/>
    <n v="5.3386540731995282"/>
    <x v="0"/>
    <m/>
    <x v="0"/>
  </r>
  <r>
    <n v="1187376512"/>
    <x v="6"/>
    <x v="2"/>
    <d v="2024-12-17T06:58:25"/>
    <s v="mentalistaQQ"/>
    <x v="1043"/>
    <x v="169"/>
    <s v="Si"/>
    <s v="Inglés"/>
    <n v="8.3674999999999997"/>
    <n v="4"/>
    <n v="33.47"/>
    <x v="0"/>
    <m/>
    <x v="0"/>
  </r>
  <r>
    <n v="1187045270"/>
    <x v="6"/>
    <x v="2"/>
    <d v="2024-12-16T19:03:33"/>
    <s v="MagicPangea"/>
    <x v="1044"/>
    <x v="139"/>
    <s v="No"/>
    <s v="Inglés"/>
    <n v="0.16340659340659339"/>
    <n v="1"/>
    <n v="0.16340659340659339"/>
    <x v="0"/>
    <m/>
    <x v="0"/>
  </r>
  <r>
    <n v="1187045270"/>
    <x v="6"/>
    <x v="2"/>
    <d v="2024-12-16T19:03:33"/>
    <s v="MagicPangea"/>
    <x v="1045"/>
    <x v="118"/>
    <s v="No"/>
    <s v="Inglés"/>
    <n v="7.3532967032967029"/>
    <n v="2"/>
    <n v="14.706593406593406"/>
    <x v="0"/>
    <m/>
    <x v="0"/>
  </r>
  <r>
    <n v="1187307706"/>
    <x v="6"/>
    <x v="2"/>
    <d v="2024-12-16T19:02:37"/>
    <s v="Pablobl"/>
    <x v="1046"/>
    <x v="214"/>
    <s v="No"/>
    <s v="Inglés"/>
    <n v="10.36"/>
    <n v="2"/>
    <n v="20.72"/>
    <x v="0"/>
    <m/>
    <x v="0"/>
  </r>
  <r>
    <n v="1187301326"/>
    <x v="6"/>
    <x v="2"/>
    <d v="2024-12-16T19:02:37"/>
    <s v="JefeHigelmo"/>
    <x v="1040"/>
    <x v="240"/>
    <s v="Si"/>
    <s v="Inglés"/>
    <n v="3.8174999999999999"/>
    <n v="4"/>
    <n v="15.27"/>
    <x v="0"/>
    <m/>
    <x v="0"/>
  </r>
  <r>
    <n v="1187231107"/>
    <x v="6"/>
    <x v="2"/>
    <d v="2024-12-16T19:02:37"/>
    <s v="Mazvigosl"/>
    <x v="1047"/>
    <x v="214"/>
    <s v="No"/>
    <s v="Inglés"/>
    <n v="31.515470616340181"/>
    <n v="2"/>
    <n v="63.030941232680362"/>
    <x v="0"/>
    <m/>
    <x v="0"/>
  </r>
  <r>
    <n v="1187231107"/>
    <x v="6"/>
    <x v="2"/>
    <d v="2024-12-16T19:02:37"/>
    <s v="Mazvigosl"/>
    <x v="1048"/>
    <x v="241"/>
    <s v="Si"/>
    <s v="Inglés"/>
    <n v="10.4700812231247"/>
    <n v="4"/>
    <n v="41.880324892498798"/>
    <x v="0"/>
    <m/>
    <x v="0"/>
  </r>
  <r>
    <n v="1187231107"/>
    <x v="6"/>
    <x v="2"/>
    <d v="2024-12-16T19:02:37"/>
    <s v="Mazvigosl"/>
    <x v="407"/>
    <x v="151"/>
    <s v="No"/>
    <s v="Inglés"/>
    <n v="5.2087338748208314"/>
    <n v="1"/>
    <n v="5.2087338748208314"/>
    <x v="0"/>
    <m/>
    <x v="0"/>
  </r>
  <r>
    <n v="1186578021"/>
    <x v="6"/>
    <x v="2"/>
    <d v="2024-12-11T15:01:07"/>
    <s v="Distritozero-Bilbao"/>
    <x v="1049"/>
    <x v="34"/>
    <s v="No"/>
    <s v="Inglés"/>
    <n v="19.87"/>
    <n v="1"/>
    <n v="19.87"/>
    <x v="0"/>
    <m/>
    <x v="0"/>
  </r>
  <r>
    <n v="1186398324"/>
    <x v="6"/>
    <x v="2"/>
    <d v="2024-12-10T11:17:07"/>
    <s v="TCG-SPAIN"/>
    <x v="1045"/>
    <x v="118"/>
    <s v="No"/>
    <s v="Inglés"/>
    <n v="6.61"/>
    <n v="2"/>
    <n v="13.22"/>
    <x v="0"/>
    <m/>
    <x v="0"/>
  </r>
  <r>
    <n v="1186396722"/>
    <x v="6"/>
    <x v="2"/>
    <d v="2024-12-10T11:05:53"/>
    <s v="Kalu46"/>
    <x v="1050"/>
    <x v="61"/>
    <s v="No"/>
    <s v="Inglés"/>
    <n v="1.46"/>
    <n v="2"/>
    <n v="2.92"/>
    <x v="0"/>
    <m/>
    <x v="0"/>
  </r>
  <r>
    <n v="1186395521"/>
    <x v="6"/>
    <x v="2"/>
    <d v="2024-12-10T11:05:53"/>
    <s v="kpasatio"/>
    <x v="1051"/>
    <x v="139"/>
    <s v="No"/>
    <s v="Inglés"/>
    <n v="2.61"/>
    <n v="2"/>
    <n v="5.22"/>
    <x v="0"/>
    <m/>
    <x v="0"/>
  </r>
  <r>
    <n v="1186395377"/>
    <x v="6"/>
    <x v="2"/>
    <d v="2024-12-10T11:05:53"/>
    <s v="DUAL-GAMES"/>
    <x v="1044"/>
    <x v="139"/>
    <s v="Si"/>
    <s v="Inglés"/>
    <n v="0.22975609756097559"/>
    <n v="4"/>
    <n v="0.91902439024390237"/>
    <x v="0"/>
    <m/>
    <x v="0"/>
  </r>
  <r>
    <n v="1186395377"/>
    <x v="6"/>
    <x v="2"/>
    <d v="2024-12-10T11:05:53"/>
    <s v="DUAL-GAMES"/>
    <x v="1052"/>
    <x v="200"/>
    <s v="No"/>
    <s v="Inglés"/>
    <n v="0.22975609756097559"/>
    <n v="2"/>
    <n v="0.45951219512195118"/>
    <x v="0"/>
    <m/>
    <x v="0"/>
  </r>
  <r>
    <n v="1186395377"/>
    <x v="6"/>
    <x v="2"/>
    <d v="2024-12-10T11:05:53"/>
    <s v="DUAL-GAMES"/>
    <x v="389"/>
    <x v="51"/>
    <s v="No"/>
    <s v="Inglés"/>
    <n v="4.020731707317073"/>
    <n v="2"/>
    <n v="8.0414634146341459"/>
    <x v="0"/>
    <m/>
    <x v="0"/>
  </r>
  <r>
    <n v="1186394921"/>
    <x v="6"/>
    <x v="2"/>
    <d v="2024-12-10T11:05:53"/>
    <s v="Zvvvvz"/>
    <x v="1053"/>
    <x v="200"/>
    <s v="No"/>
    <s v="Inglés"/>
    <n v="1.206666666666667"/>
    <n v="3"/>
    <n v="3.620000000000001"/>
    <x v="0"/>
    <m/>
    <x v="0"/>
  </r>
  <r>
    <n v="1186393498"/>
    <x v="6"/>
    <x v="2"/>
    <d v="2024-12-10T10:41:16"/>
    <s v="ESTALIA"/>
    <x v="1054"/>
    <x v="200"/>
    <s v="Si"/>
    <s v="Inglés"/>
    <n v="0.64500000000000002"/>
    <n v="4"/>
    <n v="2.58"/>
    <x v="0"/>
    <m/>
    <x v="0"/>
  </r>
  <r>
    <n v="1186393412"/>
    <x v="6"/>
    <x v="2"/>
    <d v="2024-12-10T10:41:16"/>
    <s v="JupiterMadridCentral"/>
    <x v="1055"/>
    <x v="48"/>
    <s v="Si"/>
    <s v="Inglés"/>
    <n v="4.3049999999999997"/>
    <n v="4"/>
    <n v="17.22"/>
    <x v="0"/>
    <m/>
    <x v="0"/>
  </r>
  <r>
    <n v="1186392523"/>
    <x v="6"/>
    <x v="2"/>
    <d v="2024-12-10T10:41:16"/>
    <s v="KikouMagic"/>
    <x v="1056"/>
    <x v="34"/>
    <s v="No"/>
    <s v="Inglés"/>
    <n v="1.3066666666666671"/>
    <n v="1"/>
    <n v="1.3066666666666671"/>
    <x v="0"/>
    <m/>
    <x v="0"/>
  </r>
  <r>
    <n v="1186392523"/>
    <x v="6"/>
    <x v="2"/>
    <d v="2024-12-10T10:41:16"/>
    <s v="KikouMagic"/>
    <x v="1057"/>
    <x v="133"/>
    <s v="No"/>
    <s v="Inglés"/>
    <n v="1.3066666666666671"/>
    <n v="2"/>
    <n v="2.6133333333333342"/>
    <x v="0"/>
    <m/>
    <x v="0"/>
  </r>
  <r>
    <n v="1186392516"/>
    <x v="6"/>
    <x v="2"/>
    <d v="2024-12-10T10:41:16"/>
    <s v="Kerosinkatze"/>
    <x v="1057"/>
    <x v="133"/>
    <s v="No"/>
    <s v="Inglés"/>
    <n v="1.1100000000000001"/>
    <n v="2"/>
    <n v="2.2200000000000002"/>
    <x v="0"/>
    <m/>
    <x v="0"/>
  </r>
  <r>
    <n v="1186392450"/>
    <x v="6"/>
    <x v="2"/>
    <d v="2024-12-10T10:41:16"/>
    <s v="Moria05"/>
    <x v="1058"/>
    <x v="51"/>
    <s v="No"/>
    <s v="Japonés"/>
    <n v="0.57863636363636362"/>
    <n v="2"/>
    <n v="1.1572727272727272"/>
    <x v="0"/>
    <m/>
    <x v="0"/>
  </r>
  <r>
    <n v="1186392450"/>
    <x v="6"/>
    <x v="2"/>
    <d v="2024-12-10T10:41:16"/>
    <s v="Moria05"/>
    <x v="1059"/>
    <x v="190"/>
    <s v="Si"/>
    <s v="Inglés"/>
    <n v="0.28341372912801482"/>
    <n v="4"/>
    <n v="1.1336549165120593"/>
    <x v="0"/>
    <m/>
    <x v="0"/>
  </r>
  <r>
    <n v="1186392450"/>
    <x v="6"/>
    <x v="2"/>
    <d v="2024-12-10T10:41:16"/>
    <s v="Moria05"/>
    <x v="1058"/>
    <x v="51"/>
    <s v="No"/>
    <s v="Inglés"/>
    <n v="0.57863636363636362"/>
    <n v="2"/>
    <n v="1.1572727272727272"/>
    <x v="0"/>
    <m/>
    <x v="0"/>
  </r>
  <r>
    <n v="1186392450"/>
    <x v="6"/>
    <x v="2"/>
    <d v="2024-12-10T10:41:16"/>
    <s v="Moria05"/>
    <x v="799"/>
    <x v="51"/>
    <s v="Si"/>
    <s v="Inglés"/>
    <n v="0.28341372912801482"/>
    <n v="4"/>
    <n v="1.1336549165120593"/>
    <x v="0"/>
    <m/>
    <x v="0"/>
  </r>
  <r>
    <n v="1186392450"/>
    <x v="6"/>
    <x v="2"/>
    <d v="2024-12-10T10:41:16"/>
    <s v="Moria05"/>
    <x v="797"/>
    <x v="51"/>
    <s v="No"/>
    <s v="Inglés"/>
    <n v="0.28341372912801482"/>
    <n v="2"/>
    <n v="0.56682745825602965"/>
    <x v="0"/>
    <m/>
    <x v="0"/>
  </r>
  <r>
    <n v="1186392450"/>
    <x v="6"/>
    <x v="2"/>
    <d v="2024-12-10T10:41:16"/>
    <s v="Moria05"/>
    <x v="800"/>
    <x v="51"/>
    <s v="No"/>
    <s v="Inglés"/>
    <n v="0.3424582560296846"/>
    <n v="2"/>
    <n v="0.68491651205936921"/>
    <x v="0"/>
    <m/>
    <x v="0"/>
  </r>
  <r>
    <n v="1186392450"/>
    <x v="6"/>
    <x v="2"/>
    <d v="2024-12-10T10:41:16"/>
    <s v="Moria05"/>
    <x v="796"/>
    <x v="51"/>
    <s v="Si"/>
    <s v="Inglés"/>
    <n v="0.27160482374768091"/>
    <n v="4"/>
    <n v="1.0864192949907236"/>
    <x v="0"/>
    <m/>
    <x v="0"/>
  </r>
  <r>
    <n v="1186392450"/>
    <x v="6"/>
    <x v="2"/>
    <d v="2024-12-10T10:41:16"/>
    <s v="Moria05"/>
    <x v="309"/>
    <x v="76"/>
    <s v="Si"/>
    <s v="Inglés"/>
    <n v="1.4524953617810761"/>
    <n v="4"/>
    <n v="5.8099814471243043"/>
    <x v="0"/>
    <m/>
    <x v="0"/>
  </r>
  <r>
    <n v="1185932378"/>
    <x v="6"/>
    <x v="2"/>
    <d v="2024-12-07T11:19:59"/>
    <s v="Feagul"/>
    <x v="1060"/>
    <x v="58"/>
    <s v="No"/>
    <s v="Inglés"/>
    <n v="3.47"/>
    <n v="1"/>
    <n v="3.47"/>
    <x v="0"/>
    <m/>
    <x v="0"/>
  </r>
  <r>
    <n v="1185932217"/>
    <x v="6"/>
    <x v="2"/>
    <d v="2024-12-07T11:19:59"/>
    <s v="ManaVortex-POOL4YOU"/>
    <x v="1061"/>
    <x v="96"/>
    <s v="No"/>
    <s v="Inglés"/>
    <n v="5.6874876847290636"/>
    <n v="2"/>
    <n v="11.374975369458127"/>
    <x v="0"/>
    <m/>
    <x v="0"/>
  </r>
  <r>
    <n v="1185932217"/>
    <x v="6"/>
    <x v="2"/>
    <d v="2024-12-07T11:19:59"/>
    <s v="ManaVortex-POOL4YOU"/>
    <x v="1062"/>
    <x v="199"/>
    <s v="No"/>
    <s v="Inglés"/>
    <n v="2.716584564860427"/>
    <n v="1"/>
    <n v="2.716584564860427"/>
    <x v="0"/>
    <m/>
    <x v="0"/>
  </r>
  <r>
    <n v="1185932217"/>
    <x v="6"/>
    <x v="2"/>
    <d v="2024-12-07T11:19:59"/>
    <s v="ManaVortex-POOL4YOU"/>
    <x v="1063"/>
    <x v="169"/>
    <s v="Si"/>
    <s v="Inglés"/>
    <n v="0.7976354679802955"/>
    <n v="4"/>
    <n v="3.190541871921182"/>
    <x v="0"/>
    <m/>
    <x v="0"/>
  </r>
  <r>
    <n v="1185932217"/>
    <x v="6"/>
    <x v="2"/>
    <d v="2024-12-07T11:19:59"/>
    <s v="ManaVortex-POOL4YOU"/>
    <x v="361"/>
    <x v="54"/>
    <s v="No"/>
    <s v="Inglés"/>
    <n v="17.917898193760259"/>
    <n v="1"/>
    <n v="17.917898193760259"/>
    <x v="0"/>
    <m/>
    <x v="0"/>
  </r>
  <r>
    <n v="1185900927"/>
    <x v="6"/>
    <x v="2"/>
    <d v="2024-12-07T01:06:21"/>
    <s v="unodelosnuestros"/>
    <x v="1064"/>
    <x v="76"/>
    <s v="No"/>
    <s v="Inglés"/>
    <n v="0.48461538461538461"/>
    <n v="2"/>
    <n v="0.96923076923076923"/>
    <x v="0"/>
    <m/>
    <x v="0"/>
  </r>
  <r>
    <n v="1185900927"/>
    <x v="6"/>
    <x v="2"/>
    <d v="2024-12-07T01:06:21"/>
    <s v="unodelosnuestros"/>
    <x v="1050"/>
    <x v="61"/>
    <s v="No"/>
    <s v="Inglés"/>
    <n v="0.38769230769230772"/>
    <n v="2"/>
    <n v="0.77538461538461545"/>
    <x v="0"/>
    <m/>
    <x v="0"/>
  </r>
  <r>
    <n v="1185900927"/>
    <x v="6"/>
    <x v="2"/>
    <d v="2024-12-07T01:06:21"/>
    <s v="unodelosnuestros"/>
    <x v="1044"/>
    <x v="139"/>
    <s v="Si"/>
    <s v="Inglés"/>
    <n v="0.19384615384615381"/>
    <n v="4"/>
    <n v="0.77538461538461523"/>
    <x v="0"/>
    <m/>
    <x v="0"/>
  </r>
  <r>
    <n v="1185794477"/>
    <x v="6"/>
    <x v="2"/>
    <d v="2024-12-06T10:05:11"/>
    <s v="Jagago"/>
    <x v="1065"/>
    <x v="89"/>
    <s v="No"/>
    <s v="Inglés"/>
    <n v="21.169999999999998"/>
    <n v="1"/>
    <n v="21.169999999999998"/>
    <x v="1"/>
    <n v="21.169999999999998"/>
    <x v="0"/>
  </r>
  <r>
    <n v="1185772848"/>
    <x v="6"/>
    <x v="2"/>
    <d v="2024-12-06T02:57:02"/>
    <s v="nilblader"/>
    <x v="1066"/>
    <x v="149"/>
    <s v="No"/>
    <s v="Español"/>
    <n v="1.72"/>
    <n v="1"/>
    <n v="1.72"/>
    <x v="1"/>
    <n v="1.72"/>
    <x v="0"/>
  </r>
  <r>
    <n v="1185682918"/>
    <x v="6"/>
    <x v="2"/>
    <d v="2024-12-05T14:00:49"/>
    <s v="Khardrem"/>
    <x v="1047"/>
    <x v="214"/>
    <s v="No"/>
    <s v="Inglés"/>
    <n v="30.47"/>
    <n v="1"/>
    <n v="30.47"/>
    <x v="0"/>
    <m/>
    <x v="0"/>
  </r>
  <r>
    <n v="1185364801"/>
    <x v="6"/>
    <x v="2"/>
    <d v="2024-12-05T12:27:39"/>
    <s v="teff13"/>
    <x v="1067"/>
    <x v="118"/>
    <s v="Si"/>
    <s v="Inglés"/>
    <n v="9.3175000000000008"/>
    <n v="4"/>
    <n v="37.270000000000003"/>
    <x v="1"/>
    <n v="37.270000000000003"/>
    <x v="0"/>
  </r>
  <r>
    <n v="1185656708"/>
    <x v="6"/>
    <x v="2"/>
    <d v="2024-12-05T10:34:26"/>
    <s v="DUAL-GAMES"/>
    <x v="1068"/>
    <x v="214"/>
    <s v="No"/>
    <s v="Inglés"/>
    <n v="7.1752534562211983"/>
    <n v="1"/>
    <n v="7.1752534562211983"/>
    <x v="0"/>
    <m/>
    <x v="0"/>
  </r>
  <r>
    <n v="1185656708"/>
    <x v="6"/>
    <x v="2"/>
    <d v="2024-12-05T10:34:26"/>
    <s v="DUAL-GAMES"/>
    <x v="1069"/>
    <x v="190"/>
    <s v="No"/>
    <s v="Inglés"/>
    <n v="1.0568202764976959"/>
    <n v="2"/>
    <n v="2.1136405529953919"/>
    <x v="0"/>
    <m/>
    <x v="0"/>
  </r>
  <r>
    <n v="1185656708"/>
    <x v="6"/>
    <x v="2"/>
    <d v="2024-12-05T10:34:26"/>
    <s v="DUAL-GAMES"/>
    <x v="1070"/>
    <x v="190"/>
    <s v="No"/>
    <s v="Inglés"/>
    <n v="1.3905529953917051"/>
    <n v="2"/>
    <n v="2.7811059907834101"/>
    <x v="0"/>
    <m/>
    <x v="0"/>
  </r>
  <r>
    <n v="1185656668"/>
    <x v="6"/>
    <x v="2"/>
    <d v="2024-12-05T10:34:26"/>
    <s v="Distritozero-Bilbao"/>
    <x v="1068"/>
    <x v="214"/>
    <s v="No"/>
    <s v="Inglés"/>
    <n v="6.44"/>
    <n v="1"/>
    <n v="6.44"/>
    <x v="0"/>
    <m/>
    <x v="0"/>
  </r>
  <r>
    <n v="1185364560"/>
    <x v="6"/>
    <x v="2"/>
    <d v="2024-12-03T12:31:47"/>
    <s v="Distritozero-Bilbao"/>
    <x v="1047"/>
    <x v="214"/>
    <s v="No"/>
    <s v="Inglés"/>
    <n v="26.25"/>
    <n v="1"/>
    <n v="26.25"/>
    <x v="0"/>
    <m/>
    <x v="0"/>
  </r>
  <r>
    <n v="1185221604"/>
    <x v="6"/>
    <x v="2"/>
    <d v="2024-12-02T14:10:14"/>
    <s v="Alexander1907"/>
    <x v="1071"/>
    <x v="66"/>
    <s v="No"/>
    <s v="Inglés"/>
    <n v="39.685000000000002"/>
    <n v="2"/>
    <n v="79.37"/>
    <x v="0"/>
    <m/>
    <x v="0"/>
  </r>
  <r>
    <n v="1185052001"/>
    <x v="6"/>
    <x v="2"/>
    <d v="2024-12-01T10:40:35"/>
    <s v="Mazvigosl"/>
    <x v="397"/>
    <x v="82"/>
    <s v="No"/>
    <s v="Inglés"/>
    <n v="7.3066666666666684"/>
    <n v="3"/>
    <n v="21.920000000000005"/>
    <x v="0"/>
    <m/>
    <x v="0"/>
  </r>
  <r>
    <n v="1185046727"/>
    <x v="6"/>
    <x v="2"/>
    <d v="2024-12-01T09:59:35"/>
    <s v="Mazvigosl"/>
    <x v="1072"/>
    <x v="51"/>
    <s v="Si"/>
    <s v="Inglés"/>
    <n v="4.0549999999999997"/>
    <n v="4"/>
    <n v="16.22"/>
    <x v="0"/>
    <m/>
    <x v="0"/>
  </r>
  <r>
    <n v="1185017848"/>
    <x v="6"/>
    <x v="2"/>
    <d v="2024-12-01T00:02:42"/>
    <s v="Miceliongames"/>
    <x v="801"/>
    <x v="68"/>
    <s v="No"/>
    <s v="Inglés"/>
    <n v="3.51"/>
    <n v="2"/>
    <n v="7.02"/>
    <x v="0"/>
    <m/>
    <x v="0"/>
  </r>
  <r>
    <n v="1184996827"/>
    <x v="7"/>
    <x v="2"/>
    <d v="2024-11-30T23:45:16"/>
    <s v="NeverlandMTG"/>
    <x v="1073"/>
    <x v="194"/>
    <s v="No"/>
    <s v="Inglés"/>
    <n v="0.38769230769230772"/>
    <n v="1"/>
    <n v="0.38769230769230772"/>
    <x v="0"/>
    <m/>
    <x v="0"/>
  </r>
  <r>
    <n v="1184996827"/>
    <x v="7"/>
    <x v="2"/>
    <d v="2024-11-30T23:45:16"/>
    <s v="NeverlandMTG"/>
    <x v="1074"/>
    <x v="64"/>
    <s v="No"/>
    <s v="Inglés"/>
    <n v="0.29076923076923078"/>
    <n v="2"/>
    <n v="0.58153846153846156"/>
    <x v="0"/>
    <m/>
    <x v="0"/>
  </r>
  <r>
    <n v="1184996827"/>
    <x v="7"/>
    <x v="2"/>
    <d v="2024-11-30T23:45:16"/>
    <s v="NeverlandMTG"/>
    <x v="1075"/>
    <x v="219"/>
    <s v="No"/>
    <s v="Inglés"/>
    <n v="0.77538461538461534"/>
    <n v="2"/>
    <n v="1.5507692307692307"/>
    <x v="0"/>
    <m/>
    <x v="0"/>
  </r>
  <r>
    <n v="1184996784"/>
    <x v="7"/>
    <x v="2"/>
    <d v="2024-11-30T23:45:16"/>
    <s v="HamelinGames"/>
    <x v="1076"/>
    <x v="242"/>
    <s v="No"/>
    <s v="Inglés"/>
    <n v="1.301288659793814"/>
    <n v="2"/>
    <n v="2.6025773195876281"/>
    <x v="0"/>
    <m/>
    <x v="0"/>
  </r>
  <r>
    <n v="1184996784"/>
    <x v="7"/>
    <x v="2"/>
    <d v="2024-11-30T23:45:16"/>
    <s v="HamelinGames"/>
    <x v="232"/>
    <x v="62"/>
    <s v="No"/>
    <s v="Inglés"/>
    <n v="1.248711340206186"/>
    <n v="2"/>
    <n v="2.497422680412372"/>
    <x v="0"/>
    <m/>
    <x v="0"/>
  </r>
  <r>
    <n v="1181893231"/>
    <x v="7"/>
    <x v="2"/>
    <d v="2024-11-30T11:40:12"/>
    <s v="Torkok"/>
    <x v="1077"/>
    <x v="60"/>
    <s v="Si"/>
    <s v="Inglés"/>
    <n v="31.767414796342475"/>
    <n v="4"/>
    <n v="127.0696591853699"/>
    <x v="1"/>
    <n v="127.0696591853699"/>
    <x v="0"/>
  </r>
  <r>
    <n v="1184623875"/>
    <x v="7"/>
    <x v="2"/>
    <d v="2024-11-28T11:05:32"/>
    <s v="Moria05"/>
    <x v="1078"/>
    <x v="62"/>
    <s v="No"/>
    <s v="Inglés"/>
    <n v="0.26804597701149419"/>
    <n v="2"/>
    <n v="0.53609195402298837"/>
    <x v="0"/>
    <m/>
    <x v="0"/>
  </r>
  <r>
    <n v="1184623875"/>
    <x v="7"/>
    <x v="2"/>
    <d v="2024-11-28T11:05:32"/>
    <s v="Moria05"/>
    <x v="1079"/>
    <x v="51"/>
    <s v="Si"/>
    <s v="Japonés"/>
    <n v="2.7809770114942531"/>
    <n v="4"/>
    <n v="11.123908045977013"/>
    <x v="0"/>
    <m/>
    <x v="0"/>
  </r>
  <r>
    <n v="1184518858"/>
    <x v="7"/>
    <x v="2"/>
    <d v="2024-11-27T15:40:01"/>
    <s v="javiervazquez"/>
    <x v="1080"/>
    <x v="127"/>
    <s v="Si"/>
    <s v="Inglés"/>
    <n v="0.31354166666666672"/>
    <n v="4"/>
    <n v="1.2541666666666669"/>
    <x v="0"/>
    <m/>
    <x v="0"/>
  </r>
  <r>
    <n v="1184518858"/>
    <x v="7"/>
    <x v="2"/>
    <d v="2024-11-27T15:40:01"/>
    <s v="javiervazquez"/>
    <x v="1081"/>
    <x v="233"/>
    <s v="Si"/>
    <s v="Inglés"/>
    <n v="0.56437500000000007"/>
    <n v="4"/>
    <n v="2.2575000000000003"/>
    <x v="0"/>
    <m/>
    <x v="0"/>
  </r>
  <r>
    <n v="1184518858"/>
    <x v="7"/>
    <x v="2"/>
    <d v="2024-11-27T15:40:01"/>
    <s v="javiervazquez"/>
    <x v="1082"/>
    <x v="208"/>
    <s v="Si"/>
    <s v="Inglés"/>
    <n v="0.31354166666666672"/>
    <n v="4"/>
    <n v="1.2541666666666669"/>
    <x v="0"/>
    <m/>
    <x v="0"/>
  </r>
  <r>
    <n v="1184518858"/>
    <x v="7"/>
    <x v="2"/>
    <d v="2024-11-27T15:40:01"/>
    <s v="javiervazquez"/>
    <x v="1083"/>
    <x v="208"/>
    <s v="No"/>
    <s v="Inglés"/>
    <n v="0.31354166666666672"/>
    <n v="2"/>
    <n v="0.62708333333333344"/>
    <x v="0"/>
    <m/>
    <x v="0"/>
  </r>
  <r>
    <n v="1184518858"/>
    <x v="7"/>
    <x v="2"/>
    <d v="2024-11-27T15:40:01"/>
    <s v="javiervazquez"/>
    <x v="550"/>
    <x v="243"/>
    <s v="No"/>
    <s v="Inglés"/>
    <n v="0.31354166666666672"/>
    <n v="2"/>
    <n v="0.62708333333333344"/>
    <x v="0"/>
    <m/>
    <x v="0"/>
  </r>
  <r>
    <n v="1184160765"/>
    <x v="7"/>
    <x v="2"/>
    <d v="2024-11-25T14:21:57"/>
    <s v="ManaVortex-POOL4YOU"/>
    <x v="1084"/>
    <x v="77"/>
    <s v="No"/>
    <s v="Chino-S"/>
    <n v="0.73211105552776379"/>
    <n v="1"/>
    <n v="0.73211105552776379"/>
    <x v="0"/>
    <m/>
    <x v="0"/>
  </r>
  <r>
    <n v="1184160765"/>
    <x v="7"/>
    <x v="2"/>
    <d v="2024-11-25T14:21:57"/>
    <s v="ManaVortex-POOL4YOU"/>
    <x v="1085"/>
    <x v="216"/>
    <s v="No"/>
    <s v="Inglés"/>
    <n v="8.3821410705352672"/>
    <n v="2"/>
    <n v="16.764282141070534"/>
    <x v="0"/>
    <m/>
    <x v="0"/>
  </r>
  <r>
    <n v="1184160765"/>
    <x v="7"/>
    <x v="2"/>
    <d v="2024-11-25T14:21:57"/>
    <s v="ManaVortex-POOL4YOU"/>
    <x v="1086"/>
    <x v="179"/>
    <s v="No"/>
    <s v="Inglés"/>
    <n v="1.8568034017008499"/>
    <n v="2"/>
    <n v="3.7136068034016998"/>
    <x v="0"/>
    <m/>
    <x v="0"/>
  </r>
  <r>
    <n v="1183940508"/>
    <x v="7"/>
    <x v="2"/>
    <d v="2024-11-23T17:48:08"/>
    <s v="Turambar"/>
    <x v="1087"/>
    <x v="244"/>
    <s v="No"/>
    <s v="Inglés"/>
    <n v="7.25"/>
    <n v="1"/>
    <n v="7.25"/>
    <x v="1"/>
    <n v="7.25"/>
    <x v="0"/>
  </r>
  <r>
    <s v="CVSALE-1183898242-02"/>
    <x v="7"/>
    <x v="2"/>
    <d v="2024-11-23T11:59:05"/>
    <s v="Venta asociada sin pedido identificado"/>
    <x v="1088"/>
    <x v="190"/>
    <s v="No"/>
    <s v="Inglés"/>
    <n v="3.5933333333333333"/>
    <n v="3"/>
    <n v="10.78"/>
    <x v="1"/>
    <n v="10.78"/>
    <x v="0"/>
  </r>
  <r>
    <s v="CVSALE-1183898242-01"/>
    <x v="7"/>
    <x v="2"/>
    <d v="2024-11-23T11:59:05"/>
    <s v="Venta asociada sin pedido identificado"/>
    <x v="1089"/>
    <x v="51"/>
    <s v="No"/>
    <s v="Inglés"/>
    <n v="8.64"/>
    <n v="3"/>
    <n v="25.92"/>
    <x v="1"/>
    <n v="25.92"/>
    <x v="0"/>
  </r>
  <r>
    <n v="1183899080"/>
    <x v="7"/>
    <x v="2"/>
    <d v="2024-11-23T11:59:05"/>
    <s v="PERALTA"/>
    <x v="1090"/>
    <x v="76"/>
    <s v="No"/>
    <s v="Inglés"/>
    <n v="0.92005747126436777"/>
    <n v="2"/>
    <n v="1.8401149425287355"/>
    <x v="0"/>
    <m/>
    <x v="0"/>
  </r>
  <r>
    <n v="1183899080"/>
    <x v="7"/>
    <x v="2"/>
    <d v="2024-11-23T11:59:05"/>
    <s v="PERALTA"/>
    <x v="822"/>
    <x v="226"/>
    <s v="No"/>
    <s v="Inglés"/>
    <n v="10.514942528735631"/>
    <n v="1"/>
    <n v="10.514942528735631"/>
    <x v="0"/>
    <m/>
    <x v="0"/>
  </r>
  <r>
    <n v="1183899080"/>
    <x v="7"/>
    <x v="2"/>
    <d v="2024-11-23T11:59:05"/>
    <s v="PERALTA"/>
    <x v="886"/>
    <x v="118"/>
    <s v="Si"/>
    <s v="Inglés"/>
    <n v="2.6287356321839082"/>
    <n v="4"/>
    <n v="10.514942528735633"/>
    <x v="0"/>
    <m/>
    <x v="0"/>
  </r>
  <r>
    <n v="1183898242"/>
    <x v="7"/>
    <x v="2"/>
    <d v="2024-11-23T11:59:05"/>
    <s v="Mazvigosl"/>
    <x v="1091"/>
    <x v="139"/>
    <s v="No"/>
    <s v="Inglés"/>
    <n v="0.99067941764202105"/>
    <n v="3"/>
    <n v="2.9720382529260632"/>
    <x v="0"/>
    <m/>
    <x v="0"/>
  </r>
  <r>
    <n v="1183898242"/>
    <x v="7"/>
    <x v="2"/>
    <d v="2024-11-23T11:59:05"/>
    <s v="Mazvigosl"/>
    <x v="1092"/>
    <x v="139"/>
    <s v="Si"/>
    <s v="Inglés"/>
    <n v="0.36498715386811298"/>
    <n v="4"/>
    <n v="1.4599486154724519"/>
    <x v="0"/>
    <m/>
    <x v="0"/>
  </r>
  <r>
    <n v="1183898242"/>
    <x v="7"/>
    <x v="2"/>
    <d v="2024-11-23T11:59:05"/>
    <s v="Mazvigosl"/>
    <x v="254"/>
    <x v="76"/>
    <s v="No"/>
    <s v="Inglés"/>
    <n v="8.2904224950042824"/>
    <n v="2"/>
    <n v="16.580844990008565"/>
    <x v="0"/>
    <m/>
    <x v="0"/>
  </r>
  <r>
    <n v="1183898242"/>
    <x v="7"/>
    <x v="2"/>
    <d v="2024-11-23T11:59:05"/>
    <s v="Mazvigosl"/>
    <x v="1089"/>
    <x v="51"/>
    <s v="No"/>
    <s v="Inglés"/>
    <n v="8.2904224950042824"/>
    <n v="3"/>
    <n v="24.871267485012847"/>
    <x v="0"/>
    <m/>
    <x v="0"/>
  </r>
  <r>
    <n v="1183898242"/>
    <x v="7"/>
    <x v="2"/>
    <d v="2024-11-23T11:59:05"/>
    <s v="Mazvigosl"/>
    <x v="1088"/>
    <x v="190"/>
    <s v="No"/>
    <s v="Inglés"/>
    <n v="3.3891664287753351"/>
    <n v="3"/>
    <n v="10.167499286326006"/>
    <x v="0"/>
    <m/>
    <x v="0"/>
  </r>
  <r>
    <n v="1183898242"/>
    <x v="7"/>
    <x v="2"/>
    <d v="2024-11-23T11:59:05"/>
    <s v="Mazvigosl"/>
    <x v="393"/>
    <x v="82"/>
    <s v="Si"/>
    <s v="Inglés"/>
    <n v="5.1619611761347421"/>
    <n v="4"/>
    <n v="20.647844704538969"/>
    <x v="0"/>
    <m/>
    <x v="0"/>
  </r>
  <r>
    <n v="1183898242"/>
    <x v="7"/>
    <x v="2"/>
    <d v="2024-11-23T11:59:05"/>
    <s v="Mazvigosl"/>
    <x v="389"/>
    <x v="51"/>
    <s v="No"/>
    <s v="Inglés"/>
    <n v="2.033499857265201"/>
    <n v="2"/>
    <n v="4.066999714530402"/>
    <x v="0"/>
    <m/>
    <x v="0"/>
  </r>
  <r>
    <n v="1183898242"/>
    <x v="7"/>
    <x v="2"/>
    <d v="2024-11-23T11:59:05"/>
    <s v="Mazvigosl"/>
    <x v="959"/>
    <x v="51"/>
    <s v="No"/>
    <s v="Inglés"/>
    <n v="4.9012560662289468"/>
    <n v="3"/>
    <n v="14.703768198686841"/>
    <x v="0"/>
    <m/>
    <x v="0"/>
  </r>
  <r>
    <n v="1183898242"/>
    <x v="7"/>
    <x v="2"/>
    <d v="2024-11-23T11:59:05"/>
    <s v="Mazvigosl"/>
    <x v="919"/>
    <x v="51"/>
    <s v="Si"/>
    <s v="Inglés"/>
    <n v="18.718626891236081"/>
    <n v="4"/>
    <n v="74.874507564944324"/>
    <x v="0"/>
    <m/>
    <x v="0"/>
  </r>
  <r>
    <n v="1183898242"/>
    <x v="7"/>
    <x v="2"/>
    <d v="2024-11-23T11:59:05"/>
    <s v="Mazvigosl"/>
    <x v="633"/>
    <x v="208"/>
    <s v="Si"/>
    <s v="Inglés"/>
    <n v="3.0763202968883809"/>
    <n v="4"/>
    <n v="12.305281187553524"/>
    <x v="0"/>
    <m/>
    <x v="0"/>
  </r>
  <r>
    <n v="1183897966"/>
    <x v="7"/>
    <x v="2"/>
    <d v="2024-11-23T11:59:05"/>
    <s v="AF3rnandez"/>
    <x v="822"/>
    <x v="226"/>
    <s v="No"/>
    <s v="Inglés"/>
    <n v="7.8233333333333333"/>
    <n v="3"/>
    <n v="23.47"/>
    <x v="0"/>
    <m/>
    <x v="0"/>
  </r>
  <r>
    <n v="1182455939"/>
    <x v="7"/>
    <x v="2"/>
    <d v="2024-11-13T16:12:26"/>
    <s v="SnafuStore"/>
    <x v="1093"/>
    <x v="7"/>
    <s v="No"/>
    <s v="Inglés"/>
    <n v="26.17"/>
    <n v="1"/>
    <n v="26.17"/>
    <x v="0"/>
    <m/>
    <x v="0"/>
  </r>
  <r>
    <n v="1182408312"/>
    <x v="7"/>
    <x v="2"/>
    <d v="2024-11-13T16:12:26"/>
    <s v="GeekParadise-Tom"/>
    <x v="1094"/>
    <x v="47"/>
    <s v="No"/>
    <s v="Inglés"/>
    <n v="37"/>
    <n v="1"/>
    <n v="37"/>
    <x v="0"/>
    <m/>
    <x v="0"/>
  </r>
  <r>
    <n v="1182408288"/>
    <x v="7"/>
    <x v="2"/>
    <d v="2024-11-13T16:12:26"/>
    <s v="wildchild"/>
    <x v="1094"/>
    <x v="47"/>
    <s v="No"/>
    <s v="Inglés"/>
    <n v="35.47"/>
    <n v="1"/>
    <n v="35.47"/>
    <x v="0"/>
    <m/>
    <x v="0"/>
  </r>
  <r>
    <n v="1182408279"/>
    <x v="7"/>
    <x v="2"/>
    <d v="2024-11-13T16:12:26"/>
    <s v="legarreta"/>
    <x v="1094"/>
    <x v="47"/>
    <s v="No"/>
    <s v="Inglés"/>
    <n v="29.75741573033708"/>
    <n v="1"/>
    <n v="29.75741573033708"/>
    <x v="0"/>
    <m/>
    <x v="0"/>
  </r>
  <r>
    <n v="1182408279"/>
    <x v="7"/>
    <x v="2"/>
    <d v="2024-11-13T16:12:26"/>
    <s v="legarreta"/>
    <x v="1093"/>
    <x v="7"/>
    <s v="No"/>
    <s v="Inglés"/>
    <n v="20.212584269662919"/>
    <n v="1"/>
    <n v="20.212584269662919"/>
    <x v="0"/>
    <m/>
    <x v="0"/>
  </r>
  <r>
    <n v="1180335350"/>
    <x v="7"/>
    <x v="2"/>
    <d v="2024-11-12T18:45:59"/>
    <s v="Naponar"/>
    <x v="1095"/>
    <x v="15"/>
    <s v="No"/>
    <s v="Español"/>
    <n v="8.17"/>
    <n v="1"/>
    <n v="8.17"/>
    <x v="1"/>
    <n v="8.17"/>
    <x v="0"/>
  </r>
  <r>
    <n v="1181893231"/>
    <x v="7"/>
    <x v="2"/>
    <d v="2024-11-09T23:18:12"/>
    <s v="Torkok"/>
    <x v="968"/>
    <x v="144"/>
    <s v="No"/>
    <s v="Inglés"/>
    <n v="0.1552152317880795"/>
    <n v="2"/>
    <n v="0.310430463576159"/>
    <x v="1"/>
    <n v="0.31043046357615889"/>
    <x v="0"/>
  </r>
  <r>
    <n v="1181529179"/>
    <x v="7"/>
    <x v="2"/>
    <d v="2024-11-07T12:25:40"/>
    <s v="Arrokia"/>
    <x v="1065"/>
    <x v="88"/>
    <s v="Si"/>
    <s v="Inglés"/>
    <n v="31.267499999999998"/>
    <n v="4"/>
    <n v="125.07"/>
    <x v="0"/>
    <m/>
    <x v="0"/>
  </r>
  <r>
    <n v="1180954783"/>
    <x v="7"/>
    <x v="2"/>
    <d v="2024-11-03T00:03:32"/>
    <s v="Sonia1992"/>
    <x v="1096"/>
    <x v="214"/>
    <s v="Si"/>
    <s v="Chino"/>
    <n v="8.4674999999999994"/>
    <n v="4"/>
    <n v="33.869999999999997"/>
    <x v="0"/>
    <m/>
    <x v="0"/>
  </r>
  <r>
    <n v="1179893768"/>
    <x v="8"/>
    <x v="2"/>
    <d v="2024-10-31T10:38:19"/>
    <s v="Veilanof"/>
    <x v="1097"/>
    <x v="7"/>
    <s v="Si"/>
    <s v="Inglés"/>
    <n v="22.317499999999999"/>
    <n v="4"/>
    <n v="89.27"/>
    <x v="1"/>
    <n v="89.27"/>
    <x v="0"/>
  </r>
  <r>
    <n v="1178657400"/>
    <x v="8"/>
    <x v="2"/>
    <d v="2024-10-30T16:08:37"/>
    <s v="NickDeme"/>
    <x v="1098"/>
    <x v="22"/>
    <s v="Si"/>
    <s v="Inglés"/>
    <n v="9.7750000000000004"/>
    <n v="4"/>
    <n v="39.1"/>
    <x v="1"/>
    <n v="39.1"/>
    <x v="0"/>
  </r>
  <r>
    <n v="1180487502"/>
    <x v="8"/>
    <x v="2"/>
    <d v="2024-10-30T10:20:08"/>
    <s v="Distritozero-Bilbao"/>
    <x v="1094"/>
    <x v="47"/>
    <s v="No"/>
    <s v="Inglés"/>
    <n v="34"/>
    <n v="1"/>
    <n v="34"/>
    <x v="0"/>
    <m/>
    <x v="0"/>
  </r>
  <r>
    <n v="1180379545"/>
    <x v="8"/>
    <x v="2"/>
    <d v="2024-10-29T15:53:19"/>
    <s v="Distritozero-Bilbao"/>
    <x v="1099"/>
    <x v="139"/>
    <s v="Si"/>
    <s v="Inglés"/>
    <n v="0.2"/>
    <n v="4"/>
    <n v="0.8"/>
    <x v="0"/>
    <m/>
    <x v="0"/>
  </r>
  <r>
    <n v="1180379545"/>
    <x v="8"/>
    <x v="2"/>
    <d v="2024-10-29T15:53:19"/>
    <s v="Distritozero-Bilbao"/>
    <x v="1100"/>
    <x v="118"/>
    <s v="No"/>
    <s v="Inglés"/>
    <n v="0.4"/>
    <n v="1"/>
    <n v="0.4"/>
    <x v="0"/>
    <m/>
    <x v="0"/>
  </r>
  <r>
    <n v="1180379545"/>
    <x v="8"/>
    <x v="2"/>
    <d v="2024-10-29T15:53:19"/>
    <s v="Distritozero-Bilbao"/>
    <x v="1101"/>
    <x v="51"/>
    <s v="Si"/>
    <s v="Inglés"/>
    <n v="0.1"/>
    <n v="4"/>
    <n v="0.4"/>
    <x v="0"/>
    <m/>
    <x v="0"/>
  </r>
  <r>
    <n v="1179942773"/>
    <x v="8"/>
    <x v="2"/>
    <d v="2024-10-26T11:26:57"/>
    <s v="Ivancinho10"/>
    <x v="1041"/>
    <x v="51"/>
    <s v="Si"/>
    <s v="Inglés"/>
    <n v="8.3175000000000008"/>
    <n v="4"/>
    <n v="33.270000000000003"/>
    <x v="0"/>
    <m/>
    <x v="0"/>
  </r>
  <r>
    <n v="1179920868"/>
    <x v="8"/>
    <x v="2"/>
    <d v="2024-10-26T01:59:36"/>
    <s v="Yonlu"/>
    <x v="590"/>
    <x v="54"/>
    <s v="No"/>
    <s v="Inglés"/>
    <n v="17.12"/>
    <n v="1"/>
    <n v="17.12"/>
    <x v="0"/>
    <m/>
    <x v="0"/>
  </r>
  <r>
    <n v="1179590060"/>
    <x v="8"/>
    <x v="2"/>
    <d v="2024-10-23T13:39:59"/>
    <s v="Itaca"/>
    <x v="1102"/>
    <x v="245"/>
    <s v="No"/>
    <s v="Inglés"/>
    <n v="13.95"/>
    <n v="1"/>
    <n v="13.95"/>
    <x v="0"/>
    <m/>
    <x v="0"/>
  </r>
  <r>
    <n v="1177911137"/>
    <x v="8"/>
    <x v="2"/>
    <d v="2024-10-23T13:10:10"/>
    <s v="MichaelGJ"/>
    <x v="950"/>
    <x v="22"/>
    <s v="No"/>
    <s v="Inglés"/>
    <n v="4.8351063829787231"/>
    <n v="1"/>
    <n v="4.8351063829787231"/>
    <x v="1"/>
    <n v="4.8351063829787231"/>
    <x v="0"/>
  </r>
  <r>
    <n v="1178747825"/>
    <x v="8"/>
    <x v="2"/>
    <d v="2024-10-22T11:36:17"/>
    <s v="Mazvigosl"/>
    <x v="1103"/>
    <x v="191"/>
    <s v="Si"/>
    <s v="Inglés"/>
    <n v="6.2427016129032262"/>
    <n v="4"/>
    <n v="24.970806451612905"/>
    <x v="1"/>
    <n v="24.970806451612905"/>
    <x v="0"/>
  </r>
  <r>
    <n v="1179331382"/>
    <x v="8"/>
    <x v="2"/>
    <d v="2024-10-21T16:08:40"/>
    <s v="AM-Cards"/>
    <x v="1093"/>
    <x v="7"/>
    <s v="No"/>
    <s v="Inglés"/>
    <n v="26.734999999999999"/>
    <n v="2"/>
    <n v="53.47"/>
    <x v="0"/>
    <m/>
    <x v="0"/>
  </r>
  <r>
    <n v="1174481100"/>
    <x v="8"/>
    <x v="2"/>
    <d v="2024-10-19T13:43:10"/>
    <s v="emrmagic"/>
    <x v="679"/>
    <x v="211"/>
    <s v="No"/>
    <s v="Inglés"/>
    <n v="15.72"/>
    <n v="1"/>
    <n v="15.72"/>
    <x v="1"/>
    <n v="15.72"/>
    <x v="0"/>
  </r>
  <r>
    <n v="1178944065"/>
    <x v="8"/>
    <x v="2"/>
    <d v="2024-10-18T17:07:54"/>
    <s v="alfonsopeces"/>
    <x v="1104"/>
    <x v="200"/>
    <s v="Si"/>
    <s v="Inglés"/>
    <n v="1.105"/>
    <n v="4"/>
    <n v="4.42"/>
    <x v="0"/>
    <m/>
    <x v="0"/>
  </r>
  <r>
    <n v="1178792635"/>
    <x v="8"/>
    <x v="2"/>
    <d v="2024-10-17T21:16:43"/>
    <s v="xDrakeDRaptor"/>
    <x v="1093"/>
    <x v="7"/>
    <s v="No"/>
    <s v="Inglés"/>
    <n v="24.725000000000001"/>
    <n v="2"/>
    <n v="49.45"/>
    <x v="0"/>
    <m/>
    <x v="0"/>
  </r>
  <r>
    <n v="1178792325"/>
    <x v="8"/>
    <x v="2"/>
    <d v="2024-10-17T19:30:21"/>
    <s v="SrBau"/>
    <x v="1105"/>
    <x v="22"/>
    <s v="Si"/>
    <s v="Inglés"/>
    <n v="17.317499999999999"/>
    <n v="4"/>
    <n v="69.27"/>
    <x v="1"/>
    <n v="69.27"/>
    <x v="0"/>
  </r>
  <r>
    <n v="1178747825"/>
    <x v="8"/>
    <x v="2"/>
    <d v="2024-10-17T08:39:32"/>
    <s v="Mazvigosl"/>
    <x v="1106"/>
    <x v="61"/>
    <s v="No"/>
    <s v="Inglés"/>
    <n v="0.29728682170542642"/>
    <n v="2"/>
    <n v="0.59457364341085284"/>
    <x v="1"/>
    <n v="0.59457364341085273"/>
    <x v="0"/>
  </r>
  <r>
    <n v="1178657863"/>
    <x v="8"/>
    <x v="2"/>
    <d v="2024-10-16T15:14:06"/>
    <s v="Shark-Games"/>
    <x v="1107"/>
    <x v="7"/>
    <s v="Si"/>
    <s v="Inglés"/>
    <n v="15.0525"/>
    <n v="4"/>
    <n v="60.21"/>
    <x v="0"/>
    <m/>
    <x v="0"/>
  </r>
  <r>
    <n v="1178602338"/>
    <x v="8"/>
    <x v="2"/>
    <d v="2024-10-16T08:23:01"/>
    <s v="tier"/>
    <x v="1108"/>
    <x v="82"/>
    <s v="No"/>
    <s v="Inglés"/>
    <n v="38.47"/>
    <n v="1"/>
    <n v="38.47"/>
    <x v="0"/>
    <m/>
    <x v="0"/>
  </r>
  <r>
    <n v="1178326480"/>
    <x v="8"/>
    <x v="2"/>
    <d v="2024-10-14T14:40:35"/>
    <s v="Mirsek"/>
    <x v="1109"/>
    <x v="244"/>
    <s v="No"/>
    <s v="Español"/>
    <n v="1.72"/>
    <n v="1"/>
    <n v="1.72"/>
    <x v="1"/>
    <n v="1.72"/>
    <x v="0"/>
  </r>
  <r>
    <n v="1178227175"/>
    <x v="8"/>
    <x v="2"/>
    <d v="2024-10-13T18:11:09"/>
    <s v="Mazvigosl"/>
    <x v="1110"/>
    <x v="118"/>
    <s v="No"/>
    <s v="Inglés"/>
    <n v="0.27183768656716423"/>
    <n v="1"/>
    <n v="0.27183768656716423"/>
    <x v="0"/>
    <m/>
    <x v="0"/>
  </r>
  <r>
    <n v="1178227175"/>
    <x v="8"/>
    <x v="2"/>
    <d v="2024-10-13T18:11:09"/>
    <s v="Mazvigosl"/>
    <x v="1111"/>
    <x v="118"/>
    <s v="No"/>
    <s v="Inglés"/>
    <n v="0.34275186567164179"/>
    <n v="1"/>
    <n v="0.34275186567164179"/>
    <x v="0"/>
    <m/>
    <x v="0"/>
  </r>
  <r>
    <n v="1178227175"/>
    <x v="8"/>
    <x v="2"/>
    <d v="2024-10-13T18:11:09"/>
    <s v="Mazvigosl"/>
    <x v="1112"/>
    <x v="118"/>
    <s v="No"/>
    <s v="Inglés"/>
    <n v="0.39002798507462688"/>
    <n v="1"/>
    <n v="0.39002798507462688"/>
    <x v="0"/>
    <m/>
    <x v="0"/>
  </r>
  <r>
    <n v="1178227175"/>
    <x v="8"/>
    <x v="2"/>
    <d v="2024-10-13T18:11:09"/>
    <s v="Mazvigosl"/>
    <x v="1113"/>
    <x v="118"/>
    <s v="No"/>
    <s v="Inglés"/>
    <n v="1.359188432835821"/>
    <n v="1"/>
    <n v="1.359188432835821"/>
    <x v="0"/>
    <m/>
    <x v="0"/>
  </r>
  <r>
    <n v="1178227175"/>
    <x v="8"/>
    <x v="2"/>
    <d v="2024-10-13T18:11:09"/>
    <s v="Mazvigosl"/>
    <x v="1114"/>
    <x v="118"/>
    <s v="No"/>
    <s v="Inglés"/>
    <n v="0.28365671641791051"/>
    <n v="1"/>
    <n v="0.28365671641791051"/>
    <x v="0"/>
    <m/>
    <x v="0"/>
  </r>
  <r>
    <n v="1178227175"/>
    <x v="8"/>
    <x v="2"/>
    <d v="2024-10-13T18:11:09"/>
    <s v="Mazvigosl"/>
    <x v="1115"/>
    <x v="118"/>
    <s v="No"/>
    <s v="Inglés"/>
    <n v="0.31911380597014932"/>
    <n v="1"/>
    <n v="0.31911380597014932"/>
    <x v="0"/>
    <m/>
    <x v="0"/>
  </r>
  <r>
    <n v="1178227175"/>
    <x v="8"/>
    <x v="2"/>
    <d v="2024-10-13T18:11:09"/>
    <s v="Mazvigosl"/>
    <x v="1116"/>
    <x v="118"/>
    <s v="No"/>
    <s v="Inglés"/>
    <n v="0.44912313432835821"/>
    <n v="1"/>
    <n v="0.44912313432835821"/>
    <x v="0"/>
    <m/>
    <x v="0"/>
  </r>
  <r>
    <n v="1178227175"/>
    <x v="8"/>
    <x v="2"/>
    <d v="2024-10-13T18:11:09"/>
    <s v="Mazvigosl"/>
    <x v="1117"/>
    <x v="118"/>
    <s v="No"/>
    <s v="Inglés"/>
    <n v="1.347369402985074"/>
    <n v="1"/>
    <n v="1.347369402985074"/>
    <x v="0"/>
    <m/>
    <x v="0"/>
  </r>
  <r>
    <n v="1178227175"/>
    <x v="8"/>
    <x v="2"/>
    <d v="2024-10-13T18:11:09"/>
    <s v="Mazvigosl"/>
    <x v="1118"/>
    <x v="118"/>
    <s v="No"/>
    <s v="Inglés"/>
    <n v="0.29547574626865669"/>
    <n v="1"/>
    <n v="0.29547574626865669"/>
    <x v="0"/>
    <m/>
    <x v="0"/>
  </r>
  <r>
    <n v="1178227175"/>
    <x v="8"/>
    <x v="2"/>
    <d v="2024-10-13T18:11:09"/>
    <s v="Mazvigosl"/>
    <x v="1119"/>
    <x v="118"/>
    <s v="No"/>
    <s v="Inglés"/>
    <n v="0.33093283582089561"/>
    <n v="1"/>
    <n v="0.33093283582089561"/>
    <x v="0"/>
    <m/>
    <x v="0"/>
  </r>
  <r>
    <n v="1178227175"/>
    <x v="8"/>
    <x v="2"/>
    <d v="2024-10-13T18:11:09"/>
    <s v="Mazvigosl"/>
    <x v="1120"/>
    <x v="118"/>
    <s v="No"/>
    <s v="Inglés"/>
    <n v="0.41366604477611929"/>
    <n v="1"/>
    <n v="0.41366604477611929"/>
    <x v="0"/>
    <m/>
    <x v="0"/>
  </r>
  <r>
    <n v="1178227175"/>
    <x v="8"/>
    <x v="2"/>
    <d v="2024-10-13T18:11:09"/>
    <s v="Mazvigosl"/>
    <x v="1121"/>
    <x v="118"/>
    <s v="No"/>
    <s v="Inglés"/>
    <n v="1.359188432835821"/>
    <n v="1"/>
    <n v="1.359188432835821"/>
    <x v="0"/>
    <m/>
    <x v="0"/>
  </r>
  <r>
    <n v="1178227175"/>
    <x v="8"/>
    <x v="2"/>
    <d v="2024-10-13T18:11:09"/>
    <s v="Mazvigosl"/>
    <x v="1100"/>
    <x v="118"/>
    <s v="No"/>
    <s v="Inglés"/>
    <n v="0.31911380597014932"/>
    <n v="1"/>
    <n v="0.31911380597014932"/>
    <x v="0"/>
    <m/>
    <x v="0"/>
  </r>
  <r>
    <n v="1178227175"/>
    <x v="8"/>
    <x v="2"/>
    <d v="2024-10-13T18:11:09"/>
    <s v="Mazvigosl"/>
    <x v="1122"/>
    <x v="118"/>
    <s v="No"/>
    <s v="Inglés"/>
    <n v="0.33093283582089561"/>
    <n v="1"/>
    <n v="0.33093283582089561"/>
    <x v="0"/>
    <m/>
    <x v="0"/>
  </r>
  <r>
    <n v="1178227175"/>
    <x v="8"/>
    <x v="2"/>
    <d v="2024-10-13T18:11:09"/>
    <s v="Mazvigosl"/>
    <x v="1123"/>
    <x v="118"/>
    <s v="No"/>
    <s v="Inglés"/>
    <n v="0.40184701492537322"/>
    <n v="1"/>
    <n v="0.40184701492537322"/>
    <x v="0"/>
    <m/>
    <x v="0"/>
  </r>
  <r>
    <n v="1178227175"/>
    <x v="8"/>
    <x v="2"/>
    <d v="2024-10-13T18:11:09"/>
    <s v="Mazvigosl"/>
    <x v="1124"/>
    <x v="118"/>
    <s v="No"/>
    <s v="Inglés"/>
    <n v="1.86740671641791"/>
    <n v="1"/>
    <n v="1.86740671641791"/>
    <x v="0"/>
    <m/>
    <x v="0"/>
  </r>
  <r>
    <n v="1178227175"/>
    <x v="8"/>
    <x v="2"/>
    <d v="2024-10-13T18:11:09"/>
    <s v="Mazvigosl"/>
    <x v="1125"/>
    <x v="118"/>
    <s v="No"/>
    <s v="Inglés"/>
    <n v="0.33093283582089561"/>
    <n v="1"/>
    <n v="0.33093283582089561"/>
    <x v="0"/>
    <m/>
    <x v="0"/>
  </r>
  <r>
    <n v="1178227175"/>
    <x v="8"/>
    <x v="2"/>
    <d v="2024-10-13T18:11:09"/>
    <s v="Mazvigosl"/>
    <x v="1126"/>
    <x v="118"/>
    <s v="No"/>
    <s v="Inglés"/>
    <n v="0.35457089552238802"/>
    <n v="1"/>
    <n v="0.35457089552238802"/>
    <x v="0"/>
    <m/>
    <x v="0"/>
  </r>
  <r>
    <n v="1178227175"/>
    <x v="8"/>
    <x v="2"/>
    <d v="2024-10-13T18:11:09"/>
    <s v="Mazvigosl"/>
    <x v="1127"/>
    <x v="118"/>
    <s v="No"/>
    <s v="Inglés"/>
    <n v="0.42548507462686558"/>
    <n v="1"/>
    <n v="0.42548507462686558"/>
    <x v="0"/>
    <m/>
    <x v="0"/>
  </r>
  <r>
    <n v="1178227175"/>
    <x v="8"/>
    <x v="2"/>
    <d v="2024-10-13T18:11:09"/>
    <s v="Mazvigosl"/>
    <x v="1128"/>
    <x v="118"/>
    <s v="No"/>
    <s v="Inglés"/>
    <n v="1.477378731343284"/>
    <n v="1"/>
    <n v="1.477378731343284"/>
    <x v="0"/>
    <m/>
    <x v="0"/>
  </r>
  <r>
    <n v="1178209541"/>
    <x v="8"/>
    <x v="2"/>
    <d v="2024-10-13T18:11:09"/>
    <s v="Elfo"/>
    <x v="1129"/>
    <x v="182"/>
    <s v="No"/>
    <s v="Inglés"/>
    <n v="2.11"/>
    <n v="2"/>
    <n v="4.22"/>
    <x v="0"/>
    <m/>
    <x v="0"/>
  </r>
  <r>
    <n v="1178208447"/>
    <x v="8"/>
    <x v="2"/>
    <d v="2024-10-13T18:11:09"/>
    <s v="Warrasen"/>
    <x v="1130"/>
    <x v="41"/>
    <s v="Si"/>
    <s v="Inglés"/>
    <n v="0.62708333333333333"/>
    <n v="4"/>
    <n v="2.5083333333333333"/>
    <x v="0"/>
    <m/>
    <x v="0"/>
  </r>
  <r>
    <n v="1178208447"/>
    <x v="8"/>
    <x v="2"/>
    <d v="2024-10-13T18:11:09"/>
    <s v="Warrasen"/>
    <x v="1131"/>
    <x v="246"/>
    <s v="Si"/>
    <s v="Inglés"/>
    <n v="0.62708333333333333"/>
    <n v="4"/>
    <n v="2.5083333333333333"/>
    <x v="0"/>
    <m/>
    <x v="0"/>
  </r>
  <r>
    <n v="1178208447"/>
    <x v="8"/>
    <x v="2"/>
    <d v="2024-10-13T18:11:09"/>
    <s v="Warrasen"/>
    <x v="1132"/>
    <x v="170"/>
    <s v="Si"/>
    <s v="Inglés"/>
    <n v="0.25083333333333341"/>
    <n v="4"/>
    <n v="1.0033333333333336"/>
    <x v="0"/>
    <m/>
    <x v="0"/>
  </r>
  <r>
    <n v="1178206014"/>
    <x v="8"/>
    <x v="2"/>
    <d v="2024-10-13T18:11:09"/>
    <s v="JMontisella"/>
    <x v="1133"/>
    <x v="239"/>
    <s v="Si"/>
    <s v="Inglés"/>
    <n v="3.2146323529411771"/>
    <n v="4"/>
    <n v="12.858529411764708"/>
    <x v="0"/>
    <m/>
    <x v="0"/>
  </r>
  <r>
    <n v="1178206014"/>
    <x v="8"/>
    <x v="2"/>
    <d v="2024-10-13T18:11:09"/>
    <s v="JMontisella"/>
    <x v="1134"/>
    <x v="21"/>
    <s v="Si"/>
    <s v="Inglés"/>
    <n v="0.49036764705882352"/>
    <n v="4"/>
    <n v="1.9614705882352941"/>
    <x v="0"/>
    <m/>
    <x v="0"/>
  </r>
  <r>
    <n v="1178155822"/>
    <x v="8"/>
    <x v="2"/>
    <d v="2024-10-13T09:27:53"/>
    <s v="mr-worldwake"/>
    <x v="256"/>
    <x v="68"/>
    <s v="No"/>
    <s v="Inglés"/>
    <n v="7.6325925925925926"/>
    <n v="1"/>
    <n v="7.6325925925925926"/>
    <x v="0"/>
    <m/>
    <x v="0"/>
  </r>
  <r>
    <n v="1178155822"/>
    <x v="8"/>
    <x v="2"/>
    <d v="2024-10-13T09:27:53"/>
    <s v="mr-worldwake"/>
    <x v="256"/>
    <x v="68"/>
    <s v="No"/>
    <s v="Inglés"/>
    <n v="7.0874074074074072"/>
    <n v="1"/>
    <n v="7.0874074074074072"/>
    <x v="0"/>
    <m/>
    <x v="0"/>
  </r>
  <r>
    <n v="1178144974"/>
    <x v="8"/>
    <x v="2"/>
    <d v="2024-10-13T09:20:42"/>
    <s v="DUAL-GAMES"/>
    <x v="1067"/>
    <x v="118"/>
    <s v="Si"/>
    <s v="Inglés"/>
    <n v="6.2050000000000001"/>
    <n v="4"/>
    <n v="24.82"/>
    <x v="0"/>
    <m/>
    <x v="0"/>
  </r>
  <r>
    <n v="1178100465"/>
    <x v="8"/>
    <x v="2"/>
    <d v="2024-10-12T19:46:40"/>
    <s v="dannylarousso"/>
    <x v="1135"/>
    <x v="49"/>
    <s v="Si"/>
    <s v="Inglés"/>
    <n v="2.8050000000000002"/>
    <n v="4"/>
    <n v="11.22"/>
    <x v="0"/>
    <m/>
    <x v="0"/>
  </r>
  <r>
    <n v="1178100353"/>
    <x v="8"/>
    <x v="2"/>
    <d v="2024-10-12T19:46:40"/>
    <s v="Dewacek"/>
    <x v="1108"/>
    <x v="82"/>
    <s v="No"/>
    <s v="Inglés"/>
    <n v="36.28"/>
    <n v="1"/>
    <n v="36.28"/>
    <x v="0"/>
    <m/>
    <x v="0"/>
  </r>
  <r>
    <n v="1178096154"/>
    <x v="8"/>
    <x v="2"/>
    <d v="2024-10-12T19:46:40"/>
    <s v="OpenVaultTrading"/>
    <x v="1108"/>
    <x v="82"/>
    <s v="No"/>
    <s v="Inglés"/>
    <n v="33.530555370801459"/>
    <n v="2"/>
    <n v="67.061110741602917"/>
    <x v="0"/>
    <m/>
    <x v="0"/>
  </r>
  <r>
    <n v="1178096154"/>
    <x v="8"/>
    <x v="2"/>
    <d v="2024-10-12T19:46:40"/>
    <s v="OpenVaultTrading"/>
    <x v="1136"/>
    <x v="61"/>
    <s v="Si"/>
    <s v="Inglés"/>
    <n v="4.4722314599268377E-2"/>
    <n v="4"/>
    <n v="0.17888925839707351"/>
    <x v="0"/>
    <m/>
    <x v="0"/>
  </r>
  <r>
    <n v="1176843547"/>
    <x v="8"/>
    <x v="2"/>
    <d v="2024-10-11T09:48:36"/>
    <s v="J4ceBeleren"/>
    <x v="1137"/>
    <x v="11"/>
    <s v="No"/>
    <s v="Inglés"/>
    <n v="52.25"/>
    <n v="1"/>
    <n v="52.25"/>
    <x v="1"/>
    <n v="52.25"/>
    <x v="0"/>
  </r>
  <r>
    <n v="1177333406"/>
    <x v="8"/>
    <x v="2"/>
    <d v="2024-10-10T21:33:13"/>
    <s v="abe973"/>
    <x v="735"/>
    <x v="22"/>
    <s v="No"/>
    <s v="Inglés"/>
    <n v="3.17"/>
    <n v="1"/>
    <n v="3.17"/>
    <x v="1"/>
    <n v="3.17"/>
    <x v="0"/>
  </r>
  <r>
    <n v="1177755570"/>
    <x v="8"/>
    <x v="2"/>
    <d v="2024-10-10T15:33:22"/>
    <s v="TeamOfLegends"/>
    <x v="1138"/>
    <x v="139"/>
    <s v="Si"/>
    <s v="Inglés"/>
    <n v="1.3049999999999999"/>
    <n v="4"/>
    <n v="5.22"/>
    <x v="0"/>
    <m/>
    <x v="0"/>
  </r>
  <r>
    <n v="1177755491"/>
    <x v="8"/>
    <x v="2"/>
    <d v="2024-10-10T15:33:22"/>
    <s v="Metropolis-Center"/>
    <x v="1139"/>
    <x v="133"/>
    <s v="Si"/>
    <s v="Inglés"/>
    <n v="0.26263056092843329"/>
    <n v="4"/>
    <n v="1.0505222437137332"/>
    <x v="0"/>
    <m/>
    <x v="0"/>
  </r>
  <r>
    <n v="1177755491"/>
    <x v="8"/>
    <x v="2"/>
    <d v="2024-10-10T15:33:22"/>
    <s v="Metropolis-Center"/>
    <x v="1140"/>
    <x v="67"/>
    <s v="Si"/>
    <s v="Inglés"/>
    <n v="1.083351063829787"/>
    <n v="4"/>
    <n v="4.3334042553191479"/>
    <x v="0"/>
    <m/>
    <x v="0"/>
  </r>
  <r>
    <n v="1177755491"/>
    <x v="8"/>
    <x v="2"/>
    <d v="2024-10-10T15:33:22"/>
    <s v="Metropolis-Center"/>
    <x v="1141"/>
    <x v="196"/>
    <s v="Si"/>
    <s v="Inglés"/>
    <n v="0.26263056092843329"/>
    <n v="4"/>
    <n v="1.0505222437137332"/>
    <x v="0"/>
    <m/>
    <x v="0"/>
  </r>
  <r>
    <n v="1177755491"/>
    <x v="8"/>
    <x v="2"/>
    <d v="2024-10-10T15:33:22"/>
    <s v="Metropolis-Center"/>
    <x v="1142"/>
    <x v="118"/>
    <s v="Si"/>
    <s v="Inglés"/>
    <n v="0.53620406189555125"/>
    <n v="4"/>
    <n v="2.144816247582205"/>
    <x v="0"/>
    <m/>
    <x v="0"/>
  </r>
  <r>
    <n v="1177755491"/>
    <x v="8"/>
    <x v="2"/>
    <d v="2024-10-10T15:33:22"/>
    <s v="Metropolis-Center"/>
    <x v="1143"/>
    <x v="67"/>
    <s v="Si"/>
    <s v="Inglés"/>
    <n v="0.26263056092843329"/>
    <n v="4"/>
    <n v="1.0505222437137332"/>
    <x v="0"/>
    <m/>
    <x v="0"/>
  </r>
  <r>
    <n v="1177755491"/>
    <x v="8"/>
    <x v="2"/>
    <d v="2024-10-10T15:33:22"/>
    <s v="Metropolis-Center"/>
    <x v="1144"/>
    <x v="61"/>
    <s v="No"/>
    <s v="Inglés"/>
    <n v="4.3662330754352032"/>
    <n v="2"/>
    <n v="8.7324661508704065"/>
    <x v="0"/>
    <m/>
    <x v="0"/>
  </r>
  <r>
    <n v="1177755491"/>
    <x v="8"/>
    <x v="2"/>
    <d v="2024-10-10T15:33:22"/>
    <s v="Metropolis-Center"/>
    <x v="1145"/>
    <x v="51"/>
    <s v="Si"/>
    <s v="Inglés"/>
    <n v="0.53620406189555125"/>
    <n v="4"/>
    <n v="2.144816247582205"/>
    <x v="0"/>
    <m/>
    <x v="0"/>
  </r>
  <r>
    <n v="1177755491"/>
    <x v="8"/>
    <x v="2"/>
    <d v="2024-10-10T15:33:22"/>
    <s v="Metropolis-Center"/>
    <x v="1146"/>
    <x v="61"/>
    <s v="Si"/>
    <s v="Inglés"/>
    <n v="0.26263056092843329"/>
    <n v="4"/>
    <n v="1.0505222437137332"/>
    <x v="0"/>
    <m/>
    <x v="0"/>
  </r>
  <r>
    <n v="1177755491"/>
    <x v="8"/>
    <x v="2"/>
    <d v="2024-10-10T15:33:22"/>
    <s v="Metropolis-Center"/>
    <x v="572"/>
    <x v="68"/>
    <s v="No"/>
    <s v="Inglés"/>
    <n v="0.53620406189555125"/>
    <n v="2"/>
    <n v="1.0724081237911025"/>
    <x v="0"/>
    <m/>
    <x v="0"/>
  </r>
  <r>
    <n v="1177698001"/>
    <x v="8"/>
    <x v="2"/>
    <d v="2024-10-09T21:02:12"/>
    <s v="willybizarre"/>
    <x v="1147"/>
    <x v="233"/>
    <s v="No"/>
    <s v="Japonés"/>
    <n v="3.218845671267252"/>
    <n v="2"/>
    <n v="6.4376913425345039"/>
    <x v="0"/>
    <m/>
    <x v="0"/>
  </r>
  <r>
    <n v="1177698001"/>
    <x v="8"/>
    <x v="2"/>
    <d v="2024-10-09T21:02:12"/>
    <s v="willybizarre"/>
    <x v="1148"/>
    <x v="52"/>
    <s v="Si"/>
    <s v="Japonés"/>
    <n v="2.6805771643663738"/>
    <n v="4"/>
    <n v="10.722308657465495"/>
    <x v="0"/>
    <m/>
    <x v="0"/>
  </r>
  <r>
    <n v="1176293751"/>
    <x v="8"/>
    <x v="2"/>
    <d v="2024-10-09T16:34:30"/>
    <s v="RoyalAssassin-T1-"/>
    <x v="1149"/>
    <x v="126"/>
    <s v="No"/>
    <s v="Japonés"/>
    <n v="1.7166666666666666"/>
    <n v="3"/>
    <n v="5.1499999999999995"/>
    <x v="1"/>
    <n v="5.1499999999999995"/>
    <x v="0"/>
  </r>
  <r>
    <n v="1176153622"/>
    <x v="8"/>
    <x v="2"/>
    <d v="2024-10-09T10:16:26"/>
    <s v="Agusoto"/>
    <x v="1150"/>
    <x v="45"/>
    <s v="No"/>
    <s v="Español"/>
    <n v="11.17"/>
    <n v="1"/>
    <n v="11.17"/>
    <x v="1"/>
    <n v="11.17"/>
    <x v="0"/>
  </r>
  <r>
    <n v="1177465113"/>
    <x v="8"/>
    <x v="2"/>
    <d v="2024-10-08T11:10:43"/>
    <s v="Distritozero-Bilbao"/>
    <x v="1151"/>
    <x v="82"/>
    <s v="Si"/>
    <s v="Inglés"/>
    <n v="7.85"/>
    <n v="4"/>
    <n v="31.4"/>
    <x v="0"/>
    <m/>
    <x v="0"/>
  </r>
  <r>
    <n v="1177000590"/>
    <x v="8"/>
    <x v="2"/>
    <d v="2024-10-05T10:26:11"/>
    <s v="AstoraComics"/>
    <x v="679"/>
    <x v="211"/>
    <s v="No"/>
    <s v="Inglés"/>
    <n v="18.07"/>
    <n v="1"/>
    <n v="18.07"/>
    <x v="0"/>
    <m/>
    <x v="0"/>
  </r>
  <r>
    <n v="1176992416"/>
    <x v="8"/>
    <x v="2"/>
    <d v="2024-10-05T09:52:53"/>
    <s v="Distritozero-Bilbao"/>
    <x v="473"/>
    <x v="82"/>
    <s v="Si"/>
    <s v="Inglés"/>
    <n v="9.75"/>
    <n v="4"/>
    <n v="39"/>
    <x v="0"/>
    <m/>
    <x v="0"/>
  </r>
  <r>
    <n v="1176843944"/>
    <x v="8"/>
    <x v="2"/>
    <d v="2024-10-04T07:59:03"/>
    <s v="Suskiwi"/>
    <x v="1137"/>
    <x v="11"/>
    <s v="No"/>
    <s v="Inglés"/>
    <n v="50.47"/>
    <n v="1"/>
    <n v="50.47"/>
    <x v="0"/>
    <m/>
    <x v="0"/>
  </r>
  <r>
    <n v="1176841022"/>
    <x v="8"/>
    <x v="2"/>
    <d v="2024-10-04T07:19:38"/>
    <s v="edoxxi"/>
    <x v="1152"/>
    <x v="133"/>
    <s v="No"/>
    <s v="Inglés"/>
    <n v="4.01"/>
    <n v="2"/>
    <n v="8.02"/>
    <x v="0"/>
    <m/>
    <x v="0"/>
  </r>
  <r>
    <n v="1176840647"/>
    <x v="8"/>
    <x v="2"/>
    <d v="2024-10-04T07:16:06"/>
    <s v="dabyttt"/>
    <x v="590"/>
    <x v="54"/>
    <s v="No"/>
    <s v="Inglés"/>
    <n v="18.72"/>
    <n v="1"/>
    <n v="18.72"/>
    <x v="0"/>
    <m/>
    <x v="0"/>
  </r>
  <r>
    <n v="1176840646"/>
    <x v="8"/>
    <x v="2"/>
    <d v="2024-10-04T07:16:06"/>
    <s v="cartomago11"/>
    <x v="590"/>
    <x v="54"/>
    <s v="No"/>
    <s v="Inglés"/>
    <n v="18.72"/>
    <n v="1"/>
    <n v="18.72"/>
    <x v="0"/>
    <m/>
    <x v="0"/>
  </r>
  <r>
    <n v="1176840322"/>
    <x v="8"/>
    <x v="2"/>
    <d v="2024-10-04T07:16:06"/>
    <s v="pacojons1"/>
    <x v="592"/>
    <x v="193"/>
    <s v="No"/>
    <s v="Inglés"/>
    <n v="15.72"/>
    <n v="1"/>
    <n v="15.72"/>
    <x v="0"/>
    <m/>
    <x v="0"/>
  </r>
  <r>
    <n v="1176840190"/>
    <x v="8"/>
    <x v="2"/>
    <d v="2024-10-04T07:16:06"/>
    <s v="TierraMedia"/>
    <x v="1153"/>
    <x v="199"/>
    <s v="No"/>
    <s v="Inglés"/>
    <n v="1.56"/>
    <n v="2"/>
    <n v="3.12"/>
    <x v="0"/>
    <m/>
    <x v="0"/>
  </r>
  <r>
    <n v="1176837643"/>
    <x v="8"/>
    <x v="2"/>
    <d v="2024-10-04T06:35:16"/>
    <s v="Distritozero-San"/>
    <x v="1154"/>
    <x v="51"/>
    <s v="Si"/>
    <s v="Inglés"/>
    <n v="5.99"/>
    <n v="4"/>
    <n v="23.96"/>
    <x v="0"/>
    <m/>
    <x v="0"/>
  </r>
  <r>
    <n v="1176837004"/>
    <x v="8"/>
    <x v="2"/>
    <d v="2024-10-04T06:34:50"/>
    <s v="willybizarre"/>
    <x v="1155"/>
    <x v="84"/>
    <s v="Si"/>
    <s v="Inglés"/>
    <n v="0.55499999999999994"/>
    <n v="4"/>
    <n v="2.2199999999999998"/>
    <x v="0"/>
    <m/>
    <x v="0"/>
  </r>
  <r>
    <n v="1176836891"/>
    <x v="8"/>
    <x v="2"/>
    <d v="2024-10-04T06:34:50"/>
    <s v="Taiko-Homoludicus"/>
    <x v="1156"/>
    <x v="51"/>
    <s v="Si"/>
    <s v="Inglés"/>
    <n v="1.2346153846153849"/>
    <n v="4"/>
    <n v="4.9384615384615396"/>
    <x v="0"/>
    <m/>
    <x v="0"/>
  </r>
  <r>
    <n v="1176836891"/>
    <x v="8"/>
    <x v="2"/>
    <d v="2024-10-04T06:34:50"/>
    <s v="Taiko-Homoludicus"/>
    <x v="1157"/>
    <x v="51"/>
    <s v="Si"/>
    <s v="Inglés"/>
    <n v="0.24692307692307691"/>
    <n v="4"/>
    <n v="0.98769230769230765"/>
    <x v="0"/>
    <m/>
    <x v="0"/>
  </r>
  <r>
    <n v="1176836891"/>
    <x v="8"/>
    <x v="2"/>
    <d v="2024-10-04T06:34:50"/>
    <s v="Taiko-Homoludicus"/>
    <x v="1158"/>
    <x v="51"/>
    <s v="No"/>
    <s v="Inglés"/>
    <n v="0.24692307692307691"/>
    <n v="2"/>
    <n v="0.49384615384615382"/>
    <x v="0"/>
    <m/>
    <x v="0"/>
  </r>
  <r>
    <n v="1176534065"/>
    <x v="8"/>
    <x v="2"/>
    <d v="2024-10-02T06:28:21"/>
    <s v="ManaVortex-POOL4YOU"/>
    <x v="1159"/>
    <x v="216"/>
    <s v="Si"/>
    <s v="Inglés"/>
    <n v="0.64974770642201829"/>
    <n v="4"/>
    <n v="2.5989908256880732"/>
    <x v="0"/>
    <m/>
    <x v="0"/>
  </r>
  <r>
    <n v="1176534065"/>
    <x v="8"/>
    <x v="2"/>
    <d v="2024-10-02T06:28:21"/>
    <s v="ManaVortex-POOL4YOU"/>
    <x v="299"/>
    <x v="216"/>
    <s v="Si"/>
    <s v="Inglés"/>
    <n v="1.835252293577982"/>
    <n v="4"/>
    <n v="7.3410091743119281"/>
    <x v="0"/>
    <m/>
    <x v="0"/>
  </r>
  <r>
    <s v="WA-20241001-02"/>
    <x v="8"/>
    <x v="2"/>
    <d v="2024-10-01T00:00:00"/>
    <s v="David Premodern"/>
    <x v="1160"/>
    <x v="73"/>
    <s v="Si"/>
    <s v="Japonés"/>
    <n v="12"/>
    <n v="1"/>
    <n v="12"/>
    <x v="0"/>
    <m/>
    <x v="0"/>
  </r>
  <r>
    <s v="WA-20241001-01"/>
    <x v="8"/>
    <x v="2"/>
    <d v="2024-10-01T00:00:00"/>
    <s v="34633956985"/>
    <x v="1161"/>
    <x v="22"/>
    <s v="Si"/>
    <s v="Inglés"/>
    <n v="35.817500000000003"/>
    <n v="4"/>
    <n v="143.27000000000001"/>
    <x v="1"/>
    <n v="143.27000000000001"/>
    <x v="0"/>
  </r>
  <r>
    <n v="1176289304"/>
    <x v="9"/>
    <x v="2"/>
    <d v="2024-09-30T16:34:36"/>
    <s v="vscorpio"/>
    <x v="1162"/>
    <x v="196"/>
    <s v="Si"/>
    <s v="Inglés"/>
    <n v="0.505"/>
    <n v="4"/>
    <n v="2.02"/>
    <x v="0"/>
    <m/>
    <x v="0"/>
  </r>
  <r>
    <n v="1176221818"/>
    <x v="9"/>
    <x v="2"/>
    <d v="2024-09-30T09:16:02"/>
    <s v="rumrum25"/>
    <x v="1163"/>
    <x v="76"/>
    <s v="No"/>
    <s v="Español"/>
    <n v="13.120000000000001"/>
    <n v="1"/>
    <n v="13.120000000000001"/>
    <x v="1"/>
    <n v="13.120000000000001"/>
    <x v="0"/>
  </r>
  <r>
    <n v="1176049465"/>
    <x v="9"/>
    <x v="2"/>
    <d v="2024-09-29T08:50:43"/>
    <s v="Moshitron"/>
    <x v="1164"/>
    <x v="82"/>
    <s v="No"/>
    <s v="Inglés"/>
    <n v="17.635000000000002"/>
    <n v="2"/>
    <n v="35.270000000000003"/>
    <x v="0"/>
    <m/>
    <x v="0"/>
  </r>
  <r>
    <n v="1176049435"/>
    <x v="9"/>
    <x v="2"/>
    <d v="2024-09-29T08:50:43"/>
    <s v="Distritozero-Bilbao"/>
    <x v="1164"/>
    <x v="82"/>
    <s v="No"/>
    <s v="Inglés"/>
    <n v="14.9"/>
    <n v="1"/>
    <n v="14.9"/>
    <x v="0"/>
    <m/>
    <x v="0"/>
  </r>
  <r>
    <n v="1176049435"/>
    <x v="9"/>
    <x v="2"/>
    <d v="2024-09-29T08:50:43"/>
    <s v="Distritozero-Bilbao"/>
    <x v="1164"/>
    <x v="82"/>
    <s v="No"/>
    <s v="Inglés"/>
    <n v="14.9"/>
    <n v="1"/>
    <n v="14.9"/>
    <x v="0"/>
    <m/>
    <x v="0"/>
  </r>
  <r>
    <n v="1176049435"/>
    <x v="9"/>
    <x v="2"/>
    <d v="2024-09-29T08:50:43"/>
    <s v="Distritozero-Bilbao"/>
    <x v="1165"/>
    <x v="61"/>
    <s v="Si"/>
    <s v="Inglés"/>
    <n v="0.25"/>
    <n v="4"/>
    <n v="1"/>
    <x v="0"/>
    <m/>
    <x v="0"/>
  </r>
  <r>
    <n v="1176022114"/>
    <x v="9"/>
    <x v="2"/>
    <d v="2024-09-28T23:50:11"/>
    <s v="PERALTA"/>
    <x v="1166"/>
    <x v="68"/>
    <s v="Si"/>
    <s v="Inglés"/>
    <n v="2.4619565217391299"/>
    <n v="4"/>
    <n v="9.8478260869565197"/>
    <x v="0"/>
    <m/>
    <x v="0"/>
  </r>
  <r>
    <n v="1176022114"/>
    <x v="9"/>
    <x v="2"/>
    <d v="2024-09-28T23:50:11"/>
    <s v="PERALTA"/>
    <x v="1167"/>
    <x v="51"/>
    <s v="No"/>
    <s v="Inglés"/>
    <n v="3.556159420289855"/>
    <n v="2"/>
    <n v="7.11231884057971"/>
    <x v="0"/>
    <m/>
    <x v="0"/>
  </r>
  <r>
    <n v="1176022114"/>
    <x v="9"/>
    <x v="2"/>
    <d v="2024-09-28T23:50:11"/>
    <s v="PERALTA"/>
    <x v="1168"/>
    <x v="22"/>
    <s v="No"/>
    <s v="Inglés"/>
    <n v="0.49239130434782608"/>
    <n v="2"/>
    <n v="0.98478260869565215"/>
    <x v="0"/>
    <m/>
    <x v="0"/>
  </r>
  <r>
    <n v="1176022114"/>
    <x v="9"/>
    <x v="2"/>
    <d v="2024-09-28T23:50:11"/>
    <s v="PERALTA"/>
    <x v="514"/>
    <x v="22"/>
    <s v="No"/>
    <s v="Inglés"/>
    <n v="0.27355072463768121"/>
    <n v="2"/>
    <n v="0.54710144927536242"/>
    <x v="0"/>
    <m/>
    <x v="0"/>
  </r>
  <r>
    <n v="1176022114"/>
    <x v="9"/>
    <x v="2"/>
    <d v="2024-09-28T23:50:11"/>
    <s v="PERALTA"/>
    <x v="1169"/>
    <x v="68"/>
    <s v="No"/>
    <s v="Inglés"/>
    <n v="1.367753623188406"/>
    <n v="2"/>
    <n v="2.735507246376812"/>
    <x v="0"/>
    <m/>
    <x v="0"/>
  </r>
  <r>
    <n v="1176022114"/>
    <x v="9"/>
    <x v="2"/>
    <d v="2024-09-28T23:50:11"/>
    <s v="PERALTA"/>
    <x v="1170"/>
    <x v="22"/>
    <s v="Si"/>
    <s v="Inglés"/>
    <n v="0.27355072463768121"/>
    <n v="4"/>
    <n v="1.0942028985507248"/>
    <x v="0"/>
    <m/>
    <x v="0"/>
  </r>
  <r>
    <n v="1176022114"/>
    <x v="9"/>
    <x v="2"/>
    <d v="2024-09-28T23:50:11"/>
    <s v="PERALTA"/>
    <x v="1171"/>
    <x v="22"/>
    <s v="No"/>
    <s v="Inglés"/>
    <n v="0.16413043478260869"/>
    <n v="2"/>
    <n v="0.32826086956521738"/>
    <x v="0"/>
    <m/>
    <x v="0"/>
  </r>
  <r>
    <n v="1176021831"/>
    <x v="9"/>
    <x v="2"/>
    <d v="2024-09-28T23:11:22"/>
    <s v="FairyGlitter"/>
    <x v="1172"/>
    <x v="247"/>
    <s v="No"/>
    <s v="Japonés"/>
    <n v="4.21"/>
    <n v="1"/>
    <n v="4.21"/>
    <x v="0"/>
    <m/>
    <x v="0"/>
  </r>
  <r>
    <n v="1175934516"/>
    <x v="9"/>
    <x v="2"/>
    <d v="2024-09-28T22:47:19"/>
    <s v="Pmolina"/>
    <x v="1173"/>
    <x v="133"/>
    <s v="Si"/>
    <s v="Inglés"/>
    <n v="1.5049999999999999"/>
    <n v="4"/>
    <n v="6.02"/>
    <x v="0"/>
    <m/>
    <x v="0"/>
  </r>
  <r>
    <n v="1175934318"/>
    <x v="9"/>
    <x v="2"/>
    <d v="2024-09-28T22:47:19"/>
    <s v="ivan-the-seller"/>
    <x v="1174"/>
    <x v="102"/>
    <s v="Si"/>
    <s v="Inglés"/>
    <n v="0.45500000000000002"/>
    <n v="4"/>
    <n v="1.82"/>
    <x v="0"/>
    <m/>
    <x v="0"/>
  </r>
  <r>
    <n v="1175934010"/>
    <x v="9"/>
    <x v="2"/>
    <d v="2024-09-28T22:47:19"/>
    <s v="danilive"/>
    <x v="1175"/>
    <x v="248"/>
    <s v="Si"/>
    <s v="Inglés"/>
    <n v="1.7050000000000001"/>
    <n v="4"/>
    <n v="6.82"/>
    <x v="0"/>
    <m/>
    <x v="0"/>
  </r>
  <r>
    <n v="1175703301"/>
    <x v="9"/>
    <x v="2"/>
    <d v="2024-09-26T20:23:35"/>
    <s v="Jaiimechuu"/>
    <x v="950"/>
    <x v="22"/>
    <s v="No"/>
    <s v="Inglés"/>
    <n v="4.96"/>
    <n v="2"/>
    <n v="9.92"/>
    <x v="0"/>
    <m/>
    <x v="0"/>
  </r>
  <r>
    <n v="1175700549"/>
    <x v="9"/>
    <x v="2"/>
    <d v="2024-09-26T20:23:35"/>
    <s v="ibolga"/>
    <x v="950"/>
    <x v="22"/>
    <s v="No"/>
    <s v="Inglés"/>
    <n v="4.72"/>
    <n v="1"/>
    <n v="4.72"/>
    <x v="0"/>
    <m/>
    <x v="0"/>
  </r>
  <r>
    <n v="1175688448"/>
    <x v="9"/>
    <x v="2"/>
    <d v="2024-09-26T18:47:00"/>
    <s v="Adammalti"/>
    <x v="1176"/>
    <x v="22"/>
    <s v="No"/>
    <s v="Inglés"/>
    <n v="37.5"/>
    <n v="1"/>
    <n v="37.5"/>
    <x v="1"/>
    <n v="37.5"/>
    <x v="0"/>
  </r>
  <r>
    <n v="1175134827"/>
    <x v="9"/>
    <x v="2"/>
    <d v="2024-09-23T11:27:05"/>
    <s v="Toones"/>
    <x v="1177"/>
    <x v="146"/>
    <s v="No"/>
    <s v="Inglés"/>
    <n v="7.3968749999999996"/>
    <n v="1"/>
    <n v="7.3968749999999996"/>
    <x v="0"/>
    <m/>
    <x v="0"/>
  </r>
  <r>
    <n v="1175134827"/>
    <x v="9"/>
    <x v="2"/>
    <d v="2024-09-23T11:27:05"/>
    <s v="Toones"/>
    <x v="1150"/>
    <x v="249"/>
    <s v="No"/>
    <s v="Inglés"/>
    <n v="16.026562500000001"/>
    <n v="2"/>
    <n v="32.053125000000001"/>
    <x v="0"/>
    <m/>
    <x v="0"/>
  </r>
  <r>
    <n v="1174984890"/>
    <x v="9"/>
    <x v="2"/>
    <d v="2024-09-22T12:55:43"/>
    <s v="Distritozero-San"/>
    <x v="1178"/>
    <x v="118"/>
    <s v="Si"/>
    <s v="Inglés"/>
    <n v="2.75"/>
    <n v="4"/>
    <n v="11"/>
    <x v="0"/>
    <m/>
    <x v="0"/>
  </r>
  <r>
    <n v="1174534320"/>
    <x v="9"/>
    <x v="2"/>
    <d v="2024-09-19T09:43:12"/>
    <s v="manutabu"/>
    <x v="544"/>
    <x v="7"/>
    <s v="No"/>
    <s v="Japonés"/>
    <n v="1.135921288014311"/>
    <n v="1"/>
    <n v="1.135921288014311"/>
    <x v="0"/>
    <m/>
    <x v="0"/>
  </r>
  <r>
    <n v="1174534320"/>
    <x v="9"/>
    <x v="2"/>
    <d v="2024-09-19T09:43:12"/>
    <s v="manutabu"/>
    <x v="1179"/>
    <x v="219"/>
    <s v="No"/>
    <s v="Inglés"/>
    <n v="32.284078711985693"/>
    <n v="1"/>
    <n v="32.284078711985693"/>
    <x v="0"/>
    <m/>
    <x v="0"/>
  </r>
  <r>
    <n v="1174423987"/>
    <x v="9"/>
    <x v="2"/>
    <d v="2024-09-18T13:12:49"/>
    <s v="shampe"/>
    <x v="1180"/>
    <x v="250"/>
    <s v="No"/>
    <s v="Inglés"/>
    <n v="13.823333333333331"/>
    <n v="3"/>
    <n v="41.469999999999992"/>
    <x v="0"/>
    <m/>
    <x v="0"/>
  </r>
  <r>
    <n v="1174258194"/>
    <x v="9"/>
    <x v="2"/>
    <d v="2024-09-17T09:51:28"/>
    <s v="rinconete8"/>
    <x v="1150"/>
    <x v="249"/>
    <s v="No"/>
    <s v="Inglés"/>
    <n v="18.635000000000002"/>
    <n v="2"/>
    <n v="37.270000000000003"/>
    <x v="0"/>
    <m/>
    <x v="0"/>
  </r>
  <r>
    <n v="1174064749"/>
    <x v="9"/>
    <x v="2"/>
    <d v="2024-09-15T20:36:02"/>
    <s v="Ganuza94"/>
    <x v="1179"/>
    <x v="219"/>
    <s v="No"/>
    <s v="Inglés"/>
    <n v="29.47"/>
    <n v="1"/>
    <n v="29.47"/>
    <x v="0"/>
    <m/>
    <x v="0"/>
  </r>
  <r>
    <n v="1173900340"/>
    <x v="9"/>
    <x v="2"/>
    <d v="2024-09-14T16:05:30"/>
    <s v="Dbadiac"/>
    <x v="1181"/>
    <x v="22"/>
    <s v="No"/>
    <s v="Inglés"/>
    <n v="13.72"/>
    <n v="1"/>
    <n v="13.72"/>
    <x v="1"/>
    <n v="13.72"/>
    <x v="0"/>
  </r>
  <r>
    <n v="1173741458"/>
    <x v="9"/>
    <x v="2"/>
    <d v="2024-09-13T11:34:45"/>
    <s v="IBARI"/>
    <x v="1182"/>
    <x v="7"/>
    <s v="No"/>
    <s v="Inglés"/>
    <n v="8.2100000000000009"/>
    <n v="1"/>
    <n v="8.2100000000000009"/>
    <x v="0"/>
    <m/>
    <x v="0"/>
  </r>
  <r>
    <n v="1173739647"/>
    <x v="9"/>
    <x v="2"/>
    <d v="2024-09-13T11:20:16"/>
    <s v="Wuzoy"/>
    <x v="1182"/>
    <x v="7"/>
    <s v="No"/>
    <s v="Inglés"/>
    <n v="6.22"/>
    <n v="1"/>
    <n v="6.22"/>
    <x v="0"/>
    <m/>
    <x v="0"/>
  </r>
  <r>
    <n v="1173594517"/>
    <x v="9"/>
    <x v="2"/>
    <d v="2024-09-12T16:18:22"/>
    <s v="sammet"/>
    <x v="1183"/>
    <x v="72"/>
    <s v="Si"/>
    <s v="Inglés"/>
    <n v="0.45500000000000002"/>
    <n v="4"/>
    <n v="1.82"/>
    <x v="0"/>
    <m/>
    <x v="0"/>
  </r>
  <r>
    <n v="1173351087"/>
    <x v="9"/>
    <x v="2"/>
    <d v="2024-09-10T13:08:15"/>
    <s v="Mazvigosl"/>
    <x v="1184"/>
    <x v="81"/>
    <s v="Si"/>
    <s v="Inglés"/>
    <n v="0.39945652173913038"/>
    <n v="4"/>
    <n v="1.5978260869565215"/>
    <x v="0"/>
    <m/>
    <x v="0"/>
  </r>
  <r>
    <n v="1173351087"/>
    <x v="9"/>
    <x v="2"/>
    <d v="2024-09-10T13:08:15"/>
    <s v="Mazvigosl"/>
    <x v="1185"/>
    <x v="22"/>
    <s v="No"/>
    <s v="Inglés"/>
    <n v="0.98532608695652169"/>
    <n v="2"/>
    <n v="1.9706521739130434"/>
    <x v="0"/>
    <m/>
    <x v="0"/>
  </r>
  <r>
    <n v="1173351087"/>
    <x v="9"/>
    <x v="2"/>
    <d v="2024-09-10T13:08:15"/>
    <s v="Mazvigosl"/>
    <x v="1186"/>
    <x v="22"/>
    <s v="Si"/>
    <s v="Inglés"/>
    <n v="0.3328804347826087"/>
    <n v="4"/>
    <n v="1.3315217391304348"/>
    <x v="0"/>
    <m/>
    <x v="0"/>
  </r>
  <r>
    <n v="1173284999"/>
    <x v="9"/>
    <x v="2"/>
    <d v="2024-09-09T21:00:59"/>
    <s v="IkeanWarlord"/>
    <x v="1187"/>
    <x v="136"/>
    <s v="No"/>
    <s v="Chino-S"/>
    <n v="7.22"/>
    <n v="1"/>
    <n v="7.22"/>
    <x v="0"/>
    <m/>
    <x v="0"/>
  </r>
  <r>
    <n v="1173284146"/>
    <x v="9"/>
    <x v="2"/>
    <d v="2024-09-09T21:00:59"/>
    <s v="alvaroelda"/>
    <x v="1187"/>
    <x v="136"/>
    <s v="No"/>
    <s v="Chino-S"/>
    <n v="6.04"/>
    <n v="2"/>
    <n v="12.08"/>
    <x v="0"/>
    <m/>
    <x v="0"/>
  </r>
  <r>
    <n v="1173259750"/>
    <x v="9"/>
    <x v="2"/>
    <d v="2024-09-09T18:21:05"/>
    <s v="Enooc"/>
    <x v="1179"/>
    <x v="219"/>
    <s v="No"/>
    <s v="Inglés"/>
    <n v="33.47"/>
    <n v="1"/>
    <n v="33.47"/>
    <x v="0"/>
    <m/>
    <x v="0"/>
  </r>
  <r>
    <n v="1173252295"/>
    <x v="9"/>
    <x v="2"/>
    <d v="2024-09-09T18:21:05"/>
    <s v="BlueWorld"/>
    <x v="1188"/>
    <x v="32"/>
    <s v="No"/>
    <s v="Inglés"/>
    <n v="5.22"/>
    <n v="1"/>
    <n v="5.22"/>
    <x v="0"/>
    <m/>
    <x v="0"/>
  </r>
  <r>
    <n v="1173249016"/>
    <x v="9"/>
    <x v="2"/>
    <d v="2024-09-09T18:21:05"/>
    <s v="RUBENCASTRO24"/>
    <x v="1189"/>
    <x v="32"/>
    <s v="No"/>
    <s v="Inglés"/>
    <n v="6.21"/>
    <n v="1"/>
    <n v="6.21"/>
    <x v="0"/>
    <m/>
    <x v="0"/>
  </r>
  <r>
    <n v="1173248929"/>
    <x v="9"/>
    <x v="2"/>
    <d v="2024-09-09T18:21:05"/>
    <s v="Teban"/>
    <x v="1190"/>
    <x v="32"/>
    <s v="No"/>
    <s v="Inglés"/>
    <n v="12.516577540106949"/>
    <n v="1"/>
    <n v="12.516577540106949"/>
    <x v="0"/>
    <m/>
    <x v="0"/>
  </r>
  <r>
    <n v="1173248929"/>
    <x v="9"/>
    <x v="2"/>
    <d v="2024-09-09T18:21:05"/>
    <s v="Teban"/>
    <x v="1191"/>
    <x v="32"/>
    <s v="No"/>
    <s v="Inglés"/>
    <n v="7.403422459893048"/>
    <n v="1"/>
    <n v="7.403422459893048"/>
    <x v="0"/>
    <m/>
    <x v="0"/>
  </r>
  <r>
    <n v="1173248401"/>
    <x v="9"/>
    <x v="2"/>
    <d v="2024-09-09T18:21:05"/>
    <s v="Dgcolections"/>
    <x v="1192"/>
    <x v="7"/>
    <s v="Si"/>
    <s v="Inglés"/>
    <n v="1.655"/>
    <n v="4"/>
    <n v="6.62"/>
    <x v="0"/>
    <m/>
    <x v="0"/>
  </r>
  <r>
    <n v="1173156218"/>
    <x v="9"/>
    <x v="2"/>
    <d v="2024-09-08T22:49:25"/>
    <s v="jcruzart"/>
    <x v="1193"/>
    <x v="29"/>
    <s v="No"/>
    <s v="Inglés"/>
    <n v="1.72"/>
    <n v="1"/>
    <n v="1.72"/>
    <x v="0"/>
    <m/>
    <x v="0"/>
  </r>
  <r>
    <n v="1173150463"/>
    <x v="9"/>
    <x v="2"/>
    <d v="2024-09-08T22:49:25"/>
    <s v="alvaroelda"/>
    <x v="1194"/>
    <x v="183"/>
    <s v="No"/>
    <s v="Inglés"/>
    <n v="2.8181227249089962"/>
    <n v="3"/>
    <n v="8.454368174726989"/>
    <x v="0"/>
    <m/>
    <x v="0"/>
  </r>
  <r>
    <n v="1173150463"/>
    <x v="9"/>
    <x v="2"/>
    <d v="2024-09-08T22:49:25"/>
    <s v="alvaroelda"/>
    <x v="1195"/>
    <x v="124"/>
    <s v="No"/>
    <s v="Chino-S"/>
    <n v="5.9978159126365052"/>
    <n v="2"/>
    <n v="11.99563182527301"/>
    <x v="0"/>
    <m/>
    <x v="0"/>
  </r>
  <r>
    <n v="1171552559"/>
    <x v="9"/>
    <x v="2"/>
    <d v="2024-09-06T15:20:15"/>
    <s v="Husacer"/>
    <x v="657"/>
    <x v="81"/>
    <s v="No"/>
    <s v="Inglés"/>
    <n v="12.17"/>
    <n v="1"/>
    <n v="12.17"/>
    <x v="1"/>
    <n v="12.17"/>
    <x v="0"/>
  </r>
  <r>
    <n v="1172662590"/>
    <x v="9"/>
    <x v="2"/>
    <d v="2024-09-04T23:00:42"/>
    <s v="Pabloino"/>
    <x v="1196"/>
    <x v="251"/>
    <s v="No"/>
    <s v="Inglés"/>
    <n v="7.17"/>
    <n v="1"/>
    <n v="7.17"/>
    <x v="1"/>
    <n v="7.17"/>
    <x v="0"/>
  </r>
  <r>
    <n v="1171549482"/>
    <x v="9"/>
    <x v="2"/>
    <d v="2024-09-03T10:01:38"/>
    <s v="esboards1"/>
    <x v="657"/>
    <x v="81"/>
    <s v="No"/>
    <s v="Inglés"/>
    <n v="12.17"/>
    <n v="1"/>
    <n v="12.17"/>
    <x v="1"/>
    <n v="12.17"/>
    <x v="0"/>
  </r>
  <r>
    <n v="1172362217"/>
    <x v="9"/>
    <x v="2"/>
    <d v="2024-09-02T20:42:02"/>
    <s v="Poskets500"/>
    <x v="912"/>
    <x v="118"/>
    <s v="No"/>
    <s v="Español"/>
    <n v="9.17"/>
    <n v="1"/>
    <n v="9.17"/>
    <x v="1"/>
    <n v="9.17"/>
    <x v="0"/>
  </r>
  <r>
    <n v="1172043482"/>
    <x v="10"/>
    <x v="2"/>
    <d v="2024-08-31T18:57:01"/>
    <s v="EndorStore"/>
    <x v="1197"/>
    <x v="174"/>
    <s v="No"/>
    <s v="Inglés"/>
    <n v="2.9699999999999998"/>
    <n v="1"/>
    <n v="2.9699999999999998"/>
    <x v="1"/>
    <n v="2.9699999999999998"/>
    <x v="0"/>
  </r>
  <r>
    <n v="1171971359"/>
    <x v="10"/>
    <x v="2"/>
    <d v="2024-08-31T12:47:06"/>
    <s v="Metalito"/>
    <x v="1071"/>
    <x v="66"/>
    <s v="No"/>
    <s v="Chino-S"/>
    <n v="38.47"/>
    <n v="1"/>
    <n v="38.47"/>
    <x v="0"/>
    <m/>
    <x v="0"/>
  </r>
  <r>
    <n v="1169967614"/>
    <x v="10"/>
    <x v="2"/>
    <d v="2024-08-31T00:45:42"/>
    <s v="MagusDoVinhedo"/>
    <x v="1198"/>
    <x v="225"/>
    <s v="No"/>
    <s v="Inglés"/>
    <n v="12.1"/>
    <n v="2"/>
    <n v="24.2"/>
    <x v="1"/>
    <n v="24.2"/>
    <x v="0"/>
  </r>
  <r>
    <n v="1171928390"/>
    <x v="10"/>
    <x v="2"/>
    <d v="2024-08-30T22:16:47"/>
    <s v="Pattymtg"/>
    <x v="443"/>
    <x v="22"/>
    <s v="No"/>
    <s v="Japonés"/>
    <n v="28.216666666666669"/>
    <n v="3"/>
    <n v="84.65"/>
    <x v="0"/>
    <m/>
    <x v="0"/>
  </r>
  <r>
    <n v="1171928259"/>
    <x v="10"/>
    <x v="2"/>
    <d v="2024-08-30T22:10:44"/>
    <s v="Ekran"/>
    <x v="1199"/>
    <x v="67"/>
    <s v="No"/>
    <s v="Inglés"/>
    <n v="3.01"/>
    <n v="2"/>
    <n v="6.02"/>
    <x v="0"/>
    <m/>
    <x v="0"/>
  </r>
  <r>
    <n v="1171926985"/>
    <x v="10"/>
    <x v="2"/>
    <d v="2024-08-30T22:05:23"/>
    <s v="Arjere1"/>
    <x v="1200"/>
    <x v="124"/>
    <s v="No"/>
    <s v="Chino-S"/>
    <n v="5.3415789473684212"/>
    <n v="1"/>
    <n v="5.3415789473684212"/>
    <x v="0"/>
    <m/>
    <x v="0"/>
  </r>
  <r>
    <n v="1171926985"/>
    <x v="10"/>
    <x v="2"/>
    <d v="2024-08-30T22:05:23"/>
    <s v="Arjere1"/>
    <x v="1201"/>
    <x v="65"/>
    <s v="No"/>
    <s v="Inglés"/>
    <n v="0.62842105263157899"/>
    <n v="1"/>
    <n v="0.62842105263157899"/>
    <x v="0"/>
    <m/>
    <x v="0"/>
  </r>
  <r>
    <n v="1171926980"/>
    <x v="10"/>
    <x v="2"/>
    <d v="2024-08-30T22:05:23"/>
    <s v="Alexander1907"/>
    <x v="1200"/>
    <x v="124"/>
    <s v="No"/>
    <s v="Chino-S"/>
    <n v="6.17"/>
    <n v="1"/>
    <n v="6.17"/>
    <x v="0"/>
    <m/>
    <x v="0"/>
  </r>
  <r>
    <n v="1171926979"/>
    <x v="10"/>
    <x v="2"/>
    <d v="2024-08-30T22:05:23"/>
    <s v="Banin"/>
    <x v="1200"/>
    <x v="124"/>
    <s v="No"/>
    <s v="Chino-S"/>
    <n v="6.22"/>
    <n v="1"/>
    <n v="6.22"/>
    <x v="0"/>
    <m/>
    <x v="0"/>
  </r>
  <r>
    <n v="1171926516"/>
    <x v="10"/>
    <x v="2"/>
    <d v="2024-08-30T22:05:23"/>
    <s v="willybizarre"/>
    <x v="1200"/>
    <x v="124"/>
    <s v="No"/>
    <s v="Chino-S"/>
    <n v="7.0174474756977112"/>
    <n v="1"/>
    <n v="7.0174474756977112"/>
    <x v="0"/>
    <m/>
    <x v="0"/>
  </r>
  <r>
    <n v="1171926516"/>
    <x v="10"/>
    <x v="2"/>
    <d v="2024-08-30T22:05:23"/>
    <s v="willybizarre"/>
    <x v="1202"/>
    <x v="232"/>
    <s v="Si"/>
    <s v="Inglés"/>
    <n v="1.745575415490749"/>
    <n v="4"/>
    <n v="6.9823016619629961"/>
    <x v="0"/>
    <m/>
    <x v="0"/>
  </r>
  <r>
    <n v="1171926516"/>
    <x v="10"/>
    <x v="2"/>
    <d v="2024-08-30T22:05:23"/>
    <s v="willybizarre"/>
    <x v="1203"/>
    <x v="175"/>
    <s v="No"/>
    <s v="Inglés"/>
    <n v="9.3605017246785831"/>
    <n v="2"/>
    <n v="18.721003449357166"/>
    <x v="0"/>
    <m/>
    <x v="0"/>
  </r>
  <r>
    <n v="1171926516"/>
    <x v="10"/>
    <x v="2"/>
    <d v="2024-08-30T22:05:23"/>
    <s v="willybizarre"/>
    <x v="1204"/>
    <x v="89"/>
    <s v="Si"/>
    <s v="Inglés"/>
    <n v="1.159811853245531"/>
    <n v="4"/>
    <n v="4.6392474129821242"/>
    <x v="0"/>
    <m/>
    <x v="0"/>
  </r>
  <r>
    <n v="1171925815"/>
    <x v="10"/>
    <x v="2"/>
    <d v="2024-08-30T22:05:23"/>
    <s v="randalthor"/>
    <x v="1203"/>
    <x v="175"/>
    <s v="No"/>
    <s v="Inglés"/>
    <n v="6.11"/>
    <n v="2"/>
    <n v="12.22"/>
    <x v="0"/>
    <m/>
    <x v="0"/>
  </r>
  <r>
    <n v="1171925783"/>
    <x v="10"/>
    <x v="2"/>
    <d v="2024-08-30T22:05:23"/>
    <s v="HamelinGames"/>
    <x v="1203"/>
    <x v="175"/>
    <s v="No"/>
    <s v="Chino-S"/>
    <n v="3.12"/>
    <n v="1"/>
    <n v="3.12"/>
    <x v="0"/>
    <m/>
    <x v="0"/>
  </r>
  <r>
    <n v="1171925262"/>
    <x v="10"/>
    <x v="2"/>
    <d v="2024-08-30T21:46:57"/>
    <s v="juan-arcos"/>
    <x v="1205"/>
    <x v="175"/>
    <s v="No"/>
    <s v="Chino-S"/>
    <n v="5.72"/>
    <n v="1"/>
    <n v="5.72"/>
    <x v="0"/>
    <m/>
    <x v="0"/>
  </r>
  <r>
    <n v="1171287033"/>
    <x v="10"/>
    <x v="2"/>
    <d v="2024-08-30T09:30:37"/>
    <s v="xXxMoRFeOxXx"/>
    <x v="930"/>
    <x v="22"/>
    <s v="No"/>
    <s v="Inglés"/>
    <n v="5.72"/>
    <n v="1"/>
    <n v="5.72"/>
    <x v="1"/>
    <n v="5.72"/>
    <x v="0"/>
  </r>
  <r>
    <n v="1167431558"/>
    <x v="10"/>
    <x v="2"/>
    <d v="2024-08-29T08:10:11"/>
    <s v="Weatherlight"/>
    <x v="1206"/>
    <x v="41"/>
    <s v="No"/>
    <s v="Inglés"/>
    <n v="5.17"/>
    <n v="1"/>
    <n v="5.17"/>
    <x v="1"/>
    <n v="5.17"/>
    <x v="0"/>
  </r>
  <r>
    <n v="1171656482"/>
    <x v="10"/>
    <x v="2"/>
    <d v="2024-08-28T21:45:28"/>
    <s v="Distritozero-San"/>
    <x v="220"/>
    <x v="54"/>
    <s v="No"/>
    <s v="Japonés"/>
    <n v="2.95"/>
    <n v="2"/>
    <n v="5.9"/>
    <x v="0"/>
    <m/>
    <x v="0"/>
  </r>
  <r>
    <n v="1171563893"/>
    <x v="10"/>
    <x v="2"/>
    <d v="2024-08-28T10:04:48"/>
    <s v="JuzamGames"/>
    <x v="1207"/>
    <x v="243"/>
    <s v="No"/>
    <s v="Inglés"/>
    <n v="0.89"/>
    <n v="2"/>
    <n v="1.78"/>
    <x v="0"/>
    <m/>
    <x v="0"/>
  </r>
  <r>
    <n v="1171530906"/>
    <x v="10"/>
    <x v="2"/>
    <d v="2024-08-28T00:45:45"/>
    <s v="xiterpepeferrone"/>
    <x v="1208"/>
    <x v="149"/>
    <s v="No"/>
    <s v="Inglés"/>
    <n v="24.25"/>
    <n v="1"/>
    <n v="24.25"/>
    <x v="1"/>
    <n v="24.25"/>
    <x v="0"/>
  </r>
  <r>
    <n v="1171355286"/>
    <x v="10"/>
    <x v="2"/>
    <d v="2024-08-26T19:20:42"/>
    <s v="TEMPEST-STORE"/>
    <x v="1209"/>
    <x v="92"/>
    <s v="Si"/>
    <s v="Japonés"/>
    <n v="2.7949999999999999"/>
    <n v="4"/>
    <n v="11.18"/>
    <x v="0"/>
    <m/>
    <x v="0"/>
  </r>
  <r>
    <n v="1171320551"/>
    <x v="10"/>
    <x v="2"/>
    <d v="2024-08-26T15:55:56"/>
    <s v="Jcasado10"/>
    <x v="1210"/>
    <x v="7"/>
    <s v="No"/>
    <s v="Inglés"/>
    <n v="41.47"/>
    <n v="1"/>
    <n v="41.47"/>
    <x v="0"/>
    <m/>
    <x v="0"/>
  </r>
  <r>
    <n v="1171320546"/>
    <x v="10"/>
    <x v="2"/>
    <d v="2024-08-26T15:55:56"/>
    <s v="Nazgul-TCG"/>
    <x v="1210"/>
    <x v="7"/>
    <s v="No"/>
    <s v="Inglés"/>
    <n v="41.45"/>
    <n v="1"/>
    <n v="41.45"/>
    <x v="0"/>
    <m/>
    <x v="0"/>
  </r>
  <r>
    <n v="1170938490"/>
    <x v="10"/>
    <x v="2"/>
    <d v="2024-08-23T15:21:56"/>
    <s v="willybizarre"/>
    <x v="1149"/>
    <x v="126"/>
    <s v="Si"/>
    <s v="Japonés"/>
    <n v="3.7949999999999999"/>
    <n v="4"/>
    <n v="15.18"/>
    <x v="0"/>
    <m/>
    <x v="0"/>
  </r>
  <r>
    <n v="1170246592"/>
    <x v="10"/>
    <x v="2"/>
    <d v="2024-08-23T13:38:14"/>
    <s v="Trumanuwu"/>
    <x v="1211"/>
    <x v="67"/>
    <s v="No"/>
    <s v="Español"/>
    <n v="5.5600000000000005"/>
    <n v="2"/>
    <n v="11.120000000000001"/>
    <x v="1"/>
    <n v="11.120000000000001"/>
    <x v="0"/>
  </r>
  <r>
    <n v="1170905751"/>
    <x v="10"/>
    <x v="2"/>
    <d v="2024-08-23T10:16:03"/>
    <s v="Justrytodoit"/>
    <x v="976"/>
    <x v="232"/>
    <s v="No"/>
    <s v="Japonés"/>
    <n v="4.22"/>
    <n v="1"/>
    <n v="4.22"/>
    <x v="0"/>
    <m/>
    <x v="0"/>
  </r>
  <r>
    <n v="1170905060"/>
    <x v="10"/>
    <x v="2"/>
    <d v="2024-08-23T10:16:03"/>
    <s v="XeNonWoN"/>
    <x v="1212"/>
    <x v="29"/>
    <s v="No"/>
    <s v="Inglés"/>
    <n v="35.47"/>
    <n v="1"/>
    <n v="35.47"/>
    <x v="0"/>
    <m/>
    <x v="0"/>
  </r>
  <r>
    <n v="1170904876"/>
    <x v="10"/>
    <x v="2"/>
    <d v="2024-08-23T10:16:03"/>
    <s v="DRAGONCT"/>
    <x v="1213"/>
    <x v="40"/>
    <s v="No"/>
    <s v="Inglés"/>
    <n v="7.3566666666666656"/>
    <n v="3"/>
    <n v="22.069999999999997"/>
    <x v="0"/>
    <m/>
    <x v="0"/>
  </r>
  <r>
    <n v="1170904508"/>
    <x v="10"/>
    <x v="2"/>
    <d v="2024-08-23T10:16:03"/>
    <s v="Mazvigosl"/>
    <x v="735"/>
    <x v="22"/>
    <s v="Si"/>
    <s v="Inglés"/>
    <n v="3.2549999999999999"/>
    <n v="4"/>
    <n v="13.02"/>
    <x v="0"/>
    <m/>
    <x v="0"/>
  </r>
  <r>
    <n v="1170903505"/>
    <x v="10"/>
    <x v="2"/>
    <d v="2024-08-23T10:16:03"/>
    <s v="ruicasasnovas"/>
    <x v="1214"/>
    <x v="232"/>
    <s v="Si"/>
    <s v="Japonés"/>
    <n v="6.7"/>
    <n v="4"/>
    <n v="26.8"/>
    <x v="0"/>
    <m/>
    <x v="0"/>
  </r>
  <r>
    <n v="1170903073"/>
    <x v="10"/>
    <x v="2"/>
    <d v="2024-08-23T10:16:03"/>
    <s v="JK-Entertainment"/>
    <x v="1215"/>
    <x v="108"/>
    <s v="No"/>
    <s v="Inglés"/>
    <n v="3.73"/>
    <n v="3"/>
    <n v="11.19"/>
    <x v="0"/>
    <m/>
    <x v="0"/>
  </r>
  <r>
    <n v="1170801773"/>
    <x v="10"/>
    <x v="2"/>
    <d v="2024-08-22T14:22:26"/>
    <s v="Distritozero-Bilbao"/>
    <x v="1216"/>
    <x v="7"/>
    <s v="No"/>
    <s v="Inglés"/>
    <n v="4.4800000000000004"/>
    <n v="2"/>
    <n v="8.9600000000000009"/>
    <x v="0"/>
    <m/>
    <x v="0"/>
  </r>
  <r>
    <n v="1170801773"/>
    <x v="10"/>
    <x v="2"/>
    <d v="2024-08-22T14:22:26"/>
    <s v="Distritozero-Bilbao"/>
    <x v="1217"/>
    <x v="62"/>
    <s v="No"/>
    <s v="Inglés"/>
    <n v="0.5"/>
    <n v="2"/>
    <n v="1"/>
    <x v="0"/>
    <m/>
    <x v="0"/>
  </r>
  <r>
    <n v="1170382684"/>
    <x v="10"/>
    <x v="2"/>
    <d v="2024-08-19T12:51:48"/>
    <s v="Mazvigosl"/>
    <x v="1218"/>
    <x v="54"/>
    <s v="Si"/>
    <s v="Inglés"/>
    <n v="2.0345559502664301"/>
    <n v="4"/>
    <n v="8.1382238010657204"/>
    <x v="0"/>
    <m/>
    <x v="0"/>
  </r>
  <r>
    <n v="1170382684"/>
    <x v="10"/>
    <x v="2"/>
    <d v="2024-08-19T12:51:48"/>
    <s v="Mazvigosl"/>
    <x v="1219"/>
    <x v="252"/>
    <s v="No"/>
    <s v="Inglés"/>
    <n v="2.0556394316163411"/>
    <n v="2"/>
    <n v="4.1112788632326822"/>
    <x v="0"/>
    <m/>
    <x v="0"/>
  </r>
  <r>
    <n v="1170382684"/>
    <x v="10"/>
    <x v="2"/>
    <d v="2024-08-19T12:51:48"/>
    <s v="Mazvigosl"/>
    <x v="930"/>
    <x v="7"/>
    <s v="No"/>
    <s v="Inglés"/>
    <n v="7.3265097690941383"/>
    <n v="1"/>
    <n v="7.3265097690941383"/>
    <x v="0"/>
    <m/>
    <x v="0"/>
  </r>
  <r>
    <n v="1170382684"/>
    <x v="10"/>
    <x v="2"/>
    <d v="2024-08-19T12:51:48"/>
    <s v="Mazvigosl"/>
    <x v="1220"/>
    <x v="253"/>
    <s v="No"/>
    <s v="Inglés"/>
    <n v="1.001465364120782"/>
    <n v="1"/>
    <n v="1.001465364120782"/>
    <x v="0"/>
    <m/>
    <x v="0"/>
  </r>
  <r>
    <n v="1170382684"/>
    <x v="10"/>
    <x v="2"/>
    <d v="2024-08-19T12:51:48"/>
    <s v="Mazvigosl"/>
    <x v="1221"/>
    <x v="169"/>
    <s v="Si"/>
    <s v="Inglés"/>
    <n v="0.79063055062166965"/>
    <n v="4"/>
    <n v="3.1625222024866786"/>
    <x v="0"/>
    <m/>
    <x v="0"/>
  </r>
  <r>
    <n v="1169997844"/>
    <x v="10"/>
    <x v="2"/>
    <d v="2024-08-16T12:13:57"/>
    <s v="ReneX-MTG"/>
    <x v="1010"/>
    <x v="179"/>
    <s v="No"/>
    <s v="Inglés"/>
    <n v="24.484999999999999"/>
    <n v="2"/>
    <n v="48.97"/>
    <x v="0"/>
    <m/>
    <x v="0"/>
  </r>
  <r>
    <n v="1169903783"/>
    <x v="10"/>
    <x v="2"/>
    <d v="2024-08-15T16:17:35"/>
    <s v="barrocus"/>
    <x v="1163"/>
    <x v="62"/>
    <s v="No"/>
    <s v="Inglés"/>
    <n v="16.72"/>
    <n v="1"/>
    <n v="16.72"/>
    <x v="0"/>
    <m/>
    <x v="0"/>
  </r>
  <r>
    <n v="1169559768"/>
    <x v="10"/>
    <x v="2"/>
    <d v="2024-08-13T00:28:56"/>
    <s v="pasakagames"/>
    <x v="1222"/>
    <x v="106"/>
    <s v="No"/>
    <s v="Español"/>
    <n v="2.17"/>
    <n v="1"/>
    <n v="2.17"/>
    <x v="1"/>
    <n v="2.17"/>
    <x v="0"/>
  </r>
  <r>
    <n v="1168960482"/>
    <x v="10"/>
    <x v="2"/>
    <d v="2024-08-08T14:06:03"/>
    <s v="Ladyangie"/>
    <x v="1223"/>
    <x v="83"/>
    <s v="No"/>
    <s v="Inglés"/>
    <n v="6.25"/>
    <n v="1"/>
    <n v="6.25"/>
    <x v="1"/>
    <n v="6.25"/>
    <x v="0"/>
  </r>
  <r>
    <n v="1167365531"/>
    <x v="10"/>
    <x v="2"/>
    <d v="2024-08-08T12:59:47"/>
    <s v="Penesaurio"/>
    <x v="1224"/>
    <x v="7"/>
    <s v="No"/>
    <s v="Inglés"/>
    <n v="9.17"/>
    <n v="1"/>
    <n v="9.17"/>
    <x v="1"/>
    <n v="9.17"/>
    <x v="0"/>
  </r>
  <r>
    <n v="1167473026"/>
    <x v="10"/>
    <x v="2"/>
    <d v="2024-08-08T11:16:43"/>
    <s v="Bocataconchorizo"/>
    <x v="592"/>
    <x v="193"/>
    <s v="No"/>
    <s v="Español"/>
    <n v="16.9278391959799"/>
    <n v="1"/>
    <n v="16.9278391959799"/>
    <x v="1"/>
    <n v="16.9278391959799"/>
    <x v="0"/>
  </r>
  <r>
    <n v="1168891735"/>
    <x v="10"/>
    <x v="2"/>
    <d v="2024-08-07T22:44:09"/>
    <s v="efyoj"/>
    <x v="1225"/>
    <x v="88"/>
    <s v="No"/>
    <s v="Inglés"/>
    <n v="3.42"/>
    <n v="1"/>
    <n v="3.42"/>
    <x v="0"/>
    <m/>
    <x v="0"/>
  </r>
  <r>
    <n v="1168880691"/>
    <x v="10"/>
    <x v="2"/>
    <d v="2024-08-07T21:45:22"/>
    <s v="Minitole"/>
    <x v="591"/>
    <x v="200"/>
    <s v="No"/>
    <s v="Inglés"/>
    <n v="38.734999999999999"/>
    <n v="2"/>
    <n v="77.47"/>
    <x v="0"/>
    <m/>
    <x v="0"/>
  </r>
  <r>
    <n v="1167770577"/>
    <x v="10"/>
    <x v="2"/>
    <d v="2024-08-06T19:03:59"/>
    <s v="MtgUniverse"/>
    <x v="592"/>
    <x v="193"/>
    <s v="No"/>
    <s v="Inglés"/>
    <n v="17.169999999999998"/>
    <n v="1"/>
    <n v="17.169999999999998"/>
    <x v="1"/>
    <n v="17.169999999999998"/>
    <x v="0"/>
  </r>
  <r>
    <n v="1168521847"/>
    <x v="10"/>
    <x v="2"/>
    <d v="2024-08-05T12:34:25"/>
    <s v="MrDiamond13"/>
    <x v="1226"/>
    <x v="169"/>
    <s v="No"/>
    <s v="Inglés"/>
    <n v="21.22"/>
    <n v="1"/>
    <n v="21.22"/>
    <x v="0"/>
    <m/>
    <x v="0"/>
  </r>
  <r>
    <n v="1168520702"/>
    <x v="10"/>
    <x v="2"/>
    <d v="2024-08-05T12:25:16"/>
    <s v="MrDylan83"/>
    <x v="1227"/>
    <x v="254"/>
    <s v="No"/>
    <s v="Inglés"/>
    <n v="16.169999999999998"/>
    <n v="1"/>
    <n v="16.169999999999998"/>
    <x v="1"/>
    <n v="16.169999999999998"/>
    <x v="0"/>
  </r>
  <r>
    <n v="1166294148"/>
    <x v="10"/>
    <x v="2"/>
    <d v="2024-08-02T07:18:57"/>
    <s v="Santilands"/>
    <x v="1228"/>
    <x v="115"/>
    <s v="Si"/>
    <s v="Chino-S"/>
    <n v="8.3346845124282982"/>
    <n v="4"/>
    <n v="33.338738049713193"/>
    <x v="1"/>
    <n v="33.338738049713193"/>
    <x v="0"/>
  </r>
  <r>
    <n v="1166294148"/>
    <x v="10"/>
    <x v="2"/>
    <d v="2024-08-02T07:18:57"/>
    <s v="Santilands"/>
    <x v="1229"/>
    <x v="115"/>
    <s v="No"/>
    <s v="Español"/>
    <n v="31.202975143403442"/>
    <n v="1"/>
    <n v="31.202975143403442"/>
    <x v="1"/>
    <n v="31.202975143403442"/>
    <x v="0"/>
  </r>
  <r>
    <n v="1167980364"/>
    <x v="10"/>
    <x v="2"/>
    <d v="2024-08-01T14:21:03"/>
    <s v="Distritozero-San"/>
    <x v="1230"/>
    <x v="54"/>
    <s v="No"/>
    <s v="Inglés"/>
    <n v="6.4"/>
    <n v="1"/>
    <n v="6.4"/>
    <x v="0"/>
    <m/>
    <x v="0"/>
  </r>
  <r>
    <n v="1167980357"/>
    <x v="10"/>
    <x v="2"/>
    <d v="2024-08-01T14:21:03"/>
    <s v="Distritozero-Bilbao"/>
    <x v="1230"/>
    <x v="54"/>
    <s v="No"/>
    <s v="Inglés"/>
    <n v="6.84"/>
    <n v="3"/>
    <n v="20.52"/>
    <x v="0"/>
    <m/>
    <x v="0"/>
  </r>
  <r>
    <n v="1167698291"/>
    <x v="11"/>
    <x v="2"/>
    <d v="2024-07-30T13:17:45"/>
    <s v="Distritozero-Bilbao"/>
    <x v="1231"/>
    <x v="37"/>
    <s v="No"/>
    <s v="Inglés"/>
    <n v="0.95"/>
    <n v="1"/>
    <n v="0.95"/>
    <x v="0"/>
    <m/>
    <x v="0"/>
  </r>
  <r>
    <n v="1167681209"/>
    <x v="11"/>
    <x v="2"/>
    <d v="2024-07-30T11:11:02"/>
    <s v="122drown"/>
    <x v="1232"/>
    <x v="123"/>
    <s v="No"/>
    <s v="Inglés"/>
    <n v="5.17"/>
    <n v="1"/>
    <n v="5.17"/>
    <x v="1"/>
    <n v="5.17"/>
    <x v="0"/>
  </r>
  <r>
    <n v="1167649874"/>
    <x v="11"/>
    <x v="2"/>
    <d v="2024-07-30T06:57:41"/>
    <s v="sollek"/>
    <x v="1233"/>
    <x v="45"/>
    <s v="No"/>
    <s v="Inglés"/>
    <n v="8.61"/>
    <n v="2"/>
    <n v="17.22"/>
    <x v="0"/>
    <m/>
    <x v="0"/>
  </r>
  <r>
    <n v="1167579643"/>
    <x v="11"/>
    <x v="2"/>
    <d v="2024-07-29T16:31:45"/>
    <s v="mipocopocoyo"/>
    <x v="1234"/>
    <x v="60"/>
    <s v="No"/>
    <s v="Inglés"/>
    <n v="8.7200000000000006"/>
    <n v="1"/>
    <n v="8.7200000000000006"/>
    <x v="0"/>
    <m/>
    <x v="0"/>
  </r>
  <r>
    <n v="1166600625"/>
    <x v="11"/>
    <x v="2"/>
    <d v="2024-07-29T15:31:58"/>
    <s v="Guzii08"/>
    <x v="1198"/>
    <x v="225"/>
    <s v="No"/>
    <s v="Inglés"/>
    <n v="12.902325581395347"/>
    <n v="1"/>
    <n v="12.902325581395347"/>
    <x v="1"/>
    <n v="12.902325581395347"/>
    <x v="0"/>
  </r>
  <r>
    <n v="1166600625"/>
    <x v="11"/>
    <x v="2"/>
    <d v="2024-07-29T15:31:58"/>
    <s v="Guzii08"/>
    <x v="663"/>
    <x v="37"/>
    <s v="No"/>
    <s v="Inglés"/>
    <n v="2.2976744186046512"/>
    <n v="1"/>
    <n v="2.2976744186046512"/>
    <x v="1"/>
    <n v="2.2976744186046512"/>
    <x v="0"/>
  </r>
  <r>
    <n v="1167544009"/>
    <x v="11"/>
    <x v="2"/>
    <d v="2024-07-29T12:07:24"/>
    <s v="AlbertoCGP"/>
    <x v="1235"/>
    <x v="255"/>
    <s v="Si"/>
    <s v="Inglés"/>
    <n v="1.8049999999999999"/>
    <n v="4"/>
    <n v="7.22"/>
    <x v="0"/>
    <m/>
    <x v="0"/>
  </r>
  <r>
    <n v="1167529843"/>
    <x v="11"/>
    <x v="2"/>
    <d v="2024-07-29T10:28:07"/>
    <s v="Dominaria"/>
    <x v="1236"/>
    <x v="169"/>
    <s v="No"/>
    <s v="Inglés"/>
    <n v="20.972837191864279"/>
    <n v="1"/>
    <n v="20.972837191864279"/>
    <x v="0"/>
    <m/>
    <x v="0"/>
  </r>
  <r>
    <n v="1167529843"/>
    <x v="11"/>
    <x v="2"/>
    <d v="2024-07-29T10:28:07"/>
    <s v="Dominaria"/>
    <x v="1237"/>
    <x v="60"/>
    <s v="No"/>
    <s v="Inglés"/>
    <n v="45.194098790889498"/>
    <n v="2"/>
    <n v="90.388197581778996"/>
    <x v="0"/>
    <m/>
    <x v="0"/>
  </r>
  <r>
    <n v="1167529843"/>
    <x v="11"/>
    <x v="2"/>
    <d v="2024-07-29T10:28:07"/>
    <s v="Dominaria"/>
    <x v="299"/>
    <x v="64"/>
    <s v="Si"/>
    <s v="Inglés"/>
    <n v="0.1997413065891836"/>
    <n v="4"/>
    <n v="0.79896522635673439"/>
    <x v="0"/>
    <m/>
    <x v="0"/>
  </r>
  <r>
    <n v="1167473026"/>
    <x v="11"/>
    <x v="2"/>
    <d v="2024-07-28T20:41:02"/>
    <s v="Bocataconchorizo"/>
    <x v="1238"/>
    <x v="41"/>
    <s v="No"/>
    <s v="Inglés"/>
    <n v="4.1921608040201006"/>
    <n v="1"/>
    <n v="4.1921608040201006"/>
    <x v="1"/>
    <n v="4.1921608040201006"/>
    <x v="0"/>
  </r>
  <r>
    <n v="1166492703"/>
    <x v="11"/>
    <x v="2"/>
    <d v="2024-07-26T16:54:53"/>
    <s v="hotcoffeegg"/>
    <x v="1239"/>
    <x v="71"/>
    <s v="No"/>
    <s v="Inglés"/>
    <n v="15.808095487932841"/>
    <n v="3"/>
    <n v="47.424286463798524"/>
    <x v="1"/>
    <n v="47.424286463798524"/>
    <x v="0"/>
  </r>
  <r>
    <n v="1167191090"/>
    <x v="11"/>
    <x v="2"/>
    <d v="2024-07-26T16:44:14"/>
    <s v="Seemee"/>
    <x v="1240"/>
    <x v="77"/>
    <s v="No"/>
    <s v="Italiano"/>
    <n v="9.25"/>
    <n v="1"/>
    <n v="9.25"/>
    <x v="1"/>
    <n v="9.25"/>
    <x v="0"/>
  </r>
  <r>
    <n v="1166571421"/>
    <x v="11"/>
    <x v="2"/>
    <d v="2024-07-26T09:18:27"/>
    <s v="Yaivan"/>
    <x v="1241"/>
    <x v="64"/>
    <s v="No"/>
    <s v="Inglés"/>
    <n v="3.56"/>
    <n v="2"/>
    <n v="7.12"/>
    <x v="1"/>
    <n v="7.12"/>
    <x v="0"/>
  </r>
  <r>
    <n v="1166882284"/>
    <x v="11"/>
    <x v="2"/>
    <d v="2024-07-24T10:45:11"/>
    <s v="Tastingo"/>
    <x v="930"/>
    <x v="7"/>
    <s v="No"/>
    <s v="Inglés"/>
    <n v="4.22"/>
    <n v="1"/>
    <n v="4.22"/>
    <x v="0"/>
    <m/>
    <x v="0"/>
  </r>
  <r>
    <n v="1166866080"/>
    <x v="11"/>
    <x v="2"/>
    <d v="2024-07-23T22:33:14"/>
    <s v="saiman14"/>
    <x v="1240"/>
    <x v="77"/>
    <s v="No"/>
    <s v="Italiano"/>
    <n v="7.7166666666666677"/>
    <n v="3"/>
    <n v="23.150000000000002"/>
    <x v="1"/>
    <n v="23.150000000000002"/>
    <x v="0"/>
  </r>
  <r>
    <n v="1166841038"/>
    <x v="11"/>
    <x v="2"/>
    <d v="2024-07-23T21:38:27"/>
    <s v="Ferkan"/>
    <x v="1242"/>
    <x v="81"/>
    <s v="Si"/>
    <s v="Japonés"/>
    <n v="0.32500000000000001"/>
    <n v="4"/>
    <n v="1.3"/>
    <x v="0"/>
    <m/>
    <x v="0"/>
  </r>
  <r>
    <n v="1166850977"/>
    <x v="11"/>
    <x v="2"/>
    <d v="2024-07-23T20:31:27"/>
    <s v="Ommega96"/>
    <x v="1243"/>
    <x v="22"/>
    <s v="No"/>
    <s v="Inglés"/>
    <n v="4.25"/>
    <n v="1"/>
    <n v="4.25"/>
    <x v="1"/>
    <n v="4.25"/>
    <x v="0"/>
  </r>
  <r>
    <n v="1165991753"/>
    <x v="11"/>
    <x v="2"/>
    <d v="2024-07-23T17:00:03"/>
    <s v="Sppion"/>
    <x v="1244"/>
    <x v="77"/>
    <s v="No"/>
    <s v="Inglés"/>
    <n v="10.17"/>
    <n v="1"/>
    <n v="10.17"/>
    <x v="1"/>
    <n v="10.17"/>
    <x v="0"/>
  </r>
  <r>
    <s v="CVSALE-1166475023-01"/>
    <x v="11"/>
    <x v="2"/>
    <d v="2024-07-21T10:54:46"/>
    <s v="Venta asociada sin pedido identificado"/>
    <x v="1245"/>
    <x v="22"/>
    <s v="Si"/>
    <s v="Inglés"/>
    <n v="4.1399999999999997"/>
    <n v="4"/>
    <n v="16.559999999999999"/>
    <x v="1"/>
    <n v="16.559999999999999"/>
    <x v="0"/>
  </r>
  <r>
    <n v="1166475023"/>
    <x v="11"/>
    <x v="2"/>
    <d v="2024-07-21T10:54:46"/>
    <s v="cartonpeleontcg"/>
    <x v="1246"/>
    <x v="7"/>
    <s v="No"/>
    <s v="Inglés"/>
    <n v="1.5938461538461539"/>
    <n v="1"/>
    <n v="1.5938461538461539"/>
    <x v="0"/>
    <m/>
    <x v="0"/>
  </r>
  <r>
    <n v="1166475023"/>
    <x v="11"/>
    <x v="2"/>
    <d v="2024-07-21T10:54:46"/>
    <s v="cartonpeleontcg"/>
    <x v="1245"/>
    <x v="22"/>
    <s v="Si"/>
    <s v="Inglés"/>
    <n v="4.781538461538462"/>
    <n v="4"/>
    <n v="19.126153846153848"/>
    <x v="0"/>
    <m/>
    <x v="0"/>
  </r>
  <r>
    <n v="1166492703"/>
    <x v="11"/>
    <x v="2"/>
    <d v="2024-07-21T09:50:58"/>
    <s v="hotcoffeegg"/>
    <x v="1247"/>
    <x v="223"/>
    <s v="No"/>
    <s v="Inglés"/>
    <n v="54.127775229357802"/>
    <n v="1"/>
    <n v="54.127775229357802"/>
    <x v="1"/>
    <n v="54.127775229357802"/>
    <x v="0"/>
  </r>
  <r>
    <n v="1166492703"/>
    <x v="11"/>
    <x v="2"/>
    <d v="2024-07-21T09:50:58"/>
    <s v="hotcoffeegg"/>
    <x v="1248"/>
    <x v="22"/>
    <s v="No"/>
    <s v="Inglés"/>
    <n v="0.54181957186544338"/>
    <n v="1"/>
    <n v="0.54181957186544338"/>
    <x v="1"/>
    <n v="0.54181957186544338"/>
    <x v="0"/>
  </r>
  <r>
    <n v="1166414310"/>
    <x v="11"/>
    <x v="2"/>
    <d v="2024-07-20T13:59:14"/>
    <s v="seryou"/>
    <x v="863"/>
    <x v="256"/>
    <s v="No"/>
    <s v="Español"/>
    <n v="2.2609598214285715"/>
    <n v="3"/>
    <n v="6.7828794642857151"/>
    <x v="1"/>
    <n v="6.7828794642857142"/>
    <x v="0"/>
  </r>
  <r>
    <n v="1166414310"/>
    <x v="11"/>
    <x v="2"/>
    <d v="2024-07-20T13:59:14"/>
    <s v="seryou"/>
    <x v="863"/>
    <x v="256"/>
    <s v="No"/>
    <s v="Inglés"/>
    <n v="3.397120535714286"/>
    <n v="1"/>
    <n v="3.397120535714286"/>
    <x v="1"/>
    <n v="3.397120535714286"/>
    <x v="0"/>
  </r>
  <r>
    <n v="1166294148"/>
    <x v="11"/>
    <x v="2"/>
    <d v="2024-07-19T18:48:27"/>
    <s v="Santilands"/>
    <x v="1249"/>
    <x v="229"/>
    <s v="No"/>
    <s v="Español"/>
    <n v="31.976301793444652"/>
    <n v="1"/>
    <n v="31.976301793444652"/>
    <x v="1"/>
    <n v="31.976301793444652"/>
    <x v="0"/>
  </r>
  <r>
    <n v="1165660431"/>
    <x v="11"/>
    <x v="2"/>
    <d v="2024-07-19T08:13:52"/>
    <s v="Jesval"/>
    <x v="1250"/>
    <x v="22"/>
    <s v="No"/>
    <s v="Inglés"/>
    <n v="47.42"/>
    <n v="1"/>
    <n v="47.42"/>
    <x v="1"/>
    <n v="47.42"/>
    <x v="0"/>
  </r>
  <r>
    <n v="1166167134"/>
    <x v="11"/>
    <x v="2"/>
    <d v="2024-07-18T13:26:16"/>
    <s v="Itaca"/>
    <x v="1251"/>
    <x v="7"/>
    <s v="Si"/>
    <s v="Inglés"/>
    <n v="4.6585937500000014"/>
    <n v="4"/>
    <n v="18.634375000000006"/>
    <x v="0"/>
    <m/>
    <x v="0"/>
  </r>
  <r>
    <n v="1166167134"/>
    <x v="11"/>
    <x v="2"/>
    <d v="2024-07-18T13:26:16"/>
    <s v="Itaca"/>
    <x v="1252"/>
    <x v="169"/>
    <s v="Si"/>
    <s v="Inglés"/>
    <n v="22.978906250000001"/>
    <n v="4"/>
    <n v="91.915625000000006"/>
    <x v="0"/>
    <m/>
    <x v="0"/>
  </r>
  <r>
    <n v="1166072731"/>
    <x v="11"/>
    <x v="2"/>
    <d v="2024-07-17T18:38:18"/>
    <s v="AceMagicDealer"/>
    <x v="487"/>
    <x v="88"/>
    <s v="No"/>
    <s v="Inglés"/>
    <n v="4.5599999999999996"/>
    <n v="2"/>
    <n v="9.1199999999999992"/>
    <x v="0"/>
    <m/>
    <x v="0"/>
  </r>
  <r>
    <n v="1166072591"/>
    <x v="11"/>
    <x v="2"/>
    <d v="2024-07-17T18:38:18"/>
    <s v="Moria05"/>
    <x v="1253"/>
    <x v="40"/>
    <s v="No"/>
    <s v="Inglés"/>
    <n v="2.9027445652173909"/>
    <n v="2"/>
    <n v="5.8054891304347818"/>
    <x v="0"/>
    <m/>
    <x v="0"/>
  </r>
  <r>
    <n v="1166072591"/>
    <x v="11"/>
    <x v="2"/>
    <d v="2024-07-17T18:38:18"/>
    <s v="Moria05"/>
    <x v="1254"/>
    <x v="22"/>
    <s v="Si"/>
    <s v="Inglés"/>
    <n v="0.16320652173913039"/>
    <n v="4"/>
    <n v="0.65282608695652156"/>
    <x v="0"/>
    <m/>
    <x v="0"/>
  </r>
  <r>
    <n v="1166072591"/>
    <x v="11"/>
    <x v="2"/>
    <d v="2024-07-17T18:38:18"/>
    <s v="Moria05"/>
    <x v="1255"/>
    <x v="7"/>
    <s v="No"/>
    <s v="Inglés"/>
    <n v="0.92095108695652184"/>
    <n v="2"/>
    <n v="1.8419021739130437"/>
    <x v="0"/>
    <m/>
    <x v="0"/>
  </r>
  <r>
    <n v="1166072591"/>
    <x v="11"/>
    <x v="2"/>
    <d v="2024-07-17T18:38:18"/>
    <s v="Moria05"/>
    <x v="1256"/>
    <x v="257"/>
    <s v="No"/>
    <s v="Inglés"/>
    <n v="0.27978260869565219"/>
    <n v="1"/>
    <n v="0.27978260869565219"/>
    <x v="0"/>
    <m/>
    <x v="0"/>
  </r>
  <r>
    <n v="1164742270"/>
    <x v="11"/>
    <x v="2"/>
    <d v="2024-07-17T10:08:58"/>
    <s v="Knowny"/>
    <x v="1250"/>
    <x v="22"/>
    <s v="No"/>
    <s v="Inglés"/>
    <n v="51.773333333333341"/>
    <n v="3"/>
    <n v="155.32000000000002"/>
    <x v="1"/>
    <n v="155.32000000000002"/>
    <x v="0"/>
  </r>
  <r>
    <n v="1166002807"/>
    <x v="11"/>
    <x v="2"/>
    <d v="2024-07-17T08:37:50"/>
    <s v="Distritozero-Bilbao"/>
    <x v="1236"/>
    <x v="169"/>
    <s v="No"/>
    <s v="Inglés"/>
    <n v="19.940000000000001"/>
    <n v="1"/>
    <n v="19.940000000000001"/>
    <x v="0"/>
    <m/>
    <x v="0"/>
  </r>
  <r>
    <n v="1166002534"/>
    <x v="11"/>
    <x v="2"/>
    <d v="2024-07-17T08:37:50"/>
    <s v="Terantino028"/>
    <x v="1257"/>
    <x v="169"/>
    <s v="No"/>
    <s v="Inglés"/>
    <n v="13.72"/>
    <n v="1"/>
    <n v="13.72"/>
    <x v="0"/>
    <m/>
    <x v="0"/>
  </r>
  <r>
    <n v="1165316514"/>
    <x v="11"/>
    <x v="2"/>
    <d v="2024-07-17T08:36:21"/>
    <s v="danicsb"/>
    <x v="657"/>
    <x v="81"/>
    <s v="No"/>
    <s v="Inglés"/>
    <n v="11.985581395348836"/>
    <n v="1"/>
    <n v="11.985581395348836"/>
    <x v="1"/>
    <n v="11.985581395348836"/>
    <x v="0"/>
  </r>
  <r>
    <n v="1160267539"/>
    <x v="11"/>
    <x v="2"/>
    <d v="2024-07-17T01:03:53"/>
    <s v="HaruKaeru"/>
    <x v="1258"/>
    <x v="46"/>
    <s v="No"/>
    <s v="Inglés"/>
    <n v="12.17"/>
    <n v="1"/>
    <n v="12.17"/>
    <x v="1"/>
    <n v="12.17"/>
    <x v="0"/>
  </r>
  <r>
    <n v="1165908000"/>
    <x v="11"/>
    <x v="2"/>
    <d v="2024-07-16T14:03:20"/>
    <s v="ThreeForOne-AT"/>
    <x v="1237"/>
    <x v="60"/>
    <s v="No"/>
    <s v="Inglés"/>
    <n v="41.86"/>
    <n v="2"/>
    <n v="83.72"/>
    <x v="0"/>
    <m/>
    <x v="0"/>
  </r>
  <r>
    <n v="1162835755"/>
    <x v="11"/>
    <x v="2"/>
    <d v="2024-07-16T01:13:26"/>
    <s v="Noeperez"/>
    <x v="1259"/>
    <x v="46"/>
    <s v="Si"/>
    <s v="Español"/>
    <n v="16.317499999999999"/>
    <n v="4"/>
    <n v="65.27"/>
    <x v="1"/>
    <n v="65.27"/>
    <x v="0"/>
  </r>
  <r>
    <n v="1165849089"/>
    <x v="11"/>
    <x v="2"/>
    <d v="2024-07-16T00:20:05"/>
    <s v="Khaizer12"/>
    <x v="1260"/>
    <x v="192"/>
    <s v="No"/>
    <s v="Español"/>
    <n v="12.17"/>
    <n v="1"/>
    <n v="12.17"/>
    <x v="1"/>
    <n v="12.17"/>
    <x v="0"/>
  </r>
  <r>
    <n v="1165702710"/>
    <x v="11"/>
    <x v="2"/>
    <d v="2024-07-15T10:38:51"/>
    <s v="Bunyulet"/>
    <x v="467"/>
    <x v="170"/>
    <s v="No"/>
    <s v="Inglés"/>
    <n v="8.11"/>
    <n v="2"/>
    <n v="16.22"/>
    <x v="0"/>
    <m/>
    <x v="0"/>
  </r>
  <r>
    <n v="1165707204"/>
    <x v="11"/>
    <x v="2"/>
    <d v="2024-07-14T23:33:47"/>
    <s v="Doram"/>
    <x v="1261"/>
    <x v="129"/>
    <s v="No"/>
    <s v="Inglés"/>
    <n v="7.02"/>
    <n v="1"/>
    <n v="7.02"/>
    <x v="1"/>
    <n v="7.02"/>
    <x v="0"/>
  </r>
  <r>
    <n v="1164617239"/>
    <x v="11"/>
    <x v="2"/>
    <d v="2024-07-13T11:54:49"/>
    <s v="Oyea2000Hacha"/>
    <x v="1262"/>
    <x v="22"/>
    <s v="No"/>
    <s v="Inglés"/>
    <n v="21.873792825473597"/>
    <n v="1"/>
    <n v="21.873792825473597"/>
    <x v="1"/>
    <n v="21.873792825473597"/>
    <x v="0"/>
  </r>
  <r>
    <n v="1164617239"/>
    <x v="11"/>
    <x v="2"/>
    <d v="2024-07-13T11:54:49"/>
    <s v="Oyea2000Hacha"/>
    <x v="1250"/>
    <x v="22"/>
    <s v="No"/>
    <s v="Inglés"/>
    <n v="52.15255139056832"/>
    <n v="2"/>
    <n v="104.30510278113664"/>
    <x v="1"/>
    <n v="104.30510278113664"/>
    <x v="0"/>
  </r>
  <r>
    <n v="1164617239"/>
    <x v="11"/>
    <x v="2"/>
    <d v="2024-07-13T11:54:49"/>
    <s v="Oyea2000Hacha"/>
    <x v="1263"/>
    <x v="182"/>
    <s v="No"/>
    <s v="Inglés"/>
    <n v="1.566142684401451"/>
    <n v="2"/>
    <n v="3.132285368802902"/>
    <x v="1"/>
    <n v="3.132285368802902"/>
    <x v="0"/>
  </r>
  <r>
    <n v="1163566856"/>
    <x v="11"/>
    <x v="2"/>
    <d v="2024-07-12T13:19:08"/>
    <s v="SaviourZero"/>
    <x v="1264"/>
    <x v="106"/>
    <s v="Si"/>
    <s v="Inglés"/>
    <n v="6.2549999999999999"/>
    <n v="4"/>
    <n v="25.02"/>
    <x v="1"/>
    <n v="25.02"/>
    <x v="0"/>
  </r>
  <r>
    <n v="1165154888"/>
    <x v="11"/>
    <x v="2"/>
    <d v="2024-07-10T16:48:37"/>
    <s v="YuriChumbo"/>
    <x v="1265"/>
    <x v="220"/>
    <s v="No"/>
    <s v="Español"/>
    <n v="5.21"/>
    <n v="1"/>
    <n v="5.21"/>
    <x v="1"/>
    <n v="5.21"/>
    <x v="0"/>
  </r>
  <r>
    <n v="1162831676"/>
    <x v="11"/>
    <x v="2"/>
    <d v="2024-07-09T20:52:46"/>
    <s v="Morenyn"/>
    <x v="1038"/>
    <x v="66"/>
    <s v="No"/>
    <s v="Español"/>
    <n v="12.17"/>
    <n v="1"/>
    <n v="12.17"/>
    <x v="1"/>
    <n v="12.17"/>
    <x v="0"/>
  </r>
  <r>
    <n v="1164075103"/>
    <x v="11"/>
    <x v="2"/>
    <d v="2024-07-09T18:28:33"/>
    <s v="rafa-1993-magic"/>
    <x v="1266"/>
    <x v="15"/>
    <s v="Si"/>
    <s v="Inglés"/>
    <n v="0.40048487237607178"/>
    <n v="4"/>
    <n v="1.6019394895042871"/>
    <x v="1"/>
    <n v="1.6019394895042871"/>
    <x v="0"/>
  </r>
  <r>
    <n v="1164973766"/>
    <x v="11"/>
    <x v="2"/>
    <d v="2024-07-09T11:03:12"/>
    <s v="danicsb"/>
    <x v="1267"/>
    <x v="126"/>
    <s v="No"/>
    <s v="Español"/>
    <n v="55.42"/>
    <n v="1"/>
    <n v="55.42"/>
    <x v="1"/>
    <n v="55.42"/>
    <x v="0"/>
  </r>
  <r>
    <n v="1164395671"/>
    <x v="11"/>
    <x v="2"/>
    <d v="2024-07-09T09:52:58"/>
    <s v="Enoc"/>
    <x v="857"/>
    <x v="41"/>
    <s v="No"/>
    <s v="Inglés"/>
    <n v="8.17"/>
    <n v="1"/>
    <n v="8.17"/>
    <x v="1"/>
    <n v="8.17"/>
    <x v="0"/>
  </r>
  <r>
    <n v="1164665208"/>
    <x v="11"/>
    <x v="2"/>
    <d v="2024-07-07T08:31:51"/>
    <s v="Ventura-Games"/>
    <x v="1268"/>
    <x v="7"/>
    <s v="No"/>
    <s v="Inglés"/>
    <n v="49.174999999999997"/>
    <n v="2"/>
    <n v="98.35"/>
    <x v="0"/>
    <m/>
    <x v="0"/>
  </r>
  <r>
    <n v="1164662204"/>
    <x v="11"/>
    <x v="2"/>
    <d v="2024-07-07T08:31:51"/>
    <s v="TheOldSchool"/>
    <x v="1268"/>
    <x v="7"/>
    <s v="No"/>
    <s v="Inglés"/>
    <n v="55.46"/>
    <n v="1"/>
    <n v="55.46"/>
    <x v="0"/>
    <m/>
    <x v="0"/>
  </r>
  <r>
    <n v="1164662202"/>
    <x v="11"/>
    <x v="2"/>
    <d v="2024-07-07T08:31:51"/>
    <s v="GeekParadise-Tom"/>
    <x v="1268"/>
    <x v="7"/>
    <s v="No"/>
    <s v="Inglés"/>
    <n v="55"/>
    <n v="1"/>
    <n v="55"/>
    <x v="0"/>
    <m/>
    <x v="0"/>
  </r>
  <r>
    <n v="1164617239"/>
    <x v="11"/>
    <x v="2"/>
    <d v="2024-07-06T19:45:41"/>
    <s v="Oyea2000Hacha"/>
    <x v="1269"/>
    <x v="15"/>
    <s v="No"/>
    <s v="Inglés"/>
    <n v="0.215068870523416"/>
    <n v="1"/>
    <n v="0.215068870523416"/>
    <x v="1"/>
    <n v="0.215068870523416"/>
    <x v="0"/>
  </r>
  <r>
    <n v="1164434971"/>
    <x v="11"/>
    <x v="2"/>
    <d v="2024-07-05T10:35:56"/>
    <s v="Dominaria"/>
    <x v="1270"/>
    <x v="60"/>
    <s v="No"/>
    <s v="Inglés"/>
    <n v="32.725000000000001"/>
    <n v="2"/>
    <n v="65.45"/>
    <x v="0"/>
    <m/>
    <x v="0"/>
  </r>
  <r>
    <n v="1164362973"/>
    <x v="11"/>
    <x v="2"/>
    <d v="2024-07-04T19:06:16"/>
    <s v="Devian-Magic-Cards"/>
    <x v="857"/>
    <x v="258"/>
    <s v="No"/>
    <s v="Inglés"/>
    <n v="20.357500000000002"/>
    <n v="3"/>
    <n v="61.072500000000005"/>
    <x v="0"/>
    <m/>
    <x v="0"/>
  </r>
  <r>
    <n v="1164362973"/>
    <x v="11"/>
    <x v="2"/>
    <d v="2024-07-04T19:06:16"/>
    <s v="Devian-Magic-Cards"/>
    <x v="857"/>
    <x v="258"/>
    <s v="No"/>
    <s v="Inglés"/>
    <n v="20.357500000000002"/>
    <n v="1"/>
    <n v="20.357500000000002"/>
    <x v="0"/>
    <m/>
    <x v="0"/>
  </r>
  <r>
    <n v="1164271884"/>
    <x v="11"/>
    <x v="2"/>
    <d v="2024-07-04T07:40:52"/>
    <s v="LaBestiaHaVuelto"/>
    <x v="1224"/>
    <x v="7"/>
    <s v="No"/>
    <s v="Inglés"/>
    <n v="25.3"/>
    <n v="1"/>
    <n v="25.3"/>
    <x v="0"/>
    <m/>
    <x v="0"/>
  </r>
  <r>
    <n v="1164244310"/>
    <x v="11"/>
    <x v="2"/>
    <d v="2024-07-03T21:22:01"/>
    <s v="Inashio"/>
    <x v="1271"/>
    <x v="60"/>
    <s v="No"/>
    <s v="Inglés"/>
    <n v="42.813912037037028"/>
    <n v="2"/>
    <n v="85.627824074074056"/>
    <x v="0"/>
    <m/>
    <x v="0"/>
  </r>
  <r>
    <n v="1164244310"/>
    <x v="11"/>
    <x v="2"/>
    <d v="2024-07-03T21:22:01"/>
    <s v="Inashio"/>
    <x v="1270"/>
    <x v="60"/>
    <s v="No"/>
    <s v="Inglés"/>
    <n v="27.842175925925929"/>
    <n v="1"/>
    <n v="27.842175925925929"/>
    <x v="0"/>
    <m/>
    <x v="0"/>
  </r>
  <r>
    <n v="1164187939"/>
    <x v="11"/>
    <x v="2"/>
    <d v="2024-07-03T21:21:30"/>
    <s v="Inashio"/>
    <x v="1270"/>
    <x v="60"/>
    <s v="No"/>
    <s v="Inglés"/>
    <n v="27.842175925925929"/>
    <n v="1"/>
    <n v="27.842175925925929"/>
    <x v="0"/>
    <m/>
    <x v="0"/>
  </r>
  <r>
    <n v="1164187939"/>
    <x v="11"/>
    <x v="2"/>
    <d v="2024-07-03T21:21:30"/>
    <s v="Inashio"/>
    <x v="1271"/>
    <x v="60"/>
    <s v="No"/>
    <s v="Inglés"/>
    <n v="42.813912037037028"/>
    <n v="2"/>
    <n v="85.627824074074056"/>
    <x v="0"/>
    <m/>
    <x v="0"/>
  </r>
  <r>
    <n v="1164216706"/>
    <x v="11"/>
    <x v="2"/>
    <d v="2024-07-03T18:33:02"/>
    <s v="TheGoe"/>
    <x v="1272"/>
    <x v="15"/>
    <s v="No"/>
    <s v="Inglés"/>
    <n v="82.25"/>
    <n v="1"/>
    <n v="82.25"/>
    <x v="1"/>
    <n v="82.25"/>
    <x v="0"/>
  </r>
  <r>
    <n v="1164141957"/>
    <x v="11"/>
    <x v="2"/>
    <d v="2024-07-03T09:14:29"/>
    <s v="GatoMojao"/>
    <x v="1273"/>
    <x v="22"/>
    <s v="No"/>
    <s v="Inglés"/>
    <n v="8.7200000000000006"/>
    <n v="1"/>
    <n v="8.7200000000000006"/>
    <x v="0"/>
    <m/>
    <x v="0"/>
  </r>
  <r>
    <n v="1163758975"/>
    <x v="11"/>
    <x v="2"/>
    <d v="2024-07-03T08:08:54"/>
    <s v="davolcu"/>
    <x v="591"/>
    <x v="200"/>
    <s v="No"/>
    <s v="Inglés"/>
    <n v="42.685000000000002"/>
    <n v="2"/>
    <n v="85.37"/>
    <x v="1"/>
    <n v="85.37"/>
    <x v="0"/>
  </r>
  <r>
    <n v="1164123985"/>
    <x v="11"/>
    <x v="2"/>
    <d v="2024-07-03T06:20:23"/>
    <s v="JOKO"/>
    <x v="1274"/>
    <x v="60"/>
    <s v="Si"/>
    <s v="Inglés"/>
    <n v="21.357500000000002"/>
    <n v="4"/>
    <n v="85.43"/>
    <x v="0"/>
    <m/>
    <x v="0"/>
  </r>
  <r>
    <n v="1164108421"/>
    <x v="11"/>
    <x v="2"/>
    <d v="2024-07-02T22:58:01"/>
    <s v="WORKSHOP12"/>
    <x v="1275"/>
    <x v="17"/>
    <s v="No"/>
    <s v="Español"/>
    <n v="47.540900948366705"/>
    <n v="1"/>
    <n v="47.540900948366705"/>
    <x v="1"/>
    <n v="47.540900948366705"/>
    <x v="0"/>
  </r>
  <r>
    <n v="1164108421"/>
    <x v="11"/>
    <x v="2"/>
    <d v="2024-07-02T22:58:01"/>
    <s v="WORKSHOP12"/>
    <x v="1276"/>
    <x v="15"/>
    <s v="No"/>
    <s v="Inglés"/>
    <n v="52.8290990516333"/>
    <n v="1"/>
    <n v="52.8290990516333"/>
    <x v="1"/>
    <n v="52.8290990516333"/>
    <x v="0"/>
  </r>
  <r>
    <n v="1164096821"/>
    <x v="11"/>
    <x v="2"/>
    <d v="2024-07-02T21:20:58"/>
    <s v="Bloiz"/>
    <x v="223"/>
    <x v="57"/>
    <s v="No"/>
    <s v="Español"/>
    <n v="2.7199999999999998"/>
    <n v="1"/>
    <n v="2.7199999999999998"/>
    <x v="1"/>
    <n v="2.7199999999999998"/>
    <x v="0"/>
  </r>
  <r>
    <n v="1161278899"/>
    <x v="11"/>
    <x v="2"/>
    <d v="2024-07-02T20:59:30"/>
    <s v="Madiba"/>
    <x v="1277"/>
    <x v="259"/>
    <s v="No"/>
    <s v="Inglés"/>
    <n v="1.3566666666666665"/>
    <n v="3"/>
    <n v="4.0699999999999994"/>
    <x v="1"/>
    <n v="4.0699999999999994"/>
    <x v="0"/>
  </r>
  <r>
    <n v="1164075103"/>
    <x v="11"/>
    <x v="2"/>
    <d v="2024-07-02T19:28:03"/>
    <s v="rafa-1993-magic"/>
    <x v="1278"/>
    <x v="34"/>
    <s v="No"/>
    <s v="Inglés"/>
    <n v="105.399282368185"/>
    <n v="1"/>
    <n v="105.399282368185"/>
    <x v="1"/>
    <n v="105.399282368185"/>
    <x v="0"/>
  </r>
  <r>
    <n v="1163688955"/>
    <x v="11"/>
    <x v="2"/>
    <d v="2024-07-02T18:39:08"/>
    <s v="Metropolis-Center"/>
    <x v="1279"/>
    <x v="17"/>
    <s v="No"/>
    <s v="Español"/>
    <n v="55.42"/>
    <n v="1"/>
    <n v="55.42"/>
    <x v="1"/>
    <n v="55.42"/>
    <x v="0"/>
  </r>
  <r>
    <n v="1164060811"/>
    <x v="11"/>
    <x v="2"/>
    <d v="2024-07-02T17:33:01"/>
    <s v="Germanchuuu"/>
    <x v="223"/>
    <x v="57"/>
    <s v="No"/>
    <s v="Español"/>
    <n v="2.7199999999999998"/>
    <n v="1"/>
    <n v="2.7199999999999998"/>
    <x v="1"/>
    <n v="2.7199999999999998"/>
    <x v="0"/>
  </r>
  <r>
    <n v="1163978777"/>
    <x v="11"/>
    <x v="2"/>
    <d v="2024-07-02T07:34:54"/>
    <s v="Dominaria"/>
    <x v="1280"/>
    <x v="60"/>
    <s v="Si"/>
    <s v="Inglés"/>
    <n v="24.357500000000002"/>
    <n v="4"/>
    <n v="97.43"/>
    <x v="0"/>
    <m/>
    <x v="0"/>
  </r>
  <r>
    <n v="1163978024"/>
    <x v="11"/>
    <x v="2"/>
    <d v="2024-07-02T07:24:46"/>
    <s v="Macufa"/>
    <x v="1281"/>
    <x v="15"/>
    <s v="No"/>
    <s v="Inglés"/>
    <n v="65.42"/>
    <n v="1"/>
    <n v="65.42"/>
    <x v="1"/>
    <n v="65.42"/>
    <x v="0"/>
  </r>
  <r>
    <n v="1163909490"/>
    <x v="11"/>
    <x v="2"/>
    <d v="2024-07-01T17:44:04"/>
    <s v="Mazvigosl"/>
    <x v="1011"/>
    <x v="210"/>
    <s v="Si"/>
    <s v="Inglés"/>
    <n v="1.5549999999999999"/>
    <n v="4"/>
    <n v="6.22"/>
    <x v="0"/>
    <m/>
    <x v="0"/>
  </r>
  <r>
    <n v="1163903842"/>
    <x v="11"/>
    <x v="2"/>
    <d v="2024-07-01T17:44:04"/>
    <s v="FREAK-CORP"/>
    <x v="1282"/>
    <x v="32"/>
    <s v="Si"/>
    <s v="Inglés"/>
    <n v="5.0549999999999997"/>
    <n v="4"/>
    <n v="20.22"/>
    <x v="0"/>
    <m/>
    <x v="0"/>
  </r>
  <r>
    <n v="1163680869"/>
    <x v="0"/>
    <x v="2"/>
    <d v="2024-06-30T08:26:35"/>
    <s v="Manymony77"/>
    <x v="1224"/>
    <x v="7"/>
    <s v="No"/>
    <s v="Inglés"/>
    <n v="23.17"/>
    <n v="1"/>
    <n v="23.17"/>
    <x v="0"/>
    <m/>
    <x v="0"/>
  </r>
  <r>
    <n v="1163680787"/>
    <x v="0"/>
    <x v="2"/>
    <d v="2024-06-30T08:26:35"/>
    <s v="Lauramagic"/>
    <x v="1224"/>
    <x v="7"/>
    <s v="No"/>
    <s v="Inglés"/>
    <n v="27.580188679245278"/>
    <n v="2"/>
    <n v="55.160377358490557"/>
    <x v="0"/>
    <m/>
    <x v="0"/>
  </r>
  <r>
    <n v="1163680787"/>
    <x v="0"/>
    <x v="2"/>
    <d v="2024-06-30T08:26:35"/>
    <s v="Lauramagic"/>
    <x v="1283"/>
    <x v="260"/>
    <s v="Si"/>
    <s v="Inglés"/>
    <n v="0.55160377358490564"/>
    <n v="4"/>
    <n v="2.2064150943396226"/>
    <x v="0"/>
    <m/>
    <x v="0"/>
  </r>
  <r>
    <n v="1163680787"/>
    <x v="0"/>
    <x v="2"/>
    <d v="2024-06-30T08:26:35"/>
    <s v="Lauramagic"/>
    <x v="1284"/>
    <x v="60"/>
    <s v="Si"/>
    <s v="Inglés"/>
    <n v="0.27580188679245282"/>
    <n v="4"/>
    <n v="1.1032075471698113"/>
    <x v="0"/>
    <m/>
    <x v="0"/>
  </r>
  <r>
    <n v="1163627035"/>
    <x v="0"/>
    <x v="2"/>
    <d v="2024-06-29T18:05:03"/>
    <s v="Aras76"/>
    <x v="1285"/>
    <x v="166"/>
    <s v="No"/>
    <s v="Japonés"/>
    <n v="6.17"/>
    <n v="1"/>
    <n v="6.17"/>
    <x v="1"/>
    <n v="6.17"/>
    <x v="0"/>
  </r>
  <r>
    <n v="1163540641"/>
    <x v="0"/>
    <x v="2"/>
    <d v="2024-06-29T00:35:42"/>
    <s v="Silviaef94"/>
    <x v="322"/>
    <x v="37"/>
    <s v="No"/>
    <s v="Inglés"/>
    <n v="1.3066666666666671"/>
    <n v="3"/>
    <n v="3.9200000000000013"/>
    <x v="0"/>
    <m/>
    <x v="0"/>
  </r>
  <r>
    <n v="1163540576"/>
    <x v="0"/>
    <x v="2"/>
    <d v="2024-06-29T00:35:42"/>
    <s v="PERALTA"/>
    <x v="1286"/>
    <x v="37"/>
    <s v="Si"/>
    <s v="Inglés"/>
    <n v="0.58625954198473285"/>
    <n v="4"/>
    <n v="2.3450381679389314"/>
    <x v="0"/>
    <m/>
    <x v="0"/>
  </r>
  <r>
    <n v="1163540576"/>
    <x v="0"/>
    <x v="2"/>
    <d v="2024-06-29T00:35:42"/>
    <s v="PERALTA"/>
    <x v="1287"/>
    <x v="37"/>
    <s v="No"/>
    <s v="Inglés"/>
    <n v="0.49832061068702288"/>
    <n v="3"/>
    <n v="1.4949618320610687"/>
    <x v="0"/>
    <m/>
    <x v="0"/>
  </r>
  <r>
    <n v="1163539941"/>
    <x v="0"/>
    <x v="2"/>
    <d v="2024-06-29T00:35:42"/>
    <s v="Distritozero-Bilbao"/>
    <x v="1182"/>
    <x v="7"/>
    <s v="No"/>
    <s v="Inglés"/>
    <n v="8.9"/>
    <n v="2"/>
    <n v="17.8"/>
    <x v="0"/>
    <m/>
    <x v="0"/>
  </r>
  <r>
    <n v="1163420233"/>
    <x v="0"/>
    <x v="2"/>
    <d v="2024-06-28T12:39:13"/>
    <s v="ProZerG87"/>
    <x v="1215"/>
    <x v="108"/>
    <s v="No"/>
    <s v="Inglés"/>
    <n v="1.2150971922246221"/>
    <n v="1"/>
    <n v="1.2150971922246221"/>
    <x v="0"/>
    <m/>
    <x v="0"/>
  </r>
  <r>
    <n v="1163420233"/>
    <x v="0"/>
    <x v="2"/>
    <d v="2024-06-28T12:39:13"/>
    <s v="ProZerG87"/>
    <x v="1288"/>
    <x v="60"/>
    <s v="No"/>
    <s v="Inglés"/>
    <n v="0.46898488120950321"/>
    <n v="1"/>
    <n v="0.46898488120950321"/>
    <x v="0"/>
    <m/>
    <x v="0"/>
  </r>
  <r>
    <n v="1163420233"/>
    <x v="0"/>
    <x v="2"/>
    <d v="2024-06-28T12:39:13"/>
    <s v="ProZerG87"/>
    <x v="1289"/>
    <x v="37"/>
    <s v="No"/>
    <s v="Inglés"/>
    <n v="18.055917926565879"/>
    <n v="1"/>
    <n v="18.055917926565879"/>
    <x v="0"/>
    <m/>
    <x v="0"/>
  </r>
  <r>
    <n v="1162230542"/>
    <x v="0"/>
    <x v="2"/>
    <d v="2024-06-28T11:20:41"/>
    <s v="Adonathiel"/>
    <x v="1290"/>
    <x v="261"/>
    <s v="No"/>
    <s v="Inglés"/>
    <n v="14.17"/>
    <n v="1"/>
    <n v="14.17"/>
    <x v="1"/>
    <n v="14.17"/>
    <x v="0"/>
  </r>
  <r>
    <n v="1163394837"/>
    <x v="0"/>
    <x v="2"/>
    <d v="2024-06-27T22:16:26"/>
    <s v="Raist0000"/>
    <x v="1291"/>
    <x v="171"/>
    <s v="No"/>
    <s v="Español"/>
    <n v="0.50166666666666671"/>
    <n v="1"/>
    <n v="0.50166666666666671"/>
    <x v="0"/>
    <m/>
    <x v="0"/>
  </r>
  <r>
    <n v="1163394837"/>
    <x v="0"/>
    <x v="2"/>
    <d v="2024-06-27T22:16:26"/>
    <s v="Raist0000"/>
    <x v="1292"/>
    <x v="236"/>
    <s v="No"/>
    <s v="Inglés"/>
    <n v="2.5083333333333329"/>
    <n v="1"/>
    <n v="2.5083333333333329"/>
    <x v="0"/>
    <m/>
    <x v="0"/>
  </r>
  <r>
    <n v="1163394837"/>
    <x v="0"/>
    <x v="2"/>
    <d v="2024-06-27T22:16:26"/>
    <s v="Raist0000"/>
    <x v="1293"/>
    <x v="229"/>
    <s v="No"/>
    <s v="Inglés"/>
    <n v="3.01"/>
    <n v="1"/>
    <n v="3.01"/>
    <x v="0"/>
    <m/>
    <x v="0"/>
  </r>
  <r>
    <n v="1163389136"/>
    <x v="0"/>
    <x v="2"/>
    <d v="2024-06-27T21:24:40"/>
    <s v="Kbutops"/>
    <x v="1224"/>
    <x v="7"/>
    <s v="No"/>
    <s v="Inglés"/>
    <n v="4.72"/>
    <n v="1"/>
    <n v="4.72"/>
    <x v="0"/>
    <m/>
    <x v="0"/>
  </r>
  <r>
    <n v="1163362391"/>
    <x v="0"/>
    <x v="2"/>
    <d v="2024-06-27T18:15:45"/>
    <s v="Distritozero-Bilbao"/>
    <x v="408"/>
    <x v="209"/>
    <s v="Si"/>
    <s v="Inglés"/>
    <n v="5.75"/>
    <n v="4"/>
    <n v="23"/>
    <x v="0"/>
    <m/>
    <x v="0"/>
  </r>
  <r>
    <n v="1163359815"/>
    <x v="0"/>
    <x v="2"/>
    <d v="2024-06-27T18:15:45"/>
    <s v="Metropolis-Center"/>
    <x v="1294"/>
    <x v="7"/>
    <s v="Si"/>
    <s v="Inglés"/>
    <n v="1.1842360114777619"/>
    <n v="4"/>
    <n v="4.7369440459110477"/>
    <x v="0"/>
    <m/>
    <x v="0"/>
  </r>
  <r>
    <n v="1163359815"/>
    <x v="0"/>
    <x v="2"/>
    <d v="2024-06-27T18:15:45"/>
    <s v="Metropolis-Center"/>
    <x v="1295"/>
    <x v="7"/>
    <s v="Si"/>
    <s v="Inglés"/>
    <n v="3.5766319942611191"/>
    <n v="4"/>
    <n v="14.306527977044476"/>
    <x v="0"/>
    <m/>
    <x v="0"/>
  </r>
  <r>
    <n v="1163359815"/>
    <x v="0"/>
    <x v="2"/>
    <d v="2024-06-27T18:15:45"/>
    <s v="Metropolis-Center"/>
    <x v="1296"/>
    <x v="7"/>
    <s v="Si"/>
    <s v="Inglés"/>
    <n v="2.9904949784791959"/>
    <n v="4"/>
    <n v="11.961979913916784"/>
    <x v="0"/>
    <m/>
    <x v="0"/>
  </r>
  <r>
    <n v="1163359815"/>
    <x v="0"/>
    <x v="2"/>
    <d v="2024-06-27T18:15:45"/>
    <s v="Metropolis-Center"/>
    <x v="1297"/>
    <x v="7"/>
    <s v="Si"/>
    <s v="Inglés"/>
    <n v="0.58613701578192257"/>
    <n v="4"/>
    <n v="2.3445480631276903"/>
    <x v="0"/>
    <m/>
    <x v="0"/>
  </r>
  <r>
    <n v="1163347613"/>
    <x v="0"/>
    <x v="2"/>
    <d v="2024-06-27T17:26:17"/>
    <s v="vscorpio"/>
    <x v="1103"/>
    <x v="191"/>
    <s v="Si"/>
    <s v="Inglés"/>
    <n v="0.65500000000000003"/>
    <n v="4"/>
    <n v="2.62"/>
    <x v="0"/>
    <m/>
    <x v="0"/>
  </r>
  <r>
    <n v="1163303172"/>
    <x v="0"/>
    <x v="2"/>
    <d v="2024-06-27T13:24:10"/>
    <s v="Anytomato"/>
    <x v="1298"/>
    <x v="157"/>
    <s v="No"/>
    <s v="Inglés"/>
    <n v="15.22"/>
    <n v="1"/>
    <n v="15.22"/>
    <x v="0"/>
    <m/>
    <x v="0"/>
  </r>
  <r>
    <n v="1163282779"/>
    <x v="0"/>
    <x v="2"/>
    <d v="2024-06-27T07:38:19"/>
    <s v="mikiprat"/>
    <x v="1299"/>
    <x v="83"/>
    <s v="Si"/>
    <s v="Inglés"/>
    <n v="1.5449999999999999"/>
    <n v="4"/>
    <n v="6.18"/>
    <x v="0"/>
    <m/>
    <x v="0"/>
  </r>
  <r>
    <n v="1163113103"/>
    <x v="0"/>
    <x v="2"/>
    <d v="2024-06-25T20:58:28"/>
    <s v="LuisLlana"/>
    <x v="1300"/>
    <x v="262"/>
    <s v="No"/>
    <s v="Inglés"/>
    <n v="0.21249999999999999"/>
    <n v="8"/>
    <n v="1.7"/>
    <x v="0"/>
    <m/>
    <x v="0"/>
  </r>
  <r>
    <n v="1163104506"/>
    <x v="0"/>
    <x v="2"/>
    <d v="2024-06-25T20:58:28"/>
    <s v="Moria05"/>
    <x v="1161"/>
    <x v="22"/>
    <s v="Si"/>
    <s v="Inglés"/>
    <n v="17.2575"/>
    <n v="4"/>
    <n v="69.03"/>
    <x v="0"/>
    <m/>
    <x v="0"/>
  </r>
  <r>
    <n v="1162882339"/>
    <x v="0"/>
    <x v="2"/>
    <d v="2024-06-24T10:03:19"/>
    <s v="Alzik"/>
    <x v="1273"/>
    <x v="22"/>
    <s v="No"/>
    <s v="Inglés"/>
    <n v="10.17"/>
    <n v="1"/>
    <n v="10.17"/>
    <x v="0"/>
    <m/>
    <x v="0"/>
  </r>
  <r>
    <n v="1162882335"/>
    <x v="0"/>
    <x v="2"/>
    <d v="2024-06-24T10:03:19"/>
    <s v="Frikea"/>
    <x v="1273"/>
    <x v="22"/>
    <s v="No"/>
    <s v="Inglés"/>
    <n v="10.17"/>
    <n v="1"/>
    <n v="10.17"/>
    <x v="0"/>
    <m/>
    <x v="0"/>
  </r>
  <r>
    <n v="1162882331"/>
    <x v="0"/>
    <x v="2"/>
    <d v="2024-06-24T10:03:19"/>
    <s v="evilarroyo"/>
    <x v="1273"/>
    <x v="22"/>
    <s v="No"/>
    <s v="Inglés"/>
    <n v="9.9517431192660553"/>
    <n v="1"/>
    <n v="9.9517431192660553"/>
    <x v="0"/>
    <m/>
    <x v="0"/>
  </r>
  <r>
    <n v="1162882331"/>
    <x v="0"/>
    <x v="2"/>
    <d v="2024-06-24T10:03:19"/>
    <s v="evilarroyo"/>
    <x v="930"/>
    <x v="22"/>
    <s v="No"/>
    <s v="Inglés"/>
    <n v="2.1682568807339448"/>
    <n v="1"/>
    <n v="2.1682568807339448"/>
    <x v="0"/>
    <m/>
    <x v="0"/>
  </r>
  <r>
    <n v="1162368044"/>
    <x v="0"/>
    <x v="2"/>
    <d v="2024-06-20T22:17:21"/>
    <s v="RhinoCardGames"/>
    <x v="950"/>
    <x v="22"/>
    <s v="No"/>
    <s v="Inglés"/>
    <n v="0.90333333333333321"/>
    <n v="6"/>
    <n v="5.419999999999999"/>
    <x v="0"/>
    <m/>
    <x v="0"/>
  </r>
  <r>
    <n v="1160995310"/>
    <x v="0"/>
    <x v="2"/>
    <d v="2024-06-20T11:38:59"/>
    <s v="Maphys"/>
    <x v="1301"/>
    <x v="46"/>
    <s v="No"/>
    <s v="Español"/>
    <n v="17.684999999999999"/>
    <n v="2"/>
    <n v="35.369999999999997"/>
    <x v="1"/>
    <n v="35.369999999999997"/>
    <x v="0"/>
  </r>
  <r>
    <n v="1161423616"/>
    <x v="0"/>
    <x v="2"/>
    <d v="2024-06-20T10:46:10"/>
    <s v="N36r0"/>
    <x v="1302"/>
    <x v="250"/>
    <s v="No"/>
    <s v="Inglés"/>
    <n v="7.17"/>
    <n v="1"/>
    <n v="7.17"/>
    <x v="1"/>
    <n v="7.17"/>
    <x v="0"/>
  </r>
  <r>
    <n v="1160773693"/>
    <x v="0"/>
    <x v="2"/>
    <d v="2024-06-20T10:15:55"/>
    <s v="MfosasG"/>
    <x v="1303"/>
    <x v="96"/>
    <s v="No"/>
    <s v="Inglés"/>
    <n v="1.6119266055045871"/>
    <n v="1"/>
    <n v="1.6119266055045871"/>
    <x v="1"/>
    <n v="1.6119266055045871"/>
    <x v="0"/>
  </r>
  <r>
    <n v="1161381058"/>
    <x v="0"/>
    <x v="2"/>
    <d v="2024-06-19T13:12:43"/>
    <s v="eduardomtg"/>
    <x v="1304"/>
    <x v="92"/>
    <s v="No"/>
    <s v="Español"/>
    <n v="1.56"/>
    <n v="2"/>
    <n v="3.12"/>
    <x v="1"/>
    <n v="3.12"/>
    <x v="0"/>
  </r>
  <r>
    <n v="1161471470"/>
    <x v="0"/>
    <x v="2"/>
    <d v="2024-06-19T12:57:10"/>
    <s v="Cachopito"/>
    <x v="409"/>
    <x v="94"/>
    <s v="No"/>
    <s v="Japonés"/>
    <n v="2.402891156462585"/>
    <n v="1"/>
    <n v="2.402891156462585"/>
    <x v="1"/>
    <n v="2.402891156462585"/>
    <x v="0"/>
  </r>
  <r>
    <n v="1161471470"/>
    <x v="0"/>
    <x v="2"/>
    <d v="2024-06-19T12:57:10"/>
    <s v="Cachopito"/>
    <x v="409"/>
    <x v="94"/>
    <s v="No"/>
    <s v="Inglés"/>
    <n v="2.402891156462585"/>
    <n v="1"/>
    <n v="2.402891156462585"/>
    <x v="1"/>
    <n v="2.402891156462585"/>
    <x v="0"/>
  </r>
  <r>
    <n v="1162179856"/>
    <x v="0"/>
    <x v="2"/>
    <d v="2024-06-18T23:30:36"/>
    <s v="Moga3840"/>
    <x v="1305"/>
    <x v="229"/>
    <s v="No"/>
    <s v="Español"/>
    <n v="4.21"/>
    <n v="1"/>
    <n v="4.21"/>
    <x v="1"/>
    <n v="4.21"/>
    <x v="0"/>
  </r>
  <r>
    <n v="1161961034"/>
    <x v="0"/>
    <x v="2"/>
    <d v="2024-06-17T15:40:25"/>
    <s v="Krid41"/>
    <x v="1306"/>
    <x v="113"/>
    <s v="No"/>
    <s v="Inglés"/>
    <n v="48.47"/>
    <n v="1"/>
    <n v="48.47"/>
    <x v="0"/>
    <m/>
    <x v="0"/>
  </r>
  <r>
    <n v="1161946216"/>
    <x v="0"/>
    <x v="2"/>
    <d v="2024-06-17T13:57:59"/>
    <s v="Levodin"/>
    <x v="1307"/>
    <x v="89"/>
    <s v="Si"/>
    <s v="Inglés"/>
    <n v="0.65500000000000003"/>
    <n v="4"/>
    <n v="2.62"/>
    <x v="0"/>
    <m/>
    <x v="0"/>
  </r>
  <r>
    <n v="1161902630"/>
    <x v="0"/>
    <x v="2"/>
    <d v="2024-06-17T08:49:22"/>
    <s v="Guiropa"/>
    <x v="1308"/>
    <x v="88"/>
    <s v="No"/>
    <s v="Inglés"/>
    <n v="8.02"/>
    <n v="1"/>
    <n v="8.02"/>
    <x v="0"/>
    <m/>
    <x v="0"/>
  </r>
  <r>
    <n v="1161899774"/>
    <x v="0"/>
    <x v="2"/>
    <d v="2024-06-17T08:49:22"/>
    <s v="Mazvigosl"/>
    <x v="1309"/>
    <x v="263"/>
    <s v="Si"/>
    <s v="Inglés"/>
    <n v="0.25362637362637358"/>
    <n v="4"/>
    <n v="1.0145054945054943"/>
    <x v="0"/>
    <m/>
    <x v="0"/>
  </r>
  <r>
    <n v="1161899774"/>
    <x v="0"/>
    <x v="2"/>
    <d v="2024-06-17T08:49:22"/>
    <s v="Mazvigosl"/>
    <x v="1295"/>
    <x v="22"/>
    <s v="Si"/>
    <s v="Inglés"/>
    <n v="0.44384615384615378"/>
    <n v="4"/>
    <n v="1.7753846153846151"/>
    <x v="0"/>
    <m/>
    <x v="0"/>
  </r>
  <r>
    <n v="1161899774"/>
    <x v="0"/>
    <x v="2"/>
    <d v="2024-06-17T08:49:22"/>
    <s v="Mazvigosl"/>
    <x v="474"/>
    <x v="210"/>
    <s v="No"/>
    <s v="Inglés"/>
    <n v="2.9801098901098899"/>
    <n v="1"/>
    <n v="2.9801098901098899"/>
    <x v="0"/>
    <m/>
    <x v="0"/>
  </r>
  <r>
    <n v="1161780833"/>
    <x v="0"/>
    <x v="2"/>
    <d v="2024-06-16T13:38:36"/>
    <s v="willybizarre"/>
    <x v="991"/>
    <x v="37"/>
    <s v="No"/>
    <s v="Japonés"/>
    <n v="7.6000000000000014"/>
    <n v="2"/>
    <n v="15.200000000000003"/>
    <x v="0"/>
    <m/>
    <x v="0"/>
  </r>
  <r>
    <n v="1161770456"/>
    <x v="0"/>
    <x v="2"/>
    <d v="2024-06-16T12:20:39"/>
    <s v="NeverlandMTG"/>
    <x v="1097"/>
    <x v="7"/>
    <s v="Si"/>
    <s v="Inglés"/>
    <n v="19.817499999999999"/>
    <n v="4"/>
    <n v="79.27"/>
    <x v="0"/>
    <m/>
    <x v="0"/>
  </r>
  <r>
    <n v="1161654652"/>
    <x v="0"/>
    <x v="2"/>
    <d v="2024-06-15T15:03:12"/>
    <s v="Shark-Games"/>
    <x v="1310"/>
    <x v="7"/>
    <s v="Si"/>
    <s v="Inglés"/>
    <n v="5.7549999999999999"/>
    <n v="4"/>
    <n v="23.02"/>
    <x v="0"/>
    <m/>
    <x v="0"/>
  </r>
  <r>
    <n v="1161652151"/>
    <x v="0"/>
    <x v="2"/>
    <d v="2024-06-15T14:44:32"/>
    <s v="Shark-Games"/>
    <x v="1311"/>
    <x v="209"/>
    <s v="Si"/>
    <s v="Inglés"/>
    <n v="6.2949999999999999"/>
    <n v="4"/>
    <n v="25.18"/>
    <x v="0"/>
    <m/>
    <x v="0"/>
  </r>
  <r>
    <n v="1161599605"/>
    <x v="0"/>
    <x v="2"/>
    <d v="2024-06-15T07:51:28"/>
    <s v="Distritozero-Bilbao"/>
    <x v="1312"/>
    <x v="22"/>
    <s v="Si"/>
    <s v="Inglés"/>
    <n v="0.8"/>
    <n v="4"/>
    <n v="3.2"/>
    <x v="0"/>
    <m/>
    <x v="0"/>
  </r>
  <r>
    <n v="1161597251"/>
    <x v="0"/>
    <x v="2"/>
    <d v="2024-06-15T07:49:43"/>
    <s v="Sorcith"/>
    <x v="1248"/>
    <x v="7"/>
    <s v="Si"/>
    <s v="Inglés"/>
    <n v="2.2349999999999999"/>
    <n v="4"/>
    <n v="8.94"/>
    <x v="0"/>
    <m/>
    <x v="0"/>
  </r>
  <r>
    <n v="1161596697"/>
    <x v="0"/>
    <x v="2"/>
    <d v="2024-06-15T07:49:43"/>
    <s v="Lallanuratcg"/>
    <x v="236"/>
    <x v="66"/>
    <s v="No"/>
    <s v="Español"/>
    <n v="0.33964285714285708"/>
    <n v="2"/>
    <n v="0.67928571428571416"/>
    <x v="0"/>
    <m/>
    <x v="0"/>
  </r>
  <r>
    <n v="1161596697"/>
    <x v="0"/>
    <x v="2"/>
    <d v="2024-06-15T07:49:43"/>
    <s v="Lallanuratcg"/>
    <x v="236"/>
    <x v="66"/>
    <s v="No"/>
    <s v="Inglés"/>
    <n v="0.33964285714285708"/>
    <n v="1"/>
    <n v="0.33964285714285708"/>
    <x v="0"/>
    <m/>
    <x v="0"/>
  </r>
  <r>
    <n v="1161596697"/>
    <x v="0"/>
    <x v="2"/>
    <d v="2024-06-15T07:49:43"/>
    <s v="Lallanuratcg"/>
    <x v="1313"/>
    <x v="22"/>
    <s v="Si"/>
    <s v="Inglés"/>
    <n v="0.75476190476190474"/>
    <n v="4"/>
    <n v="3.019047619047619"/>
    <x v="0"/>
    <m/>
    <x v="0"/>
  </r>
  <r>
    <n v="1161596697"/>
    <x v="0"/>
    <x v="2"/>
    <d v="2024-06-15T07:49:43"/>
    <s v="Lallanuratcg"/>
    <x v="1314"/>
    <x v="22"/>
    <s v="Si"/>
    <s v="Inglés"/>
    <n v="0.45285714285714279"/>
    <n v="4"/>
    <n v="1.8114285714285712"/>
    <x v="0"/>
    <m/>
    <x v="0"/>
  </r>
  <r>
    <n v="1161596697"/>
    <x v="0"/>
    <x v="2"/>
    <d v="2024-06-15T07:49:43"/>
    <s v="Lallanuratcg"/>
    <x v="1295"/>
    <x v="22"/>
    <s v="Si"/>
    <s v="Inglés"/>
    <n v="0.36480158730158729"/>
    <n v="4"/>
    <n v="1.4592063492063492"/>
    <x v="0"/>
    <m/>
    <x v="0"/>
  </r>
  <r>
    <n v="1161596697"/>
    <x v="0"/>
    <x v="2"/>
    <d v="2024-06-15T07:49:43"/>
    <s v="Lallanuratcg"/>
    <x v="1315"/>
    <x v="22"/>
    <s v="Si"/>
    <s v="Inglés"/>
    <n v="0.18869047619047619"/>
    <n v="4"/>
    <n v="0.75476190476190474"/>
    <x v="0"/>
    <m/>
    <x v="0"/>
  </r>
  <r>
    <n v="1161596697"/>
    <x v="0"/>
    <x v="2"/>
    <d v="2024-06-15T07:49:43"/>
    <s v="Lallanuratcg"/>
    <x v="1316"/>
    <x v="22"/>
    <s v="No"/>
    <s v="Inglés"/>
    <n v="0.20126984126984129"/>
    <n v="2"/>
    <n v="0.40253968253968259"/>
    <x v="0"/>
    <m/>
    <x v="0"/>
  </r>
  <r>
    <n v="1161596697"/>
    <x v="0"/>
    <x v="2"/>
    <d v="2024-06-15T07:49:43"/>
    <s v="Lallanuratcg"/>
    <x v="1317"/>
    <x v="68"/>
    <s v="No"/>
    <s v="Inglés"/>
    <n v="0.35222222222222233"/>
    <n v="2"/>
    <n v="0.70444444444444465"/>
    <x v="0"/>
    <m/>
    <x v="0"/>
  </r>
  <r>
    <n v="1161596697"/>
    <x v="0"/>
    <x v="2"/>
    <d v="2024-06-15T07:49:43"/>
    <s v="Lallanuratcg"/>
    <x v="236"/>
    <x v="66"/>
    <s v="No"/>
    <s v="Español"/>
    <n v="0.33964285714285708"/>
    <n v="1"/>
    <n v="0.33964285714285708"/>
    <x v="0"/>
    <m/>
    <x v="0"/>
  </r>
  <r>
    <n v="1161471470"/>
    <x v="0"/>
    <x v="2"/>
    <d v="2024-06-14T15:11:14"/>
    <s v="Cachopito"/>
    <x v="1318"/>
    <x v="229"/>
    <s v="No"/>
    <s v="Español"/>
    <n v="0.59254563894523327"/>
    <n v="2"/>
    <n v="1.1850912778904665"/>
    <x v="1"/>
    <n v="1.185091277890467"/>
    <x v="0"/>
  </r>
  <r>
    <n v="1161346361"/>
    <x v="0"/>
    <x v="2"/>
    <d v="2024-06-13T13:21:38"/>
    <s v="jasladril"/>
    <x v="1250"/>
    <x v="22"/>
    <s v="No"/>
    <s v="Inglés"/>
    <n v="20.734999999999999"/>
    <n v="2"/>
    <n v="41.47"/>
    <x v="0"/>
    <m/>
    <x v="0"/>
  </r>
  <r>
    <n v="1161289000"/>
    <x v="0"/>
    <x v="2"/>
    <d v="2024-06-12T23:14:21"/>
    <s v="Animehousegr"/>
    <x v="1250"/>
    <x v="22"/>
    <s v="No"/>
    <s v="Inglés"/>
    <n v="18.649999999999999"/>
    <n v="2"/>
    <n v="37.299999999999997"/>
    <x v="0"/>
    <m/>
    <x v="0"/>
  </r>
  <r>
    <n v="1161274299"/>
    <x v="0"/>
    <x v="2"/>
    <d v="2024-06-12T21:16:36"/>
    <s v="CityOfCards"/>
    <x v="1319"/>
    <x v="159"/>
    <s v="No"/>
    <s v="Español"/>
    <n v="0.97"/>
    <n v="2"/>
    <n v="1.94"/>
    <x v="0"/>
    <m/>
    <x v="0"/>
  </r>
  <r>
    <n v="1161245596"/>
    <x v="0"/>
    <x v="2"/>
    <d v="2024-06-12T20:57:45"/>
    <s v="Itaca"/>
    <x v="1320"/>
    <x v="22"/>
    <s v="Si"/>
    <s v="Inglés"/>
    <n v="1.9635"/>
    <n v="4"/>
    <n v="7.8540000000000001"/>
    <x v="0"/>
    <m/>
    <x v="0"/>
  </r>
  <r>
    <n v="1161245596"/>
    <x v="0"/>
    <x v="2"/>
    <d v="2024-06-12T20:57:45"/>
    <s v="Itaca"/>
    <x v="1321"/>
    <x v="22"/>
    <s v="Si"/>
    <s v="Inglés"/>
    <n v="0.50490000000000002"/>
    <n v="4"/>
    <n v="2.0196000000000001"/>
    <x v="0"/>
    <m/>
    <x v="0"/>
  </r>
  <r>
    <n v="1161245596"/>
    <x v="0"/>
    <x v="2"/>
    <d v="2024-06-12T20:57:45"/>
    <s v="Itaca"/>
    <x v="1322"/>
    <x v="22"/>
    <s v="No"/>
    <s v="Inglés"/>
    <n v="0.67320000000000002"/>
    <n v="2"/>
    <n v="1.3464"/>
    <x v="0"/>
    <m/>
    <x v="0"/>
  </r>
  <r>
    <n v="1161228140"/>
    <x v="0"/>
    <x v="2"/>
    <d v="2024-06-12T16:38:57"/>
    <s v="willybizarre"/>
    <x v="1323"/>
    <x v="39"/>
    <s v="Si"/>
    <s v="Inglés"/>
    <n v="0.16583044982698961"/>
    <n v="4"/>
    <n v="0.66332179930795843"/>
    <x v="0"/>
    <m/>
    <x v="0"/>
  </r>
  <r>
    <n v="1161228140"/>
    <x v="0"/>
    <x v="2"/>
    <d v="2024-06-12T16:38:57"/>
    <s v="willybizarre"/>
    <x v="1324"/>
    <x v="112"/>
    <s v="Si"/>
    <s v="Inglés"/>
    <n v="2.2000173010380619"/>
    <n v="4"/>
    <n v="8.8000692041522477"/>
    <x v="0"/>
    <m/>
    <x v="0"/>
  </r>
  <r>
    <n v="1161228140"/>
    <x v="0"/>
    <x v="2"/>
    <d v="2024-06-12T16:38:57"/>
    <s v="willybizarre"/>
    <x v="1325"/>
    <x v="255"/>
    <s v="Si"/>
    <s v="Español"/>
    <n v="0.82915224913494812"/>
    <n v="4"/>
    <n v="3.3166089965397925"/>
    <x v="0"/>
    <m/>
    <x v="0"/>
  </r>
  <r>
    <n v="1161221042"/>
    <x v="0"/>
    <x v="2"/>
    <d v="2024-06-12T15:39:07"/>
    <s v="willybizarre"/>
    <x v="954"/>
    <x v="45"/>
    <s v="No"/>
    <s v="Chino-T"/>
    <n v="12.21"/>
    <n v="1"/>
    <n v="12.21"/>
    <x v="0"/>
    <m/>
    <x v="0"/>
  </r>
  <r>
    <n v="1161161813"/>
    <x v="0"/>
    <x v="2"/>
    <d v="2024-06-12T09:01:45"/>
    <s v="Distritozero-Bilbao"/>
    <x v="1262"/>
    <x v="22"/>
    <s v="Si"/>
    <s v="Inglés"/>
    <n v="41.9"/>
    <n v="4"/>
    <n v="167.6"/>
    <x v="0"/>
    <m/>
    <x v="0"/>
  </r>
  <r>
    <n v="1161161813"/>
    <x v="0"/>
    <x v="2"/>
    <d v="2024-06-12T09:01:45"/>
    <s v="Distritozero-Bilbao"/>
    <x v="1105"/>
    <x v="22"/>
    <s v="Si"/>
    <s v="Inglés"/>
    <n v="5"/>
    <n v="4"/>
    <n v="20"/>
    <x v="0"/>
    <m/>
    <x v="0"/>
  </r>
  <r>
    <n v="1161156796"/>
    <x v="0"/>
    <x v="2"/>
    <d v="2024-06-12T08:08:04"/>
    <s v="Shark-Games"/>
    <x v="1326"/>
    <x v="7"/>
    <s v="Si"/>
    <s v="Inglés"/>
    <n v="4.4049999999999994"/>
    <n v="4"/>
    <n v="17.619999999999997"/>
    <x v="0"/>
    <m/>
    <x v="0"/>
  </r>
  <r>
    <n v="1161091922"/>
    <x v="0"/>
    <x v="2"/>
    <d v="2024-06-11T19:17:29"/>
    <s v="villa"/>
    <x v="1327"/>
    <x v="39"/>
    <s v="No"/>
    <s v="Inglés"/>
    <n v="17.22"/>
    <n v="1"/>
    <n v="17.22"/>
    <x v="0"/>
    <m/>
    <x v="0"/>
  </r>
  <r>
    <n v="1160991440"/>
    <x v="0"/>
    <x v="2"/>
    <d v="2024-06-11T08:02:28"/>
    <s v="Mazvigosl"/>
    <x v="519"/>
    <x v="22"/>
    <s v="Si"/>
    <s v="Inglés"/>
    <n v="0.1518325092707046"/>
    <n v="4"/>
    <n v="0.60733003708281841"/>
    <x v="0"/>
    <m/>
    <x v="0"/>
  </r>
  <r>
    <n v="1160991440"/>
    <x v="0"/>
    <x v="2"/>
    <d v="2024-06-11T08:02:28"/>
    <s v="Mazvigosl"/>
    <x v="1328"/>
    <x v="68"/>
    <s v="Si"/>
    <s v="Inglés"/>
    <n v="0.26028430160692212"/>
    <n v="4"/>
    <n v="1.0411372064276885"/>
    <x v="0"/>
    <m/>
    <x v="0"/>
  </r>
  <r>
    <n v="1160991440"/>
    <x v="0"/>
    <x v="2"/>
    <d v="2024-06-11T08:02:28"/>
    <s v="Mazvigosl"/>
    <x v="394"/>
    <x v="22"/>
    <s v="Si"/>
    <s v="Inglés"/>
    <n v="17.135383189122379"/>
    <n v="4"/>
    <n v="68.541532756489516"/>
    <x v="0"/>
    <m/>
    <x v="0"/>
  </r>
  <r>
    <n v="1160989782"/>
    <x v="0"/>
    <x v="2"/>
    <d v="2024-06-11T07:41:37"/>
    <s v="Distritozero-Bilbao"/>
    <x v="1329"/>
    <x v="7"/>
    <s v="No"/>
    <s v="Inglés"/>
    <n v="4.25"/>
    <n v="2"/>
    <n v="8.5"/>
    <x v="0"/>
    <m/>
    <x v="0"/>
  </r>
  <r>
    <n v="1160988571"/>
    <x v="0"/>
    <x v="2"/>
    <d v="2024-06-11T07:29:35"/>
    <s v="ManaVortex-POOL4YOU"/>
    <x v="1330"/>
    <x v="7"/>
    <s v="Si"/>
    <s v="Inglés"/>
    <n v="3.7850000000000001"/>
    <n v="4"/>
    <n v="15.14"/>
    <x v="0"/>
    <m/>
    <x v="0"/>
  </r>
  <r>
    <n v="1160988456"/>
    <x v="0"/>
    <x v="2"/>
    <d v="2024-06-11T07:29:35"/>
    <s v="CityOfCards"/>
    <x v="1250"/>
    <x v="22"/>
    <s v="No"/>
    <s v="Inglés"/>
    <n v="12.61"/>
    <n v="2"/>
    <n v="25.22"/>
    <x v="0"/>
    <m/>
    <x v="0"/>
  </r>
  <r>
    <n v="1160987946"/>
    <x v="0"/>
    <x v="2"/>
    <d v="2024-06-11T07:27:07"/>
    <s v="Shark-Games"/>
    <x v="1331"/>
    <x v="22"/>
    <s v="Si"/>
    <s v="Inglés"/>
    <n v="0.47546382189239328"/>
    <n v="4"/>
    <n v="1.9018552875695731"/>
    <x v="0"/>
    <m/>
    <x v="0"/>
  </r>
  <r>
    <n v="1160987946"/>
    <x v="0"/>
    <x v="2"/>
    <d v="2024-06-11T07:27:07"/>
    <s v="Shark-Games"/>
    <x v="947"/>
    <x v="22"/>
    <s v="Si"/>
    <s v="Inglés"/>
    <n v="5.2195361781076066"/>
    <n v="4"/>
    <n v="20.878144712430426"/>
    <x v="0"/>
    <m/>
    <x v="0"/>
  </r>
  <r>
    <n v="1160979596"/>
    <x v="0"/>
    <x v="2"/>
    <d v="2024-06-11T05:29:46"/>
    <s v="ManaVortex-POOL4YOU"/>
    <x v="1332"/>
    <x v="60"/>
    <s v="Si"/>
    <s v="Inglés"/>
    <n v="14.1425"/>
    <n v="4"/>
    <n v="56.57"/>
    <x v="0"/>
    <m/>
    <x v="0"/>
  </r>
  <r>
    <n v="1160321444"/>
    <x v="0"/>
    <x v="2"/>
    <d v="2024-06-10T11:01:37"/>
    <s v="djtembe"/>
    <x v="1258"/>
    <x v="46"/>
    <s v="No"/>
    <s v="Inglés"/>
    <n v="12.17"/>
    <n v="1"/>
    <n v="12.17"/>
    <x v="1"/>
    <n v="12.17"/>
    <x v="0"/>
  </r>
  <r>
    <n v="1160823851"/>
    <x v="0"/>
    <x v="2"/>
    <d v="2024-06-10T08:06:11"/>
    <s v="Itaca"/>
    <x v="1333"/>
    <x v="22"/>
    <s v="Si"/>
    <s v="Inglés"/>
    <n v="4.8687737642585551"/>
    <n v="4"/>
    <n v="19.475095057034221"/>
    <x v="0"/>
    <m/>
    <x v="0"/>
  </r>
  <r>
    <n v="1160823851"/>
    <x v="0"/>
    <x v="2"/>
    <d v="2024-06-10T08:06:11"/>
    <s v="Itaca"/>
    <x v="1334"/>
    <x v="22"/>
    <s v="Si"/>
    <s v="Inglés"/>
    <n v="6.5099334600760459"/>
    <n v="4"/>
    <n v="26.039733840304184"/>
    <x v="0"/>
    <m/>
    <x v="0"/>
  </r>
  <r>
    <n v="1160823851"/>
    <x v="0"/>
    <x v="2"/>
    <d v="2024-06-10T08:06:11"/>
    <s v="Itaca"/>
    <x v="1335"/>
    <x v="22"/>
    <s v="No"/>
    <s v="Inglés"/>
    <n v="0.65646387832699615"/>
    <n v="2"/>
    <n v="1.3129277566539923"/>
    <x v="0"/>
    <m/>
    <x v="0"/>
  </r>
  <r>
    <n v="1160823851"/>
    <x v="0"/>
    <x v="2"/>
    <d v="2024-06-10T08:06:11"/>
    <s v="Itaca"/>
    <x v="1336"/>
    <x v="22"/>
    <s v="No"/>
    <s v="Inglés"/>
    <n v="1.3676330798479091"/>
    <n v="2"/>
    <n v="2.7352661596958181"/>
    <x v="0"/>
    <m/>
    <x v="0"/>
  </r>
  <r>
    <n v="1160823851"/>
    <x v="0"/>
    <x v="2"/>
    <d v="2024-06-10T08:06:11"/>
    <s v="Itaca"/>
    <x v="1016"/>
    <x v="22"/>
    <s v="No"/>
    <s v="Inglés"/>
    <n v="2.6805608365019009"/>
    <n v="2"/>
    <n v="5.3611216730038018"/>
    <x v="0"/>
    <m/>
    <x v="0"/>
  </r>
  <r>
    <n v="1160823851"/>
    <x v="0"/>
    <x v="2"/>
    <d v="2024-06-10T08:06:11"/>
    <s v="Itaca"/>
    <x v="1337"/>
    <x v="22"/>
    <s v="Si"/>
    <s v="Inglés"/>
    <n v="0.27352661596958172"/>
    <n v="4"/>
    <n v="1.0941064638783269"/>
    <x v="0"/>
    <m/>
    <x v="0"/>
  </r>
  <r>
    <n v="1160823851"/>
    <x v="0"/>
    <x v="2"/>
    <d v="2024-06-10T08:06:11"/>
    <s v="Itaca"/>
    <x v="1338"/>
    <x v="22"/>
    <s v="Si"/>
    <s v="Inglés"/>
    <n v="0.38293726235741438"/>
    <n v="4"/>
    <n v="1.5317490494296575"/>
    <x v="0"/>
    <m/>
    <x v="0"/>
  </r>
  <r>
    <n v="1160773693"/>
    <x v="0"/>
    <x v="2"/>
    <d v="2024-06-09T20:07:24"/>
    <s v="MfosasG"/>
    <x v="1200"/>
    <x v="264"/>
    <s v="No"/>
    <s v="Inglés"/>
    <n v="1.962093023255814"/>
    <n v="3"/>
    <n v="5.8862790697674416"/>
    <x v="1"/>
    <n v="5.8862790697674416"/>
    <x v="0"/>
  </r>
  <r>
    <n v="1160762405"/>
    <x v="0"/>
    <x v="2"/>
    <d v="2024-06-09T19:02:05"/>
    <s v="TiendaMulligan"/>
    <x v="1339"/>
    <x v="22"/>
    <s v="No"/>
    <s v="Inglés"/>
    <n v="7.1000000000000014"/>
    <n v="2"/>
    <n v="14.200000000000003"/>
    <x v="0"/>
    <m/>
    <x v="0"/>
  </r>
  <r>
    <n v="1160761957"/>
    <x v="0"/>
    <x v="2"/>
    <d v="2024-06-09T19:02:05"/>
    <s v="StrangerMurcia"/>
    <x v="193"/>
    <x v="22"/>
    <s v="Si"/>
    <s v="Inglés"/>
    <n v="5.8049999999999997"/>
    <n v="4"/>
    <n v="23.22"/>
    <x v="0"/>
    <m/>
    <x v="0"/>
  </r>
  <r>
    <n v="1160747266"/>
    <x v="0"/>
    <x v="2"/>
    <d v="2024-06-09T17:31:35"/>
    <s v="tejecar16"/>
    <x v="1340"/>
    <x v="22"/>
    <s v="No"/>
    <s v="Inglés"/>
    <n v="8.17"/>
    <n v="1"/>
    <n v="8.17"/>
    <x v="0"/>
    <m/>
    <x v="0"/>
  </r>
  <r>
    <n v="1160744986"/>
    <x v="0"/>
    <x v="2"/>
    <d v="2024-06-09T17:31:35"/>
    <s v="Itaca"/>
    <x v="1340"/>
    <x v="22"/>
    <s v="No"/>
    <s v="Inglés"/>
    <n v="8.8948379351740705"/>
    <n v="3"/>
    <n v="26.684513805522212"/>
    <x v="0"/>
    <m/>
    <x v="0"/>
  </r>
  <r>
    <n v="1160744986"/>
    <x v="0"/>
    <x v="2"/>
    <d v="2024-06-09T17:31:35"/>
    <s v="Itaca"/>
    <x v="1341"/>
    <x v="22"/>
    <s v="Si"/>
    <s v="Inglés"/>
    <n v="4.9788715486194484"/>
    <n v="4"/>
    <n v="19.915486194477793"/>
    <x v="0"/>
    <m/>
    <x v="0"/>
  </r>
  <r>
    <n v="1160737769"/>
    <x v="0"/>
    <x v="2"/>
    <d v="2024-06-09T17:31:35"/>
    <s v="Devian-Magic-Cards"/>
    <x v="440"/>
    <x v="37"/>
    <s v="Si"/>
    <s v="Inglés"/>
    <n v="1.645"/>
    <n v="4"/>
    <n v="6.58"/>
    <x v="0"/>
    <m/>
    <x v="0"/>
  </r>
  <r>
    <n v="1160670118"/>
    <x v="0"/>
    <x v="2"/>
    <d v="2024-06-09T08:13:07"/>
    <s v="Vegas09"/>
    <x v="1342"/>
    <x v="167"/>
    <s v="No"/>
    <s v="Español"/>
    <n v="7.17"/>
    <n v="1"/>
    <n v="7.17"/>
    <x v="1"/>
    <n v="7.17"/>
    <x v="0"/>
  </r>
  <r>
    <n v="1160540590"/>
    <x v="0"/>
    <x v="2"/>
    <d v="2024-06-08T10:12:56"/>
    <s v="Goat-enterprise"/>
    <x v="1343"/>
    <x v="22"/>
    <s v="Si"/>
    <s v="Inglés"/>
    <n v="25.180176719170191"/>
    <n v="4"/>
    <n v="100.72070687668077"/>
    <x v="0"/>
    <m/>
    <x v="0"/>
  </r>
  <r>
    <n v="1160540590"/>
    <x v="0"/>
    <x v="2"/>
    <d v="2024-06-08T10:12:56"/>
    <s v="Goat-enterprise"/>
    <x v="1344"/>
    <x v="22"/>
    <s v="Si"/>
    <s v="Inglés"/>
    <n v="2.6229350749135611"/>
    <n v="4"/>
    <n v="10.491740299654245"/>
    <x v="0"/>
    <m/>
    <x v="0"/>
  </r>
  <r>
    <n v="1160540590"/>
    <x v="0"/>
    <x v="2"/>
    <d v="2024-06-08T10:12:56"/>
    <s v="Goat-enterprise"/>
    <x v="1294"/>
    <x v="22"/>
    <s v="Si"/>
    <s v="Inglés"/>
    <n v="0.78688052247406837"/>
    <n v="4"/>
    <n v="3.1475220898962735"/>
    <x v="0"/>
    <m/>
    <x v="0"/>
  </r>
  <r>
    <n v="1160540590"/>
    <x v="0"/>
    <x v="2"/>
    <d v="2024-06-08T10:12:56"/>
    <s v="Goat-enterprise"/>
    <x v="1295"/>
    <x v="22"/>
    <s v="Si"/>
    <s v="Inglés"/>
    <n v="0.36721091048789861"/>
    <n v="4"/>
    <n v="1.4688436419515944"/>
    <x v="0"/>
    <m/>
    <x v="0"/>
  </r>
  <r>
    <n v="1160540590"/>
    <x v="0"/>
    <x v="2"/>
    <d v="2024-06-08T10:12:56"/>
    <s v="Goat-enterprise"/>
    <x v="1339"/>
    <x v="22"/>
    <s v="No"/>
    <s v="Inglés"/>
    <n v="8.3933922397233953"/>
    <n v="2"/>
    <n v="16.786784479446791"/>
    <x v="0"/>
    <m/>
    <x v="0"/>
  </r>
  <r>
    <n v="1160540590"/>
    <x v="0"/>
    <x v="2"/>
    <d v="2024-06-08T10:12:56"/>
    <s v="Goat-enterprise"/>
    <x v="544"/>
    <x v="22"/>
    <s v="No"/>
    <s v="Inglés"/>
    <n v="3.9344026123703419"/>
    <n v="1"/>
    <n v="3.9344026123703419"/>
    <x v="0"/>
    <m/>
    <x v="0"/>
  </r>
  <r>
    <n v="1160526134"/>
    <x v="0"/>
    <x v="2"/>
    <d v="2024-06-08T06:56:40"/>
    <s v="Kruchenco"/>
    <x v="1077"/>
    <x v="60"/>
    <s v="No"/>
    <s v="Inglés"/>
    <n v="30.97"/>
    <n v="1"/>
    <n v="30.97"/>
    <x v="0"/>
    <m/>
    <x v="0"/>
  </r>
  <r>
    <n v="1160514968"/>
    <x v="0"/>
    <x v="2"/>
    <d v="2024-06-08T00:34:10"/>
    <s v="ManaVortex-POOL4YOU"/>
    <x v="1345"/>
    <x v="7"/>
    <s v="Si"/>
    <s v="Inglés"/>
    <n v="5.7949999999999999"/>
    <n v="4"/>
    <n v="23.18"/>
    <x v="0"/>
    <m/>
    <x v="0"/>
  </r>
  <r>
    <n v="1160423959"/>
    <x v="0"/>
    <x v="2"/>
    <d v="2024-06-07T11:09:50"/>
    <s v="Chesarina"/>
    <x v="1346"/>
    <x v="89"/>
    <s v="Si"/>
    <s v="Chino-S"/>
    <n v="9.3674999999999997"/>
    <n v="4"/>
    <n v="37.47"/>
    <x v="0"/>
    <m/>
    <x v="0"/>
  </r>
  <r>
    <n v="1160401710"/>
    <x v="0"/>
    <x v="2"/>
    <d v="2024-06-07T07:52:45"/>
    <s v="Distritozero-Bilbao"/>
    <x v="1098"/>
    <x v="22"/>
    <s v="No"/>
    <s v="Inglés"/>
    <n v="25.8"/>
    <n v="8"/>
    <n v="206.4"/>
    <x v="0"/>
    <m/>
    <x v="0"/>
  </r>
  <r>
    <n v="1160375090"/>
    <x v="0"/>
    <x v="2"/>
    <d v="2024-06-06T22:08:40"/>
    <s v="AtheneasHobby"/>
    <x v="1077"/>
    <x v="60"/>
    <s v="No"/>
    <s v="Inglés"/>
    <n v="31.85"/>
    <n v="1"/>
    <n v="31.85"/>
    <x v="0"/>
    <m/>
    <x v="0"/>
  </r>
  <r>
    <n v="1160352791"/>
    <x v="0"/>
    <x v="2"/>
    <d v="2024-06-06T19:20:24"/>
    <s v="Distritozero-Bilbao"/>
    <x v="1077"/>
    <x v="60"/>
    <s v="No"/>
    <s v="Inglés"/>
    <n v="25.9"/>
    <n v="2"/>
    <n v="51.8"/>
    <x v="0"/>
    <m/>
    <x v="0"/>
  </r>
  <r>
    <n v="1160350314"/>
    <x v="0"/>
    <x v="2"/>
    <d v="2024-06-06T19:01:45"/>
    <s v="Pablo10"/>
    <x v="1279"/>
    <x v="17"/>
    <s v="No"/>
    <s v="Español"/>
    <n v="24.22"/>
    <n v="1"/>
    <n v="24.22"/>
    <x v="0"/>
    <m/>
    <x v="0"/>
  </r>
  <r>
    <n v="1160347346"/>
    <x v="0"/>
    <x v="2"/>
    <d v="2024-06-06T18:44:46"/>
    <s v="Distritozero-Bilbao"/>
    <x v="433"/>
    <x v="22"/>
    <s v="No"/>
    <s v="Inglés"/>
    <n v="18.95"/>
    <n v="1"/>
    <n v="18.95"/>
    <x v="0"/>
    <m/>
    <x v="0"/>
  </r>
  <r>
    <n v="1160342829"/>
    <x v="0"/>
    <x v="2"/>
    <d v="2024-06-06T18:01:52"/>
    <s v="Distritozero-Bilbao"/>
    <x v="1347"/>
    <x v="22"/>
    <s v="Si"/>
    <s v="Inglés"/>
    <n v="14.85"/>
    <n v="4"/>
    <n v="59.4"/>
    <x v="0"/>
    <m/>
    <x v="0"/>
  </r>
  <r>
    <n v="1160341417"/>
    <x v="0"/>
    <x v="2"/>
    <d v="2024-06-06T17:56:06"/>
    <s v="Distritozero-Bilbao"/>
    <x v="1348"/>
    <x v="22"/>
    <s v="Si"/>
    <s v="Inglés"/>
    <n v="15.5"/>
    <n v="4"/>
    <n v="62"/>
    <x v="0"/>
    <m/>
    <x v="0"/>
  </r>
  <r>
    <n v="1160341417"/>
    <x v="0"/>
    <x v="2"/>
    <d v="2024-06-06T17:56:06"/>
    <s v="Distritozero-Bilbao"/>
    <x v="1349"/>
    <x v="22"/>
    <s v="No"/>
    <s v="Inglés"/>
    <n v="15"/>
    <n v="2"/>
    <n v="30"/>
    <x v="0"/>
    <m/>
    <x v="0"/>
  </r>
  <r>
    <n v="1160216115"/>
    <x v="0"/>
    <x v="2"/>
    <d v="2024-06-05T19:32:27"/>
    <s v="Psiakowy"/>
    <x v="1348"/>
    <x v="22"/>
    <s v="Si"/>
    <s v="Inglés"/>
    <n v="16.864177978883859"/>
    <n v="4"/>
    <n v="67.456711915535436"/>
    <x v="0"/>
    <m/>
    <x v="0"/>
  </r>
  <r>
    <n v="1160216115"/>
    <x v="0"/>
    <x v="2"/>
    <d v="2024-06-05T19:32:27"/>
    <s v="Psiakowy"/>
    <x v="1350"/>
    <x v="22"/>
    <s v="Si"/>
    <s v="Inglés"/>
    <n v="0.58152337858220216"/>
    <n v="4"/>
    <n v="2.3260935143288086"/>
    <x v="0"/>
    <m/>
    <x v="0"/>
  </r>
  <r>
    <n v="1160216115"/>
    <x v="0"/>
    <x v="2"/>
    <d v="2024-06-05T19:32:27"/>
    <s v="Psiakowy"/>
    <x v="1326"/>
    <x v="22"/>
    <s v="No"/>
    <s v="Inglés"/>
    <n v="3.4362745098039218"/>
    <n v="2"/>
    <n v="6.8725490196078436"/>
    <x v="0"/>
    <m/>
    <x v="0"/>
  </r>
  <r>
    <n v="1160216115"/>
    <x v="0"/>
    <x v="2"/>
    <d v="2024-06-05T19:32:27"/>
    <s v="Psiakowy"/>
    <x v="1351"/>
    <x v="22"/>
    <s v="No"/>
    <s v="Inglés"/>
    <n v="1.5753996983408749"/>
    <n v="2"/>
    <n v="3.1507993966817498"/>
    <x v="0"/>
    <m/>
    <x v="0"/>
  </r>
  <r>
    <n v="1160216115"/>
    <x v="0"/>
    <x v="2"/>
    <d v="2024-06-05T19:32:27"/>
    <s v="Psiakowy"/>
    <x v="1352"/>
    <x v="22"/>
    <s v="Si"/>
    <s v="Inglés"/>
    <n v="2.5904223227752641"/>
    <n v="4"/>
    <n v="10.361689291101056"/>
    <x v="0"/>
    <m/>
    <x v="0"/>
  </r>
  <r>
    <n v="1160216115"/>
    <x v="0"/>
    <x v="2"/>
    <d v="2024-06-05T19:32:27"/>
    <s v="Psiakowy"/>
    <x v="1353"/>
    <x v="22"/>
    <s v="Si"/>
    <s v="Inglés"/>
    <n v="0.37006033182503772"/>
    <n v="4"/>
    <n v="1.4802413273001509"/>
    <x v="0"/>
    <m/>
    <x v="0"/>
  </r>
  <r>
    <n v="1160216115"/>
    <x v="0"/>
    <x v="2"/>
    <d v="2024-06-05T19:32:27"/>
    <s v="Psiakowy"/>
    <x v="329"/>
    <x v="22"/>
    <s v="Si"/>
    <s v="Inglés"/>
    <n v="0.95158371040723988"/>
    <n v="4"/>
    <n v="3.8063348416289595"/>
    <x v="0"/>
    <m/>
    <x v="0"/>
  </r>
  <r>
    <n v="1160216115"/>
    <x v="0"/>
    <x v="2"/>
    <d v="2024-06-05T19:32:27"/>
    <s v="Psiakowy"/>
    <x v="951"/>
    <x v="22"/>
    <s v="Si"/>
    <s v="Inglés"/>
    <n v="4.1763951734539972"/>
    <n v="4"/>
    <n v="16.705580693815989"/>
    <x v="0"/>
    <m/>
    <x v="0"/>
  </r>
  <r>
    <n v="1159437793"/>
    <x v="0"/>
    <x v="2"/>
    <d v="2024-06-05T14:29:05"/>
    <s v="moloney"/>
    <x v="1354"/>
    <x v="134"/>
    <s v="No"/>
    <s v="Inglés"/>
    <n v="24.25"/>
    <n v="1"/>
    <n v="24.25"/>
    <x v="1"/>
    <n v="24.25"/>
    <x v="0"/>
  </r>
  <r>
    <n v="1160048543"/>
    <x v="0"/>
    <x v="2"/>
    <d v="2024-06-04T13:56:07"/>
    <s v="MISHRAFACTORY"/>
    <x v="1355"/>
    <x v="120"/>
    <s v="Si"/>
    <s v="Japonés"/>
    <n v="3.1549999999999998"/>
    <n v="4"/>
    <n v="12.62"/>
    <x v="0"/>
    <m/>
    <x v="0"/>
  </r>
  <r>
    <n v="1158670738"/>
    <x v="0"/>
    <x v="2"/>
    <d v="2024-06-04T12:46:15"/>
    <s v="Shifteris"/>
    <x v="1356"/>
    <x v="49"/>
    <s v="No"/>
    <s v="Inglés"/>
    <n v="6.5250000000000012"/>
    <n v="3"/>
    <n v="19.575000000000003"/>
    <x v="1"/>
    <n v="19.575000000000003"/>
    <x v="0"/>
  </r>
  <r>
    <n v="1158670738"/>
    <x v="0"/>
    <x v="2"/>
    <d v="2024-06-04T12:46:15"/>
    <s v="Shifteris"/>
    <x v="1356"/>
    <x v="15"/>
    <s v="No"/>
    <s v="Inglés"/>
    <n v="6.5250000000000004"/>
    <n v="1"/>
    <n v="6.5250000000000004"/>
    <x v="1"/>
    <n v="6.5250000000000004"/>
    <x v="0"/>
  </r>
  <r>
    <n v="1160029000"/>
    <x v="0"/>
    <x v="2"/>
    <d v="2024-06-04T11:18:50"/>
    <s v="CarlosMMD85"/>
    <x v="1357"/>
    <x v="105"/>
    <s v="Si"/>
    <s v="Japonés"/>
    <n v="2.1971794871794872"/>
    <n v="4"/>
    <n v="8.7887179487179488"/>
    <x v="0"/>
    <m/>
    <x v="0"/>
  </r>
  <r>
    <n v="1160029000"/>
    <x v="0"/>
    <x v="2"/>
    <d v="2024-06-04T11:18:50"/>
    <s v="CarlosMMD85"/>
    <x v="909"/>
    <x v="92"/>
    <s v="No"/>
    <s v="Inglés"/>
    <n v="0.23128205128205129"/>
    <n v="1"/>
    <n v="0.23128205128205129"/>
    <x v="0"/>
    <m/>
    <x v="0"/>
  </r>
  <r>
    <n v="1159274341"/>
    <x v="0"/>
    <x v="2"/>
    <d v="2024-06-03T14:11:28"/>
    <s v="LucasHobbes"/>
    <x v="955"/>
    <x v="159"/>
    <s v="No"/>
    <s v="Inglés"/>
    <n v="3.7199999999999998"/>
    <n v="1"/>
    <n v="3.7199999999999998"/>
    <x v="1"/>
    <n v="3.7199999999999998"/>
    <x v="0"/>
  </r>
  <r>
    <n v="1159507786"/>
    <x v="1"/>
    <x v="2"/>
    <d v="2024-05-31T14:22:43"/>
    <s v="Mazvigosl"/>
    <x v="1358"/>
    <x v="263"/>
    <s v="No"/>
    <s v="Inglés"/>
    <n v="0.2438461538461538"/>
    <n v="2"/>
    <n v="0.48769230769230759"/>
    <x v="0"/>
    <m/>
    <x v="0"/>
  </r>
  <r>
    <n v="1159507786"/>
    <x v="1"/>
    <x v="2"/>
    <d v="2024-05-31T14:22:43"/>
    <s v="Mazvigosl"/>
    <x v="1359"/>
    <x v="68"/>
    <s v="No"/>
    <s v="Inglés"/>
    <n v="2.6823076923076918"/>
    <n v="1"/>
    <n v="2.6823076923076918"/>
    <x v="0"/>
    <m/>
    <x v="0"/>
  </r>
  <r>
    <n v="1159494258"/>
    <x v="1"/>
    <x v="2"/>
    <d v="2024-05-31T12:33:24"/>
    <s v="BornGeek"/>
    <x v="1360"/>
    <x v="265"/>
    <s v="No"/>
    <s v="Inglés"/>
    <n v="2.5166666666666671"/>
    <n v="1"/>
    <n v="2.5166666666666671"/>
    <x v="0"/>
    <m/>
    <x v="2"/>
  </r>
  <r>
    <n v="1159494258"/>
    <x v="1"/>
    <x v="2"/>
    <d v="2024-05-31T12:33:24"/>
    <s v="BornGeek"/>
    <x v="1361"/>
    <x v="265"/>
    <s v="No"/>
    <s v="Inglés"/>
    <n v="0.5033333333333333"/>
    <n v="1"/>
    <n v="0.5033333333333333"/>
    <x v="0"/>
    <m/>
    <x v="2"/>
  </r>
  <r>
    <n v="1159317207"/>
    <x v="1"/>
    <x v="2"/>
    <d v="2024-05-30T07:25:39"/>
    <s v="xchema"/>
    <x v="1362"/>
    <x v="224"/>
    <s v="No"/>
    <s v="Inglés"/>
    <n v="51.813333333333333"/>
    <n v="3"/>
    <n v="155.44"/>
    <x v="0"/>
    <m/>
    <x v="0"/>
  </r>
  <r>
    <n v="1159309865"/>
    <x v="1"/>
    <x v="2"/>
    <d v="2024-05-30T06:43:51"/>
    <s v="abelvillalonga"/>
    <x v="1362"/>
    <x v="224"/>
    <s v="No"/>
    <s v="Inglés"/>
    <n v="57.47"/>
    <n v="1"/>
    <n v="57.47"/>
    <x v="0"/>
    <m/>
    <x v="0"/>
  </r>
  <r>
    <n v="1158084187"/>
    <x v="1"/>
    <x v="2"/>
    <d v="2024-05-29T20:53:57"/>
    <s v="Lilo23"/>
    <x v="1363"/>
    <x v="34"/>
    <s v="No"/>
    <s v="Español"/>
    <n v="1.2067796610169492"/>
    <n v="1"/>
    <n v="1.2067796610169492"/>
    <x v="1"/>
    <n v="1.2067796610169492"/>
    <x v="0"/>
  </r>
  <r>
    <n v="1158084187"/>
    <x v="1"/>
    <x v="2"/>
    <d v="2024-05-29T20:53:57"/>
    <s v="Lilo23"/>
    <x v="1364"/>
    <x v="170"/>
    <s v="No"/>
    <s v="Inglés"/>
    <n v="1.1464406779661016"/>
    <n v="2"/>
    <n v="2.2928813559322032"/>
    <x v="1"/>
    <n v="2.2928813559322032"/>
    <x v="0"/>
  </r>
  <r>
    <n v="1158084187"/>
    <x v="1"/>
    <x v="2"/>
    <d v="2024-05-29T20:53:57"/>
    <s v="Lilo23"/>
    <x v="1365"/>
    <x v="12"/>
    <s v="No"/>
    <s v="Inglés"/>
    <n v="0.60338983050847461"/>
    <n v="2"/>
    <n v="1.2067796610169492"/>
    <x v="1"/>
    <n v="1.2067796610169492"/>
    <x v="0"/>
  </r>
  <r>
    <n v="1157668500"/>
    <x v="1"/>
    <x v="2"/>
    <d v="2024-05-29T14:15:52"/>
    <s v="Rosino13"/>
    <x v="1366"/>
    <x v="46"/>
    <s v="No"/>
    <s v="Español"/>
    <n v="8.7532383419689115"/>
    <n v="1"/>
    <n v="8.7532383419689115"/>
    <x v="1"/>
    <n v="8.7532383419689115"/>
    <x v="0"/>
  </r>
  <r>
    <n v="1157668500"/>
    <x v="1"/>
    <x v="2"/>
    <d v="2024-05-29T14:15:52"/>
    <s v="Rosino13"/>
    <x v="1365"/>
    <x v="248"/>
    <s v="No"/>
    <s v="Inglés"/>
    <n v="1.6515544041450778"/>
    <n v="1"/>
    <n v="1.6515544041450778"/>
    <x v="1"/>
    <n v="1.6515544041450778"/>
    <x v="0"/>
  </r>
  <r>
    <n v="1157668500"/>
    <x v="1"/>
    <x v="2"/>
    <d v="2024-05-29T14:15:52"/>
    <s v="Rosino13"/>
    <x v="1367"/>
    <x v="165"/>
    <s v="No"/>
    <s v="Inglés"/>
    <n v="2.1470207253886011"/>
    <n v="1"/>
    <n v="2.1470207253886011"/>
    <x v="1"/>
    <n v="2.1470207253886011"/>
    <x v="0"/>
  </r>
  <r>
    <n v="1159094593"/>
    <x v="1"/>
    <x v="2"/>
    <d v="2024-05-28T16:04:54"/>
    <s v="Dario-malaga"/>
    <x v="401"/>
    <x v="22"/>
    <s v="No"/>
    <s v="Inglés"/>
    <n v="3.4033333333333342"/>
    <n v="6"/>
    <n v="20.420000000000005"/>
    <x v="0"/>
    <m/>
    <x v="0"/>
  </r>
  <r>
    <n v="1157804109"/>
    <x v="1"/>
    <x v="2"/>
    <d v="2024-05-27T22:03:22"/>
    <s v="MrColos"/>
    <x v="654"/>
    <x v="159"/>
    <s v="No"/>
    <s v="Japonés"/>
    <n v="2.56"/>
    <n v="2"/>
    <n v="5.12"/>
    <x v="1"/>
    <n v="5.12"/>
    <x v="0"/>
  </r>
  <r>
    <n v="1157350742"/>
    <x v="1"/>
    <x v="2"/>
    <d v="2024-05-21T13:29:30"/>
    <s v="FigureSevilla"/>
    <x v="1368"/>
    <x v="195"/>
    <s v="No"/>
    <s v="Inglés"/>
    <n v="10.559999999999999"/>
    <n v="2"/>
    <n v="21.119999999999997"/>
    <x v="1"/>
    <n v="21.119999999999997"/>
    <x v="0"/>
  </r>
  <r>
    <n v="1157075496"/>
    <x v="1"/>
    <x v="2"/>
    <d v="2024-05-21T09:22:18"/>
    <s v="Naidel84"/>
    <x v="1369"/>
    <x v="72"/>
    <s v="No"/>
    <s v="Español"/>
    <n v="4.3233191489361706"/>
    <n v="1"/>
    <n v="4.3233191489361706"/>
    <x v="1"/>
    <n v="4.3233191489361706"/>
    <x v="0"/>
  </r>
  <r>
    <n v="1157075496"/>
    <x v="1"/>
    <x v="2"/>
    <d v="2024-05-21T09:22:18"/>
    <s v="Naidel84"/>
    <x v="1369"/>
    <x v="72"/>
    <s v="No"/>
    <s v="Chino-S"/>
    <n v="4.3233191489361706"/>
    <n v="1"/>
    <n v="4.3233191489361706"/>
    <x v="1"/>
    <n v="4.3233191489361706"/>
    <x v="0"/>
  </r>
  <r>
    <n v="1158084187"/>
    <x v="1"/>
    <x v="2"/>
    <d v="2024-05-20T22:49:22"/>
    <s v="Lilo23"/>
    <x v="1370"/>
    <x v="34"/>
    <s v="No"/>
    <s v="Español"/>
    <n v="0.63707865168539324"/>
    <n v="1"/>
    <n v="0.63707865168539324"/>
    <x v="1"/>
    <n v="0.63707865168539324"/>
    <x v="0"/>
  </r>
  <r>
    <n v="1158084187"/>
    <x v="1"/>
    <x v="2"/>
    <d v="2024-05-20T22:49:22"/>
    <s v="Lilo23"/>
    <x v="1371"/>
    <x v="12"/>
    <s v="No"/>
    <s v="Español"/>
    <n v="1.274157303370786"/>
    <n v="1"/>
    <n v="1.274157303370786"/>
    <x v="1"/>
    <n v="1.274157303370786"/>
    <x v="0"/>
  </r>
  <r>
    <n v="1158084187"/>
    <x v="1"/>
    <x v="2"/>
    <d v="2024-05-20T22:49:22"/>
    <s v="Lilo23"/>
    <x v="1372"/>
    <x v="170"/>
    <s v="No"/>
    <s v="Español"/>
    <n v="0.63707865168539324"/>
    <n v="1"/>
    <n v="0.63707865168539324"/>
    <x v="1"/>
    <n v="0.63707865168539324"/>
    <x v="0"/>
  </r>
  <r>
    <n v="1158035070"/>
    <x v="1"/>
    <x v="2"/>
    <d v="2024-05-20T12:50:08"/>
    <s v="TRBstore"/>
    <x v="1373"/>
    <x v="68"/>
    <s v="No"/>
    <s v="Inglés"/>
    <n v="3.61"/>
    <n v="2"/>
    <n v="7.22"/>
    <x v="0"/>
    <m/>
    <x v="0"/>
  </r>
  <r>
    <n v="1157957477"/>
    <x v="1"/>
    <x v="2"/>
    <d v="2024-05-19T19:42:11"/>
    <s v="Freddydokkan"/>
    <x v="521"/>
    <x v="139"/>
    <s v="No"/>
    <s v="Español"/>
    <n v="64.47"/>
    <n v="1"/>
    <n v="64.47"/>
    <x v="0"/>
    <m/>
    <x v="0"/>
  </r>
  <r>
    <n v="1156606050"/>
    <x v="1"/>
    <x v="2"/>
    <d v="2024-05-17T22:07:34"/>
    <s v="Scopefusion"/>
    <x v="1374"/>
    <x v="37"/>
    <s v="No"/>
    <s v="Inglés"/>
    <n v="9.4736930455635484"/>
    <n v="2"/>
    <n v="18.947386091127097"/>
    <x v="1"/>
    <n v="18.947386091127097"/>
    <x v="0"/>
  </r>
  <r>
    <n v="1156606050"/>
    <x v="1"/>
    <x v="2"/>
    <d v="2024-05-17T22:07:34"/>
    <s v="Scopefusion"/>
    <x v="1375"/>
    <x v="180"/>
    <s v="No"/>
    <s v="Inglés"/>
    <n v="3.1226139088729017"/>
    <n v="1"/>
    <n v="3.1226139088729017"/>
    <x v="1"/>
    <n v="3.1226139088729017"/>
    <x v="0"/>
  </r>
  <r>
    <n v="1157730166"/>
    <x v="1"/>
    <x v="2"/>
    <d v="2024-05-17T18:54:45"/>
    <s v="AlexJandro41"/>
    <x v="1376"/>
    <x v="147"/>
    <s v="No"/>
    <s v="Inglés"/>
    <n v="67.734999999999999"/>
    <n v="2"/>
    <n v="135.47"/>
    <x v="0"/>
    <m/>
    <x v="0"/>
  </r>
  <r>
    <n v="1157730107"/>
    <x v="1"/>
    <x v="2"/>
    <d v="2024-05-17T18:54:14"/>
    <s v="AlexJandro41"/>
    <x v="1376"/>
    <x v="147"/>
    <s v="No"/>
    <s v="Inglés"/>
    <n v="67.734999999999999"/>
    <n v="2"/>
    <n v="135.47"/>
    <x v="0"/>
    <m/>
    <x v="0"/>
  </r>
  <r>
    <n v="1157729481"/>
    <x v="1"/>
    <x v="2"/>
    <d v="2024-05-17T18:50:04"/>
    <s v="TheWolverine"/>
    <x v="1301"/>
    <x v="147"/>
    <s v="No"/>
    <s v="Inglés"/>
    <n v="54.734999999999999"/>
    <n v="1"/>
    <n v="54.734999999999999"/>
    <x v="0"/>
    <m/>
    <x v="0"/>
  </r>
  <r>
    <n v="1157729481"/>
    <x v="1"/>
    <x v="2"/>
    <d v="2024-05-17T18:50:04"/>
    <s v="TheWolverine"/>
    <x v="1301"/>
    <x v="147"/>
    <s v="No"/>
    <s v="Inglés"/>
    <n v="54.734999999999999"/>
    <n v="1"/>
    <n v="54.734999999999999"/>
    <x v="0"/>
    <m/>
    <x v="0"/>
  </r>
  <r>
    <n v="1157729479"/>
    <x v="1"/>
    <x v="2"/>
    <d v="2024-05-17T18:50:04"/>
    <s v="Eikki"/>
    <x v="1301"/>
    <x v="147"/>
    <s v="No"/>
    <s v="Inglés"/>
    <n v="48.47"/>
    <n v="1"/>
    <n v="48.47"/>
    <x v="0"/>
    <m/>
    <x v="0"/>
  </r>
  <r>
    <n v="1157729478"/>
    <x v="1"/>
    <x v="2"/>
    <d v="2024-05-17T18:50:04"/>
    <s v="Toniusku"/>
    <x v="1301"/>
    <x v="147"/>
    <s v="No"/>
    <s v="Inglés"/>
    <n v="57.96"/>
    <n v="1"/>
    <n v="57.96"/>
    <x v="0"/>
    <m/>
    <x v="0"/>
  </r>
  <r>
    <n v="1157718280"/>
    <x v="1"/>
    <x v="2"/>
    <d v="2024-05-17T16:50:50"/>
    <s v="fullCardGame"/>
    <x v="1259"/>
    <x v="147"/>
    <s v="No"/>
    <s v="Inglés"/>
    <n v="60.234999999999999"/>
    <n v="2"/>
    <n v="120.47"/>
    <x v="0"/>
    <m/>
    <x v="0"/>
  </r>
  <r>
    <n v="1157718189"/>
    <x v="1"/>
    <x v="2"/>
    <d v="2024-05-17T16:50:10"/>
    <s v="fullCardGame"/>
    <x v="1259"/>
    <x v="147"/>
    <s v="No"/>
    <s v="Inglés"/>
    <n v="60.234999999999999"/>
    <n v="2"/>
    <n v="120.47"/>
    <x v="0"/>
    <m/>
    <x v="0"/>
  </r>
  <r>
    <n v="1157693233"/>
    <x v="1"/>
    <x v="2"/>
    <d v="2024-05-17T14:30:19"/>
    <s v="Hugus7"/>
    <x v="1377"/>
    <x v="147"/>
    <s v="No"/>
    <s v="Inglés"/>
    <n v="145.47"/>
    <n v="1"/>
    <n v="145.47"/>
    <x v="0"/>
    <m/>
    <x v="0"/>
  </r>
  <r>
    <n v="1157668500"/>
    <x v="1"/>
    <x v="2"/>
    <d v="2024-05-17T14:00:37"/>
    <s v="Rosino13"/>
    <x v="1191"/>
    <x v="15"/>
    <s v="No"/>
    <s v="Inglés"/>
    <n v="4.954663212435233"/>
    <n v="1"/>
    <n v="4.954663212435233"/>
    <x v="1"/>
    <n v="4.954663212435233"/>
    <x v="0"/>
  </r>
  <r>
    <n v="1157668500"/>
    <x v="1"/>
    <x v="2"/>
    <d v="2024-05-17T14:00:37"/>
    <s v="Rosino13"/>
    <x v="1378"/>
    <x v="266"/>
    <s v="No"/>
    <s v="Inglés"/>
    <n v="3.2480569948186528"/>
    <n v="1"/>
    <n v="3.2480569948186528"/>
    <x v="1"/>
    <n v="3.2480569948186528"/>
    <x v="0"/>
  </r>
  <r>
    <n v="1157668500"/>
    <x v="1"/>
    <x v="2"/>
    <d v="2024-05-17T14:00:37"/>
    <s v="Rosino13"/>
    <x v="968"/>
    <x v="124"/>
    <s v="No"/>
    <s v="Español"/>
    <n v="0.4954663212435233"/>
    <n v="1"/>
    <n v="0.4954663212435233"/>
    <x v="1"/>
    <n v="0.4954663212435233"/>
    <x v="0"/>
  </r>
  <r>
    <n v="1156788749"/>
    <x v="1"/>
    <x v="2"/>
    <d v="2024-05-17T12:44:25"/>
    <s v="elyety"/>
    <x v="1379"/>
    <x v="155"/>
    <s v="No"/>
    <s v="Español"/>
    <n v="10.17"/>
    <n v="1"/>
    <n v="10.17"/>
    <x v="1"/>
    <n v="10.17"/>
    <x v="0"/>
  </r>
  <r>
    <n v="1157623372"/>
    <x v="1"/>
    <x v="2"/>
    <d v="2024-05-16T20:15:26"/>
    <s v="TallerDeSisay"/>
    <x v="1380"/>
    <x v="158"/>
    <s v="No"/>
    <s v="Japonés"/>
    <n v="0.58133333333333337"/>
    <n v="1"/>
    <n v="0.58133333333333337"/>
    <x v="0"/>
    <m/>
    <x v="0"/>
  </r>
  <r>
    <n v="1157623372"/>
    <x v="1"/>
    <x v="2"/>
    <d v="2024-05-16T20:15:26"/>
    <s v="TallerDeSisay"/>
    <x v="468"/>
    <x v="120"/>
    <s v="No"/>
    <s v="Japonés"/>
    <n v="4.0693333333333328"/>
    <n v="2"/>
    <n v="8.1386666666666656"/>
    <x v="0"/>
    <m/>
    <x v="0"/>
  </r>
  <r>
    <n v="1157618950"/>
    <x v="1"/>
    <x v="2"/>
    <d v="2024-05-16T20:15:26"/>
    <s v="willybizarre"/>
    <x v="409"/>
    <x v="94"/>
    <s v="No"/>
    <s v="Japonés"/>
    <n v="4.1000000000000014"/>
    <n v="2"/>
    <n v="8.2000000000000028"/>
    <x v="0"/>
    <m/>
    <x v="0"/>
  </r>
  <r>
    <n v="1157618832"/>
    <x v="1"/>
    <x v="2"/>
    <d v="2024-05-16T20:15:26"/>
    <s v="MAGICPLANET"/>
    <x v="1380"/>
    <x v="158"/>
    <s v="No"/>
    <s v="Japonés"/>
    <n v="1.8"/>
    <n v="3"/>
    <n v="5.4"/>
    <x v="0"/>
    <m/>
    <x v="0"/>
  </r>
  <r>
    <n v="1157563794"/>
    <x v="1"/>
    <x v="2"/>
    <d v="2024-05-16T12:14:51"/>
    <s v="punipwni"/>
    <x v="1381"/>
    <x v="104"/>
    <s v="No"/>
    <s v="Japonés"/>
    <n v="2.2440000000000002"/>
    <n v="3"/>
    <n v="6.7320000000000011"/>
    <x v="0"/>
    <m/>
    <x v="0"/>
  </r>
  <r>
    <n v="1157563794"/>
    <x v="1"/>
    <x v="2"/>
    <d v="2024-05-16T12:14:51"/>
    <s v="punipwni"/>
    <x v="1382"/>
    <x v="87"/>
    <s v="No"/>
    <s v="Japonés"/>
    <n v="1.4025000000000001"/>
    <n v="2"/>
    <n v="2.8050000000000002"/>
    <x v="0"/>
    <m/>
    <x v="0"/>
  </r>
  <r>
    <n v="1157563794"/>
    <x v="1"/>
    <x v="2"/>
    <d v="2024-05-16T12:14:51"/>
    <s v="punipwni"/>
    <x v="628"/>
    <x v="119"/>
    <s v="No"/>
    <s v="Japonés"/>
    <n v="0.84150000000000003"/>
    <n v="2"/>
    <n v="1.6830000000000001"/>
    <x v="0"/>
    <m/>
    <x v="0"/>
  </r>
  <r>
    <n v="1157532571"/>
    <x v="1"/>
    <x v="2"/>
    <d v="2024-05-16T06:09:23"/>
    <s v="eres"/>
    <x v="1383"/>
    <x v="55"/>
    <s v="No"/>
    <s v="Japonés"/>
    <n v="1.7044692737430169"/>
    <n v="1"/>
    <n v="1.7044692737430169"/>
    <x v="0"/>
    <m/>
    <x v="0"/>
  </r>
  <r>
    <n v="1157532571"/>
    <x v="1"/>
    <x v="2"/>
    <d v="2024-05-16T06:09:23"/>
    <s v="eres"/>
    <x v="1384"/>
    <x v="104"/>
    <s v="No"/>
    <s v="Japonés"/>
    <n v="4.4884357541899442"/>
    <n v="1"/>
    <n v="4.4884357541899442"/>
    <x v="0"/>
    <m/>
    <x v="0"/>
  </r>
  <r>
    <n v="1157532571"/>
    <x v="1"/>
    <x v="2"/>
    <d v="2024-05-16T06:09:23"/>
    <s v="eres"/>
    <x v="382"/>
    <x v="140"/>
    <s v="No"/>
    <s v="Japonés"/>
    <n v="3.977094972067039"/>
    <n v="1"/>
    <n v="3.977094972067039"/>
    <x v="0"/>
    <m/>
    <x v="0"/>
  </r>
  <r>
    <n v="1157531990"/>
    <x v="1"/>
    <x v="2"/>
    <d v="2024-05-16T06:09:23"/>
    <s v="MISHRAFACTORY"/>
    <x v="1383"/>
    <x v="55"/>
    <s v="No"/>
    <s v="Japonés"/>
    <n v="2.1119266055045869"/>
    <n v="3"/>
    <n v="6.3357798165137602"/>
    <x v="0"/>
    <m/>
    <x v="0"/>
  </r>
  <r>
    <n v="1157531990"/>
    <x v="1"/>
    <x v="2"/>
    <d v="2024-05-16T06:09:23"/>
    <s v="MISHRAFACTORY"/>
    <x v="1385"/>
    <x v="104"/>
    <s v="Si"/>
    <s v="Japonés"/>
    <n v="4.1710550458715598"/>
    <n v="4"/>
    <n v="16.684220183486239"/>
    <x v="0"/>
    <m/>
    <x v="0"/>
  </r>
  <r>
    <n v="1157337467"/>
    <x v="1"/>
    <x v="2"/>
    <d v="2024-05-14T16:51:29"/>
    <s v="TEMPEST-STORE"/>
    <x v="1386"/>
    <x v="55"/>
    <s v="No"/>
    <s v="Japonés"/>
    <n v="1.3585118149824029"/>
    <n v="2"/>
    <n v="2.7170236299648058"/>
    <x v="0"/>
    <m/>
    <x v="0"/>
  </r>
  <r>
    <n v="1157337467"/>
    <x v="1"/>
    <x v="2"/>
    <d v="2024-05-14T16:51:29"/>
    <s v="TEMPEST-STORE"/>
    <x v="1381"/>
    <x v="104"/>
    <s v="No"/>
    <s v="Japonés"/>
    <n v="0.90213675213675215"/>
    <n v="1"/>
    <n v="0.90213675213675215"/>
    <x v="0"/>
    <m/>
    <x v="0"/>
  </r>
  <r>
    <n v="1157337467"/>
    <x v="1"/>
    <x v="2"/>
    <d v="2024-05-14T16:51:29"/>
    <s v="TEMPEST-STORE"/>
    <x v="1387"/>
    <x v="111"/>
    <s v="No"/>
    <s v="Japonés"/>
    <n v="3.1733986928104581"/>
    <n v="1"/>
    <n v="3.1733986928104581"/>
    <x v="0"/>
    <m/>
    <x v="0"/>
  </r>
  <r>
    <n v="1157337467"/>
    <x v="1"/>
    <x v="2"/>
    <d v="2024-05-14T16:51:29"/>
    <s v="TEMPEST-STORE"/>
    <x v="1388"/>
    <x v="104"/>
    <s v="No"/>
    <s v="Japonés"/>
    <n v="2.5153695324283558"/>
    <n v="1"/>
    <n v="2.5153695324283558"/>
    <x v="0"/>
    <m/>
    <x v="0"/>
  </r>
  <r>
    <n v="1157337467"/>
    <x v="1"/>
    <x v="2"/>
    <d v="2024-05-14T16:51:29"/>
    <s v="TEMPEST-STORE"/>
    <x v="1389"/>
    <x v="104"/>
    <s v="Si"/>
    <s v="Japonés"/>
    <n v="1.5920060331825041"/>
    <n v="4"/>
    <n v="6.3680241327300164"/>
    <x v="0"/>
    <m/>
    <x v="0"/>
  </r>
  <r>
    <n v="1157337467"/>
    <x v="1"/>
    <x v="2"/>
    <d v="2024-05-14T16:51:29"/>
    <s v="TEMPEST-STORE"/>
    <x v="1390"/>
    <x v="55"/>
    <s v="Si"/>
    <s v="Japonés"/>
    <n v="1.3585118149824029"/>
    <n v="4"/>
    <n v="5.4340472599296117"/>
    <x v="0"/>
    <m/>
    <x v="0"/>
  </r>
  <r>
    <n v="1156561021"/>
    <x v="1"/>
    <x v="2"/>
    <d v="2024-05-14T15:01:01"/>
    <s v="Cardexchange"/>
    <x v="1391"/>
    <x v="210"/>
    <s v="Si"/>
    <s v="Inglés"/>
    <n v="2.1392405063291138"/>
    <n v="4"/>
    <n v="8.5569620253164551"/>
    <x v="1"/>
    <n v="8.5569620253164551"/>
    <x v="0"/>
  </r>
  <r>
    <n v="1156561021"/>
    <x v="1"/>
    <x v="2"/>
    <d v="2024-05-14T15:01:01"/>
    <s v="Cardexchange"/>
    <x v="1392"/>
    <x v="67"/>
    <s v="No"/>
    <s v="Inglés"/>
    <n v="16.400843881856538"/>
    <n v="1"/>
    <n v="16.400843881856538"/>
    <x v="1"/>
    <n v="16.400843881856538"/>
    <x v="0"/>
  </r>
  <r>
    <n v="1157257374"/>
    <x v="1"/>
    <x v="2"/>
    <d v="2024-05-13T23:33:46"/>
    <s v="Kalashju"/>
    <x v="1393"/>
    <x v="76"/>
    <s v="No"/>
    <s v="Inglés"/>
    <n v="45.42"/>
    <n v="1"/>
    <n v="45.42"/>
    <x v="1"/>
    <n v="45.42"/>
    <x v="0"/>
  </r>
  <r>
    <n v="1156387321"/>
    <x v="1"/>
    <x v="2"/>
    <d v="2024-05-13T18:50:52"/>
    <s v="Carbitis"/>
    <x v="1394"/>
    <x v="21"/>
    <s v="No"/>
    <s v="Japonés"/>
    <n v="6.17"/>
    <n v="1"/>
    <n v="6.17"/>
    <x v="1"/>
    <n v="6.17"/>
    <x v="0"/>
  </r>
  <r>
    <n v="1157044005"/>
    <x v="1"/>
    <x v="2"/>
    <d v="2024-05-12T12:22:01"/>
    <s v="TRADER-Online"/>
    <x v="1395"/>
    <x v="217"/>
    <s v="Si"/>
    <s v="Japonés"/>
    <n v="5.34"/>
    <n v="4"/>
    <n v="21.36"/>
    <x v="0"/>
    <m/>
    <x v="0"/>
  </r>
  <r>
    <n v="1156983464"/>
    <x v="1"/>
    <x v="2"/>
    <d v="2024-05-11T20:26:53"/>
    <s v="fichescu"/>
    <x v="1396"/>
    <x v="160"/>
    <s v="Si"/>
    <s v="Chino-S"/>
    <n v="2.2949999999999999"/>
    <n v="4"/>
    <n v="9.18"/>
    <x v="0"/>
    <m/>
    <x v="0"/>
  </r>
  <r>
    <n v="1156914225"/>
    <x v="1"/>
    <x v="2"/>
    <d v="2024-05-11T08:20:50"/>
    <s v="Rizing"/>
    <x v="1397"/>
    <x v="84"/>
    <s v="Si"/>
    <s v="Inglés"/>
    <n v="1.7649999999999999"/>
    <n v="4"/>
    <n v="7.06"/>
    <x v="0"/>
    <m/>
    <x v="0"/>
  </r>
  <r>
    <n v="1156898547"/>
    <x v="1"/>
    <x v="2"/>
    <d v="2024-05-11T00:02:40"/>
    <s v="Random-player"/>
    <x v="1122"/>
    <x v="267"/>
    <s v="No"/>
    <s v="Inglés"/>
    <n v="0.26200000000000001"/>
    <n v="10"/>
    <n v="2.62"/>
    <x v="0"/>
    <m/>
    <x v="0"/>
  </r>
  <r>
    <n v="1156898505"/>
    <x v="1"/>
    <x v="2"/>
    <d v="2024-05-11T00:02:40"/>
    <s v="ShinjiTron"/>
    <x v="1114"/>
    <x v="267"/>
    <s v="No"/>
    <s v="Inglés"/>
    <n v="0.32200000000000001"/>
    <n v="10"/>
    <n v="3.22"/>
    <x v="0"/>
    <m/>
    <x v="0"/>
  </r>
  <r>
    <s v="CVSALE-1156805109-01"/>
    <x v="1"/>
    <x v="2"/>
    <d v="2024-05-10T12:35:44"/>
    <s v="Venta asociada sin pedido identificado"/>
    <x v="1398"/>
    <x v="147"/>
    <s v="No"/>
    <s v="Inglés"/>
    <n v="2.4494945848375451"/>
    <n v="3"/>
    <n v="7.3484837545126354"/>
    <x v="1"/>
    <n v="7.3484837545126354"/>
    <x v="0"/>
  </r>
  <r>
    <n v="1156805109"/>
    <x v="1"/>
    <x v="2"/>
    <d v="2024-05-10T12:35:44"/>
    <s v="magictuga"/>
    <x v="1399"/>
    <x v="219"/>
    <s v="No"/>
    <s v="Inglés"/>
    <n v="3.2243543543543538"/>
    <n v="1"/>
    <n v="3.2243543543543538"/>
    <x v="0"/>
    <m/>
    <x v="0"/>
  </r>
  <r>
    <n v="1156805109"/>
    <x v="1"/>
    <x v="2"/>
    <d v="2024-05-10T12:35:44"/>
    <s v="magictuga"/>
    <x v="1400"/>
    <x v="46"/>
    <s v="No"/>
    <s v="Japonés"/>
    <n v="0.95168168168168177"/>
    <n v="1"/>
    <n v="0.95168168168168177"/>
    <x v="0"/>
    <m/>
    <x v="0"/>
  </r>
  <r>
    <n v="1156805109"/>
    <x v="1"/>
    <x v="2"/>
    <d v="2024-05-10T12:35:44"/>
    <s v="magictuga"/>
    <x v="1398"/>
    <x v="147"/>
    <s v="No"/>
    <s v="Inglés"/>
    <n v="1.761321321321321"/>
    <n v="3"/>
    <n v="5.2839639639639628"/>
    <x v="0"/>
    <m/>
    <x v="0"/>
  </r>
  <r>
    <n v="1156729027"/>
    <x v="1"/>
    <x v="2"/>
    <d v="2024-05-09T20:24:43"/>
    <s v="willybizarre"/>
    <x v="1401"/>
    <x v="219"/>
    <s v="No"/>
    <s v="Japonés"/>
    <n v="17.725000000000001"/>
    <n v="2"/>
    <n v="35.450000000000003"/>
    <x v="0"/>
    <m/>
    <x v="0"/>
  </r>
  <r>
    <n v="1156554839"/>
    <x v="1"/>
    <x v="2"/>
    <d v="2024-05-08T19:55:07"/>
    <s v="TEMPEST-STORE"/>
    <x v="1402"/>
    <x v="172"/>
    <s v="No"/>
    <s v="Japonés"/>
    <n v="5.6237797660013769"/>
    <n v="1"/>
    <n v="5.6237797660013769"/>
    <x v="0"/>
    <m/>
    <x v="0"/>
  </r>
  <r>
    <n v="1156554839"/>
    <x v="1"/>
    <x v="2"/>
    <d v="2024-05-08T19:55:07"/>
    <s v="TEMPEST-STORE"/>
    <x v="1403"/>
    <x v="172"/>
    <s v="No"/>
    <s v="Japonés"/>
    <n v="5.6130268410185824"/>
    <n v="1"/>
    <n v="5.6130268410185824"/>
    <x v="0"/>
    <m/>
    <x v="0"/>
  </r>
  <r>
    <n v="1156554839"/>
    <x v="1"/>
    <x v="2"/>
    <d v="2024-05-08T19:55:07"/>
    <s v="TEMPEST-STORE"/>
    <x v="1404"/>
    <x v="172"/>
    <s v="No"/>
    <s v="Japonés"/>
    <n v="5.6130268410185824"/>
    <n v="1"/>
    <n v="5.6130268410185824"/>
    <x v="0"/>
    <m/>
    <x v="0"/>
  </r>
  <r>
    <n v="1156554839"/>
    <x v="1"/>
    <x v="2"/>
    <d v="2024-05-08T19:55:07"/>
    <s v="TEMPEST-STORE"/>
    <x v="1405"/>
    <x v="172"/>
    <s v="No"/>
    <s v="Japonés"/>
    <n v="8.1614700619408111"/>
    <n v="1"/>
    <n v="8.1614700619408111"/>
    <x v="0"/>
    <m/>
    <x v="0"/>
  </r>
  <r>
    <n v="1156554839"/>
    <x v="1"/>
    <x v="2"/>
    <d v="2024-05-08T19:55:07"/>
    <s v="TEMPEST-STORE"/>
    <x v="1406"/>
    <x v="172"/>
    <s v="No"/>
    <s v="Japonés"/>
    <n v="6.1184143152099111"/>
    <n v="1"/>
    <n v="6.1184143152099111"/>
    <x v="0"/>
    <m/>
    <x v="0"/>
  </r>
  <r>
    <n v="1156554839"/>
    <x v="1"/>
    <x v="2"/>
    <d v="2024-05-08T19:55:07"/>
    <s v="TEMPEST-STORE"/>
    <x v="1407"/>
    <x v="172"/>
    <s v="No"/>
    <s v="Japonés"/>
    <n v="7.3657536132140393"/>
    <n v="1"/>
    <n v="7.3657536132140393"/>
    <x v="0"/>
    <m/>
    <x v="0"/>
  </r>
  <r>
    <n v="1156554839"/>
    <x v="1"/>
    <x v="2"/>
    <d v="2024-05-08T19:55:07"/>
    <s v="TEMPEST-STORE"/>
    <x v="1408"/>
    <x v="172"/>
    <s v="No"/>
    <s v="Japonés"/>
    <n v="6.4410020646937376"/>
    <n v="1"/>
    <n v="6.4410020646937376"/>
    <x v="0"/>
    <m/>
    <x v="0"/>
  </r>
  <r>
    <n v="1156554839"/>
    <x v="1"/>
    <x v="2"/>
    <d v="2024-05-08T19:55:07"/>
    <s v="TEMPEST-STORE"/>
    <x v="195"/>
    <x v="172"/>
    <s v="No"/>
    <s v="Japonés"/>
    <n v="7.6668355127322778"/>
    <n v="1"/>
    <n v="7.6668355127322778"/>
    <x v="0"/>
    <m/>
    <x v="0"/>
  </r>
  <r>
    <n v="1156554839"/>
    <x v="1"/>
    <x v="2"/>
    <d v="2024-05-08T19:55:07"/>
    <s v="TEMPEST-STORE"/>
    <x v="1409"/>
    <x v="172"/>
    <s v="No"/>
    <s v="Japonés"/>
    <n v="8.6776104611149343"/>
    <n v="1"/>
    <n v="8.6776104611149343"/>
    <x v="0"/>
    <m/>
    <x v="0"/>
  </r>
  <r>
    <n v="1156554839"/>
    <x v="1"/>
    <x v="2"/>
    <d v="2024-05-08T19:55:07"/>
    <s v="TEMPEST-STORE"/>
    <x v="1410"/>
    <x v="172"/>
    <s v="No"/>
    <s v="Japonés"/>
    <n v="5.6130268410185824"/>
    <n v="1"/>
    <n v="5.6130268410185824"/>
    <x v="0"/>
    <m/>
    <x v="0"/>
  </r>
  <r>
    <n v="1156554839"/>
    <x v="1"/>
    <x v="2"/>
    <d v="2024-05-08T19:55:07"/>
    <s v="TEMPEST-STORE"/>
    <x v="1411"/>
    <x v="172"/>
    <s v="No"/>
    <s v="Japonés"/>
    <n v="5.6130268410185824"/>
    <n v="1"/>
    <n v="5.6130268410185824"/>
    <x v="0"/>
    <m/>
    <x v="0"/>
  </r>
  <r>
    <n v="1156554839"/>
    <x v="1"/>
    <x v="2"/>
    <d v="2024-05-08T19:55:07"/>
    <s v="TEMPEST-STORE"/>
    <x v="1412"/>
    <x v="172"/>
    <s v="No"/>
    <s v="Japonés"/>
    <n v="5.6130268410185824"/>
    <n v="1"/>
    <n v="5.6130268410185824"/>
    <x v="0"/>
    <m/>
    <x v="0"/>
  </r>
  <r>
    <n v="1156295821"/>
    <x v="1"/>
    <x v="2"/>
    <d v="2024-05-08T19:18:51"/>
    <s v="Gaben91"/>
    <x v="1413"/>
    <x v="139"/>
    <s v="No"/>
    <s v="Inglés"/>
    <n v="4.5570776255707761"/>
    <n v="2"/>
    <n v="9.1141552511415522"/>
    <x v="1"/>
    <n v="9.1141552511415522"/>
    <x v="0"/>
  </r>
  <r>
    <n v="1156561537"/>
    <x v="1"/>
    <x v="2"/>
    <d v="2024-05-08T08:51:56"/>
    <s v="shobitsu"/>
    <x v="1414"/>
    <x v="37"/>
    <s v="No"/>
    <s v="Inglés"/>
    <n v="8.17"/>
    <n v="1"/>
    <n v="8.17"/>
    <x v="1"/>
    <n v="8.17"/>
    <x v="0"/>
  </r>
  <r>
    <n v="1156561021"/>
    <x v="1"/>
    <x v="2"/>
    <d v="2024-05-08T08:47:43"/>
    <s v="Cardexchange"/>
    <x v="1415"/>
    <x v="200"/>
    <s v="No"/>
    <s v="Inglés"/>
    <n v="1.0724089635854339"/>
    <n v="1"/>
    <n v="1.0724089635854339"/>
    <x v="1"/>
    <n v="1.0724089635854339"/>
    <x v="0"/>
  </r>
  <r>
    <n v="1156205610"/>
    <x v="1"/>
    <x v="2"/>
    <d v="2024-05-05T17:22:26"/>
    <s v="Beachead"/>
    <x v="1342"/>
    <x v="167"/>
    <s v="No"/>
    <s v="Español"/>
    <n v="7.17"/>
    <n v="1"/>
    <n v="7.17"/>
    <x v="1"/>
    <n v="7.17"/>
    <x v="0"/>
  </r>
  <r>
    <n v="1155813980"/>
    <x v="1"/>
    <x v="2"/>
    <d v="2024-05-02T18:13:30"/>
    <s v="Ladyangie"/>
    <x v="1416"/>
    <x v="72"/>
    <s v="No"/>
    <s v="Inglés"/>
    <n v="8.25"/>
    <n v="1"/>
    <n v="8.25"/>
    <x v="1"/>
    <n v="8.25"/>
    <x v="0"/>
  </r>
  <r>
    <n v="1155735990"/>
    <x v="1"/>
    <x v="2"/>
    <d v="2024-05-02T07:17:34"/>
    <s v="TEMPEST-STORE"/>
    <x v="863"/>
    <x v="73"/>
    <s v="No"/>
    <s v="Japonés"/>
    <n v="8.0543831494483449"/>
    <n v="2"/>
    <n v="16.10876629889669"/>
    <x v="0"/>
    <m/>
    <x v="0"/>
  </r>
  <r>
    <n v="1155735990"/>
    <x v="1"/>
    <x v="2"/>
    <d v="2024-05-02T07:17:34"/>
    <s v="TEMPEST-STORE"/>
    <x v="628"/>
    <x v="119"/>
    <s v="No"/>
    <s v="Inglés"/>
    <n v="0.51997993981945834"/>
    <n v="2"/>
    <n v="1.0399598796389167"/>
    <x v="0"/>
    <m/>
    <x v="0"/>
  </r>
  <r>
    <n v="1155735990"/>
    <x v="1"/>
    <x v="2"/>
    <d v="2024-05-02T07:17:34"/>
    <s v="TEMPEST-STORE"/>
    <x v="1417"/>
    <x v="158"/>
    <s v="No"/>
    <s v="Japonés"/>
    <n v="2.0056369107321959"/>
    <n v="2"/>
    <n v="4.0112738214643917"/>
    <x v="0"/>
    <m/>
    <x v="0"/>
  </r>
  <r>
    <n v="1155735950"/>
    <x v="1"/>
    <x v="2"/>
    <d v="2024-05-02T07:17:34"/>
    <s v="willybizarre"/>
    <x v="863"/>
    <x v="73"/>
    <s v="No"/>
    <s v="Japonés"/>
    <n v="8.6"/>
    <n v="2"/>
    <n v="17.2"/>
    <x v="0"/>
    <m/>
    <x v="0"/>
  </r>
  <r>
    <n v="1155735787"/>
    <x v="1"/>
    <x v="2"/>
    <d v="2024-05-02T07:09:00"/>
    <s v="JUANINO123"/>
    <x v="1418"/>
    <x v="94"/>
    <s v="No"/>
    <s v="Inglés"/>
    <n v="3.280198886237073"/>
    <n v="1"/>
    <n v="3.280198886237073"/>
    <x v="0"/>
    <m/>
    <x v="0"/>
  </r>
  <r>
    <n v="1155735787"/>
    <x v="1"/>
    <x v="2"/>
    <d v="2024-05-02T07:09:00"/>
    <s v="JUANINO123"/>
    <x v="409"/>
    <x v="94"/>
    <s v="No"/>
    <s v="Japonés"/>
    <n v="2.183142402545744"/>
    <n v="2"/>
    <n v="4.366284805091488"/>
    <x v="0"/>
    <m/>
    <x v="0"/>
  </r>
  <r>
    <n v="1155735787"/>
    <x v="1"/>
    <x v="2"/>
    <d v="2024-05-02T07:09:00"/>
    <s v="JUANINO123"/>
    <x v="1418"/>
    <x v="94"/>
    <s v="No"/>
    <s v="Inglés"/>
    <n v="3.455727923627685"/>
    <n v="1"/>
    <n v="3.455727923627685"/>
    <x v="0"/>
    <m/>
    <x v="0"/>
  </r>
  <r>
    <n v="1155735787"/>
    <x v="1"/>
    <x v="2"/>
    <d v="2024-05-02T07:09:00"/>
    <s v="JUANINO123"/>
    <x v="409"/>
    <x v="94"/>
    <s v="No"/>
    <s v="Inglés"/>
    <n v="2.6877883850437549"/>
    <n v="1"/>
    <n v="2.6877883850437549"/>
    <x v="0"/>
    <m/>
    <x v="0"/>
  </r>
  <r>
    <n v="1155733905"/>
    <x v="1"/>
    <x v="2"/>
    <d v="2024-05-02T07:08:25"/>
    <s v="MasterTCG"/>
    <x v="764"/>
    <x v="86"/>
    <s v="No"/>
    <s v="Español"/>
    <n v="1.666363636363636"/>
    <n v="1"/>
    <n v="1.666363636363636"/>
    <x v="0"/>
    <m/>
    <x v="0"/>
  </r>
  <r>
    <n v="1155733905"/>
    <x v="1"/>
    <x v="2"/>
    <d v="2024-05-02T07:08:25"/>
    <s v="MasterTCG"/>
    <x v="1382"/>
    <x v="87"/>
    <s v="No"/>
    <s v="Español"/>
    <n v="0.27772727272727271"/>
    <n v="2"/>
    <n v="0.55545454545454542"/>
    <x v="0"/>
    <m/>
    <x v="0"/>
  </r>
  <r>
    <n v="1155733905"/>
    <x v="1"/>
    <x v="2"/>
    <d v="2024-05-02T07:08:25"/>
    <s v="MasterTCG"/>
    <x v="1419"/>
    <x v="186"/>
    <s v="Si"/>
    <s v="Español"/>
    <n v="1.1109090909090911"/>
    <n v="4"/>
    <n v="4.4436363636363643"/>
    <x v="0"/>
    <m/>
    <x v="0"/>
  </r>
  <r>
    <n v="1155733905"/>
    <x v="1"/>
    <x v="2"/>
    <d v="2024-05-02T07:08:25"/>
    <s v="MasterTCG"/>
    <x v="468"/>
    <x v="120"/>
    <s v="No"/>
    <s v="Español"/>
    <n v="1.666363636363636"/>
    <n v="2"/>
    <n v="3.3327272727272721"/>
    <x v="0"/>
    <m/>
    <x v="0"/>
  </r>
  <r>
    <n v="1155733905"/>
    <x v="1"/>
    <x v="2"/>
    <d v="2024-05-02T07:08:25"/>
    <s v="MasterTCG"/>
    <x v="1304"/>
    <x v="92"/>
    <s v="No"/>
    <s v="Español"/>
    <n v="1.1109090909090911"/>
    <n v="2"/>
    <n v="2.2218181818181821"/>
    <x v="0"/>
    <m/>
    <x v="0"/>
  </r>
  <r>
    <n v="1155651751"/>
    <x v="1"/>
    <x v="2"/>
    <d v="2024-05-01T14:27:00"/>
    <s v="McBozzo"/>
    <x v="1420"/>
    <x v="95"/>
    <s v="No"/>
    <s v="Italiano"/>
    <n v="5.7166666666666677"/>
    <n v="3"/>
    <n v="17.150000000000002"/>
    <x v="1"/>
    <n v="17.150000000000002"/>
    <x v="0"/>
  </r>
  <r>
    <n v="1155611364"/>
    <x v="1"/>
    <x v="2"/>
    <d v="2024-05-01T13:52:52"/>
    <s v="flashboys"/>
    <x v="1420"/>
    <x v="32"/>
    <s v="No"/>
    <s v="Inglés"/>
    <n v="7.6469548872180457"/>
    <n v="2"/>
    <n v="15.293909774436091"/>
    <x v="0"/>
    <m/>
    <x v="0"/>
  </r>
  <r>
    <n v="1155611364"/>
    <x v="1"/>
    <x v="2"/>
    <d v="2024-05-01T13:52:52"/>
    <s v="flashboys"/>
    <x v="332"/>
    <x v="32"/>
    <s v="No"/>
    <s v="Inglés"/>
    <n v="1.0830451127819549"/>
    <n v="2"/>
    <n v="2.1660902255639098"/>
    <x v="0"/>
    <m/>
    <x v="0"/>
  </r>
  <r>
    <n v="1155611356"/>
    <x v="1"/>
    <x v="2"/>
    <d v="2024-05-01T13:52:52"/>
    <s v="InfiniteMagicCZ"/>
    <x v="1421"/>
    <x v="268"/>
    <s v="No"/>
    <s v="Español"/>
    <n v="1.6705778894472361"/>
    <n v="2"/>
    <n v="3.3411557788944721"/>
    <x v="0"/>
    <m/>
    <x v="0"/>
  </r>
  <r>
    <n v="1155611356"/>
    <x v="1"/>
    <x v="2"/>
    <d v="2024-05-01T13:52:52"/>
    <s v="InfiniteMagicCZ"/>
    <x v="1420"/>
    <x v="32"/>
    <s v="No"/>
    <s v="Inglés"/>
    <n v="7.3144221105527638"/>
    <n v="2"/>
    <n v="14.628844221105528"/>
    <x v="0"/>
    <m/>
    <x v="0"/>
  </r>
  <r>
    <s v="WA-20240501-03"/>
    <x v="1"/>
    <x v="2"/>
    <d v="2024-05-01T00:00:00"/>
    <s v="Pascual Premodern"/>
    <x v="702"/>
    <x v="92"/>
    <s v="No"/>
    <s v="Japonés"/>
    <n v="100"/>
    <n v="1"/>
    <n v="100"/>
    <x v="0"/>
    <m/>
    <x v="0"/>
  </r>
  <r>
    <s v="WA-20240501-03"/>
    <x v="1"/>
    <x v="2"/>
    <d v="2024-05-01T00:00:00"/>
    <s v="Pascual Premodern"/>
    <x v="1422"/>
    <x v="13"/>
    <s v="Si"/>
    <s v="Japonés"/>
    <n v="150"/>
    <n v="1"/>
    <n v="150"/>
    <x v="0"/>
    <m/>
    <x v="0"/>
  </r>
  <r>
    <s v="WA-20240501-03"/>
    <x v="1"/>
    <x v="2"/>
    <d v="2024-05-01T00:00:00"/>
    <s v="Pascual Premodern"/>
    <x v="1304"/>
    <x v="92"/>
    <s v="Si"/>
    <s v="Japonés"/>
    <n v="5"/>
    <n v="1"/>
    <n v="5"/>
    <x v="0"/>
    <m/>
    <x v="0"/>
  </r>
  <r>
    <s v="WA-20240501-03"/>
    <x v="1"/>
    <x v="2"/>
    <d v="2024-05-01T00:00:00"/>
    <s v="Pascual Premodern"/>
    <x v="1384"/>
    <x v="104"/>
    <s v="No"/>
    <s v="Japonés"/>
    <n v="3.3"/>
    <n v="3"/>
    <n v="9.8999999999999986"/>
    <x v="0"/>
    <m/>
    <x v="0"/>
  </r>
  <r>
    <s v="WA-20240501-02"/>
    <x v="1"/>
    <x v="2"/>
    <d v="2024-05-01T00:00:00"/>
    <s v="Nicolas Premodern"/>
    <x v="1423"/>
    <x v="143"/>
    <s v="Si"/>
    <s v="Japonés"/>
    <n v="23"/>
    <n v="1"/>
    <n v="23"/>
    <x v="0"/>
    <m/>
    <x v="0"/>
  </r>
  <r>
    <s v="WA-20240501-01"/>
    <x v="1"/>
    <x v="2"/>
    <d v="2024-05-01T00:00:00"/>
    <s v="Juan Premodern"/>
    <x v="1424"/>
    <x v="104"/>
    <s v="Si"/>
    <s v="Japonés"/>
    <n v="145"/>
    <n v="1"/>
    <n v="145"/>
    <x v="0"/>
    <m/>
    <x v="0"/>
  </r>
  <r>
    <n v="1155225390"/>
    <x v="2"/>
    <x v="2"/>
    <d v="2024-04-28T16:12:32"/>
    <s v="Maese-Shekelman"/>
    <x v="1425"/>
    <x v="88"/>
    <s v="No"/>
    <s v="Español"/>
    <n v="6.88"/>
    <n v="1"/>
    <n v="6.88"/>
    <x v="0"/>
    <m/>
    <x v="0"/>
  </r>
  <r>
    <n v="1155225373"/>
    <x v="2"/>
    <x v="2"/>
    <d v="2024-04-28T16:12:32"/>
    <s v="leongfire"/>
    <x v="1425"/>
    <x v="88"/>
    <s v="No"/>
    <s v="Español"/>
    <n v="6.72"/>
    <n v="1"/>
    <n v="6.72"/>
    <x v="0"/>
    <m/>
    <x v="0"/>
  </r>
  <r>
    <n v="1155225368"/>
    <x v="2"/>
    <x v="2"/>
    <d v="2024-04-28T16:12:32"/>
    <s v="lolesperez"/>
    <x v="1425"/>
    <x v="88"/>
    <s v="No"/>
    <s v="Español"/>
    <n v="5.8199999999999994"/>
    <n v="1"/>
    <n v="5.8199999999999994"/>
    <x v="0"/>
    <m/>
    <x v="0"/>
  </r>
  <r>
    <n v="1155225363"/>
    <x v="2"/>
    <x v="2"/>
    <d v="2024-04-28T16:12:32"/>
    <s v="o0pyros0o"/>
    <x v="1425"/>
    <x v="88"/>
    <s v="No"/>
    <s v="Español"/>
    <n v="5.41"/>
    <n v="1"/>
    <n v="5.41"/>
    <x v="0"/>
    <m/>
    <x v="0"/>
  </r>
  <r>
    <n v="1155087691"/>
    <x v="2"/>
    <x v="2"/>
    <d v="2024-04-27T15:14:02"/>
    <s v="Sena33"/>
    <x v="503"/>
    <x v="180"/>
    <s v="No"/>
    <s v="Inglés"/>
    <n v="45.47"/>
    <n v="1"/>
    <n v="45.47"/>
    <x v="0"/>
    <m/>
    <x v="0"/>
  </r>
  <r>
    <n v="1155086705"/>
    <x v="2"/>
    <x v="2"/>
    <d v="2024-04-27T15:02:43"/>
    <s v="radicalsurf"/>
    <x v="1426"/>
    <x v="88"/>
    <s v="No"/>
    <s v="Español"/>
    <n v="1.856666666666666"/>
    <n v="3"/>
    <n v="5.5699999999999985"/>
    <x v="0"/>
    <m/>
    <x v="0"/>
  </r>
  <r>
    <n v="1155065370"/>
    <x v="2"/>
    <x v="2"/>
    <d v="2024-04-27T15:02:43"/>
    <s v="TesoroDragon"/>
    <x v="1426"/>
    <x v="88"/>
    <s v="No"/>
    <s v="Español"/>
    <n v="2.2200000000000002"/>
    <n v="1"/>
    <n v="2.2200000000000002"/>
    <x v="0"/>
    <m/>
    <x v="0"/>
  </r>
  <r>
    <n v="1155065304"/>
    <x v="2"/>
    <x v="2"/>
    <d v="2024-04-27T15:02:43"/>
    <s v="Itaca"/>
    <x v="286"/>
    <x v="88"/>
    <s v="No"/>
    <s v="Inglés"/>
    <n v="4.17"/>
    <n v="1"/>
    <n v="4.17"/>
    <x v="0"/>
    <m/>
    <x v="0"/>
  </r>
  <r>
    <n v="1155065283"/>
    <x v="2"/>
    <x v="2"/>
    <d v="2024-04-27T15:02:43"/>
    <s v="AceMagicDealer"/>
    <x v="286"/>
    <x v="88"/>
    <s v="No"/>
    <s v="Inglés"/>
    <n v="1.856666666666666"/>
    <n v="3"/>
    <n v="5.5699999999999985"/>
    <x v="0"/>
    <m/>
    <x v="0"/>
  </r>
  <r>
    <n v="1155061188"/>
    <x v="2"/>
    <x v="2"/>
    <d v="2024-04-27T15:02:43"/>
    <s v="callado"/>
    <x v="1427"/>
    <x v="76"/>
    <s v="No"/>
    <s v="Inglés"/>
    <n v="4.42"/>
    <n v="1"/>
    <n v="4.42"/>
    <x v="0"/>
    <m/>
    <x v="0"/>
  </r>
  <r>
    <n v="1154987230"/>
    <x v="2"/>
    <x v="2"/>
    <d v="2024-04-26T19:57:40"/>
    <s v="luminati"/>
    <x v="844"/>
    <x v="41"/>
    <s v="No"/>
    <s v="Japonés"/>
    <n v="1.5298165137614681"/>
    <n v="2"/>
    <n v="3.0596330275229362"/>
    <x v="0"/>
    <m/>
    <x v="0"/>
  </r>
  <r>
    <n v="1154987230"/>
    <x v="2"/>
    <x v="2"/>
    <d v="2024-04-26T19:57:40"/>
    <s v="luminati"/>
    <x v="1428"/>
    <x v="41"/>
    <s v="No"/>
    <s v="Japonés"/>
    <n v="3.6103669724770642"/>
    <n v="1"/>
    <n v="3.6103669724770642"/>
    <x v="0"/>
    <m/>
    <x v="0"/>
  </r>
  <r>
    <n v="1154966443"/>
    <x v="2"/>
    <x v="2"/>
    <d v="2024-04-26T19:57:40"/>
    <s v="Distritozero-Bilbao"/>
    <x v="1429"/>
    <x v="202"/>
    <s v="No"/>
    <s v="Inglés"/>
    <n v="3.09"/>
    <n v="1"/>
    <n v="3.09"/>
    <x v="0"/>
    <m/>
    <x v="0"/>
  </r>
  <r>
    <n v="1154966443"/>
    <x v="2"/>
    <x v="2"/>
    <d v="2024-04-26T19:57:40"/>
    <s v="Distritozero-Bilbao"/>
    <x v="1430"/>
    <x v="68"/>
    <s v="No"/>
    <s v="Inglés"/>
    <n v="1"/>
    <n v="1"/>
    <n v="1"/>
    <x v="0"/>
    <m/>
    <x v="0"/>
  </r>
  <r>
    <n v="1154966443"/>
    <x v="2"/>
    <x v="2"/>
    <d v="2024-04-26T19:57:40"/>
    <s v="Distritozero-Bilbao"/>
    <x v="362"/>
    <x v="113"/>
    <s v="No"/>
    <s v="Inglés"/>
    <n v="0.5"/>
    <n v="2"/>
    <n v="1"/>
    <x v="0"/>
    <m/>
    <x v="0"/>
  </r>
  <r>
    <n v="1154847328"/>
    <x v="2"/>
    <x v="2"/>
    <d v="2024-04-25T19:06:23"/>
    <s v="Arrokia"/>
    <x v="1431"/>
    <x v="83"/>
    <s v="No"/>
    <s v="Español"/>
    <n v="3.2625000000000002"/>
    <n v="1"/>
    <n v="3.2625000000000002"/>
    <x v="0"/>
    <m/>
    <x v="0"/>
  </r>
  <r>
    <n v="1154847328"/>
    <x v="2"/>
    <x v="2"/>
    <d v="2024-04-25T19:06:23"/>
    <s v="Arrokia"/>
    <x v="1432"/>
    <x v="23"/>
    <s v="No"/>
    <s v="Inglés"/>
    <n v="0.65249999999999997"/>
    <n v="3"/>
    <n v="1.9575"/>
    <x v="0"/>
    <m/>
    <x v="0"/>
  </r>
  <r>
    <n v="1154388616"/>
    <x v="2"/>
    <x v="2"/>
    <d v="2024-04-25T12:56:20"/>
    <s v="Flayed1"/>
    <x v="1433"/>
    <x v="269"/>
    <s v="No"/>
    <s v="Español"/>
    <n v="9.2100000000000009"/>
    <n v="1"/>
    <n v="9.2100000000000009"/>
    <x v="1"/>
    <n v="9.2100000000000009"/>
    <x v="0"/>
  </r>
  <r>
    <n v="1154101785"/>
    <x v="2"/>
    <x v="2"/>
    <d v="2024-04-20T11:04:38"/>
    <s v="AtheneasHobby"/>
    <x v="1114"/>
    <x v="68"/>
    <s v="Si"/>
    <s v="Inglés"/>
    <n v="0.2704639175257732"/>
    <n v="4"/>
    <n v="1.0818556701030928"/>
    <x v="0"/>
    <m/>
    <x v="0"/>
  </r>
  <r>
    <n v="1154101785"/>
    <x v="2"/>
    <x v="2"/>
    <d v="2024-04-20T11:04:38"/>
    <s v="AtheneasHobby"/>
    <x v="1110"/>
    <x v="68"/>
    <s v="Si"/>
    <s v="Inglés"/>
    <n v="0.2704639175257732"/>
    <n v="4"/>
    <n v="1.0818556701030928"/>
    <x v="0"/>
    <m/>
    <x v="0"/>
  </r>
  <r>
    <n v="1154101785"/>
    <x v="2"/>
    <x v="2"/>
    <d v="2024-04-20T11:04:38"/>
    <s v="AtheneasHobby"/>
    <x v="1122"/>
    <x v="68"/>
    <s v="Si"/>
    <s v="Inglés"/>
    <n v="0.25543814432989692"/>
    <n v="4"/>
    <n v="1.0217525773195877"/>
    <x v="0"/>
    <m/>
    <x v="0"/>
  </r>
  <r>
    <n v="1154101785"/>
    <x v="2"/>
    <x v="2"/>
    <d v="2024-04-20T11:04:38"/>
    <s v="AtheneasHobby"/>
    <x v="1118"/>
    <x v="68"/>
    <s v="Si"/>
    <s v="Inglés"/>
    <n v="0.36061855670103088"/>
    <n v="4"/>
    <n v="1.4424742268041235"/>
    <x v="0"/>
    <m/>
    <x v="0"/>
  </r>
  <r>
    <n v="1154101785"/>
    <x v="2"/>
    <x v="2"/>
    <d v="2024-04-20T11:04:38"/>
    <s v="AtheneasHobby"/>
    <x v="1126"/>
    <x v="68"/>
    <s v="Si"/>
    <s v="Inglés"/>
    <n v="0.30051546391752582"/>
    <n v="4"/>
    <n v="1.2020618556701033"/>
    <x v="0"/>
    <m/>
    <x v="0"/>
  </r>
  <r>
    <n v="1154093072"/>
    <x v="2"/>
    <x v="2"/>
    <d v="2024-04-20T09:47:05"/>
    <s v="Meddy36"/>
    <x v="1434"/>
    <x v="232"/>
    <s v="No"/>
    <s v="Inglés"/>
    <n v="1.76"/>
    <n v="1"/>
    <n v="1.76"/>
    <x v="0"/>
    <m/>
    <x v="0"/>
  </r>
  <r>
    <n v="1154092405"/>
    <x v="2"/>
    <x v="2"/>
    <d v="2024-04-20T09:41:38"/>
    <s v="Metropolis-Center"/>
    <x v="1435"/>
    <x v="39"/>
    <s v="No"/>
    <s v="Inglés"/>
    <n v="11.21"/>
    <n v="1"/>
    <n v="11.21"/>
    <x v="0"/>
    <m/>
    <x v="0"/>
  </r>
  <r>
    <n v="1154091419"/>
    <x v="2"/>
    <x v="2"/>
    <d v="2024-04-20T09:41:38"/>
    <s v="proglez1"/>
    <x v="1436"/>
    <x v="126"/>
    <s v="No"/>
    <s v="Inglés"/>
    <n v="17.335000000000001"/>
    <n v="2"/>
    <n v="34.67"/>
    <x v="0"/>
    <m/>
    <x v="0"/>
  </r>
  <r>
    <n v="1154047676"/>
    <x v="2"/>
    <x v="2"/>
    <d v="2024-04-19T20:33:29"/>
    <s v="Nygran"/>
    <x v="1437"/>
    <x v="223"/>
    <s v="No"/>
    <s v="Inglés"/>
    <n v="1.72"/>
    <n v="1"/>
    <n v="1.72"/>
    <x v="1"/>
    <n v="1.72"/>
    <x v="0"/>
  </r>
  <r>
    <n v="1153016592"/>
    <x v="2"/>
    <x v="2"/>
    <d v="2024-04-19T11:56:16"/>
    <s v="Aeon6"/>
    <x v="1438"/>
    <x v="163"/>
    <s v="No"/>
    <s v="Chino"/>
    <n v="16.21"/>
    <n v="1"/>
    <n v="16.21"/>
    <x v="1"/>
    <n v="16.21"/>
    <x v="0"/>
  </r>
  <r>
    <n v="1153778940"/>
    <x v="2"/>
    <x v="2"/>
    <d v="2024-04-17T18:07:49"/>
    <s v="Distritozero-San"/>
    <x v="1439"/>
    <x v="270"/>
    <s v="No"/>
    <s v="Inglés"/>
    <n v="54.45"/>
    <n v="1"/>
    <n v="54.45"/>
    <x v="0"/>
    <m/>
    <x v="0"/>
  </r>
  <r>
    <n v="1153711461"/>
    <x v="2"/>
    <x v="2"/>
    <d v="2024-04-17T08:45:16"/>
    <s v="Neixer87"/>
    <x v="1440"/>
    <x v="76"/>
    <s v="No"/>
    <s v="Inglés"/>
    <n v="3.1066666666666669"/>
    <n v="3"/>
    <n v="9.32"/>
    <x v="0"/>
    <m/>
    <x v="0"/>
  </r>
  <r>
    <n v="1153710881"/>
    <x v="2"/>
    <x v="2"/>
    <d v="2024-04-17T08:45:16"/>
    <s v="Distritozero-Bilbao"/>
    <x v="1441"/>
    <x v="202"/>
    <s v="Si"/>
    <s v="Inglés"/>
    <n v="7.5"/>
    <n v="4"/>
    <n v="30"/>
    <x v="0"/>
    <m/>
    <x v="0"/>
  </r>
  <r>
    <n v="1153705698"/>
    <x v="2"/>
    <x v="2"/>
    <d v="2024-04-17T08:45:16"/>
    <s v="yavimayaelder23"/>
    <x v="1442"/>
    <x v="57"/>
    <s v="No"/>
    <s v="Español"/>
    <n v="4.21"/>
    <n v="1"/>
    <n v="4.21"/>
    <x v="0"/>
    <m/>
    <x v="0"/>
  </r>
  <r>
    <n v="1153702681"/>
    <x v="2"/>
    <x v="2"/>
    <d v="2024-04-17T07:27:30"/>
    <s v="Beatrice14mkm"/>
    <x v="721"/>
    <x v="68"/>
    <s v="No"/>
    <s v="Inglés"/>
    <n v="5.9"/>
    <n v="2"/>
    <n v="11.8"/>
    <x v="0"/>
    <m/>
    <x v="0"/>
  </r>
  <r>
    <n v="1153359054"/>
    <x v="2"/>
    <x v="2"/>
    <d v="2024-04-14T18:27:34"/>
    <s v="marconi"/>
    <x v="1443"/>
    <x v="61"/>
    <s v="No"/>
    <s v="Inglés"/>
    <n v="3.01"/>
    <n v="2"/>
    <n v="6.02"/>
    <x v="0"/>
    <m/>
    <x v="0"/>
  </r>
  <r>
    <n v="1153278715"/>
    <x v="2"/>
    <x v="2"/>
    <d v="2024-04-14T01:09:38"/>
    <s v="panterlucas"/>
    <x v="493"/>
    <x v="78"/>
    <s v="No"/>
    <s v="Inglés"/>
    <n v="18.43061538461539"/>
    <n v="1"/>
    <n v="18.43061538461539"/>
    <x v="0"/>
    <m/>
    <x v="0"/>
  </r>
  <r>
    <n v="1153278715"/>
    <x v="2"/>
    <x v="2"/>
    <d v="2024-04-14T01:09:38"/>
    <s v="panterlucas"/>
    <x v="493"/>
    <x v="78"/>
    <s v="No"/>
    <s v="Español"/>
    <n v="17.34646153846154"/>
    <n v="3"/>
    <n v="52.03938461538462"/>
    <x v="0"/>
    <m/>
    <x v="0"/>
  </r>
  <r>
    <n v="1153133381"/>
    <x v="2"/>
    <x v="2"/>
    <d v="2024-04-12T23:56:19"/>
    <s v="Deathshadow22"/>
    <x v="1444"/>
    <x v="45"/>
    <s v="No"/>
    <s v="Inglés"/>
    <n v="35.47"/>
    <n v="1"/>
    <n v="35.47"/>
    <x v="0"/>
    <m/>
    <x v="0"/>
  </r>
  <r>
    <n v="1153090236"/>
    <x v="2"/>
    <x v="2"/>
    <d v="2024-04-12T23:56:19"/>
    <s v="Mazvigosl"/>
    <x v="1445"/>
    <x v="12"/>
    <s v="Si"/>
    <s v="Inglés"/>
    <n v="0.44500000000000001"/>
    <n v="4"/>
    <n v="1.78"/>
    <x v="0"/>
    <m/>
    <x v="0"/>
  </r>
  <r>
    <n v="1152040638"/>
    <x v="2"/>
    <x v="2"/>
    <d v="2024-04-11T19:11:13"/>
    <s v="Prometeu82"/>
    <x v="1446"/>
    <x v="139"/>
    <s v="No"/>
    <s v="Inglés"/>
    <n v="7.21"/>
    <n v="1"/>
    <n v="7.21"/>
    <x v="1"/>
    <n v="7.21"/>
    <x v="0"/>
  </r>
  <r>
    <n v="1152844092"/>
    <x v="2"/>
    <x v="2"/>
    <d v="2024-04-10T11:37:41"/>
    <s v="sbz3r0"/>
    <x v="1238"/>
    <x v="271"/>
    <s v="No"/>
    <s v="Inglés"/>
    <n v="5.22"/>
    <n v="1"/>
    <n v="5.22"/>
    <x v="0"/>
    <m/>
    <x v="0"/>
  </r>
  <r>
    <n v="1152843689"/>
    <x v="2"/>
    <x v="2"/>
    <d v="2024-04-10T11:37:41"/>
    <s v="Edicionlimitada"/>
    <x v="1241"/>
    <x v="169"/>
    <s v="No"/>
    <s v="Inglés"/>
    <n v="5.9066666666666663"/>
    <n v="3"/>
    <n v="17.72"/>
    <x v="0"/>
    <m/>
    <x v="0"/>
  </r>
  <r>
    <n v="1152711332"/>
    <x v="2"/>
    <x v="2"/>
    <d v="2024-04-09T12:55:49"/>
    <s v="DrizztD0"/>
    <x v="1447"/>
    <x v="265"/>
    <s v="No"/>
    <s v="Inglés"/>
    <n v="3.1855043081601621E-2"/>
    <n v="1"/>
    <n v="3.1855043081601621E-2"/>
    <x v="0"/>
    <m/>
    <x v="2"/>
  </r>
  <r>
    <n v="1152711332"/>
    <x v="2"/>
    <x v="2"/>
    <d v="2024-04-09T12:55:49"/>
    <s v="DrizztD0"/>
    <x v="1448"/>
    <x v="265"/>
    <s v="No"/>
    <s v="Inglés"/>
    <n v="0.1380385200202737"/>
    <n v="2"/>
    <n v="0.27607704004054739"/>
    <x v="0"/>
    <m/>
    <x v="2"/>
  </r>
  <r>
    <n v="1152711332"/>
    <x v="2"/>
    <x v="2"/>
    <d v="2024-04-09T12:55:49"/>
    <s v="DrizztD0"/>
    <x v="1449"/>
    <x v="265"/>
    <s v="No"/>
    <s v="Inglés"/>
    <n v="20.642067916877849"/>
    <n v="1"/>
    <n v="20.642067916877849"/>
    <x v="0"/>
    <m/>
    <x v="2"/>
  </r>
  <r>
    <n v="1152686423"/>
    <x v="2"/>
    <x v="2"/>
    <d v="2024-04-09T12:55:49"/>
    <s v="Franky"/>
    <x v="1450"/>
    <x v="265"/>
    <s v="No"/>
    <s v="Inglés"/>
    <n v="9.2200000000000006"/>
    <n v="1"/>
    <n v="9.2200000000000006"/>
    <x v="0"/>
    <m/>
    <x v="2"/>
  </r>
  <r>
    <n v="1152686420"/>
    <x v="2"/>
    <x v="2"/>
    <d v="2024-04-09T12:55:49"/>
    <s v="FactoryCards"/>
    <x v="1360"/>
    <x v="265"/>
    <s v="No"/>
    <s v="Inglés"/>
    <n v="2.72189349112426"/>
    <n v="1"/>
    <n v="2.72189349112426"/>
    <x v="0"/>
    <m/>
    <x v="2"/>
  </r>
  <r>
    <n v="1152686420"/>
    <x v="2"/>
    <x v="2"/>
    <d v="2024-04-09T12:55:49"/>
    <s v="FactoryCards"/>
    <x v="1361"/>
    <x v="265"/>
    <s v="No"/>
    <s v="Inglés"/>
    <n v="1.87810650887574"/>
    <n v="1"/>
    <n v="1.87810650887574"/>
    <x v="0"/>
    <m/>
    <x v="2"/>
  </r>
  <r>
    <n v="1152048190"/>
    <x v="2"/>
    <x v="2"/>
    <d v="2024-04-03T21:57:11"/>
    <s v="lipplapp1"/>
    <x v="472"/>
    <x v="60"/>
    <s v="Si"/>
    <s v="Español"/>
    <n v="1.94"/>
    <n v="4"/>
    <n v="7.76"/>
    <x v="0"/>
    <m/>
    <x v="0"/>
  </r>
  <r>
    <n v="1151861739"/>
    <x v="2"/>
    <x v="2"/>
    <d v="2024-04-02T15:02:03"/>
    <s v="Xbas09"/>
    <x v="844"/>
    <x v="41"/>
    <s v="No"/>
    <s v="Inglés"/>
    <n v="1.135555555555555"/>
    <n v="1"/>
    <n v="1.135555555555555"/>
    <x v="0"/>
    <m/>
    <x v="0"/>
  </r>
  <r>
    <n v="1151861739"/>
    <x v="2"/>
    <x v="2"/>
    <d v="2024-04-02T15:02:03"/>
    <s v="Xbas09"/>
    <x v="1451"/>
    <x v="61"/>
    <s v="No"/>
    <s v="Inglés"/>
    <n v="4.5422222222222217"/>
    <n v="2"/>
    <n v="9.0844444444444434"/>
    <x v="0"/>
    <m/>
    <x v="0"/>
  </r>
  <r>
    <n v="1151786987"/>
    <x v="2"/>
    <x v="2"/>
    <d v="2024-04-01T21:34:46"/>
    <s v="satu21"/>
    <x v="1452"/>
    <x v="34"/>
    <s v="No"/>
    <s v="Inglés"/>
    <n v="3.6"/>
    <n v="2"/>
    <n v="7.2"/>
    <x v="0"/>
    <m/>
    <x v="0"/>
  </r>
  <r>
    <n v="1151713514"/>
    <x v="2"/>
    <x v="2"/>
    <d v="2024-04-01T12:21:29"/>
    <s v="Corekid666"/>
    <x v="317"/>
    <x v="106"/>
    <s v="No"/>
    <s v="Inglés"/>
    <n v="7.22"/>
    <n v="1"/>
    <n v="7.22"/>
    <x v="0"/>
    <m/>
    <x v="0"/>
  </r>
  <r>
    <n v="1151712585"/>
    <x v="2"/>
    <x v="2"/>
    <d v="2024-04-01T12:21:29"/>
    <s v="satu21"/>
    <x v="1453"/>
    <x v="88"/>
    <s v="No"/>
    <s v="Inglés"/>
    <n v="21.21"/>
    <n v="1"/>
    <n v="21.21"/>
    <x v="0"/>
    <m/>
    <x v="0"/>
  </r>
  <r>
    <n v="1151601829"/>
    <x v="3"/>
    <x v="2"/>
    <d v="2024-03-31T13:45:53"/>
    <s v="RaulV"/>
    <x v="224"/>
    <x v="58"/>
    <s v="No"/>
    <s v="Inglés"/>
    <n v="4.3966666666666674"/>
    <n v="3"/>
    <n v="13.190000000000001"/>
    <x v="1"/>
    <n v="13.190000000000001"/>
    <x v="0"/>
  </r>
  <r>
    <n v="1151358701"/>
    <x v="3"/>
    <x v="2"/>
    <d v="2024-03-30T01:11:37"/>
    <s v="RUBENCASTRO24"/>
    <x v="1454"/>
    <x v="239"/>
    <s v="No"/>
    <s v="Inglés"/>
    <n v="10.6"/>
    <n v="2"/>
    <n v="21.2"/>
    <x v="0"/>
    <m/>
    <x v="0"/>
  </r>
  <r>
    <n v="1151160283"/>
    <x v="3"/>
    <x v="2"/>
    <d v="2024-03-27T23:50:52"/>
    <s v="Olivetti"/>
    <x v="1455"/>
    <x v="76"/>
    <s v="No"/>
    <s v="Inglés"/>
    <n v="7.56"/>
    <n v="2"/>
    <n v="15.12"/>
    <x v="0"/>
    <m/>
    <x v="0"/>
  </r>
  <r>
    <n v="1151119688"/>
    <x v="3"/>
    <x v="2"/>
    <d v="2024-03-27T23:50:52"/>
    <s v="neruvian"/>
    <x v="1454"/>
    <x v="239"/>
    <s v="No"/>
    <s v="Inglés"/>
    <n v="10.71"/>
    <n v="1"/>
    <n v="10.71"/>
    <x v="0"/>
    <m/>
    <x v="0"/>
  </r>
  <r>
    <n v="1151054219"/>
    <x v="3"/>
    <x v="2"/>
    <d v="2024-03-27T08:15:32"/>
    <s v="DUAL-GAMES"/>
    <x v="1456"/>
    <x v="76"/>
    <s v="Si"/>
    <s v="Inglés"/>
    <n v="0.55499999999999994"/>
    <n v="4"/>
    <n v="2.2199999999999998"/>
    <x v="0"/>
    <m/>
    <x v="0"/>
  </r>
  <r>
    <n v="1151054214"/>
    <x v="3"/>
    <x v="2"/>
    <d v="2024-03-27T08:15:32"/>
    <s v="Shark-Games"/>
    <x v="1456"/>
    <x v="76"/>
    <s v="Si"/>
    <s v="Inglés"/>
    <n v="0.55499999999999994"/>
    <n v="4"/>
    <n v="2.2199999999999998"/>
    <x v="0"/>
    <m/>
    <x v="0"/>
  </r>
  <r>
    <n v="1151054068"/>
    <x v="3"/>
    <x v="2"/>
    <d v="2024-03-27T08:13:36"/>
    <s v="FranMTG666"/>
    <x v="1456"/>
    <x v="76"/>
    <s v="Si"/>
    <s v="Inglés"/>
    <n v="0.52500000000000002"/>
    <n v="4"/>
    <n v="2.1"/>
    <x v="0"/>
    <m/>
    <x v="0"/>
  </r>
  <r>
    <n v="1151054061"/>
    <x v="3"/>
    <x v="2"/>
    <d v="2024-03-27T08:13:36"/>
    <s v="JupiterMadridNorte"/>
    <x v="1456"/>
    <x v="76"/>
    <s v="Si"/>
    <s v="Inglés"/>
    <n v="0.52500000000000002"/>
    <n v="4"/>
    <n v="2.1"/>
    <x v="0"/>
    <m/>
    <x v="0"/>
  </r>
  <r>
    <n v="1151054044"/>
    <x v="3"/>
    <x v="2"/>
    <d v="2024-03-27T08:13:36"/>
    <s v="Moria05"/>
    <x v="1456"/>
    <x v="62"/>
    <s v="Si"/>
    <s v="Inglés"/>
    <n v="0.64500000000000002"/>
    <n v="4"/>
    <n v="2.58"/>
    <x v="0"/>
    <m/>
    <x v="0"/>
  </r>
  <r>
    <n v="1151053911"/>
    <x v="3"/>
    <x v="2"/>
    <d v="2024-03-27T08:12:13"/>
    <s v="Distritozero-Bilbao"/>
    <x v="1456"/>
    <x v="62"/>
    <s v="No"/>
    <s v="Inglés"/>
    <n v="0.5"/>
    <n v="8"/>
    <n v="4"/>
    <x v="0"/>
    <m/>
    <x v="0"/>
  </r>
  <r>
    <n v="1151053830"/>
    <x v="3"/>
    <x v="2"/>
    <d v="2024-03-27T08:11:18"/>
    <s v="Kumah"/>
    <x v="1456"/>
    <x v="76"/>
    <s v="No"/>
    <s v="Inglés"/>
    <n v="0.81"/>
    <n v="2"/>
    <n v="1.62"/>
    <x v="0"/>
    <m/>
    <x v="0"/>
  </r>
  <r>
    <n v="1151053810"/>
    <x v="3"/>
    <x v="2"/>
    <d v="2024-03-27T08:11:18"/>
    <s v="Miceliongames"/>
    <x v="1456"/>
    <x v="76"/>
    <s v="No"/>
    <s v="Inglés"/>
    <n v="0.44400000000000001"/>
    <n v="5"/>
    <n v="2.2200000000000002"/>
    <x v="0"/>
    <m/>
    <x v="0"/>
  </r>
  <r>
    <n v="1151053743"/>
    <x v="3"/>
    <x v="2"/>
    <d v="2024-03-27T08:10:46"/>
    <s v="InReVeMTG"/>
    <x v="1456"/>
    <x v="76"/>
    <s v="No"/>
    <s v="Inglés"/>
    <n v="0.40333333333333332"/>
    <n v="6"/>
    <n v="2.42"/>
    <x v="0"/>
    <m/>
    <x v="0"/>
  </r>
  <r>
    <n v="1151053470"/>
    <x v="3"/>
    <x v="2"/>
    <d v="2024-03-27T08:09:18"/>
    <s v="SharkGamesAntequera"/>
    <x v="1456"/>
    <x v="76"/>
    <s v="Si"/>
    <s v="Inglés"/>
    <n v="0.505"/>
    <n v="4"/>
    <n v="2.02"/>
    <x v="0"/>
    <m/>
    <x v="0"/>
  </r>
  <r>
    <n v="1151053461"/>
    <x v="3"/>
    <x v="2"/>
    <d v="2024-03-27T08:09:18"/>
    <s v="Onlycards"/>
    <x v="1456"/>
    <x v="76"/>
    <s v="Si"/>
    <s v="Inglés"/>
    <n v="0.505"/>
    <n v="4"/>
    <n v="2.02"/>
    <x v="0"/>
    <m/>
    <x v="0"/>
  </r>
  <r>
    <n v="1149672466"/>
    <x v="3"/>
    <x v="2"/>
    <d v="2024-03-26T17:19:20"/>
    <s v="FrachLouz"/>
    <x v="1457"/>
    <x v="12"/>
    <s v="No"/>
    <s v="Inglés"/>
    <n v="3.56"/>
    <n v="2"/>
    <n v="7.12"/>
    <x v="1"/>
    <n v="7.12"/>
    <x v="0"/>
  </r>
  <r>
    <n v="1150911053"/>
    <x v="3"/>
    <x v="2"/>
    <d v="2024-03-26T12:25:03"/>
    <s v="Magic-Industria-61"/>
    <x v="1458"/>
    <x v="34"/>
    <s v="No"/>
    <s v="Inglés"/>
    <n v="1.72"/>
    <n v="1"/>
    <n v="1.72"/>
    <x v="1"/>
    <n v="1.72"/>
    <x v="0"/>
  </r>
  <r>
    <n v="1149091921"/>
    <x v="3"/>
    <x v="2"/>
    <d v="2024-03-25T21:55:08"/>
    <s v="faof26"/>
    <x v="1459"/>
    <x v="170"/>
    <s v="No"/>
    <s v="Inglés"/>
    <n v="12.1"/>
    <n v="2"/>
    <n v="24.2"/>
    <x v="1"/>
    <n v="24.2"/>
    <x v="0"/>
  </r>
  <r>
    <n v="1150796374"/>
    <x v="3"/>
    <x v="2"/>
    <d v="2024-03-25T14:48:26"/>
    <s v="MoxZinc"/>
    <x v="1460"/>
    <x v="272"/>
    <s v="No"/>
    <s v="Inglés"/>
    <n v="21.47"/>
    <n v="1"/>
    <n v="21.47"/>
    <x v="0"/>
    <m/>
    <x v="0"/>
  </r>
  <r>
    <n v="1150754452"/>
    <x v="3"/>
    <x v="2"/>
    <d v="2024-03-25T06:52:08"/>
    <s v="sbz3r0"/>
    <x v="1461"/>
    <x v="60"/>
    <s v="No"/>
    <s v="Español"/>
    <n v="35.47"/>
    <n v="1"/>
    <n v="35.47"/>
    <x v="0"/>
    <m/>
    <x v="0"/>
  </r>
  <r>
    <n v="1150722256"/>
    <x v="3"/>
    <x v="2"/>
    <d v="2024-03-24T23:13:47"/>
    <s v="Residentpana95"/>
    <x v="1462"/>
    <x v="101"/>
    <s v="No"/>
    <s v="Español"/>
    <n v="0.57182247899159666"/>
    <n v="1"/>
    <n v="0.57182247899159666"/>
    <x v="0"/>
    <m/>
    <x v="0"/>
  </r>
  <r>
    <n v="1150722256"/>
    <x v="3"/>
    <x v="2"/>
    <d v="2024-03-24T23:13:47"/>
    <s v="Residentpana95"/>
    <x v="1259"/>
    <x v="46"/>
    <s v="No"/>
    <s v="Español"/>
    <n v="21.489088760504199"/>
    <n v="2"/>
    <n v="42.978177521008398"/>
    <x v="0"/>
    <m/>
    <x v="0"/>
  </r>
  <r>
    <n v="1150721908"/>
    <x v="3"/>
    <x v="2"/>
    <d v="2024-03-24T23:13:47"/>
    <s v="TEMPEST-STORE"/>
    <x v="1463"/>
    <x v="11"/>
    <s v="Si"/>
    <s v="Inglés"/>
    <n v="0.20698168498168501"/>
    <n v="4"/>
    <n v="0.82792673992674004"/>
    <x v="0"/>
    <m/>
    <x v="0"/>
  </r>
  <r>
    <n v="1150721908"/>
    <x v="3"/>
    <x v="2"/>
    <d v="2024-03-24T23:13:47"/>
    <s v="TEMPEST-STORE"/>
    <x v="1464"/>
    <x v="273"/>
    <s v="Si"/>
    <s v="Inglés"/>
    <n v="3.2572380952380948"/>
    <n v="4"/>
    <n v="13.028952380952379"/>
    <x v="0"/>
    <m/>
    <x v="0"/>
  </r>
  <r>
    <n v="1150721908"/>
    <x v="3"/>
    <x v="2"/>
    <d v="2024-03-24T23:13:47"/>
    <s v="TEMPEST-STORE"/>
    <x v="1465"/>
    <x v="47"/>
    <s v="No"/>
    <s v="Inglés"/>
    <n v="0.37038827838827842"/>
    <n v="1"/>
    <n v="0.37038827838827842"/>
    <x v="0"/>
    <m/>
    <x v="0"/>
  </r>
  <r>
    <n v="1150721908"/>
    <x v="3"/>
    <x v="2"/>
    <d v="2024-03-24T23:13:47"/>
    <s v="TEMPEST-STORE"/>
    <x v="1465"/>
    <x v="47"/>
    <s v="No"/>
    <s v="Inglés"/>
    <n v="0.42485714285714288"/>
    <n v="1"/>
    <n v="0.42485714285714288"/>
    <x v="0"/>
    <m/>
    <x v="0"/>
  </r>
  <r>
    <n v="1150721908"/>
    <x v="3"/>
    <x v="2"/>
    <d v="2024-03-24T23:13:47"/>
    <s v="TEMPEST-STORE"/>
    <x v="1466"/>
    <x v="271"/>
    <s v="No"/>
    <s v="Inglés"/>
    <n v="0.2178754578754579"/>
    <n v="1"/>
    <n v="0.2178754578754579"/>
    <x v="0"/>
    <m/>
    <x v="0"/>
  </r>
  <r>
    <n v="1150694432"/>
    <x v="3"/>
    <x v="2"/>
    <d v="2024-03-24T23:13:47"/>
    <s v="Enoc"/>
    <x v="1467"/>
    <x v="127"/>
    <s v="No"/>
    <s v="Inglés"/>
    <n v="0.80419354838709678"/>
    <n v="1"/>
    <n v="0.80419354838709678"/>
    <x v="0"/>
    <m/>
    <x v="0"/>
  </r>
  <r>
    <n v="1150694432"/>
    <x v="3"/>
    <x v="2"/>
    <d v="2024-03-24T23:13:47"/>
    <s v="Enoc"/>
    <x v="365"/>
    <x v="15"/>
    <s v="No"/>
    <s v="Inglés"/>
    <n v="1.965806451612903"/>
    <n v="1"/>
    <n v="1.965806451612903"/>
    <x v="0"/>
    <m/>
    <x v="0"/>
  </r>
  <r>
    <n v="1149346155"/>
    <x v="3"/>
    <x v="2"/>
    <d v="2024-03-22T15:19:44"/>
    <s v="dannylarousso"/>
    <x v="1468"/>
    <x v="178"/>
    <s v="No"/>
    <s v="Español"/>
    <n v="10.210000000000001"/>
    <n v="1"/>
    <n v="10.210000000000001"/>
    <x v="1"/>
    <n v="10.210000000000001"/>
    <x v="0"/>
  </r>
  <r>
    <n v="1149817880"/>
    <x v="3"/>
    <x v="2"/>
    <d v="2024-03-17T21:39:36"/>
    <s v="Fraaann"/>
    <x v="1469"/>
    <x v="133"/>
    <s v="No"/>
    <s v="Inglés"/>
    <n v="19.169999999999998"/>
    <n v="1"/>
    <n v="19.169999999999998"/>
    <x v="1"/>
    <n v="19.169999999999998"/>
    <x v="0"/>
  </r>
  <r>
    <n v="1149756834"/>
    <x v="3"/>
    <x v="2"/>
    <d v="2024-03-17T08:18:21"/>
    <s v="Karn33"/>
    <x v="1470"/>
    <x v="216"/>
    <s v="Si"/>
    <s v="Inglés"/>
    <n v="38.512500000000003"/>
    <n v="4"/>
    <n v="154.05000000000001"/>
    <x v="0"/>
    <m/>
    <x v="0"/>
  </r>
  <r>
    <n v="1149178291"/>
    <x v="3"/>
    <x v="2"/>
    <d v="2024-03-12T11:34:54"/>
    <s v="MagicVuk"/>
    <x v="1471"/>
    <x v="60"/>
    <s v="No"/>
    <s v="Inglés"/>
    <n v="3.091478260869565"/>
    <n v="1"/>
    <n v="3.091478260869565"/>
    <x v="0"/>
    <m/>
    <x v="0"/>
  </r>
  <r>
    <n v="1149178291"/>
    <x v="3"/>
    <x v="2"/>
    <d v="2024-03-12T11:34:54"/>
    <s v="MagicVuk"/>
    <x v="1472"/>
    <x v="60"/>
    <s v="No"/>
    <s v="Inglés"/>
    <n v="0.21426086956521739"/>
    <n v="2"/>
    <n v="0.42852173913043479"/>
    <x v="0"/>
    <m/>
    <x v="0"/>
  </r>
  <r>
    <n v="1149176168"/>
    <x v="3"/>
    <x v="2"/>
    <d v="2024-03-12T11:14:10"/>
    <s v="zhinryu"/>
    <x v="1473"/>
    <x v="274"/>
    <s v="No"/>
    <s v="Inglés"/>
    <n v="6.21"/>
    <n v="1"/>
    <n v="6.21"/>
    <x v="1"/>
    <n v="6.21"/>
    <x v="0"/>
  </r>
  <r>
    <n v="1149149024"/>
    <x v="3"/>
    <x v="2"/>
    <d v="2024-03-12T06:23:46"/>
    <s v="ElRincondeMagic"/>
    <x v="1468"/>
    <x v="178"/>
    <s v="No"/>
    <s v="Español"/>
    <n v="4.9066666666666663"/>
    <n v="1"/>
    <n v="4.9066666666666663"/>
    <x v="0"/>
    <m/>
    <x v="0"/>
  </r>
  <r>
    <n v="1149149024"/>
    <x v="3"/>
    <x v="2"/>
    <d v="2024-03-12T06:23:46"/>
    <s v="ElRincondeMagic"/>
    <x v="1468"/>
    <x v="178"/>
    <s v="No"/>
    <s v="Español"/>
    <n v="4.9066666666666663"/>
    <n v="2"/>
    <n v="9.8133333333333326"/>
    <x v="0"/>
    <m/>
    <x v="0"/>
  </r>
  <r>
    <n v="1149148310"/>
    <x v="3"/>
    <x v="2"/>
    <d v="2024-03-12T06:06:40"/>
    <s v="beetle56"/>
    <x v="1468"/>
    <x v="178"/>
    <s v="No"/>
    <s v="Español"/>
    <n v="3.61"/>
    <n v="2"/>
    <n v="7.22"/>
    <x v="0"/>
    <m/>
    <x v="0"/>
  </r>
  <r>
    <n v="1148950698"/>
    <x v="3"/>
    <x v="2"/>
    <d v="2024-03-10T21:31:12"/>
    <s v="Drizztlg"/>
    <x v="1032"/>
    <x v="23"/>
    <s v="No"/>
    <s v="Inglés"/>
    <n v="7.61"/>
    <n v="2"/>
    <n v="15.22"/>
    <x v="0"/>
    <m/>
    <x v="0"/>
  </r>
  <r>
    <n v="1148950653"/>
    <x v="3"/>
    <x v="2"/>
    <d v="2024-03-10T21:31:12"/>
    <s v="drkarys"/>
    <x v="1032"/>
    <x v="23"/>
    <s v="No"/>
    <s v="Inglés"/>
    <n v="7.11"/>
    <n v="2"/>
    <n v="14.22"/>
    <x v="0"/>
    <m/>
    <x v="0"/>
  </r>
  <r>
    <n v="1148768637"/>
    <x v="3"/>
    <x v="2"/>
    <d v="2024-03-09T11:25:59"/>
    <s v="Distritozero-Bilbao"/>
    <x v="1474"/>
    <x v="76"/>
    <s v="No"/>
    <s v="Inglés"/>
    <n v="5.85"/>
    <n v="2"/>
    <n v="11.7"/>
    <x v="0"/>
    <m/>
    <x v="0"/>
  </r>
  <r>
    <n v="1148768637"/>
    <x v="3"/>
    <x v="2"/>
    <d v="2024-03-09T11:25:59"/>
    <s v="Distritozero-Bilbao"/>
    <x v="1475"/>
    <x v="200"/>
    <s v="No"/>
    <s v="Inglés"/>
    <n v="0.1"/>
    <n v="2"/>
    <n v="0.2"/>
    <x v="0"/>
    <m/>
    <x v="0"/>
  </r>
  <r>
    <n v="1148670200"/>
    <x v="3"/>
    <x v="2"/>
    <d v="2024-03-08T13:47:38"/>
    <s v="MKMArby"/>
    <x v="1476"/>
    <x v="275"/>
    <s v="No"/>
    <s v="Inglés"/>
    <n v="18.29"/>
    <n v="1"/>
    <n v="18.29"/>
    <x v="1"/>
    <n v="18.29"/>
    <x v="0"/>
  </r>
  <r>
    <n v="1148609174"/>
    <x v="3"/>
    <x v="2"/>
    <d v="2024-03-08T10:23:54"/>
    <s v="Devian-Magic-Cards"/>
    <x v="1287"/>
    <x v="37"/>
    <s v="No"/>
    <s v="Inglés"/>
    <n v="0.57989473684210524"/>
    <n v="1"/>
    <n v="0.57989473684210524"/>
    <x v="0"/>
    <m/>
    <x v="0"/>
  </r>
  <r>
    <n v="1148609174"/>
    <x v="3"/>
    <x v="2"/>
    <d v="2024-03-08T10:23:54"/>
    <s v="Devian-Magic-Cards"/>
    <x v="1477"/>
    <x v="83"/>
    <s v="Si"/>
    <s v="Inglés"/>
    <n v="0.16568421052631579"/>
    <n v="4"/>
    <n v="0.66273684210526318"/>
    <x v="0"/>
    <m/>
    <x v="0"/>
  </r>
  <r>
    <n v="1148609174"/>
    <x v="3"/>
    <x v="2"/>
    <d v="2024-03-08T10:23:54"/>
    <s v="Devian-Magic-Cards"/>
    <x v="1478"/>
    <x v="127"/>
    <s v="Si"/>
    <s v="Inglés"/>
    <n v="1.28996992481203"/>
    <n v="4"/>
    <n v="5.15987969924812"/>
    <x v="0"/>
    <m/>
    <x v="0"/>
  </r>
  <r>
    <n v="1148609174"/>
    <x v="3"/>
    <x v="2"/>
    <d v="2024-03-08T10:23:54"/>
    <s v="Devian-Magic-Cards"/>
    <x v="322"/>
    <x v="37"/>
    <s v="No"/>
    <s v="Inglés"/>
    <n v="1.467488721804511"/>
    <n v="1"/>
    <n v="1.467488721804511"/>
    <x v="0"/>
    <m/>
    <x v="0"/>
  </r>
  <r>
    <n v="1148522844"/>
    <x v="3"/>
    <x v="2"/>
    <d v="2024-03-07T16:04:50"/>
    <s v="Berseti"/>
    <x v="1479"/>
    <x v="11"/>
    <s v="No"/>
    <s v="Inglés"/>
    <n v="2.3278173127987261"/>
    <n v="1"/>
    <n v="2.3278173127987261"/>
    <x v="0"/>
    <m/>
    <x v="0"/>
  </r>
  <r>
    <n v="1148522844"/>
    <x v="3"/>
    <x v="2"/>
    <d v="2024-03-07T16:04:50"/>
    <s v="Berseti"/>
    <x v="1480"/>
    <x v="15"/>
    <s v="No"/>
    <s v="Inglés"/>
    <n v="52.904938927243762"/>
    <n v="1"/>
    <n v="52.904938927243762"/>
    <x v="0"/>
    <m/>
    <x v="0"/>
  </r>
  <r>
    <n v="1148522844"/>
    <x v="3"/>
    <x v="2"/>
    <d v="2024-03-07T16:04:50"/>
    <s v="Berseti"/>
    <x v="1481"/>
    <x v="81"/>
    <s v="No"/>
    <s v="Inglés"/>
    <n v="42.323951141795007"/>
    <n v="1"/>
    <n v="42.323951141795007"/>
    <x v="0"/>
    <m/>
    <x v="0"/>
  </r>
  <r>
    <n v="1148522844"/>
    <x v="3"/>
    <x v="2"/>
    <d v="2024-03-07T16:04:50"/>
    <s v="Berseti"/>
    <x v="365"/>
    <x v="15"/>
    <s v="No"/>
    <s v="Inglés"/>
    <n v="1.26971853425385"/>
    <n v="1"/>
    <n v="1.26971853425385"/>
    <x v="0"/>
    <m/>
    <x v="0"/>
  </r>
  <r>
    <n v="1148522844"/>
    <x v="3"/>
    <x v="2"/>
    <d v="2024-03-07T16:04:50"/>
    <s v="Berseti"/>
    <x v="1482"/>
    <x v="67"/>
    <s v="No"/>
    <s v="Español"/>
    <n v="0.2645246946362188"/>
    <n v="3"/>
    <n v="0.79357408390865647"/>
    <x v="0"/>
    <m/>
    <x v="0"/>
  </r>
  <r>
    <n v="1146304491"/>
    <x v="3"/>
    <x v="2"/>
    <d v="2024-03-03T22:16:41"/>
    <s v="Beale"/>
    <x v="1198"/>
    <x v="225"/>
    <s v="No"/>
    <s v="Inglés"/>
    <n v="15.21"/>
    <n v="1"/>
    <n v="15.21"/>
    <x v="1"/>
    <n v="15.21"/>
    <x v="0"/>
  </r>
  <r>
    <n v="1147461534"/>
    <x v="3"/>
    <x v="2"/>
    <d v="2024-03-01T13:29:19"/>
    <s v="Skizo1312"/>
    <x v="1180"/>
    <x v="254"/>
    <s v="No"/>
    <s v="Español"/>
    <n v="13.21"/>
    <n v="1"/>
    <n v="13.21"/>
    <x v="1"/>
    <n v="13.21"/>
    <x v="0"/>
  </r>
  <r>
    <n v="1147741632"/>
    <x v="3"/>
    <x v="2"/>
    <d v="2024-03-01T07:57:58"/>
    <s v="Misticoo"/>
    <x v="1483"/>
    <x v="169"/>
    <s v="No"/>
    <s v="Inglés"/>
    <n v="16.169999999999998"/>
    <n v="1"/>
    <n v="16.169999999999998"/>
    <x v="1"/>
    <n v="16.169999999999998"/>
    <x v="0"/>
  </r>
  <r>
    <n v="1147461254"/>
    <x v="4"/>
    <x v="2"/>
    <d v="2024-02-28T01:30:26"/>
    <s v="samuwiizas33"/>
    <x v="1484"/>
    <x v="67"/>
    <s v="No"/>
    <s v="Español"/>
    <n v="2.02"/>
    <n v="1"/>
    <n v="2.02"/>
    <x v="1"/>
    <n v="2.02"/>
    <x v="0"/>
  </r>
  <r>
    <n v="1147185687"/>
    <x v="4"/>
    <x v="2"/>
    <d v="2024-02-26T00:09:55"/>
    <s v="MaxwellTC"/>
    <x v="1485"/>
    <x v="210"/>
    <s v="No"/>
    <s v="Inglés"/>
    <n v="6.1912500000000001"/>
    <n v="1"/>
    <n v="6.1912500000000001"/>
    <x v="0"/>
    <m/>
    <x v="0"/>
  </r>
  <r>
    <n v="1147185687"/>
    <x v="4"/>
    <x v="2"/>
    <d v="2024-02-26T00:09:55"/>
    <s v="MaxwellTC"/>
    <x v="1486"/>
    <x v="276"/>
    <s v="No"/>
    <s v="Inglés"/>
    <n v="1.42875"/>
    <n v="1"/>
    <n v="1.42875"/>
    <x v="0"/>
    <m/>
    <x v="0"/>
  </r>
  <r>
    <n v="1147180690"/>
    <x v="4"/>
    <x v="2"/>
    <d v="2024-02-26T00:09:55"/>
    <s v="Frawks"/>
    <x v="349"/>
    <x v="93"/>
    <s v="No"/>
    <s v="Inglés"/>
    <n v="6.22"/>
    <n v="1"/>
    <n v="6.22"/>
    <x v="0"/>
    <m/>
    <x v="0"/>
  </r>
  <r>
    <n v="1147180671"/>
    <x v="4"/>
    <x v="2"/>
    <d v="2024-02-26T00:09:55"/>
    <s v="mgl00"/>
    <x v="1487"/>
    <x v="103"/>
    <s v="No"/>
    <s v="Inglés"/>
    <n v="3.0968510638297868"/>
    <n v="1"/>
    <n v="3.0968510638297868"/>
    <x v="0"/>
    <m/>
    <x v="0"/>
  </r>
  <r>
    <n v="1147180671"/>
    <x v="4"/>
    <x v="2"/>
    <d v="2024-02-26T00:09:55"/>
    <s v="mgl00"/>
    <x v="349"/>
    <x v="93"/>
    <s v="No"/>
    <s v="Inglés"/>
    <n v="5.1731489361702128"/>
    <n v="1"/>
    <n v="5.1731489361702128"/>
    <x v="0"/>
    <m/>
    <x v="0"/>
  </r>
  <r>
    <n v="1147134772"/>
    <x v="4"/>
    <x v="2"/>
    <d v="2024-02-26T00:09:55"/>
    <s v="Mazvigosl"/>
    <x v="1488"/>
    <x v="234"/>
    <s v="Si"/>
    <s v="Inglés"/>
    <n v="0.85247077162899454"/>
    <n v="4"/>
    <n v="3.4098830865159782"/>
    <x v="0"/>
    <m/>
    <x v="0"/>
  </r>
  <r>
    <n v="1147134772"/>
    <x v="4"/>
    <x v="2"/>
    <d v="2024-02-26T00:09:55"/>
    <s v="Mazvigosl"/>
    <x v="1489"/>
    <x v="12"/>
    <s v="Si"/>
    <s v="Inglés"/>
    <n v="0.13823850350740449"/>
    <n v="4"/>
    <n v="0.55295401402961797"/>
    <x v="0"/>
    <m/>
    <x v="0"/>
  </r>
  <r>
    <n v="1147134772"/>
    <x v="4"/>
    <x v="2"/>
    <d v="2024-02-26T00:09:55"/>
    <s v="Mazvigosl"/>
    <x v="1490"/>
    <x v="170"/>
    <s v="Si"/>
    <s v="Inglés"/>
    <n v="0.27647700701480898"/>
    <n v="4"/>
    <n v="1.1059080280592359"/>
    <x v="0"/>
    <m/>
    <x v="0"/>
  </r>
  <r>
    <n v="1147134772"/>
    <x v="4"/>
    <x v="2"/>
    <d v="2024-02-26T00:09:55"/>
    <s v="Mazvigosl"/>
    <x v="1491"/>
    <x v="113"/>
    <s v="No"/>
    <s v="Inglés"/>
    <n v="0.55295401402961808"/>
    <n v="1"/>
    <n v="0.55295401402961808"/>
    <x v="0"/>
    <m/>
    <x v="0"/>
  </r>
  <r>
    <n v="1147134772"/>
    <x v="4"/>
    <x v="2"/>
    <d v="2024-02-26T00:09:55"/>
    <s v="Mazvigosl"/>
    <x v="1492"/>
    <x v="64"/>
    <s v="Si"/>
    <s v="Inglés"/>
    <n v="0.161278254091972"/>
    <n v="4"/>
    <n v="0.64511301636788798"/>
    <x v="0"/>
    <m/>
    <x v="0"/>
  </r>
  <r>
    <n v="1147134772"/>
    <x v="4"/>
    <x v="2"/>
    <d v="2024-02-26T00:09:55"/>
    <s v="Mazvigosl"/>
    <x v="1493"/>
    <x v="168"/>
    <s v="Si"/>
    <s v="Inglés"/>
    <n v="0.1958378799688231"/>
    <n v="4"/>
    <n v="0.78335151987529239"/>
    <x v="0"/>
    <m/>
    <x v="0"/>
  </r>
  <r>
    <n v="1147134772"/>
    <x v="4"/>
    <x v="2"/>
    <d v="2024-02-26T00:09:55"/>
    <s v="Mazvigosl"/>
    <x v="1494"/>
    <x v="212"/>
    <s v="No"/>
    <s v="Inglés"/>
    <n v="0.13823850350740449"/>
    <n v="2"/>
    <n v="0.27647700701480898"/>
    <x v="0"/>
    <m/>
    <x v="0"/>
  </r>
  <r>
    <n v="1147134772"/>
    <x v="4"/>
    <x v="2"/>
    <d v="2024-02-26T00:09:55"/>
    <s v="Mazvigosl"/>
    <x v="1495"/>
    <x v="64"/>
    <s v="Si"/>
    <s v="Inglés"/>
    <n v="0.161278254091972"/>
    <n v="4"/>
    <n v="0.64511301636788798"/>
    <x v="0"/>
    <m/>
    <x v="0"/>
  </r>
  <r>
    <n v="1147134772"/>
    <x v="4"/>
    <x v="2"/>
    <d v="2024-02-26T00:09:55"/>
    <s v="Mazvigosl"/>
    <x v="1496"/>
    <x v="170"/>
    <s v="No"/>
    <s v="Inglés"/>
    <n v="0.161278254091972"/>
    <n v="2"/>
    <n v="0.32255650818394399"/>
    <x v="0"/>
    <m/>
    <x v="0"/>
  </r>
  <r>
    <n v="1147134772"/>
    <x v="4"/>
    <x v="2"/>
    <d v="2024-02-26T00:09:55"/>
    <s v="Mazvigosl"/>
    <x v="1497"/>
    <x v="113"/>
    <s v="No"/>
    <s v="Inglés"/>
    <n v="0.74879189399844115"/>
    <n v="1"/>
    <n v="0.74879189399844115"/>
    <x v="0"/>
    <m/>
    <x v="0"/>
  </r>
  <r>
    <n v="1147134772"/>
    <x v="4"/>
    <x v="2"/>
    <d v="2024-02-26T00:09:55"/>
    <s v="Mazvigosl"/>
    <x v="1498"/>
    <x v="170"/>
    <s v="No"/>
    <s v="Inglés"/>
    <n v="0.40319563522992979"/>
    <n v="1"/>
    <n v="0.40319563522992979"/>
    <x v="0"/>
    <m/>
    <x v="0"/>
  </r>
  <r>
    <n v="1147134772"/>
    <x v="4"/>
    <x v="2"/>
    <d v="2024-02-26T00:09:55"/>
    <s v="Mazvigosl"/>
    <x v="238"/>
    <x v="67"/>
    <s v="Si"/>
    <s v="Inglés"/>
    <n v="0.1958378799688231"/>
    <n v="4"/>
    <n v="0.78335151987529239"/>
    <x v="0"/>
    <m/>
    <x v="0"/>
  </r>
  <r>
    <n v="1147134772"/>
    <x v="4"/>
    <x v="2"/>
    <d v="2024-02-26T00:09:55"/>
    <s v="Mazvigosl"/>
    <x v="1003"/>
    <x v="200"/>
    <s v="No"/>
    <s v="Inglés"/>
    <n v="0.40319563522992968"/>
    <n v="3"/>
    <n v="1.209586905689789"/>
    <x v="0"/>
    <m/>
    <x v="0"/>
  </r>
  <r>
    <n v="1147134772"/>
    <x v="4"/>
    <x v="2"/>
    <d v="2024-02-26T00:09:55"/>
    <s v="Mazvigosl"/>
    <x v="469"/>
    <x v="171"/>
    <s v="No"/>
    <s v="Inglés"/>
    <n v="1.6703819173811381"/>
    <n v="2"/>
    <n v="3.3407638347622761"/>
    <x v="0"/>
    <m/>
    <x v="0"/>
  </r>
  <r>
    <n v="1146944509"/>
    <x v="4"/>
    <x v="2"/>
    <d v="2024-02-24T10:02:02"/>
    <s v="Magic-Industria-61"/>
    <x v="1499"/>
    <x v="115"/>
    <s v="No"/>
    <s v="Inglés"/>
    <n v="11.71"/>
    <n v="1"/>
    <n v="11.71"/>
    <x v="1"/>
    <n v="11.71"/>
    <x v="0"/>
  </r>
  <r>
    <n v="1146287863"/>
    <x v="4"/>
    <x v="2"/>
    <d v="2024-02-23T12:25:53"/>
    <s v="kuerpo"/>
    <x v="521"/>
    <x v="139"/>
    <s v="No"/>
    <s v="Español"/>
    <n v="80.42"/>
    <n v="1"/>
    <n v="80.42"/>
    <x v="1"/>
    <n v="80.42"/>
    <x v="0"/>
  </r>
  <r>
    <n v="1146353591"/>
    <x v="4"/>
    <x v="2"/>
    <d v="2024-02-19T23:39:31"/>
    <s v="Onlycards"/>
    <x v="1500"/>
    <x v="199"/>
    <s v="No"/>
    <s v="Inglés"/>
    <n v="0.21422740524781339"/>
    <n v="1"/>
    <n v="0.21422740524781339"/>
    <x v="0"/>
    <m/>
    <x v="0"/>
  </r>
  <r>
    <n v="1146353591"/>
    <x v="4"/>
    <x v="2"/>
    <d v="2024-02-19T23:39:31"/>
    <s v="Onlycards"/>
    <x v="716"/>
    <x v="76"/>
    <s v="No"/>
    <s v="Inglés"/>
    <n v="4.8094052478134106"/>
    <n v="1"/>
    <n v="4.8094052478134106"/>
    <x v="0"/>
    <m/>
    <x v="0"/>
  </r>
  <r>
    <n v="1146353591"/>
    <x v="4"/>
    <x v="2"/>
    <d v="2024-02-19T23:39:31"/>
    <s v="Onlycards"/>
    <x v="1500"/>
    <x v="199"/>
    <s v="No"/>
    <s v="Inglés"/>
    <n v="0.21422740524781339"/>
    <n v="3"/>
    <n v="0.6426822157434402"/>
    <x v="0"/>
    <m/>
    <x v="0"/>
  </r>
  <r>
    <n v="1146353591"/>
    <x v="4"/>
    <x v="2"/>
    <d v="2024-02-19T23:39:31"/>
    <s v="Onlycards"/>
    <x v="1501"/>
    <x v="133"/>
    <s v="Si"/>
    <s v="Inglés"/>
    <n v="0.21422740524781339"/>
    <n v="4"/>
    <n v="0.85690962099125356"/>
    <x v="0"/>
    <m/>
    <x v="0"/>
  </r>
  <r>
    <n v="1146353591"/>
    <x v="4"/>
    <x v="2"/>
    <d v="2024-02-19T23:39:31"/>
    <s v="Onlycards"/>
    <x v="716"/>
    <x v="76"/>
    <s v="No"/>
    <s v="Inglés"/>
    <n v="5.9233877551020413"/>
    <n v="2"/>
    <n v="11.846775510204083"/>
    <x v="0"/>
    <m/>
    <x v="0"/>
  </r>
  <r>
    <n v="1146083641"/>
    <x v="4"/>
    <x v="2"/>
    <d v="2024-02-17T02:32:16"/>
    <s v="Pingypongy"/>
    <x v="1502"/>
    <x v="39"/>
    <s v="No"/>
    <s v="Alemán"/>
    <n v="5.7566666666666668"/>
    <n v="3"/>
    <n v="17.27"/>
    <x v="1"/>
    <n v="17.27"/>
    <x v="0"/>
  </r>
  <r>
    <n v="1146009928"/>
    <x v="4"/>
    <x v="2"/>
    <d v="2024-02-17T01:32:06"/>
    <s v="Mazvigosl"/>
    <x v="1503"/>
    <x v="76"/>
    <s v="Si"/>
    <s v="Inglés"/>
    <n v="0.57089241034195159"/>
    <n v="4"/>
    <n v="2.2835696413678064"/>
    <x v="0"/>
    <m/>
    <x v="0"/>
  </r>
  <r>
    <n v="1146009928"/>
    <x v="4"/>
    <x v="2"/>
    <d v="2024-02-17T01:32:06"/>
    <s v="Mazvigosl"/>
    <x v="1504"/>
    <x v="62"/>
    <s v="Si"/>
    <s v="Inglés"/>
    <n v="0.2854462051709758"/>
    <n v="4"/>
    <n v="1.1417848206839032"/>
    <x v="0"/>
    <m/>
    <x v="0"/>
  </r>
  <r>
    <n v="1146009928"/>
    <x v="4"/>
    <x v="2"/>
    <d v="2024-02-17T01:32:06"/>
    <s v="Mazvigosl"/>
    <x v="309"/>
    <x v="76"/>
    <s v="Si"/>
    <s v="Inglés"/>
    <n v="0.39962468723936612"/>
    <n v="4"/>
    <n v="1.5984987489574645"/>
    <x v="0"/>
    <m/>
    <x v="0"/>
  </r>
  <r>
    <n v="1146009928"/>
    <x v="4"/>
    <x v="2"/>
    <d v="2024-02-17T01:32:06"/>
    <s v="Mazvigosl"/>
    <x v="1505"/>
    <x v="62"/>
    <s v="Si"/>
    <s v="Inglés"/>
    <n v="0.2854462051709758"/>
    <n v="4"/>
    <n v="1.1417848206839032"/>
    <x v="0"/>
    <m/>
    <x v="0"/>
  </r>
  <r>
    <n v="1146009928"/>
    <x v="4"/>
    <x v="2"/>
    <d v="2024-02-17T01:32:06"/>
    <s v="Mazvigosl"/>
    <x v="1506"/>
    <x v="76"/>
    <s v="Si"/>
    <s v="Inglés"/>
    <n v="0.2854462051709758"/>
    <n v="4"/>
    <n v="1.1417848206839032"/>
    <x v="0"/>
    <m/>
    <x v="0"/>
  </r>
  <r>
    <n v="1146009928"/>
    <x v="4"/>
    <x v="2"/>
    <d v="2024-02-17T01:32:06"/>
    <s v="Mazvigosl"/>
    <x v="1507"/>
    <x v="170"/>
    <s v="Si"/>
    <s v="Inglés"/>
    <n v="0.17126772310258551"/>
    <n v="4"/>
    <n v="0.68507089241034202"/>
    <x v="0"/>
    <m/>
    <x v="0"/>
  </r>
  <r>
    <n v="1146009928"/>
    <x v="4"/>
    <x v="2"/>
    <d v="2024-02-17T01:32:06"/>
    <s v="Mazvigosl"/>
    <x v="1508"/>
    <x v="200"/>
    <s v="Si"/>
    <s v="Inglés"/>
    <n v="0.1370141784820684"/>
    <n v="4"/>
    <n v="0.5480567139282736"/>
    <x v="0"/>
    <m/>
    <x v="0"/>
  </r>
  <r>
    <n v="1146009928"/>
    <x v="4"/>
    <x v="2"/>
    <d v="2024-02-17T01:32:06"/>
    <s v="Mazvigosl"/>
    <x v="1509"/>
    <x v="46"/>
    <s v="No"/>
    <s v="Inglés"/>
    <n v="0.26261050875729769"/>
    <n v="2"/>
    <n v="0.52522101751459538"/>
    <x v="0"/>
    <m/>
    <x v="0"/>
  </r>
  <r>
    <n v="1146009928"/>
    <x v="4"/>
    <x v="2"/>
    <d v="2024-02-17T01:32:06"/>
    <s v="Mazvigosl"/>
    <x v="1510"/>
    <x v="200"/>
    <s v="No"/>
    <s v="Inglés"/>
    <n v="0.2854462051709758"/>
    <n v="2"/>
    <n v="0.57089241034195159"/>
    <x v="0"/>
    <m/>
    <x v="0"/>
  </r>
  <r>
    <n v="1146009928"/>
    <x v="4"/>
    <x v="2"/>
    <d v="2024-02-17T01:32:06"/>
    <s v="Mazvigosl"/>
    <x v="1511"/>
    <x v="277"/>
    <s v="No"/>
    <s v="Inglés"/>
    <n v="0.51380316930775649"/>
    <n v="2"/>
    <n v="1.027606338615513"/>
    <x v="0"/>
    <m/>
    <x v="0"/>
  </r>
  <r>
    <n v="1146009928"/>
    <x v="4"/>
    <x v="2"/>
    <d v="2024-02-17T01:32:06"/>
    <s v="Mazvigosl"/>
    <x v="1512"/>
    <x v="212"/>
    <s v="No"/>
    <s v="Inglés"/>
    <n v="1.027606338615513"/>
    <n v="2"/>
    <n v="2.055212677231026"/>
    <x v="0"/>
    <m/>
    <x v="0"/>
  </r>
  <r>
    <n v="1146009928"/>
    <x v="4"/>
    <x v="2"/>
    <d v="2024-02-17T01:32:06"/>
    <s v="Mazvigosl"/>
    <x v="1513"/>
    <x v="76"/>
    <s v="No"/>
    <s v="Inglés"/>
    <n v="0.38820683903252712"/>
    <n v="2"/>
    <n v="0.77641367806505424"/>
    <x v="0"/>
    <m/>
    <x v="0"/>
  </r>
  <r>
    <n v="1146009928"/>
    <x v="4"/>
    <x v="2"/>
    <d v="2024-02-17T01:32:06"/>
    <s v="Mazvigosl"/>
    <x v="1122"/>
    <x v="76"/>
    <s v="Si"/>
    <s v="Inglés"/>
    <n v="0.68507089241034191"/>
    <n v="4"/>
    <n v="2.7402835696413677"/>
    <x v="0"/>
    <m/>
    <x v="0"/>
  </r>
  <r>
    <n v="1146009928"/>
    <x v="4"/>
    <x v="2"/>
    <d v="2024-02-17T01:32:06"/>
    <s v="Mazvigosl"/>
    <x v="1114"/>
    <x v="76"/>
    <s v="Si"/>
    <s v="Inglés"/>
    <n v="0.68507089241034191"/>
    <n v="4"/>
    <n v="2.7402835696413677"/>
    <x v="0"/>
    <m/>
    <x v="0"/>
  </r>
  <r>
    <n v="1146009928"/>
    <x v="4"/>
    <x v="2"/>
    <d v="2024-02-17T01:32:06"/>
    <s v="Mazvigosl"/>
    <x v="1110"/>
    <x v="76"/>
    <s v="Si"/>
    <s v="Inglés"/>
    <n v="0.62798165137614681"/>
    <n v="4"/>
    <n v="2.5119266055045872"/>
    <x v="0"/>
    <m/>
    <x v="0"/>
  </r>
  <r>
    <n v="1146009928"/>
    <x v="4"/>
    <x v="2"/>
    <d v="2024-02-17T01:32:06"/>
    <s v="Mazvigosl"/>
    <x v="1118"/>
    <x v="76"/>
    <s v="Si"/>
    <s v="Inglés"/>
    <n v="0.67365304420350292"/>
    <n v="4"/>
    <n v="2.6946121768140117"/>
    <x v="0"/>
    <m/>
    <x v="0"/>
  </r>
  <r>
    <n v="1146009928"/>
    <x v="4"/>
    <x v="2"/>
    <d v="2024-02-17T01:32:06"/>
    <s v="Mazvigosl"/>
    <x v="1126"/>
    <x v="76"/>
    <s v="Si"/>
    <s v="Inglés"/>
    <n v="0.79924937447873223"/>
    <n v="4"/>
    <n v="3.1969974979149289"/>
    <x v="0"/>
    <m/>
    <x v="0"/>
  </r>
  <r>
    <n v="1145276964"/>
    <x v="4"/>
    <x v="2"/>
    <d v="2024-02-16T11:56:38"/>
    <s v="danilopezdiaz"/>
    <x v="862"/>
    <x v="278"/>
    <s v="No"/>
    <s v="Español"/>
    <n v="4.21"/>
    <n v="1"/>
    <n v="4.21"/>
    <x v="1"/>
    <n v="4.21"/>
    <x v="0"/>
  </r>
  <r>
    <n v="1145804280"/>
    <x v="4"/>
    <x v="2"/>
    <d v="2024-02-14T22:33:08"/>
    <s v="Davaloart"/>
    <x v="1514"/>
    <x v="219"/>
    <s v="No"/>
    <s v="Español"/>
    <n v="1.72"/>
    <n v="1"/>
    <n v="1.72"/>
    <x v="1"/>
    <n v="1.72"/>
    <x v="0"/>
  </r>
  <r>
    <n v="1145617307"/>
    <x v="4"/>
    <x v="2"/>
    <d v="2024-02-13T12:00:00"/>
    <s v="Homie-G"/>
    <x v="1515"/>
    <x v="120"/>
    <s v="No"/>
    <s v="Inglés"/>
    <n v="1.72"/>
    <n v="1"/>
    <n v="1.72"/>
    <x v="0"/>
    <m/>
    <x v="0"/>
  </r>
  <r>
    <n v="1145617302"/>
    <x v="4"/>
    <x v="2"/>
    <d v="2024-02-13T12:00:00"/>
    <s v="Enzo"/>
    <x v="1515"/>
    <x v="120"/>
    <s v="No"/>
    <s v="Inglés"/>
    <n v="1.72"/>
    <n v="1"/>
    <n v="1.72"/>
    <x v="0"/>
    <m/>
    <x v="0"/>
  </r>
  <r>
    <n v="1145607221"/>
    <x v="4"/>
    <x v="2"/>
    <d v="2024-02-13T12:00:00"/>
    <s v="MTGcardmarket01"/>
    <x v="267"/>
    <x v="83"/>
    <s v="No"/>
    <s v="Inglés"/>
    <n v="1.51"/>
    <n v="2"/>
    <n v="3.02"/>
    <x v="0"/>
    <m/>
    <x v="0"/>
  </r>
  <r>
    <n v="1145591681"/>
    <x v="4"/>
    <x v="2"/>
    <d v="2024-02-13T06:45:50"/>
    <s v="Greg0rEng"/>
    <x v="798"/>
    <x v="279"/>
    <s v="Si"/>
    <s v="Inglés"/>
    <n v="4.1875"/>
    <n v="4"/>
    <n v="16.75"/>
    <x v="0"/>
    <m/>
    <x v="0"/>
  </r>
  <r>
    <n v="1145280982"/>
    <x v="4"/>
    <x v="2"/>
    <d v="2024-02-10T21:46:27"/>
    <s v="Ghoulsito"/>
    <x v="1516"/>
    <x v="269"/>
    <s v="No"/>
    <s v="Español"/>
    <n v="12.21"/>
    <n v="1"/>
    <n v="12.21"/>
    <x v="1"/>
    <n v="12.21"/>
    <x v="0"/>
  </r>
  <r>
    <s v="CVSALE-1145214768-01"/>
    <x v="4"/>
    <x v="2"/>
    <d v="2024-02-10T19:41:24"/>
    <s v="Venta asociada sin pedido identificado"/>
    <x v="1517"/>
    <x v="77"/>
    <s v="No"/>
    <s v="Inglés"/>
    <n v="47.62"/>
    <n v="1"/>
    <n v="47.62"/>
    <x v="1"/>
    <n v="47.62"/>
    <x v="0"/>
  </r>
  <r>
    <n v="1145214768"/>
    <x v="4"/>
    <x v="2"/>
    <d v="2024-02-10T19:41:24"/>
    <s v="Alexander1907"/>
    <x v="1517"/>
    <x v="77"/>
    <s v="No"/>
    <s v="Inglés"/>
    <n v="16.170000000000002"/>
    <n v="1"/>
    <n v="16.170000000000002"/>
    <x v="0"/>
    <m/>
    <x v="0"/>
  </r>
  <r>
    <n v="1143673463"/>
    <x v="4"/>
    <x v="2"/>
    <d v="2024-02-09T21:35:21"/>
    <s v="fallingsteve"/>
    <x v="1499"/>
    <x v="192"/>
    <s v="No"/>
    <s v="Español"/>
    <n v="10.638020833333334"/>
    <n v="1"/>
    <n v="10.638020833333334"/>
    <x v="1"/>
    <n v="10.638020833333334"/>
    <x v="0"/>
  </r>
  <r>
    <n v="1145048347"/>
    <x v="4"/>
    <x v="2"/>
    <d v="2024-02-09T06:54:35"/>
    <s v="Distritozero-Bilbao"/>
    <x v="1023"/>
    <x v="76"/>
    <s v="Si"/>
    <s v="Inglés"/>
    <n v="9.5"/>
    <n v="4"/>
    <n v="38"/>
    <x v="0"/>
    <m/>
    <x v="0"/>
  </r>
  <r>
    <n v="1145002820"/>
    <x v="4"/>
    <x v="2"/>
    <d v="2024-02-08T20:01:06"/>
    <s v="Zmrtka"/>
    <x v="1518"/>
    <x v="60"/>
    <s v="Si"/>
    <s v="Inglés"/>
    <n v="207.48"/>
    <n v="1"/>
    <n v="207.48"/>
    <x v="0"/>
    <m/>
    <x v="0"/>
  </r>
  <r>
    <n v="1144957029"/>
    <x v="4"/>
    <x v="2"/>
    <d v="2024-02-08T15:02:01"/>
    <s v="Xellhios"/>
    <x v="1519"/>
    <x v="34"/>
    <s v="No"/>
    <s v="Inglés"/>
    <n v="5.29"/>
    <n v="1"/>
    <n v="5.29"/>
    <x v="1"/>
    <n v="5.29"/>
    <x v="0"/>
  </r>
  <r>
    <n v="1144834395"/>
    <x v="4"/>
    <x v="2"/>
    <d v="2024-02-07T14:56:01"/>
    <s v="Rolok99"/>
    <x v="1520"/>
    <x v="207"/>
    <s v="No"/>
    <s v="Español"/>
    <n v="9.2100000000000009"/>
    <n v="1"/>
    <n v="9.2100000000000009"/>
    <x v="1"/>
    <n v="9.2100000000000009"/>
    <x v="0"/>
  </r>
  <r>
    <n v="1144803180"/>
    <x v="4"/>
    <x v="2"/>
    <d v="2024-02-07T09:58:21"/>
    <s v="Dobi-trading-CZ"/>
    <x v="1163"/>
    <x v="62"/>
    <s v="No"/>
    <s v="Inglés"/>
    <n v="5.2840047904191616"/>
    <n v="1"/>
    <n v="5.2840047904191616"/>
    <x v="0"/>
    <m/>
    <x v="0"/>
  </r>
  <r>
    <n v="1144803180"/>
    <x v="4"/>
    <x v="2"/>
    <d v="2024-02-07T09:58:21"/>
    <s v="Dobi-trading-CZ"/>
    <x v="604"/>
    <x v="62"/>
    <s v="No"/>
    <s v="Inglés"/>
    <n v="5.2840047904191616"/>
    <n v="1"/>
    <n v="5.2840047904191616"/>
    <x v="0"/>
    <m/>
    <x v="0"/>
  </r>
  <r>
    <n v="1144803180"/>
    <x v="4"/>
    <x v="2"/>
    <d v="2024-02-07T09:58:21"/>
    <s v="Dobi-trading-CZ"/>
    <x v="1521"/>
    <x v="62"/>
    <s v="No"/>
    <s v="Inglés"/>
    <n v="4.7254419161676653"/>
    <n v="1"/>
    <n v="4.7254419161676653"/>
    <x v="0"/>
    <m/>
    <x v="0"/>
  </r>
  <r>
    <n v="1144803180"/>
    <x v="4"/>
    <x v="2"/>
    <d v="2024-02-07T09:58:21"/>
    <s v="Dobi-trading-CZ"/>
    <x v="1455"/>
    <x v="62"/>
    <s v="No"/>
    <s v="Inglés"/>
    <n v="4.7254419161676653"/>
    <n v="1"/>
    <n v="4.7254419161676653"/>
    <x v="0"/>
    <m/>
    <x v="0"/>
  </r>
  <r>
    <n v="1144803180"/>
    <x v="4"/>
    <x v="2"/>
    <d v="2024-02-07T09:58:21"/>
    <s v="Dobi-trading-CZ"/>
    <x v="928"/>
    <x v="62"/>
    <s v="No"/>
    <s v="Inglés"/>
    <n v="4.7254419161676653"/>
    <n v="1"/>
    <n v="4.7254419161676653"/>
    <x v="0"/>
    <m/>
    <x v="0"/>
  </r>
  <r>
    <n v="1144803180"/>
    <x v="4"/>
    <x v="2"/>
    <d v="2024-02-07T09:58:21"/>
    <s v="Dobi-trading-CZ"/>
    <x v="1522"/>
    <x v="62"/>
    <s v="No"/>
    <s v="Inglés"/>
    <n v="4.1445365269461076"/>
    <n v="1"/>
    <n v="4.1445365269461076"/>
    <x v="0"/>
    <m/>
    <x v="0"/>
  </r>
  <r>
    <n v="1144803180"/>
    <x v="4"/>
    <x v="2"/>
    <d v="2024-02-07T09:58:21"/>
    <s v="Dobi-trading-CZ"/>
    <x v="929"/>
    <x v="62"/>
    <s v="No"/>
    <s v="Inglés"/>
    <n v="3.8764263473053888"/>
    <n v="1"/>
    <n v="3.8764263473053888"/>
    <x v="0"/>
    <m/>
    <x v="0"/>
  </r>
  <r>
    <n v="1144803180"/>
    <x v="4"/>
    <x v="2"/>
    <d v="2024-02-07T09:58:21"/>
    <s v="Dobi-trading-CZ"/>
    <x v="516"/>
    <x v="62"/>
    <s v="No"/>
    <s v="Inglés"/>
    <n v="4.7142706586826346"/>
    <n v="1"/>
    <n v="4.7142706586826346"/>
    <x v="0"/>
    <m/>
    <x v="0"/>
  </r>
  <r>
    <n v="1144803180"/>
    <x v="4"/>
    <x v="2"/>
    <d v="2024-02-07T09:58:21"/>
    <s v="Dobi-trading-CZ"/>
    <x v="254"/>
    <x v="62"/>
    <s v="No"/>
    <s v="Inglés"/>
    <n v="3.8764263473053888"/>
    <n v="1"/>
    <n v="3.8764263473053888"/>
    <x v="0"/>
    <m/>
    <x v="0"/>
  </r>
  <r>
    <n v="1144803180"/>
    <x v="4"/>
    <x v="2"/>
    <d v="2024-02-07T09:58:21"/>
    <s v="Dobi-trading-CZ"/>
    <x v="717"/>
    <x v="62"/>
    <s v="No"/>
    <s v="Inglés"/>
    <n v="5.2840047904191616"/>
    <n v="1"/>
    <n v="5.2840047904191616"/>
    <x v="0"/>
    <m/>
    <x v="0"/>
  </r>
  <r>
    <n v="1142998778"/>
    <x v="4"/>
    <x v="2"/>
    <d v="2024-02-05T18:59:47"/>
    <s v="Luzeon"/>
    <x v="1499"/>
    <x v="192"/>
    <s v="No"/>
    <s v="Español"/>
    <n v="10.671263275572946"/>
    <n v="1"/>
    <n v="10.671263275572946"/>
    <x v="1"/>
    <n v="10.671263275572946"/>
    <x v="0"/>
  </r>
  <r>
    <n v="1144413764"/>
    <x v="4"/>
    <x v="2"/>
    <d v="2024-02-04T17:40:29"/>
    <s v="Metropolis-Center"/>
    <x v="1523"/>
    <x v="62"/>
    <s v="Si"/>
    <s v="Inglés"/>
    <n v="2.6428068410462782"/>
    <n v="4"/>
    <n v="10.571227364185113"/>
    <x v="0"/>
    <m/>
    <x v="0"/>
  </r>
  <r>
    <n v="1144413764"/>
    <x v="4"/>
    <x v="2"/>
    <d v="2024-02-04T17:40:29"/>
    <s v="Metropolis-Center"/>
    <x v="1524"/>
    <x v="76"/>
    <s v="Si"/>
    <s v="Inglés"/>
    <n v="2.1121227364185109"/>
    <n v="4"/>
    <n v="8.4484909456740436"/>
    <x v="0"/>
    <m/>
    <x v="0"/>
  </r>
  <r>
    <n v="1144413764"/>
    <x v="4"/>
    <x v="2"/>
    <d v="2024-02-04T17:40:29"/>
    <s v="Metropolis-Center"/>
    <x v="1525"/>
    <x v="76"/>
    <s v="Si"/>
    <s v="Inglés"/>
    <n v="0.5200704225352113"/>
    <n v="4"/>
    <n v="2.0802816901408452"/>
    <x v="0"/>
    <m/>
    <x v="0"/>
  </r>
  <r>
    <n v="1144313528"/>
    <x v="4"/>
    <x v="2"/>
    <d v="2024-02-04T06:12:08"/>
    <s v="BecketBrass91"/>
    <x v="1526"/>
    <x v="8"/>
    <s v="No"/>
    <s v="Inglés"/>
    <n v="12.29"/>
    <n v="1"/>
    <n v="12.29"/>
    <x v="1"/>
    <n v="12.29"/>
    <x v="0"/>
  </r>
  <r>
    <n v="1144228930"/>
    <x v="4"/>
    <x v="2"/>
    <d v="2024-02-02T22:37:58"/>
    <s v="Olandurai"/>
    <x v="1520"/>
    <x v="115"/>
    <s v="No"/>
    <s v="Español"/>
    <n v="9.2100000000000009"/>
    <n v="1"/>
    <n v="9.2100000000000009"/>
    <x v="1"/>
    <n v="9.2100000000000009"/>
    <x v="0"/>
  </r>
  <r>
    <n v="1143358804"/>
    <x v="4"/>
    <x v="2"/>
    <d v="2024-02-01T10:32:55"/>
    <s v="Wiyou13"/>
    <x v="1527"/>
    <x v="117"/>
    <s v="No"/>
    <s v="Inglés"/>
    <n v="13.21"/>
    <n v="1"/>
    <n v="13.21"/>
    <x v="1"/>
    <n v="13.21"/>
    <x v="0"/>
  </r>
  <r>
    <n v="1143914908"/>
    <x v="5"/>
    <x v="2"/>
    <d v="2024-01-31T12:59:41"/>
    <s v="sekkuar"/>
    <x v="1528"/>
    <x v="146"/>
    <s v="No"/>
    <s v="Inglés"/>
    <n v="0.55626205191594558"/>
    <n v="1"/>
    <n v="0.55626205191594558"/>
    <x v="0"/>
    <m/>
    <x v="0"/>
  </r>
  <r>
    <n v="1143914908"/>
    <x v="5"/>
    <x v="2"/>
    <d v="2024-01-31T12:59:41"/>
    <s v="sekkuar"/>
    <x v="1529"/>
    <x v="158"/>
    <s v="Si"/>
    <s v="Inglés"/>
    <n v="11.340934487021009"/>
    <n v="4"/>
    <n v="45.363737948084037"/>
    <x v="0"/>
    <m/>
    <x v="0"/>
  </r>
  <r>
    <s v="CVSALE-1143910475-01"/>
    <x v="5"/>
    <x v="2"/>
    <d v="2024-01-31T12:53:02"/>
    <s v="Venta asociada sin pedido identificado"/>
    <x v="1530"/>
    <x v="212"/>
    <s v="Si"/>
    <s v="Inglés"/>
    <n v="0.9554166666666668"/>
    <n v="4"/>
    <n v="3.8216666666666672"/>
    <x v="1"/>
    <n v="3.8216666666666672"/>
    <x v="0"/>
  </r>
  <r>
    <n v="1143910475"/>
    <x v="5"/>
    <x v="2"/>
    <d v="2024-01-31T12:53:02"/>
    <s v="Mazvigosl"/>
    <x v="1512"/>
    <x v="212"/>
    <s v="No"/>
    <s v="Español"/>
    <n v="0.51617647058823535"/>
    <n v="2"/>
    <n v="1.0323529411764707"/>
    <x v="0"/>
    <m/>
    <x v="0"/>
  </r>
  <r>
    <n v="1143910475"/>
    <x v="5"/>
    <x v="2"/>
    <d v="2024-01-31T12:53:02"/>
    <s v="Mazvigosl"/>
    <x v="1531"/>
    <x v="195"/>
    <s v="Si"/>
    <s v="Inglés"/>
    <n v="0.1605882352941177"/>
    <n v="4"/>
    <n v="0.64235294117647079"/>
    <x v="0"/>
    <m/>
    <x v="0"/>
  </r>
  <r>
    <n v="1143910475"/>
    <x v="5"/>
    <x v="2"/>
    <d v="2024-01-31T12:53:02"/>
    <s v="Mazvigosl"/>
    <x v="532"/>
    <x v="277"/>
    <s v="No"/>
    <s v="Inglés"/>
    <n v="0.2752941176470588"/>
    <n v="2"/>
    <n v="0.5505882352941176"/>
    <x v="0"/>
    <m/>
    <x v="0"/>
  </r>
  <r>
    <n v="1143910475"/>
    <x v="5"/>
    <x v="2"/>
    <d v="2024-01-31T12:53:02"/>
    <s v="Mazvigosl"/>
    <x v="1532"/>
    <x v="212"/>
    <s v="No"/>
    <s v="Inglés"/>
    <n v="0.74558823529411766"/>
    <n v="2"/>
    <n v="1.4911764705882353"/>
    <x v="0"/>
    <m/>
    <x v="0"/>
  </r>
  <r>
    <n v="1143910475"/>
    <x v="5"/>
    <x v="2"/>
    <d v="2024-01-31T12:53:02"/>
    <s v="Mazvigosl"/>
    <x v="1533"/>
    <x v="12"/>
    <s v="No"/>
    <s v="Español"/>
    <n v="0.1376470588235294"/>
    <n v="2"/>
    <n v="0.2752941176470588"/>
    <x v="0"/>
    <m/>
    <x v="0"/>
  </r>
  <r>
    <n v="1143910475"/>
    <x v="5"/>
    <x v="2"/>
    <d v="2024-01-31T12:53:02"/>
    <s v="Mazvigosl"/>
    <x v="1534"/>
    <x v="12"/>
    <s v="No"/>
    <s v="Inglés"/>
    <n v="0.1376470588235294"/>
    <n v="2"/>
    <n v="0.2752941176470588"/>
    <x v="0"/>
    <m/>
    <x v="0"/>
  </r>
  <r>
    <n v="1143910475"/>
    <x v="5"/>
    <x v="2"/>
    <d v="2024-01-31T12:53:02"/>
    <s v="Mazvigosl"/>
    <x v="1535"/>
    <x v="65"/>
    <s v="No"/>
    <s v="Inglés"/>
    <n v="0.28676470588235292"/>
    <n v="2"/>
    <n v="0.57352941176470584"/>
    <x v="0"/>
    <m/>
    <x v="0"/>
  </r>
  <r>
    <n v="1143910475"/>
    <x v="5"/>
    <x v="2"/>
    <d v="2024-01-31T12:53:02"/>
    <s v="Mazvigosl"/>
    <x v="1536"/>
    <x v="64"/>
    <s v="No"/>
    <s v="Inglés"/>
    <n v="0.1376470588235294"/>
    <n v="2"/>
    <n v="0.2752941176470588"/>
    <x v="0"/>
    <m/>
    <x v="0"/>
  </r>
  <r>
    <n v="1143910475"/>
    <x v="5"/>
    <x v="2"/>
    <d v="2024-01-31T12:53:02"/>
    <s v="Mazvigosl"/>
    <x v="1537"/>
    <x v="129"/>
    <s v="Si"/>
    <s v="Inglés"/>
    <n v="0.1605882352941177"/>
    <n v="4"/>
    <n v="0.64235294117647079"/>
    <x v="0"/>
    <m/>
    <x v="0"/>
  </r>
  <r>
    <n v="1143910475"/>
    <x v="5"/>
    <x v="2"/>
    <d v="2024-01-31T12:53:02"/>
    <s v="Mazvigosl"/>
    <x v="1538"/>
    <x v="192"/>
    <s v="Si"/>
    <s v="Inglés"/>
    <n v="0.2752941176470588"/>
    <n v="4"/>
    <n v="1.1011764705882352"/>
    <x v="0"/>
    <m/>
    <x v="0"/>
  </r>
  <r>
    <n v="1143910475"/>
    <x v="5"/>
    <x v="2"/>
    <d v="2024-01-31T12:53:02"/>
    <s v="Mazvigosl"/>
    <x v="1539"/>
    <x v="280"/>
    <s v="No"/>
    <s v="Inglés"/>
    <n v="0.2752941176470588"/>
    <n v="1"/>
    <n v="0.2752941176470588"/>
    <x v="0"/>
    <m/>
    <x v="0"/>
  </r>
  <r>
    <n v="1143910475"/>
    <x v="5"/>
    <x v="2"/>
    <d v="2024-01-31T12:53:02"/>
    <s v="Mazvigosl"/>
    <x v="1540"/>
    <x v="139"/>
    <s v="Si"/>
    <s v="Inglés"/>
    <n v="0.86029411764705888"/>
    <n v="4"/>
    <n v="3.4411764705882355"/>
    <x v="0"/>
    <m/>
    <x v="0"/>
  </r>
  <r>
    <n v="1143910475"/>
    <x v="5"/>
    <x v="2"/>
    <d v="2024-01-31T12:53:02"/>
    <s v="Mazvigosl"/>
    <x v="1541"/>
    <x v="32"/>
    <s v="No"/>
    <s v="Inglés"/>
    <n v="0.1376470588235294"/>
    <n v="2"/>
    <n v="0.2752941176470588"/>
    <x v="0"/>
    <m/>
    <x v="0"/>
  </r>
  <r>
    <n v="1143910475"/>
    <x v="5"/>
    <x v="2"/>
    <d v="2024-01-31T12:53:02"/>
    <s v="Mazvigosl"/>
    <x v="1530"/>
    <x v="212"/>
    <s v="Si"/>
    <s v="Inglés"/>
    <n v="1.0897058823529411"/>
    <n v="4"/>
    <n v="4.3588235294117643"/>
    <x v="0"/>
    <m/>
    <x v="0"/>
  </r>
  <r>
    <n v="1143738321"/>
    <x v="5"/>
    <x v="2"/>
    <d v="2024-01-29T23:06:13"/>
    <s v="TEMPEST-STORE"/>
    <x v="1542"/>
    <x v="247"/>
    <s v="No"/>
    <s v="Japonés"/>
    <n v="12.02535135135135"/>
    <n v="1"/>
    <n v="12.02535135135135"/>
    <x v="0"/>
    <m/>
    <x v="0"/>
  </r>
  <r>
    <n v="1143738321"/>
    <x v="5"/>
    <x v="2"/>
    <d v="2024-01-29T23:06:13"/>
    <s v="TEMPEST-STORE"/>
    <x v="1543"/>
    <x v="103"/>
    <s v="Si"/>
    <s v="Inglés"/>
    <n v="0.53616216216216217"/>
    <n v="4"/>
    <n v="2.1446486486486487"/>
    <x v="0"/>
    <m/>
    <x v="0"/>
  </r>
  <r>
    <n v="1143729431"/>
    <x v="5"/>
    <x v="2"/>
    <d v="2024-01-29T23:06:13"/>
    <s v="proglez1"/>
    <x v="1544"/>
    <x v="112"/>
    <s v="No"/>
    <s v="Inglés"/>
    <n v="32.869024390243901"/>
    <n v="1"/>
    <n v="32.869024390243901"/>
    <x v="0"/>
    <m/>
    <x v="0"/>
  </r>
  <r>
    <n v="1143729431"/>
    <x v="5"/>
    <x v="2"/>
    <d v="2024-01-29T23:06:13"/>
    <s v="proglez1"/>
    <x v="1545"/>
    <x v="60"/>
    <s v="No"/>
    <s v="Inglés"/>
    <n v="13.6009756097561"/>
    <n v="1"/>
    <n v="13.6009756097561"/>
    <x v="0"/>
    <m/>
    <x v="0"/>
  </r>
  <r>
    <n v="1143673463"/>
    <x v="5"/>
    <x v="2"/>
    <d v="2024-01-29T15:02:36"/>
    <s v="fallingsteve"/>
    <x v="1499"/>
    <x v="115"/>
    <s v="No"/>
    <s v="Español"/>
    <n v="10.86197916666667"/>
    <n v="1"/>
    <n v="10.86197916666667"/>
    <x v="1"/>
    <n v="10.86197916666667"/>
    <x v="0"/>
  </r>
  <r>
    <n v="1143489086"/>
    <x v="5"/>
    <x v="2"/>
    <d v="2024-01-28T12:27:33"/>
    <s v="davilin23betico"/>
    <x v="1520"/>
    <x v="229"/>
    <s v="No"/>
    <s v="Español"/>
    <n v="10.61"/>
    <n v="2"/>
    <n v="21.22"/>
    <x v="0"/>
    <m/>
    <x v="0"/>
  </r>
  <r>
    <n v="1143393647"/>
    <x v="5"/>
    <x v="2"/>
    <d v="2024-01-27T09:51:28"/>
    <s v="Zeon31"/>
    <x v="1546"/>
    <x v="11"/>
    <s v="No"/>
    <s v="Inglés"/>
    <n v="4.2759615384615381"/>
    <n v="1"/>
    <n v="4.2759615384615381"/>
    <x v="0"/>
    <m/>
    <x v="0"/>
  </r>
  <r>
    <n v="1143393647"/>
    <x v="5"/>
    <x v="2"/>
    <d v="2024-01-27T09:51:28"/>
    <s v="Zeon31"/>
    <x v="1547"/>
    <x v="11"/>
    <s v="No"/>
    <s v="Inglés"/>
    <n v="7.9817948717948717"/>
    <n v="1"/>
    <n v="7.9817948717948717"/>
    <x v="0"/>
    <m/>
    <x v="0"/>
  </r>
  <r>
    <n v="1143393647"/>
    <x v="5"/>
    <x v="2"/>
    <d v="2024-01-27T09:51:28"/>
    <s v="Zeon31"/>
    <x v="1548"/>
    <x v="11"/>
    <s v="No"/>
    <s v="Inglés"/>
    <n v="9.6921794871794873"/>
    <n v="1"/>
    <n v="9.6921794871794873"/>
    <x v="0"/>
    <m/>
    <x v="0"/>
  </r>
  <r>
    <n v="1143393647"/>
    <x v="5"/>
    <x v="2"/>
    <d v="2024-01-27T09:51:28"/>
    <s v="Zeon31"/>
    <x v="1549"/>
    <x v="11"/>
    <s v="No"/>
    <s v="Inglés"/>
    <n v="10.5473717948718"/>
    <n v="1"/>
    <n v="10.5473717948718"/>
    <x v="0"/>
    <m/>
    <x v="0"/>
  </r>
  <r>
    <n v="1143393647"/>
    <x v="5"/>
    <x v="2"/>
    <d v="2024-01-27T09:51:28"/>
    <s v="Zeon31"/>
    <x v="1550"/>
    <x v="11"/>
    <s v="No"/>
    <s v="Inglés"/>
    <n v="3.4207692307692308"/>
    <n v="1"/>
    <n v="3.4207692307692308"/>
    <x v="0"/>
    <m/>
    <x v="0"/>
  </r>
  <r>
    <n v="1143393647"/>
    <x v="5"/>
    <x v="2"/>
    <d v="2024-01-27T09:51:28"/>
    <s v="Zeon31"/>
    <x v="1551"/>
    <x v="11"/>
    <s v="No"/>
    <s v="Inglés"/>
    <n v="6.2714102564102561"/>
    <n v="1"/>
    <n v="6.2714102564102561"/>
    <x v="0"/>
    <m/>
    <x v="0"/>
  </r>
  <r>
    <n v="1143393647"/>
    <x v="5"/>
    <x v="2"/>
    <d v="2024-01-27T09:51:28"/>
    <s v="Zeon31"/>
    <x v="1552"/>
    <x v="11"/>
    <s v="No"/>
    <s v="Inglés"/>
    <n v="2.2805128205128211"/>
    <n v="1"/>
    <n v="2.2805128205128211"/>
    <x v="0"/>
    <m/>
    <x v="0"/>
  </r>
  <r>
    <n v="1143352743"/>
    <x v="5"/>
    <x v="2"/>
    <d v="2024-01-26T21:16:27"/>
    <s v="semidimoni"/>
    <x v="1553"/>
    <x v="281"/>
    <s v="No"/>
    <s v="Inglés"/>
    <n v="0.7"/>
    <n v="2"/>
    <n v="1.4"/>
    <x v="1"/>
    <n v="1.4"/>
    <x v="2"/>
  </r>
  <r>
    <n v="1143280006"/>
    <x v="5"/>
    <x v="2"/>
    <d v="2024-01-26T09:11:28"/>
    <s v="JordiCC"/>
    <x v="330"/>
    <x v="112"/>
    <s v="No"/>
    <s v="Inglés"/>
    <n v="10.61"/>
    <n v="2"/>
    <n v="21.22"/>
    <x v="0"/>
    <m/>
    <x v="0"/>
  </r>
  <r>
    <n v="1142970152"/>
    <x v="5"/>
    <x v="2"/>
    <d v="2024-01-23T19:34:06"/>
    <s v="Distritozero-Bilbao"/>
    <x v="1499"/>
    <x v="223"/>
    <s v="Si"/>
    <s v="Inglés"/>
    <n v="17.8"/>
    <n v="4"/>
    <n v="71.2"/>
    <x v="0"/>
    <m/>
    <x v="0"/>
  </r>
  <r>
    <n v="1142934950"/>
    <x v="5"/>
    <x v="2"/>
    <d v="2024-01-23T11:26:00"/>
    <s v="Victorvs93"/>
    <x v="1527"/>
    <x v="117"/>
    <s v="No"/>
    <s v="Inglés"/>
    <n v="15.22"/>
    <n v="1"/>
    <n v="15.22"/>
    <x v="0"/>
    <m/>
    <x v="0"/>
  </r>
  <r>
    <n v="1142836065"/>
    <x v="5"/>
    <x v="2"/>
    <d v="2024-01-22T15:21:50"/>
    <s v="mundicomics"/>
    <x v="1554"/>
    <x v="23"/>
    <s v="Si"/>
    <s v="Inglés"/>
    <n v="2.7949999999999999"/>
    <n v="4"/>
    <n v="11.18"/>
    <x v="0"/>
    <m/>
    <x v="0"/>
  </r>
  <r>
    <n v="1142692836"/>
    <x v="5"/>
    <x v="2"/>
    <d v="2024-01-21T17:32:27"/>
    <s v="TEMPEST-STORE"/>
    <x v="1555"/>
    <x v="219"/>
    <s v="No"/>
    <s v="Inglés"/>
    <n v="0.59074074074074079"/>
    <n v="2"/>
    <n v="1.1814814814814816"/>
    <x v="0"/>
    <m/>
    <x v="0"/>
  </r>
  <r>
    <n v="1142692836"/>
    <x v="5"/>
    <x v="2"/>
    <d v="2024-01-21T17:32:27"/>
    <s v="TEMPEST-STORE"/>
    <x v="1556"/>
    <x v="88"/>
    <s v="No"/>
    <s v="Inglés"/>
    <n v="1.052592592592593"/>
    <n v="1"/>
    <n v="1.052592592592593"/>
    <x v="0"/>
    <m/>
    <x v="0"/>
  </r>
  <r>
    <n v="1142692836"/>
    <x v="5"/>
    <x v="2"/>
    <d v="2024-01-21T17:32:27"/>
    <s v="TEMPEST-STORE"/>
    <x v="1557"/>
    <x v="23"/>
    <s v="Si"/>
    <s v="Inglés"/>
    <n v="2.5777777777777779"/>
    <n v="4"/>
    <n v="10.311111111111112"/>
    <x v="0"/>
    <m/>
    <x v="0"/>
  </r>
  <r>
    <n v="1142692836"/>
    <x v="5"/>
    <x v="2"/>
    <d v="2024-01-21T17:32:27"/>
    <s v="TEMPEST-STORE"/>
    <x v="1558"/>
    <x v="105"/>
    <s v="No"/>
    <s v="Inglés"/>
    <n v="1.60037037037037"/>
    <n v="1"/>
    <n v="1.60037037037037"/>
    <x v="0"/>
    <m/>
    <x v="0"/>
  </r>
  <r>
    <n v="1142692836"/>
    <x v="5"/>
    <x v="2"/>
    <d v="2024-01-21T17:32:27"/>
    <s v="TEMPEST-STORE"/>
    <x v="1559"/>
    <x v="15"/>
    <s v="Si"/>
    <s v="Inglés"/>
    <n v="0.21481481481481479"/>
    <n v="4"/>
    <n v="0.85925925925925917"/>
    <x v="0"/>
    <m/>
    <x v="0"/>
  </r>
  <r>
    <n v="1142692836"/>
    <x v="5"/>
    <x v="2"/>
    <d v="2024-01-21T17:32:27"/>
    <s v="TEMPEST-STORE"/>
    <x v="1560"/>
    <x v="103"/>
    <s v="No"/>
    <s v="Inglés"/>
    <n v="1.342592592592593"/>
    <n v="2"/>
    <n v="2.685185185185186"/>
    <x v="0"/>
    <m/>
    <x v="0"/>
  </r>
  <r>
    <n v="1142560986"/>
    <x v="5"/>
    <x v="2"/>
    <d v="2024-01-20T11:54:43"/>
    <s v="mcadri"/>
    <x v="1527"/>
    <x v="117"/>
    <s v="No"/>
    <s v="Inglés"/>
    <n v="16.734999999999999"/>
    <n v="1"/>
    <n v="16.734999999999999"/>
    <x v="0"/>
    <m/>
    <x v="0"/>
  </r>
  <r>
    <n v="1142560986"/>
    <x v="5"/>
    <x v="2"/>
    <d v="2024-01-20T11:54:43"/>
    <s v="mcadri"/>
    <x v="1527"/>
    <x v="117"/>
    <s v="No"/>
    <s v="Inglés"/>
    <n v="16.734999999999999"/>
    <n v="1"/>
    <n v="16.734999999999999"/>
    <x v="0"/>
    <m/>
    <x v="0"/>
  </r>
  <r>
    <s v="CVSALE-1142556696-01"/>
    <x v="5"/>
    <x v="2"/>
    <d v="2024-01-20T11:23:10"/>
    <s v="Venta asociada sin pedido identificado"/>
    <x v="734"/>
    <x v="15"/>
    <s v="No"/>
    <s v="Inglés"/>
    <n v="27.21"/>
    <n v="2"/>
    <n v="54.42"/>
    <x v="1"/>
    <n v="54.42"/>
    <x v="0"/>
  </r>
  <r>
    <n v="1142556696"/>
    <x v="5"/>
    <x v="2"/>
    <d v="2024-01-20T11:23:10"/>
    <s v="kranken"/>
    <x v="734"/>
    <x v="15"/>
    <s v="No"/>
    <s v="Inglés"/>
    <n v="24.184639131360441"/>
    <n v="2"/>
    <n v="48.369278262720883"/>
    <x v="0"/>
    <m/>
    <x v="0"/>
  </r>
  <r>
    <n v="1142556696"/>
    <x v="5"/>
    <x v="2"/>
    <d v="2024-01-20T11:23:10"/>
    <s v="kranken"/>
    <x v="1239"/>
    <x v="71"/>
    <s v="No"/>
    <s v="Inglés"/>
    <n v="19.10024057909304"/>
    <n v="3"/>
    <n v="57.300721737279119"/>
    <x v="0"/>
    <m/>
    <x v="0"/>
  </r>
  <r>
    <n v="1141726253"/>
    <x v="5"/>
    <x v="2"/>
    <d v="2024-01-13T17:53:50"/>
    <s v="Kaem95"/>
    <x v="1561"/>
    <x v="281"/>
    <s v="No"/>
    <s v="Inglés"/>
    <n v="2.46"/>
    <n v="1"/>
    <n v="2.46"/>
    <x v="1"/>
    <n v="2.46"/>
    <x v="2"/>
  </r>
  <r>
    <n v="1141272630"/>
    <x v="5"/>
    <x v="2"/>
    <d v="2024-01-09T21:56:40"/>
    <s v="Eloyator"/>
    <x v="792"/>
    <x v="226"/>
    <s v="No"/>
    <s v="Inglés"/>
    <n v="5.6000000000000014"/>
    <n v="2"/>
    <n v="11.200000000000003"/>
    <x v="0"/>
    <m/>
    <x v="0"/>
  </r>
  <r>
    <n v="1141270423"/>
    <x v="5"/>
    <x v="2"/>
    <d v="2024-01-09T21:56:40"/>
    <s v="vandmand"/>
    <x v="1446"/>
    <x v="139"/>
    <s v="No"/>
    <s v="Inglés"/>
    <n v="7.71"/>
    <n v="1"/>
    <n v="7.71"/>
    <x v="0"/>
    <m/>
    <x v="0"/>
  </r>
  <r>
    <n v="1141179035"/>
    <x v="5"/>
    <x v="2"/>
    <d v="2024-01-09T08:50:42"/>
    <s v="MolaxMTG"/>
    <x v="1562"/>
    <x v="199"/>
    <s v="No"/>
    <s v="Inglés"/>
    <n v="3.74"/>
    <n v="1"/>
    <n v="3.74"/>
    <x v="0"/>
    <m/>
    <x v="0"/>
  </r>
  <r>
    <n v="1141146578"/>
    <x v="5"/>
    <x v="2"/>
    <d v="2024-01-09T08:50:42"/>
    <s v="NeverlandMTG"/>
    <x v="1563"/>
    <x v="133"/>
    <s v="Si"/>
    <s v="Inglés"/>
    <n v="2.1688581314878892"/>
    <n v="4"/>
    <n v="8.6754325259515568"/>
    <x v="0"/>
    <m/>
    <x v="0"/>
  </r>
  <r>
    <n v="1141146578"/>
    <x v="5"/>
    <x v="2"/>
    <d v="2024-01-09T08:50:42"/>
    <s v="NeverlandMTG"/>
    <x v="1457"/>
    <x v="12"/>
    <s v="No"/>
    <s v="Inglés"/>
    <n v="3.7412802768166089"/>
    <n v="1"/>
    <n v="3.7412802768166089"/>
    <x v="0"/>
    <m/>
    <x v="0"/>
  </r>
  <r>
    <n v="1141146578"/>
    <x v="5"/>
    <x v="2"/>
    <d v="2024-01-09T08:50:42"/>
    <s v="NeverlandMTG"/>
    <x v="1457"/>
    <x v="12"/>
    <s v="No"/>
    <s v="Inglés"/>
    <n v="3.2532871972318338"/>
    <n v="1"/>
    <n v="3.2532871972318338"/>
    <x v="0"/>
    <m/>
    <x v="0"/>
  </r>
  <r>
    <n v="1141134230"/>
    <x v="5"/>
    <x v="2"/>
    <d v="2024-01-08T21:02:44"/>
    <s v="Ivan123"/>
    <x v="1564"/>
    <x v="133"/>
    <s v="Si"/>
    <s v="Inglés"/>
    <n v="5.1666369313113298"/>
    <n v="4"/>
    <n v="20.666547725245319"/>
    <x v="0"/>
    <m/>
    <x v="0"/>
  </r>
  <r>
    <n v="1141134230"/>
    <x v="5"/>
    <x v="2"/>
    <d v="2024-01-08T21:02:44"/>
    <s v="Ivan123"/>
    <x v="308"/>
    <x v="11"/>
    <s v="No"/>
    <s v="Inglés"/>
    <n v="2.973452274754683"/>
    <n v="1"/>
    <n v="2.973452274754683"/>
    <x v="0"/>
    <m/>
    <x v="0"/>
  </r>
  <r>
    <n v="1140693847"/>
    <x v="5"/>
    <x v="2"/>
    <d v="2024-01-05T12:04:23"/>
    <s v="Alonzo"/>
    <x v="1565"/>
    <x v="191"/>
    <s v="No"/>
    <s v="Inglés"/>
    <n v="9.2200000000000006"/>
    <n v="1"/>
    <n v="9.2200000000000006"/>
    <x v="0"/>
    <m/>
    <x v="0"/>
  </r>
  <r>
    <n v="1140693498"/>
    <x v="5"/>
    <x v="2"/>
    <d v="2024-01-05T12:04:23"/>
    <s v="AlfaRuLeZ"/>
    <x v="1566"/>
    <x v="126"/>
    <s v="No"/>
    <s v="Español"/>
    <n v="13.71"/>
    <n v="1"/>
    <n v="13.71"/>
    <x v="0"/>
    <m/>
    <x v="0"/>
  </r>
  <r>
    <n v="1140644791"/>
    <x v="5"/>
    <x v="2"/>
    <d v="2024-01-04T23:38:15"/>
    <s v="MagicCastellon"/>
    <x v="1567"/>
    <x v="48"/>
    <s v="No"/>
    <s v="Inglés"/>
    <n v="48.42"/>
    <n v="1"/>
    <n v="48.42"/>
    <x v="0"/>
    <m/>
    <x v="0"/>
  </r>
  <r>
    <n v="1140297528"/>
    <x v="5"/>
    <x v="2"/>
    <d v="2024-01-02T12:56:27"/>
    <s v="lessocg"/>
    <x v="1568"/>
    <x v="282"/>
    <s v="Si"/>
    <s v="Inglés"/>
    <n v="0.35499999999999998"/>
    <n v="4"/>
    <n v="1.42"/>
    <x v="1"/>
    <n v="1.42"/>
    <x v="2"/>
  </r>
  <r>
    <s v="CVSALE-1139362216-01"/>
    <x v="6"/>
    <x v="3"/>
    <d v="2023-12-24T18:28:51"/>
    <s v="Venta asociada sin pedido identificado"/>
    <x v="1569"/>
    <x v="139"/>
    <s v="Si"/>
    <s v="Inglés"/>
    <n v="2.335"/>
    <n v="4"/>
    <n v="9.34"/>
    <x v="1"/>
    <n v="9.34"/>
    <x v="0"/>
  </r>
  <r>
    <n v="1139362216"/>
    <x v="6"/>
    <x v="3"/>
    <d v="2023-12-24T18:28:51"/>
    <s v="Mazvigosl"/>
    <x v="1570"/>
    <x v="16"/>
    <s v="No"/>
    <s v="Inglés"/>
    <n v="1.118825301204819"/>
    <n v="1"/>
    <n v="1.118825301204819"/>
    <x v="0"/>
    <m/>
    <x v="0"/>
  </r>
  <r>
    <n v="1139362216"/>
    <x v="6"/>
    <x v="3"/>
    <d v="2023-12-24T18:28:51"/>
    <s v="Mazvigosl"/>
    <x v="1570"/>
    <x v="67"/>
    <s v="No"/>
    <s v="Inglés"/>
    <n v="1.707680722891566"/>
    <n v="1"/>
    <n v="1.707680722891566"/>
    <x v="0"/>
    <m/>
    <x v="0"/>
  </r>
  <r>
    <n v="1139362216"/>
    <x v="6"/>
    <x v="3"/>
    <d v="2023-12-24T18:28:51"/>
    <s v="Mazvigosl"/>
    <x v="1571"/>
    <x v="96"/>
    <s v="No"/>
    <s v="Inglés"/>
    <n v="0.1177710843373494"/>
    <n v="2"/>
    <n v="0.23554216867469879"/>
    <x v="0"/>
    <m/>
    <x v="0"/>
  </r>
  <r>
    <n v="1139362216"/>
    <x v="6"/>
    <x v="3"/>
    <d v="2023-12-24T18:28:51"/>
    <s v="Mazvigosl"/>
    <x v="1052"/>
    <x v="200"/>
    <s v="No"/>
    <s v="Inglés"/>
    <n v="0.14132530120481929"/>
    <n v="2"/>
    <n v="0.28265060240963857"/>
    <x v="0"/>
    <m/>
    <x v="0"/>
  </r>
  <r>
    <n v="1139362216"/>
    <x v="6"/>
    <x v="3"/>
    <d v="2023-12-24T18:28:51"/>
    <s v="Mazvigosl"/>
    <x v="1569"/>
    <x v="139"/>
    <s v="Si"/>
    <s v="Inglés"/>
    <n v="1.118825301204819"/>
    <n v="4"/>
    <n v="4.4753012048192762"/>
    <x v="0"/>
    <m/>
    <x v="0"/>
  </r>
  <r>
    <s v="CVSALE-1139327696-02"/>
    <x v="6"/>
    <x v="3"/>
    <d v="2023-12-24T11:23:20"/>
    <s v="Venta asociada sin pedido identificado"/>
    <x v="1572"/>
    <x v="133"/>
    <s v="No"/>
    <s v="Inglés"/>
    <n v="6.7249999999999996"/>
    <n v="1"/>
    <n v="6.7249999999999996"/>
    <x v="1"/>
    <n v="6.7249999999999996"/>
    <x v="0"/>
  </r>
  <r>
    <s v="CVSALE-1139327696-01"/>
    <x v="6"/>
    <x v="3"/>
    <d v="2023-12-24T11:23:20"/>
    <s v="Venta asociada sin pedido identificado"/>
    <x v="1573"/>
    <x v="67"/>
    <s v="No"/>
    <s v="Inglés"/>
    <n v="19.335000000000001"/>
    <n v="2"/>
    <n v="38.67"/>
    <x v="1"/>
    <n v="38.67"/>
    <x v="0"/>
  </r>
  <r>
    <n v="1139327696"/>
    <x v="6"/>
    <x v="3"/>
    <d v="2023-12-24T11:23:20"/>
    <s v="Itaca"/>
    <x v="1057"/>
    <x v="133"/>
    <s v="Si"/>
    <s v="Inglés"/>
    <n v="0.31908355795148252"/>
    <n v="4"/>
    <n v="1.2763342318059301"/>
    <x v="0"/>
    <m/>
    <x v="0"/>
  </r>
  <r>
    <n v="1139327696"/>
    <x v="6"/>
    <x v="3"/>
    <d v="2023-12-24T11:23:20"/>
    <s v="Itaca"/>
    <x v="1573"/>
    <x v="67"/>
    <s v="No"/>
    <s v="Inglés"/>
    <n v="8.4557142857142864"/>
    <n v="2"/>
    <n v="16.911428571428573"/>
    <x v="0"/>
    <m/>
    <x v="0"/>
  </r>
  <r>
    <n v="1139327696"/>
    <x v="6"/>
    <x v="3"/>
    <d v="2023-12-24T11:23:20"/>
    <s v="Itaca"/>
    <x v="1572"/>
    <x v="133"/>
    <s v="No"/>
    <s v="Inglés"/>
    <n v="1.5422371967654991"/>
    <n v="1"/>
    <n v="1.5422371967654991"/>
    <x v="0"/>
    <m/>
    <x v="0"/>
  </r>
  <r>
    <n v="1139275440"/>
    <x v="6"/>
    <x v="3"/>
    <d v="2023-12-23T20:12:30"/>
    <s v="ElGansitoCaiman"/>
    <x v="1574"/>
    <x v="199"/>
    <s v="No"/>
    <s v="Inglés"/>
    <n v="13.13"/>
    <n v="1"/>
    <n v="13.13"/>
    <x v="0"/>
    <m/>
    <x v="0"/>
  </r>
  <r>
    <s v="CVSALE-1139234090-01"/>
    <x v="6"/>
    <x v="3"/>
    <d v="2023-12-23T19:05:11"/>
    <s v="Venta asociada sin pedido identificado"/>
    <x v="1575"/>
    <x v="8"/>
    <s v="Si"/>
    <s v="Español"/>
    <n v="6.8425000000000002"/>
    <n v="4"/>
    <n v="27.37"/>
    <x v="1"/>
    <n v="27.37"/>
    <x v="0"/>
  </r>
  <r>
    <n v="1139260024"/>
    <x v="6"/>
    <x v="3"/>
    <d v="2023-12-23T19:05:11"/>
    <s v="Metropolis-Center"/>
    <x v="1576"/>
    <x v="179"/>
    <s v="Si"/>
    <s v="Inglés"/>
    <n v="1.749301252471984"/>
    <n v="4"/>
    <n v="6.9972050098879359"/>
    <x v="0"/>
    <m/>
    <x v="0"/>
  </r>
  <r>
    <n v="1139260024"/>
    <x v="6"/>
    <x v="3"/>
    <d v="2023-12-23T19:05:11"/>
    <s v="Metropolis-Center"/>
    <x v="1066"/>
    <x v="133"/>
    <s v="Si"/>
    <s v="Inglés"/>
    <n v="0.57527356624917603"/>
    <n v="4"/>
    <n v="2.3010942649967041"/>
    <x v="0"/>
    <m/>
    <x v="0"/>
  </r>
  <r>
    <n v="1139260024"/>
    <x v="6"/>
    <x v="3"/>
    <d v="2023-12-23T19:05:11"/>
    <s v="Metropolis-Center"/>
    <x v="251"/>
    <x v="34"/>
    <s v="No"/>
    <s v="Inglés"/>
    <n v="5.8583981542518133"/>
    <n v="3"/>
    <n v="17.575194462755441"/>
    <x v="0"/>
    <m/>
    <x v="0"/>
  </r>
  <r>
    <n v="1139260024"/>
    <x v="6"/>
    <x v="3"/>
    <d v="2023-12-23T19:05:11"/>
    <s v="Metropolis-Center"/>
    <x v="899"/>
    <x v="139"/>
    <s v="No"/>
    <s v="Inglés"/>
    <n v="1.749301252471984"/>
    <n v="1"/>
    <n v="1.749301252471984"/>
    <x v="0"/>
    <m/>
    <x v="0"/>
  </r>
  <r>
    <n v="1139260024"/>
    <x v="6"/>
    <x v="3"/>
    <d v="2023-12-23T19:05:11"/>
    <s v="Metropolis-Center"/>
    <x v="368"/>
    <x v="133"/>
    <s v="Si"/>
    <s v="Inglés"/>
    <n v="1.749301252471984"/>
    <n v="4"/>
    <n v="6.9972050098879359"/>
    <x v="0"/>
    <m/>
    <x v="0"/>
  </r>
  <r>
    <n v="1139244084"/>
    <x v="6"/>
    <x v="3"/>
    <d v="2023-12-23T19:05:11"/>
    <s v="Arrokia"/>
    <x v="1198"/>
    <x v="225"/>
    <s v="No"/>
    <s v="Inglés"/>
    <n v="14.64"/>
    <n v="2"/>
    <n v="29.28"/>
    <x v="0"/>
    <m/>
    <x v="0"/>
  </r>
  <r>
    <n v="1139241260"/>
    <x v="6"/>
    <x v="3"/>
    <d v="2023-12-23T19:05:11"/>
    <s v="JupiterMadridNorte"/>
    <x v="899"/>
    <x v="139"/>
    <s v="No"/>
    <s v="Inglés"/>
    <n v="1.086363904452964"/>
    <n v="1"/>
    <n v="1.086363904452964"/>
    <x v="0"/>
    <m/>
    <x v="0"/>
  </r>
  <r>
    <n v="1139241260"/>
    <x v="6"/>
    <x v="3"/>
    <d v="2023-12-23T19:05:11"/>
    <s v="JupiterMadridNorte"/>
    <x v="1459"/>
    <x v="170"/>
    <s v="No"/>
    <s v="Inglés"/>
    <n v="12.70121203184901"/>
    <n v="3"/>
    <n v="38.103636095547031"/>
    <x v="0"/>
    <m/>
    <x v="0"/>
  </r>
  <r>
    <n v="1139240939"/>
    <x v="6"/>
    <x v="3"/>
    <d v="2023-12-23T19:05:11"/>
    <s v="mundicomics"/>
    <x v="1264"/>
    <x v="106"/>
    <s v="Si"/>
    <s v="Inglés"/>
    <n v="20.309999999999999"/>
    <n v="4"/>
    <n v="81.239999999999995"/>
    <x v="0"/>
    <m/>
    <x v="0"/>
  </r>
  <r>
    <n v="1139234090"/>
    <x v="6"/>
    <x v="3"/>
    <d v="2023-12-23T19:05:11"/>
    <s v="Psyco13"/>
    <x v="1577"/>
    <x v="269"/>
    <s v="No"/>
    <s v="Inglés"/>
    <n v="20.382917152858809"/>
    <n v="1"/>
    <n v="20.382917152858809"/>
    <x v="0"/>
    <m/>
    <x v="0"/>
  </r>
  <r>
    <n v="1139234090"/>
    <x v="6"/>
    <x v="3"/>
    <d v="2023-12-23T19:05:11"/>
    <s v="Psyco13"/>
    <x v="1578"/>
    <x v="200"/>
    <s v="No"/>
    <s v="Inglés"/>
    <n v="1.061610268378063"/>
    <n v="2"/>
    <n v="2.1232205367561261"/>
    <x v="0"/>
    <m/>
    <x v="0"/>
  </r>
  <r>
    <n v="1139234090"/>
    <x v="6"/>
    <x v="3"/>
    <d v="2023-12-23T19:05:11"/>
    <s v="Psyco13"/>
    <x v="1575"/>
    <x v="8"/>
    <s v="Si"/>
    <s v="Español"/>
    <n v="10.350700116686109"/>
    <n v="4"/>
    <n v="41.402800466744438"/>
    <x v="0"/>
    <m/>
    <x v="0"/>
  </r>
  <r>
    <n v="1139234090"/>
    <x v="6"/>
    <x v="3"/>
    <d v="2023-12-23T19:05:11"/>
    <s v="Psyco13"/>
    <x v="1198"/>
    <x v="225"/>
    <s v="No"/>
    <s v="Inglés"/>
    <n v="13.27012835472579"/>
    <n v="1"/>
    <n v="13.27012835472579"/>
    <x v="0"/>
    <m/>
    <x v="0"/>
  </r>
  <r>
    <n v="1139234090"/>
    <x v="6"/>
    <x v="3"/>
    <d v="2023-12-23T19:05:11"/>
    <s v="Psyco13"/>
    <x v="1198"/>
    <x v="225"/>
    <s v="No"/>
    <s v="Inglés"/>
    <n v="13.80093348891482"/>
    <n v="1"/>
    <n v="13.80093348891482"/>
    <x v="0"/>
    <m/>
    <x v="0"/>
  </r>
  <r>
    <n v="1139146401"/>
    <x v="6"/>
    <x v="3"/>
    <d v="2023-12-22T15:41:54"/>
    <s v="OrhyGG"/>
    <x v="1579"/>
    <x v="283"/>
    <s v="No"/>
    <s v="Inglés"/>
    <n v="15.090731707317071"/>
    <n v="1"/>
    <n v="15.090731707317071"/>
    <x v="0"/>
    <m/>
    <x v="2"/>
  </r>
  <r>
    <n v="1139146401"/>
    <x v="6"/>
    <x v="3"/>
    <d v="2023-12-22T15:41:54"/>
    <s v="OrhyGG"/>
    <x v="1580"/>
    <x v="283"/>
    <s v="No"/>
    <s v="Inglés"/>
    <n v="10.689268292682931"/>
    <n v="1"/>
    <n v="10.689268292682931"/>
    <x v="0"/>
    <m/>
    <x v="2"/>
  </r>
  <r>
    <n v="1139146022"/>
    <x v="6"/>
    <x v="3"/>
    <d v="2023-12-22T15:41:54"/>
    <s v="BcnTcgsales"/>
    <x v="1581"/>
    <x v="283"/>
    <s v="No"/>
    <s v="Inglés"/>
    <n v="21.78"/>
    <n v="1"/>
    <n v="21.78"/>
    <x v="0"/>
    <m/>
    <x v="2"/>
  </r>
  <r>
    <n v="1139144749"/>
    <x v="6"/>
    <x v="3"/>
    <d v="2023-12-22T15:41:54"/>
    <s v="TOTCG"/>
    <x v="1582"/>
    <x v="283"/>
    <s v="No"/>
    <s v="Inglés"/>
    <n v="2.5130434782608702"/>
    <n v="1"/>
    <n v="2.5130434782608702"/>
    <x v="0"/>
    <m/>
    <x v="2"/>
  </r>
  <r>
    <n v="1139144749"/>
    <x v="6"/>
    <x v="3"/>
    <d v="2023-12-22T15:41:54"/>
    <s v="TOTCG"/>
    <x v="1583"/>
    <x v="283"/>
    <s v="No"/>
    <s v="Inglés"/>
    <n v="0.37695652173913041"/>
    <n v="1"/>
    <n v="0.37695652173913041"/>
    <x v="0"/>
    <m/>
    <x v="2"/>
  </r>
  <r>
    <n v="1139144749"/>
    <x v="6"/>
    <x v="3"/>
    <d v="2023-12-22T15:41:54"/>
    <s v="TOTCG"/>
    <x v="1584"/>
    <x v="283"/>
    <s v="No"/>
    <s v="Inglés"/>
    <n v="1.2565217391304351"/>
    <n v="1"/>
    <n v="1.2565217391304351"/>
    <x v="0"/>
    <m/>
    <x v="2"/>
  </r>
  <r>
    <n v="1139144749"/>
    <x v="6"/>
    <x v="3"/>
    <d v="2023-12-22T15:41:54"/>
    <s v="TOTCG"/>
    <x v="1585"/>
    <x v="283"/>
    <s v="No"/>
    <s v="Inglés"/>
    <n v="1.633478260869565"/>
    <n v="1"/>
    <n v="1.633478260869565"/>
    <x v="0"/>
    <m/>
    <x v="2"/>
  </r>
  <r>
    <n v="1139144443"/>
    <x v="6"/>
    <x v="3"/>
    <d v="2023-12-22T15:41:54"/>
    <s v="atmval"/>
    <x v="1586"/>
    <x v="283"/>
    <s v="No"/>
    <s v="Inglés"/>
    <n v="0.1411889132020423"/>
    <n v="1"/>
    <n v="0.1411889132020423"/>
    <x v="0"/>
    <m/>
    <x v="2"/>
  </r>
  <r>
    <n v="1139144443"/>
    <x v="6"/>
    <x v="3"/>
    <d v="2023-12-22T15:41:54"/>
    <s v="atmval"/>
    <x v="1587"/>
    <x v="283"/>
    <s v="No"/>
    <s v="Inglés"/>
    <n v="0.35840262582056892"/>
    <n v="1"/>
    <n v="0.35840262582056892"/>
    <x v="0"/>
    <m/>
    <x v="2"/>
  </r>
  <r>
    <n v="1139144443"/>
    <x v="6"/>
    <x v="3"/>
    <d v="2023-12-22T15:41:54"/>
    <s v="atmval"/>
    <x v="1588"/>
    <x v="283"/>
    <s v="No"/>
    <s v="Inglés"/>
    <n v="0.16291028446389499"/>
    <n v="1"/>
    <n v="0.16291028446389499"/>
    <x v="0"/>
    <m/>
    <x v="2"/>
  </r>
  <r>
    <n v="1139144443"/>
    <x v="6"/>
    <x v="3"/>
    <d v="2023-12-22T15:41:54"/>
    <s v="atmval"/>
    <x v="1589"/>
    <x v="283"/>
    <s v="No"/>
    <s v="Inglés"/>
    <n v="8.688548504741064"/>
    <n v="1"/>
    <n v="8.688548504741064"/>
    <x v="0"/>
    <m/>
    <x v="2"/>
  </r>
  <r>
    <n v="1139144443"/>
    <x v="6"/>
    <x v="3"/>
    <d v="2023-12-22T15:41:54"/>
    <s v="atmval"/>
    <x v="1590"/>
    <x v="283"/>
    <s v="No"/>
    <s v="Inglés"/>
    <n v="3.258205689277899"/>
    <n v="1"/>
    <n v="3.258205689277899"/>
    <x v="0"/>
    <m/>
    <x v="2"/>
  </r>
  <r>
    <n v="1139144443"/>
    <x v="6"/>
    <x v="3"/>
    <d v="2023-12-22T15:41:54"/>
    <s v="atmval"/>
    <x v="1591"/>
    <x v="283"/>
    <s v="No"/>
    <s v="Inglés"/>
    <n v="1.086068563092633"/>
    <n v="1"/>
    <n v="1.086068563092633"/>
    <x v="0"/>
    <m/>
    <x v="2"/>
  </r>
  <r>
    <n v="1139144443"/>
    <x v="6"/>
    <x v="3"/>
    <d v="2023-12-22T15:41:54"/>
    <s v="atmval"/>
    <x v="1592"/>
    <x v="283"/>
    <s v="No"/>
    <s v="Inglés"/>
    <n v="0.1086068563092633"/>
    <n v="1"/>
    <n v="0.1086068563092633"/>
    <x v="0"/>
    <m/>
    <x v="2"/>
  </r>
  <r>
    <n v="1139144443"/>
    <x v="6"/>
    <x v="3"/>
    <d v="2023-12-22T15:41:54"/>
    <s v="atmval"/>
    <x v="1593"/>
    <x v="283"/>
    <s v="No"/>
    <s v="Inglés"/>
    <n v="0.24979576951130561"/>
    <n v="1"/>
    <n v="0.24979576951130561"/>
    <x v="0"/>
    <m/>
    <x v="2"/>
  </r>
  <r>
    <n v="1139144443"/>
    <x v="6"/>
    <x v="3"/>
    <d v="2023-12-22T15:41:54"/>
    <s v="atmval"/>
    <x v="1594"/>
    <x v="283"/>
    <s v="No"/>
    <s v="Inglés"/>
    <n v="0.17377097009482129"/>
    <n v="1"/>
    <n v="0.17377097009482129"/>
    <x v="0"/>
    <m/>
    <x v="2"/>
  </r>
  <r>
    <n v="1139144443"/>
    <x v="6"/>
    <x v="3"/>
    <d v="2023-12-22T15:41:54"/>
    <s v="atmval"/>
    <x v="1595"/>
    <x v="283"/>
    <s v="No"/>
    <s v="Inglés"/>
    <n v="0.47787016776075858"/>
    <n v="1"/>
    <n v="0.47787016776075858"/>
    <x v="0"/>
    <m/>
    <x v="2"/>
  </r>
  <r>
    <n v="1139144443"/>
    <x v="6"/>
    <x v="3"/>
    <d v="2023-12-22T15:41:54"/>
    <s v="atmval"/>
    <x v="1596"/>
    <x v="283"/>
    <s v="No"/>
    <s v="Inglés"/>
    <n v="0.18463165572574761"/>
    <n v="1"/>
    <n v="0.18463165572574761"/>
    <x v="0"/>
    <m/>
    <x v="2"/>
  </r>
  <r>
    <n v="1139144394"/>
    <x v="6"/>
    <x v="3"/>
    <d v="2023-12-22T15:41:54"/>
    <s v="Alpaxino33"/>
    <x v="1597"/>
    <x v="283"/>
    <s v="No"/>
    <s v="Inglés"/>
    <n v="5.4123408423114592"/>
    <n v="1"/>
    <n v="5.4123408423114592"/>
    <x v="0"/>
    <m/>
    <x v="2"/>
  </r>
  <r>
    <n v="1139144394"/>
    <x v="6"/>
    <x v="3"/>
    <d v="2023-12-22T15:41:54"/>
    <s v="Alpaxino33"/>
    <x v="1598"/>
    <x v="283"/>
    <s v="No"/>
    <s v="Inglés"/>
    <n v="0.51417238001958865"/>
    <n v="1"/>
    <n v="0.51417238001958865"/>
    <x v="0"/>
    <m/>
    <x v="2"/>
  </r>
  <r>
    <n v="1139144394"/>
    <x v="6"/>
    <x v="3"/>
    <d v="2023-12-22T15:41:54"/>
    <s v="Alpaxino33"/>
    <x v="1599"/>
    <x v="283"/>
    <s v="No"/>
    <s v="Inglés"/>
    <n v="2.0296278158667969"/>
    <n v="1"/>
    <n v="2.0296278158667969"/>
    <x v="0"/>
    <m/>
    <x v="2"/>
  </r>
  <r>
    <n v="1139144394"/>
    <x v="6"/>
    <x v="3"/>
    <d v="2023-12-22T15:41:54"/>
    <s v="Alpaxino33"/>
    <x v="1600"/>
    <x v="284"/>
    <s v="No"/>
    <s v="Inglés"/>
    <n v="0.20296278158667971"/>
    <n v="1"/>
    <n v="0.20296278158667971"/>
    <x v="0"/>
    <m/>
    <x v="0"/>
  </r>
  <r>
    <n v="1139144394"/>
    <x v="6"/>
    <x v="3"/>
    <d v="2023-12-22T15:41:54"/>
    <s v="Alpaxino33"/>
    <x v="1601"/>
    <x v="283"/>
    <s v="No"/>
    <s v="Inglés"/>
    <n v="0.13530852105778651"/>
    <n v="1"/>
    <n v="0.13530852105778651"/>
    <x v="0"/>
    <m/>
    <x v="2"/>
  </r>
  <r>
    <n v="1139144394"/>
    <x v="6"/>
    <x v="3"/>
    <d v="2023-12-22T15:41:54"/>
    <s v="Alpaxino33"/>
    <x v="1602"/>
    <x v="283"/>
    <s v="No"/>
    <s v="Inglés"/>
    <n v="0.27061704211557303"/>
    <n v="1"/>
    <n v="0.27061704211557303"/>
    <x v="0"/>
    <m/>
    <x v="2"/>
  </r>
  <r>
    <n v="1139144394"/>
    <x v="6"/>
    <x v="3"/>
    <d v="2023-12-22T15:41:54"/>
    <s v="Alpaxino33"/>
    <x v="1603"/>
    <x v="283"/>
    <s v="No"/>
    <s v="Inglés"/>
    <n v="0.20296278158667971"/>
    <n v="1"/>
    <n v="0.20296278158667971"/>
    <x v="0"/>
    <m/>
    <x v="2"/>
  </r>
  <r>
    <n v="1139144394"/>
    <x v="6"/>
    <x v="3"/>
    <d v="2023-12-22T15:41:54"/>
    <s v="Alpaxino33"/>
    <x v="1604"/>
    <x v="283"/>
    <s v="No"/>
    <s v="Inglés"/>
    <n v="0.13530852105778651"/>
    <n v="1"/>
    <n v="0.13530852105778651"/>
    <x v="0"/>
    <m/>
    <x v="2"/>
  </r>
  <r>
    <n v="1139144394"/>
    <x v="6"/>
    <x v="3"/>
    <d v="2023-12-22T15:41:54"/>
    <s v="Alpaxino33"/>
    <x v="1605"/>
    <x v="283"/>
    <s v="No"/>
    <s v="Inglés"/>
    <n v="0.1623702252693438"/>
    <n v="1"/>
    <n v="0.1623702252693438"/>
    <x v="0"/>
    <m/>
    <x v="2"/>
  </r>
  <r>
    <n v="1139144394"/>
    <x v="6"/>
    <x v="3"/>
    <d v="2023-12-22T15:41:54"/>
    <s v="Alpaxino33"/>
    <x v="1606"/>
    <x v="283"/>
    <s v="No"/>
    <s v="Inglés"/>
    <n v="0.1623702252693438"/>
    <n v="1"/>
    <n v="0.1623702252693438"/>
    <x v="0"/>
    <m/>
    <x v="2"/>
  </r>
  <r>
    <n v="1139144394"/>
    <x v="6"/>
    <x v="3"/>
    <d v="2023-12-22T15:41:54"/>
    <s v="Alpaxino33"/>
    <x v="1607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08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09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10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11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12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13"/>
    <x v="283"/>
    <s v="No"/>
    <s v="Inglés"/>
    <n v="0.93362879529872667"/>
    <n v="1"/>
    <n v="0.93362879529872667"/>
    <x v="0"/>
    <m/>
    <x v="2"/>
  </r>
  <r>
    <n v="1139144394"/>
    <x v="6"/>
    <x v="3"/>
    <d v="2023-12-22T15:41:54"/>
    <s v="Alpaxino33"/>
    <x v="1614"/>
    <x v="283"/>
    <s v="No"/>
    <s v="Inglés"/>
    <n v="0.27061704211557303"/>
    <n v="1"/>
    <n v="0.27061704211557303"/>
    <x v="0"/>
    <m/>
    <x v="2"/>
  </r>
  <r>
    <n v="1139144394"/>
    <x v="6"/>
    <x v="3"/>
    <d v="2023-12-22T15:41:54"/>
    <s v="Alpaxino33"/>
    <x v="1615"/>
    <x v="283"/>
    <s v="No"/>
    <s v="Inglés"/>
    <n v="0.24355533790401571"/>
    <n v="1"/>
    <n v="0.24355533790401571"/>
    <x v="0"/>
    <m/>
    <x v="2"/>
  </r>
  <r>
    <n v="1139144394"/>
    <x v="6"/>
    <x v="3"/>
    <d v="2023-12-22T15:41:54"/>
    <s v="Alpaxino33"/>
    <x v="1616"/>
    <x v="283"/>
    <s v="No"/>
    <s v="Inglés"/>
    <n v="0.13530852105778651"/>
    <n v="1"/>
    <n v="0.13530852105778651"/>
    <x v="0"/>
    <m/>
    <x v="2"/>
  </r>
  <r>
    <n v="1139144394"/>
    <x v="6"/>
    <x v="3"/>
    <d v="2023-12-22T15:41:54"/>
    <s v="Alpaxino33"/>
    <x v="1617"/>
    <x v="283"/>
    <s v="No"/>
    <s v="Inglés"/>
    <n v="0.13530852105778651"/>
    <n v="1"/>
    <n v="0.13530852105778651"/>
    <x v="0"/>
    <m/>
    <x v="2"/>
  </r>
  <r>
    <n v="1139144394"/>
    <x v="6"/>
    <x v="3"/>
    <d v="2023-12-22T15:41:54"/>
    <s v="Alpaxino33"/>
    <x v="1618"/>
    <x v="283"/>
    <s v="No"/>
    <s v="Inglés"/>
    <n v="0.27061704211557303"/>
    <n v="1"/>
    <n v="0.27061704211557303"/>
    <x v="0"/>
    <m/>
    <x v="2"/>
  </r>
  <r>
    <n v="1139144394"/>
    <x v="6"/>
    <x v="3"/>
    <d v="2023-12-22T15:41:54"/>
    <s v="Alpaxino33"/>
    <x v="1619"/>
    <x v="283"/>
    <s v="No"/>
    <s v="Inglés"/>
    <n v="0.13530852105778651"/>
    <n v="1"/>
    <n v="0.13530852105778651"/>
    <x v="0"/>
    <m/>
    <x v="2"/>
  </r>
  <r>
    <n v="1139144394"/>
    <x v="6"/>
    <x v="3"/>
    <d v="2023-12-22T15:41:54"/>
    <s v="Alpaxino33"/>
    <x v="1620"/>
    <x v="283"/>
    <s v="No"/>
    <s v="Inglés"/>
    <n v="0.3382713026444662"/>
    <n v="1"/>
    <n v="0.3382713026444662"/>
    <x v="0"/>
    <m/>
    <x v="2"/>
  </r>
  <r>
    <n v="1139144394"/>
    <x v="6"/>
    <x v="3"/>
    <d v="2023-12-22T15:41:54"/>
    <s v="Alpaxino33"/>
    <x v="1621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22"/>
    <x v="283"/>
    <s v="No"/>
    <s v="Inglés"/>
    <n v="0.10824681684622919"/>
    <n v="1"/>
    <n v="0.10824681684622919"/>
    <x v="0"/>
    <m/>
    <x v="2"/>
  </r>
  <r>
    <n v="1139144394"/>
    <x v="6"/>
    <x v="3"/>
    <d v="2023-12-22T15:41:54"/>
    <s v="Alpaxino33"/>
    <x v="1623"/>
    <x v="283"/>
    <s v="No"/>
    <s v="Inglés"/>
    <n v="0.1623702252693438"/>
    <n v="1"/>
    <n v="0.1623702252693438"/>
    <x v="0"/>
    <m/>
    <x v="2"/>
  </r>
  <r>
    <n v="1139144394"/>
    <x v="6"/>
    <x v="3"/>
    <d v="2023-12-22T15:41:54"/>
    <s v="Alpaxino33"/>
    <x v="1624"/>
    <x v="283"/>
    <s v="No"/>
    <s v="Inglés"/>
    <n v="0.13530852105778651"/>
    <n v="1"/>
    <n v="0.13530852105778651"/>
    <x v="0"/>
    <m/>
    <x v="2"/>
  </r>
  <r>
    <n v="1139144394"/>
    <x v="6"/>
    <x v="3"/>
    <d v="2023-12-22T15:41:54"/>
    <s v="Alpaxino33"/>
    <x v="1625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26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27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28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29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30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31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32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33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34"/>
    <x v="283"/>
    <s v="No"/>
    <s v="Inglés"/>
    <n v="0.1623702252693438"/>
    <n v="1"/>
    <n v="0.1623702252693438"/>
    <x v="0"/>
    <m/>
    <x v="2"/>
  </r>
  <r>
    <n v="1139144394"/>
    <x v="6"/>
    <x v="3"/>
    <d v="2023-12-22T15:41:54"/>
    <s v="Alpaxino33"/>
    <x v="1635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36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37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38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39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40"/>
    <x v="283"/>
    <s v="No"/>
    <s v="Inglés"/>
    <n v="0.10824681684622919"/>
    <n v="1"/>
    <n v="0.10824681684622919"/>
    <x v="0"/>
    <m/>
    <x v="2"/>
  </r>
  <r>
    <n v="1139144394"/>
    <x v="6"/>
    <x v="3"/>
    <d v="2023-12-22T15:41:54"/>
    <s v="Alpaxino33"/>
    <x v="1641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42"/>
    <x v="283"/>
    <s v="No"/>
    <s v="Inglés"/>
    <n v="8.1185112634671888E-2"/>
    <n v="1"/>
    <n v="8.1185112634671888E-2"/>
    <x v="0"/>
    <m/>
    <x v="2"/>
  </r>
  <r>
    <n v="1139144394"/>
    <x v="6"/>
    <x v="3"/>
    <d v="2023-12-22T15:41:54"/>
    <s v="Alpaxino33"/>
    <x v="1643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44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45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46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47"/>
    <x v="283"/>
    <s v="No"/>
    <s v="Inglés"/>
    <n v="5.4123408423114597E-2"/>
    <n v="1"/>
    <n v="5.4123408423114597E-2"/>
    <x v="0"/>
    <m/>
    <x v="2"/>
  </r>
  <r>
    <n v="1139144394"/>
    <x v="6"/>
    <x v="3"/>
    <d v="2023-12-22T15:41:54"/>
    <s v="Alpaxino33"/>
    <x v="1648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49"/>
    <x v="283"/>
    <s v="No"/>
    <s v="Inglés"/>
    <n v="8.1185112634671888E-2"/>
    <n v="1"/>
    <n v="8.1185112634671888E-2"/>
    <x v="0"/>
    <m/>
    <x v="2"/>
  </r>
  <r>
    <n v="1139144394"/>
    <x v="6"/>
    <x v="3"/>
    <d v="2023-12-22T15:41:54"/>
    <s v="Alpaxino33"/>
    <x v="1650"/>
    <x v="283"/>
    <s v="No"/>
    <s v="Inglés"/>
    <n v="2.7061704211557298E-2"/>
    <n v="1"/>
    <n v="2.7061704211557298E-2"/>
    <x v="0"/>
    <m/>
    <x v="2"/>
  </r>
  <r>
    <n v="1139144394"/>
    <x v="6"/>
    <x v="3"/>
    <d v="2023-12-22T15:41:54"/>
    <s v="Alpaxino33"/>
    <x v="1651"/>
    <x v="283"/>
    <s v="No"/>
    <s v="Inglés"/>
    <n v="8.1185112634671888E-2"/>
    <n v="1"/>
    <n v="8.1185112634671888E-2"/>
    <x v="0"/>
    <m/>
    <x v="2"/>
  </r>
  <r>
    <n v="1139144394"/>
    <x v="6"/>
    <x v="3"/>
    <d v="2023-12-22T15:41:54"/>
    <s v="Alpaxino33"/>
    <x v="1652"/>
    <x v="283"/>
    <s v="No"/>
    <s v="Inglés"/>
    <n v="2.7061704211557298E-2"/>
    <n v="1"/>
    <n v="2.7061704211557298E-2"/>
    <x v="0"/>
    <m/>
    <x v="2"/>
  </r>
  <r>
    <n v="1139144394"/>
    <x v="6"/>
    <x v="3"/>
    <d v="2023-12-22T15:41:54"/>
    <s v="Alpaxino33"/>
    <x v="1653"/>
    <x v="283"/>
    <s v="No"/>
    <s v="Inglés"/>
    <n v="4.0592556317335937E-2"/>
    <n v="1"/>
    <n v="4.0592556317335937E-2"/>
    <x v="0"/>
    <m/>
    <x v="2"/>
  </r>
  <r>
    <n v="1139144394"/>
    <x v="6"/>
    <x v="3"/>
    <d v="2023-12-22T15:41:54"/>
    <s v="Alpaxino33"/>
    <x v="1654"/>
    <x v="283"/>
    <s v="No"/>
    <s v="Inglés"/>
    <n v="8.1185112634671888E-2"/>
    <n v="1"/>
    <n v="8.1185112634671888E-2"/>
    <x v="0"/>
    <m/>
    <x v="2"/>
  </r>
  <r>
    <n v="1139144394"/>
    <x v="6"/>
    <x v="3"/>
    <d v="2023-12-22T15:41:54"/>
    <s v="Alpaxino33"/>
    <x v="1655"/>
    <x v="283"/>
    <s v="No"/>
    <s v="Inglés"/>
    <n v="4.0592556317335937E-2"/>
    <n v="1"/>
    <n v="4.0592556317335937E-2"/>
    <x v="0"/>
    <m/>
    <x v="2"/>
  </r>
  <r>
    <n v="1139144394"/>
    <x v="6"/>
    <x v="3"/>
    <d v="2023-12-22T15:41:54"/>
    <s v="Alpaxino33"/>
    <x v="1656"/>
    <x v="283"/>
    <s v="No"/>
    <s v="Inglés"/>
    <n v="4.0592556317335937E-2"/>
    <n v="1"/>
    <n v="4.0592556317335937E-2"/>
    <x v="0"/>
    <m/>
    <x v="2"/>
  </r>
  <r>
    <n v="1139144394"/>
    <x v="6"/>
    <x v="3"/>
    <d v="2023-12-22T15:41:54"/>
    <s v="Alpaxino33"/>
    <x v="1657"/>
    <x v="283"/>
    <s v="No"/>
    <s v="Inglés"/>
    <n v="8.1185112634671888E-2"/>
    <n v="1"/>
    <n v="8.1185112634671888E-2"/>
    <x v="0"/>
    <m/>
    <x v="2"/>
  </r>
  <r>
    <n v="1139144394"/>
    <x v="6"/>
    <x v="3"/>
    <d v="2023-12-22T15:41:54"/>
    <s v="Alpaxino33"/>
    <x v="1658"/>
    <x v="283"/>
    <s v="No"/>
    <s v="Inglés"/>
    <n v="2.7061704211557298E-2"/>
    <n v="1"/>
    <n v="2.7061704211557298E-2"/>
    <x v="0"/>
    <m/>
    <x v="2"/>
  </r>
  <r>
    <n v="1139144394"/>
    <x v="6"/>
    <x v="3"/>
    <d v="2023-12-22T15:41:54"/>
    <s v="Alpaxino33"/>
    <x v="1659"/>
    <x v="283"/>
    <s v="No"/>
    <s v="Inglés"/>
    <n v="4.0592556317335937E-2"/>
    <n v="1"/>
    <n v="4.0592556317335937E-2"/>
    <x v="0"/>
    <m/>
    <x v="2"/>
  </r>
  <r>
    <n v="1139144394"/>
    <x v="6"/>
    <x v="3"/>
    <d v="2023-12-22T15:41:54"/>
    <s v="Alpaxino33"/>
    <x v="1660"/>
    <x v="283"/>
    <s v="No"/>
    <s v="Inglés"/>
    <n v="2.7061704211557298E-2"/>
    <n v="1"/>
    <n v="2.7061704211557298E-2"/>
    <x v="0"/>
    <m/>
    <x v="2"/>
  </r>
  <r>
    <n v="1139144394"/>
    <x v="6"/>
    <x v="3"/>
    <d v="2023-12-22T15:41:54"/>
    <s v="Alpaxino33"/>
    <x v="1661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62"/>
    <x v="283"/>
    <s v="No"/>
    <s v="Inglés"/>
    <n v="0.36533300685602349"/>
    <n v="1"/>
    <n v="0.36533300685602349"/>
    <x v="0"/>
    <m/>
    <x v="2"/>
  </r>
  <r>
    <n v="1139144394"/>
    <x v="6"/>
    <x v="3"/>
    <d v="2023-12-22T15:41:54"/>
    <s v="Alpaxino33"/>
    <x v="1663"/>
    <x v="283"/>
    <s v="No"/>
    <s v="Inglés"/>
    <n v="4.0592556317335937E-2"/>
    <n v="1"/>
    <n v="4.0592556317335937E-2"/>
    <x v="0"/>
    <m/>
    <x v="2"/>
  </r>
  <r>
    <n v="1139144394"/>
    <x v="6"/>
    <x v="3"/>
    <d v="2023-12-22T15:41:54"/>
    <s v="Alpaxino33"/>
    <x v="1664"/>
    <x v="283"/>
    <s v="No"/>
    <s v="Inglés"/>
    <n v="4.0592556317335937E-2"/>
    <n v="1"/>
    <n v="4.0592556317335937E-2"/>
    <x v="0"/>
    <m/>
    <x v="2"/>
  </r>
  <r>
    <n v="1139144394"/>
    <x v="6"/>
    <x v="3"/>
    <d v="2023-12-22T15:41:54"/>
    <s v="Alpaxino33"/>
    <x v="1665"/>
    <x v="283"/>
    <s v="No"/>
    <s v="Inglés"/>
    <n v="0.10824681684622919"/>
    <n v="1"/>
    <n v="0.10824681684622919"/>
    <x v="0"/>
    <m/>
    <x v="2"/>
  </r>
  <r>
    <n v="1139144394"/>
    <x v="6"/>
    <x v="3"/>
    <d v="2023-12-22T15:41:54"/>
    <s v="Alpaxino33"/>
    <x v="1666"/>
    <x v="283"/>
    <s v="No"/>
    <s v="Inglés"/>
    <n v="4.0592556317335937E-2"/>
    <n v="1"/>
    <n v="4.0592556317335937E-2"/>
    <x v="0"/>
    <m/>
    <x v="2"/>
  </r>
  <r>
    <n v="1139144394"/>
    <x v="6"/>
    <x v="3"/>
    <d v="2023-12-22T15:41:54"/>
    <s v="Alpaxino33"/>
    <x v="1667"/>
    <x v="283"/>
    <s v="No"/>
    <s v="Inglés"/>
    <n v="4.0592556317335937E-2"/>
    <n v="1"/>
    <n v="4.0592556317335937E-2"/>
    <x v="0"/>
    <m/>
    <x v="2"/>
  </r>
  <r>
    <n v="1139144394"/>
    <x v="6"/>
    <x v="3"/>
    <d v="2023-12-22T15:41:54"/>
    <s v="Alpaxino33"/>
    <x v="1668"/>
    <x v="283"/>
    <s v="No"/>
    <s v="Inglés"/>
    <n v="5.4123408423114597E-2"/>
    <n v="1"/>
    <n v="5.4123408423114597E-2"/>
    <x v="0"/>
    <m/>
    <x v="2"/>
  </r>
  <r>
    <n v="1139144394"/>
    <x v="6"/>
    <x v="3"/>
    <d v="2023-12-22T15:41:54"/>
    <s v="Alpaxino33"/>
    <x v="1669"/>
    <x v="283"/>
    <s v="No"/>
    <s v="Inglés"/>
    <n v="8.1185112634671888E-2"/>
    <n v="1"/>
    <n v="8.1185112634671888E-2"/>
    <x v="0"/>
    <m/>
    <x v="2"/>
  </r>
  <r>
    <n v="1139144394"/>
    <x v="6"/>
    <x v="3"/>
    <d v="2023-12-22T15:41:54"/>
    <s v="Alpaxino33"/>
    <x v="1670"/>
    <x v="283"/>
    <s v="No"/>
    <s v="Inglés"/>
    <n v="4.0592556317335937E-2"/>
    <n v="1"/>
    <n v="4.0592556317335937E-2"/>
    <x v="0"/>
    <m/>
    <x v="2"/>
  </r>
  <r>
    <n v="1139144394"/>
    <x v="6"/>
    <x v="3"/>
    <d v="2023-12-22T15:41:54"/>
    <s v="Alpaxino33"/>
    <x v="1671"/>
    <x v="283"/>
    <s v="No"/>
    <s v="Inglés"/>
    <n v="4.0592556317335937E-2"/>
    <n v="1"/>
    <n v="4.0592556317335937E-2"/>
    <x v="0"/>
    <m/>
    <x v="2"/>
  </r>
  <r>
    <n v="1139144394"/>
    <x v="6"/>
    <x v="3"/>
    <d v="2023-12-22T15:41:54"/>
    <s v="Alpaxino33"/>
    <x v="1672"/>
    <x v="283"/>
    <s v="No"/>
    <s v="Inglés"/>
    <n v="8.1185112634671888E-2"/>
    <n v="1"/>
    <n v="8.1185112634671888E-2"/>
    <x v="0"/>
    <m/>
    <x v="2"/>
  </r>
  <r>
    <n v="1139144394"/>
    <x v="6"/>
    <x v="3"/>
    <d v="2023-12-22T15:41:54"/>
    <s v="Alpaxino33"/>
    <x v="1673"/>
    <x v="283"/>
    <s v="No"/>
    <s v="Inglés"/>
    <n v="4.0592556317335937E-2"/>
    <n v="1"/>
    <n v="4.0592556317335937E-2"/>
    <x v="0"/>
    <m/>
    <x v="2"/>
  </r>
  <r>
    <n v="1139144394"/>
    <x v="6"/>
    <x v="3"/>
    <d v="2023-12-22T15:41:54"/>
    <s v="Alpaxino33"/>
    <x v="1674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75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76"/>
    <x v="283"/>
    <s v="No"/>
    <s v="Inglés"/>
    <n v="0.10824681684622919"/>
    <n v="1"/>
    <n v="0.10824681684622919"/>
    <x v="0"/>
    <m/>
    <x v="2"/>
  </r>
  <r>
    <n v="1139144394"/>
    <x v="6"/>
    <x v="3"/>
    <d v="2023-12-22T15:41:54"/>
    <s v="Alpaxino33"/>
    <x v="1677"/>
    <x v="283"/>
    <s v="No"/>
    <s v="Inglés"/>
    <n v="8.1185112634671888E-2"/>
    <n v="1"/>
    <n v="8.1185112634671888E-2"/>
    <x v="0"/>
    <m/>
    <x v="2"/>
  </r>
  <r>
    <n v="1139144394"/>
    <x v="6"/>
    <x v="3"/>
    <d v="2023-12-22T15:41:54"/>
    <s v="Alpaxino33"/>
    <x v="1678"/>
    <x v="283"/>
    <s v="No"/>
    <s v="Inglés"/>
    <n v="6.7654260528893242E-2"/>
    <n v="1"/>
    <n v="6.7654260528893242E-2"/>
    <x v="0"/>
    <m/>
    <x v="2"/>
  </r>
  <r>
    <n v="1139144394"/>
    <x v="6"/>
    <x v="3"/>
    <d v="2023-12-22T15:41:54"/>
    <s v="Alpaxino33"/>
    <x v="1679"/>
    <x v="283"/>
    <s v="No"/>
    <s v="Inglés"/>
    <n v="8.1185112634671888E-2"/>
    <n v="1"/>
    <n v="8.1185112634671888E-2"/>
    <x v="0"/>
    <m/>
    <x v="2"/>
  </r>
  <r>
    <n v="1139144394"/>
    <x v="6"/>
    <x v="3"/>
    <d v="2023-12-22T15:41:54"/>
    <s v="Alpaxino33"/>
    <x v="1680"/>
    <x v="283"/>
    <s v="No"/>
    <s v="Inglés"/>
    <n v="0.1217776689520078"/>
    <n v="1"/>
    <n v="0.1217776689520078"/>
    <x v="0"/>
    <m/>
    <x v="2"/>
  </r>
  <r>
    <n v="1139144394"/>
    <x v="6"/>
    <x v="3"/>
    <d v="2023-12-22T15:41:54"/>
    <s v="Alpaxino33"/>
    <x v="1681"/>
    <x v="283"/>
    <s v="No"/>
    <s v="Inglés"/>
    <n v="5.4123408423114597E-2"/>
    <n v="1"/>
    <n v="5.4123408423114597E-2"/>
    <x v="0"/>
    <m/>
    <x v="2"/>
  </r>
  <r>
    <n v="1139144394"/>
    <x v="6"/>
    <x v="3"/>
    <d v="2023-12-22T15:41:54"/>
    <s v="Alpaxino33"/>
    <x v="1682"/>
    <x v="283"/>
    <s v="No"/>
    <s v="Inglés"/>
    <n v="8.1185112634671888E-2"/>
    <n v="1"/>
    <n v="8.1185112634671888E-2"/>
    <x v="0"/>
    <m/>
    <x v="2"/>
  </r>
  <r>
    <n v="1139144394"/>
    <x v="6"/>
    <x v="3"/>
    <d v="2023-12-22T15:41:54"/>
    <s v="Alpaxino33"/>
    <x v="1683"/>
    <x v="283"/>
    <s v="No"/>
    <s v="Inglés"/>
    <n v="5.4123408423114597E-2"/>
    <n v="1"/>
    <n v="5.4123408423114597E-2"/>
    <x v="0"/>
    <m/>
    <x v="2"/>
  </r>
  <r>
    <n v="1139144394"/>
    <x v="6"/>
    <x v="3"/>
    <d v="2023-12-22T15:41:54"/>
    <s v="Alpaxino33"/>
    <x v="1684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85"/>
    <x v="283"/>
    <s v="No"/>
    <s v="Inglés"/>
    <n v="2.7061704211557298E-2"/>
    <n v="1"/>
    <n v="2.7061704211557298E-2"/>
    <x v="0"/>
    <m/>
    <x v="2"/>
  </r>
  <r>
    <n v="1139144394"/>
    <x v="6"/>
    <x v="3"/>
    <d v="2023-12-22T15:41:54"/>
    <s v="Alpaxino33"/>
    <x v="1686"/>
    <x v="283"/>
    <s v="No"/>
    <s v="Inglés"/>
    <n v="5.4123408423114597E-2"/>
    <n v="1"/>
    <n v="5.4123408423114597E-2"/>
    <x v="0"/>
    <m/>
    <x v="2"/>
  </r>
  <r>
    <n v="1139144394"/>
    <x v="6"/>
    <x v="3"/>
    <d v="2023-12-22T15:41:54"/>
    <s v="Alpaxino33"/>
    <x v="1687"/>
    <x v="283"/>
    <s v="No"/>
    <s v="Inglés"/>
    <n v="5.4123408423114597E-2"/>
    <n v="1"/>
    <n v="5.4123408423114597E-2"/>
    <x v="0"/>
    <m/>
    <x v="2"/>
  </r>
  <r>
    <n v="1139144394"/>
    <x v="6"/>
    <x v="3"/>
    <d v="2023-12-22T15:41:54"/>
    <s v="Alpaxino33"/>
    <x v="1688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89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90"/>
    <x v="283"/>
    <s v="No"/>
    <s v="Inglés"/>
    <n v="2.7061704211557298E-2"/>
    <n v="1"/>
    <n v="2.7061704211557298E-2"/>
    <x v="0"/>
    <m/>
    <x v="2"/>
  </r>
  <r>
    <n v="1139144394"/>
    <x v="6"/>
    <x v="3"/>
    <d v="2023-12-22T15:41:54"/>
    <s v="Alpaxino33"/>
    <x v="1691"/>
    <x v="283"/>
    <s v="No"/>
    <s v="Inglés"/>
    <n v="9.4715964740450548E-2"/>
    <n v="1"/>
    <n v="9.4715964740450548E-2"/>
    <x v="0"/>
    <m/>
    <x v="2"/>
  </r>
  <r>
    <n v="1139144394"/>
    <x v="6"/>
    <x v="3"/>
    <d v="2023-12-22T15:41:54"/>
    <s v="Alpaxino33"/>
    <x v="1692"/>
    <x v="283"/>
    <s v="No"/>
    <s v="Inglés"/>
    <n v="4.5057737512242886"/>
    <n v="1"/>
    <n v="4.5057737512242886"/>
    <x v="0"/>
    <m/>
    <x v="2"/>
  </r>
  <r>
    <n v="1139144394"/>
    <x v="6"/>
    <x v="3"/>
    <d v="2023-12-22T15:41:54"/>
    <s v="Alpaxino33"/>
    <x v="1693"/>
    <x v="283"/>
    <s v="No"/>
    <s v="Inglés"/>
    <n v="2.70617042115573"/>
    <n v="1"/>
    <n v="2.70617042115573"/>
    <x v="0"/>
    <m/>
    <x v="2"/>
  </r>
  <r>
    <n v="1139144394"/>
    <x v="6"/>
    <x v="3"/>
    <d v="2023-12-22T15:41:54"/>
    <s v="Alpaxino33"/>
    <x v="1694"/>
    <x v="283"/>
    <s v="No"/>
    <s v="Inglés"/>
    <n v="0.6765426052889324"/>
    <n v="1"/>
    <n v="0.6765426052889324"/>
    <x v="0"/>
    <m/>
    <x v="2"/>
  </r>
  <r>
    <n v="1139144394"/>
    <x v="6"/>
    <x v="3"/>
    <d v="2023-12-22T15:41:54"/>
    <s v="Alpaxino33"/>
    <x v="1695"/>
    <x v="283"/>
    <s v="No"/>
    <s v="Inglés"/>
    <n v="0.81185112634671885"/>
    <n v="1"/>
    <n v="0.81185112634671885"/>
    <x v="0"/>
    <m/>
    <x v="2"/>
  </r>
  <r>
    <n v="1139144394"/>
    <x v="6"/>
    <x v="3"/>
    <d v="2023-12-22T15:41:54"/>
    <s v="Alpaxino33"/>
    <x v="1696"/>
    <x v="283"/>
    <s v="No"/>
    <s v="Inglés"/>
    <n v="0.40592556317335943"/>
    <n v="1"/>
    <n v="0.40592556317335943"/>
    <x v="0"/>
    <m/>
    <x v="2"/>
  </r>
  <r>
    <n v="1139144394"/>
    <x v="6"/>
    <x v="3"/>
    <d v="2023-12-22T15:41:54"/>
    <s v="Alpaxino33"/>
    <x v="1697"/>
    <x v="283"/>
    <s v="No"/>
    <s v="Inglés"/>
    <n v="0.6765426052889324"/>
    <n v="1"/>
    <n v="0.6765426052889324"/>
    <x v="0"/>
    <m/>
    <x v="2"/>
  </r>
  <r>
    <n v="1139144394"/>
    <x v="6"/>
    <x v="3"/>
    <d v="2023-12-22T15:41:54"/>
    <s v="Alpaxino33"/>
    <x v="1698"/>
    <x v="283"/>
    <s v="No"/>
    <s v="Inglés"/>
    <n v="0.3382713026444662"/>
    <n v="1"/>
    <n v="0.3382713026444662"/>
    <x v="0"/>
    <m/>
    <x v="2"/>
  </r>
  <r>
    <n v="1139143756"/>
    <x v="6"/>
    <x v="3"/>
    <d v="2023-12-22T15:41:54"/>
    <s v="QuintaMarcha"/>
    <x v="1699"/>
    <x v="285"/>
    <s v="No"/>
    <s v="Inglés"/>
    <n v="3.43745247148289"/>
    <n v="1"/>
    <n v="3.43745247148289"/>
    <x v="0"/>
    <m/>
    <x v="2"/>
  </r>
  <r>
    <n v="1139143756"/>
    <x v="6"/>
    <x v="3"/>
    <d v="2023-12-22T15:41:54"/>
    <s v="QuintaMarcha"/>
    <x v="1700"/>
    <x v="285"/>
    <s v="No"/>
    <s v="Inglés"/>
    <n v="9.8103802281368822"/>
    <n v="1"/>
    <n v="9.8103802281368822"/>
    <x v="0"/>
    <m/>
    <x v="2"/>
  </r>
  <r>
    <n v="1139143756"/>
    <x v="6"/>
    <x v="3"/>
    <d v="2023-12-22T15:41:54"/>
    <s v="QuintaMarcha"/>
    <x v="1591"/>
    <x v="281"/>
    <s v="No"/>
    <s v="Inglés"/>
    <n v="3.2628517110266162"/>
    <n v="1"/>
    <n v="3.2628517110266162"/>
    <x v="0"/>
    <m/>
    <x v="2"/>
  </r>
  <r>
    <n v="1139143756"/>
    <x v="6"/>
    <x v="3"/>
    <d v="2023-12-22T15:41:54"/>
    <s v="QuintaMarcha"/>
    <x v="1701"/>
    <x v="285"/>
    <s v="No"/>
    <s v="Inglés"/>
    <n v="4.3541064638783276"/>
    <n v="1"/>
    <n v="4.3541064638783276"/>
    <x v="0"/>
    <m/>
    <x v="2"/>
  </r>
  <r>
    <n v="1139143756"/>
    <x v="6"/>
    <x v="3"/>
    <d v="2023-12-22T15:41:54"/>
    <s v="QuintaMarcha"/>
    <x v="1702"/>
    <x v="285"/>
    <s v="No"/>
    <s v="Inglés"/>
    <n v="1.6259695817490489"/>
    <n v="1"/>
    <n v="1.6259695817490489"/>
    <x v="0"/>
    <m/>
    <x v="2"/>
  </r>
  <r>
    <n v="1139143756"/>
    <x v="6"/>
    <x v="3"/>
    <d v="2023-12-22T15:41:54"/>
    <s v="QuintaMarcha"/>
    <x v="1591"/>
    <x v="285"/>
    <s v="No"/>
    <s v="Inglés"/>
    <n v="0.8184410646387833"/>
    <n v="1"/>
    <n v="0.8184410646387833"/>
    <x v="0"/>
    <m/>
    <x v="2"/>
  </r>
  <r>
    <n v="1139143756"/>
    <x v="6"/>
    <x v="3"/>
    <d v="2023-12-22T15:41:54"/>
    <s v="QuintaMarcha"/>
    <x v="1703"/>
    <x v="285"/>
    <s v="No"/>
    <s v="Inglés"/>
    <n v="4.3541064638783276"/>
    <n v="1"/>
    <n v="4.3541064638783276"/>
    <x v="0"/>
    <m/>
    <x v="2"/>
  </r>
  <r>
    <n v="1139143756"/>
    <x v="6"/>
    <x v="3"/>
    <d v="2023-12-22T15:41:54"/>
    <s v="QuintaMarcha"/>
    <x v="1704"/>
    <x v="285"/>
    <s v="No"/>
    <s v="Inglés"/>
    <n v="2.509885931558935"/>
    <n v="1"/>
    <n v="2.509885931558935"/>
    <x v="0"/>
    <m/>
    <x v="2"/>
  </r>
  <r>
    <n v="1139143756"/>
    <x v="6"/>
    <x v="3"/>
    <d v="2023-12-22T15:41:54"/>
    <s v="QuintaMarcha"/>
    <x v="1705"/>
    <x v="285"/>
    <s v="No"/>
    <s v="Inglés"/>
    <n v="10.90163498098859"/>
    <n v="1"/>
    <n v="10.90163498098859"/>
    <x v="0"/>
    <m/>
    <x v="2"/>
  </r>
  <r>
    <n v="1139143756"/>
    <x v="6"/>
    <x v="3"/>
    <d v="2023-12-22T15:41:54"/>
    <s v="QuintaMarcha"/>
    <x v="1706"/>
    <x v="285"/>
    <s v="No"/>
    <s v="Inglés"/>
    <n v="8.7191254752851712"/>
    <n v="1"/>
    <n v="8.7191254752851712"/>
    <x v="0"/>
    <m/>
    <x v="2"/>
  </r>
  <r>
    <n v="1139143756"/>
    <x v="6"/>
    <x v="3"/>
    <d v="2023-12-22T15:41:54"/>
    <s v="QuintaMarcha"/>
    <x v="1707"/>
    <x v="285"/>
    <s v="No"/>
    <s v="Inglés"/>
    <n v="9.5375665399239544"/>
    <n v="1"/>
    <n v="9.5375665399239544"/>
    <x v="0"/>
    <m/>
    <x v="2"/>
  </r>
  <r>
    <n v="1139143756"/>
    <x v="6"/>
    <x v="3"/>
    <d v="2023-12-22T15:41:54"/>
    <s v="QuintaMarcha"/>
    <x v="1708"/>
    <x v="285"/>
    <s v="No"/>
    <s v="Inglés"/>
    <n v="2.007908745247148"/>
    <n v="1"/>
    <n v="2.007908745247148"/>
    <x v="0"/>
    <m/>
    <x v="2"/>
  </r>
  <r>
    <n v="1139143756"/>
    <x v="6"/>
    <x v="3"/>
    <d v="2023-12-22T15:41:54"/>
    <s v="QuintaMarcha"/>
    <x v="1585"/>
    <x v="283"/>
    <s v="No"/>
    <s v="Inglés"/>
    <n v="1.800570342205323"/>
    <n v="1"/>
    <n v="1.800570342205323"/>
    <x v="0"/>
    <m/>
    <x v="2"/>
  </r>
  <r>
    <n v="1139136931"/>
    <x v="6"/>
    <x v="3"/>
    <d v="2023-12-22T10:38:43"/>
    <s v="Distritozero-Bilbao"/>
    <x v="1709"/>
    <x v="133"/>
    <s v="No"/>
    <s v="Inglés"/>
    <n v="0.6"/>
    <n v="2"/>
    <n v="1.2"/>
    <x v="0"/>
    <m/>
    <x v="0"/>
  </r>
  <r>
    <n v="1139136931"/>
    <x v="6"/>
    <x v="3"/>
    <d v="2023-12-22T10:38:43"/>
    <s v="Distritozero-Bilbao"/>
    <x v="1710"/>
    <x v="199"/>
    <s v="No"/>
    <s v="Inglés"/>
    <n v="1.5"/>
    <n v="1"/>
    <n v="1.5"/>
    <x v="0"/>
    <m/>
    <x v="0"/>
  </r>
  <r>
    <n v="1139136931"/>
    <x v="6"/>
    <x v="3"/>
    <d v="2023-12-22T10:38:43"/>
    <s v="Distritozero-Bilbao"/>
    <x v="1153"/>
    <x v="133"/>
    <s v="Si"/>
    <s v="Inglés"/>
    <n v="0.99"/>
    <n v="4"/>
    <n v="3.96"/>
    <x v="0"/>
    <m/>
    <x v="0"/>
  </r>
  <r>
    <n v="1139136931"/>
    <x v="6"/>
    <x v="3"/>
    <d v="2023-12-22T10:38:43"/>
    <s v="Distritozero-Bilbao"/>
    <x v="1710"/>
    <x v="133"/>
    <s v="No"/>
    <s v="Japonés"/>
    <n v="1.25"/>
    <n v="2"/>
    <n v="2.5"/>
    <x v="0"/>
    <m/>
    <x v="0"/>
  </r>
  <r>
    <n v="1139136931"/>
    <x v="6"/>
    <x v="3"/>
    <d v="2023-12-22T10:38:43"/>
    <s v="Distritozero-Bilbao"/>
    <x v="1711"/>
    <x v="133"/>
    <s v="Si"/>
    <s v="Japonés"/>
    <n v="6.95"/>
    <n v="4"/>
    <n v="27.8"/>
    <x v="0"/>
    <m/>
    <x v="0"/>
  </r>
  <r>
    <n v="1139136931"/>
    <x v="6"/>
    <x v="3"/>
    <d v="2023-12-22T10:38:43"/>
    <s v="Distritozero-Bilbao"/>
    <x v="1710"/>
    <x v="199"/>
    <s v="No"/>
    <s v="Inglés"/>
    <n v="3.45"/>
    <n v="1"/>
    <n v="3.45"/>
    <x v="0"/>
    <m/>
    <x v="0"/>
  </r>
  <r>
    <n v="1139136931"/>
    <x v="6"/>
    <x v="3"/>
    <d v="2023-12-22T10:38:43"/>
    <s v="Distritozero-Bilbao"/>
    <x v="1712"/>
    <x v="199"/>
    <s v="No"/>
    <s v="Inglés"/>
    <n v="0.55000000000000004"/>
    <n v="1"/>
    <n v="0.55000000000000004"/>
    <x v="0"/>
    <m/>
    <x v="0"/>
  </r>
  <r>
    <n v="1139136931"/>
    <x v="6"/>
    <x v="3"/>
    <d v="2023-12-22T10:38:43"/>
    <s v="Distritozero-Bilbao"/>
    <x v="1713"/>
    <x v="45"/>
    <s v="No"/>
    <s v="Inglés"/>
    <n v="1"/>
    <n v="2"/>
    <n v="2"/>
    <x v="0"/>
    <m/>
    <x v="0"/>
  </r>
  <r>
    <n v="1138956630"/>
    <x v="6"/>
    <x v="3"/>
    <d v="2023-12-20T14:17:01"/>
    <s v="gadgame"/>
    <x v="1714"/>
    <x v="281"/>
    <s v="No"/>
    <s v="Inglés"/>
    <n v="0.495"/>
    <n v="2"/>
    <n v="0.99"/>
    <x v="1"/>
    <n v="0.99"/>
    <x v="2"/>
  </r>
  <r>
    <n v="1138956630"/>
    <x v="6"/>
    <x v="3"/>
    <d v="2023-12-20T14:17:01"/>
    <s v="gadgame"/>
    <x v="1715"/>
    <x v="286"/>
    <s v="Si"/>
    <s v="Inglés"/>
    <n v="0.2475"/>
    <n v="4"/>
    <n v="0.99"/>
    <x v="1"/>
    <n v="0.99"/>
    <x v="2"/>
  </r>
  <r>
    <n v="1138813801"/>
    <x v="6"/>
    <x v="3"/>
    <d v="2023-12-19T10:25:57"/>
    <s v="IBARI"/>
    <x v="797"/>
    <x v="279"/>
    <s v="Si"/>
    <s v="Inglés"/>
    <n v="8.16"/>
    <n v="4"/>
    <n v="32.64"/>
    <x v="0"/>
    <m/>
    <x v="0"/>
  </r>
  <r>
    <n v="1138813507"/>
    <x v="6"/>
    <x v="3"/>
    <d v="2023-12-19T10:25:57"/>
    <s v="KikouMagic"/>
    <x v="1716"/>
    <x v="247"/>
    <s v="No"/>
    <s v="Japonés"/>
    <n v="12.93"/>
    <n v="1"/>
    <n v="12.93"/>
    <x v="0"/>
    <m/>
    <x v="0"/>
  </r>
  <r>
    <n v="1138674465"/>
    <x v="6"/>
    <x v="3"/>
    <d v="2023-12-17T23:40:05"/>
    <s v="rafran"/>
    <x v="328"/>
    <x v="111"/>
    <s v="Si"/>
    <s v="Español"/>
    <n v="1.7949999999999999"/>
    <n v="4"/>
    <n v="7.18"/>
    <x v="0"/>
    <m/>
    <x v="0"/>
  </r>
  <r>
    <n v="1138674136"/>
    <x v="6"/>
    <x v="3"/>
    <d v="2023-12-17T23:40:05"/>
    <s v="MTGWARHAMMER"/>
    <x v="800"/>
    <x v="279"/>
    <s v="Si"/>
    <s v="Inglés"/>
    <n v="5.422877930476961"/>
    <n v="4"/>
    <n v="21.691511721907844"/>
    <x v="0"/>
    <m/>
    <x v="0"/>
  </r>
  <r>
    <n v="1138674136"/>
    <x v="6"/>
    <x v="3"/>
    <d v="2023-12-17T23:40:05"/>
    <s v="MTGWARHAMMER"/>
    <x v="799"/>
    <x v="279"/>
    <s v="Si"/>
    <s v="Inglés"/>
    <n v="3.3090622473726761"/>
    <n v="4"/>
    <n v="13.236248989490704"/>
    <x v="0"/>
    <m/>
    <x v="0"/>
  </r>
  <r>
    <n v="1138674136"/>
    <x v="6"/>
    <x v="3"/>
    <d v="2023-12-17T23:40:05"/>
    <s v="MTGWARHAMMER"/>
    <x v="796"/>
    <x v="279"/>
    <s v="Si"/>
    <s v="Inglés"/>
    <n v="4.9580598221503642"/>
    <n v="4"/>
    <n v="19.832239288601457"/>
    <x v="0"/>
    <m/>
    <x v="0"/>
  </r>
  <r>
    <n v="1138668475"/>
    <x v="6"/>
    <x v="3"/>
    <d v="2023-12-17T23:40:05"/>
    <s v="triska23"/>
    <x v="1717"/>
    <x v="11"/>
    <s v="No"/>
    <s v="Inglés"/>
    <n v="5.5619047619047617"/>
    <n v="1"/>
    <n v="5.5619047619047617"/>
    <x v="0"/>
    <m/>
    <x v="0"/>
  </r>
  <r>
    <n v="1138668475"/>
    <x v="6"/>
    <x v="3"/>
    <d v="2023-12-17T23:40:05"/>
    <s v="triska23"/>
    <x v="1551"/>
    <x v="11"/>
    <s v="No"/>
    <s v="Inglés"/>
    <n v="6.118095238095238"/>
    <n v="1"/>
    <n v="6.118095238095238"/>
    <x v="0"/>
    <m/>
    <x v="0"/>
  </r>
  <r>
    <n v="1138668474"/>
    <x v="6"/>
    <x v="3"/>
    <d v="2023-12-17T23:40:05"/>
    <s v="Neku94"/>
    <x v="673"/>
    <x v="11"/>
    <s v="No"/>
    <s v="Inglés"/>
    <n v="9.18"/>
    <n v="1"/>
    <n v="9.18"/>
    <x v="0"/>
    <m/>
    <x v="0"/>
  </r>
  <r>
    <n v="1138668473"/>
    <x v="6"/>
    <x v="3"/>
    <d v="2023-12-17T23:40:05"/>
    <s v="09unnamed"/>
    <x v="1718"/>
    <x v="11"/>
    <s v="No"/>
    <s v="Inglés"/>
    <n v="4.68"/>
    <n v="1"/>
    <n v="4.68"/>
    <x v="0"/>
    <m/>
    <x v="0"/>
  </r>
  <r>
    <n v="1138668463"/>
    <x v="6"/>
    <x v="3"/>
    <d v="2023-12-17T23:40:05"/>
    <s v="Magicevents"/>
    <x v="1719"/>
    <x v="11"/>
    <s v="No"/>
    <s v="Inglés"/>
    <n v="6.3521004098360656"/>
    <n v="1"/>
    <n v="6.3521004098360656"/>
    <x v="0"/>
    <m/>
    <x v="0"/>
  </r>
  <r>
    <n v="1138668463"/>
    <x v="6"/>
    <x v="3"/>
    <d v="2023-12-17T23:40:05"/>
    <s v="Magicevents"/>
    <x v="308"/>
    <x v="11"/>
    <s v="No"/>
    <s v="Inglés"/>
    <n v="2.3223872950819668"/>
    <n v="1"/>
    <n v="2.3223872950819668"/>
    <x v="0"/>
    <m/>
    <x v="0"/>
  </r>
  <r>
    <n v="1138668463"/>
    <x v="6"/>
    <x v="3"/>
    <d v="2023-12-17T23:40:05"/>
    <s v="Magicevents"/>
    <x v="1720"/>
    <x v="11"/>
    <s v="No"/>
    <s v="Inglés"/>
    <n v="5.8218750000000004"/>
    <n v="1"/>
    <n v="5.8218750000000004"/>
    <x v="0"/>
    <m/>
    <x v="0"/>
  </r>
  <r>
    <n v="1138668463"/>
    <x v="6"/>
    <x v="3"/>
    <d v="2023-12-17T23:40:05"/>
    <s v="Magicevents"/>
    <x v="1546"/>
    <x v="11"/>
    <s v="No"/>
    <s v="Inglés"/>
    <n v="3.054098360655737"/>
    <n v="1"/>
    <n v="3.054098360655737"/>
    <x v="0"/>
    <m/>
    <x v="0"/>
  </r>
  <r>
    <n v="1138668463"/>
    <x v="6"/>
    <x v="3"/>
    <d v="2023-12-17T23:40:05"/>
    <s v="Magicevents"/>
    <x v="674"/>
    <x v="11"/>
    <s v="No"/>
    <s v="Inglés"/>
    <n v="3.1495389344262299"/>
    <n v="1"/>
    <n v="3.1495389344262299"/>
    <x v="0"/>
    <m/>
    <x v="0"/>
  </r>
  <r>
    <n v="1138610285"/>
    <x v="6"/>
    <x v="3"/>
    <d v="2023-12-17T13:45:04"/>
    <s v="Moria05"/>
    <x v="1721"/>
    <x v="11"/>
    <s v="No"/>
    <s v="Inglés"/>
    <n v="23.3"/>
    <n v="1"/>
    <n v="23.3"/>
    <x v="0"/>
    <m/>
    <x v="0"/>
  </r>
  <r>
    <n v="1138593240"/>
    <x v="6"/>
    <x v="3"/>
    <d v="2023-12-17T10:49:52"/>
    <s v="AdepeFP"/>
    <x v="1722"/>
    <x v="11"/>
    <s v="No"/>
    <s v="Inglés"/>
    <n v="70.28"/>
    <n v="1"/>
    <n v="70.28"/>
    <x v="0"/>
    <m/>
    <x v="0"/>
  </r>
  <r>
    <n v="1138582468"/>
    <x v="6"/>
    <x v="3"/>
    <d v="2023-12-17T10:30:15"/>
    <s v="lacavernadevoltir"/>
    <x v="1723"/>
    <x v="244"/>
    <s v="No"/>
    <s v="Inglés"/>
    <n v="1.8729251923391721"/>
    <n v="1"/>
    <n v="1.8729251923391721"/>
    <x v="0"/>
    <m/>
    <x v="0"/>
  </r>
  <r>
    <n v="1138582468"/>
    <x v="6"/>
    <x v="3"/>
    <d v="2023-12-17T10:30:15"/>
    <s v="lacavernadevoltir"/>
    <x v="1724"/>
    <x v="199"/>
    <s v="No"/>
    <s v="Inglés"/>
    <n v="0.18729251923391721"/>
    <n v="2"/>
    <n v="0.37458503846783442"/>
    <x v="0"/>
    <m/>
    <x v="0"/>
  </r>
  <r>
    <n v="1138582468"/>
    <x v="6"/>
    <x v="3"/>
    <d v="2023-12-17T10:30:15"/>
    <s v="lacavernadevoltir"/>
    <x v="1725"/>
    <x v="11"/>
    <s v="No"/>
    <s v="Inglés"/>
    <n v="62.420434604681617"/>
    <n v="2"/>
    <n v="124.84086920936323"/>
    <x v="0"/>
    <m/>
    <x v="0"/>
  </r>
  <r>
    <n v="1138582468"/>
    <x v="6"/>
    <x v="3"/>
    <d v="2023-12-17T10:30:15"/>
    <s v="lacavernadevoltir"/>
    <x v="468"/>
    <x v="234"/>
    <s v="No"/>
    <s v="Inglés"/>
    <n v="2.081027991487969E-2"/>
    <n v="2"/>
    <n v="4.1620559829759381E-2"/>
    <x v="0"/>
    <m/>
    <x v="0"/>
  </r>
  <r>
    <n v="1138167691"/>
    <x v="6"/>
    <x v="3"/>
    <d v="2023-12-13T08:18:57"/>
    <s v="hvaquinhas"/>
    <x v="1726"/>
    <x v="15"/>
    <s v="Si"/>
    <s v="Inglés"/>
    <n v="175.04"/>
    <n v="1"/>
    <n v="175.04"/>
    <x v="0"/>
    <m/>
    <x v="0"/>
  </r>
  <r>
    <n v="1137933892"/>
    <x v="6"/>
    <x v="3"/>
    <d v="2023-12-11T18:39:01"/>
    <s v="PatriciaSM18"/>
    <x v="1727"/>
    <x v="281"/>
    <s v="No"/>
    <s v="Inglés"/>
    <n v="0.64"/>
    <n v="2"/>
    <n v="1.28"/>
    <x v="1"/>
    <n v="1.28"/>
    <x v="2"/>
  </r>
  <r>
    <n v="1137865781"/>
    <x v="6"/>
    <x v="3"/>
    <d v="2023-12-10T19:17:46"/>
    <s v="Mazvigosl"/>
    <x v="1728"/>
    <x v="199"/>
    <s v="No"/>
    <s v="Inglés"/>
    <n v="3.9067605633802822"/>
    <n v="2"/>
    <n v="7.8135211267605644"/>
    <x v="0"/>
    <m/>
    <x v="0"/>
  </r>
  <r>
    <n v="1137865781"/>
    <x v="6"/>
    <x v="3"/>
    <d v="2023-12-10T19:17:46"/>
    <s v="Mazvigosl"/>
    <x v="1729"/>
    <x v="117"/>
    <s v="Si"/>
    <s v="Inglés"/>
    <n v="0.1166197183098592"/>
    <n v="4"/>
    <n v="0.46647887323943682"/>
    <x v="0"/>
    <m/>
    <x v="0"/>
  </r>
  <r>
    <n v="1137444373"/>
    <x v="6"/>
    <x v="3"/>
    <d v="2023-12-06T23:52:31"/>
    <s v="barrocus"/>
    <x v="1730"/>
    <x v="133"/>
    <s v="Si"/>
    <s v="Inglés"/>
    <n v="0.79499999999999993"/>
    <n v="4"/>
    <n v="3.1799999999999997"/>
    <x v="0"/>
    <m/>
    <x v="0"/>
  </r>
  <r>
    <n v="1137320064"/>
    <x v="6"/>
    <x v="3"/>
    <d v="2023-12-05T23:04:07"/>
    <s v="Preo93"/>
    <x v="1731"/>
    <x v="281"/>
    <s v="No"/>
    <s v="Inglés"/>
    <n v="0.65384615384615374"/>
    <n v="1"/>
    <n v="0.65384615384615374"/>
    <x v="1"/>
    <n v="0.65384615384615374"/>
    <x v="2"/>
  </r>
  <r>
    <n v="1137320064"/>
    <x v="6"/>
    <x v="3"/>
    <d v="2023-12-05T23:04:07"/>
    <s v="Preo93"/>
    <x v="1732"/>
    <x v="281"/>
    <s v="Si"/>
    <s v="Inglés"/>
    <n v="0.26153846153846155"/>
    <n v="4"/>
    <n v="1.0461538461538462"/>
    <x v="1"/>
    <n v="1.0461538461538462"/>
    <x v="2"/>
  </r>
  <r>
    <n v="1137238654"/>
    <x v="6"/>
    <x v="3"/>
    <d v="2023-12-05T09:22:16"/>
    <s v="AYCMTG2023"/>
    <x v="913"/>
    <x v="34"/>
    <s v="No"/>
    <s v="Español"/>
    <n v="2.59"/>
    <n v="1"/>
    <n v="2.59"/>
    <x v="1"/>
    <n v="2.59"/>
    <x v="0"/>
  </r>
  <r>
    <n v="1137238654"/>
    <x v="6"/>
    <x v="3"/>
    <d v="2023-12-05T09:22:16"/>
    <s v="AYCMTG2023"/>
    <x v="1733"/>
    <x v="83"/>
    <s v="No"/>
    <s v="Inglés"/>
    <n v="2.59"/>
    <n v="1"/>
    <n v="2.59"/>
    <x v="1"/>
    <n v="2.59"/>
    <x v="0"/>
  </r>
  <r>
    <n v="1136792833"/>
    <x v="6"/>
    <x v="3"/>
    <d v="2023-12-01T14:39:07"/>
    <s v="xink663"/>
    <x v="1734"/>
    <x v="281"/>
    <s v="No"/>
    <s v="Inglés"/>
    <n v="0.37744360902255636"/>
    <n v="1"/>
    <n v="0.37744360902255636"/>
    <x v="1"/>
    <n v="0.37744360902255636"/>
    <x v="2"/>
  </r>
  <r>
    <n v="1136792833"/>
    <x v="6"/>
    <x v="3"/>
    <d v="2023-12-01T14:39:07"/>
    <s v="xink663"/>
    <x v="1735"/>
    <x v="281"/>
    <s v="No"/>
    <s v="Inglés"/>
    <n v="0.37744360902255636"/>
    <n v="2"/>
    <n v="0.75488721804511272"/>
    <x v="1"/>
    <n v="0.75488721804511272"/>
    <x v="2"/>
  </r>
  <r>
    <n v="1136792833"/>
    <x v="6"/>
    <x v="3"/>
    <d v="2023-12-01T14:39:07"/>
    <s v="xink663"/>
    <x v="1736"/>
    <x v="281"/>
    <s v="No"/>
    <s v="Inglés"/>
    <n v="9.4360902255639104E-2"/>
    <n v="3"/>
    <n v="0.28308270676691732"/>
    <x v="1"/>
    <n v="0.28308270676691732"/>
    <x v="2"/>
  </r>
  <r>
    <n v="1136792833"/>
    <x v="6"/>
    <x v="3"/>
    <d v="2023-12-01T14:39:07"/>
    <s v="xink663"/>
    <x v="1737"/>
    <x v="281"/>
    <s v="No"/>
    <s v="Inglés"/>
    <n v="9.4360902255639104E-2"/>
    <n v="3"/>
    <n v="0.28308270676691732"/>
    <x v="1"/>
    <n v="0.28308270676691732"/>
    <x v="2"/>
  </r>
  <r>
    <n v="1136792833"/>
    <x v="6"/>
    <x v="3"/>
    <d v="2023-12-01T14:39:07"/>
    <s v="xink663"/>
    <x v="1738"/>
    <x v="281"/>
    <s v="No"/>
    <s v="Inglés"/>
    <n v="9.4360902255639104E-2"/>
    <n v="3"/>
    <n v="0.28308270676691732"/>
    <x v="1"/>
    <n v="0.28308270676691732"/>
    <x v="2"/>
  </r>
  <r>
    <n v="1136792833"/>
    <x v="6"/>
    <x v="3"/>
    <d v="2023-12-01T14:39:07"/>
    <s v="xink663"/>
    <x v="1739"/>
    <x v="281"/>
    <s v="No"/>
    <s v="Inglés"/>
    <n v="0.15097744360902254"/>
    <n v="2"/>
    <n v="0.30195488721804509"/>
    <x v="1"/>
    <n v="0.30195488721804509"/>
    <x v="2"/>
  </r>
  <r>
    <n v="1136792833"/>
    <x v="6"/>
    <x v="3"/>
    <d v="2023-12-01T14:39:07"/>
    <s v="xink663"/>
    <x v="1740"/>
    <x v="281"/>
    <s v="No"/>
    <s v="Inglés"/>
    <n v="0.11323308270676691"/>
    <n v="2"/>
    <n v="0.22646616541353382"/>
    <x v="1"/>
    <n v="0.22646616541353382"/>
    <x v="2"/>
  </r>
  <r>
    <n v="1136403616"/>
    <x v="7"/>
    <x v="3"/>
    <d v="2023-11-29T10:46:00"/>
    <s v="rinconete8"/>
    <x v="1741"/>
    <x v="39"/>
    <s v="No"/>
    <s v="Inglés"/>
    <n v="44.28"/>
    <n v="1"/>
    <n v="44.28"/>
    <x v="0"/>
    <m/>
    <x v="0"/>
  </r>
  <r>
    <n v="1136163732"/>
    <x v="7"/>
    <x v="3"/>
    <d v="2023-11-26T12:26:19"/>
    <s v="DevilsSnare"/>
    <x v="1742"/>
    <x v="34"/>
    <s v="No"/>
    <s v="Inglés"/>
    <n v="4.24"/>
    <n v="1"/>
    <n v="4.24"/>
    <x v="1"/>
    <n v="4.24"/>
    <x v="0"/>
  </r>
  <r>
    <n v="1135360376"/>
    <x v="7"/>
    <x v="3"/>
    <d v="2023-11-19T18:11:08"/>
    <s v="samarpan"/>
    <x v="1743"/>
    <x v="199"/>
    <s v="Si"/>
    <s v="Inglés"/>
    <n v="11.365"/>
    <n v="4"/>
    <n v="45.46"/>
    <x v="0"/>
    <m/>
    <x v="0"/>
  </r>
  <r>
    <n v="1135236814"/>
    <x v="7"/>
    <x v="3"/>
    <d v="2023-11-18T21:18:20"/>
    <s v="Krakencyde"/>
    <x v="1744"/>
    <x v="157"/>
    <s v="No"/>
    <s v="Inglés"/>
    <n v="14.68"/>
    <n v="1"/>
    <n v="14.68"/>
    <x v="0"/>
    <m/>
    <x v="0"/>
  </r>
  <r>
    <n v="1135235966"/>
    <x v="7"/>
    <x v="3"/>
    <d v="2023-11-18T21:18:20"/>
    <s v="ThreeForOne-AT"/>
    <x v="1745"/>
    <x v="287"/>
    <s v="No"/>
    <s v="Inglés"/>
    <n v="2.111082802547771"/>
    <n v="1"/>
    <n v="2.111082802547771"/>
    <x v="0"/>
    <m/>
    <x v="0"/>
  </r>
  <r>
    <n v="1135235966"/>
    <x v="7"/>
    <x v="3"/>
    <d v="2023-11-18T21:18:20"/>
    <s v="ThreeForOne-AT"/>
    <x v="1746"/>
    <x v="288"/>
    <s v="No"/>
    <s v="Inglés"/>
    <n v="7.0809235668789814"/>
    <n v="1"/>
    <n v="7.0809235668789814"/>
    <x v="0"/>
    <m/>
    <x v="0"/>
  </r>
  <r>
    <n v="1135235966"/>
    <x v="7"/>
    <x v="3"/>
    <d v="2023-11-18T21:18:20"/>
    <s v="ThreeForOne-AT"/>
    <x v="1745"/>
    <x v="64"/>
    <s v="No"/>
    <s v="Inglés"/>
    <n v="2.2210350318471339"/>
    <n v="2"/>
    <n v="4.4420700636942678"/>
    <x v="0"/>
    <m/>
    <x v="0"/>
  </r>
  <r>
    <n v="1135235966"/>
    <x v="7"/>
    <x v="3"/>
    <d v="2023-11-18T21:18:20"/>
    <s v="ThreeForOne-AT"/>
    <x v="1745"/>
    <x v="146"/>
    <s v="No"/>
    <s v="Inglés"/>
    <n v="2.6168630573248408"/>
    <n v="1"/>
    <n v="2.6168630573248408"/>
    <x v="0"/>
    <m/>
    <x v="0"/>
  </r>
  <r>
    <n v="1135235966"/>
    <x v="7"/>
    <x v="3"/>
    <d v="2023-11-18T21:18:20"/>
    <s v="ThreeForOne-AT"/>
    <x v="1746"/>
    <x v="288"/>
    <s v="No"/>
    <s v="Inglés"/>
    <n v="7.1468949044585983"/>
    <n v="3"/>
    <n v="21.440684713375795"/>
    <x v="0"/>
    <m/>
    <x v="0"/>
  </r>
  <r>
    <n v="1135235966"/>
    <x v="7"/>
    <x v="3"/>
    <d v="2023-11-18T21:18:20"/>
    <s v="ThreeForOne-AT"/>
    <x v="1747"/>
    <x v="127"/>
    <s v="Si"/>
    <s v="Inglés"/>
    <n v="4.3870939490445862"/>
    <n v="4"/>
    <n v="17.548375796178345"/>
    <x v="0"/>
    <m/>
    <x v="0"/>
  </r>
  <r>
    <n v="1135235427"/>
    <x v="7"/>
    <x v="3"/>
    <d v="2023-11-18T21:18:20"/>
    <s v="montes1993"/>
    <x v="1748"/>
    <x v="126"/>
    <s v="Si"/>
    <s v="Inglés"/>
    <n v="4.2949999999999999"/>
    <n v="4"/>
    <n v="17.18"/>
    <x v="0"/>
    <m/>
    <x v="0"/>
  </r>
  <r>
    <n v="1135234620"/>
    <x v="7"/>
    <x v="3"/>
    <d v="2023-11-18T21:18:20"/>
    <s v="Dobi-trading-CZ"/>
    <x v="1749"/>
    <x v="225"/>
    <s v="Si"/>
    <s v="Inglés"/>
    <n v="1.12247005988024"/>
    <n v="4"/>
    <n v="4.4898802395209598"/>
    <x v="0"/>
    <m/>
    <x v="0"/>
  </r>
  <r>
    <n v="1135234620"/>
    <x v="7"/>
    <x v="3"/>
    <d v="2023-11-18T21:18:20"/>
    <s v="Dobi-trading-CZ"/>
    <x v="1750"/>
    <x v="133"/>
    <s v="Si"/>
    <s v="Inglés"/>
    <n v="2.74252994011976"/>
    <n v="4"/>
    <n v="10.97011976047904"/>
    <x v="0"/>
    <m/>
    <x v="0"/>
  </r>
  <r>
    <n v="1134798910"/>
    <x v="7"/>
    <x v="3"/>
    <d v="2023-11-15T09:28:21"/>
    <s v="Metropolis-Center"/>
    <x v="1751"/>
    <x v="182"/>
    <s v="Si"/>
    <s v="Inglés"/>
    <n v="1.9280219780219781"/>
    <n v="4"/>
    <n v="7.7120879120879122"/>
    <x v="0"/>
    <m/>
    <x v="0"/>
  </r>
  <r>
    <n v="1134798910"/>
    <x v="7"/>
    <x v="3"/>
    <d v="2023-11-15T09:28:21"/>
    <s v="Metropolis-Center"/>
    <x v="1752"/>
    <x v="15"/>
    <s v="Si"/>
    <s v="Inglés"/>
    <n v="1.0969780219780221"/>
    <n v="4"/>
    <n v="4.3879120879120883"/>
    <x v="0"/>
    <m/>
    <x v="0"/>
  </r>
  <r>
    <n v="1134536720"/>
    <x v="7"/>
    <x v="3"/>
    <d v="2023-11-13T11:03:18"/>
    <s v="Bozomke"/>
    <x v="1354"/>
    <x v="134"/>
    <s v="No"/>
    <s v="Inglés"/>
    <n v="41.45"/>
    <n v="1"/>
    <n v="41.45"/>
    <x v="0"/>
    <m/>
    <x v="0"/>
  </r>
  <r>
    <n v="1134532014"/>
    <x v="7"/>
    <x v="3"/>
    <d v="2023-11-13T09:42:22"/>
    <s v="Mazvigosl"/>
    <x v="796"/>
    <x v="133"/>
    <s v="Si"/>
    <s v="Inglés"/>
    <n v="0.79915018931426163"/>
    <n v="4"/>
    <n v="3.1966007572570465"/>
    <x v="0"/>
    <m/>
    <x v="0"/>
  </r>
  <r>
    <n v="1134532014"/>
    <x v="7"/>
    <x v="3"/>
    <d v="2023-11-13T09:42:22"/>
    <s v="Mazvigosl"/>
    <x v="797"/>
    <x v="133"/>
    <s v="Si"/>
    <s v="Inglés"/>
    <n v="0.70195624737063522"/>
    <n v="4"/>
    <n v="2.8078249894825409"/>
    <x v="0"/>
    <m/>
    <x v="0"/>
  </r>
  <r>
    <n v="1134532014"/>
    <x v="7"/>
    <x v="3"/>
    <d v="2023-11-13T09:42:22"/>
    <s v="Mazvigosl"/>
    <x v="799"/>
    <x v="133"/>
    <s v="Si"/>
    <s v="Inglés"/>
    <n v="0.70195624737063522"/>
    <n v="4"/>
    <n v="2.8078249894825409"/>
    <x v="0"/>
    <m/>
    <x v="0"/>
  </r>
  <r>
    <n v="1134532014"/>
    <x v="7"/>
    <x v="3"/>
    <d v="2023-11-13T09:42:22"/>
    <s v="Mazvigosl"/>
    <x v="798"/>
    <x v="133"/>
    <s v="Si"/>
    <s v="Inglés"/>
    <n v="0.70195624737063522"/>
    <n v="4"/>
    <n v="2.8078249894825409"/>
    <x v="0"/>
    <m/>
    <x v="0"/>
  </r>
  <r>
    <n v="1134532014"/>
    <x v="7"/>
    <x v="3"/>
    <d v="2023-11-13T09:42:22"/>
    <s v="Mazvigosl"/>
    <x v="800"/>
    <x v="133"/>
    <s v="Si"/>
    <s v="Inglés"/>
    <n v="0.70195624737063522"/>
    <n v="4"/>
    <n v="2.8078249894825409"/>
    <x v="0"/>
    <m/>
    <x v="0"/>
  </r>
  <r>
    <n v="1134532014"/>
    <x v="7"/>
    <x v="3"/>
    <d v="2023-11-13T09:42:22"/>
    <s v="Mazvigosl"/>
    <x v="1753"/>
    <x v="11"/>
    <s v="No"/>
    <s v="Inglés"/>
    <n v="2.1382667227597811"/>
    <n v="1"/>
    <n v="2.1382667227597811"/>
    <x v="0"/>
    <m/>
    <x v="0"/>
  </r>
  <r>
    <n v="1134532014"/>
    <x v="7"/>
    <x v="3"/>
    <d v="2023-11-13T09:42:22"/>
    <s v="Mazvigosl"/>
    <x v="1754"/>
    <x v="11"/>
    <s v="No"/>
    <s v="Inglés"/>
    <n v="4.2657341186369377"/>
    <n v="1"/>
    <n v="4.2657341186369377"/>
    <x v="0"/>
    <m/>
    <x v="0"/>
  </r>
  <r>
    <n v="1134532014"/>
    <x v="7"/>
    <x v="3"/>
    <d v="2023-11-13T09:42:22"/>
    <s v="Mazvigosl"/>
    <x v="1755"/>
    <x v="11"/>
    <s v="No"/>
    <s v="Inglés"/>
    <n v="3.0238115271350439"/>
    <n v="1"/>
    <n v="3.0238115271350439"/>
    <x v="0"/>
    <m/>
    <x v="0"/>
  </r>
  <r>
    <n v="1134532014"/>
    <x v="7"/>
    <x v="3"/>
    <d v="2023-11-13T09:42:22"/>
    <s v="Mazvigosl"/>
    <x v="1756"/>
    <x v="15"/>
    <s v="Si"/>
    <s v="Inglés"/>
    <n v="0.1079932688262516"/>
    <n v="4"/>
    <n v="0.43197307530500639"/>
    <x v="0"/>
    <m/>
    <x v="0"/>
  </r>
  <r>
    <n v="1134532014"/>
    <x v="7"/>
    <x v="3"/>
    <d v="2023-11-13T09:42:22"/>
    <s v="Mazvigosl"/>
    <x v="1757"/>
    <x v="15"/>
    <s v="Si"/>
    <s v="Inglés"/>
    <n v="0.1295919225915019"/>
    <n v="4"/>
    <n v="0.51836769036600761"/>
    <x v="0"/>
    <m/>
    <x v="0"/>
  </r>
  <r>
    <n v="1134532014"/>
    <x v="7"/>
    <x v="3"/>
    <d v="2023-11-13T09:42:22"/>
    <s v="Mazvigosl"/>
    <x v="1758"/>
    <x v="171"/>
    <s v="Si"/>
    <s v="Inglés"/>
    <n v="0.2159865376525032"/>
    <n v="4"/>
    <n v="0.86394615061001279"/>
    <x v="0"/>
    <m/>
    <x v="0"/>
  </r>
  <r>
    <n v="1134164877"/>
    <x v="7"/>
    <x v="3"/>
    <d v="2023-11-10T10:04:13"/>
    <s v="PRUIZ"/>
    <x v="670"/>
    <x v="117"/>
    <s v="No"/>
    <s v="Chino-S"/>
    <n v="11.28"/>
    <n v="1"/>
    <n v="11.28"/>
    <x v="0"/>
    <m/>
    <x v="0"/>
  </r>
  <r>
    <n v="1134049704"/>
    <x v="7"/>
    <x v="3"/>
    <d v="2023-11-09T11:51:00"/>
    <s v="MaxwellTC"/>
    <x v="1759"/>
    <x v="15"/>
    <s v="No"/>
    <s v="Inglés"/>
    <n v="21.54"/>
    <n v="2"/>
    <n v="43.08"/>
    <x v="0"/>
    <m/>
    <x v="0"/>
  </r>
  <r>
    <n v="1133899735"/>
    <x v="7"/>
    <x v="3"/>
    <d v="2023-11-08T09:25:04"/>
    <s v="PERALTA"/>
    <x v="1760"/>
    <x v="11"/>
    <s v="No"/>
    <s v="Inglés"/>
    <n v="5.4559615384615388"/>
    <n v="1"/>
    <n v="5.4559615384615388"/>
    <x v="0"/>
    <m/>
    <x v="0"/>
  </r>
  <r>
    <n v="1133899735"/>
    <x v="7"/>
    <x v="3"/>
    <d v="2023-11-08T09:25:04"/>
    <s v="PERALTA"/>
    <x v="1760"/>
    <x v="11"/>
    <s v="No"/>
    <s v="Inglés"/>
    <n v="6.1240384615384613"/>
    <n v="1"/>
    <n v="6.1240384615384613"/>
    <x v="0"/>
    <m/>
    <x v="0"/>
  </r>
  <r>
    <n v="1133575080"/>
    <x v="7"/>
    <x v="3"/>
    <d v="2023-11-05T21:09:44"/>
    <s v="froster360"/>
    <x v="467"/>
    <x v="170"/>
    <s v="No"/>
    <s v="Inglés"/>
    <n v="10.68"/>
    <n v="1"/>
    <n v="10.68"/>
    <x v="0"/>
    <m/>
    <x v="0"/>
  </r>
  <r>
    <n v="1133561839"/>
    <x v="7"/>
    <x v="3"/>
    <d v="2023-11-05T20:03:32"/>
    <s v="Kitik"/>
    <x v="1761"/>
    <x v="83"/>
    <s v="Si"/>
    <s v="Inglés"/>
    <n v="0.6913636363636364"/>
    <n v="4"/>
    <n v="2.7654545454545456"/>
    <x v="0"/>
    <m/>
    <x v="0"/>
  </r>
  <r>
    <n v="1133561839"/>
    <x v="7"/>
    <x v="3"/>
    <d v="2023-11-05T20:03:32"/>
    <s v="Kitik"/>
    <x v="1303"/>
    <x v="96"/>
    <s v="No"/>
    <s v="Inglés"/>
    <n v="0.61454545454545451"/>
    <n v="1"/>
    <n v="0.61454545454545451"/>
    <x v="0"/>
    <m/>
    <x v="0"/>
  </r>
  <r>
    <n v="1133561482"/>
    <x v="7"/>
    <x v="3"/>
    <d v="2023-11-05T20:03:32"/>
    <s v="ElGarci"/>
    <x v="1762"/>
    <x v="16"/>
    <s v="No"/>
    <s v="Inglés"/>
    <n v="7.9177777777777774"/>
    <n v="1"/>
    <n v="7.9177777777777774"/>
    <x v="0"/>
    <m/>
    <x v="0"/>
  </r>
  <r>
    <n v="1133561482"/>
    <x v="7"/>
    <x v="3"/>
    <d v="2023-11-05T20:03:32"/>
    <s v="ElGarci"/>
    <x v="1051"/>
    <x v="139"/>
    <s v="Si"/>
    <s v="Inglés"/>
    <n v="0.56555555555555559"/>
    <n v="4"/>
    <n v="2.2622222222222224"/>
    <x v="0"/>
    <m/>
    <x v="0"/>
  </r>
  <r>
    <n v="1132884708"/>
    <x v="8"/>
    <x v="3"/>
    <d v="2023-10-31T18:32:36"/>
    <s v="SuperAru"/>
    <x v="1056"/>
    <x v="34"/>
    <s v="No"/>
    <s v="Inglés"/>
    <n v="0.35619047619047622"/>
    <n v="1"/>
    <n v="0.35619047619047622"/>
    <x v="0"/>
    <m/>
    <x v="0"/>
  </r>
  <r>
    <n v="1132884708"/>
    <x v="8"/>
    <x v="3"/>
    <d v="2023-10-31T18:32:36"/>
    <s v="SuperAru"/>
    <x v="798"/>
    <x v="289"/>
    <s v="No"/>
    <s v="Inglés"/>
    <n v="2.374603174603175"/>
    <n v="3"/>
    <n v="7.1238095238095251"/>
    <x v="0"/>
    <m/>
    <x v="0"/>
  </r>
  <r>
    <n v="1132737205"/>
    <x v="8"/>
    <x v="3"/>
    <d v="2023-10-30T15:25:56"/>
    <s v="nadal"/>
    <x v="1461"/>
    <x v="60"/>
    <s v="No"/>
    <s v="Español"/>
    <n v="43.28"/>
    <n v="1"/>
    <n v="43.28"/>
    <x v="0"/>
    <m/>
    <x v="0"/>
  </r>
  <r>
    <n v="1131574286"/>
    <x v="8"/>
    <x v="3"/>
    <d v="2023-10-30T15:12:56"/>
    <s v="dmnferreira"/>
    <x v="591"/>
    <x v="200"/>
    <s v="No"/>
    <s v="Inglés"/>
    <n v="42.2"/>
    <n v="1"/>
    <n v="42.2"/>
    <x v="1"/>
    <n v="42.2"/>
    <x v="0"/>
  </r>
  <r>
    <n v="1132028696"/>
    <x v="8"/>
    <x v="3"/>
    <d v="2023-10-24T12:38:54"/>
    <s v="Bjerne"/>
    <x v="1763"/>
    <x v="180"/>
    <s v="No"/>
    <s v="Inglés"/>
    <n v="26.461834262641801"/>
    <n v="2"/>
    <n v="52.923668525283603"/>
    <x v="0"/>
    <m/>
    <x v="0"/>
  </r>
  <r>
    <n v="1132028696"/>
    <x v="8"/>
    <x v="3"/>
    <d v="2023-10-24T12:38:54"/>
    <s v="Bjerne"/>
    <x v="351"/>
    <x v="40"/>
    <s v="No"/>
    <s v="Inglés"/>
    <n v="0.77180349932705239"/>
    <n v="1"/>
    <n v="0.77180349932705239"/>
    <x v="0"/>
    <m/>
    <x v="0"/>
  </r>
  <r>
    <n v="1132028696"/>
    <x v="8"/>
    <x v="3"/>
    <d v="2023-10-24T12:38:54"/>
    <s v="Bjerne"/>
    <x v="1764"/>
    <x v="170"/>
    <s v="No"/>
    <s v="Inglés"/>
    <n v="7.3431590078830986"/>
    <n v="2"/>
    <n v="14.686318015766197"/>
    <x v="0"/>
    <m/>
    <x v="0"/>
  </r>
  <r>
    <n v="1132028696"/>
    <x v="8"/>
    <x v="3"/>
    <d v="2023-10-24T12:38:54"/>
    <s v="Bjerne"/>
    <x v="1763"/>
    <x v="180"/>
    <s v="No"/>
    <s v="Inglés"/>
    <n v="23.154104979811571"/>
    <n v="2"/>
    <n v="46.308209959623142"/>
    <x v="0"/>
    <m/>
    <x v="0"/>
  </r>
  <r>
    <n v="1131267164"/>
    <x v="8"/>
    <x v="3"/>
    <d v="2023-10-18T10:45:16"/>
    <s v="panterapicazo"/>
    <x v="1765"/>
    <x v="262"/>
    <s v="No"/>
    <s v="Inglés"/>
    <n v="5.18"/>
    <n v="1"/>
    <n v="5.18"/>
    <x v="0"/>
    <m/>
    <x v="0"/>
  </r>
  <r>
    <n v="1131126689"/>
    <x v="8"/>
    <x v="3"/>
    <d v="2023-10-16T21:26:02"/>
    <s v="Spooky402"/>
    <x v="1766"/>
    <x v="210"/>
    <s v="No"/>
    <s v="Inglés"/>
    <n v="3.91"/>
    <n v="1"/>
    <n v="3.91"/>
    <x v="0"/>
    <m/>
    <x v="0"/>
  </r>
  <r>
    <n v="1131125971"/>
    <x v="8"/>
    <x v="3"/>
    <d v="2023-10-16T21:26:02"/>
    <s v="Dario-malaga"/>
    <x v="222"/>
    <x v="93"/>
    <s v="Si"/>
    <s v="Inglés"/>
    <n v="1.4450000000000001"/>
    <n v="4"/>
    <n v="5.78"/>
    <x v="0"/>
    <m/>
    <x v="0"/>
  </r>
  <r>
    <n v="1131115415"/>
    <x v="8"/>
    <x v="3"/>
    <d v="2023-10-16T21:26:02"/>
    <s v="Mazvigosl"/>
    <x v="1767"/>
    <x v="12"/>
    <s v="Si"/>
    <s v="Español"/>
    <n v="6.2450000000000001"/>
    <n v="4"/>
    <n v="24.98"/>
    <x v="0"/>
    <m/>
    <x v="0"/>
  </r>
  <r>
    <n v="1131038967"/>
    <x v="8"/>
    <x v="3"/>
    <d v="2023-10-16T07:06:51"/>
    <s v="Vytiligo"/>
    <x v="1768"/>
    <x v="188"/>
    <s v="No"/>
    <s v="Inglés"/>
    <n v="8.75"/>
    <n v="1"/>
    <n v="8.75"/>
    <x v="1"/>
    <n v="8.75"/>
    <x v="0"/>
  </r>
  <r>
    <n v="1130613937"/>
    <x v="8"/>
    <x v="3"/>
    <d v="2023-10-12T13:29:27"/>
    <s v="Droox23"/>
    <x v="1769"/>
    <x v="47"/>
    <s v="No"/>
    <s v="Inglés"/>
    <n v="23.18"/>
    <n v="1"/>
    <n v="23.18"/>
    <x v="0"/>
    <m/>
    <x v="0"/>
  </r>
  <r>
    <n v="1130532057"/>
    <x v="8"/>
    <x v="3"/>
    <d v="2023-10-11T19:45:06"/>
    <s v="Distritozero-Bilbao"/>
    <x v="1770"/>
    <x v="179"/>
    <s v="No"/>
    <s v="Inglés"/>
    <n v="0.15"/>
    <n v="2"/>
    <n v="0.3"/>
    <x v="0"/>
    <m/>
    <x v="0"/>
  </r>
  <r>
    <n v="1130532057"/>
    <x v="8"/>
    <x v="3"/>
    <d v="2023-10-11T19:45:06"/>
    <s v="Distritozero-Bilbao"/>
    <x v="1771"/>
    <x v="225"/>
    <s v="Si"/>
    <s v="Inglés"/>
    <n v="0.6"/>
    <n v="4"/>
    <n v="2.4"/>
    <x v="0"/>
    <m/>
    <x v="0"/>
  </r>
  <r>
    <n v="1130532057"/>
    <x v="8"/>
    <x v="3"/>
    <d v="2023-10-11T19:45:06"/>
    <s v="Distritozero-Bilbao"/>
    <x v="1772"/>
    <x v="37"/>
    <s v="Si"/>
    <s v="Inglés"/>
    <n v="0.1"/>
    <n v="4"/>
    <n v="0.4"/>
    <x v="0"/>
    <m/>
    <x v="0"/>
  </r>
  <r>
    <n v="1130532057"/>
    <x v="8"/>
    <x v="3"/>
    <d v="2023-10-11T19:45:06"/>
    <s v="Distritozero-Bilbao"/>
    <x v="1773"/>
    <x v="180"/>
    <s v="No"/>
    <s v="Inglés"/>
    <n v="0.05"/>
    <n v="2"/>
    <n v="0.1"/>
    <x v="0"/>
    <m/>
    <x v="0"/>
  </r>
  <r>
    <n v="1130532057"/>
    <x v="8"/>
    <x v="3"/>
    <d v="2023-10-11T19:45:06"/>
    <s v="Distritozero-Bilbao"/>
    <x v="1774"/>
    <x v="106"/>
    <s v="Si"/>
    <s v="Inglés"/>
    <n v="0.15"/>
    <n v="4"/>
    <n v="0.6"/>
    <x v="0"/>
    <m/>
    <x v="0"/>
  </r>
  <r>
    <n v="1130532057"/>
    <x v="8"/>
    <x v="3"/>
    <d v="2023-10-11T19:45:06"/>
    <s v="Distritozero-Bilbao"/>
    <x v="1775"/>
    <x v="290"/>
    <s v="No"/>
    <s v="Inglés"/>
    <n v="0.25"/>
    <n v="2"/>
    <n v="0.5"/>
    <x v="0"/>
    <m/>
    <x v="0"/>
  </r>
  <r>
    <n v="1130532057"/>
    <x v="8"/>
    <x v="3"/>
    <d v="2023-10-11T19:45:06"/>
    <s v="Distritozero-Bilbao"/>
    <x v="1776"/>
    <x v="47"/>
    <s v="No"/>
    <s v="Inglés"/>
    <n v="0.2"/>
    <n v="9"/>
    <n v="1.8"/>
    <x v="0"/>
    <m/>
    <x v="0"/>
  </r>
  <r>
    <n v="1130520718"/>
    <x v="8"/>
    <x v="3"/>
    <d v="2023-10-11T19:45:06"/>
    <s v="isafor77"/>
    <x v="1777"/>
    <x v="221"/>
    <s v="No"/>
    <s v="Inglés"/>
    <n v="22.57772963604852"/>
    <n v="1"/>
    <n v="22.57772963604852"/>
    <x v="0"/>
    <m/>
    <x v="0"/>
  </r>
  <r>
    <n v="1130520718"/>
    <x v="8"/>
    <x v="3"/>
    <d v="2023-10-11T19:45:06"/>
    <s v="isafor77"/>
    <x v="1778"/>
    <x v="221"/>
    <s v="No"/>
    <s v="Inglés"/>
    <n v="10.072270363951469"/>
    <n v="1"/>
    <n v="10.072270363951469"/>
    <x v="0"/>
    <m/>
    <x v="0"/>
  </r>
  <r>
    <n v="1130520572"/>
    <x v="8"/>
    <x v="3"/>
    <d v="2023-10-11T19:45:06"/>
    <s v="vscorpio"/>
    <x v="1779"/>
    <x v="221"/>
    <s v="Si"/>
    <s v="Inglés"/>
    <n v="3.5775000000000001"/>
    <n v="4"/>
    <n v="14.31"/>
    <x v="0"/>
    <m/>
    <x v="0"/>
  </r>
  <r>
    <n v="1130405268"/>
    <x v="8"/>
    <x v="3"/>
    <d v="2023-10-10T18:50:48"/>
    <s v="Frostynk"/>
    <x v="1780"/>
    <x v="285"/>
    <s v="No"/>
    <s v="Inglés"/>
    <n v="1.28433734939759"/>
    <n v="1"/>
    <n v="1.28433734939759"/>
    <x v="0"/>
    <m/>
    <x v="2"/>
  </r>
  <r>
    <n v="1130405268"/>
    <x v="8"/>
    <x v="3"/>
    <d v="2023-10-10T18:50:48"/>
    <s v="Frostynk"/>
    <x v="1781"/>
    <x v="285"/>
    <s v="No"/>
    <s v="Inglés"/>
    <n v="2.5686746987951811E-2"/>
    <n v="1"/>
    <n v="2.5686746987951811E-2"/>
    <x v="0"/>
    <m/>
    <x v="2"/>
  </r>
  <r>
    <n v="1130405268"/>
    <x v="8"/>
    <x v="3"/>
    <d v="2023-10-10T18:50:48"/>
    <s v="Frostynk"/>
    <x v="1782"/>
    <x v="285"/>
    <s v="No"/>
    <s v="Inglés"/>
    <n v="0.32108433734939762"/>
    <n v="1"/>
    <n v="0.32108433734939762"/>
    <x v="0"/>
    <m/>
    <x v="2"/>
  </r>
  <r>
    <n v="1130405268"/>
    <x v="8"/>
    <x v="3"/>
    <d v="2023-10-10T18:50:48"/>
    <s v="Frostynk"/>
    <x v="1783"/>
    <x v="285"/>
    <s v="No"/>
    <s v="Inglés"/>
    <n v="0.64216867469879513"/>
    <n v="1"/>
    <n v="0.64216867469879513"/>
    <x v="0"/>
    <m/>
    <x v="2"/>
  </r>
  <r>
    <n v="1130405268"/>
    <x v="8"/>
    <x v="3"/>
    <d v="2023-10-10T18:50:48"/>
    <s v="Frostynk"/>
    <x v="1784"/>
    <x v="285"/>
    <s v="No"/>
    <s v="Inglés"/>
    <n v="2.5686746987951811E-2"/>
    <n v="1"/>
    <n v="2.5686746987951811E-2"/>
    <x v="0"/>
    <m/>
    <x v="2"/>
  </r>
  <r>
    <n v="1130405268"/>
    <x v="8"/>
    <x v="3"/>
    <d v="2023-10-10T18:50:48"/>
    <s v="Frostynk"/>
    <x v="1785"/>
    <x v="285"/>
    <s v="No"/>
    <s v="Inglés"/>
    <n v="2.5686746987951811E-2"/>
    <n v="1"/>
    <n v="2.5686746987951811E-2"/>
    <x v="0"/>
    <m/>
    <x v="2"/>
  </r>
  <r>
    <n v="1130405268"/>
    <x v="8"/>
    <x v="3"/>
    <d v="2023-10-10T18:50:48"/>
    <s v="Frostynk"/>
    <x v="1786"/>
    <x v="285"/>
    <s v="No"/>
    <s v="Inglés"/>
    <n v="2.5686746987951811E-2"/>
    <n v="1"/>
    <n v="2.5686746987951811E-2"/>
    <x v="0"/>
    <m/>
    <x v="2"/>
  </r>
  <r>
    <n v="1130405268"/>
    <x v="8"/>
    <x v="3"/>
    <d v="2023-10-10T18:50:48"/>
    <s v="Frostynk"/>
    <x v="1787"/>
    <x v="285"/>
    <s v="No"/>
    <s v="Inglés"/>
    <n v="0.3853012048192771"/>
    <n v="1"/>
    <n v="0.3853012048192771"/>
    <x v="0"/>
    <m/>
    <x v="2"/>
  </r>
  <r>
    <n v="1130405268"/>
    <x v="8"/>
    <x v="3"/>
    <d v="2023-10-10T18:50:48"/>
    <s v="Frostynk"/>
    <x v="1788"/>
    <x v="285"/>
    <s v="No"/>
    <s v="Inglés"/>
    <n v="0.64216867469879513"/>
    <n v="1"/>
    <n v="0.64216867469879513"/>
    <x v="0"/>
    <m/>
    <x v="2"/>
  </r>
  <r>
    <n v="1130405268"/>
    <x v="8"/>
    <x v="3"/>
    <d v="2023-10-10T18:50:48"/>
    <s v="Frostynk"/>
    <x v="1789"/>
    <x v="285"/>
    <s v="No"/>
    <s v="Inglés"/>
    <n v="0.51373493975903617"/>
    <n v="1"/>
    <n v="0.51373493975903617"/>
    <x v="0"/>
    <m/>
    <x v="2"/>
  </r>
  <r>
    <n v="1130405268"/>
    <x v="8"/>
    <x v="3"/>
    <d v="2023-10-10T18:50:48"/>
    <s v="Frostynk"/>
    <x v="1790"/>
    <x v="285"/>
    <s v="No"/>
    <s v="Inglés"/>
    <n v="2.5686746987951811E-2"/>
    <n v="1"/>
    <n v="2.5686746987951811E-2"/>
    <x v="0"/>
    <m/>
    <x v="2"/>
  </r>
  <r>
    <n v="1130405268"/>
    <x v="8"/>
    <x v="3"/>
    <d v="2023-10-10T18:50:48"/>
    <s v="Frostynk"/>
    <x v="1791"/>
    <x v="285"/>
    <s v="No"/>
    <s v="Inglés"/>
    <n v="0.7706024096385542"/>
    <n v="1"/>
    <n v="0.7706024096385542"/>
    <x v="0"/>
    <m/>
    <x v="2"/>
  </r>
  <r>
    <n v="1130405268"/>
    <x v="8"/>
    <x v="3"/>
    <d v="2023-10-10T18:50:48"/>
    <s v="Frostynk"/>
    <x v="1792"/>
    <x v="285"/>
    <s v="No"/>
    <s v="Inglés"/>
    <n v="0.64216867469879513"/>
    <n v="1"/>
    <n v="0.64216867469879513"/>
    <x v="0"/>
    <m/>
    <x v="2"/>
  </r>
  <r>
    <n v="1130401284"/>
    <x v="8"/>
    <x v="3"/>
    <d v="2023-10-10T18:50:48"/>
    <s v="AtheneasHobby"/>
    <x v="1793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794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795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796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797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798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799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00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01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02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03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04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05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06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07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08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09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10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11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12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13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14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15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16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17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18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19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20"/>
    <x v="291"/>
    <s v="No"/>
    <s v="Inglés"/>
    <n v="6.1898734177215198E-2"/>
    <n v="1"/>
    <n v="6.1898734177215198E-2"/>
    <x v="0"/>
    <m/>
    <x v="0"/>
  </r>
  <r>
    <n v="1130401284"/>
    <x v="8"/>
    <x v="3"/>
    <d v="2023-10-10T18:50:48"/>
    <s v="AtheneasHobby"/>
    <x v="1821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22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23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24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25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26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27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28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29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30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31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32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33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34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35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36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37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38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39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40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41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42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43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44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45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46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47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48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49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50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51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52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53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54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55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56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57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58"/>
    <x v="285"/>
    <s v="No"/>
    <s v="Inglés"/>
    <n v="9.2848101265822783E-2"/>
    <n v="1"/>
    <n v="9.2848101265822783E-2"/>
    <x v="0"/>
    <m/>
    <x v="2"/>
  </r>
  <r>
    <n v="1130401284"/>
    <x v="8"/>
    <x v="3"/>
    <d v="2023-10-10T18:50:48"/>
    <s v="AtheneasHobby"/>
    <x v="1859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60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61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62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63"/>
    <x v="285"/>
    <s v="No"/>
    <s v="Inglés"/>
    <n v="6.1898734177215198E-2"/>
    <n v="1"/>
    <n v="6.1898734177215198E-2"/>
    <x v="0"/>
    <m/>
    <x v="2"/>
  </r>
  <r>
    <n v="1130401284"/>
    <x v="8"/>
    <x v="3"/>
    <d v="2023-10-10T18:50:48"/>
    <s v="AtheneasHobby"/>
    <x v="1864"/>
    <x v="285"/>
    <s v="No"/>
    <s v="Inglés"/>
    <n v="6.1898734177215198E-2"/>
    <n v="1"/>
    <n v="6.1898734177215198E-2"/>
    <x v="0"/>
    <m/>
    <x v="2"/>
  </r>
  <r>
    <s v="CVSALE-1130277526-01"/>
    <x v="8"/>
    <x v="3"/>
    <d v="2023-10-09T21:39:04"/>
    <s v="Venta asociada sin pedido identificado"/>
    <x v="1865"/>
    <x v="146"/>
    <s v="No"/>
    <s v="Inglés"/>
    <n v="22.92"/>
    <n v="2"/>
    <n v="45.84"/>
    <x v="1"/>
    <n v="45.84"/>
    <x v="0"/>
  </r>
  <r>
    <n v="1130277526"/>
    <x v="8"/>
    <x v="3"/>
    <d v="2023-10-09T21:39:04"/>
    <s v="datolu"/>
    <x v="1865"/>
    <x v="146"/>
    <s v="No"/>
    <s v="Inglés"/>
    <n v="17.64"/>
    <n v="2"/>
    <n v="35.28"/>
    <x v="0"/>
    <m/>
    <x v="0"/>
  </r>
  <r>
    <n v="1130170394"/>
    <x v="8"/>
    <x v="3"/>
    <d v="2023-10-08T20:16:28"/>
    <s v="msanan"/>
    <x v="1866"/>
    <x v="70"/>
    <s v="No"/>
    <s v="Inglés"/>
    <n v="7.18"/>
    <n v="1"/>
    <n v="7.18"/>
    <x v="1"/>
    <n v="7.18"/>
    <x v="0"/>
  </r>
  <r>
    <n v="1130072252"/>
    <x v="8"/>
    <x v="3"/>
    <d v="2023-10-08T03:28:01"/>
    <s v="keko-sanlo"/>
    <x v="1867"/>
    <x v="157"/>
    <s v="No"/>
    <s v="Inglés"/>
    <n v="5.8082191780821919E-2"/>
    <n v="1"/>
    <n v="5.8082191780821919E-2"/>
    <x v="0"/>
    <m/>
    <x v="0"/>
  </r>
  <r>
    <n v="1130072252"/>
    <x v="8"/>
    <x v="3"/>
    <d v="2023-10-08T03:28:01"/>
    <s v="keko-sanlo"/>
    <x v="1868"/>
    <x v="192"/>
    <s v="No"/>
    <s v="Español"/>
    <n v="0.29041095890410962"/>
    <n v="1"/>
    <n v="0.29041095890410962"/>
    <x v="0"/>
    <m/>
    <x v="0"/>
  </r>
  <r>
    <n v="1130072252"/>
    <x v="8"/>
    <x v="3"/>
    <d v="2023-10-08T03:28:01"/>
    <s v="keko-sanlo"/>
    <x v="1868"/>
    <x v="192"/>
    <s v="No"/>
    <s v="Inglés"/>
    <n v="0.34849315068493147"/>
    <n v="1"/>
    <n v="0.34849315068493147"/>
    <x v="0"/>
    <m/>
    <x v="0"/>
  </r>
  <r>
    <n v="1130072252"/>
    <x v="8"/>
    <x v="3"/>
    <d v="2023-10-08T03:28:01"/>
    <s v="keko-sanlo"/>
    <x v="1867"/>
    <x v="157"/>
    <s v="No"/>
    <s v="Español"/>
    <n v="5.8082191780821919E-2"/>
    <n v="2"/>
    <n v="0.11616438356164384"/>
    <x v="0"/>
    <m/>
    <x v="0"/>
  </r>
  <r>
    <n v="1130072252"/>
    <x v="8"/>
    <x v="3"/>
    <d v="2023-10-08T03:28:01"/>
    <s v="keko-sanlo"/>
    <x v="295"/>
    <x v="97"/>
    <s v="No"/>
    <s v="Inglés"/>
    <n v="3.484931506849315"/>
    <n v="2"/>
    <n v="6.9698630136986299"/>
    <x v="0"/>
    <m/>
    <x v="0"/>
  </r>
  <r>
    <n v="1130072252"/>
    <x v="8"/>
    <x v="3"/>
    <d v="2023-10-08T03:28:01"/>
    <s v="keko-sanlo"/>
    <x v="34"/>
    <x v="8"/>
    <s v="Si"/>
    <s v="Inglés"/>
    <n v="0.17424657534246571"/>
    <n v="4"/>
    <n v="0.69698630136986284"/>
    <x v="0"/>
    <m/>
    <x v="0"/>
  </r>
  <r>
    <n v="1130071687"/>
    <x v="8"/>
    <x v="3"/>
    <d v="2023-10-08T03:28:01"/>
    <s v="Keiken"/>
    <x v="1869"/>
    <x v="83"/>
    <s v="Si"/>
    <s v="Inglés"/>
    <n v="0.2113734939759036"/>
    <n v="4"/>
    <n v="0.84549397590361441"/>
    <x v="0"/>
    <m/>
    <x v="0"/>
  </r>
  <r>
    <n v="1130071687"/>
    <x v="8"/>
    <x v="3"/>
    <d v="2023-10-08T03:28:01"/>
    <s v="Keiken"/>
    <x v="342"/>
    <x v="88"/>
    <s v="No"/>
    <s v="Español"/>
    <n v="0.2113734939759036"/>
    <n v="1"/>
    <n v="0.2113734939759036"/>
    <x v="0"/>
    <m/>
    <x v="0"/>
  </r>
  <r>
    <n v="1130071687"/>
    <x v="8"/>
    <x v="3"/>
    <d v="2023-10-08T03:28:01"/>
    <s v="Keiken"/>
    <x v="1870"/>
    <x v="251"/>
    <s v="No"/>
    <s v="Inglés"/>
    <n v="2.3779518072289161"/>
    <n v="1"/>
    <n v="2.3779518072289161"/>
    <x v="0"/>
    <m/>
    <x v="0"/>
  </r>
  <r>
    <n v="1130071687"/>
    <x v="8"/>
    <x v="3"/>
    <d v="2023-10-08T03:28:01"/>
    <s v="Keiken"/>
    <x v="667"/>
    <x v="210"/>
    <s v="No"/>
    <s v="Inglés"/>
    <n v="1.5853012048192769"/>
    <n v="2"/>
    <n v="3.1706024096385539"/>
    <x v="0"/>
    <m/>
    <x v="0"/>
  </r>
  <r>
    <n v="1130071687"/>
    <x v="8"/>
    <x v="3"/>
    <d v="2023-10-08T03:28:01"/>
    <s v="Keiken"/>
    <x v="1765"/>
    <x v="262"/>
    <s v="No"/>
    <s v="Inglés"/>
    <n v="4.7559036144578313"/>
    <n v="3"/>
    <n v="14.267710843373493"/>
    <x v="0"/>
    <m/>
    <x v="0"/>
  </r>
  <r>
    <n v="1130071687"/>
    <x v="8"/>
    <x v="3"/>
    <d v="2023-10-08T03:28:01"/>
    <s v="Keiken"/>
    <x v="1871"/>
    <x v="200"/>
    <s v="No"/>
    <s v="Español"/>
    <n v="1.056867469879518"/>
    <n v="1"/>
    <n v="1.056867469879518"/>
    <x v="0"/>
    <m/>
    <x v="0"/>
  </r>
  <r>
    <n v="1130071642"/>
    <x v="8"/>
    <x v="3"/>
    <d v="2023-10-08T03:28:01"/>
    <s v="solisete007"/>
    <x v="1868"/>
    <x v="238"/>
    <s v="No"/>
    <s v="Español"/>
    <n v="0.54833333333333334"/>
    <n v="1"/>
    <n v="0.54833333333333334"/>
    <x v="0"/>
    <m/>
    <x v="0"/>
  </r>
  <r>
    <n v="1130071642"/>
    <x v="8"/>
    <x v="3"/>
    <d v="2023-10-08T03:28:01"/>
    <s v="solisete007"/>
    <x v="1872"/>
    <x v="232"/>
    <s v="No"/>
    <s v="Español"/>
    <n v="6.0316666666666663"/>
    <n v="1"/>
    <n v="6.0316666666666663"/>
    <x v="0"/>
    <m/>
    <x v="0"/>
  </r>
  <r>
    <n v="1130071338"/>
    <x v="8"/>
    <x v="3"/>
    <d v="2023-10-08T03:28:01"/>
    <s v="akromix"/>
    <x v="1868"/>
    <x v="192"/>
    <s v="No"/>
    <s v="Español"/>
    <n v="1.085060240963855"/>
    <n v="2"/>
    <n v="2.17012048192771"/>
    <x v="0"/>
    <m/>
    <x v="0"/>
  </r>
  <r>
    <n v="1130071338"/>
    <x v="8"/>
    <x v="3"/>
    <d v="2023-10-08T03:28:01"/>
    <s v="akromix"/>
    <x v="1055"/>
    <x v="61"/>
    <s v="No"/>
    <s v="Español"/>
    <n v="2.1701204819277109"/>
    <n v="2"/>
    <n v="4.3402409638554218"/>
    <x v="0"/>
    <m/>
    <x v="0"/>
  </r>
  <r>
    <n v="1130071338"/>
    <x v="8"/>
    <x v="3"/>
    <d v="2023-10-08T03:28:01"/>
    <s v="akromix"/>
    <x v="342"/>
    <x v="273"/>
    <s v="No"/>
    <s v="Inglés"/>
    <n v="0.39975903614457831"/>
    <n v="1"/>
    <n v="0.39975903614457831"/>
    <x v="0"/>
    <m/>
    <x v="0"/>
  </r>
  <r>
    <n v="1130071338"/>
    <x v="8"/>
    <x v="3"/>
    <d v="2023-10-08T03:28:01"/>
    <s v="akromix"/>
    <x v="1055"/>
    <x v="61"/>
    <s v="No"/>
    <s v="Inglés"/>
    <n v="2.1701204819277109"/>
    <n v="1"/>
    <n v="2.1701204819277109"/>
    <x v="0"/>
    <m/>
    <x v="0"/>
  </r>
  <r>
    <n v="1130071338"/>
    <x v="8"/>
    <x v="3"/>
    <d v="2023-10-08T03:28:01"/>
    <s v="akromix"/>
    <x v="1056"/>
    <x v="34"/>
    <s v="No"/>
    <s v="Español"/>
    <n v="0.39975903614457831"/>
    <n v="1"/>
    <n v="0.39975903614457831"/>
    <x v="0"/>
    <m/>
    <x v="0"/>
  </r>
  <r>
    <n v="1130071335"/>
    <x v="8"/>
    <x v="3"/>
    <d v="2023-10-08T03:28:01"/>
    <s v="Warlothar"/>
    <x v="1873"/>
    <x v="195"/>
    <s v="Si"/>
    <s v="Inglés"/>
    <n v="0.29139745916515419"/>
    <n v="4"/>
    <n v="1.1655898366606168"/>
    <x v="0"/>
    <m/>
    <x v="0"/>
  </r>
  <r>
    <n v="1130071335"/>
    <x v="8"/>
    <x v="3"/>
    <d v="2023-10-08T03:28:01"/>
    <s v="Warlothar"/>
    <x v="1059"/>
    <x v="139"/>
    <s v="Si"/>
    <s v="Inglés"/>
    <n v="0.2306896551724138"/>
    <n v="4"/>
    <n v="0.9227586206896552"/>
    <x v="0"/>
    <m/>
    <x v="0"/>
  </r>
  <r>
    <n v="1130071335"/>
    <x v="8"/>
    <x v="3"/>
    <d v="2023-10-08T03:28:01"/>
    <s v="Warlothar"/>
    <x v="1056"/>
    <x v="34"/>
    <s v="No"/>
    <s v="Español"/>
    <n v="0.53422867513611616"/>
    <n v="1"/>
    <n v="0.53422867513611616"/>
    <x v="0"/>
    <m/>
    <x v="0"/>
  </r>
  <r>
    <n v="1130071335"/>
    <x v="8"/>
    <x v="3"/>
    <d v="2023-10-08T03:28:01"/>
    <s v="Warlothar"/>
    <x v="1874"/>
    <x v="236"/>
    <s v="No"/>
    <s v="Español"/>
    <n v="1.7605263157894739"/>
    <n v="1"/>
    <n v="1.7605263157894739"/>
    <x v="0"/>
    <m/>
    <x v="0"/>
  </r>
  <r>
    <n v="1130071335"/>
    <x v="8"/>
    <x v="3"/>
    <d v="2023-10-08T03:28:01"/>
    <s v="Warlothar"/>
    <x v="1056"/>
    <x v="34"/>
    <s v="No"/>
    <s v="Inglés"/>
    <n v="1.153448275862069"/>
    <n v="1"/>
    <n v="1.153448275862069"/>
    <x v="0"/>
    <m/>
    <x v="0"/>
  </r>
  <r>
    <n v="1130071335"/>
    <x v="8"/>
    <x v="3"/>
    <d v="2023-10-08T03:28:01"/>
    <s v="Warlothar"/>
    <x v="1056"/>
    <x v="34"/>
    <s v="No"/>
    <s v="Español"/>
    <n v="1.153448275862069"/>
    <n v="1"/>
    <n v="1.153448275862069"/>
    <x v="0"/>
    <m/>
    <x v="0"/>
  </r>
  <r>
    <n v="1130071334"/>
    <x v="8"/>
    <x v="3"/>
    <d v="2023-10-08T03:28:01"/>
    <s v="Random-player"/>
    <x v="800"/>
    <x v="45"/>
    <s v="No"/>
    <s v="Español"/>
    <n v="0.54090322580645156"/>
    <n v="1"/>
    <n v="0.54090322580645156"/>
    <x v="0"/>
    <m/>
    <x v="0"/>
  </r>
  <r>
    <n v="1130071334"/>
    <x v="8"/>
    <x v="3"/>
    <d v="2023-10-08T03:28:01"/>
    <s v="Random-player"/>
    <x v="1870"/>
    <x v="251"/>
    <s v="No"/>
    <s v="Inglés"/>
    <n v="0.8113548387096774"/>
    <n v="1"/>
    <n v="0.8113548387096774"/>
    <x v="0"/>
    <m/>
    <x v="0"/>
  </r>
  <r>
    <n v="1130071334"/>
    <x v="8"/>
    <x v="3"/>
    <d v="2023-10-08T03:28:01"/>
    <s v="Random-player"/>
    <x v="342"/>
    <x v="273"/>
    <s v="No"/>
    <s v="Inglés"/>
    <n v="0.2817204301075269"/>
    <n v="2"/>
    <n v="0.5634408602150538"/>
    <x v="0"/>
    <m/>
    <x v="0"/>
  </r>
  <r>
    <n v="1130071334"/>
    <x v="8"/>
    <x v="3"/>
    <d v="2023-10-08T03:28:01"/>
    <s v="Random-player"/>
    <x v="1055"/>
    <x v="61"/>
    <s v="No"/>
    <s v="Inglés"/>
    <n v="1.6903225806451609"/>
    <n v="1"/>
    <n v="1.6903225806451609"/>
    <x v="0"/>
    <m/>
    <x v="0"/>
  </r>
  <r>
    <n v="1130071334"/>
    <x v="8"/>
    <x v="3"/>
    <d v="2023-10-08T03:28:01"/>
    <s v="Random-player"/>
    <x v="1054"/>
    <x v="200"/>
    <s v="Si"/>
    <s v="Inglés"/>
    <n v="7.8881720430107535E-2"/>
    <n v="4"/>
    <n v="0.31552688172043014"/>
    <x v="0"/>
    <m/>
    <x v="0"/>
  </r>
  <r>
    <n v="1130071334"/>
    <x v="8"/>
    <x v="3"/>
    <d v="2023-10-08T03:28:01"/>
    <s v="Random-player"/>
    <x v="1871"/>
    <x v="200"/>
    <s v="No"/>
    <s v="Inglés"/>
    <n v="2.186150537634409"/>
    <n v="3"/>
    <n v="6.5584516129032266"/>
    <x v="0"/>
    <m/>
    <x v="0"/>
  </r>
  <r>
    <n v="1130030239"/>
    <x v="8"/>
    <x v="3"/>
    <d v="2023-10-07T17:59:14"/>
    <s v="Distritozero-San"/>
    <x v="1875"/>
    <x v="200"/>
    <s v="Si"/>
    <s v="Inglés"/>
    <n v="3.95"/>
    <n v="4"/>
    <n v="15.8"/>
    <x v="0"/>
    <m/>
    <x v="0"/>
  </r>
  <r>
    <n v="1129800564"/>
    <x v="8"/>
    <x v="3"/>
    <d v="2023-10-06T05:37:21"/>
    <s v="cxrlvsss"/>
    <x v="591"/>
    <x v="200"/>
    <s v="No"/>
    <s v="Español"/>
    <n v="40.28"/>
    <n v="1"/>
    <n v="40.28"/>
    <x v="0"/>
    <m/>
    <x v="0"/>
  </r>
  <r>
    <n v="1129616515"/>
    <x v="8"/>
    <x v="3"/>
    <d v="2023-10-04T09:34:14"/>
    <s v="tejecar16"/>
    <x v="1876"/>
    <x v="262"/>
    <s v="Si"/>
    <s v="Inglés"/>
    <n v="2.2450000000000001"/>
    <n v="4"/>
    <n v="8.98"/>
    <x v="0"/>
    <m/>
    <x v="0"/>
  </r>
  <r>
    <n v="1129471035"/>
    <x v="8"/>
    <x v="3"/>
    <d v="2023-10-03T07:51:05"/>
    <s v="heihei"/>
    <x v="1877"/>
    <x v="281"/>
    <s v="No"/>
    <s v="Inglés"/>
    <n v="0.29672131147540981"/>
    <n v="1"/>
    <n v="0.29672131147540981"/>
    <x v="1"/>
    <n v="0.29672131147540981"/>
    <x v="2"/>
  </r>
  <r>
    <n v="1129471035"/>
    <x v="8"/>
    <x v="3"/>
    <d v="2023-10-03T07:51:05"/>
    <s v="heihei"/>
    <x v="1878"/>
    <x v="281"/>
    <s v="No"/>
    <s v="Inglés"/>
    <n v="0.14836065573770491"/>
    <n v="1"/>
    <n v="0.14836065573770491"/>
    <x v="1"/>
    <n v="0.14836065573770491"/>
    <x v="2"/>
  </r>
  <r>
    <n v="1129471035"/>
    <x v="8"/>
    <x v="3"/>
    <d v="2023-10-03T07:51:05"/>
    <s v="heihei"/>
    <x v="1879"/>
    <x v="281"/>
    <s v="No"/>
    <s v="Inglés"/>
    <n v="0.14836065573770491"/>
    <n v="2"/>
    <n v="0.29672131147540981"/>
    <x v="1"/>
    <n v="0.29672131147540981"/>
    <x v="2"/>
  </r>
  <r>
    <n v="1129471035"/>
    <x v="8"/>
    <x v="3"/>
    <d v="2023-10-03T07:51:05"/>
    <s v="heihei"/>
    <x v="1880"/>
    <x v="281"/>
    <s v="No"/>
    <s v="Inglés"/>
    <n v="0.17803278688524588"/>
    <n v="2"/>
    <n v="0.35606557377049175"/>
    <x v="1"/>
    <n v="0.35606557377049175"/>
    <x v="2"/>
  </r>
  <r>
    <n v="1129471035"/>
    <x v="8"/>
    <x v="3"/>
    <d v="2023-10-03T07:51:05"/>
    <s v="heihei"/>
    <x v="1881"/>
    <x v="286"/>
    <s v="Si"/>
    <s v="Inglés"/>
    <n v="0.57860655737704914"/>
    <n v="4"/>
    <n v="2.3144262295081965"/>
    <x v="1"/>
    <n v="2.3144262295081965"/>
    <x v="2"/>
  </r>
  <r>
    <n v="1129471035"/>
    <x v="8"/>
    <x v="3"/>
    <d v="2023-10-03T07:51:05"/>
    <s v="heihei"/>
    <x v="1882"/>
    <x v="281"/>
    <s v="No"/>
    <s v="Inglés"/>
    <n v="0.10385245901639345"/>
    <n v="2"/>
    <n v="0.2077049180327869"/>
    <x v="1"/>
    <n v="0.2077049180327869"/>
    <x v="2"/>
  </r>
  <r>
    <n v="1129354876"/>
    <x v="8"/>
    <x v="3"/>
    <d v="2023-10-02T10:55:07"/>
    <s v="Alexbrooken"/>
    <x v="657"/>
    <x v="81"/>
    <s v="No"/>
    <s v="Inglés"/>
    <n v="15.64"/>
    <n v="2"/>
    <n v="31.28"/>
    <x v="0"/>
    <m/>
    <x v="0"/>
  </r>
  <r>
    <n v="1128847106"/>
    <x v="9"/>
    <x v="3"/>
    <d v="2023-09-28T08:59:40"/>
    <s v="MtgBarcelona"/>
    <x v="1883"/>
    <x v="219"/>
    <s v="No"/>
    <s v="Inglés"/>
    <n v="2.0419431279620852"/>
    <n v="1"/>
    <n v="2.0419431279620852"/>
    <x v="0"/>
    <m/>
    <x v="0"/>
  </r>
  <r>
    <n v="1128847106"/>
    <x v="9"/>
    <x v="3"/>
    <d v="2023-09-28T08:59:40"/>
    <s v="MtgBarcelona"/>
    <x v="1884"/>
    <x v="15"/>
    <s v="No"/>
    <s v="Inglés"/>
    <n v="17.444028436018961"/>
    <n v="2"/>
    <n v="34.888056872037922"/>
    <x v="0"/>
    <m/>
    <x v="0"/>
  </r>
  <r>
    <n v="1128492189"/>
    <x v="9"/>
    <x v="3"/>
    <d v="2023-09-25T12:28:22"/>
    <s v="FREAK-CORP"/>
    <x v="1885"/>
    <x v="259"/>
    <s v="No"/>
    <s v="Inglés"/>
    <n v="15.62"/>
    <n v="2"/>
    <n v="31.24"/>
    <x v="0"/>
    <m/>
    <x v="0"/>
  </r>
  <r>
    <n v="1128490383"/>
    <x v="9"/>
    <x v="3"/>
    <d v="2023-09-25T12:28:22"/>
    <s v="ugatortuga"/>
    <x v="1886"/>
    <x v="126"/>
    <s v="No"/>
    <s v="Español"/>
    <n v="18.14"/>
    <n v="2"/>
    <n v="36.28"/>
    <x v="0"/>
    <m/>
    <x v="0"/>
  </r>
  <r>
    <n v="1128067790"/>
    <x v="9"/>
    <x v="3"/>
    <d v="2023-09-21T19:12:30"/>
    <s v="Onlycards"/>
    <x v="1114"/>
    <x v="200"/>
    <s v="Si"/>
    <s v="Inglés"/>
    <n v="0.2979381443298969"/>
    <n v="4"/>
    <n v="1.1917525773195876"/>
    <x v="0"/>
    <m/>
    <x v="0"/>
  </r>
  <r>
    <n v="1128067790"/>
    <x v="9"/>
    <x v="3"/>
    <d v="2023-09-21T19:12:30"/>
    <s v="Onlycards"/>
    <x v="1126"/>
    <x v="200"/>
    <s v="Si"/>
    <s v="Inglés"/>
    <n v="0.38731958762886598"/>
    <n v="4"/>
    <n v="1.5492783505154639"/>
    <x v="0"/>
    <m/>
    <x v="0"/>
  </r>
  <r>
    <n v="1128067790"/>
    <x v="9"/>
    <x v="3"/>
    <d v="2023-09-21T19:12:30"/>
    <s v="Onlycards"/>
    <x v="1122"/>
    <x v="200"/>
    <s v="Si"/>
    <s v="Inglés"/>
    <n v="0.28304123711340212"/>
    <n v="4"/>
    <n v="1.1321649484536085"/>
    <x v="0"/>
    <m/>
    <x v="0"/>
  </r>
  <r>
    <n v="1128067790"/>
    <x v="9"/>
    <x v="3"/>
    <d v="2023-09-21T19:12:30"/>
    <s v="Onlycards"/>
    <x v="1110"/>
    <x v="200"/>
    <s v="Si"/>
    <s v="Inglés"/>
    <n v="0.2383505154639175"/>
    <n v="4"/>
    <n v="0.95340206185567"/>
    <x v="0"/>
    <m/>
    <x v="0"/>
  </r>
  <r>
    <n v="1128067790"/>
    <x v="9"/>
    <x v="3"/>
    <d v="2023-09-21T19:12:30"/>
    <s v="Onlycards"/>
    <x v="1118"/>
    <x v="200"/>
    <s v="Si"/>
    <s v="Inglés"/>
    <n v="0.2383505154639175"/>
    <n v="4"/>
    <n v="0.95340206185567"/>
    <x v="0"/>
    <m/>
    <x v="0"/>
  </r>
  <r>
    <n v="1128028592"/>
    <x v="9"/>
    <x v="3"/>
    <d v="2023-09-21T17:03:29"/>
    <s v="Devian-Magic-Cards"/>
    <x v="1755"/>
    <x v="11"/>
    <s v="No"/>
    <s v="Inglés"/>
    <n v="2.736188951160929"/>
    <n v="1"/>
    <n v="2.736188951160929"/>
    <x v="0"/>
    <m/>
    <x v="0"/>
  </r>
  <r>
    <n v="1128028592"/>
    <x v="9"/>
    <x v="3"/>
    <d v="2023-09-21T17:03:29"/>
    <s v="Devian-Magic-Cards"/>
    <x v="1887"/>
    <x v="180"/>
    <s v="No"/>
    <s v="Inglés"/>
    <n v="10.93381104883907"/>
    <n v="1"/>
    <n v="10.93381104883907"/>
    <x v="0"/>
    <m/>
    <x v="0"/>
  </r>
  <r>
    <n v="1127401787"/>
    <x v="9"/>
    <x v="3"/>
    <d v="2023-09-16T09:21:07"/>
    <s v="Elnidas"/>
    <x v="1888"/>
    <x v="273"/>
    <s v="No"/>
    <s v="Inglés"/>
    <n v="12.18"/>
    <n v="1"/>
    <n v="12.18"/>
    <x v="0"/>
    <m/>
    <x v="0"/>
  </r>
  <r>
    <s v="CVSALE-1127400018-02"/>
    <x v="9"/>
    <x v="3"/>
    <d v="2023-09-16T08:37:32"/>
    <s v="Venta asociada sin pedido identificado"/>
    <x v="1889"/>
    <x v="61"/>
    <s v="No"/>
    <s v="Japonés"/>
    <n v="5.75"/>
    <n v="2"/>
    <n v="11.5"/>
    <x v="1"/>
    <n v="11.5"/>
    <x v="0"/>
  </r>
  <r>
    <s v="CVSALE-1127400018-01"/>
    <x v="9"/>
    <x v="3"/>
    <d v="2023-09-16T08:37:32"/>
    <s v="Venta asociada sin pedido identificado"/>
    <x v="1890"/>
    <x v="212"/>
    <s v="No"/>
    <s v="Japonés"/>
    <n v="13.17"/>
    <n v="2"/>
    <n v="26.34"/>
    <x v="1"/>
    <n v="26.34"/>
    <x v="0"/>
  </r>
  <r>
    <n v="1127400018"/>
    <x v="9"/>
    <x v="3"/>
    <d v="2023-09-16T08:37:32"/>
    <s v="willybizarre"/>
    <x v="1890"/>
    <x v="212"/>
    <s v="No"/>
    <s v="Japonés"/>
    <n v="12.6986925795053"/>
    <n v="2"/>
    <n v="25.3973851590106"/>
    <x v="0"/>
    <m/>
    <x v="0"/>
  </r>
  <r>
    <n v="1127400018"/>
    <x v="9"/>
    <x v="3"/>
    <d v="2023-09-16T08:37:32"/>
    <s v="willybizarre"/>
    <x v="1889"/>
    <x v="61"/>
    <s v="No"/>
    <s v="Japonés"/>
    <n v="6.9213074204947"/>
    <n v="2"/>
    <n v="13.8426148409894"/>
    <x v="0"/>
    <m/>
    <x v="0"/>
  </r>
  <r>
    <n v="1127396003"/>
    <x v="9"/>
    <x v="3"/>
    <d v="2023-09-16T08:37:32"/>
    <s v="GENEXCOMICS"/>
    <x v="1891"/>
    <x v="21"/>
    <s v="Si"/>
    <s v="Inglés"/>
    <n v="1.7949999999999999"/>
    <n v="4"/>
    <n v="7.18"/>
    <x v="0"/>
    <m/>
    <x v="0"/>
  </r>
  <r>
    <n v="1127344185"/>
    <x v="9"/>
    <x v="3"/>
    <d v="2023-09-15T20:28:11"/>
    <s v="george4654"/>
    <x v="1892"/>
    <x v="231"/>
    <s v="No"/>
    <s v="Inglés"/>
    <n v="10.323676880222839"/>
    <n v="3"/>
    <n v="30.971030640668516"/>
    <x v="0"/>
    <m/>
    <x v="0"/>
  </r>
  <r>
    <n v="1127344185"/>
    <x v="9"/>
    <x v="3"/>
    <d v="2023-09-15T20:28:11"/>
    <s v="george4654"/>
    <x v="1892"/>
    <x v="231"/>
    <s v="No"/>
    <s v="Español"/>
    <n v="10.20896935933148"/>
    <n v="1"/>
    <n v="10.20896935933148"/>
    <x v="0"/>
    <m/>
    <x v="0"/>
  </r>
  <r>
    <s v="CVSALE-1126975573-01"/>
    <x v="9"/>
    <x v="3"/>
    <d v="2023-09-12T20:52:14"/>
    <s v="Venta asociada sin pedido identificado"/>
    <x v="298"/>
    <x v="70"/>
    <s v="No"/>
    <s v="Inglés"/>
    <n v="4.9865146579804565"/>
    <n v="3"/>
    <n v="14.959543973941368"/>
    <x v="1"/>
    <n v="14.95954397394137"/>
    <x v="0"/>
  </r>
  <r>
    <n v="1126975573"/>
    <x v="9"/>
    <x v="3"/>
    <d v="2023-09-12T20:52:14"/>
    <s v="Mazvigosl"/>
    <x v="1893"/>
    <x v="200"/>
    <s v="Si"/>
    <s v="Inglés"/>
    <n v="0.79547790339157243"/>
    <n v="4"/>
    <n v="3.1819116135662897"/>
    <x v="0"/>
    <m/>
    <x v="0"/>
  </r>
  <r>
    <n v="1126975573"/>
    <x v="9"/>
    <x v="3"/>
    <d v="2023-09-12T20:52:14"/>
    <s v="Mazvigosl"/>
    <x v="1894"/>
    <x v="240"/>
    <s v="Si"/>
    <s v="Inglés"/>
    <n v="1.368221993833505"/>
    <n v="4"/>
    <n v="5.4728879753340198"/>
    <x v="0"/>
    <m/>
    <x v="0"/>
  </r>
  <r>
    <n v="1126975573"/>
    <x v="9"/>
    <x v="3"/>
    <d v="2023-09-12T20:52:14"/>
    <s v="Mazvigosl"/>
    <x v="1895"/>
    <x v="15"/>
    <s v="Si"/>
    <s v="Inglés"/>
    <n v="0.1590955806783145"/>
    <n v="4"/>
    <n v="0.63638232271325801"/>
    <x v="0"/>
    <m/>
    <x v="0"/>
  </r>
  <r>
    <n v="1126975573"/>
    <x v="9"/>
    <x v="3"/>
    <d v="2023-09-12T20:52:14"/>
    <s v="Mazvigosl"/>
    <x v="298"/>
    <x v="70"/>
    <s v="No"/>
    <s v="Inglés"/>
    <n v="2.916752312435765"/>
    <n v="3"/>
    <n v="8.7502569373072951"/>
    <x v="0"/>
    <m/>
    <x v="0"/>
  </r>
  <r>
    <n v="1126975573"/>
    <x v="9"/>
    <x v="3"/>
    <d v="2023-09-12T20:52:14"/>
    <s v="Mazvigosl"/>
    <x v="298"/>
    <x v="70"/>
    <s v="No"/>
    <s v="Inglés"/>
    <n v="2.5985611510791369"/>
    <n v="1"/>
    <n v="2.5985611510791369"/>
    <x v="0"/>
    <m/>
    <x v="0"/>
  </r>
  <r>
    <n v="1126872692"/>
    <x v="9"/>
    <x v="3"/>
    <d v="2023-09-12T07:38:33"/>
    <s v="SleeperZ"/>
    <x v="591"/>
    <x v="200"/>
    <s v="No"/>
    <s v="Español"/>
    <n v="35.28"/>
    <n v="1"/>
    <n v="35.28"/>
    <x v="0"/>
    <m/>
    <x v="0"/>
  </r>
  <r>
    <n v="1126633415"/>
    <x v="9"/>
    <x v="3"/>
    <d v="2023-09-10T13:59:58"/>
    <s v="Nygran"/>
    <x v="591"/>
    <x v="200"/>
    <s v="No"/>
    <s v="Español"/>
    <n v="19.18"/>
    <n v="1"/>
    <n v="19.18"/>
    <x v="0"/>
    <m/>
    <x v="0"/>
  </r>
  <r>
    <n v="1126633361"/>
    <x v="9"/>
    <x v="3"/>
    <d v="2023-09-10T13:59:58"/>
    <s v="Elnidas"/>
    <x v="591"/>
    <x v="200"/>
    <s v="No"/>
    <s v="Español"/>
    <n v="18.18"/>
    <n v="1"/>
    <n v="18.18"/>
    <x v="0"/>
    <m/>
    <x v="0"/>
  </r>
  <r>
    <n v="1126418687"/>
    <x v="9"/>
    <x v="3"/>
    <d v="2023-09-08T19:54:46"/>
    <s v="PERALTA"/>
    <x v="1896"/>
    <x v="49"/>
    <s v="No"/>
    <s v="Inglés"/>
    <n v="4.68"/>
    <n v="1"/>
    <n v="4.68"/>
    <x v="0"/>
    <m/>
    <x v="0"/>
  </r>
  <r>
    <n v="1126385737"/>
    <x v="9"/>
    <x v="3"/>
    <d v="2023-09-08T19:51:35"/>
    <s v="PERALTA"/>
    <x v="1119"/>
    <x v="267"/>
    <s v="No"/>
    <s v="Inglés"/>
    <n v="1.0983333333333329"/>
    <n v="2"/>
    <n v="2.1966666666666659"/>
    <x v="0"/>
    <m/>
    <x v="0"/>
  </r>
  <r>
    <n v="1126385737"/>
    <x v="9"/>
    <x v="3"/>
    <d v="2023-09-08T19:51:35"/>
    <s v="PERALTA"/>
    <x v="1897"/>
    <x v="200"/>
    <s v="Si"/>
    <s v="Inglés"/>
    <n v="2.1966666666666672"/>
    <n v="4"/>
    <n v="8.7866666666666688"/>
    <x v="0"/>
    <m/>
    <x v="0"/>
  </r>
  <r>
    <n v="1126385737"/>
    <x v="9"/>
    <x v="3"/>
    <d v="2023-09-08T19:51:35"/>
    <s v="PERALTA"/>
    <x v="1898"/>
    <x v="15"/>
    <s v="No"/>
    <s v="Inglés"/>
    <n v="1.0983333333333329"/>
    <n v="2"/>
    <n v="2.1966666666666659"/>
    <x v="0"/>
    <m/>
    <x v="0"/>
  </r>
  <r>
    <n v="1126280095"/>
    <x v="9"/>
    <x v="3"/>
    <d v="2023-09-08T08:41:37"/>
    <s v="Mazvigosl"/>
    <x v="1898"/>
    <x v="15"/>
    <s v="No"/>
    <s v="Inglés"/>
    <n v="1.0222578062449961"/>
    <n v="2"/>
    <n v="2.0445156124899921"/>
    <x v="0"/>
    <m/>
    <x v="0"/>
  </r>
  <r>
    <n v="1126280095"/>
    <x v="9"/>
    <x v="3"/>
    <d v="2023-09-08T08:41:37"/>
    <s v="Mazvigosl"/>
    <x v="1899"/>
    <x v="225"/>
    <s v="Si"/>
    <s v="Inglés"/>
    <n v="2.1306004803843068"/>
    <n v="4"/>
    <n v="8.5224019215372273"/>
    <x v="0"/>
    <m/>
    <x v="0"/>
  </r>
  <r>
    <n v="1126280095"/>
    <x v="9"/>
    <x v="3"/>
    <d v="2023-09-08T08:41:37"/>
    <s v="Mazvigosl"/>
    <x v="1900"/>
    <x v="225"/>
    <s v="Si"/>
    <s v="Inglés"/>
    <n v="1.88310648518815"/>
    <n v="4"/>
    <n v="7.5324259407526002"/>
    <x v="0"/>
    <m/>
    <x v="0"/>
  </r>
  <r>
    <n v="1126280095"/>
    <x v="9"/>
    <x v="3"/>
    <d v="2023-09-08T08:41:37"/>
    <s v="Mazvigosl"/>
    <x v="1901"/>
    <x v="225"/>
    <s v="No"/>
    <s v="Inglés"/>
    <n v="0.15064851881505209"/>
    <n v="2"/>
    <n v="0.30129703763010418"/>
    <x v="0"/>
    <m/>
    <x v="0"/>
  </r>
  <r>
    <n v="1126280095"/>
    <x v="9"/>
    <x v="3"/>
    <d v="2023-09-08T08:41:37"/>
    <s v="Mazvigosl"/>
    <x v="1902"/>
    <x v="225"/>
    <s v="No"/>
    <s v="Inglés"/>
    <n v="0.15064851881505209"/>
    <n v="1"/>
    <n v="0.15064851881505209"/>
    <x v="0"/>
    <m/>
    <x v="0"/>
  </r>
  <r>
    <n v="1126280095"/>
    <x v="9"/>
    <x v="3"/>
    <d v="2023-09-08T08:41:37"/>
    <s v="Mazvigosl"/>
    <x v="1903"/>
    <x v="67"/>
    <s v="Si"/>
    <s v="Inglés"/>
    <n v="0.16140912730184151"/>
    <n v="4"/>
    <n v="0.64563650920736604"/>
    <x v="0"/>
    <m/>
    <x v="0"/>
  </r>
  <r>
    <n v="1126280095"/>
    <x v="9"/>
    <x v="3"/>
    <d v="2023-09-08T08:41:37"/>
    <s v="Mazvigosl"/>
    <x v="1904"/>
    <x v="200"/>
    <s v="Si"/>
    <s v="Inglés"/>
    <n v="0.32281825460368291"/>
    <n v="4"/>
    <n v="1.2912730184147316"/>
    <x v="0"/>
    <m/>
    <x v="0"/>
  </r>
  <r>
    <n v="1126280095"/>
    <x v="9"/>
    <x v="3"/>
    <d v="2023-09-08T08:41:37"/>
    <s v="Mazvigosl"/>
    <x v="1905"/>
    <x v="225"/>
    <s v="No"/>
    <s v="Inglés"/>
    <n v="0.15064851881505209"/>
    <n v="1"/>
    <n v="0.15064851881505209"/>
    <x v="0"/>
    <m/>
    <x v="0"/>
  </r>
  <r>
    <n v="1126280095"/>
    <x v="9"/>
    <x v="3"/>
    <d v="2023-09-08T08:41:37"/>
    <s v="Mazvigosl"/>
    <x v="291"/>
    <x v="95"/>
    <s v="Si"/>
    <s v="Inglés"/>
    <n v="1.560288230584467"/>
    <n v="4"/>
    <n v="6.2411529223378679"/>
    <x v="0"/>
    <m/>
    <x v="0"/>
  </r>
  <r>
    <n v="1124619405"/>
    <x v="9"/>
    <x v="3"/>
    <d v="2023-09-06T18:41:28"/>
    <s v="BigFabio91"/>
    <x v="1906"/>
    <x v="11"/>
    <s v="No"/>
    <s v="Inglés"/>
    <n v="22.05"/>
    <n v="1"/>
    <n v="22.05"/>
    <x v="1"/>
    <n v="22.05"/>
    <x v="0"/>
  </r>
  <r>
    <s v="CVSALE-1125857031-02"/>
    <x v="9"/>
    <x v="3"/>
    <d v="2023-09-04T18:20:37"/>
    <s v="Venta asociada sin pedido identificado"/>
    <x v="1907"/>
    <x v="115"/>
    <s v="No"/>
    <s v="Inglés"/>
    <n v="14.538073593073594"/>
    <n v="2"/>
    <n v="29.076147186147189"/>
    <x v="1"/>
    <n v="29.076147186147189"/>
    <x v="0"/>
  </r>
  <r>
    <s v="CVSALE-1125857031-01"/>
    <x v="9"/>
    <x v="3"/>
    <d v="2023-09-04T18:20:37"/>
    <s v="Venta asociada sin pedido identificado"/>
    <x v="1908"/>
    <x v="115"/>
    <s v="No"/>
    <s v="Español"/>
    <n v="1.25"/>
    <n v="1"/>
    <n v="1.25"/>
    <x v="1"/>
    <n v="1.25"/>
    <x v="0"/>
  </r>
  <r>
    <n v="1125859083"/>
    <x v="9"/>
    <x v="3"/>
    <d v="2023-09-04T18:20:37"/>
    <s v="Onlycards"/>
    <x v="1909"/>
    <x v="200"/>
    <s v="Si"/>
    <s v="Inglés"/>
    <n v="1.2749999999999999"/>
    <n v="4"/>
    <n v="5.0999999999999996"/>
    <x v="0"/>
    <m/>
    <x v="0"/>
  </r>
  <r>
    <n v="1125857031"/>
    <x v="9"/>
    <x v="3"/>
    <d v="2023-09-04T18:20:37"/>
    <s v="Boyay"/>
    <x v="1908"/>
    <x v="115"/>
    <s v="No"/>
    <s v="Español"/>
    <n v="0.67920000000000003"/>
    <n v="1"/>
    <n v="0.67920000000000003"/>
    <x v="0"/>
    <m/>
    <x v="0"/>
  </r>
  <r>
    <n v="1125857031"/>
    <x v="9"/>
    <x v="3"/>
    <d v="2023-09-04T18:20:37"/>
    <s v="Boyay"/>
    <x v="1366"/>
    <x v="46"/>
    <s v="No"/>
    <s v="Español"/>
    <n v="4.3015999999999996"/>
    <n v="1"/>
    <n v="4.3015999999999996"/>
    <x v="0"/>
    <m/>
    <x v="0"/>
  </r>
  <r>
    <n v="1125857031"/>
    <x v="9"/>
    <x v="3"/>
    <d v="2023-09-04T18:20:37"/>
    <s v="Boyay"/>
    <x v="1907"/>
    <x v="115"/>
    <s v="No"/>
    <s v="Inglés"/>
    <n v="20.1496"/>
    <n v="2"/>
    <n v="40.299199999999999"/>
    <x v="0"/>
    <m/>
    <x v="0"/>
  </r>
  <r>
    <n v="1125816326"/>
    <x v="9"/>
    <x v="3"/>
    <d v="2023-09-04T18:20:37"/>
    <s v="PhyrexianMTG"/>
    <x v="1910"/>
    <x v="37"/>
    <s v="Si"/>
    <s v="Inglés"/>
    <n v="0.14229390681003579"/>
    <n v="4"/>
    <n v="0.56917562724014314"/>
    <x v="0"/>
    <m/>
    <x v="0"/>
  </r>
  <r>
    <n v="1125816326"/>
    <x v="9"/>
    <x v="3"/>
    <d v="2023-09-04T18:20:37"/>
    <s v="PhyrexianMTG"/>
    <x v="1911"/>
    <x v="11"/>
    <s v="No"/>
    <s v="Inglés"/>
    <n v="1.408709677419355"/>
    <n v="1"/>
    <n v="1.408709677419355"/>
    <x v="0"/>
    <m/>
    <x v="0"/>
  </r>
  <r>
    <n v="1125816326"/>
    <x v="9"/>
    <x v="3"/>
    <d v="2023-09-04T18:20:37"/>
    <s v="PhyrexianMTG"/>
    <x v="1912"/>
    <x v="180"/>
    <s v="Si"/>
    <s v="Inglés"/>
    <n v="0.14229390681003579"/>
    <n v="4"/>
    <n v="0.56917562724014314"/>
    <x v="0"/>
    <m/>
    <x v="0"/>
  </r>
  <r>
    <n v="1125816326"/>
    <x v="9"/>
    <x v="3"/>
    <d v="2023-09-04T18:20:37"/>
    <s v="PhyrexianMTG"/>
    <x v="1913"/>
    <x v="11"/>
    <s v="Si"/>
    <s v="Inglés"/>
    <n v="0.3557347670250896"/>
    <n v="4"/>
    <n v="1.4229390681003584"/>
    <x v="0"/>
    <m/>
    <x v="0"/>
  </r>
  <r>
    <n v="1125586771"/>
    <x v="9"/>
    <x v="3"/>
    <d v="2023-09-02T16:57:55"/>
    <s v="Annakiller28"/>
    <x v="1761"/>
    <x v="83"/>
    <s v="Si"/>
    <s v="Inglés"/>
    <n v="0.56499351491569394"/>
    <n v="4"/>
    <n v="2.2599740596627758"/>
    <x v="0"/>
    <m/>
    <x v="0"/>
  </r>
  <r>
    <n v="1125586771"/>
    <x v="9"/>
    <x v="3"/>
    <d v="2023-09-02T16:57:55"/>
    <s v="Annakiller28"/>
    <x v="1914"/>
    <x v="45"/>
    <s v="No"/>
    <s v="Español"/>
    <n v="6.6300259403372239"/>
    <n v="1"/>
    <n v="6.6300259403372239"/>
    <x v="0"/>
    <m/>
    <x v="0"/>
  </r>
  <r>
    <n v="1124550278"/>
    <x v="10"/>
    <x v="3"/>
    <d v="2023-08-24T11:55:05"/>
    <s v="JessWolf"/>
    <x v="1915"/>
    <x v="281"/>
    <s v="No"/>
    <s v="Inglés"/>
    <n v="0.63839999999999997"/>
    <n v="2"/>
    <n v="1.2767999999999999"/>
    <x v="1"/>
    <n v="1.2767999999999999"/>
    <x v="2"/>
  </r>
  <r>
    <n v="1124550278"/>
    <x v="10"/>
    <x v="3"/>
    <d v="2023-08-24T11:55:05"/>
    <s v="JessWolf"/>
    <x v="1916"/>
    <x v="282"/>
    <s v="Si"/>
    <s v="Inglés"/>
    <n v="6.7199999999999996E-2"/>
    <n v="4"/>
    <n v="0.26879999999999998"/>
    <x v="1"/>
    <n v="0.26879999999999998"/>
    <x v="2"/>
  </r>
  <r>
    <n v="1124550278"/>
    <x v="10"/>
    <x v="3"/>
    <d v="2023-08-24T11:55:05"/>
    <s v="JessWolf"/>
    <x v="1917"/>
    <x v="281"/>
    <s v="No"/>
    <s v="Inglés"/>
    <n v="0.13439999999999999"/>
    <n v="1"/>
    <n v="0.13439999999999999"/>
    <x v="1"/>
    <n v="0.13439999999999999"/>
    <x v="2"/>
  </r>
  <r>
    <n v="1124481671"/>
    <x v="10"/>
    <x v="3"/>
    <d v="2023-08-23T17:20:59"/>
    <s v="PERALTA"/>
    <x v="1918"/>
    <x v="11"/>
    <s v="Si"/>
    <s v="Inglés"/>
    <n v="0.87642857142857145"/>
    <n v="4"/>
    <n v="3.5057142857142858"/>
    <x v="0"/>
    <m/>
    <x v="0"/>
  </r>
  <r>
    <n v="1124481671"/>
    <x v="10"/>
    <x v="3"/>
    <d v="2023-08-23T17:20:59"/>
    <s v="PERALTA"/>
    <x v="1126"/>
    <x v="267"/>
    <s v="Si"/>
    <s v="Inglés"/>
    <n v="1.168571428571429"/>
    <n v="4"/>
    <n v="4.6742857142857162"/>
    <x v="0"/>
    <m/>
    <x v="0"/>
  </r>
  <r>
    <n v="1124087884"/>
    <x v="10"/>
    <x v="3"/>
    <d v="2023-08-20T11:26:42"/>
    <s v="MagicCastellon"/>
    <x v="1919"/>
    <x v="15"/>
    <s v="No"/>
    <s v="Inglés"/>
    <n v="20.260000000000002"/>
    <n v="3"/>
    <n v="60.78"/>
    <x v="0"/>
    <m/>
    <x v="0"/>
  </r>
  <r>
    <n v="1124032769"/>
    <x v="10"/>
    <x v="3"/>
    <d v="2023-08-19T16:02:44"/>
    <s v="seiseises"/>
    <x v="1033"/>
    <x v="49"/>
    <s v="No"/>
    <s v="Inglés"/>
    <n v="0.97530805687203803"/>
    <n v="1"/>
    <n v="0.97530805687203803"/>
    <x v="0"/>
    <m/>
    <x v="0"/>
  </r>
  <r>
    <n v="1124032769"/>
    <x v="10"/>
    <x v="3"/>
    <d v="2023-08-19T16:02:44"/>
    <s v="seiseises"/>
    <x v="1206"/>
    <x v="41"/>
    <s v="No"/>
    <s v="Inglés"/>
    <n v="14.85469194312796"/>
    <n v="1"/>
    <n v="14.85469194312796"/>
    <x v="0"/>
    <m/>
    <x v="0"/>
  </r>
  <r>
    <n v="1124032473"/>
    <x v="10"/>
    <x v="3"/>
    <d v="2023-08-19T16:02:44"/>
    <s v="MTG-AGORA"/>
    <x v="1920"/>
    <x v="292"/>
    <s v="No"/>
    <s v="Inglés"/>
    <n v="6.9850746268656713E-2"/>
    <n v="3"/>
    <n v="0.20955223880597013"/>
    <x v="0"/>
    <m/>
    <x v="0"/>
  </r>
  <r>
    <n v="1124032473"/>
    <x v="10"/>
    <x v="3"/>
    <d v="2023-08-19T16:02:44"/>
    <s v="MTG-AGORA"/>
    <x v="1002"/>
    <x v="11"/>
    <s v="Si"/>
    <s v="Inglés"/>
    <n v="4.2608955223880596"/>
    <n v="4"/>
    <n v="17.043582089552238"/>
    <x v="0"/>
    <m/>
    <x v="0"/>
  </r>
  <r>
    <n v="1124032473"/>
    <x v="10"/>
    <x v="3"/>
    <d v="2023-08-19T16:02:44"/>
    <s v="MTG-AGORA"/>
    <x v="1921"/>
    <x v="45"/>
    <s v="Si"/>
    <s v="Inglés"/>
    <n v="3.4925373134328357E-2"/>
    <n v="4"/>
    <n v="0.13970149253731343"/>
    <x v="0"/>
    <m/>
    <x v="0"/>
  </r>
  <r>
    <n v="1124032473"/>
    <x v="10"/>
    <x v="3"/>
    <d v="2023-08-19T16:02:44"/>
    <s v="MTG-AGORA"/>
    <x v="1922"/>
    <x v="115"/>
    <s v="Si"/>
    <s v="Inglés"/>
    <n v="6.9850746268656713E-2"/>
    <n v="4"/>
    <n v="0.27940298507462685"/>
    <x v="0"/>
    <m/>
    <x v="0"/>
  </r>
  <r>
    <n v="1124032473"/>
    <x v="10"/>
    <x v="3"/>
    <d v="2023-08-19T16:02:44"/>
    <s v="MTG-AGORA"/>
    <x v="1923"/>
    <x v="293"/>
    <s v="No"/>
    <s v="Inglés"/>
    <n v="0.41910447761194031"/>
    <n v="2"/>
    <n v="0.83820895522388061"/>
    <x v="0"/>
    <m/>
    <x v="0"/>
  </r>
  <r>
    <n v="1124032473"/>
    <x v="10"/>
    <x v="3"/>
    <d v="2023-08-19T16:02:44"/>
    <s v="MTG-AGORA"/>
    <x v="1924"/>
    <x v="11"/>
    <s v="Si"/>
    <s v="Inglés"/>
    <n v="5.2388059701492531E-2"/>
    <n v="4"/>
    <n v="0.20955223880597013"/>
    <x v="0"/>
    <m/>
    <x v="0"/>
  </r>
  <r>
    <n v="1123516625"/>
    <x v="10"/>
    <x v="3"/>
    <d v="2023-08-14T20:54:13"/>
    <s v="Superheavy22"/>
    <x v="1925"/>
    <x v="281"/>
    <s v="No"/>
    <s v="Inglés"/>
    <n v="0.47333333333333333"/>
    <n v="3"/>
    <n v="1.42"/>
    <x v="1"/>
    <n v="1.42"/>
    <x v="2"/>
  </r>
  <r>
    <n v="1122747495"/>
    <x v="10"/>
    <x v="3"/>
    <d v="2023-08-08T13:13:09"/>
    <s v="MolaxMTG"/>
    <x v="823"/>
    <x v="11"/>
    <s v="Si"/>
    <s v="Inglés"/>
    <n v="0.89500000000000002"/>
    <n v="4"/>
    <n v="3.58"/>
    <x v="0"/>
    <m/>
    <x v="0"/>
  </r>
  <r>
    <n v="1122471058"/>
    <x v="10"/>
    <x v="3"/>
    <d v="2023-08-06T12:51:02"/>
    <s v="Xcutioner-Song"/>
    <x v="1906"/>
    <x v="11"/>
    <s v="No"/>
    <s v="Inglés"/>
    <n v="11.78"/>
    <n v="1"/>
    <n v="11.78"/>
    <x v="0"/>
    <m/>
    <x v="0"/>
  </r>
  <r>
    <n v="1122207247"/>
    <x v="10"/>
    <x v="3"/>
    <d v="2023-08-04T07:38:18"/>
    <s v="anais40"/>
    <x v="1926"/>
    <x v="37"/>
    <s v="No"/>
    <s v="Español"/>
    <n v="16.079999999999998"/>
    <n v="1"/>
    <n v="16.079999999999998"/>
    <x v="0"/>
    <m/>
    <x v="0"/>
  </r>
  <r>
    <n v="1121864735"/>
    <x v="10"/>
    <x v="3"/>
    <d v="2023-08-01T11:19:42"/>
    <s v="Zino0004"/>
    <x v="1927"/>
    <x v="206"/>
    <s v="No"/>
    <s v="Inglés"/>
    <n v="1.68"/>
    <n v="1"/>
    <n v="1.68"/>
    <x v="1"/>
    <n v="1.68"/>
    <x v="0"/>
  </r>
  <r>
    <n v="1121572848"/>
    <x v="11"/>
    <x v="3"/>
    <d v="2023-07-30T01:35:26"/>
    <s v="cesgarfer98"/>
    <x v="521"/>
    <x v="139"/>
    <s v="No"/>
    <s v="Español"/>
    <n v="70.28"/>
    <n v="1"/>
    <n v="70.28"/>
    <x v="0"/>
    <m/>
    <x v="0"/>
  </r>
  <r>
    <n v="1121382086"/>
    <x v="11"/>
    <x v="3"/>
    <d v="2023-07-28T12:06:03"/>
    <s v="ardillero"/>
    <x v="1928"/>
    <x v="11"/>
    <s v="No"/>
    <s v="Inglés"/>
    <n v="1.0799307159353351"/>
    <n v="1"/>
    <n v="1.0799307159353351"/>
    <x v="0"/>
    <m/>
    <x v="0"/>
  </r>
  <r>
    <n v="1121382086"/>
    <x v="11"/>
    <x v="3"/>
    <d v="2023-07-28T12:06:03"/>
    <s v="ardillero"/>
    <x v="1929"/>
    <x v="11"/>
    <s v="No"/>
    <s v="Inglés"/>
    <n v="1.6362586605080831"/>
    <n v="1"/>
    <n v="1.6362586605080831"/>
    <x v="0"/>
    <m/>
    <x v="0"/>
  </r>
  <r>
    <n v="1121382086"/>
    <x v="11"/>
    <x v="3"/>
    <d v="2023-07-28T12:06:03"/>
    <s v="ardillero"/>
    <x v="1906"/>
    <x v="11"/>
    <s v="No"/>
    <s v="Inglés"/>
    <n v="11.45381062355658"/>
    <n v="1"/>
    <n v="11.45381062355658"/>
    <x v="0"/>
    <m/>
    <x v="0"/>
  </r>
  <r>
    <n v="1121381944"/>
    <x v="11"/>
    <x v="3"/>
    <d v="2023-07-28T12:06:03"/>
    <s v="educacion74"/>
    <x v="1906"/>
    <x v="11"/>
    <s v="No"/>
    <s v="Inglés"/>
    <n v="17.664142554693019"/>
    <n v="1"/>
    <n v="17.664142554693019"/>
    <x v="0"/>
    <m/>
    <x v="0"/>
  </r>
  <r>
    <n v="1121381944"/>
    <x v="11"/>
    <x v="3"/>
    <d v="2023-07-28T12:06:03"/>
    <s v="educacion74"/>
    <x v="1930"/>
    <x v="11"/>
    <s v="No"/>
    <s v="Inglés"/>
    <n v="3.5470642201834859"/>
    <n v="1"/>
    <n v="3.5470642201834859"/>
    <x v="0"/>
    <m/>
    <x v="0"/>
  </r>
  <r>
    <n v="1121381944"/>
    <x v="11"/>
    <x v="3"/>
    <d v="2023-07-28T12:06:03"/>
    <s v="educacion74"/>
    <x v="1906"/>
    <x v="11"/>
    <s v="No"/>
    <s v="Inglés"/>
    <n v="12.4087932251235"/>
    <n v="1"/>
    <n v="12.4087932251235"/>
    <x v="0"/>
    <m/>
    <x v="0"/>
  </r>
  <r>
    <n v="1120143415"/>
    <x v="11"/>
    <x v="3"/>
    <d v="2023-07-27T12:02:55"/>
    <s v="NeverlandMTG"/>
    <x v="1931"/>
    <x v="15"/>
    <s v="No"/>
    <s v="Inglés"/>
    <n v="130.28"/>
    <n v="1"/>
    <n v="130.28"/>
    <x v="1"/>
    <n v="130.28"/>
    <x v="0"/>
  </r>
  <r>
    <s v="CVSALE-1121120101-01"/>
    <x v="11"/>
    <x v="3"/>
    <d v="2023-07-26T08:56:56"/>
    <s v="Venta asociada sin pedido identificado"/>
    <x v="1726"/>
    <x v="15"/>
    <s v="Si"/>
    <s v="Inglés"/>
    <n v="95.39"/>
    <n v="1"/>
    <n v="95.39"/>
    <x v="1"/>
    <n v="95.39"/>
    <x v="0"/>
  </r>
  <r>
    <s v="CVSALE-1121120052-01"/>
    <x v="11"/>
    <x v="3"/>
    <d v="2023-07-26T08:56:56"/>
    <s v="Venta asociada sin pedido identificado"/>
    <x v="866"/>
    <x v="37"/>
    <s v="Si"/>
    <s v="Inglés"/>
    <n v="5.1349999999999998"/>
    <n v="4"/>
    <n v="20.54"/>
    <x v="1"/>
    <n v="20.54"/>
    <x v="0"/>
  </r>
  <r>
    <n v="1121120101"/>
    <x v="11"/>
    <x v="3"/>
    <d v="2023-07-26T08:56:56"/>
    <s v="ManaTrust"/>
    <x v="1932"/>
    <x v="294"/>
    <s v="No"/>
    <s v="Italiano"/>
    <n v="4.1535582822085892"/>
    <n v="1"/>
    <n v="4.1535582822085892"/>
    <x v="0"/>
    <m/>
    <x v="0"/>
  </r>
  <r>
    <n v="1121120052"/>
    <x v="11"/>
    <x v="3"/>
    <d v="2023-07-26T08:56:56"/>
    <s v="CardPlanetAustria"/>
    <x v="1933"/>
    <x v="60"/>
    <s v="No"/>
    <s v="Inglés"/>
    <n v="0.51189122373300366"/>
    <n v="3"/>
    <n v="1.5356736711990111"/>
    <x v="0"/>
    <m/>
    <x v="0"/>
  </r>
  <r>
    <n v="1121120052"/>
    <x v="11"/>
    <x v="3"/>
    <d v="2023-07-26T08:56:56"/>
    <s v="CardPlanetAustria"/>
    <x v="1934"/>
    <x v="33"/>
    <s v="No"/>
    <s v="Inglés"/>
    <n v="1.5783312731767609"/>
    <n v="1"/>
    <n v="1.5783312731767609"/>
    <x v="0"/>
    <m/>
    <x v="0"/>
  </r>
  <r>
    <n v="1121120052"/>
    <x v="11"/>
    <x v="3"/>
    <d v="2023-07-26T08:56:56"/>
    <s v="CardPlanetAustria"/>
    <x v="1935"/>
    <x v="139"/>
    <s v="No"/>
    <s v="Inglés"/>
    <n v="0.72517923362175529"/>
    <n v="1"/>
    <n v="0.72517923362175529"/>
    <x v="0"/>
    <m/>
    <x v="0"/>
  </r>
  <r>
    <n v="1121120052"/>
    <x v="11"/>
    <x v="3"/>
    <d v="2023-07-26T08:56:56"/>
    <s v="CardPlanetAustria"/>
    <x v="1936"/>
    <x v="139"/>
    <s v="No"/>
    <s v="Inglés"/>
    <n v="1.2583992583436341"/>
    <n v="2"/>
    <n v="2.5167985166872682"/>
    <x v="0"/>
    <m/>
    <x v="0"/>
  </r>
  <r>
    <n v="1121120052"/>
    <x v="11"/>
    <x v="3"/>
    <d v="2023-07-26T08:56:56"/>
    <s v="CardPlanetAustria"/>
    <x v="866"/>
    <x v="37"/>
    <s v="Si"/>
    <s v="Inglés"/>
    <n v="24.293504326328801"/>
    <n v="4"/>
    <n v="97.174017305315203"/>
    <x v="0"/>
    <m/>
    <x v="0"/>
  </r>
  <r>
    <n v="1121072344"/>
    <x v="11"/>
    <x v="3"/>
    <d v="2023-07-25T19:34:47"/>
    <s v="Belart-fra"/>
    <x v="1937"/>
    <x v="60"/>
    <s v="No"/>
    <s v="Inglés"/>
    <n v="223.7"/>
    <n v="1"/>
    <n v="223.7"/>
    <x v="0"/>
    <m/>
    <x v="0"/>
  </r>
  <r>
    <n v="1121025006"/>
    <x v="11"/>
    <x v="3"/>
    <d v="2023-07-25T12:05:36"/>
    <s v="DUAL-GAMES"/>
    <x v="1938"/>
    <x v="11"/>
    <s v="No"/>
    <s v="Inglés"/>
    <n v="1.0674285714285709"/>
    <n v="1"/>
    <n v="1.0674285714285709"/>
    <x v="0"/>
    <m/>
    <x v="0"/>
  </r>
  <r>
    <n v="1121025006"/>
    <x v="11"/>
    <x v="3"/>
    <d v="2023-07-25T12:05:36"/>
    <s v="DUAL-GAMES"/>
    <x v="1906"/>
    <x v="11"/>
    <s v="No"/>
    <s v="Inglés"/>
    <n v="14.944000000000001"/>
    <n v="1"/>
    <n v="14.944000000000001"/>
    <x v="0"/>
    <m/>
    <x v="0"/>
  </r>
  <r>
    <n v="1121025006"/>
    <x v="11"/>
    <x v="3"/>
    <d v="2023-07-25T12:05:36"/>
    <s v="DUAL-GAMES"/>
    <x v="1939"/>
    <x v="11"/>
    <s v="No"/>
    <s v="Inglés"/>
    <n v="1.0674285714285709"/>
    <n v="1"/>
    <n v="1.0674285714285709"/>
    <x v="0"/>
    <m/>
    <x v="0"/>
  </r>
  <r>
    <n v="1121025006"/>
    <x v="11"/>
    <x v="3"/>
    <d v="2023-07-25T12:05:36"/>
    <s v="DUAL-GAMES"/>
    <x v="1940"/>
    <x v="11"/>
    <s v="No"/>
    <s v="Inglés"/>
    <n v="1.601142857142857"/>
    <n v="1"/>
    <n v="1.601142857142857"/>
    <x v="0"/>
    <m/>
    <x v="0"/>
  </r>
  <r>
    <n v="1119858259"/>
    <x v="11"/>
    <x v="3"/>
    <d v="2023-07-22T07:49:48"/>
    <s v="GnarChikito"/>
    <x v="1137"/>
    <x v="11"/>
    <s v="No"/>
    <s v="Inglés"/>
    <n v="47.040108108108107"/>
    <n v="1"/>
    <n v="47.040108108108107"/>
    <x v="1"/>
    <n v="47.040108108108107"/>
    <x v="0"/>
  </r>
  <r>
    <n v="1119858259"/>
    <x v="11"/>
    <x v="3"/>
    <d v="2023-07-22T07:49:48"/>
    <s v="GnarChikito"/>
    <x v="1137"/>
    <x v="11"/>
    <s v="No"/>
    <s v="Inglés"/>
    <n v="49.154270270270274"/>
    <n v="1"/>
    <n v="49.154270270270274"/>
    <x v="1"/>
    <n v="49.154270270270274"/>
    <x v="0"/>
  </r>
  <r>
    <n v="1120613080"/>
    <x v="11"/>
    <x v="3"/>
    <d v="2023-07-21T12:47:25"/>
    <s v="Zetsuito"/>
    <x v="1941"/>
    <x v="295"/>
    <s v="No"/>
    <s v="Inglés"/>
    <n v="0.28222996515679438"/>
    <n v="1"/>
    <n v="0.28222996515679438"/>
    <x v="0"/>
    <m/>
    <x v="2"/>
  </r>
  <r>
    <n v="1120613080"/>
    <x v="11"/>
    <x v="3"/>
    <d v="2023-07-21T12:47:25"/>
    <s v="Zetsuito"/>
    <x v="1942"/>
    <x v="295"/>
    <s v="No"/>
    <s v="Inglés"/>
    <n v="2.822299651567944E-2"/>
    <n v="1"/>
    <n v="2.822299651567944E-2"/>
    <x v="0"/>
    <m/>
    <x v="2"/>
  </r>
  <r>
    <n v="1120613080"/>
    <x v="11"/>
    <x v="3"/>
    <d v="2023-07-21T12:47:25"/>
    <s v="Zetsuito"/>
    <x v="1943"/>
    <x v="295"/>
    <s v="No"/>
    <s v="Inglés"/>
    <n v="7.0557491289198609E-2"/>
    <n v="1"/>
    <n v="7.0557491289198609E-2"/>
    <x v="0"/>
    <m/>
    <x v="2"/>
  </r>
  <r>
    <n v="1120613080"/>
    <x v="11"/>
    <x v="3"/>
    <d v="2023-07-21T12:47:25"/>
    <s v="Zetsuito"/>
    <x v="1591"/>
    <x v="296"/>
    <s v="No"/>
    <s v="Inglés"/>
    <n v="1.8344947735191639"/>
    <n v="1"/>
    <n v="1.8344947735191639"/>
    <x v="0"/>
    <m/>
    <x v="2"/>
  </r>
  <r>
    <n v="1120613080"/>
    <x v="11"/>
    <x v="3"/>
    <d v="2023-07-21T12:47:25"/>
    <s v="Zetsuito"/>
    <x v="1591"/>
    <x v="295"/>
    <s v="No"/>
    <s v="Inglés"/>
    <n v="1.8344947735191639"/>
    <n v="1"/>
    <n v="1.8344947735191639"/>
    <x v="0"/>
    <m/>
    <x v="2"/>
  </r>
  <r>
    <n v="1120371901"/>
    <x v="11"/>
    <x v="3"/>
    <d v="2023-07-19T08:35:56"/>
    <s v="Mazvigosl"/>
    <x v="1944"/>
    <x v="11"/>
    <s v="No"/>
    <s v="Inglés"/>
    <n v="2.9484482758620691"/>
    <n v="1"/>
    <n v="2.9484482758620691"/>
    <x v="0"/>
    <m/>
    <x v="0"/>
  </r>
  <r>
    <n v="1120371901"/>
    <x v="11"/>
    <x v="3"/>
    <d v="2023-07-19T08:35:56"/>
    <s v="Mazvigosl"/>
    <x v="1945"/>
    <x v="11"/>
    <s v="No"/>
    <s v="Inglés"/>
    <n v="2.3467241379310351"/>
    <n v="1"/>
    <n v="2.3467241379310351"/>
    <x v="0"/>
    <m/>
    <x v="0"/>
  </r>
  <r>
    <n v="1120371901"/>
    <x v="11"/>
    <x v="3"/>
    <d v="2023-07-19T08:35:56"/>
    <s v="Mazvigosl"/>
    <x v="447"/>
    <x v="11"/>
    <s v="Si"/>
    <s v="Inglés"/>
    <n v="0.42120689655172411"/>
    <n v="4"/>
    <n v="1.6848275862068964"/>
    <x v="0"/>
    <m/>
    <x v="0"/>
  </r>
  <r>
    <n v="1120351102"/>
    <x v="11"/>
    <x v="3"/>
    <d v="2023-07-18T22:24:28"/>
    <s v="alphawiwi"/>
    <x v="1946"/>
    <x v="11"/>
    <s v="No"/>
    <s v="Inglés"/>
    <n v="0.58148956817079089"/>
    <n v="1"/>
    <n v="0.58148956817079089"/>
    <x v="0"/>
    <m/>
    <x v="0"/>
  </r>
  <r>
    <n v="1120351102"/>
    <x v="11"/>
    <x v="3"/>
    <d v="2023-07-18T22:24:28"/>
    <s v="alphawiwi"/>
    <x v="1947"/>
    <x v="11"/>
    <s v="No"/>
    <s v="Inglés"/>
    <n v="3.27748665696264"/>
    <n v="1"/>
    <n v="3.27748665696264"/>
    <x v="0"/>
    <m/>
    <x v="0"/>
  </r>
  <r>
    <n v="1120351102"/>
    <x v="11"/>
    <x v="3"/>
    <d v="2023-07-18T22:24:28"/>
    <s v="alphawiwi"/>
    <x v="1948"/>
    <x v="11"/>
    <s v="No"/>
    <s v="Inglés"/>
    <n v="2.9180203784570589"/>
    <n v="1"/>
    <n v="2.9180203784570589"/>
    <x v="0"/>
    <m/>
    <x v="0"/>
  </r>
  <r>
    <n v="1120351102"/>
    <x v="11"/>
    <x v="3"/>
    <d v="2023-07-18T22:24:28"/>
    <s v="alphawiwi"/>
    <x v="1949"/>
    <x v="11"/>
    <s v="No"/>
    <s v="Inglés"/>
    <n v="2.2730955846676371"/>
    <n v="1"/>
    <n v="2.2730955846676371"/>
    <x v="0"/>
    <m/>
    <x v="0"/>
  </r>
  <r>
    <n v="1120351102"/>
    <x v="11"/>
    <x v="3"/>
    <d v="2023-07-18T22:24:28"/>
    <s v="alphawiwi"/>
    <x v="1950"/>
    <x v="11"/>
    <s v="No"/>
    <s v="Inglés"/>
    <n v="0.84580300824842314"/>
    <n v="1"/>
    <n v="0.84580300824842314"/>
    <x v="0"/>
    <m/>
    <x v="0"/>
  </r>
  <r>
    <n v="1120351102"/>
    <x v="11"/>
    <x v="3"/>
    <d v="2023-07-18T22:24:28"/>
    <s v="alphawiwi"/>
    <x v="1463"/>
    <x v="11"/>
    <s v="No"/>
    <s v="Inglés"/>
    <n v="0.37003881610868511"/>
    <n v="1"/>
    <n v="0.37003881610868511"/>
    <x v="0"/>
    <m/>
    <x v="0"/>
  </r>
  <r>
    <n v="1120351102"/>
    <x v="11"/>
    <x v="3"/>
    <d v="2023-07-18T22:24:28"/>
    <s v="alphawiwi"/>
    <x v="1940"/>
    <x v="11"/>
    <s v="No"/>
    <s v="Inglés"/>
    <n v="0.52862688015526449"/>
    <n v="1"/>
    <n v="0.52862688015526449"/>
    <x v="0"/>
    <m/>
    <x v="0"/>
  </r>
  <r>
    <n v="1120351102"/>
    <x v="11"/>
    <x v="3"/>
    <d v="2023-07-18T22:24:28"/>
    <s v="alphawiwi"/>
    <x v="1951"/>
    <x v="11"/>
    <s v="No"/>
    <s v="Inglés"/>
    <n v="0.26431344007763219"/>
    <n v="1"/>
    <n v="0.26431344007763219"/>
    <x v="0"/>
    <m/>
    <x v="0"/>
  </r>
  <r>
    <n v="1120351102"/>
    <x v="11"/>
    <x v="3"/>
    <d v="2023-07-18T22:24:28"/>
    <s v="alphawiwi"/>
    <x v="1952"/>
    <x v="11"/>
    <s v="No"/>
    <s v="Inglés"/>
    <n v="0.84580300824842314"/>
    <n v="1"/>
    <n v="0.84580300824842314"/>
    <x v="0"/>
    <m/>
    <x v="0"/>
  </r>
  <r>
    <n v="1120351102"/>
    <x v="11"/>
    <x v="3"/>
    <d v="2023-07-18T22:24:28"/>
    <s v="alphawiwi"/>
    <x v="1953"/>
    <x v="11"/>
    <s v="No"/>
    <s v="Inglés"/>
    <n v="5.2862688015526436"/>
    <n v="1"/>
    <n v="5.2862688015526436"/>
    <x v="0"/>
    <m/>
    <x v="0"/>
  </r>
  <r>
    <n v="1120351102"/>
    <x v="11"/>
    <x v="3"/>
    <d v="2023-07-18T22:24:28"/>
    <s v="alphawiwi"/>
    <x v="1954"/>
    <x v="11"/>
    <s v="No"/>
    <s v="Inglés"/>
    <n v="0.52862688015526449"/>
    <n v="1"/>
    <n v="0.52862688015526449"/>
    <x v="0"/>
    <m/>
    <x v="0"/>
  </r>
  <r>
    <n v="1120351102"/>
    <x v="11"/>
    <x v="3"/>
    <d v="2023-07-18T22:24:28"/>
    <s v="alphawiwi"/>
    <x v="1955"/>
    <x v="11"/>
    <s v="No"/>
    <s v="Inglés"/>
    <n v="0.68721494420184381"/>
    <n v="1"/>
    <n v="0.68721494420184381"/>
    <x v="0"/>
    <m/>
    <x v="0"/>
  </r>
  <r>
    <n v="1120351102"/>
    <x v="11"/>
    <x v="3"/>
    <d v="2023-07-18T22:24:28"/>
    <s v="alphawiwi"/>
    <x v="1956"/>
    <x v="11"/>
    <s v="No"/>
    <s v="Inglés"/>
    <n v="1.585880640465793"/>
    <n v="1"/>
    <n v="1.585880640465793"/>
    <x v="0"/>
    <m/>
    <x v="0"/>
  </r>
  <r>
    <n v="1120351102"/>
    <x v="11"/>
    <x v="3"/>
    <d v="2023-07-18T22:24:28"/>
    <s v="alphawiwi"/>
    <x v="1957"/>
    <x v="11"/>
    <s v="No"/>
    <s v="Inglés"/>
    <n v="1.057253760310529"/>
    <n v="1"/>
    <n v="1.057253760310529"/>
    <x v="0"/>
    <m/>
    <x v="0"/>
  </r>
  <r>
    <n v="1120351102"/>
    <x v="11"/>
    <x v="3"/>
    <d v="2023-07-18T22:24:28"/>
    <s v="alphawiwi"/>
    <x v="1958"/>
    <x v="297"/>
    <s v="No"/>
    <s v="Inglés"/>
    <n v="0.74007763221737011"/>
    <n v="1"/>
    <n v="0.74007763221737011"/>
    <x v="0"/>
    <m/>
    <x v="0"/>
  </r>
  <r>
    <n v="1120351080"/>
    <x v="11"/>
    <x v="3"/>
    <d v="2023-07-18T22:24:28"/>
    <s v="JupiterSevilla"/>
    <x v="1959"/>
    <x v="11"/>
    <s v="No"/>
    <s v="Inglés"/>
    <n v="1.0037471264367821"/>
    <n v="1"/>
    <n v="1.0037471264367821"/>
    <x v="0"/>
    <m/>
    <x v="0"/>
  </r>
  <r>
    <n v="1120351080"/>
    <x v="11"/>
    <x v="3"/>
    <d v="2023-07-18T22:24:28"/>
    <s v="JupiterSevilla"/>
    <x v="1960"/>
    <x v="11"/>
    <s v="No"/>
    <s v="Inglés"/>
    <n v="0.79018390804597705"/>
    <n v="1"/>
    <n v="0.79018390804597705"/>
    <x v="0"/>
    <m/>
    <x v="0"/>
  </r>
  <r>
    <n v="1120351080"/>
    <x v="11"/>
    <x v="3"/>
    <d v="2023-07-18T22:24:28"/>
    <s v="JupiterSevilla"/>
    <x v="1961"/>
    <x v="11"/>
    <s v="No"/>
    <s v="Inglés"/>
    <n v="3.139379310344828"/>
    <n v="1"/>
    <n v="3.139379310344828"/>
    <x v="0"/>
    <m/>
    <x v="0"/>
  </r>
  <r>
    <n v="1120351080"/>
    <x v="11"/>
    <x v="3"/>
    <d v="2023-07-18T22:24:28"/>
    <s v="JupiterSevilla"/>
    <x v="1753"/>
    <x v="297"/>
    <s v="No"/>
    <s v="Inglés"/>
    <n v="5.232298850574713"/>
    <n v="1"/>
    <n v="5.232298850574713"/>
    <x v="0"/>
    <m/>
    <x v="0"/>
  </r>
  <r>
    <n v="1120351080"/>
    <x v="11"/>
    <x v="3"/>
    <d v="2023-07-18T22:24:28"/>
    <s v="JupiterSevilla"/>
    <x v="1962"/>
    <x v="11"/>
    <s v="No"/>
    <s v="Inglés"/>
    <n v="2.0822413793103451"/>
    <n v="1"/>
    <n v="2.0822413793103451"/>
    <x v="0"/>
    <m/>
    <x v="0"/>
  </r>
  <r>
    <n v="1120351080"/>
    <x v="11"/>
    <x v="3"/>
    <d v="2023-07-18T22:24:28"/>
    <s v="JupiterSevilla"/>
    <x v="1718"/>
    <x v="11"/>
    <s v="No"/>
    <s v="Inglés"/>
    <n v="5.072126436781609"/>
    <n v="1"/>
    <n v="5.072126436781609"/>
    <x v="0"/>
    <m/>
    <x v="0"/>
  </r>
  <r>
    <n v="1120351080"/>
    <x v="11"/>
    <x v="3"/>
    <d v="2023-07-18T22:24:28"/>
    <s v="JupiterSevilla"/>
    <x v="1963"/>
    <x v="11"/>
    <s v="No"/>
    <s v="Inglés"/>
    <n v="0.46983908045977008"/>
    <n v="1"/>
    <n v="0.46983908045977008"/>
    <x v="0"/>
    <m/>
    <x v="0"/>
  </r>
  <r>
    <n v="1120351080"/>
    <x v="11"/>
    <x v="3"/>
    <d v="2023-07-18T22:24:28"/>
    <s v="JupiterSevilla"/>
    <x v="1964"/>
    <x v="11"/>
    <s v="No"/>
    <s v="Inglés"/>
    <n v="0.79018390804597705"/>
    <n v="1"/>
    <n v="0.79018390804597705"/>
    <x v="0"/>
    <m/>
    <x v="0"/>
  </r>
  <r>
    <n v="1120263509"/>
    <x v="11"/>
    <x v="3"/>
    <d v="2023-07-18T08:40:03"/>
    <s v="Alex25005"/>
    <x v="1965"/>
    <x v="102"/>
    <s v="No"/>
    <s v="Español"/>
    <n v="19.24923076923077"/>
    <n v="1"/>
    <n v="19.24923076923077"/>
    <x v="0"/>
    <m/>
    <x v="0"/>
  </r>
  <r>
    <n v="1120263509"/>
    <x v="11"/>
    <x v="3"/>
    <d v="2023-07-18T08:40:03"/>
    <s v="Alex25005"/>
    <x v="1966"/>
    <x v="65"/>
    <s v="No"/>
    <s v="Inglés"/>
    <n v="12.030769230769231"/>
    <n v="1"/>
    <n v="12.030769230769231"/>
    <x v="0"/>
    <m/>
    <x v="0"/>
  </r>
  <r>
    <n v="1120184240"/>
    <x v="11"/>
    <x v="3"/>
    <d v="2023-07-17T14:51:29"/>
    <s v="MissFreeze"/>
    <x v="1967"/>
    <x v="11"/>
    <s v="No"/>
    <s v="Inglés"/>
    <n v="30.2"/>
    <n v="1"/>
    <n v="30.2"/>
    <x v="0"/>
    <m/>
    <x v="0"/>
  </r>
  <r>
    <n v="1119967728"/>
    <x v="11"/>
    <x v="3"/>
    <d v="2023-07-15T17:24:43"/>
    <s v="VacuousVoid"/>
    <x v="1140"/>
    <x v="67"/>
    <s v="No"/>
    <s v="Inglés"/>
    <n v="0.56585183337490652"/>
    <n v="1"/>
    <n v="0.56585183337490652"/>
    <x v="0"/>
    <m/>
    <x v="0"/>
  </r>
  <r>
    <n v="1119967728"/>
    <x v="11"/>
    <x v="3"/>
    <d v="2023-07-15T17:24:43"/>
    <s v="VacuousVoid"/>
    <x v="1968"/>
    <x v="113"/>
    <s v="No"/>
    <s v="Inglés"/>
    <n v="0.2263407333499626"/>
    <n v="1"/>
    <n v="0.2263407333499626"/>
    <x v="0"/>
    <m/>
    <x v="0"/>
  </r>
  <r>
    <n v="1119967728"/>
    <x v="11"/>
    <x v="3"/>
    <d v="2023-07-15T17:24:43"/>
    <s v="VacuousVoid"/>
    <x v="744"/>
    <x v="60"/>
    <s v="No"/>
    <s v="Inglés"/>
    <n v="21.162858568221498"/>
    <n v="2"/>
    <n v="42.325717136442996"/>
    <x v="0"/>
    <m/>
    <x v="0"/>
  </r>
  <r>
    <n v="1119967728"/>
    <x v="11"/>
    <x v="3"/>
    <d v="2023-07-15T17:24:43"/>
    <s v="VacuousVoid"/>
    <x v="408"/>
    <x v="15"/>
    <s v="No"/>
    <s v="Inglés"/>
    <n v="2.2520902968321281"/>
    <n v="1"/>
    <n v="2.2520902968321281"/>
    <x v="0"/>
    <m/>
    <x v="0"/>
  </r>
  <r>
    <n v="1119858259"/>
    <x v="11"/>
    <x v="3"/>
    <d v="2023-07-14T11:24:07"/>
    <s v="GnarChikito"/>
    <x v="1969"/>
    <x v="47"/>
    <s v="No"/>
    <s v="Inglés"/>
    <n v="0.26434782608695651"/>
    <n v="2"/>
    <n v="0.52869565217391301"/>
    <x v="1"/>
    <n v="0.52869565217391301"/>
    <x v="0"/>
  </r>
  <r>
    <n v="1119858259"/>
    <x v="11"/>
    <x v="3"/>
    <d v="2023-07-14T11:24:07"/>
    <s v="GnarChikito"/>
    <x v="1970"/>
    <x v="61"/>
    <s v="No"/>
    <s v="Inglés"/>
    <n v="0.52869565217391301"/>
    <n v="1"/>
    <n v="0.52869565217391301"/>
    <x v="1"/>
    <n v="0.52869565217391301"/>
    <x v="0"/>
  </r>
  <r>
    <n v="1119702784"/>
    <x v="11"/>
    <x v="3"/>
    <d v="2023-07-12T20:31:08"/>
    <s v="bardin"/>
    <x v="1137"/>
    <x v="11"/>
    <s v="No"/>
    <s v="Inglés"/>
    <n v="46.28"/>
    <n v="1"/>
    <n v="46.28"/>
    <x v="0"/>
    <m/>
    <x v="0"/>
  </r>
  <r>
    <n v="1119629203"/>
    <x v="11"/>
    <x v="3"/>
    <d v="2023-07-12T08:09:40"/>
    <s v="Enzociani"/>
    <x v="1931"/>
    <x v="60"/>
    <s v="No"/>
    <s v="Español"/>
    <n v="120.28"/>
    <n v="1"/>
    <n v="120.28"/>
    <x v="0"/>
    <m/>
    <x v="0"/>
  </r>
  <r>
    <n v="1119383595"/>
    <x v="11"/>
    <x v="3"/>
    <d v="2023-07-09T23:47:13"/>
    <s v="Ponderado"/>
    <x v="413"/>
    <x v="49"/>
    <s v="No"/>
    <s v="Inglés"/>
    <n v="8.17"/>
    <n v="1"/>
    <n v="8.17"/>
    <x v="1"/>
    <n v="8.17"/>
    <x v="0"/>
  </r>
  <r>
    <n v="1119214426"/>
    <x v="11"/>
    <x v="3"/>
    <d v="2023-07-08T12:30:09"/>
    <s v="aleexblazquez"/>
    <x v="1137"/>
    <x v="11"/>
    <s v="No"/>
    <s v="Inglés"/>
    <n v="40.28"/>
    <n v="1"/>
    <n v="40.28"/>
    <x v="0"/>
    <m/>
    <x v="0"/>
  </r>
  <r>
    <n v="1119030892"/>
    <x v="11"/>
    <x v="3"/>
    <d v="2023-07-06T17:14:52"/>
    <s v="BudPoison-IG"/>
    <x v="1971"/>
    <x v="15"/>
    <s v="No"/>
    <s v="Español"/>
    <n v="12.18"/>
    <n v="1"/>
    <n v="12.18"/>
    <x v="0"/>
    <m/>
    <x v="0"/>
  </r>
  <r>
    <n v="1119029045"/>
    <x v="11"/>
    <x v="3"/>
    <d v="2023-07-06T17:14:52"/>
    <s v="NeverlandMTG"/>
    <x v="1174"/>
    <x v="102"/>
    <s v="No"/>
    <s v="Inglés"/>
    <n v="0.33371428571428569"/>
    <n v="1"/>
    <n v="0.33371428571428569"/>
    <x v="0"/>
    <m/>
    <x v="0"/>
  </r>
  <r>
    <n v="1119029045"/>
    <x v="11"/>
    <x v="3"/>
    <d v="2023-07-06T17:14:52"/>
    <s v="NeverlandMTG"/>
    <x v="1175"/>
    <x v="83"/>
    <s v="Si"/>
    <s v="Inglés"/>
    <n v="2.7253333333333329"/>
    <n v="4"/>
    <n v="10.901333333333332"/>
    <x v="0"/>
    <m/>
    <x v="0"/>
  </r>
  <r>
    <n v="1119029045"/>
    <x v="11"/>
    <x v="3"/>
    <d v="2023-07-06T17:14:52"/>
    <s v="NeverlandMTG"/>
    <x v="1972"/>
    <x v="298"/>
    <s v="No"/>
    <s v="Inglés"/>
    <n v="0.44495238095238099"/>
    <n v="1"/>
    <n v="0.44495238095238099"/>
    <x v="0"/>
    <m/>
    <x v="0"/>
  </r>
  <r>
    <n v="1119029040"/>
    <x v="11"/>
    <x v="3"/>
    <d v="2023-07-06T17:14:52"/>
    <s v="Itaca"/>
    <x v="705"/>
    <x v="11"/>
    <s v="No"/>
    <s v="Inglés"/>
    <n v="4.619606164383562"/>
    <n v="1"/>
    <n v="4.619606164383562"/>
    <x v="0"/>
    <m/>
    <x v="0"/>
  </r>
  <r>
    <n v="1119029040"/>
    <x v="11"/>
    <x v="3"/>
    <d v="2023-07-06T17:14:52"/>
    <s v="Itaca"/>
    <x v="1973"/>
    <x v="11"/>
    <s v="No"/>
    <s v="Inglés"/>
    <n v="0.52628424657534245"/>
    <n v="1"/>
    <n v="0.52628424657534245"/>
    <x v="0"/>
    <m/>
    <x v="0"/>
  </r>
  <r>
    <n v="1119029040"/>
    <x v="11"/>
    <x v="3"/>
    <d v="2023-07-06T17:14:52"/>
    <s v="Itaca"/>
    <x v="705"/>
    <x v="11"/>
    <s v="No"/>
    <s v="Inglés"/>
    <n v="4.034845890410959"/>
    <n v="2"/>
    <n v="8.069691780821918"/>
    <x v="0"/>
    <m/>
    <x v="0"/>
  </r>
  <r>
    <n v="1119029040"/>
    <x v="11"/>
    <x v="3"/>
    <d v="2023-07-06T17:14:52"/>
    <s v="Itaca"/>
    <x v="705"/>
    <x v="11"/>
    <s v="No"/>
    <s v="Inglés"/>
    <n v="5.204366438356165"/>
    <n v="1"/>
    <n v="5.204366438356165"/>
    <x v="0"/>
    <m/>
    <x v="0"/>
  </r>
  <r>
    <n v="1119029040"/>
    <x v="11"/>
    <x v="3"/>
    <d v="2023-07-06T17:14:52"/>
    <s v="Itaca"/>
    <x v="1973"/>
    <x v="11"/>
    <s v="No"/>
    <s v="Inglés"/>
    <n v="1.1110445205479449"/>
    <n v="1"/>
    <n v="1.1110445205479449"/>
    <x v="0"/>
    <m/>
    <x v="0"/>
  </r>
  <r>
    <n v="1119029040"/>
    <x v="11"/>
    <x v="3"/>
    <d v="2023-07-06T17:14:52"/>
    <s v="Itaca"/>
    <x v="1974"/>
    <x v="299"/>
    <s v="Si"/>
    <s v="Inglés"/>
    <n v="1.6958047945205481"/>
    <n v="4"/>
    <n v="6.7832191780821924"/>
    <x v="0"/>
    <m/>
    <x v="0"/>
  </r>
  <r>
    <n v="1119029040"/>
    <x v="11"/>
    <x v="3"/>
    <d v="2023-07-06T17:14:52"/>
    <s v="Itaca"/>
    <x v="1975"/>
    <x v="67"/>
    <s v="Si"/>
    <s v="Inglés"/>
    <n v="0.1754280821917808"/>
    <n v="4"/>
    <n v="0.70171232876712319"/>
    <x v="0"/>
    <m/>
    <x v="0"/>
  </r>
  <r>
    <n v="1119029040"/>
    <x v="11"/>
    <x v="3"/>
    <d v="2023-07-06T17:14:52"/>
    <s v="Itaca"/>
    <x v="299"/>
    <x v="37"/>
    <s v="No"/>
    <s v="Inglés"/>
    <n v="0.52628424657534245"/>
    <n v="2"/>
    <n v="1.0525684931506849"/>
    <x v="0"/>
    <m/>
    <x v="0"/>
  </r>
  <r>
    <n v="1119029040"/>
    <x v="11"/>
    <x v="3"/>
    <d v="2023-07-06T17:14:52"/>
    <s v="Itaca"/>
    <x v="1976"/>
    <x v="263"/>
    <s v="Si"/>
    <s v="Inglés"/>
    <n v="0.40933219178082192"/>
    <n v="4"/>
    <n v="1.6373287671232877"/>
    <x v="0"/>
    <m/>
    <x v="0"/>
  </r>
  <r>
    <n v="1119029040"/>
    <x v="11"/>
    <x v="3"/>
    <d v="2023-07-06T17:14:52"/>
    <s v="Itaca"/>
    <x v="1977"/>
    <x v="113"/>
    <s v="Si"/>
    <s v="Inglés"/>
    <n v="0.29238013698630139"/>
    <n v="4"/>
    <n v="1.1695205479452055"/>
    <x v="0"/>
    <m/>
    <x v="0"/>
  </r>
  <r>
    <n v="1119029040"/>
    <x v="11"/>
    <x v="3"/>
    <d v="2023-07-06T17:14:52"/>
    <s v="Itaca"/>
    <x v="1978"/>
    <x v="300"/>
    <s v="No"/>
    <s v="Inglés"/>
    <n v="0.23390410958904109"/>
    <n v="2"/>
    <n v="0.46780821917808219"/>
    <x v="0"/>
    <m/>
    <x v="0"/>
  </r>
  <r>
    <n v="1119029040"/>
    <x v="11"/>
    <x v="3"/>
    <d v="2023-07-06T17:14:52"/>
    <s v="Itaca"/>
    <x v="1979"/>
    <x v="300"/>
    <s v="No"/>
    <s v="Inglés"/>
    <n v="0.1754280821917808"/>
    <n v="2"/>
    <n v="0.3508561643835616"/>
    <x v="0"/>
    <m/>
    <x v="0"/>
  </r>
  <r>
    <n v="1119029040"/>
    <x v="11"/>
    <x v="3"/>
    <d v="2023-07-06T17:14:52"/>
    <s v="Itaca"/>
    <x v="1980"/>
    <x v="300"/>
    <s v="No"/>
    <s v="Inglés"/>
    <n v="0.1754280821917808"/>
    <n v="2"/>
    <n v="0.3508561643835616"/>
    <x v="0"/>
    <m/>
    <x v="0"/>
  </r>
  <r>
    <n v="1119029040"/>
    <x v="11"/>
    <x v="3"/>
    <d v="2023-07-06T17:14:52"/>
    <s v="Itaca"/>
    <x v="1981"/>
    <x v="67"/>
    <s v="No"/>
    <s v="Inglés"/>
    <n v="0.23390410958904109"/>
    <n v="2"/>
    <n v="0.46780821917808219"/>
    <x v="0"/>
    <m/>
    <x v="0"/>
  </r>
  <r>
    <n v="1119029040"/>
    <x v="11"/>
    <x v="3"/>
    <d v="2023-07-06T17:14:52"/>
    <s v="Itaca"/>
    <x v="1982"/>
    <x v="301"/>
    <s v="No"/>
    <s v="Inglés"/>
    <n v="0.1169520547945206"/>
    <n v="2"/>
    <n v="0.2339041095890412"/>
    <x v="0"/>
    <m/>
    <x v="0"/>
  </r>
  <r>
    <n v="1119029040"/>
    <x v="11"/>
    <x v="3"/>
    <d v="2023-07-06T17:14:52"/>
    <s v="Itaca"/>
    <x v="1983"/>
    <x v="227"/>
    <s v="No"/>
    <s v="Inglés"/>
    <n v="0.1169520547945206"/>
    <n v="2"/>
    <n v="0.2339041095890412"/>
    <x v="0"/>
    <m/>
    <x v="0"/>
  </r>
  <r>
    <n v="1119029040"/>
    <x v="11"/>
    <x v="3"/>
    <d v="2023-07-06T17:14:52"/>
    <s v="Itaca"/>
    <x v="268"/>
    <x v="15"/>
    <s v="Si"/>
    <s v="Inglés"/>
    <n v="0.29238013698630139"/>
    <n v="4"/>
    <n v="1.1695205479452055"/>
    <x v="0"/>
    <m/>
    <x v="0"/>
  </r>
  <r>
    <n v="1118973077"/>
    <x v="11"/>
    <x v="3"/>
    <d v="2023-07-06T06:42:58"/>
    <s v="asrproject"/>
    <x v="892"/>
    <x v="271"/>
    <s v="No"/>
    <s v="Inglés"/>
    <n v="0.1153246753246753"/>
    <n v="1"/>
    <n v="0.1153246753246753"/>
    <x v="0"/>
    <m/>
    <x v="0"/>
  </r>
  <r>
    <n v="1118973077"/>
    <x v="11"/>
    <x v="3"/>
    <d v="2023-07-06T06:42:58"/>
    <s v="asrproject"/>
    <x v="1984"/>
    <x v="11"/>
    <s v="No"/>
    <s v="Inglés"/>
    <n v="0.23064935064935069"/>
    <n v="3"/>
    <n v="0.69194805194805209"/>
    <x v="0"/>
    <m/>
    <x v="0"/>
  </r>
  <r>
    <n v="1118973077"/>
    <x v="11"/>
    <x v="3"/>
    <d v="2023-07-06T06:42:58"/>
    <s v="asrproject"/>
    <x v="1985"/>
    <x v="11"/>
    <s v="No"/>
    <s v="Inglés"/>
    <n v="8.0727272727272723"/>
    <n v="1"/>
    <n v="8.0727272727272723"/>
    <x v="0"/>
    <m/>
    <x v="0"/>
  </r>
  <r>
    <n v="1118939896"/>
    <x v="11"/>
    <x v="3"/>
    <d v="2023-07-05T20:05:00"/>
    <s v="Spanishpow"/>
    <x v="1986"/>
    <x v="297"/>
    <s v="No"/>
    <s v="Inglés"/>
    <n v="2.051459854014599"/>
    <n v="1"/>
    <n v="2.051459854014599"/>
    <x v="0"/>
    <m/>
    <x v="0"/>
  </r>
  <r>
    <n v="1118939896"/>
    <x v="11"/>
    <x v="3"/>
    <d v="2023-07-05T20:05:00"/>
    <s v="Spanishpow"/>
    <x v="1987"/>
    <x v="11"/>
    <s v="No"/>
    <s v="Inglés"/>
    <n v="1.7583941605839419"/>
    <n v="1"/>
    <n v="1.7583941605839419"/>
    <x v="0"/>
    <m/>
    <x v="0"/>
  </r>
  <r>
    <n v="1118939896"/>
    <x v="11"/>
    <x v="3"/>
    <d v="2023-07-05T20:05:00"/>
    <s v="Spanishpow"/>
    <x v="1988"/>
    <x v="11"/>
    <s v="No"/>
    <s v="Inglés"/>
    <n v="1.406715328467153"/>
    <n v="3"/>
    <n v="4.2201459854014587"/>
    <x v="0"/>
    <m/>
    <x v="0"/>
  </r>
  <r>
    <n v="1118900442"/>
    <x v="11"/>
    <x v="3"/>
    <d v="2023-07-05T14:44:27"/>
    <s v="Idefix-FaB"/>
    <x v="1989"/>
    <x v="295"/>
    <s v="No"/>
    <s v="Japonés"/>
    <n v="1.768067226890756"/>
    <n v="1"/>
    <n v="1.768067226890756"/>
    <x v="0"/>
    <m/>
    <x v="2"/>
  </r>
  <r>
    <n v="1118900442"/>
    <x v="11"/>
    <x v="3"/>
    <d v="2023-07-05T14:44:27"/>
    <s v="Idefix-FaB"/>
    <x v="1990"/>
    <x v="295"/>
    <s v="No"/>
    <s v="Japonés"/>
    <n v="0.44201680672268912"/>
    <n v="1"/>
    <n v="0.44201680672268912"/>
    <x v="0"/>
    <m/>
    <x v="2"/>
  </r>
  <r>
    <n v="1118900442"/>
    <x v="11"/>
    <x v="3"/>
    <d v="2023-07-05T14:44:27"/>
    <s v="Idefix-FaB"/>
    <x v="1991"/>
    <x v="295"/>
    <s v="No"/>
    <s v="Japonés"/>
    <n v="0.50095238095238104"/>
    <n v="1"/>
    <n v="0.50095238095238104"/>
    <x v="0"/>
    <m/>
    <x v="2"/>
  </r>
  <r>
    <n v="1118900442"/>
    <x v="11"/>
    <x v="3"/>
    <d v="2023-07-05T14:44:27"/>
    <s v="Idefix-FaB"/>
    <x v="1992"/>
    <x v="295"/>
    <s v="No"/>
    <s v="Inglés"/>
    <n v="1.031372549019608"/>
    <n v="1"/>
    <n v="1.031372549019608"/>
    <x v="0"/>
    <m/>
    <x v="2"/>
  </r>
  <r>
    <n v="1118900442"/>
    <x v="11"/>
    <x v="3"/>
    <d v="2023-07-05T14:44:27"/>
    <s v="Idefix-FaB"/>
    <x v="1993"/>
    <x v="295"/>
    <s v="No"/>
    <s v="Japonés"/>
    <n v="0.82509803921568625"/>
    <n v="1"/>
    <n v="0.82509803921568625"/>
    <x v="0"/>
    <m/>
    <x v="2"/>
  </r>
  <r>
    <n v="1118900442"/>
    <x v="11"/>
    <x v="3"/>
    <d v="2023-07-05T14:44:27"/>
    <s v="Idefix-FaB"/>
    <x v="1994"/>
    <x v="295"/>
    <s v="No"/>
    <s v="Inglés"/>
    <n v="1.178711484593838"/>
    <n v="1"/>
    <n v="1.178711484593838"/>
    <x v="0"/>
    <m/>
    <x v="2"/>
  </r>
  <r>
    <n v="1118900442"/>
    <x v="11"/>
    <x v="3"/>
    <d v="2023-07-05T14:44:27"/>
    <s v="Idefix-FaB"/>
    <x v="1995"/>
    <x v="295"/>
    <s v="No"/>
    <s v="Japonés"/>
    <n v="0.3536134453781512"/>
    <n v="1"/>
    <n v="0.3536134453781512"/>
    <x v="0"/>
    <m/>
    <x v="2"/>
  </r>
  <r>
    <n v="1118900442"/>
    <x v="11"/>
    <x v="3"/>
    <d v="2023-07-05T14:44:27"/>
    <s v="Idefix-FaB"/>
    <x v="1996"/>
    <x v="295"/>
    <s v="No"/>
    <s v="Japonés"/>
    <n v="0.58935574229691878"/>
    <n v="1"/>
    <n v="0.58935574229691878"/>
    <x v="0"/>
    <m/>
    <x v="2"/>
  </r>
  <r>
    <n v="1118900442"/>
    <x v="11"/>
    <x v="3"/>
    <d v="2023-07-05T14:44:27"/>
    <s v="Idefix-FaB"/>
    <x v="1997"/>
    <x v="295"/>
    <s v="No"/>
    <s v="Japonés"/>
    <n v="3.8308123249299721"/>
    <n v="1"/>
    <n v="3.8308123249299721"/>
    <x v="0"/>
    <m/>
    <x v="2"/>
  </r>
  <r>
    <n v="1118014908"/>
    <x v="11"/>
    <x v="3"/>
    <d v="2023-07-05T12:37:27"/>
    <s v="roggearne"/>
    <x v="333"/>
    <x v="115"/>
    <s v="No"/>
    <s v="Inglés"/>
    <n v="32.75"/>
    <n v="1"/>
    <n v="32.75"/>
    <x v="1"/>
    <n v="32.75"/>
    <x v="0"/>
  </r>
  <r>
    <n v="1118807588"/>
    <x v="11"/>
    <x v="3"/>
    <d v="2023-07-04T18:56:42"/>
    <s v="Angelskog"/>
    <x v="1998"/>
    <x v="11"/>
    <s v="No"/>
    <s v="Inglés"/>
    <n v="5.18"/>
    <n v="1"/>
    <n v="5.18"/>
    <x v="0"/>
    <m/>
    <x v="0"/>
  </r>
  <r>
    <n v="1118807160"/>
    <x v="11"/>
    <x v="3"/>
    <d v="2023-07-04T18:56:42"/>
    <s v="Wachopiro"/>
    <x v="1999"/>
    <x v="11"/>
    <s v="No"/>
    <s v="Inglés"/>
    <n v="2.8025609756097558"/>
    <n v="1"/>
    <n v="2.8025609756097558"/>
    <x v="0"/>
    <m/>
    <x v="0"/>
  </r>
  <r>
    <n v="1118807160"/>
    <x v="11"/>
    <x v="3"/>
    <d v="2023-07-04T18:56:42"/>
    <s v="Wachopiro"/>
    <x v="2000"/>
    <x v="11"/>
    <s v="No"/>
    <s v="Inglés"/>
    <n v="2.8597560975609762"/>
    <n v="1"/>
    <n v="2.8597560975609762"/>
    <x v="0"/>
    <m/>
    <x v="0"/>
  </r>
  <r>
    <n v="1118807160"/>
    <x v="11"/>
    <x v="3"/>
    <d v="2023-07-04T18:56:42"/>
    <s v="Wachopiro"/>
    <x v="2001"/>
    <x v="11"/>
    <s v="No"/>
    <s v="Inglés"/>
    <n v="1.7158536585365849"/>
    <n v="1"/>
    <n v="1.7158536585365849"/>
    <x v="0"/>
    <m/>
    <x v="0"/>
  </r>
  <r>
    <n v="1118807160"/>
    <x v="11"/>
    <x v="3"/>
    <d v="2023-07-04T18:56:42"/>
    <s v="Wachopiro"/>
    <x v="2002"/>
    <x v="11"/>
    <s v="No"/>
    <s v="Inglés"/>
    <n v="2.001829268292683"/>
    <n v="1"/>
    <n v="2.001829268292683"/>
    <x v="0"/>
    <m/>
    <x v="0"/>
  </r>
  <r>
    <n v="1118805255"/>
    <x v="11"/>
    <x v="3"/>
    <d v="2023-07-04T18:56:42"/>
    <s v="G3SkedioTCG"/>
    <x v="2003"/>
    <x v="11"/>
    <s v="No"/>
    <s v="Inglés"/>
    <n v="5.1737532808398949"/>
    <n v="1"/>
    <n v="5.1737532808398949"/>
    <x v="0"/>
    <m/>
    <x v="0"/>
  </r>
  <r>
    <n v="1118805255"/>
    <x v="11"/>
    <x v="3"/>
    <d v="2023-07-04T18:56:42"/>
    <s v="G3SkedioTCG"/>
    <x v="1980"/>
    <x v="11"/>
    <s v="No"/>
    <s v="Inglés"/>
    <n v="0.17322834645669291"/>
    <n v="1"/>
    <n v="0.17322834645669291"/>
    <x v="0"/>
    <m/>
    <x v="0"/>
  </r>
  <r>
    <n v="1118805255"/>
    <x v="11"/>
    <x v="3"/>
    <d v="2023-07-04T18:56:42"/>
    <s v="G3SkedioTCG"/>
    <x v="1002"/>
    <x v="11"/>
    <s v="No"/>
    <s v="Inglés"/>
    <n v="3.4530183727034118"/>
    <n v="1"/>
    <n v="3.4530183727034118"/>
    <x v="0"/>
    <m/>
    <x v="0"/>
  </r>
  <r>
    <n v="1118802905"/>
    <x v="11"/>
    <x v="3"/>
    <d v="2023-07-04T18:56:42"/>
    <s v="Mazvigosl"/>
    <x v="2004"/>
    <x v="11"/>
    <s v="No"/>
    <s v="Inglés"/>
    <n v="1.4254777070063691"/>
    <n v="1"/>
    <n v="1.4254777070063691"/>
    <x v="0"/>
    <m/>
    <x v="0"/>
  </r>
  <r>
    <n v="1118802905"/>
    <x v="11"/>
    <x v="3"/>
    <d v="2023-07-04T18:56:42"/>
    <s v="Mazvigosl"/>
    <x v="2005"/>
    <x v="11"/>
    <s v="No"/>
    <s v="Inglés"/>
    <n v="0.29697452229299359"/>
    <n v="1"/>
    <n v="0.29697452229299359"/>
    <x v="0"/>
    <m/>
    <x v="0"/>
  </r>
  <r>
    <n v="1118802905"/>
    <x v="11"/>
    <x v="3"/>
    <d v="2023-07-04T18:56:42"/>
    <s v="Mazvigosl"/>
    <x v="2006"/>
    <x v="11"/>
    <s v="No"/>
    <s v="Inglés"/>
    <n v="0.28509554140127391"/>
    <n v="1"/>
    <n v="0.28509554140127391"/>
    <x v="0"/>
    <m/>
    <x v="0"/>
  </r>
  <r>
    <n v="1118802905"/>
    <x v="11"/>
    <x v="3"/>
    <d v="2023-07-04T18:56:42"/>
    <s v="Mazvigosl"/>
    <x v="2007"/>
    <x v="11"/>
    <s v="No"/>
    <s v="Inglés"/>
    <n v="1.128503184713376"/>
    <n v="1"/>
    <n v="1.128503184713376"/>
    <x v="0"/>
    <m/>
    <x v="0"/>
  </r>
  <r>
    <n v="1118802905"/>
    <x v="11"/>
    <x v="3"/>
    <d v="2023-07-04T18:56:42"/>
    <s v="Mazvigosl"/>
    <x v="2008"/>
    <x v="11"/>
    <s v="No"/>
    <s v="Inglés"/>
    <n v="0.65334394904458604"/>
    <n v="1"/>
    <n v="0.65334394904458604"/>
    <x v="0"/>
    <m/>
    <x v="0"/>
  </r>
  <r>
    <n v="1118802905"/>
    <x v="11"/>
    <x v="3"/>
    <d v="2023-07-04T18:56:42"/>
    <s v="Mazvigosl"/>
    <x v="2009"/>
    <x v="11"/>
    <s v="No"/>
    <s v="Inglés"/>
    <n v="2.3164012738853499"/>
    <n v="1"/>
    <n v="2.3164012738853499"/>
    <x v="0"/>
    <m/>
    <x v="0"/>
  </r>
  <r>
    <n v="1118802905"/>
    <x v="11"/>
    <x v="3"/>
    <d v="2023-07-04T18:56:42"/>
    <s v="Mazvigosl"/>
    <x v="2010"/>
    <x v="11"/>
    <s v="No"/>
    <s v="Inglés"/>
    <n v="0.71273885350318467"/>
    <n v="1"/>
    <n v="0.71273885350318467"/>
    <x v="0"/>
    <m/>
    <x v="0"/>
  </r>
  <r>
    <n v="1118802905"/>
    <x v="11"/>
    <x v="3"/>
    <d v="2023-07-04T18:56:42"/>
    <s v="Mazvigosl"/>
    <x v="2011"/>
    <x v="11"/>
    <s v="No"/>
    <s v="Inglés"/>
    <n v="0.29697452229299359"/>
    <n v="1"/>
    <n v="0.29697452229299359"/>
    <x v="0"/>
    <m/>
    <x v="0"/>
  </r>
  <r>
    <n v="1118802905"/>
    <x v="11"/>
    <x v="3"/>
    <d v="2023-07-04T18:56:42"/>
    <s v="Mazvigosl"/>
    <x v="2012"/>
    <x v="11"/>
    <s v="No"/>
    <s v="Inglés"/>
    <n v="0.16630573248407651"/>
    <n v="1"/>
    <n v="0.16630573248407651"/>
    <x v="0"/>
    <m/>
    <x v="0"/>
  </r>
  <r>
    <n v="1118802905"/>
    <x v="11"/>
    <x v="3"/>
    <d v="2023-07-04T18:56:42"/>
    <s v="Mazvigosl"/>
    <x v="1983"/>
    <x v="11"/>
    <s v="No"/>
    <s v="Inglés"/>
    <n v="0.17818471337579619"/>
    <n v="1"/>
    <n v="0.17818471337579619"/>
    <x v="0"/>
    <m/>
    <x v="0"/>
  </r>
  <r>
    <n v="1118802190"/>
    <x v="11"/>
    <x v="3"/>
    <d v="2023-07-04T18:56:42"/>
    <s v="Eurekagames"/>
    <x v="1986"/>
    <x v="11"/>
    <s v="No"/>
    <s v="Inglés"/>
    <n v="2.2963455450022621"/>
    <n v="1"/>
    <n v="2.2963455450022621"/>
    <x v="0"/>
    <m/>
    <x v="0"/>
  </r>
  <r>
    <n v="1118802190"/>
    <x v="11"/>
    <x v="3"/>
    <d v="2023-07-04T18:56:42"/>
    <s v="Eurekagames"/>
    <x v="669"/>
    <x v="11"/>
    <s v="No"/>
    <s v="Inglés"/>
    <n v="1.2640434192673"/>
    <n v="1"/>
    <n v="1.2640434192673"/>
    <x v="0"/>
    <m/>
    <x v="0"/>
  </r>
  <r>
    <n v="1118802190"/>
    <x v="11"/>
    <x v="3"/>
    <d v="2023-07-04T18:56:42"/>
    <s v="Eurekagames"/>
    <x v="2013"/>
    <x v="11"/>
    <s v="No"/>
    <s v="Inglés"/>
    <n v="1.527385798281321"/>
    <n v="1"/>
    <n v="1.527385798281321"/>
    <x v="0"/>
    <m/>
    <x v="0"/>
  </r>
  <r>
    <n v="1118802190"/>
    <x v="11"/>
    <x v="3"/>
    <d v="2023-07-04T18:56:42"/>
    <s v="Eurekagames"/>
    <x v="1956"/>
    <x v="11"/>
    <s v="No"/>
    <s v="Inglés"/>
    <n v="0.8953640886476707"/>
    <n v="1"/>
    <n v="0.8953640886476707"/>
    <x v="0"/>
    <m/>
    <x v="0"/>
  </r>
  <r>
    <n v="1118802190"/>
    <x v="11"/>
    <x v="3"/>
    <d v="2023-07-04T18:56:42"/>
    <s v="Eurekagames"/>
    <x v="2014"/>
    <x v="11"/>
    <s v="No"/>
    <s v="Inglés"/>
    <n v="2.1383401175938488"/>
    <n v="1"/>
    <n v="2.1383401175938488"/>
    <x v="0"/>
    <m/>
    <x v="0"/>
  </r>
  <r>
    <n v="1118802190"/>
    <x v="11"/>
    <x v="3"/>
    <d v="2023-07-04T18:56:42"/>
    <s v="Eurekagames"/>
    <x v="2015"/>
    <x v="11"/>
    <s v="No"/>
    <s v="Inglés"/>
    <n v="3.0547715965626412"/>
    <n v="1"/>
    <n v="3.0547715965626412"/>
    <x v="0"/>
    <m/>
    <x v="0"/>
  </r>
  <r>
    <n v="1118802190"/>
    <x v="11"/>
    <x v="3"/>
    <d v="2023-07-04T18:56:42"/>
    <s v="Eurekagames"/>
    <x v="1949"/>
    <x v="11"/>
    <s v="No"/>
    <s v="Inglés"/>
    <n v="2.3911488014473088"/>
    <n v="1"/>
    <n v="2.3911488014473088"/>
    <x v="0"/>
    <m/>
    <x v="0"/>
  </r>
  <r>
    <n v="1118802190"/>
    <x v="11"/>
    <x v="3"/>
    <d v="2023-07-04T18:56:42"/>
    <s v="Eurekagames"/>
    <x v="2016"/>
    <x v="11"/>
    <s v="No"/>
    <s v="Inglés"/>
    <n v="1.0323021257349621"/>
    <n v="1"/>
    <n v="1.0323021257349621"/>
    <x v="0"/>
    <m/>
    <x v="0"/>
  </r>
  <r>
    <n v="1118802190"/>
    <x v="11"/>
    <x v="3"/>
    <d v="2023-07-04T18:56:42"/>
    <s v="Eurekagames"/>
    <x v="2017"/>
    <x v="11"/>
    <s v="No"/>
    <s v="Inglés"/>
    <n v="0.61095431931252819"/>
    <n v="1"/>
    <n v="0.61095431931252819"/>
    <x v="0"/>
    <m/>
    <x v="0"/>
  </r>
  <r>
    <n v="1118802190"/>
    <x v="11"/>
    <x v="3"/>
    <d v="2023-07-04T18:56:42"/>
    <s v="Eurekagames"/>
    <x v="1002"/>
    <x v="11"/>
    <s v="No"/>
    <s v="Inglés"/>
    <n v="2.054070556309362"/>
    <n v="1"/>
    <n v="2.054070556309362"/>
    <x v="0"/>
    <m/>
    <x v="0"/>
  </r>
  <r>
    <n v="1118802190"/>
    <x v="11"/>
    <x v="3"/>
    <d v="2023-07-04T18:56:42"/>
    <s v="Eurekagames"/>
    <x v="1945"/>
    <x v="11"/>
    <s v="No"/>
    <s v="Inglés"/>
    <n v="1.2851108095884221"/>
    <n v="1"/>
    <n v="1.2851108095884221"/>
    <x v="0"/>
    <m/>
    <x v="0"/>
  </r>
  <r>
    <n v="1118802190"/>
    <x v="11"/>
    <x v="3"/>
    <d v="2023-07-04T18:56:42"/>
    <s v="Eurekagames"/>
    <x v="1959"/>
    <x v="11"/>
    <s v="No"/>
    <s v="Inglés"/>
    <n v="0.9480325644504749"/>
    <n v="1"/>
    <n v="0.9480325644504749"/>
    <x v="0"/>
    <m/>
    <x v="0"/>
  </r>
  <r>
    <n v="1118802190"/>
    <x v="11"/>
    <x v="3"/>
    <d v="2023-07-04T18:56:42"/>
    <s v="Eurekagames"/>
    <x v="1987"/>
    <x v="11"/>
    <s v="No"/>
    <s v="Inglés"/>
    <n v="1.169240162822252"/>
    <n v="1"/>
    <n v="1.169240162822252"/>
    <x v="0"/>
    <m/>
    <x v="0"/>
  </r>
  <r>
    <n v="1118802190"/>
    <x v="11"/>
    <x v="3"/>
    <d v="2023-07-04T18:56:42"/>
    <s v="Eurekagames"/>
    <x v="94"/>
    <x v="11"/>
    <s v="No"/>
    <s v="Inglés"/>
    <n v="2.6228900949796481"/>
    <n v="1"/>
    <n v="2.6228900949796481"/>
    <x v="0"/>
    <m/>
    <x v="0"/>
  </r>
  <r>
    <n v="1118790808"/>
    <x v="11"/>
    <x v="3"/>
    <d v="2023-07-04T16:44:18"/>
    <s v="Artxaon"/>
    <x v="890"/>
    <x v="34"/>
    <s v="No"/>
    <s v="Inglés"/>
    <n v="3.1799999999999997"/>
    <n v="1"/>
    <n v="3.1799999999999997"/>
    <x v="1"/>
    <n v="3.1799999999999997"/>
    <x v="0"/>
  </r>
  <r>
    <n v="1118682318"/>
    <x v="11"/>
    <x v="3"/>
    <d v="2023-07-03T20:06:44"/>
    <s v="patri6"/>
    <x v="1137"/>
    <x v="11"/>
    <s v="No"/>
    <s v="Inglés"/>
    <n v="33.78"/>
    <n v="1"/>
    <n v="33.78"/>
    <x v="0"/>
    <m/>
    <x v="0"/>
  </r>
  <r>
    <n v="1118605239"/>
    <x v="11"/>
    <x v="3"/>
    <d v="2023-07-03T07:47:21"/>
    <s v="orlok"/>
    <x v="1137"/>
    <x v="11"/>
    <s v="No"/>
    <s v="Inglés"/>
    <n v="30.28"/>
    <n v="1"/>
    <n v="30.28"/>
    <x v="0"/>
    <m/>
    <x v="0"/>
  </r>
  <r>
    <n v="1118441783"/>
    <x v="11"/>
    <x v="3"/>
    <d v="2023-07-01T19:26:28"/>
    <s v="Espacioretro"/>
    <x v="1137"/>
    <x v="11"/>
    <s v="No"/>
    <s v="Inglés"/>
    <n v="37.28"/>
    <n v="1"/>
    <n v="37.28"/>
    <x v="0"/>
    <m/>
    <x v="0"/>
  </r>
  <r>
    <n v="1118440465"/>
    <x v="11"/>
    <x v="3"/>
    <d v="2023-07-01T19:26:28"/>
    <s v="Turodael"/>
    <x v="1137"/>
    <x v="11"/>
    <s v="No"/>
    <s v="Inglés"/>
    <n v="34.28"/>
    <n v="1"/>
    <n v="34.28"/>
    <x v="0"/>
    <m/>
    <x v="0"/>
  </r>
  <r>
    <n v="1118027162"/>
    <x v="0"/>
    <x v="3"/>
    <d v="2023-06-28T08:12:19"/>
    <s v="Eurekagames"/>
    <x v="2018"/>
    <x v="11"/>
    <s v="No"/>
    <s v="Inglés"/>
    <n v="0.62669975186104221"/>
    <n v="1"/>
    <n v="0.62669975186104221"/>
    <x v="0"/>
    <m/>
    <x v="0"/>
  </r>
  <r>
    <n v="1118027162"/>
    <x v="0"/>
    <x v="3"/>
    <d v="2023-06-28T08:12:19"/>
    <s v="Eurekagames"/>
    <x v="2019"/>
    <x v="11"/>
    <s v="No"/>
    <s v="Inglés"/>
    <n v="21.195880893300249"/>
    <n v="2"/>
    <n v="42.391761786600497"/>
    <x v="0"/>
    <m/>
    <x v="0"/>
  </r>
  <r>
    <n v="1118027162"/>
    <x v="0"/>
    <x v="3"/>
    <d v="2023-06-28T08:12:19"/>
    <s v="Eurekagames"/>
    <x v="2020"/>
    <x v="11"/>
    <s v="No"/>
    <s v="Inglés"/>
    <n v="1.4548387096774189"/>
    <n v="1"/>
    <n v="1.4548387096774189"/>
    <x v="0"/>
    <m/>
    <x v="0"/>
  </r>
  <r>
    <n v="1118027162"/>
    <x v="0"/>
    <x v="3"/>
    <d v="2023-06-28T08:12:19"/>
    <s v="Eurekagames"/>
    <x v="2021"/>
    <x v="11"/>
    <s v="No"/>
    <s v="Inglés"/>
    <n v="0.27977667493796532"/>
    <n v="1"/>
    <n v="0.27977667493796532"/>
    <x v="0"/>
    <m/>
    <x v="0"/>
  </r>
  <r>
    <n v="1118027162"/>
    <x v="0"/>
    <x v="3"/>
    <d v="2023-06-28T08:12:19"/>
    <s v="Eurekagames"/>
    <x v="2022"/>
    <x v="11"/>
    <s v="No"/>
    <s v="Inglés"/>
    <n v="1.107915632754342"/>
    <n v="1"/>
    <n v="1.107915632754342"/>
    <x v="0"/>
    <m/>
    <x v="0"/>
  </r>
  <r>
    <n v="1118027162"/>
    <x v="0"/>
    <x v="3"/>
    <d v="2023-06-28T08:12:19"/>
    <s v="Eurekagames"/>
    <x v="2023"/>
    <x v="11"/>
    <s v="No"/>
    <s v="Inglés"/>
    <n v="3.749007444168734"/>
    <n v="1"/>
    <n v="3.749007444168734"/>
    <x v="0"/>
    <m/>
    <x v="0"/>
  </r>
  <r>
    <n v="1118026707"/>
    <x v="0"/>
    <x v="3"/>
    <d v="2023-06-28T08:03:16"/>
    <s v="Onlycards"/>
    <x v="2024"/>
    <x v="11"/>
    <s v="No"/>
    <s v="Inglés"/>
    <n v="20.170000000000002"/>
    <n v="1"/>
    <n v="20.170000000000002"/>
    <x v="0"/>
    <m/>
    <x v="0"/>
  </r>
  <r>
    <n v="1118025685"/>
    <x v="0"/>
    <x v="3"/>
    <d v="2023-06-28T07:57:09"/>
    <s v="MadridMagic"/>
    <x v="2025"/>
    <x v="11"/>
    <s v="No"/>
    <s v="Inglés"/>
    <n v="0.616328125"/>
    <n v="1"/>
    <n v="0.616328125"/>
    <x v="0"/>
    <m/>
    <x v="0"/>
  </r>
  <r>
    <n v="1118025685"/>
    <x v="0"/>
    <x v="3"/>
    <d v="2023-06-28T07:57:09"/>
    <s v="MadridMagic"/>
    <x v="2026"/>
    <x v="11"/>
    <s v="No"/>
    <s v="Inglés"/>
    <n v="25.143671874999999"/>
    <n v="1"/>
    <n v="25.143671874999999"/>
    <x v="0"/>
    <m/>
    <x v="0"/>
  </r>
  <r>
    <n v="1117936951"/>
    <x v="0"/>
    <x v="3"/>
    <d v="2023-06-27T12:33:06"/>
    <s v="Portocobo"/>
    <x v="2027"/>
    <x v="11"/>
    <s v="No"/>
    <s v="Inglés"/>
    <n v="0.33600000000000002"/>
    <n v="1"/>
    <n v="0.33600000000000002"/>
    <x v="0"/>
    <m/>
    <x v="0"/>
  </r>
  <r>
    <n v="1117936951"/>
    <x v="0"/>
    <x v="3"/>
    <d v="2023-06-27T12:33:06"/>
    <s v="Portocobo"/>
    <x v="2028"/>
    <x v="297"/>
    <s v="No"/>
    <s v="Inglés"/>
    <n v="0.33600000000000002"/>
    <n v="1"/>
    <n v="0.33600000000000002"/>
    <x v="0"/>
    <m/>
    <x v="0"/>
  </r>
  <r>
    <n v="1117936951"/>
    <x v="0"/>
    <x v="3"/>
    <d v="2023-06-27T12:33:06"/>
    <s v="Portocobo"/>
    <x v="2027"/>
    <x v="11"/>
    <s v="No"/>
    <s v="Inglés"/>
    <n v="0.16800000000000001"/>
    <n v="3"/>
    <n v="0.504"/>
    <x v="0"/>
    <m/>
    <x v="0"/>
  </r>
  <r>
    <n v="1117936951"/>
    <x v="0"/>
    <x v="3"/>
    <d v="2023-06-27T12:33:06"/>
    <s v="Portocobo"/>
    <x v="2028"/>
    <x v="297"/>
    <s v="No"/>
    <s v="Inglés"/>
    <n v="0.16800000000000001"/>
    <n v="3"/>
    <n v="0.504"/>
    <x v="0"/>
    <m/>
    <x v="0"/>
  </r>
  <r>
    <n v="1117930699"/>
    <x v="0"/>
    <x v="3"/>
    <d v="2023-06-27T12:33:06"/>
    <s v="vitolo50"/>
    <x v="1952"/>
    <x v="11"/>
    <s v="No"/>
    <s v="Inglés"/>
    <n v="0.32107142857142862"/>
    <n v="1"/>
    <n v="0.32107142857142862"/>
    <x v="0"/>
    <m/>
    <x v="0"/>
  </r>
  <r>
    <n v="1117930699"/>
    <x v="0"/>
    <x v="3"/>
    <d v="2023-06-27T12:33:06"/>
    <s v="vitolo50"/>
    <x v="2029"/>
    <x v="11"/>
    <s v="No"/>
    <s v="Inglés"/>
    <n v="5.8863095238095244"/>
    <n v="3"/>
    <n v="17.658928571428575"/>
    <x v="0"/>
    <m/>
    <x v="0"/>
  </r>
  <r>
    <n v="1117791151"/>
    <x v="0"/>
    <x v="3"/>
    <d v="2023-06-26T09:33:16"/>
    <s v="AtheneasHobby"/>
    <x v="2030"/>
    <x v="295"/>
    <s v="No"/>
    <s v="Inglés"/>
    <n v="0.2855813953488372"/>
    <n v="1"/>
    <n v="0.2855813953488372"/>
    <x v="0"/>
    <m/>
    <x v="2"/>
  </r>
  <r>
    <n v="1117791151"/>
    <x v="0"/>
    <x v="3"/>
    <d v="2023-06-26T09:33:16"/>
    <s v="AtheneasHobby"/>
    <x v="2031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32"/>
    <x v="295"/>
    <s v="No"/>
    <s v="Inglés"/>
    <n v="0.2855813953488372"/>
    <n v="1"/>
    <n v="0.2855813953488372"/>
    <x v="0"/>
    <m/>
    <x v="2"/>
  </r>
  <r>
    <n v="1117791151"/>
    <x v="0"/>
    <x v="3"/>
    <d v="2023-06-26T09:33:16"/>
    <s v="AtheneasHobby"/>
    <x v="2033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34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35"/>
    <x v="295"/>
    <s v="No"/>
    <s v="Inglés"/>
    <n v="0.2855813953488372"/>
    <n v="1"/>
    <n v="0.2855813953488372"/>
    <x v="0"/>
    <m/>
    <x v="2"/>
  </r>
  <r>
    <n v="1117791151"/>
    <x v="0"/>
    <x v="3"/>
    <d v="2023-06-26T09:33:16"/>
    <s v="AtheneasHobby"/>
    <x v="2036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37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38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39"/>
    <x v="295"/>
    <s v="No"/>
    <s v="Inglés"/>
    <n v="0.2855813953488372"/>
    <n v="1"/>
    <n v="0.2855813953488372"/>
    <x v="0"/>
    <m/>
    <x v="2"/>
  </r>
  <r>
    <n v="1117791151"/>
    <x v="0"/>
    <x v="3"/>
    <d v="2023-06-26T09:33:16"/>
    <s v="AtheneasHobby"/>
    <x v="2040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41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42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43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44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1943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45"/>
    <x v="295"/>
    <s v="No"/>
    <s v="Inglés"/>
    <n v="0.2855813953488372"/>
    <n v="1"/>
    <n v="0.2855813953488372"/>
    <x v="0"/>
    <m/>
    <x v="2"/>
  </r>
  <r>
    <n v="1117791151"/>
    <x v="0"/>
    <x v="3"/>
    <d v="2023-06-26T09:33:16"/>
    <s v="AtheneasHobby"/>
    <x v="2046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47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48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49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50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51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52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53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54"/>
    <x v="295"/>
    <s v="No"/>
    <s v="Inglés"/>
    <n v="0.2855813953488372"/>
    <n v="1"/>
    <n v="0.2855813953488372"/>
    <x v="0"/>
    <m/>
    <x v="2"/>
  </r>
  <r>
    <n v="1117791151"/>
    <x v="0"/>
    <x v="3"/>
    <d v="2023-06-26T09:33:16"/>
    <s v="AtheneasHobby"/>
    <x v="2055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56"/>
    <x v="295"/>
    <s v="No"/>
    <s v="Inglés"/>
    <n v="0.2855813953488372"/>
    <n v="1"/>
    <n v="0.2855813953488372"/>
    <x v="0"/>
    <m/>
    <x v="2"/>
  </r>
  <r>
    <n v="1117791151"/>
    <x v="0"/>
    <x v="3"/>
    <d v="2023-06-26T09:33:16"/>
    <s v="AtheneasHobby"/>
    <x v="2057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58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59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60"/>
    <x v="295"/>
    <s v="No"/>
    <s v="Inglés"/>
    <n v="0.22608527131782949"/>
    <n v="1"/>
    <n v="0.22608527131782949"/>
    <x v="0"/>
    <m/>
    <x v="2"/>
  </r>
  <r>
    <n v="1117791151"/>
    <x v="0"/>
    <x v="3"/>
    <d v="2023-06-26T09:33:16"/>
    <s v="AtheneasHobby"/>
    <x v="2061"/>
    <x v="295"/>
    <s v="No"/>
    <s v="Inglés"/>
    <n v="0.1665891472868217"/>
    <n v="1"/>
    <n v="0.1665891472868217"/>
    <x v="0"/>
    <m/>
    <x v="2"/>
  </r>
  <r>
    <n v="1117791151"/>
    <x v="0"/>
    <x v="3"/>
    <d v="2023-06-26T09:33:16"/>
    <s v="AtheneasHobby"/>
    <x v="2062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63"/>
    <x v="295"/>
    <s v="No"/>
    <s v="Inglés"/>
    <n v="0.1427906976744186"/>
    <n v="1"/>
    <n v="0.1427906976744186"/>
    <x v="0"/>
    <m/>
    <x v="2"/>
  </r>
  <r>
    <n v="1117791151"/>
    <x v="0"/>
    <x v="3"/>
    <d v="2023-06-26T09:33:16"/>
    <s v="AtheneasHobby"/>
    <x v="2064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65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66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67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68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69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70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71"/>
    <x v="295"/>
    <s v="No"/>
    <s v="Inglés"/>
    <n v="0.1427906976744186"/>
    <n v="1"/>
    <n v="0.1427906976744186"/>
    <x v="0"/>
    <m/>
    <x v="2"/>
  </r>
  <r>
    <n v="1117791151"/>
    <x v="0"/>
    <x v="3"/>
    <d v="2023-06-26T09:33:16"/>
    <s v="AtheneasHobby"/>
    <x v="2072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73"/>
    <x v="295"/>
    <s v="No"/>
    <s v="Inglés"/>
    <n v="0.1427906976744186"/>
    <n v="1"/>
    <n v="0.1427906976744186"/>
    <x v="0"/>
    <m/>
    <x v="2"/>
  </r>
  <r>
    <n v="1117791151"/>
    <x v="0"/>
    <x v="3"/>
    <d v="2023-06-26T09:33:16"/>
    <s v="AtheneasHobby"/>
    <x v="2074"/>
    <x v="295"/>
    <s v="No"/>
    <s v="Inglés"/>
    <n v="0.1427906976744186"/>
    <n v="1"/>
    <n v="0.1427906976744186"/>
    <x v="0"/>
    <m/>
    <x v="2"/>
  </r>
  <r>
    <n v="1117791151"/>
    <x v="0"/>
    <x v="3"/>
    <d v="2023-06-26T09:33:16"/>
    <s v="AtheneasHobby"/>
    <x v="2075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76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77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78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79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80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81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82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83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84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85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86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87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88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89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90"/>
    <x v="295"/>
    <s v="No"/>
    <s v="Inglés"/>
    <n v="0.1427906976744186"/>
    <n v="1"/>
    <n v="0.1427906976744186"/>
    <x v="0"/>
    <m/>
    <x v="2"/>
  </r>
  <r>
    <n v="1117791151"/>
    <x v="0"/>
    <x v="3"/>
    <d v="2023-06-26T09:33:16"/>
    <s v="AtheneasHobby"/>
    <x v="2091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92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93"/>
    <x v="295"/>
    <s v="No"/>
    <s v="Inglés"/>
    <n v="0.1427906976744186"/>
    <n v="1"/>
    <n v="0.1427906976744186"/>
    <x v="0"/>
    <m/>
    <x v="2"/>
  </r>
  <r>
    <n v="1117791151"/>
    <x v="0"/>
    <x v="3"/>
    <d v="2023-06-26T09:33:16"/>
    <s v="AtheneasHobby"/>
    <x v="2094"/>
    <x v="295"/>
    <s v="No"/>
    <s v="Inglés"/>
    <n v="0.1427906976744186"/>
    <n v="1"/>
    <n v="0.1427906976744186"/>
    <x v="0"/>
    <m/>
    <x v="2"/>
  </r>
  <r>
    <n v="1117791151"/>
    <x v="0"/>
    <x v="3"/>
    <d v="2023-06-26T09:33:16"/>
    <s v="AtheneasHobby"/>
    <x v="2095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96"/>
    <x v="295"/>
    <s v="No"/>
    <s v="Inglés"/>
    <n v="0.1427906976744186"/>
    <n v="1"/>
    <n v="0.1427906976744186"/>
    <x v="0"/>
    <m/>
    <x v="2"/>
  </r>
  <r>
    <n v="1117791151"/>
    <x v="0"/>
    <x v="3"/>
    <d v="2023-06-26T09:33:16"/>
    <s v="AtheneasHobby"/>
    <x v="2097"/>
    <x v="295"/>
    <s v="No"/>
    <s v="Inglés"/>
    <n v="0.1427906976744186"/>
    <n v="1"/>
    <n v="0.1427906976744186"/>
    <x v="0"/>
    <m/>
    <x v="2"/>
  </r>
  <r>
    <n v="1117791151"/>
    <x v="0"/>
    <x v="3"/>
    <d v="2023-06-26T09:33:16"/>
    <s v="AtheneasHobby"/>
    <x v="2098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099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100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101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102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103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104"/>
    <x v="295"/>
    <s v="No"/>
    <s v="Inglés"/>
    <n v="9.5193798449612399E-2"/>
    <n v="1"/>
    <n v="9.5193798449612399E-2"/>
    <x v="0"/>
    <m/>
    <x v="2"/>
  </r>
  <r>
    <n v="1117791151"/>
    <x v="0"/>
    <x v="3"/>
    <d v="2023-06-26T09:33:16"/>
    <s v="AtheneasHobby"/>
    <x v="2105"/>
    <x v="295"/>
    <s v="No"/>
    <s v="Inglés"/>
    <n v="0.40457364341085272"/>
    <n v="1"/>
    <n v="0.40457364341085272"/>
    <x v="0"/>
    <m/>
    <x v="2"/>
  </r>
  <r>
    <n v="1117791151"/>
    <x v="0"/>
    <x v="3"/>
    <d v="2023-06-26T09:33:16"/>
    <s v="AtheneasHobby"/>
    <x v="2106"/>
    <x v="295"/>
    <s v="No"/>
    <s v="Inglés"/>
    <n v="0.47596899224806211"/>
    <n v="1"/>
    <n v="0.47596899224806211"/>
    <x v="0"/>
    <m/>
    <x v="2"/>
  </r>
  <r>
    <n v="1117791151"/>
    <x v="0"/>
    <x v="3"/>
    <d v="2023-06-26T09:33:16"/>
    <s v="AtheneasHobby"/>
    <x v="2107"/>
    <x v="295"/>
    <s v="No"/>
    <s v="Inglés"/>
    <n v="0.40457364341085272"/>
    <n v="1"/>
    <n v="0.40457364341085272"/>
    <x v="0"/>
    <m/>
    <x v="2"/>
  </r>
  <r>
    <n v="1117791151"/>
    <x v="0"/>
    <x v="3"/>
    <d v="2023-06-26T09:33:16"/>
    <s v="AtheneasHobby"/>
    <x v="2108"/>
    <x v="295"/>
    <s v="No"/>
    <s v="Inglés"/>
    <n v="0.35697674418604652"/>
    <n v="1"/>
    <n v="0.35697674418604652"/>
    <x v="0"/>
    <m/>
    <x v="2"/>
  </r>
  <r>
    <n v="1117791151"/>
    <x v="0"/>
    <x v="3"/>
    <d v="2023-06-26T09:33:16"/>
    <s v="AtheneasHobby"/>
    <x v="2109"/>
    <x v="295"/>
    <s v="No"/>
    <s v="Inglés"/>
    <n v="0.40457364341085272"/>
    <n v="1"/>
    <n v="0.40457364341085272"/>
    <x v="0"/>
    <m/>
    <x v="2"/>
  </r>
  <r>
    <n v="1117791151"/>
    <x v="0"/>
    <x v="3"/>
    <d v="2023-06-26T09:33:16"/>
    <s v="AtheneasHobby"/>
    <x v="2110"/>
    <x v="295"/>
    <s v="No"/>
    <s v="Inglés"/>
    <n v="0.47596899224806211"/>
    <n v="1"/>
    <n v="0.47596899224806211"/>
    <x v="0"/>
    <m/>
    <x v="2"/>
  </r>
  <r>
    <n v="1117791151"/>
    <x v="0"/>
    <x v="3"/>
    <d v="2023-06-26T09:33:16"/>
    <s v="AtheneasHobby"/>
    <x v="2111"/>
    <x v="295"/>
    <s v="No"/>
    <s v="Inglés"/>
    <n v="0.34507751937984488"/>
    <n v="1"/>
    <n v="0.34507751937984488"/>
    <x v="0"/>
    <m/>
    <x v="2"/>
  </r>
  <r>
    <n v="1117791151"/>
    <x v="0"/>
    <x v="3"/>
    <d v="2023-06-26T09:33:16"/>
    <s v="AtheneasHobby"/>
    <x v="2112"/>
    <x v="295"/>
    <s v="No"/>
    <s v="Inglés"/>
    <n v="0.40457364341085272"/>
    <n v="1"/>
    <n v="0.40457364341085272"/>
    <x v="0"/>
    <m/>
    <x v="2"/>
  </r>
  <r>
    <n v="1117791151"/>
    <x v="0"/>
    <x v="3"/>
    <d v="2023-06-26T09:33:16"/>
    <s v="AtheneasHobby"/>
    <x v="2113"/>
    <x v="295"/>
    <s v="No"/>
    <s v="Inglés"/>
    <n v="0.47596899224806211"/>
    <n v="1"/>
    <n v="0.47596899224806211"/>
    <x v="0"/>
    <m/>
    <x v="2"/>
  </r>
  <r>
    <n v="1117791151"/>
    <x v="0"/>
    <x v="3"/>
    <d v="2023-06-26T09:33:16"/>
    <s v="AtheneasHobby"/>
    <x v="2114"/>
    <x v="295"/>
    <s v="No"/>
    <s v="Inglés"/>
    <n v="0.40457364341085272"/>
    <n v="1"/>
    <n v="0.40457364341085272"/>
    <x v="0"/>
    <m/>
    <x v="2"/>
  </r>
  <r>
    <n v="1117791151"/>
    <x v="0"/>
    <x v="3"/>
    <d v="2023-06-26T09:33:16"/>
    <s v="AtheneasHobby"/>
    <x v="2115"/>
    <x v="295"/>
    <s v="No"/>
    <s v="Inglés"/>
    <n v="0.40457364341085272"/>
    <n v="1"/>
    <n v="0.40457364341085272"/>
    <x v="0"/>
    <m/>
    <x v="2"/>
  </r>
  <r>
    <n v="1117791151"/>
    <x v="0"/>
    <x v="3"/>
    <d v="2023-06-26T09:33:16"/>
    <s v="AtheneasHobby"/>
    <x v="2116"/>
    <x v="295"/>
    <s v="No"/>
    <s v="Inglés"/>
    <n v="0.46406976744186051"/>
    <n v="1"/>
    <n v="0.46406976744186051"/>
    <x v="0"/>
    <m/>
    <x v="2"/>
  </r>
  <r>
    <n v="1117791151"/>
    <x v="0"/>
    <x v="3"/>
    <d v="2023-06-26T09:33:16"/>
    <s v="AtheneasHobby"/>
    <x v="2117"/>
    <x v="295"/>
    <s v="No"/>
    <s v="Inglés"/>
    <n v="0.40457364341085272"/>
    <n v="1"/>
    <n v="0.40457364341085272"/>
    <x v="0"/>
    <m/>
    <x v="2"/>
  </r>
  <r>
    <n v="1117791151"/>
    <x v="0"/>
    <x v="3"/>
    <d v="2023-06-26T09:33:16"/>
    <s v="AtheneasHobby"/>
    <x v="2118"/>
    <x v="295"/>
    <s v="No"/>
    <s v="Inglés"/>
    <n v="0.46406976744186051"/>
    <n v="1"/>
    <n v="0.46406976744186051"/>
    <x v="0"/>
    <m/>
    <x v="2"/>
  </r>
  <r>
    <n v="1117791151"/>
    <x v="0"/>
    <x v="3"/>
    <d v="2023-06-26T09:33:16"/>
    <s v="AtheneasHobby"/>
    <x v="2119"/>
    <x v="295"/>
    <s v="No"/>
    <s v="Inglés"/>
    <n v="0.40457364341085272"/>
    <n v="1"/>
    <n v="0.40457364341085272"/>
    <x v="0"/>
    <m/>
    <x v="2"/>
  </r>
  <r>
    <n v="1117791151"/>
    <x v="0"/>
    <x v="3"/>
    <d v="2023-06-26T09:33:16"/>
    <s v="AtheneasHobby"/>
    <x v="2120"/>
    <x v="295"/>
    <s v="No"/>
    <s v="Inglés"/>
    <n v="0.237984496124031"/>
    <n v="1"/>
    <n v="0.237984496124031"/>
    <x v="0"/>
    <m/>
    <x v="2"/>
  </r>
  <r>
    <n v="1117791151"/>
    <x v="0"/>
    <x v="3"/>
    <d v="2023-06-26T09:33:16"/>
    <s v="AtheneasHobby"/>
    <x v="2121"/>
    <x v="295"/>
    <s v="No"/>
    <s v="Inglés"/>
    <n v="0.52356589147286825"/>
    <n v="1"/>
    <n v="0.52356589147286825"/>
    <x v="0"/>
    <m/>
    <x v="2"/>
  </r>
  <r>
    <n v="1117791151"/>
    <x v="0"/>
    <x v="3"/>
    <d v="2023-06-26T09:33:16"/>
    <s v="AtheneasHobby"/>
    <x v="2122"/>
    <x v="295"/>
    <s v="No"/>
    <s v="Inglés"/>
    <n v="0.2855813953488372"/>
    <n v="1"/>
    <n v="0.2855813953488372"/>
    <x v="0"/>
    <m/>
    <x v="2"/>
  </r>
  <r>
    <n v="1117791151"/>
    <x v="0"/>
    <x v="3"/>
    <d v="2023-06-26T09:33:16"/>
    <s v="AtheneasHobby"/>
    <x v="2123"/>
    <x v="295"/>
    <s v="No"/>
    <s v="Inglés"/>
    <n v="0.52356589147286825"/>
    <n v="1"/>
    <n v="0.52356589147286825"/>
    <x v="0"/>
    <m/>
    <x v="2"/>
  </r>
  <r>
    <n v="1117791151"/>
    <x v="0"/>
    <x v="3"/>
    <d v="2023-06-26T09:33:16"/>
    <s v="AtheneasHobby"/>
    <x v="2124"/>
    <x v="295"/>
    <s v="No"/>
    <s v="Inglés"/>
    <n v="0.94003875968992257"/>
    <n v="1"/>
    <n v="0.94003875968992257"/>
    <x v="0"/>
    <m/>
    <x v="2"/>
  </r>
  <r>
    <n v="1117791151"/>
    <x v="0"/>
    <x v="3"/>
    <d v="2023-06-26T09:33:16"/>
    <s v="AtheneasHobby"/>
    <x v="2125"/>
    <x v="295"/>
    <s v="No"/>
    <s v="Inglés"/>
    <n v="0.35697674418604652"/>
    <n v="1"/>
    <n v="0.35697674418604652"/>
    <x v="0"/>
    <m/>
    <x v="2"/>
  </r>
  <r>
    <n v="1117791151"/>
    <x v="0"/>
    <x v="3"/>
    <d v="2023-06-26T09:33:16"/>
    <s v="AtheneasHobby"/>
    <x v="2126"/>
    <x v="295"/>
    <s v="No"/>
    <s v="Inglés"/>
    <n v="0.83294573643410852"/>
    <n v="1"/>
    <n v="0.83294573643410852"/>
    <x v="0"/>
    <m/>
    <x v="2"/>
  </r>
  <r>
    <n v="1117791151"/>
    <x v="0"/>
    <x v="3"/>
    <d v="2023-06-26T09:33:16"/>
    <s v="AtheneasHobby"/>
    <x v="2127"/>
    <x v="295"/>
    <s v="No"/>
    <s v="Inglés"/>
    <n v="0.58306201550387593"/>
    <n v="1"/>
    <n v="0.58306201550387593"/>
    <x v="0"/>
    <m/>
    <x v="2"/>
  </r>
  <r>
    <n v="1117791151"/>
    <x v="0"/>
    <x v="3"/>
    <d v="2023-06-26T09:33:16"/>
    <s v="AtheneasHobby"/>
    <x v="2128"/>
    <x v="295"/>
    <s v="No"/>
    <s v="Inglés"/>
    <n v="0.34507751937984488"/>
    <n v="1"/>
    <n v="0.34507751937984488"/>
    <x v="0"/>
    <m/>
    <x v="2"/>
  </r>
  <r>
    <n v="1117791151"/>
    <x v="0"/>
    <x v="3"/>
    <d v="2023-06-26T09:33:16"/>
    <s v="AtheneasHobby"/>
    <x v="2129"/>
    <x v="295"/>
    <s v="No"/>
    <s v="Inglés"/>
    <n v="0.46406976744186051"/>
    <n v="1"/>
    <n v="0.46406976744186051"/>
    <x v="0"/>
    <m/>
    <x v="2"/>
  </r>
  <r>
    <n v="1117791151"/>
    <x v="0"/>
    <x v="3"/>
    <d v="2023-06-26T09:33:16"/>
    <s v="AtheneasHobby"/>
    <x v="2130"/>
    <x v="295"/>
    <s v="No"/>
    <s v="Inglés"/>
    <n v="0.40457364341085272"/>
    <n v="1"/>
    <n v="0.40457364341085272"/>
    <x v="0"/>
    <m/>
    <x v="2"/>
  </r>
  <r>
    <n v="1117791151"/>
    <x v="0"/>
    <x v="3"/>
    <d v="2023-06-26T09:33:16"/>
    <s v="AtheneasHobby"/>
    <x v="2131"/>
    <x v="295"/>
    <s v="No"/>
    <s v="Inglés"/>
    <n v="0.35697674418604652"/>
    <n v="1"/>
    <n v="0.35697674418604652"/>
    <x v="0"/>
    <m/>
    <x v="2"/>
  </r>
  <r>
    <n v="1117791151"/>
    <x v="0"/>
    <x v="3"/>
    <d v="2023-06-26T09:33:16"/>
    <s v="AtheneasHobby"/>
    <x v="2132"/>
    <x v="295"/>
    <s v="No"/>
    <s v="Inglés"/>
    <n v="0.2855813953488372"/>
    <n v="1"/>
    <n v="0.2855813953488372"/>
    <x v="0"/>
    <m/>
    <x v="2"/>
  </r>
  <r>
    <n v="1117791151"/>
    <x v="0"/>
    <x v="3"/>
    <d v="2023-06-26T09:33:16"/>
    <s v="AtheneasHobby"/>
    <x v="2133"/>
    <x v="295"/>
    <s v="No"/>
    <s v="Inglés"/>
    <n v="0.47596899224806211"/>
    <n v="1"/>
    <n v="0.47596899224806211"/>
    <x v="0"/>
    <m/>
    <x v="2"/>
  </r>
  <r>
    <n v="1117791151"/>
    <x v="0"/>
    <x v="3"/>
    <d v="2023-06-26T09:33:16"/>
    <s v="AtheneasHobby"/>
    <x v="2134"/>
    <x v="295"/>
    <s v="No"/>
    <s v="Inglés"/>
    <n v="0.47596899224806211"/>
    <n v="1"/>
    <n v="0.47596899224806211"/>
    <x v="0"/>
    <m/>
    <x v="2"/>
  </r>
  <r>
    <n v="1117791151"/>
    <x v="0"/>
    <x v="3"/>
    <d v="2023-06-26T09:33:16"/>
    <s v="AtheneasHobby"/>
    <x v="2135"/>
    <x v="295"/>
    <s v="No"/>
    <s v="Inglés"/>
    <n v="0.40457364341085272"/>
    <n v="1"/>
    <n v="0.40457364341085272"/>
    <x v="0"/>
    <m/>
    <x v="2"/>
  </r>
  <r>
    <n v="1117791151"/>
    <x v="0"/>
    <x v="3"/>
    <d v="2023-06-26T09:33:16"/>
    <s v="AtheneasHobby"/>
    <x v="2136"/>
    <x v="295"/>
    <s v="No"/>
    <s v="Inglés"/>
    <n v="0.35697674418604652"/>
    <n v="1"/>
    <n v="0.35697674418604652"/>
    <x v="0"/>
    <m/>
    <x v="2"/>
  </r>
  <r>
    <n v="1117791151"/>
    <x v="0"/>
    <x v="3"/>
    <d v="2023-06-26T09:33:16"/>
    <s v="AtheneasHobby"/>
    <x v="2137"/>
    <x v="295"/>
    <s v="No"/>
    <s v="Inglés"/>
    <n v="0.47596899224806211"/>
    <n v="1"/>
    <n v="0.47596899224806211"/>
    <x v="0"/>
    <m/>
    <x v="2"/>
  </r>
  <r>
    <n v="1117791151"/>
    <x v="0"/>
    <x v="3"/>
    <d v="2023-06-26T09:33:16"/>
    <s v="AtheneasHobby"/>
    <x v="2138"/>
    <x v="295"/>
    <s v="No"/>
    <s v="Inglés"/>
    <n v="0.2855813953488372"/>
    <n v="1"/>
    <n v="0.2855813953488372"/>
    <x v="0"/>
    <m/>
    <x v="2"/>
  </r>
  <r>
    <n v="1117791151"/>
    <x v="0"/>
    <x v="3"/>
    <d v="2023-06-26T09:33:16"/>
    <s v="AtheneasHobby"/>
    <x v="2139"/>
    <x v="177"/>
    <s v="No"/>
    <s v="Inglés"/>
    <n v="0.1189922480620155"/>
    <n v="1"/>
    <n v="0.1189922480620155"/>
    <x v="0"/>
    <m/>
    <x v="0"/>
  </r>
  <r>
    <n v="1117791151"/>
    <x v="0"/>
    <x v="3"/>
    <d v="2023-06-26T09:33:16"/>
    <s v="AtheneasHobby"/>
    <x v="2140"/>
    <x v="177"/>
    <s v="No"/>
    <s v="Inglés"/>
    <n v="0.1189922480620155"/>
    <n v="1"/>
    <n v="0.1189922480620155"/>
    <x v="0"/>
    <m/>
    <x v="0"/>
  </r>
  <r>
    <n v="1117791151"/>
    <x v="0"/>
    <x v="3"/>
    <d v="2023-06-26T09:33:16"/>
    <s v="AtheneasHobby"/>
    <x v="2141"/>
    <x v="177"/>
    <s v="No"/>
    <s v="Inglés"/>
    <n v="0.1189922480620155"/>
    <n v="1"/>
    <n v="0.1189922480620155"/>
    <x v="0"/>
    <m/>
    <x v="0"/>
  </r>
  <r>
    <n v="1117791151"/>
    <x v="0"/>
    <x v="3"/>
    <d v="2023-06-26T09:33:16"/>
    <s v="AtheneasHobby"/>
    <x v="2142"/>
    <x v="177"/>
    <s v="No"/>
    <s v="Inglés"/>
    <n v="0.1189922480620155"/>
    <n v="1"/>
    <n v="0.1189922480620155"/>
    <x v="0"/>
    <m/>
    <x v="0"/>
  </r>
  <r>
    <n v="1117791151"/>
    <x v="0"/>
    <x v="3"/>
    <d v="2023-06-26T09:33:16"/>
    <s v="AtheneasHobby"/>
    <x v="2143"/>
    <x v="177"/>
    <s v="No"/>
    <s v="Inglés"/>
    <n v="0.1189922480620155"/>
    <n v="1"/>
    <n v="0.1189922480620155"/>
    <x v="0"/>
    <m/>
    <x v="0"/>
  </r>
  <r>
    <n v="1117791151"/>
    <x v="0"/>
    <x v="3"/>
    <d v="2023-06-26T09:33:16"/>
    <s v="AtheneasHobby"/>
    <x v="2144"/>
    <x v="177"/>
    <s v="No"/>
    <s v="Inglés"/>
    <n v="0.29748062015503868"/>
    <n v="1"/>
    <n v="0.29748062015503868"/>
    <x v="0"/>
    <m/>
    <x v="0"/>
  </r>
  <r>
    <n v="1117791151"/>
    <x v="0"/>
    <x v="3"/>
    <d v="2023-06-26T09:33:16"/>
    <s v="AtheneasHobby"/>
    <x v="2145"/>
    <x v="177"/>
    <s v="No"/>
    <s v="Inglés"/>
    <n v="0.41647286821705432"/>
    <n v="1"/>
    <n v="0.41647286821705432"/>
    <x v="0"/>
    <m/>
    <x v="0"/>
  </r>
  <r>
    <n v="1117791151"/>
    <x v="0"/>
    <x v="3"/>
    <d v="2023-06-26T09:33:16"/>
    <s v="AtheneasHobby"/>
    <x v="2146"/>
    <x v="177"/>
    <s v="No"/>
    <s v="Inglés"/>
    <n v="0.47596899224806211"/>
    <n v="1"/>
    <n v="0.47596899224806211"/>
    <x v="0"/>
    <m/>
    <x v="0"/>
  </r>
  <r>
    <n v="1117791151"/>
    <x v="0"/>
    <x v="3"/>
    <d v="2023-06-26T09:33:16"/>
    <s v="AtheneasHobby"/>
    <x v="2147"/>
    <x v="177"/>
    <s v="No"/>
    <s v="Inglés"/>
    <n v="0.47596899224806211"/>
    <n v="1"/>
    <n v="0.47596899224806211"/>
    <x v="0"/>
    <m/>
    <x v="0"/>
  </r>
  <r>
    <n v="1117791151"/>
    <x v="0"/>
    <x v="3"/>
    <d v="2023-06-26T09:33:16"/>
    <s v="AtheneasHobby"/>
    <x v="2148"/>
    <x v="177"/>
    <s v="No"/>
    <s v="Inglés"/>
    <n v="0.47596899224806211"/>
    <n v="1"/>
    <n v="0.47596899224806211"/>
    <x v="0"/>
    <m/>
    <x v="0"/>
  </r>
  <r>
    <n v="1117791151"/>
    <x v="0"/>
    <x v="3"/>
    <d v="2023-06-26T09:33:16"/>
    <s v="AtheneasHobby"/>
    <x v="2149"/>
    <x v="177"/>
    <s v="No"/>
    <s v="Inglés"/>
    <n v="0.59496124031007747"/>
    <n v="1"/>
    <n v="0.59496124031007747"/>
    <x v="0"/>
    <m/>
    <x v="0"/>
  </r>
  <r>
    <n v="1117791151"/>
    <x v="0"/>
    <x v="3"/>
    <d v="2023-06-26T09:33:16"/>
    <s v="AtheneasHobby"/>
    <x v="2150"/>
    <x v="302"/>
    <s v="No"/>
    <s v="Inglés"/>
    <n v="5.9496124031007763E-2"/>
    <n v="1"/>
    <n v="5.9496124031007763E-2"/>
    <x v="0"/>
    <m/>
    <x v="2"/>
  </r>
  <r>
    <n v="1117791151"/>
    <x v="0"/>
    <x v="3"/>
    <d v="2023-06-26T09:33:16"/>
    <s v="AtheneasHobby"/>
    <x v="2151"/>
    <x v="302"/>
    <s v="No"/>
    <s v="Inglés"/>
    <n v="5.9496124031007763E-2"/>
    <n v="1"/>
    <n v="5.9496124031007763E-2"/>
    <x v="0"/>
    <m/>
    <x v="0"/>
  </r>
  <r>
    <n v="1117728794"/>
    <x v="0"/>
    <x v="3"/>
    <d v="2023-06-25T17:37:35"/>
    <s v="ManaVortex-POOL4YOU"/>
    <x v="2152"/>
    <x v="11"/>
    <s v="No"/>
    <s v="Inglés"/>
    <n v="2.3996787148594381"/>
    <n v="1"/>
    <n v="2.3996787148594381"/>
    <x v="0"/>
    <m/>
    <x v="0"/>
  </r>
  <r>
    <n v="1117728794"/>
    <x v="0"/>
    <x v="3"/>
    <d v="2023-06-25T17:37:35"/>
    <s v="ManaVortex-POOL4YOU"/>
    <x v="2153"/>
    <x v="11"/>
    <s v="No"/>
    <s v="Inglés"/>
    <n v="1.0390361445783129"/>
    <n v="1"/>
    <n v="1.0390361445783129"/>
    <x v="0"/>
    <m/>
    <x v="0"/>
  </r>
  <r>
    <n v="1117728794"/>
    <x v="0"/>
    <x v="3"/>
    <d v="2023-06-25T17:37:35"/>
    <s v="ManaVortex-POOL4YOU"/>
    <x v="2154"/>
    <x v="11"/>
    <s v="No"/>
    <s v="Inglés"/>
    <n v="0.58136546184738958"/>
    <n v="1"/>
    <n v="0.58136546184738958"/>
    <x v="0"/>
    <m/>
    <x v="0"/>
  </r>
  <r>
    <n v="1117728794"/>
    <x v="0"/>
    <x v="3"/>
    <d v="2023-06-25T17:37:35"/>
    <s v="ManaVortex-POOL4YOU"/>
    <x v="2155"/>
    <x v="11"/>
    <s v="No"/>
    <s v="Inglés"/>
    <n v="2.1399196787148589"/>
    <n v="1"/>
    <n v="2.1399196787148589"/>
    <x v="0"/>
    <m/>
    <x v="0"/>
  </r>
  <r>
    <n v="1117728792"/>
    <x v="0"/>
    <x v="3"/>
    <d v="2023-06-25T17:37:35"/>
    <s v="GigaLechu"/>
    <x v="2156"/>
    <x v="11"/>
    <s v="No"/>
    <s v="Inglés"/>
    <n v="1.121052631578948"/>
    <n v="1"/>
    <n v="1.121052631578948"/>
    <x v="0"/>
    <m/>
    <x v="0"/>
  </r>
  <r>
    <n v="1117728792"/>
    <x v="0"/>
    <x v="3"/>
    <d v="2023-06-25T17:37:35"/>
    <s v="GigaLechu"/>
    <x v="2157"/>
    <x v="11"/>
    <s v="No"/>
    <s v="Inglés"/>
    <n v="1.008947368421053"/>
    <n v="1"/>
    <n v="1.008947368421053"/>
    <x v="0"/>
    <m/>
    <x v="0"/>
  </r>
  <r>
    <n v="1117727666"/>
    <x v="0"/>
    <x v="3"/>
    <d v="2023-06-25T17:37:35"/>
    <s v="vitolo50"/>
    <x v="2158"/>
    <x v="11"/>
    <s v="No"/>
    <s v="Inglés"/>
    <n v="0.49593639575971732"/>
    <n v="1"/>
    <n v="0.49593639575971732"/>
    <x v="0"/>
    <m/>
    <x v="0"/>
  </r>
  <r>
    <n v="1117727666"/>
    <x v="0"/>
    <x v="3"/>
    <d v="2023-06-25T17:37:35"/>
    <s v="vitolo50"/>
    <x v="2159"/>
    <x v="11"/>
    <s v="No"/>
    <s v="Inglés"/>
    <n v="1.700353356890459"/>
    <n v="1"/>
    <n v="1.700353356890459"/>
    <x v="0"/>
    <m/>
    <x v="0"/>
  </r>
  <r>
    <n v="1117727666"/>
    <x v="0"/>
    <x v="3"/>
    <d v="2023-06-25T17:37:35"/>
    <s v="vitolo50"/>
    <x v="2160"/>
    <x v="11"/>
    <s v="No"/>
    <s v="Inglés"/>
    <n v="1.2752650176678451"/>
    <n v="1"/>
    <n v="1.2752650176678451"/>
    <x v="0"/>
    <m/>
    <x v="0"/>
  </r>
  <r>
    <n v="1117727666"/>
    <x v="0"/>
    <x v="3"/>
    <d v="2023-06-25T17:37:35"/>
    <s v="vitolo50"/>
    <x v="2161"/>
    <x v="11"/>
    <s v="No"/>
    <s v="Inglés"/>
    <n v="4.2508833922261478E-2"/>
    <n v="1"/>
    <n v="4.2508833922261478E-2"/>
    <x v="0"/>
    <m/>
    <x v="0"/>
  </r>
  <r>
    <n v="1117727666"/>
    <x v="0"/>
    <x v="3"/>
    <d v="2023-06-25T17:37:35"/>
    <s v="vitolo50"/>
    <x v="2000"/>
    <x v="11"/>
    <s v="No"/>
    <s v="Inglés"/>
    <n v="0.4250883392226148"/>
    <n v="1"/>
    <n v="0.4250883392226148"/>
    <x v="0"/>
    <m/>
    <x v="0"/>
  </r>
  <r>
    <n v="1117727666"/>
    <x v="0"/>
    <x v="3"/>
    <d v="2023-06-25T17:37:35"/>
    <s v="vitolo50"/>
    <x v="2162"/>
    <x v="11"/>
    <s v="No"/>
    <s v="Inglés"/>
    <n v="7.0848056537102466E-2"/>
    <n v="1"/>
    <n v="7.0848056537102466E-2"/>
    <x v="0"/>
    <m/>
    <x v="0"/>
  </r>
  <r>
    <n v="1117727435"/>
    <x v="0"/>
    <x v="3"/>
    <d v="2023-06-25T17:37:35"/>
    <s v="Jojotz"/>
    <x v="2159"/>
    <x v="11"/>
    <s v="No"/>
    <s v="Inglés"/>
    <n v="1.369285714285714"/>
    <n v="1"/>
    <n v="1.369285714285714"/>
    <x v="0"/>
    <m/>
    <x v="0"/>
  </r>
  <r>
    <n v="1117727435"/>
    <x v="0"/>
    <x v="3"/>
    <d v="2023-06-25T17:37:35"/>
    <s v="Jojotz"/>
    <x v="2163"/>
    <x v="11"/>
    <s v="No"/>
    <s v="Inglés"/>
    <n v="0.6224025974025974"/>
    <n v="1"/>
    <n v="0.6224025974025974"/>
    <x v="0"/>
    <m/>
    <x v="0"/>
  </r>
  <r>
    <n v="1117727435"/>
    <x v="0"/>
    <x v="3"/>
    <d v="2023-06-25T17:37:35"/>
    <s v="Jojotz"/>
    <x v="2164"/>
    <x v="11"/>
    <s v="No"/>
    <s v="Inglés"/>
    <n v="0.55324675324675332"/>
    <n v="1"/>
    <n v="0.55324675324675332"/>
    <x v="0"/>
    <m/>
    <x v="0"/>
  </r>
  <r>
    <n v="1117727435"/>
    <x v="0"/>
    <x v="3"/>
    <d v="2023-06-25T17:37:35"/>
    <s v="Jojotz"/>
    <x v="2165"/>
    <x v="11"/>
    <s v="No"/>
    <s v="Inglés"/>
    <n v="1.369285714285714"/>
    <n v="1"/>
    <n v="1.369285714285714"/>
    <x v="0"/>
    <m/>
    <x v="0"/>
  </r>
  <r>
    <n v="1117727435"/>
    <x v="0"/>
    <x v="3"/>
    <d v="2023-06-25T17:37:35"/>
    <s v="Jojotz"/>
    <x v="2166"/>
    <x v="11"/>
    <s v="No"/>
    <s v="Inglés"/>
    <n v="0.34577922077922069"/>
    <n v="1"/>
    <n v="0.34577922077922069"/>
    <x v="0"/>
    <m/>
    <x v="0"/>
  </r>
  <r>
    <n v="1117726524"/>
    <x v="0"/>
    <x v="3"/>
    <d v="2023-06-25T17:37:35"/>
    <s v="MTG-LowCost"/>
    <x v="2167"/>
    <x v="11"/>
    <s v="No"/>
    <s v="Inglés"/>
    <n v="0.51079812206572772"/>
    <n v="1"/>
    <n v="0.51079812206572772"/>
    <x v="0"/>
    <m/>
    <x v="0"/>
  </r>
  <r>
    <n v="1117726524"/>
    <x v="0"/>
    <x v="3"/>
    <d v="2023-06-25T17:37:35"/>
    <s v="MTG-LowCost"/>
    <x v="2168"/>
    <x v="11"/>
    <s v="No"/>
    <s v="Inglés"/>
    <n v="0.48525821596244129"/>
    <n v="1"/>
    <n v="0.48525821596244129"/>
    <x v="0"/>
    <m/>
    <x v="0"/>
  </r>
  <r>
    <n v="1117726524"/>
    <x v="0"/>
    <x v="3"/>
    <d v="2023-06-25T17:37:35"/>
    <s v="MTG-LowCost"/>
    <x v="2169"/>
    <x v="11"/>
    <s v="No"/>
    <s v="Inglés"/>
    <n v="0.10215962441314549"/>
    <n v="1"/>
    <n v="0.10215962441314549"/>
    <x v="0"/>
    <m/>
    <x v="0"/>
  </r>
  <r>
    <n v="1117726524"/>
    <x v="0"/>
    <x v="3"/>
    <d v="2023-06-25T17:37:35"/>
    <s v="MTG-LowCost"/>
    <x v="2170"/>
    <x v="11"/>
    <s v="No"/>
    <s v="Inglés"/>
    <n v="2.5539906103286391E-2"/>
    <n v="1"/>
    <n v="2.5539906103286391E-2"/>
    <x v="0"/>
    <m/>
    <x v="0"/>
  </r>
  <r>
    <n v="1117726524"/>
    <x v="0"/>
    <x v="3"/>
    <d v="2023-06-25T17:37:35"/>
    <s v="MTG-LowCost"/>
    <x v="2171"/>
    <x v="11"/>
    <s v="No"/>
    <s v="Inglés"/>
    <n v="1.2131455399061031"/>
    <n v="1"/>
    <n v="1.2131455399061031"/>
    <x v="0"/>
    <m/>
    <x v="0"/>
  </r>
  <r>
    <n v="1117726524"/>
    <x v="0"/>
    <x v="3"/>
    <d v="2023-06-25T17:37:35"/>
    <s v="MTG-LowCost"/>
    <x v="2172"/>
    <x v="11"/>
    <s v="No"/>
    <s v="Inglés"/>
    <n v="0.57464788732394367"/>
    <n v="1"/>
    <n v="0.57464788732394367"/>
    <x v="0"/>
    <m/>
    <x v="0"/>
  </r>
  <r>
    <n v="1117726524"/>
    <x v="0"/>
    <x v="3"/>
    <d v="2023-06-25T17:37:35"/>
    <s v="MTG-LowCost"/>
    <x v="2173"/>
    <x v="11"/>
    <s v="No"/>
    <s v="Inglés"/>
    <n v="0.43417840375586858"/>
    <n v="1"/>
    <n v="0.43417840375586858"/>
    <x v="0"/>
    <m/>
    <x v="0"/>
  </r>
  <r>
    <n v="1117726524"/>
    <x v="0"/>
    <x v="3"/>
    <d v="2023-06-25T17:37:35"/>
    <s v="MTG-LowCost"/>
    <x v="2174"/>
    <x v="11"/>
    <s v="No"/>
    <s v="Inglés"/>
    <n v="0.17877934272300469"/>
    <n v="1"/>
    <n v="0.17877934272300469"/>
    <x v="0"/>
    <m/>
    <x v="0"/>
  </r>
  <r>
    <n v="1117726524"/>
    <x v="0"/>
    <x v="3"/>
    <d v="2023-06-25T17:37:35"/>
    <s v="MTG-LowCost"/>
    <x v="1463"/>
    <x v="11"/>
    <s v="No"/>
    <s v="Inglés"/>
    <n v="0.15323943661971831"/>
    <n v="1"/>
    <n v="0.15323943661971831"/>
    <x v="0"/>
    <m/>
    <x v="0"/>
  </r>
  <r>
    <n v="1117726524"/>
    <x v="0"/>
    <x v="3"/>
    <d v="2023-06-25T17:37:35"/>
    <s v="MTG-LowCost"/>
    <x v="2163"/>
    <x v="11"/>
    <s v="No"/>
    <s v="Inglés"/>
    <n v="0.6895774647887325"/>
    <n v="1"/>
    <n v="0.6895774647887325"/>
    <x v="0"/>
    <m/>
    <x v="0"/>
  </r>
  <r>
    <n v="1117726524"/>
    <x v="0"/>
    <x v="3"/>
    <d v="2023-06-25T17:37:35"/>
    <s v="MTG-LowCost"/>
    <x v="2175"/>
    <x v="11"/>
    <s v="No"/>
    <s v="Inglés"/>
    <n v="0.30647887323943662"/>
    <n v="1"/>
    <n v="0.30647887323943662"/>
    <x v="0"/>
    <m/>
    <x v="0"/>
  </r>
  <r>
    <n v="1117726524"/>
    <x v="0"/>
    <x v="3"/>
    <d v="2023-06-25T17:37:35"/>
    <s v="MTG-LowCost"/>
    <x v="1946"/>
    <x v="11"/>
    <s v="No"/>
    <s v="Inglés"/>
    <n v="0.51079812206572772"/>
    <n v="1"/>
    <n v="0.51079812206572772"/>
    <x v="0"/>
    <m/>
    <x v="0"/>
  </r>
  <r>
    <n v="1117726524"/>
    <x v="0"/>
    <x v="3"/>
    <d v="2023-06-25T17:37:35"/>
    <s v="MTG-LowCost"/>
    <x v="2176"/>
    <x v="11"/>
    <s v="No"/>
    <s v="Inglés"/>
    <n v="5.1079812206572768E-2"/>
    <n v="1"/>
    <n v="5.1079812206572768E-2"/>
    <x v="0"/>
    <m/>
    <x v="0"/>
  </r>
  <r>
    <n v="1117726524"/>
    <x v="0"/>
    <x v="3"/>
    <d v="2023-06-25T17:37:35"/>
    <s v="MTG-LowCost"/>
    <x v="2028"/>
    <x v="297"/>
    <s v="No"/>
    <s v="Inglés"/>
    <n v="5.1079812206572768E-2"/>
    <n v="1"/>
    <n v="5.1079812206572768E-2"/>
    <x v="0"/>
    <m/>
    <x v="0"/>
  </r>
  <r>
    <n v="1117726524"/>
    <x v="0"/>
    <x v="3"/>
    <d v="2023-06-25T17:37:35"/>
    <s v="MTG-LowCost"/>
    <x v="2177"/>
    <x v="11"/>
    <s v="No"/>
    <s v="Inglés"/>
    <n v="5.1079812206572768E-2"/>
    <n v="1"/>
    <n v="5.1079812206572768E-2"/>
    <x v="0"/>
    <m/>
    <x v="0"/>
  </r>
  <r>
    <n v="1117726524"/>
    <x v="0"/>
    <x v="3"/>
    <d v="2023-06-25T17:37:35"/>
    <s v="MTG-LowCost"/>
    <x v="2178"/>
    <x v="11"/>
    <s v="No"/>
    <s v="Inglés"/>
    <n v="5.1079812206572768E-2"/>
    <n v="1"/>
    <n v="5.1079812206572768E-2"/>
    <x v="0"/>
    <m/>
    <x v="0"/>
  </r>
  <r>
    <n v="1117726524"/>
    <x v="0"/>
    <x v="3"/>
    <d v="2023-06-25T17:37:35"/>
    <s v="MTG-LowCost"/>
    <x v="1924"/>
    <x v="11"/>
    <s v="No"/>
    <s v="Inglés"/>
    <n v="5.1079812206572768E-2"/>
    <n v="1"/>
    <n v="5.1079812206572768E-2"/>
    <x v="0"/>
    <m/>
    <x v="0"/>
  </r>
  <r>
    <n v="1117712995"/>
    <x v="0"/>
    <x v="3"/>
    <d v="2023-06-25T15:14:23"/>
    <s v="ticacho"/>
    <x v="2179"/>
    <x v="11"/>
    <s v="No"/>
    <s v="Inglés"/>
    <n v="13.29016393442623"/>
    <n v="1"/>
    <n v="13.29016393442623"/>
    <x v="0"/>
    <m/>
    <x v="0"/>
  </r>
  <r>
    <n v="1117712995"/>
    <x v="0"/>
    <x v="3"/>
    <d v="2023-06-25T15:14:23"/>
    <s v="ticacho"/>
    <x v="2180"/>
    <x v="11"/>
    <s v="No"/>
    <s v="Inglés"/>
    <n v="0.26848816029143902"/>
    <n v="1"/>
    <n v="0.26848816029143902"/>
    <x v="0"/>
    <m/>
    <x v="0"/>
  </r>
  <r>
    <n v="1117712995"/>
    <x v="0"/>
    <x v="3"/>
    <d v="2023-06-25T15:14:23"/>
    <s v="ticacho"/>
    <x v="2017"/>
    <x v="11"/>
    <s v="No"/>
    <s v="Inglés"/>
    <n v="0.26848816029143902"/>
    <n v="1"/>
    <n v="0.26848816029143902"/>
    <x v="0"/>
    <m/>
    <x v="0"/>
  </r>
  <r>
    <n v="1117712995"/>
    <x v="0"/>
    <x v="3"/>
    <d v="2023-06-25T15:14:23"/>
    <s v="ticacho"/>
    <x v="2181"/>
    <x v="11"/>
    <s v="No"/>
    <s v="Inglés"/>
    <n v="0.46985428051001821"/>
    <n v="1"/>
    <n v="0.46985428051001821"/>
    <x v="0"/>
    <m/>
    <x v="0"/>
  </r>
  <r>
    <n v="1117712995"/>
    <x v="0"/>
    <x v="3"/>
    <d v="2023-06-25T15:14:23"/>
    <s v="ticacho"/>
    <x v="2182"/>
    <x v="11"/>
    <s v="No"/>
    <s v="Inglés"/>
    <n v="0.53697632058287803"/>
    <n v="1"/>
    <n v="0.53697632058287803"/>
    <x v="0"/>
    <m/>
    <x v="0"/>
  </r>
  <r>
    <n v="1117712995"/>
    <x v="0"/>
    <x v="3"/>
    <d v="2023-06-25T15:14:23"/>
    <s v="ticacho"/>
    <x v="1954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1951"/>
    <x v="11"/>
    <s v="No"/>
    <s v="Inglés"/>
    <n v="0.20136612021857919"/>
    <n v="1"/>
    <n v="0.20136612021857919"/>
    <x v="0"/>
    <m/>
    <x v="0"/>
  </r>
  <r>
    <n v="1117712995"/>
    <x v="0"/>
    <x v="3"/>
    <d v="2023-06-25T15:14:23"/>
    <s v="ticacho"/>
    <x v="2180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83"/>
    <x v="11"/>
    <s v="No"/>
    <s v="Inglés"/>
    <n v="0.26848816029143902"/>
    <n v="1"/>
    <n v="0.26848816029143902"/>
    <x v="0"/>
    <m/>
    <x v="0"/>
  </r>
  <r>
    <n v="1117712995"/>
    <x v="0"/>
    <x v="3"/>
    <d v="2023-06-25T15:14:23"/>
    <s v="ticacho"/>
    <x v="2018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84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85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86"/>
    <x v="11"/>
    <s v="No"/>
    <s v="Inglés"/>
    <n v="0.26848816029143902"/>
    <n v="1"/>
    <n v="0.26848816029143902"/>
    <x v="0"/>
    <m/>
    <x v="0"/>
  </r>
  <r>
    <n v="1117712995"/>
    <x v="0"/>
    <x v="3"/>
    <d v="2023-06-25T15:14:23"/>
    <s v="ticacho"/>
    <x v="1552"/>
    <x v="11"/>
    <s v="No"/>
    <s v="Inglés"/>
    <n v="0.26848816029143902"/>
    <n v="1"/>
    <n v="0.26848816029143902"/>
    <x v="0"/>
    <m/>
    <x v="0"/>
  </r>
  <r>
    <n v="1117712995"/>
    <x v="0"/>
    <x v="3"/>
    <d v="2023-06-25T15:14:23"/>
    <s v="ticacho"/>
    <x v="2025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87"/>
    <x v="11"/>
    <s v="No"/>
    <s v="Inglés"/>
    <n v="7.3834244080145721"/>
    <n v="1"/>
    <n v="7.3834244080145721"/>
    <x v="0"/>
    <m/>
    <x v="0"/>
  </r>
  <r>
    <n v="1117712995"/>
    <x v="0"/>
    <x v="3"/>
    <d v="2023-06-25T15:14:23"/>
    <s v="ticacho"/>
    <x v="2188"/>
    <x v="11"/>
    <s v="No"/>
    <s v="Inglés"/>
    <n v="6.5108378870673951"/>
    <n v="1"/>
    <n v="6.5108378870673951"/>
    <x v="0"/>
    <m/>
    <x v="0"/>
  </r>
  <r>
    <n v="1117712995"/>
    <x v="0"/>
    <x v="3"/>
    <d v="2023-06-25T15:14:23"/>
    <s v="ticacho"/>
    <x v="2189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90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91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92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93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94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011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1963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64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95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96"/>
    <x v="11"/>
    <s v="No"/>
    <s v="Inglés"/>
    <n v="0.13424408014571951"/>
    <n v="1"/>
    <n v="0.13424408014571951"/>
    <x v="0"/>
    <m/>
    <x v="0"/>
  </r>
  <r>
    <n v="1117712995"/>
    <x v="0"/>
    <x v="3"/>
    <d v="2023-06-25T15:14:23"/>
    <s v="ticacho"/>
    <x v="2197"/>
    <x v="11"/>
    <s v="No"/>
    <s v="Inglés"/>
    <n v="0.20136612021857919"/>
    <n v="1"/>
    <n v="0.20136612021857919"/>
    <x v="0"/>
    <m/>
    <x v="0"/>
  </r>
  <r>
    <n v="1117712995"/>
    <x v="0"/>
    <x v="3"/>
    <d v="2023-06-25T15:14:23"/>
    <s v="ticacho"/>
    <x v="2168"/>
    <x v="11"/>
    <s v="No"/>
    <s v="Inglés"/>
    <n v="0.26848816029143902"/>
    <n v="1"/>
    <n v="0.26848816029143902"/>
    <x v="0"/>
    <m/>
    <x v="0"/>
  </r>
  <r>
    <n v="1117712995"/>
    <x v="0"/>
    <x v="3"/>
    <d v="2023-06-25T15:14:23"/>
    <s v="ticacho"/>
    <x v="1938"/>
    <x v="11"/>
    <s v="No"/>
    <s v="Inglés"/>
    <n v="0.26848816029143902"/>
    <n v="1"/>
    <n v="0.26848816029143902"/>
    <x v="0"/>
    <m/>
    <x v="0"/>
  </r>
  <r>
    <n v="1117712995"/>
    <x v="0"/>
    <x v="3"/>
    <d v="2023-06-25T15:14:23"/>
    <s v="ticacho"/>
    <x v="2165"/>
    <x v="11"/>
    <s v="No"/>
    <s v="Inglés"/>
    <n v="0.33561020036429873"/>
    <n v="1"/>
    <n v="0.33561020036429873"/>
    <x v="0"/>
    <m/>
    <x v="0"/>
  </r>
  <r>
    <n v="1117712995"/>
    <x v="0"/>
    <x v="3"/>
    <d v="2023-06-25T15:14:23"/>
    <s v="ticacho"/>
    <x v="2198"/>
    <x v="11"/>
    <s v="No"/>
    <s v="Inglés"/>
    <n v="0.33561020036429873"/>
    <n v="1"/>
    <n v="0.33561020036429873"/>
    <x v="0"/>
    <m/>
    <x v="0"/>
  </r>
  <r>
    <n v="1117712995"/>
    <x v="0"/>
    <x v="3"/>
    <d v="2023-06-25T15:14:23"/>
    <s v="ticacho"/>
    <x v="2004"/>
    <x v="11"/>
    <s v="No"/>
    <s v="Inglés"/>
    <n v="0.33561020036429873"/>
    <n v="1"/>
    <n v="0.33561020036429873"/>
    <x v="0"/>
    <m/>
    <x v="0"/>
  </r>
  <r>
    <n v="1117712995"/>
    <x v="0"/>
    <x v="3"/>
    <d v="2023-06-25T15:14:23"/>
    <s v="ticacho"/>
    <x v="2199"/>
    <x v="11"/>
    <s v="No"/>
    <s v="Inglés"/>
    <n v="0.33561020036429873"/>
    <n v="1"/>
    <n v="0.33561020036429873"/>
    <x v="0"/>
    <m/>
    <x v="0"/>
  </r>
  <r>
    <n v="1117712995"/>
    <x v="0"/>
    <x v="3"/>
    <d v="2023-06-25T15:14:23"/>
    <s v="ticacho"/>
    <x v="2200"/>
    <x v="11"/>
    <s v="No"/>
    <s v="Inglés"/>
    <n v="0.33561020036429873"/>
    <n v="1"/>
    <n v="0.33561020036429873"/>
    <x v="0"/>
    <m/>
    <x v="0"/>
  </r>
  <r>
    <n v="1117712995"/>
    <x v="0"/>
    <x v="3"/>
    <d v="2023-06-25T15:14:23"/>
    <s v="ticacho"/>
    <x v="1939"/>
    <x v="11"/>
    <s v="No"/>
    <s v="Inglés"/>
    <n v="0.40273224043715838"/>
    <n v="1"/>
    <n v="0.40273224043715838"/>
    <x v="0"/>
    <m/>
    <x v="0"/>
  </r>
  <r>
    <n v="1117712995"/>
    <x v="0"/>
    <x v="3"/>
    <d v="2023-06-25T15:14:23"/>
    <s v="ticacho"/>
    <x v="2201"/>
    <x v="11"/>
    <s v="No"/>
    <s v="Inglés"/>
    <n v="0.40273224043715838"/>
    <n v="1"/>
    <n v="0.40273224043715838"/>
    <x v="0"/>
    <m/>
    <x v="0"/>
  </r>
  <r>
    <n v="1117712995"/>
    <x v="0"/>
    <x v="3"/>
    <d v="2023-06-25T15:14:23"/>
    <s v="ticacho"/>
    <x v="2202"/>
    <x v="11"/>
    <s v="No"/>
    <s v="Inglés"/>
    <n v="0.40273224043715838"/>
    <n v="1"/>
    <n v="0.40273224043715838"/>
    <x v="0"/>
    <m/>
    <x v="0"/>
  </r>
  <r>
    <n v="1117712995"/>
    <x v="0"/>
    <x v="3"/>
    <d v="2023-06-25T15:14:23"/>
    <s v="ticacho"/>
    <x v="1950"/>
    <x v="11"/>
    <s v="No"/>
    <s v="Inglés"/>
    <n v="0.53697632058287803"/>
    <n v="1"/>
    <n v="0.53697632058287803"/>
    <x v="0"/>
    <m/>
    <x v="0"/>
  </r>
  <r>
    <n v="1117712995"/>
    <x v="0"/>
    <x v="3"/>
    <d v="2023-06-25T15:14:23"/>
    <s v="ticacho"/>
    <x v="1940"/>
    <x v="11"/>
    <s v="No"/>
    <s v="Inglés"/>
    <n v="0.67122040072859745"/>
    <n v="1"/>
    <n v="0.67122040072859745"/>
    <x v="0"/>
    <m/>
    <x v="0"/>
  </r>
  <r>
    <n v="1116208559"/>
    <x v="0"/>
    <x v="3"/>
    <d v="2023-06-10T09:00:19"/>
    <s v="tserjio"/>
    <x v="2203"/>
    <x v="301"/>
    <s v="No"/>
    <s v="Inglés"/>
    <n v="15.972527472527471"/>
    <n v="1"/>
    <n v="15.972527472527471"/>
    <x v="0"/>
    <m/>
    <x v="0"/>
  </r>
  <r>
    <n v="1116208559"/>
    <x v="0"/>
    <x v="3"/>
    <d v="2023-06-10T09:00:19"/>
    <s v="tserjio"/>
    <x v="1451"/>
    <x v="61"/>
    <s v="No"/>
    <s v="Inglés"/>
    <n v="1.064835164835165"/>
    <n v="1"/>
    <n v="1.064835164835165"/>
    <x v="0"/>
    <m/>
    <x v="0"/>
  </r>
  <r>
    <n v="1116208559"/>
    <x v="0"/>
    <x v="3"/>
    <d v="2023-06-10T09:00:19"/>
    <s v="tserjio"/>
    <x v="2204"/>
    <x v="148"/>
    <s v="No"/>
    <s v="Inglés"/>
    <n v="0.21296703296703301"/>
    <n v="1"/>
    <n v="0.21296703296703301"/>
    <x v="0"/>
    <m/>
    <x v="0"/>
  </r>
  <r>
    <n v="1116208559"/>
    <x v="0"/>
    <x v="3"/>
    <d v="2023-06-10T09:00:19"/>
    <s v="tserjio"/>
    <x v="2205"/>
    <x v="139"/>
    <s v="No"/>
    <s v="Inglés"/>
    <n v="2.1296703296703301"/>
    <n v="1"/>
    <n v="2.1296703296703301"/>
    <x v="0"/>
    <m/>
    <x v="0"/>
  </r>
  <r>
    <n v="1115945555"/>
    <x v="0"/>
    <x v="3"/>
    <d v="2023-06-07T10:13:15"/>
    <s v="Matamonses"/>
    <x v="2206"/>
    <x v="229"/>
    <s v="No"/>
    <s v="Español"/>
    <n v="7.0245198675496692"/>
    <n v="1"/>
    <n v="7.0245198675496692"/>
    <x v="0"/>
    <m/>
    <x v="0"/>
  </r>
  <r>
    <n v="1115945555"/>
    <x v="0"/>
    <x v="3"/>
    <d v="2023-06-07T10:13:15"/>
    <s v="Matamonses"/>
    <x v="670"/>
    <x v="117"/>
    <s v="No"/>
    <s v="Chino-S"/>
    <n v="8.7837913907284779"/>
    <n v="2"/>
    <n v="17.567582781456956"/>
    <x v="0"/>
    <m/>
    <x v="0"/>
  </r>
  <r>
    <n v="1115945555"/>
    <x v="0"/>
    <x v="3"/>
    <d v="2023-06-07T10:13:15"/>
    <s v="Matamonses"/>
    <x v="2207"/>
    <x v="303"/>
    <s v="No"/>
    <s v="Chino-S"/>
    <n v="5.7678973509933771"/>
    <n v="1"/>
    <n v="5.7678973509933771"/>
    <x v="0"/>
    <m/>
    <x v="0"/>
  </r>
  <r>
    <n v="1115850700"/>
    <x v="0"/>
    <x v="3"/>
    <d v="2023-06-06T10:52:19"/>
    <s v="Dosflores"/>
    <x v="1038"/>
    <x v="66"/>
    <s v="No"/>
    <s v="Español"/>
    <n v="10.59"/>
    <n v="2"/>
    <n v="21.18"/>
    <x v="0"/>
    <m/>
    <x v="0"/>
  </r>
  <r>
    <n v="1115848817"/>
    <x v="0"/>
    <x v="3"/>
    <d v="2023-06-06T10:50:17"/>
    <s v="Chris8698"/>
    <x v="796"/>
    <x v="45"/>
    <s v="Si"/>
    <s v="Español"/>
    <n v="0.53856209150326795"/>
    <n v="4"/>
    <n v="2.1542483660130718"/>
    <x v="0"/>
    <m/>
    <x v="0"/>
  </r>
  <r>
    <n v="1115848817"/>
    <x v="0"/>
    <x v="3"/>
    <d v="2023-06-06T10:50:17"/>
    <s v="Chris8698"/>
    <x v="800"/>
    <x v="45"/>
    <s v="No"/>
    <s v="Español"/>
    <n v="0.64627450980392143"/>
    <n v="3"/>
    <n v="1.9388235294117644"/>
    <x v="0"/>
    <m/>
    <x v="0"/>
  </r>
  <r>
    <n v="1115848817"/>
    <x v="0"/>
    <x v="3"/>
    <d v="2023-06-06T10:50:17"/>
    <s v="Chris8698"/>
    <x v="798"/>
    <x v="289"/>
    <s v="No"/>
    <s v="Inglés"/>
    <n v="2.1542483660130718"/>
    <n v="1"/>
    <n v="2.1542483660130718"/>
    <x v="0"/>
    <m/>
    <x v="0"/>
  </r>
  <r>
    <n v="1115848817"/>
    <x v="0"/>
    <x v="3"/>
    <d v="2023-06-06T10:50:17"/>
    <s v="Chris8698"/>
    <x v="796"/>
    <x v="289"/>
    <s v="No"/>
    <s v="Inglés"/>
    <n v="2.6928104575163401"/>
    <n v="3"/>
    <n v="8.0784313725490193"/>
    <x v="0"/>
    <m/>
    <x v="0"/>
  </r>
  <r>
    <n v="1115848817"/>
    <x v="0"/>
    <x v="3"/>
    <d v="2023-06-06T10:50:17"/>
    <s v="Chris8698"/>
    <x v="798"/>
    <x v="45"/>
    <s v="Si"/>
    <s v="Español"/>
    <n v="0.53856209150326795"/>
    <n v="4"/>
    <n v="2.1542483660130718"/>
    <x v="0"/>
    <m/>
    <x v="0"/>
  </r>
  <r>
    <n v="1115848816"/>
    <x v="0"/>
    <x v="3"/>
    <d v="2023-06-06T10:50:17"/>
    <s v="Naldrin"/>
    <x v="796"/>
    <x v="289"/>
    <s v="No"/>
    <s v="Inglés"/>
    <n v="2.2360000000000002"/>
    <n v="1"/>
    <n v="2.2360000000000002"/>
    <x v="0"/>
    <m/>
    <x v="0"/>
  </r>
  <r>
    <n v="1115848816"/>
    <x v="0"/>
    <x v="3"/>
    <d v="2023-06-06T10:50:17"/>
    <s v="Naldrin"/>
    <x v="800"/>
    <x v="289"/>
    <s v="Si"/>
    <s v="Inglés"/>
    <n v="2.2360000000000002"/>
    <n v="4"/>
    <n v="8.9440000000000008"/>
    <x v="0"/>
    <m/>
    <x v="0"/>
  </r>
  <r>
    <n v="1115785176"/>
    <x v="0"/>
    <x v="3"/>
    <d v="2023-06-05T17:39:01"/>
    <s v="iomazas"/>
    <x v="953"/>
    <x v="157"/>
    <s v="Si"/>
    <s v="Español"/>
    <n v="1.2450000000000001"/>
    <n v="4"/>
    <n v="4.9800000000000004"/>
    <x v="0"/>
    <m/>
    <x v="0"/>
  </r>
  <r>
    <n v="1115784837"/>
    <x v="0"/>
    <x v="3"/>
    <d v="2023-06-05T17:39:01"/>
    <s v="Psyco13"/>
    <x v="2208"/>
    <x v="157"/>
    <s v="No"/>
    <s v="Español"/>
    <n v="1.261560693641619"/>
    <n v="1"/>
    <n v="1.261560693641619"/>
    <x v="0"/>
    <m/>
    <x v="0"/>
  </r>
  <r>
    <n v="1115784837"/>
    <x v="0"/>
    <x v="3"/>
    <d v="2023-06-05T17:39:01"/>
    <s v="Psyco13"/>
    <x v="1011"/>
    <x v="237"/>
    <s v="No"/>
    <s v="Inglés"/>
    <n v="1.648439306358382"/>
    <n v="1"/>
    <n v="1.648439306358382"/>
    <x v="0"/>
    <m/>
    <x v="0"/>
  </r>
  <r>
    <s v="CVSALE-1115781748-01"/>
    <x v="0"/>
    <x v="3"/>
    <d v="2023-06-05T17:26:30"/>
    <s v="Venta asociada sin pedido identificado"/>
    <x v="2209"/>
    <x v="197"/>
    <s v="No"/>
    <s v="Español"/>
    <n v="7.17"/>
    <n v="2"/>
    <n v="14.34"/>
    <x v="1"/>
    <n v="14.34"/>
    <x v="0"/>
  </r>
  <r>
    <n v="1115781748"/>
    <x v="0"/>
    <x v="3"/>
    <d v="2023-06-05T17:26:30"/>
    <s v="MoxZinc"/>
    <x v="624"/>
    <x v="136"/>
    <s v="No"/>
    <s v="Español"/>
    <n v="5.3107344632768356"/>
    <n v="2"/>
    <n v="10.621468926553671"/>
    <x v="0"/>
    <m/>
    <x v="0"/>
  </r>
  <r>
    <n v="1115781748"/>
    <x v="0"/>
    <x v="3"/>
    <d v="2023-06-05T17:26:30"/>
    <s v="MoxZinc"/>
    <x v="2210"/>
    <x v="60"/>
    <s v="No"/>
    <s v="Inglés"/>
    <n v="2.6553672316384178"/>
    <n v="1"/>
    <n v="2.6553672316384178"/>
    <x v="0"/>
    <m/>
    <x v="0"/>
  </r>
  <r>
    <n v="1115781748"/>
    <x v="0"/>
    <x v="3"/>
    <d v="2023-06-05T17:26:30"/>
    <s v="MoxZinc"/>
    <x v="1033"/>
    <x v="159"/>
    <s v="No"/>
    <s v="Español"/>
    <n v="0.1327683615819209"/>
    <n v="1"/>
    <n v="0.1327683615819209"/>
    <x v="0"/>
    <m/>
    <x v="0"/>
  </r>
  <r>
    <n v="1115781748"/>
    <x v="0"/>
    <x v="3"/>
    <d v="2023-06-05T17:26:30"/>
    <s v="MoxZinc"/>
    <x v="2211"/>
    <x v="92"/>
    <s v="No"/>
    <s v="Español"/>
    <n v="0.66384180790960445"/>
    <n v="2"/>
    <n v="1.3276836158192089"/>
    <x v="0"/>
    <m/>
    <x v="0"/>
  </r>
  <r>
    <n v="1115781748"/>
    <x v="0"/>
    <x v="3"/>
    <d v="2023-06-05T17:26:30"/>
    <s v="MoxZinc"/>
    <x v="2212"/>
    <x v="197"/>
    <s v="No"/>
    <s v="Español"/>
    <n v="0.66384180790960445"/>
    <n v="1"/>
    <n v="0.66384180790960445"/>
    <x v="0"/>
    <m/>
    <x v="0"/>
  </r>
  <r>
    <n v="1115781748"/>
    <x v="0"/>
    <x v="3"/>
    <d v="2023-06-05T17:26:30"/>
    <s v="MoxZinc"/>
    <x v="2213"/>
    <x v="121"/>
    <s v="No"/>
    <s v="Español"/>
    <n v="0.1327683615819209"/>
    <n v="1"/>
    <n v="0.1327683615819209"/>
    <x v="0"/>
    <m/>
    <x v="0"/>
  </r>
  <r>
    <n v="1115781748"/>
    <x v="0"/>
    <x v="3"/>
    <d v="2023-06-05T17:26:30"/>
    <s v="MoxZinc"/>
    <x v="2209"/>
    <x v="197"/>
    <s v="No"/>
    <s v="Español"/>
    <n v="3.9830508474576272"/>
    <n v="2"/>
    <n v="7.9661016949152543"/>
    <x v="0"/>
    <m/>
    <x v="0"/>
  </r>
  <r>
    <n v="1114545520"/>
    <x v="0"/>
    <x v="3"/>
    <d v="2023-06-02T17:57:39"/>
    <s v="Nojoda"/>
    <x v="2214"/>
    <x v="67"/>
    <s v="No"/>
    <s v="Español"/>
    <n v="2.17"/>
    <n v="1"/>
    <n v="2.17"/>
    <x v="1"/>
    <n v="2.17"/>
    <x v="0"/>
  </r>
  <r>
    <n v="1115028328"/>
    <x v="1"/>
    <x v="3"/>
    <d v="2023-05-31T09:38:00"/>
    <s v="euromagik"/>
    <x v="1778"/>
    <x v="221"/>
    <s v="No"/>
    <s v="Inglés"/>
    <n v="8.3247800586510259"/>
    <n v="1"/>
    <n v="8.3247800586510259"/>
    <x v="0"/>
    <m/>
    <x v="0"/>
  </r>
  <r>
    <n v="1115028328"/>
    <x v="1"/>
    <x v="3"/>
    <d v="2023-05-31T09:38:00"/>
    <s v="euromagik"/>
    <x v="1778"/>
    <x v="221"/>
    <s v="No"/>
    <s v="Inglés"/>
    <n v="9.9342375366568909"/>
    <n v="1"/>
    <n v="9.9342375366568909"/>
    <x v="0"/>
    <m/>
    <x v="0"/>
  </r>
  <r>
    <n v="1115028328"/>
    <x v="1"/>
    <x v="3"/>
    <d v="2023-05-31T09:38:00"/>
    <s v="euromagik"/>
    <x v="2215"/>
    <x v="304"/>
    <s v="No"/>
    <s v="Inglés"/>
    <n v="8.8242668621700879"/>
    <n v="2"/>
    <n v="17.648533724340176"/>
    <x v="0"/>
    <m/>
    <x v="0"/>
  </r>
  <r>
    <n v="1115028328"/>
    <x v="1"/>
    <x v="3"/>
    <d v="2023-05-31T09:38:00"/>
    <s v="euromagik"/>
    <x v="2216"/>
    <x v="245"/>
    <s v="No"/>
    <s v="Inglés"/>
    <n v="1.9424486803519061"/>
    <n v="1"/>
    <n v="1.9424486803519061"/>
    <x v="0"/>
    <m/>
    <x v="0"/>
  </r>
  <r>
    <n v="1114867045"/>
    <x v="1"/>
    <x v="3"/>
    <d v="2023-05-31T07:50:59"/>
    <s v="guillespinosa"/>
    <x v="2217"/>
    <x v="58"/>
    <s v="No"/>
    <s v="Inglés"/>
    <n v="36.770000000000003"/>
    <n v="1"/>
    <n v="36.770000000000003"/>
    <x v="0"/>
    <m/>
    <x v="0"/>
  </r>
  <r>
    <n v="1114864525"/>
    <x v="1"/>
    <x v="3"/>
    <d v="2023-05-30T14:57:36"/>
    <s v="ash98"/>
    <x v="2218"/>
    <x v="88"/>
    <s v="No"/>
    <s v="Inglés"/>
    <n v="87.28"/>
    <n v="1"/>
    <n v="87.28"/>
    <x v="0"/>
    <m/>
    <x v="0"/>
  </r>
  <r>
    <n v="1112996514"/>
    <x v="1"/>
    <x v="3"/>
    <d v="2023-05-17T14:06:27"/>
    <s v="Siica"/>
    <x v="2219"/>
    <x v="12"/>
    <s v="No"/>
    <s v="Español"/>
    <n v="2.59"/>
    <n v="2"/>
    <n v="5.18"/>
    <x v="1"/>
    <n v="5.18"/>
    <x v="0"/>
  </r>
  <r>
    <n v="1113861639"/>
    <x v="1"/>
    <x v="3"/>
    <d v="2023-05-17T09:04:38"/>
    <s v="Toledano"/>
    <x v="2220"/>
    <x v="194"/>
    <s v="No"/>
    <s v="Japonés"/>
    <n v="37.729999999999997"/>
    <n v="1"/>
    <n v="37.729999999999997"/>
    <x v="0"/>
    <m/>
    <x v="0"/>
  </r>
  <r>
    <n v="1113339417"/>
    <x v="1"/>
    <x v="3"/>
    <d v="2023-05-16T19:33:12"/>
    <s v="Viinyas"/>
    <x v="2221"/>
    <x v="47"/>
    <s v="No"/>
    <s v="Inglés"/>
    <n v="5.43"/>
    <n v="1"/>
    <n v="5.43"/>
    <x v="0"/>
    <m/>
    <x v="0"/>
  </r>
  <r>
    <n v="1113722095"/>
    <x v="1"/>
    <x v="3"/>
    <d v="2023-05-15T21:07:14"/>
    <s v="spasiv"/>
    <x v="2222"/>
    <x v="281"/>
    <s v="No"/>
    <s v="Inglés"/>
    <n v="1.2"/>
    <n v="1"/>
    <n v="1.2"/>
    <x v="0"/>
    <m/>
    <x v="2"/>
  </r>
  <r>
    <n v="1113720587"/>
    <x v="1"/>
    <x v="3"/>
    <d v="2023-05-15T21:06:19"/>
    <s v="EinfachJes"/>
    <x v="2223"/>
    <x v="281"/>
    <s v="No"/>
    <s v="Japonés"/>
    <n v="4.681010928961749"/>
    <n v="1"/>
    <n v="4.681010928961749"/>
    <x v="0"/>
    <m/>
    <x v="2"/>
  </r>
  <r>
    <n v="1113720587"/>
    <x v="1"/>
    <x v="3"/>
    <d v="2023-05-15T21:06:19"/>
    <s v="EinfachJes"/>
    <x v="2224"/>
    <x v="281"/>
    <s v="No"/>
    <s v="Japonés"/>
    <n v="2.6748633879781418"/>
    <n v="1"/>
    <n v="2.6748633879781418"/>
    <x v="0"/>
    <m/>
    <x v="2"/>
  </r>
  <r>
    <n v="1113720587"/>
    <x v="1"/>
    <x v="3"/>
    <d v="2023-05-15T21:06:19"/>
    <s v="EinfachJes"/>
    <x v="2225"/>
    <x v="281"/>
    <s v="No"/>
    <s v="Japonés"/>
    <n v="3.7448087431693988"/>
    <n v="1"/>
    <n v="3.7448087431693988"/>
    <x v="0"/>
    <m/>
    <x v="2"/>
  </r>
  <r>
    <n v="1113720587"/>
    <x v="1"/>
    <x v="3"/>
    <d v="2023-05-15T21:06:19"/>
    <s v="EinfachJes"/>
    <x v="2226"/>
    <x v="281"/>
    <s v="No"/>
    <s v="Japonés"/>
    <n v="1.069945355191257"/>
    <n v="1"/>
    <n v="1.069945355191257"/>
    <x v="0"/>
    <m/>
    <x v="2"/>
  </r>
  <r>
    <n v="1113720587"/>
    <x v="1"/>
    <x v="3"/>
    <d v="2023-05-15T21:06:19"/>
    <s v="EinfachJes"/>
    <x v="2227"/>
    <x v="296"/>
    <s v="No"/>
    <s v="Japonés"/>
    <n v="1.3374316939890709"/>
    <n v="1"/>
    <n v="1.3374316939890709"/>
    <x v="0"/>
    <m/>
    <x v="2"/>
  </r>
  <r>
    <n v="1113720587"/>
    <x v="1"/>
    <x v="3"/>
    <d v="2023-05-15T21:06:19"/>
    <s v="EinfachJes"/>
    <x v="2228"/>
    <x v="296"/>
    <s v="No"/>
    <s v="Japonés"/>
    <n v="9.3620218579234979"/>
    <n v="1"/>
    <n v="9.3620218579234979"/>
    <x v="0"/>
    <m/>
    <x v="2"/>
  </r>
  <r>
    <n v="1113720587"/>
    <x v="1"/>
    <x v="3"/>
    <d v="2023-05-15T21:06:19"/>
    <s v="EinfachJes"/>
    <x v="2229"/>
    <x v="296"/>
    <s v="No"/>
    <s v="Japonés"/>
    <n v="0.5349726775956285"/>
    <n v="1"/>
    <n v="0.5349726775956285"/>
    <x v="0"/>
    <m/>
    <x v="2"/>
  </r>
  <r>
    <n v="1113720587"/>
    <x v="1"/>
    <x v="3"/>
    <d v="2023-05-15T21:06:19"/>
    <s v="EinfachJes"/>
    <x v="2230"/>
    <x v="296"/>
    <s v="No"/>
    <s v="Japonés"/>
    <n v="0.80245901639344264"/>
    <n v="1"/>
    <n v="0.80245901639344264"/>
    <x v="0"/>
    <m/>
    <x v="2"/>
  </r>
  <r>
    <n v="1113720587"/>
    <x v="1"/>
    <x v="3"/>
    <d v="2023-05-15T21:06:19"/>
    <s v="EinfachJes"/>
    <x v="2231"/>
    <x v="296"/>
    <s v="No"/>
    <s v="Japonés"/>
    <n v="1.069945355191257"/>
    <n v="1"/>
    <n v="1.069945355191257"/>
    <x v="0"/>
    <m/>
    <x v="2"/>
  </r>
  <r>
    <n v="1113720587"/>
    <x v="1"/>
    <x v="3"/>
    <d v="2023-05-15T21:06:19"/>
    <s v="EinfachJes"/>
    <x v="2232"/>
    <x v="281"/>
    <s v="No"/>
    <s v="Inglés"/>
    <n v="1.3374316939890709"/>
    <n v="1"/>
    <n v="1.3374316939890709"/>
    <x v="0"/>
    <m/>
    <x v="2"/>
  </r>
  <r>
    <n v="1113720587"/>
    <x v="1"/>
    <x v="3"/>
    <d v="2023-05-15T21:06:19"/>
    <s v="EinfachJes"/>
    <x v="2233"/>
    <x v="296"/>
    <s v="No"/>
    <s v="Japonés"/>
    <n v="2.0061475409836071"/>
    <n v="1"/>
    <n v="2.0061475409836071"/>
    <x v="0"/>
    <m/>
    <x v="2"/>
  </r>
  <r>
    <n v="1113720587"/>
    <x v="1"/>
    <x v="3"/>
    <d v="2023-05-15T21:06:19"/>
    <s v="EinfachJes"/>
    <x v="2234"/>
    <x v="281"/>
    <s v="No"/>
    <s v="Japonés"/>
    <n v="2.0061475409836071"/>
    <n v="1"/>
    <n v="2.0061475409836071"/>
    <x v="0"/>
    <m/>
    <x v="2"/>
  </r>
  <r>
    <n v="1113720587"/>
    <x v="1"/>
    <x v="3"/>
    <d v="2023-05-15T21:06:19"/>
    <s v="EinfachJes"/>
    <x v="2235"/>
    <x v="296"/>
    <s v="No"/>
    <s v="Japonés"/>
    <n v="2.139890710382514"/>
    <n v="1"/>
    <n v="2.139890710382514"/>
    <x v="0"/>
    <m/>
    <x v="2"/>
  </r>
  <r>
    <n v="1113720587"/>
    <x v="1"/>
    <x v="3"/>
    <d v="2023-05-15T21:06:19"/>
    <s v="EinfachJes"/>
    <x v="2236"/>
    <x v="296"/>
    <s v="No"/>
    <s v="Japonés"/>
    <n v="2.27363387978142"/>
    <n v="1"/>
    <n v="2.27363387978142"/>
    <x v="0"/>
    <m/>
    <x v="2"/>
  </r>
  <r>
    <n v="1113720587"/>
    <x v="1"/>
    <x v="3"/>
    <d v="2023-05-15T21:06:19"/>
    <s v="EinfachJes"/>
    <x v="2237"/>
    <x v="281"/>
    <s v="No"/>
    <s v="Japonés"/>
    <n v="2.4073770491803281"/>
    <n v="1"/>
    <n v="2.4073770491803281"/>
    <x v="0"/>
    <m/>
    <x v="2"/>
  </r>
  <r>
    <n v="1113720587"/>
    <x v="1"/>
    <x v="3"/>
    <d v="2023-05-15T21:06:19"/>
    <s v="EinfachJes"/>
    <x v="2238"/>
    <x v="296"/>
    <s v="No"/>
    <s v="Japonés"/>
    <n v="3.3435792349726778"/>
    <n v="1"/>
    <n v="3.3435792349726778"/>
    <x v="0"/>
    <m/>
    <x v="2"/>
  </r>
  <r>
    <n v="1113720587"/>
    <x v="1"/>
    <x v="3"/>
    <d v="2023-05-15T21:06:19"/>
    <s v="EinfachJes"/>
    <x v="2239"/>
    <x v="296"/>
    <s v="No"/>
    <s v="Japonés"/>
    <n v="4.0122950819672134"/>
    <n v="1"/>
    <n v="4.0122950819672134"/>
    <x v="0"/>
    <m/>
    <x v="2"/>
  </r>
  <r>
    <n v="1113720587"/>
    <x v="1"/>
    <x v="3"/>
    <d v="2023-05-15T21:06:19"/>
    <s v="EinfachJes"/>
    <x v="2240"/>
    <x v="296"/>
    <s v="No"/>
    <s v="Japonés"/>
    <n v="0.1337431693989071"/>
    <n v="1"/>
    <n v="0.1337431693989071"/>
    <x v="0"/>
    <m/>
    <x v="2"/>
  </r>
  <r>
    <n v="1113720587"/>
    <x v="1"/>
    <x v="3"/>
    <d v="2023-05-15T21:06:19"/>
    <s v="EinfachJes"/>
    <x v="2241"/>
    <x v="281"/>
    <s v="No"/>
    <s v="Inglés"/>
    <n v="1.3374316939890709"/>
    <n v="1"/>
    <n v="1.3374316939890709"/>
    <x v="0"/>
    <m/>
    <x v="2"/>
  </r>
  <r>
    <n v="1113720587"/>
    <x v="1"/>
    <x v="3"/>
    <d v="2023-05-15T21:06:19"/>
    <s v="EinfachJes"/>
    <x v="2242"/>
    <x v="281"/>
    <s v="No"/>
    <s v="Japonés"/>
    <n v="2.6748633879781418"/>
    <n v="1"/>
    <n v="2.6748633879781418"/>
    <x v="0"/>
    <m/>
    <x v="2"/>
  </r>
  <r>
    <n v="1113281012"/>
    <x v="1"/>
    <x v="3"/>
    <d v="2023-05-15T09:58:37"/>
    <s v="odisseygames"/>
    <x v="2221"/>
    <x v="47"/>
    <s v="No"/>
    <s v="Inglés"/>
    <n v="6.49"/>
    <n v="2"/>
    <n v="12.98"/>
    <x v="0"/>
    <m/>
    <x v="0"/>
  </r>
  <r>
    <n v="1112501434"/>
    <x v="1"/>
    <x v="3"/>
    <d v="2023-05-04T19:35:30"/>
    <s v="Hans-Magic"/>
    <x v="2243"/>
    <x v="47"/>
    <s v="No"/>
    <s v="Inglés"/>
    <n v="8.74"/>
    <n v="1"/>
    <n v="8.74"/>
    <x v="1"/>
    <n v="8.74"/>
    <x v="0"/>
  </r>
  <r>
    <n v="1112440108"/>
    <x v="1"/>
    <x v="3"/>
    <d v="2023-05-04T09:28:11"/>
    <s v="DonPopotamo"/>
    <x v="2205"/>
    <x v="139"/>
    <s v="No"/>
    <s v="Español"/>
    <n v="1.2949999999999999"/>
    <n v="3"/>
    <n v="3.8849999999999998"/>
    <x v="0"/>
    <m/>
    <x v="0"/>
  </r>
  <r>
    <n v="1112440108"/>
    <x v="1"/>
    <x v="3"/>
    <d v="2023-05-04T09:28:11"/>
    <s v="DonPopotamo"/>
    <x v="1363"/>
    <x v="34"/>
    <s v="No"/>
    <s v="Español"/>
    <n v="1.2949999999999999"/>
    <n v="1"/>
    <n v="1.2949999999999999"/>
    <x v="0"/>
    <m/>
    <x v="0"/>
  </r>
  <r>
    <n v="1112433260"/>
    <x v="1"/>
    <x v="3"/>
    <d v="2023-05-04T09:04:09"/>
    <s v="ezaro"/>
    <x v="679"/>
    <x v="211"/>
    <s v="No"/>
    <s v="Inglés"/>
    <n v="27.514285714285709"/>
    <n v="1"/>
    <n v="27.514285714285709"/>
    <x v="0"/>
    <m/>
    <x v="0"/>
  </r>
  <r>
    <n v="1112433260"/>
    <x v="1"/>
    <x v="3"/>
    <d v="2023-05-04T09:04:09"/>
    <s v="ezaro"/>
    <x v="679"/>
    <x v="211"/>
    <s v="No"/>
    <s v="Inglés"/>
    <n v="30.265714285714289"/>
    <n v="1"/>
    <n v="30.265714285714289"/>
    <x v="0"/>
    <m/>
    <x v="0"/>
  </r>
  <r>
    <n v="1112433245"/>
    <x v="1"/>
    <x v="3"/>
    <d v="2023-05-04T09:04:09"/>
    <s v="javigobasket"/>
    <x v="592"/>
    <x v="193"/>
    <s v="No"/>
    <s v="Inglés"/>
    <n v="31.686315789473689"/>
    <n v="1"/>
    <n v="31.686315789473689"/>
    <x v="0"/>
    <m/>
    <x v="0"/>
  </r>
  <r>
    <n v="1112433245"/>
    <x v="1"/>
    <x v="3"/>
    <d v="2023-05-04T09:04:09"/>
    <s v="javigobasket"/>
    <x v="592"/>
    <x v="193"/>
    <s v="No"/>
    <s v="Español"/>
    <n v="30.59368421052632"/>
    <n v="1"/>
    <n v="30.59368421052632"/>
    <x v="0"/>
    <m/>
    <x v="0"/>
  </r>
  <r>
    <n v="1112427213"/>
    <x v="1"/>
    <x v="3"/>
    <d v="2023-05-04T09:04:09"/>
    <s v="shobitsu"/>
    <x v="1394"/>
    <x v="21"/>
    <s v="No"/>
    <s v="Japonés"/>
    <n v="7.18"/>
    <n v="1"/>
    <n v="7.18"/>
    <x v="0"/>
    <m/>
    <x v="0"/>
  </r>
  <r>
    <n v="1112425772"/>
    <x v="1"/>
    <x v="3"/>
    <d v="2023-05-04T09:04:09"/>
    <s v="AKIRA159"/>
    <x v="2244"/>
    <x v="263"/>
    <s v="Si"/>
    <s v="Inglés"/>
    <n v="0.99499999999999988"/>
    <n v="4"/>
    <n v="3.9799999999999995"/>
    <x v="0"/>
    <m/>
    <x v="0"/>
  </r>
  <r>
    <n v="1112425769"/>
    <x v="1"/>
    <x v="3"/>
    <d v="2023-05-04T09:04:09"/>
    <s v="Finooo"/>
    <x v="2245"/>
    <x v="195"/>
    <s v="No"/>
    <s v="Español"/>
    <n v="8.4705882352941173E-2"/>
    <n v="2"/>
    <n v="0.16941176470588235"/>
    <x v="0"/>
    <m/>
    <x v="0"/>
  </r>
  <r>
    <n v="1112425769"/>
    <x v="1"/>
    <x v="3"/>
    <d v="2023-05-04T09:04:09"/>
    <s v="Finooo"/>
    <x v="2246"/>
    <x v="67"/>
    <s v="No"/>
    <s v="Inglés"/>
    <n v="0.33882352941176469"/>
    <n v="3"/>
    <n v="1.016470588235294"/>
    <x v="0"/>
    <m/>
    <x v="0"/>
  </r>
  <r>
    <n v="1112425769"/>
    <x v="1"/>
    <x v="3"/>
    <d v="2023-05-04T09:04:09"/>
    <s v="Finooo"/>
    <x v="101"/>
    <x v="12"/>
    <s v="No"/>
    <s v="Español"/>
    <n v="1.6941176470588231"/>
    <n v="1"/>
    <n v="1.6941176470588231"/>
    <x v="0"/>
    <m/>
    <x v="0"/>
  </r>
  <r>
    <n v="1112425765"/>
    <x v="1"/>
    <x v="3"/>
    <d v="2023-05-04T09:04:09"/>
    <s v="Sinici1992"/>
    <x v="2247"/>
    <x v="195"/>
    <s v="No"/>
    <s v="Inglés"/>
    <n v="0.16051282051282051"/>
    <n v="2"/>
    <n v="0.32102564102564102"/>
    <x v="0"/>
    <m/>
    <x v="0"/>
  </r>
  <r>
    <n v="1112425765"/>
    <x v="1"/>
    <x v="3"/>
    <d v="2023-05-04T09:04:09"/>
    <s v="Sinici1992"/>
    <x v="2248"/>
    <x v="83"/>
    <s v="No"/>
    <s v="Inglés"/>
    <n v="2.8089743589743592"/>
    <n v="1"/>
    <n v="2.8089743589743592"/>
    <x v="0"/>
    <m/>
    <x v="0"/>
  </r>
  <r>
    <n v="1112425763"/>
    <x v="1"/>
    <x v="3"/>
    <d v="2023-05-04T09:04:09"/>
    <s v="Rokas7"/>
    <x v="748"/>
    <x v="21"/>
    <s v="No"/>
    <s v="Japonés"/>
    <n v="3.08"/>
    <n v="1"/>
    <n v="3.08"/>
    <x v="0"/>
    <m/>
    <x v="0"/>
  </r>
  <r>
    <n v="1112425760"/>
    <x v="1"/>
    <x v="3"/>
    <d v="2023-05-04T09:04:09"/>
    <s v="Mazvigosl"/>
    <x v="2249"/>
    <x v="170"/>
    <s v="Si"/>
    <s v="Español"/>
    <n v="1.6248096446700511"/>
    <n v="4"/>
    <n v="6.4992385786802043"/>
    <x v="0"/>
    <m/>
    <x v="0"/>
  </r>
  <r>
    <n v="1112425760"/>
    <x v="1"/>
    <x v="3"/>
    <d v="2023-05-04T09:04:09"/>
    <s v="Mazvigosl"/>
    <x v="2250"/>
    <x v="298"/>
    <s v="Si"/>
    <s v="Inglés"/>
    <n v="0.19049492385786801"/>
    <n v="4"/>
    <n v="0.76197969543147204"/>
    <x v="0"/>
    <m/>
    <x v="0"/>
  </r>
  <r>
    <n v="1112425760"/>
    <x v="1"/>
    <x v="3"/>
    <d v="2023-05-04T09:04:09"/>
    <s v="Mazvigosl"/>
    <x v="2251"/>
    <x v="210"/>
    <s v="No"/>
    <s v="Inglés"/>
    <n v="0.15687817258883249"/>
    <n v="2"/>
    <n v="0.31375634517766499"/>
    <x v="0"/>
    <m/>
    <x v="0"/>
  </r>
  <r>
    <n v="1112425760"/>
    <x v="1"/>
    <x v="3"/>
    <d v="2023-05-04T09:04:09"/>
    <s v="Mazvigosl"/>
    <x v="2252"/>
    <x v="263"/>
    <s v="No"/>
    <s v="Inglés"/>
    <n v="0.50425126903553297"/>
    <n v="2"/>
    <n v="1.0085025380710659"/>
    <x v="0"/>
    <m/>
    <x v="0"/>
  </r>
  <r>
    <n v="1112425760"/>
    <x v="1"/>
    <x v="3"/>
    <d v="2023-05-04T09:04:09"/>
    <s v="Mazvigosl"/>
    <x v="2253"/>
    <x v="182"/>
    <s v="No"/>
    <s v="Inglés"/>
    <n v="0.20170050761421321"/>
    <n v="2"/>
    <n v="0.40340101522842642"/>
    <x v="0"/>
    <m/>
    <x v="0"/>
  </r>
  <r>
    <n v="1112425760"/>
    <x v="1"/>
    <x v="3"/>
    <d v="2023-05-04T09:04:09"/>
    <s v="Mazvigosl"/>
    <x v="797"/>
    <x v="45"/>
    <s v="Si"/>
    <s v="Inglés"/>
    <n v="1.0533248730964471"/>
    <n v="4"/>
    <n v="4.2132994923857883"/>
    <x v="0"/>
    <m/>
    <x v="0"/>
  </r>
  <r>
    <n v="1112425760"/>
    <x v="1"/>
    <x v="3"/>
    <d v="2023-05-04T09:04:09"/>
    <s v="Mazvigosl"/>
    <x v="2254"/>
    <x v="61"/>
    <s v="No"/>
    <s v="Inglés"/>
    <n v="0.39219543147208119"/>
    <n v="1"/>
    <n v="0.39219543147208119"/>
    <x v="0"/>
    <m/>
    <x v="0"/>
  </r>
  <r>
    <n v="1112425760"/>
    <x v="1"/>
    <x v="3"/>
    <d v="2023-05-04T09:04:09"/>
    <s v="Mazvigosl"/>
    <x v="233"/>
    <x v="63"/>
    <s v="No"/>
    <s v="Inglés"/>
    <n v="0.77318527918781721"/>
    <n v="2"/>
    <n v="1.5463705583756344"/>
    <x v="0"/>
    <m/>
    <x v="0"/>
  </r>
  <r>
    <n v="1112425760"/>
    <x v="1"/>
    <x v="3"/>
    <d v="2023-05-04T09:04:09"/>
    <s v="Mazvigosl"/>
    <x v="205"/>
    <x v="41"/>
    <s v="No"/>
    <s v="Inglés"/>
    <n v="0.84041878172588824"/>
    <n v="3"/>
    <n v="2.5212563451776648"/>
    <x v="0"/>
    <m/>
    <x v="0"/>
  </r>
  <r>
    <n v="1111582930"/>
    <x v="1"/>
    <x v="3"/>
    <d v="2023-05-04T08:13:28"/>
    <s v="JordiLara82"/>
    <x v="1763"/>
    <x v="180"/>
    <s v="No"/>
    <s v="Inglés"/>
    <n v="34.269999999999996"/>
    <n v="1"/>
    <n v="34.269999999999996"/>
    <x v="1"/>
    <n v="34.269999999999996"/>
    <x v="0"/>
  </r>
  <r>
    <n v="1111754063"/>
    <x v="1"/>
    <x v="3"/>
    <d v="2023-05-02T20:18:02"/>
    <s v="MadridMagic"/>
    <x v="1461"/>
    <x v="60"/>
    <s v="No"/>
    <s v="Español"/>
    <n v="53.77"/>
    <n v="1"/>
    <n v="53.77"/>
    <x v="0"/>
    <m/>
    <x v="0"/>
  </r>
  <r>
    <n v="1111756843"/>
    <x v="1"/>
    <x v="3"/>
    <d v="2023-05-02T12:11:17"/>
    <s v="Pagahersan"/>
    <x v="1461"/>
    <x v="60"/>
    <s v="No"/>
    <s v="Español"/>
    <n v="55.27"/>
    <n v="1"/>
    <n v="55.27"/>
    <x v="0"/>
    <m/>
    <x v="0"/>
  </r>
  <r>
    <n v="1112195130"/>
    <x v="1"/>
    <x v="3"/>
    <d v="2023-05-02T09:58:32"/>
    <s v="Armads"/>
    <x v="546"/>
    <x v="160"/>
    <s v="No"/>
    <s v="Español"/>
    <n v="16.115492957746479"/>
    <n v="1"/>
    <n v="16.115492957746479"/>
    <x v="0"/>
    <m/>
    <x v="0"/>
  </r>
  <r>
    <n v="1112195130"/>
    <x v="1"/>
    <x v="3"/>
    <d v="2023-05-02T09:58:32"/>
    <s v="Armads"/>
    <x v="2255"/>
    <x v="113"/>
    <s v="No"/>
    <s v="Inglés"/>
    <n v="2.1487323943661969"/>
    <n v="1"/>
    <n v="2.1487323943661969"/>
    <x v="0"/>
    <m/>
    <x v="0"/>
  </r>
  <r>
    <n v="1112195130"/>
    <x v="1"/>
    <x v="3"/>
    <d v="2023-05-02T09:58:32"/>
    <s v="Armads"/>
    <x v="2256"/>
    <x v="37"/>
    <s v="No"/>
    <s v="Inglés"/>
    <n v="29.00788732394366"/>
    <n v="2"/>
    <n v="58.015774647887319"/>
    <x v="0"/>
    <m/>
    <x v="0"/>
  </r>
  <r>
    <n v="1111649125"/>
    <x v="2"/>
    <x v="3"/>
    <d v="2023-04-29T08:27:22"/>
    <s v="Pummelpanda"/>
    <x v="2257"/>
    <x v="47"/>
    <s v="No"/>
    <s v="Inglés"/>
    <n v="5.24"/>
    <n v="1"/>
    <n v="5.24"/>
    <x v="1"/>
    <n v="5.24"/>
    <x v="0"/>
  </r>
  <r>
    <n v="1111494927"/>
    <x v="2"/>
    <x v="3"/>
    <d v="2023-04-26T10:10:25"/>
    <s v="imperiom"/>
    <x v="2258"/>
    <x v="47"/>
    <s v="No"/>
    <s v="Inglés"/>
    <n v="0.39666666666666667"/>
    <n v="1"/>
    <n v="0.39666666666666667"/>
    <x v="1"/>
    <n v="0.39666666666666667"/>
    <x v="0"/>
  </r>
  <r>
    <n v="1111494927"/>
    <x v="2"/>
    <x v="3"/>
    <d v="2023-04-26T10:10:25"/>
    <s v="imperiom"/>
    <x v="2259"/>
    <x v="34"/>
    <s v="No"/>
    <s v="Inglés"/>
    <n v="0.9916666666666667"/>
    <n v="1"/>
    <n v="0.9916666666666667"/>
    <x v="1"/>
    <n v="0.9916666666666667"/>
    <x v="0"/>
  </r>
  <r>
    <n v="1111494927"/>
    <x v="2"/>
    <x v="3"/>
    <d v="2023-04-26T10:10:25"/>
    <s v="imperiom"/>
    <x v="2260"/>
    <x v="67"/>
    <s v="No"/>
    <s v="Español"/>
    <n v="0.9916666666666667"/>
    <n v="1"/>
    <n v="0.9916666666666667"/>
    <x v="1"/>
    <n v="0.9916666666666667"/>
    <x v="0"/>
  </r>
  <r>
    <n v="1110944844"/>
    <x v="2"/>
    <x v="3"/>
    <d v="2023-04-21T11:35:58"/>
    <s v="Percival445"/>
    <x v="2221"/>
    <x v="47"/>
    <s v="No"/>
    <s v="Inglés"/>
    <n v="6.18"/>
    <n v="1"/>
    <n v="6.18"/>
    <x v="1"/>
    <n v="6.18"/>
    <x v="0"/>
  </r>
  <r>
    <n v="1110921153"/>
    <x v="2"/>
    <x v="3"/>
    <d v="2023-04-21T08:45:04"/>
    <s v="Zaback"/>
    <x v="2261"/>
    <x v="34"/>
    <s v="Si"/>
    <s v="Español"/>
    <n v="24.72"/>
    <n v="4"/>
    <n v="98.88"/>
    <x v="0"/>
    <m/>
    <x v="0"/>
  </r>
  <r>
    <n v="1110841933"/>
    <x v="2"/>
    <x v="3"/>
    <d v="2023-04-20T13:16:45"/>
    <s v="OnlyPlaysets"/>
    <x v="2262"/>
    <x v="236"/>
    <s v="No"/>
    <s v="Chino-S"/>
    <n v="3.18"/>
    <n v="2"/>
    <n v="6.36"/>
    <x v="0"/>
    <m/>
    <x v="0"/>
  </r>
  <r>
    <n v="1110841864"/>
    <x v="2"/>
    <x v="3"/>
    <d v="2023-04-20T13:16:45"/>
    <s v="MTGCARDPLACE"/>
    <x v="2263"/>
    <x v="101"/>
    <s v="Si"/>
    <s v="Inglés"/>
    <n v="0.54499999999999993"/>
    <n v="4"/>
    <n v="2.1799999999999997"/>
    <x v="0"/>
    <m/>
    <x v="0"/>
  </r>
  <r>
    <n v="1110841494"/>
    <x v="2"/>
    <x v="3"/>
    <d v="2023-04-20T13:16:45"/>
    <s v="dnjoker"/>
    <x v="245"/>
    <x v="72"/>
    <s v="No"/>
    <s v="Chino-S"/>
    <n v="1.3933333333333331"/>
    <n v="3"/>
    <n v="4.18"/>
    <x v="0"/>
    <m/>
    <x v="0"/>
  </r>
  <r>
    <n v="1110822404"/>
    <x v="2"/>
    <x v="3"/>
    <d v="2023-04-20T11:27:10"/>
    <s v="Mazvigosl"/>
    <x v="2264"/>
    <x v="60"/>
    <s v="No"/>
    <s v="Español"/>
    <n v="0.22151755379388449"/>
    <n v="1"/>
    <n v="0.22151755379388449"/>
    <x v="0"/>
    <m/>
    <x v="0"/>
  </r>
  <r>
    <n v="1110822404"/>
    <x v="2"/>
    <x v="3"/>
    <d v="2023-04-20T11:27:10"/>
    <s v="Mazvigosl"/>
    <x v="520"/>
    <x v="12"/>
    <s v="Si"/>
    <s v="Español"/>
    <n v="1.052208380520951"/>
    <n v="4"/>
    <n v="4.208833522083804"/>
    <x v="0"/>
    <m/>
    <x v="0"/>
  </r>
  <r>
    <n v="1110822404"/>
    <x v="2"/>
    <x v="3"/>
    <d v="2023-04-20T11:27:10"/>
    <s v="Mazvigosl"/>
    <x v="2265"/>
    <x v="170"/>
    <s v="Si"/>
    <s v="Español"/>
    <n v="0.55379388448471123"/>
    <n v="4"/>
    <n v="2.2151755379388449"/>
    <x v="0"/>
    <m/>
    <x v="0"/>
  </r>
  <r>
    <n v="1110822404"/>
    <x v="2"/>
    <x v="3"/>
    <d v="2023-04-20T11:27:10"/>
    <s v="Mazvigosl"/>
    <x v="2266"/>
    <x v="139"/>
    <s v="Si"/>
    <s v="Inglés"/>
    <n v="0.15506228765571919"/>
    <n v="4"/>
    <n v="0.62024915062287678"/>
    <x v="0"/>
    <m/>
    <x v="0"/>
  </r>
  <r>
    <n v="1110822404"/>
    <x v="2"/>
    <x v="3"/>
    <d v="2023-04-20T11:27:10"/>
    <s v="Mazvigosl"/>
    <x v="373"/>
    <x v="152"/>
    <s v="No"/>
    <s v="Inglés"/>
    <n v="5.4825594563986408"/>
    <n v="1"/>
    <n v="5.4825594563986408"/>
    <x v="0"/>
    <m/>
    <x v="0"/>
  </r>
  <r>
    <n v="1110822404"/>
    <x v="2"/>
    <x v="3"/>
    <d v="2023-04-20T11:27:10"/>
    <s v="Mazvigosl"/>
    <x v="2267"/>
    <x v="83"/>
    <s v="No"/>
    <s v="Inglés"/>
    <n v="0.66455266138165348"/>
    <n v="1"/>
    <n v="0.66455266138165348"/>
    <x v="0"/>
    <m/>
    <x v="0"/>
  </r>
  <r>
    <n v="1110822404"/>
    <x v="2"/>
    <x v="3"/>
    <d v="2023-04-20T11:27:10"/>
    <s v="Mazvigosl"/>
    <x v="2268"/>
    <x v="152"/>
    <s v="Si"/>
    <s v="Inglés"/>
    <n v="0.1661381653454134"/>
    <n v="4"/>
    <n v="0.66455266138165359"/>
    <x v="0"/>
    <m/>
    <x v="0"/>
  </r>
  <r>
    <n v="1110822404"/>
    <x v="2"/>
    <x v="3"/>
    <d v="2023-04-20T11:27:10"/>
    <s v="Mazvigosl"/>
    <x v="2269"/>
    <x v="101"/>
    <s v="No"/>
    <s v="Inglés"/>
    <n v="0.22151755379388449"/>
    <n v="1"/>
    <n v="0.22151755379388449"/>
    <x v="0"/>
    <m/>
    <x v="0"/>
  </r>
  <r>
    <n v="1110822404"/>
    <x v="2"/>
    <x v="3"/>
    <d v="2023-04-20T11:27:10"/>
    <s v="Mazvigosl"/>
    <x v="2270"/>
    <x v="65"/>
    <s v="Si"/>
    <s v="Inglés"/>
    <n v="0.15506228765571919"/>
    <n v="4"/>
    <n v="0.62024915062287678"/>
    <x v="0"/>
    <m/>
    <x v="0"/>
  </r>
  <r>
    <n v="1110822404"/>
    <x v="2"/>
    <x v="3"/>
    <d v="2023-04-20T11:27:10"/>
    <s v="Mazvigosl"/>
    <x v="2271"/>
    <x v="34"/>
    <s v="Si"/>
    <s v="Inglés"/>
    <n v="0.40980747451868632"/>
    <n v="4"/>
    <n v="1.6392298980747453"/>
    <x v="0"/>
    <m/>
    <x v="0"/>
  </r>
  <r>
    <n v="1110822404"/>
    <x v="2"/>
    <x v="3"/>
    <d v="2023-04-20T11:27:10"/>
    <s v="Mazvigosl"/>
    <x v="2272"/>
    <x v="15"/>
    <s v="Si"/>
    <s v="Inglés"/>
    <n v="0.33227633069082668"/>
    <n v="4"/>
    <n v="1.3291053227633067"/>
    <x v="0"/>
    <m/>
    <x v="0"/>
  </r>
  <r>
    <n v="1110822404"/>
    <x v="2"/>
    <x v="3"/>
    <d v="2023-04-20T11:27:10"/>
    <s v="Mazvigosl"/>
    <x v="2273"/>
    <x v="60"/>
    <s v="Si"/>
    <s v="Inglés"/>
    <n v="0.26582106455266141"/>
    <n v="4"/>
    <n v="1.0632842582106456"/>
    <x v="0"/>
    <m/>
    <x v="0"/>
  </r>
  <r>
    <n v="1110822404"/>
    <x v="2"/>
    <x v="3"/>
    <d v="2023-04-20T11:27:10"/>
    <s v="Mazvigosl"/>
    <x v="1125"/>
    <x v="34"/>
    <s v="No"/>
    <s v="Inglés"/>
    <n v="0.60917327293318235"/>
    <n v="1"/>
    <n v="0.60917327293318235"/>
    <x v="0"/>
    <m/>
    <x v="0"/>
  </r>
  <r>
    <n v="1110534639"/>
    <x v="2"/>
    <x v="3"/>
    <d v="2023-04-17T19:16:18"/>
    <s v="Andres-L"/>
    <x v="2274"/>
    <x v="160"/>
    <s v="No"/>
    <s v="Chino-S"/>
    <n v="14.17"/>
    <n v="1"/>
    <n v="14.17"/>
    <x v="0"/>
    <m/>
    <x v="0"/>
  </r>
  <r>
    <n v="1108985786"/>
    <x v="2"/>
    <x v="3"/>
    <d v="2023-04-03T09:15:19"/>
    <s v="DUAL-GAMES"/>
    <x v="687"/>
    <x v="192"/>
    <s v="No"/>
    <s v="Ruso"/>
    <n v="0.33580402010050248"/>
    <n v="1"/>
    <n v="0.33580402010050248"/>
    <x v="0"/>
    <m/>
    <x v="0"/>
  </r>
  <r>
    <n v="1108985786"/>
    <x v="2"/>
    <x v="3"/>
    <d v="2023-04-03T09:15:19"/>
    <s v="DUAL-GAMES"/>
    <x v="687"/>
    <x v="192"/>
    <s v="No"/>
    <s v="Español"/>
    <n v="0.33580402010050248"/>
    <n v="1"/>
    <n v="0.33580402010050248"/>
    <x v="0"/>
    <m/>
    <x v="0"/>
  </r>
  <r>
    <n v="1108985786"/>
    <x v="2"/>
    <x v="3"/>
    <d v="2023-04-03T09:15:19"/>
    <s v="DUAL-GAMES"/>
    <x v="686"/>
    <x v="152"/>
    <s v="Si"/>
    <s v="Inglés"/>
    <n v="0.33580402010050248"/>
    <n v="4"/>
    <n v="1.3432160804020099"/>
    <x v="0"/>
    <m/>
    <x v="0"/>
  </r>
  <r>
    <n v="1108985786"/>
    <x v="2"/>
    <x v="3"/>
    <d v="2023-04-03T09:15:19"/>
    <s v="DUAL-GAMES"/>
    <x v="2275"/>
    <x v="112"/>
    <s v="No"/>
    <s v="Español"/>
    <n v="0.5596733668341709"/>
    <n v="1"/>
    <n v="0.5596733668341709"/>
    <x v="0"/>
    <m/>
    <x v="0"/>
  </r>
  <r>
    <n v="1108985786"/>
    <x v="2"/>
    <x v="3"/>
    <d v="2023-04-03T09:15:19"/>
    <s v="DUAL-GAMES"/>
    <x v="2276"/>
    <x v="15"/>
    <s v="No"/>
    <s v="Inglés"/>
    <n v="0.33580402010050248"/>
    <n v="2"/>
    <n v="0.67160804020100495"/>
    <x v="0"/>
    <m/>
    <x v="0"/>
  </r>
  <r>
    <n v="1108985786"/>
    <x v="2"/>
    <x v="3"/>
    <d v="2023-04-03T09:15:19"/>
    <s v="DUAL-GAMES"/>
    <x v="234"/>
    <x v="64"/>
    <s v="No"/>
    <s v="Inglés"/>
    <n v="0.44773869346733669"/>
    <n v="1"/>
    <n v="0.44773869346733669"/>
    <x v="0"/>
    <m/>
    <x v="0"/>
  </r>
  <r>
    <n v="1108985786"/>
    <x v="2"/>
    <x v="3"/>
    <d v="2023-04-03T09:15:19"/>
    <s v="DUAL-GAMES"/>
    <x v="2277"/>
    <x v="305"/>
    <s v="No"/>
    <s v="Inglés"/>
    <n v="0.9514447236180904"/>
    <n v="2"/>
    <n v="1.9028894472361808"/>
    <x v="0"/>
    <m/>
    <x v="0"/>
  </r>
  <r>
    <n v="1108985786"/>
    <x v="2"/>
    <x v="3"/>
    <d v="2023-04-03T09:15:19"/>
    <s v="DUAL-GAMES"/>
    <x v="234"/>
    <x v="64"/>
    <s v="No"/>
    <s v="Japonés"/>
    <n v="0.55967336683417079"/>
    <n v="3"/>
    <n v="1.6790201005025125"/>
    <x v="0"/>
    <m/>
    <x v="0"/>
  </r>
  <r>
    <n v="1108985786"/>
    <x v="2"/>
    <x v="3"/>
    <d v="2023-04-03T09:15:19"/>
    <s v="DUAL-GAMES"/>
    <x v="280"/>
    <x v="89"/>
    <s v="No"/>
    <s v="Español"/>
    <n v="0.5596733668341709"/>
    <n v="1"/>
    <n v="0.5596733668341709"/>
    <x v="0"/>
    <m/>
    <x v="0"/>
  </r>
  <r>
    <n v="1108985786"/>
    <x v="2"/>
    <x v="3"/>
    <d v="2023-04-03T09:15:19"/>
    <s v="DUAL-GAMES"/>
    <x v="668"/>
    <x v="103"/>
    <s v="Si"/>
    <s v="Inglés"/>
    <n v="2.496143216080402"/>
    <n v="4"/>
    <n v="9.9845728643216081"/>
    <x v="0"/>
    <m/>
    <x v="0"/>
  </r>
  <r>
    <n v="1108985783"/>
    <x v="2"/>
    <x v="3"/>
    <d v="2023-04-03T09:15:19"/>
    <s v="taikocomics"/>
    <x v="687"/>
    <x v="144"/>
    <s v="No"/>
    <s v="Inglés"/>
    <n v="1.0181818181818181"/>
    <n v="1"/>
    <n v="1.0181818181818181"/>
    <x v="0"/>
    <m/>
    <x v="0"/>
  </r>
  <r>
    <n v="1108985783"/>
    <x v="2"/>
    <x v="3"/>
    <d v="2023-04-03T09:15:19"/>
    <s v="taikocomics"/>
    <x v="687"/>
    <x v="192"/>
    <s v="No"/>
    <s v="Alemán"/>
    <n v="0.4751515151515151"/>
    <n v="1"/>
    <n v="0.4751515151515151"/>
    <x v="0"/>
    <m/>
    <x v="0"/>
  </r>
  <r>
    <n v="1108985783"/>
    <x v="2"/>
    <x v="3"/>
    <d v="2023-04-03T09:15:19"/>
    <s v="taikocomics"/>
    <x v="2278"/>
    <x v="12"/>
    <s v="Si"/>
    <s v="Español"/>
    <n v="0.20363636363636359"/>
    <n v="4"/>
    <n v="0.81454545454545435"/>
    <x v="0"/>
    <m/>
    <x v="0"/>
  </r>
  <r>
    <n v="1108985783"/>
    <x v="2"/>
    <x v="3"/>
    <d v="2023-04-03T09:15:19"/>
    <s v="taikocomics"/>
    <x v="2279"/>
    <x v="102"/>
    <s v="Si"/>
    <s v="Inglés"/>
    <n v="0.33939393939393941"/>
    <n v="4"/>
    <n v="1.3575757575757577"/>
    <x v="0"/>
    <m/>
    <x v="0"/>
  </r>
  <r>
    <n v="1108985783"/>
    <x v="2"/>
    <x v="3"/>
    <d v="2023-04-03T09:15:19"/>
    <s v="taikocomics"/>
    <x v="2280"/>
    <x v="182"/>
    <s v="Si"/>
    <s v="Español"/>
    <n v="0.20363636363636359"/>
    <n v="4"/>
    <n v="0.81454545454545435"/>
    <x v="0"/>
    <m/>
    <x v="0"/>
  </r>
  <r>
    <n v="1108985781"/>
    <x v="2"/>
    <x v="3"/>
    <d v="2023-04-03T09:15:19"/>
    <s v="Daniifont"/>
    <x v="688"/>
    <x v="40"/>
    <s v="No"/>
    <s v="Inglés"/>
    <n v="0.71430379746835448"/>
    <n v="2"/>
    <n v="1.428607594936709"/>
    <x v="0"/>
    <m/>
    <x v="0"/>
  </r>
  <r>
    <n v="1108985781"/>
    <x v="2"/>
    <x v="3"/>
    <d v="2023-04-03T09:15:19"/>
    <s v="Daniifont"/>
    <x v="688"/>
    <x v="49"/>
    <s v="No"/>
    <s v="Inglés"/>
    <n v="0.71430379746835448"/>
    <n v="1"/>
    <n v="0.71430379746835448"/>
    <x v="0"/>
    <m/>
    <x v="0"/>
  </r>
  <r>
    <n v="1108985781"/>
    <x v="2"/>
    <x v="3"/>
    <d v="2023-04-03T09:15:19"/>
    <s v="Daniifont"/>
    <x v="688"/>
    <x v="146"/>
    <s v="No"/>
    <s v="Español"/>
    <n v="0.64936708860759496"/>
    <n v="1"/>
    <n v="0.64936708860759496"/>
    <x v="0"/>
    <m/>
    <x v="0"/>
  </r>
  <r>
    <n v="1108985781"/>
    <x v="2"/>
    <x v="3"/>
    <d v="2023-04-03T09:15:19"/>
    <s v="Daniifont"/>
    <x v="390"/>
    <x v="144"/>
    <s v="Si"/>
    <s v="Inglés"/>
    <n v="0.58443037974683543"/>
    <n v="4"/>
    <n v="2.3377215189873417"/>
    <x v="0"/>
    <m/>
    <x v="0"/>
  </r>
  <r>
    <n v="1108985767"/>
    <x v="2"/>
    <x v="3"/>
    <d v="2023-04-03T09:15:19"/>
    <s v="Karpabug"/>
    <x v="2281"/>
    <x v="45"/>
    <s v="No"/>
    <s v="Inglés"/>
    <n v="1.94"/>
    <n v="2"/>
    <n v="3.88"/>
    <x v="0"/>
    <m/>
    <x v="0"/>
  </r>
  <r>
    <n v="1108866811"/>
    <x v="2"/>
    <x v="3"/>
    <d v="2023-04-02T07:17:59"/>
    <s v="KameHouseCards"/>
    <x v="2282"/>
    <x v="282"/>
    <s v="No"/>
    <s v="Inglés"/>
    <n v="17.925000000000001"/>
    <n v="1"/>
    <n v="17.925000000000001"/>
    <x v="0"/>
    <m/>
    <x v="2"/>
  </r>
  <r>
    <n v="1108866811"/>
    <x v="2"/>
    <x v="3"/>
    <d v="2023-04-02T07:17:59"/>
    <s v="KameHouseCards"/>
    <x v="2283"/>
    <x v="286"/>
    <s v="No"/>
    <s v="Inglés"/>
    <n v="17.925000000000001"/>
    <n v="1"/>
    <n v="17.925000000000001"/>
    <x v="0"/>
    <m/>
    <x v="2"/>
  </r>
  <r>
    <n v="1108589248"/>
    <x v="3"/>
    <x v="3"/>
    <d v="2023-03-30T14:09:58"/>
    <s v="Anoobiis"/>
    <x v="1527"/>
    <x v="117"/>
    <s v="No"/>
    <s v="Español"/>
    <n v="17.057703081232489"/>
    <n v="1"/>
    <n v="17.057703081232489"/>
    <x v="0"/>
    <m/>
    <x v="0"/>
  </r>
  <r>
    <n v="1108589248"/>
    <x v="3"/>
    <x v="3"/>
    <d v="2023-03-30T14:09:58"/>
    <s v="Anoobiis"/>
    <x v="2269"/>
    <x v="101"/>
    <s v="No"/>
    <s v="Inglés"/>
    <n v="0.1066106442577031"/>
    <n v="3"/>
    <n v="0.31983193277310928"/>
    <x v="0"/>
    <m/>
    <x v="0"/>
  </r>
  <r>
    <n v="1108589248"/>
    <x v="3"/>
    <x v="3"/>
    <d v="2023-03-30T14:09:58"/>
    <s v="Anoobiis"/>
    <x v="685"/>
    <x v="192"/>
    <s v="No"/>
    <s v="Español"/>
    <n v="5.3305322128851543E-2"/>
    <n v="2"/>
    <n v="0.10661064425770309"/>
    <x v="0"/>
    <m/>
    <x v="0"/>
  </r>
  <r>
    <n v="1108589248"/>
    <x v="3"/>
    <x v="3"/>
    <d v="2023-03-30T14:09:58"/>
    <s v="Anoobiis"/>
    <x v="685"/>
    <x v="192"/>
    <s v="No"/>
    <s v="Inglés"/>
    <n v="5.3305322128851543E-2"/>
    <n v="2"/>
    <n v="0.10661064425770309"/>
    <x v="0"/>
    <m/>
    <x v="0"/>
  </r>
  <r>
    <n v="1108589248"/>
    <x v="3"/>
    <x v="3"/>
    <d v="2023-03-30T14:09:58"/>
    <s v="Anoobiis"/>
    <x v="686"/>
    <x v="287"/>
    <s v="No"/>
    <s v="Inglés"/>
    <n v="0.15991596638655459"/>
    <n v="1"/>
    <n v="0.15991596638655459"/>
    <x v="0"/>
    <m/>
    <x v="0"/>
  </r>
  <r>
    <n v="1108589248"/>
    <x v="3"/>
    <x v="3"/>
    <d v="2023-03-30T14:09:58"/>
    <s v="Anoobiis"/>
    <x v="2281"/>
    <x v="306"/>
    <s v="No"/>
    <s v="Inglés"/>
    <n v="1.066106442577031"/>
    <n v="1"/>
    <n v="1.066106442577031"/>
    <x v="0"/>
    <m/>
    <x v="0"/>
  </r>
  <r>
    <n v="1108589248"/>
    <x v="3"/>
    <x v="3"/>
    <d v="2023-03-30T14:09:58"/>
    <s v="Anoobiis"/>
    <x v="2284"/>
    <x v="117"/>
    <s v="No"/>
    <s v="Inglés"/>
    <n v="5.3305322128851543E-2"/>
    <n v="1"/>
    <n v="5.3305322128851543E-2"/>
    <x v="0"/>
    <m/>
    <x v="0"/>
  </r>
  <r>
    <n v="1108589248"/>
    <x v="3"/>
    <x v="3"/>
    <d v="2023-03-30T14:09:58"/>
    <s v="Anoobiis"/>
    <x v="2284"/>
    <x v="65"/>
    <s v="No"/>
    <s v="Inglés"/>
    <n v="5.330532212885155E-2"/>
    <n v="3"/>
    <n v="0.15991596638655464"/>
    <x v="0"/>
    <m/>
    <x v="0"/>
  </r>
  <r>
    <n v="1108588513"/>
    <x v="3"/>
    <x v="3"/>
    <d v="2023-03-30T14:09:58"/>
    <s v="LaBoticaDelQuagsire"/>
    <x v="1527"/>
    <x v="117"/>
    <s v="No"/>
    <s v="Inglés"/>
    <n v="16.170000000000002"/>
    <n v="1"/>
    <n v="16.170000000000002"/>
    <x v="0"/>
    <m/>
    <x v="0"/>
  </r>
  <r>
    <n v="1108567857"/>
    <x v="3"/>
    <x v="3"/>
    <d v="2023-03-30T10:47:46"/>
    <s v="cwam"/>
    <x v="2285"/>
    <x v="216"/>
    <s v="Si"/>
    <s v="Inglés"/>
    <n v="44.012500000000003"/>
    <n v="4"/>
    <n v="176.05"/>
    <x v="0"/>
    <m/>
    <x v="0"/>
  </r>
  <r>
    <s v="CVSALE-1107483796-01"/>
    <x v="3"/>
    <x v="3"/>
    <d v="2023-03-19T16:44:19"/>
    <s v="Venta asociada sin pedido identificado"/>
    <x v="2286"/>
    <x v="64"/>
    <s v="No"/>
    <s v="Inglés"/>
    <n v="1.3770358306188926"/>
    <n v="2"/>
    <n v="2.7540716612377851"/>
    <x v="1"/>
    <n v="2.7540716612377851"/>
    <x v="0"/>
  </r>
  <r>
    <n v="1107483796"/>
    <x v="3"/>
    <x v="3"/>
    <d v="2023-03-19T16:44:19"/>
    <s v="Mazvigosl"/>
    <x v="2287"/>
    <x v="71"/>
    <s v="No"/>
    <s v="Inglés"/>
    <n v="0.27328026811897782"/>
    <n v="2"/>
    <n v="0.54656053623795564"/>
    <x v="0"/>
    <m/>
    <x v="0"/>
  </r>
  <r>
    <n v="1107483796"/>
    <x v="3"/>
    <x v="3"/>
    <d v="2023-03-19T16:44:19"/>
    <s v="Mazvigosl"/>
    <x v="2288"/>
    <x v="206"/>
    <s v="Si"/>
    <s v="Inglés"/>
    <n v="0.17080016757436109"/>
    <n v="4"/>
    <n v="0.68320067029744436"/>
    <x v="0"/>
    <m/>
    <x v="0"/>
  </r>
  <r>
    <n v="1107483796"/>
    <x v="3"/>
    <x v="3"/>
    <d v="2023-03-19T16:44:19"/>
    <s v="Mazvigosl"/>
    <x v="2289"/>
    <x v="214"/>
    <s v="No"/>
    <s v="Inglés"/>
    <n v="0.85400083787180558"/>
    <n v="2"/>
    <n v="1.7080016757436112"/>
    <x v="0"/>
    <m/>
    <x v="0"/>
  </r>
  <r>
    <n v="1107483796"/>
    <x v="3"/>
    <x v="3"/>
    <d v="2023-03-19T16:44:19"/>
    <s v="Mazvigosl"/>
    <x v="2290"/>
    <x v="139"/>
    <s v="Si"/>
    <s v="Inglés"/>
    <n v="0.15941348973607039"/>
    <n v="4"/>
    <n v="0.63765395894428156"/>
    <x v="0"/>
    <m/>
    <x v="0"/>
  </r>
  <r>
    <n v="1107483796"/>
    <x v="3"/>
    <x v="3"/>
    <d v="2023-03-19T16:44:19"/>
    <s v="Mazvigosl"/>
    <x v="2291"/>
    <x v="12"/>
    <s v="Si"/>
    <s v="Inglés"/>
    <n v="0.37576036866359452"/>
    <n v="4"/>
    <n v="1.5030414746543781"/>
    <x v="0"/>
    <m/>
    <x v="0"/>
  </r>
  <r>
    <n v="1107483796"/>
    <x v="3"/>
    <x v="3"/>
    <d v="2023-03-19T16:44:19"/>
    <s v="Mazvigosl"/>
    <x v="2292"/>
    <x v="170"/>
    <s v="Si"/>
    <s v="Inglés"/>
    <n v="0.15941348973607039"/>
    <n v="4"/>
    <n v="0.63765395894428156"/>
    <x v="0"/>
    <m/>
    <x v="0"/>
  </r>
  <r>
    <n v="1107483796"/>
    <x v="3"/>
    <x v="3"/>
    <d v="2023-03-19T16:44:19"/>
    <s v="Mazvigosl"/>
    <x v="210"/>
    <x v="216"/>
    <s v="Si"/>
    <s v="Inglés"/>
    <n v="0.85400083787180558"/>
    <n v="4"/>
    <n v="3.4160033514872223"/>
    <x v="0"/>
    <m/>
    <x v="0"/>
  </r>
  <r>
    <n v="1107483796"/>
    <x v="3"/>
    <x v="3"/>
    <d v="2023-03-19T16:44:19"/>
    <s v="Mazvigosl"/>
    <x v="2293"/>
    <x v="34"/>
    <s v="Si"/>
    <s v="Inglés"/>
    <n v="0.17080016757436109"/>
    <n v="4"/>
    <n v="0.68320067029744436"/>
    <x v="0"/>
    <m/>
    <x v="0"/>
  </r>
  <r>
    <n v="1107483796"/>
    <x v="3"/>
    <x v="3"/>
    <d v="2023-03-19T16:44:19"/>
    <s v="Mazvigosl"/>
    <x v="2294"/>
    <x v="67"/>
    <s v="Si"/>
    <s v="Inglés"/>
    <n v="0.20496020108923341"/>
    <n v="4"/>
    <n v="0.81984080435693363"/>
    <x v="0"/>
    <m/>
    <x v="0"/>
  </r>
  <r>
    <n v="1107483796"/>
    <x v="3"/>
    <x v="3"/>
    <d v="2023-03-19T16:44:19"/>
    <s v="Mazvigosl"/>
    <x v="2295"/>
    <x v="214"/>
    <s v="No"/>
    <s v="Inglés"/>
    <n v="1.651068286552158"/>
    <n v="2"/>
    <n v="3.302136573104316"/>
    <x v="0"/>
    <m/>
    <x v="0"/>
  </r>
  <r>
    <n v="1107483796"/>
    <x v="3"/>
    <x v="3"/>
    <d v="2023-03-19T16:44:19"/>
    <s v="Mazvigosl"/>
    <x v="2296"/>
    <x v="307"/>
    <s v="No"/>
    <s v="Inglés"/>
    <n v="5.6364055299539171"/>
    <n v="1"/>
    <n v="5.6364055299539171"/>
    <x v="0"/>
    <m/>
    <x v="0"/>
  </r>
  <r>
    <n v="1107483796"/>
    <x v="3"/>
    <x v="3"/>
    <d v="2023-03-19T16:44:19"/>
    <s v="Mazvigosl"/>
    <x v="2297"/>
    <x v="290"/>
    <s v="Si"/>
    <s v="Inglés"/>
    <n v="0.27328026811897782"/>
    <n v="4"/>
    <n v="1.0931210724759113"/>
    <x v="0"/>
    <m/>
    <x v="0"/>
  </r>
  <r>
    <n v="1107483796"/>
    <x v="3"/>
    <x v="3"/>
    <d v="2023-03-19T16:44:19"/>
    <s v="Mazvigosl"/>
    <x v="2298"/>
    <x v="71"/>
    <s v="No"/>
    <s v="Inglés"/>
    <n v="0.15941348973607039"/>
    <n v="2"/>
    <n v="0.31882697947214078"/>
    <x v="0"/>
    <m/>
    <x v="0"/>
  </r>
  <r>
    <n v="1107483796"/>
    <x v="3"/>
    <x v="3"/>
    <d v="2023-03-19T16:44:19"/>
    <s v="Mazvigosl"/>
    <x v="381"/>
    <x v="139"/>
    <s v="Si"/>
    <s v="Inglés"/>
    <n v="1.127281105990783"/>
    <n v="4"/>
    <n v="4.5091244239631321"/>
    <x v="0"/>
    <m/>
    <x v="0"/>
  </r>
  <r>
    <n v="1107483796"/>
    <x v="3"/>
    <x v="3"/>
    <d v="2023-03-19T16:44:19"/>
    <s v="Mazvigosl"/>
    <x v="2286"/>
    <x v="64"/>
    <s v="No"/>
    <s v="Inglés"/>
    <n v="0.84261416003351486"/>
    <n v="2"/>
    <n v="1.6852283200670297"/>
    <x v="0"/>
    <m/>
    <x v="0"/>
  </r>
  <r>
    <n v="1107353399"/>
    <x v="3"/>
    <x v="3"/>
    <d v="2023-03-18T09:51:01"/>
    <s v="nyahbingiman"/>
    <x v="2299"/>
    <x v="67"/>
    <s v="No"/>
    <s v="Inglés"/>
    <n v="0.97749214330609679"/>
    <n v="1"/>
    <n v="0.97749214330609679"/>
    <x v="0"/>
    <m/>
    <x v="0"/>
  </r>
  <r>
    <n v="1107353399"/>
    <x v="3"/>
    <x v="3"/>
    <d v="2023-03-18T09:51:01"/>
    <s v="nyahbingiman"/>
    <x v="383"/>
    <x v="141"/>
    <s v="No"/>
    <s v="Inglés"/>
    <n v="8.0562539283469512"/>
    <n v="2"/>
    <n v="16.112507856693902"/>
    <x v="0"/>
    <m/>
    <x v="0"/>
  </r>
  <r>
    <n v="1107256823"/>
    <x v="3"/>
    <x v="3"/>
    <d v="2023-03-17T12:03:00"/>
    <s v="Dracarysviterbo"/>
    <x v="2300"/>
    <x v="71"/>
    <s v="No"/>
    <s v="Japonés"/>
    <n v="1.05"/>
    <n v="2"/>
    <n v="2.1"/>
    <x v="0"/>
    <m/>
    <x v="0"/>
  </r>
  <r>
    <n v="1107188713"/>
    <x v="3"/>
    <x v="3"/>
    <d v="2023-03-16T15:51:14"/>
    <s v="Dracarysviterbo"/>
    <x v="2301"/>
    <x v="71"/>
    <s v="No"/>
    <s v="Inglés"/>
    <n v="16.399999999999999"/>
    <n v="1"/>
    <n v="16.399999999999999"/>
    <x v="0"/>
    <m/>
    <x v="0"/>
  </r>
  <r>
    <s v="CVSALE-1107026406-01"/>
    <x v="3"/>
    <x v="3"/>
    <d v="2023-03-15T01:52:53"/>
    <s v="Venta asociada sin pedido identificado"/>
    <x v="857"/>
    <x v="41"/>
    <s v="No"/>
    <s v="Japonés"/>
    <n v="11.07"/>
    <n v="2"/>
    <n v="22.14"/>
    <x v="1"/>
    <n v="22.14"/>
    <x v="0"/>
  </r>
  <r>
    <n v="1107026406"/>
    <x v="3"/>
    <x v="3"/>
    <d v="2023-03-15T01:52:53"/>
    <s v="Toledano"/>
    <x v="1365"/>
    <x v="248"/>
    <s v="No"/>
    <s v="Inglés"/>
    <n v="2.273265306122449"/>
    <n v="1"/>
    <n v="2.273265306122449"/>
    <x v="0"/>
    <m/>
    <x v="0"/>
  </r>
  <r>
    <n v="1107026406"/>
    <x v="3"/>
    <x v="3"/>
    <d v="2023-03-15T01:52:53"/>
    <s v="Toledano"/>
    <x v="857"/>
    <x v="41"/>
    <s v="No"/>
    <s v="Japonés"/>
    <n v="17.428367346938771"/>
    <n v="2"/>
    <n v="34.856734693877542"/>
    <x v="0"/>
    <m/>
    <x v="0"/>
  </r>
  <r>
    <n v="1105780129"/>
    <x v="3"/>
    <x v="3"/>
    <d v="2023-03-04T15:12:57"/>
    <s v="EldritchGate"/>
    <x v="1111"/>
    <x v="34"/>
    <s v="Si"/>
    <s v="Inglés"/>
    <n v="0.64749999999999996"/>
    <n v="4"/>
    <n v="2.59"/>
    <x v="0"/>
    <m/>
    <x v="0"/>
  </r>
  <r>
    <n v="1105780129"/>
    <x v="3"/>
    <x v="3"/>
    <d v="2023-03-04T15:12:57"/>
    <s v="EldritchGate"/>
    <x v="1125"/>
    <x v="34"/>
    <s v="Si"/>
    <s v="Inglés"/>
    <n v="0.64749999999999996"/>
    <n v="4"/>
    <n v="2.59"/>
    <x v="0"/>
    <m/>
    <x v="0"/>
  </r>
  <r>
    <n v="1105776290"/>
    <x v="3"/>
    <x v="3"/>
    <d v="2023-03-04T14:23:25"/>
    <s v="Rufusland"/>
    <x v="799"/>
    <x v="289"/>
    <s v="Si"/>
    <s v="Inglés"/>
    <n v="3.528"/>
    <n v="4"/>
    <n v="14.112"/>
    <x v="0"/>
    <m/>
    <x v="0"/>
  </r>
  <r>
    <n v="1105776290"/>
    <x v="3"/>
    <x v="3"/>
    <d v="2023-03-04T14:23:25"/>
    <s v="Rufusland"/>
    <x v="797"/>
    <x v="289"/>
    <s v="Si"/>
    <s v="Inglés"/>
    <n v="5.2919999999999998"/>
    <n v="4"/>
    <n v="21.167999999999999"/>
    <x v="0"/>
    <m/>
    <x v="0"/>
  </r>
  <r>
    <s v="CVSALE-1105458937-01"/>
    <x v="3"/>
    <x v="3"/>
    <d v="2023-03-01T17:03:15"/>
    <s v="Venta asociada sin pedido identificado"/>
    <x v="1266"/>
    <x v="15"/>
    <s v="Si"/>
    <s v="Inglés"/>
    <n v="0.28110615762881302"/>
    <n v="4"/>
    <n v="1.1244246305152521"/>
    <x v="1"/>
    <n v="1.1244246305152521"/>
    <x v="0"/>
  </r>
  <r>
    <n v="1105458937"/>
    <x v="3"/>
    <x v="3"/>
    <d v="2023-03-01T17:03:15"/>
    <s v="Mazvigosl"/>
    <x v="2302"/>
    <x v="212"/>
    <s v="Si"/>
    <s v="Español"/>
    <n v="10.975470677342569"/>
    <n v="4"/>
    <n v="43.901882709370277"/>
    <x v="0"/>
    <m/>
    <x v="0"/>
  </r>
  <r>
    <n v="1105458937"/>
    <x v="3"/>
    <x v="3"/>
    <d v="2023-03-01T17:03:15"/>
    <s v="Mazvigosl"/>
    <x v="2303"/>
    <x v="216"/>
    <s v="No"/>
    <s v="Inglés"/>
    <n v="1.0585479333477601"/>
    <n v="3"/>
    <n v="3.1756438000432805"/>
    <x v="0"/>
    <m/>
    <x v="0"/>
  </r>
  <r>
    <n v="1105458937"/>
    <x v="3"/>
    <x v="3"/>
    <d v="2023-03-01T17:03:15"/>
    <s v="Mazvigosl"/>
    <x v="2304"/>
    <x v="60"/>
    <s v="Si"/>
    <s v="Inglés"/>
    <n v="0.15599653754598569"/>
    <n v="4"/>
    <n v="0.62398615018394277"/>
    <x v="0"/>
    <m/>
    <x v="0"/>
  </r>
  <r>
    <n v="1105458937"/>
    <x v="3"/>
    <x v="3"/>
    <d v="2023-03-01T17:03:15"/>
    <s v="Mazvigosl"/>
    <x v="1266"/>
    <x v="15"/>
    <s v="Si"/>
    <s v="Inglés"/>
    <n v="0.94712183510062753"/>
    <n v="4"/>
    <n v="3.7884873404025101"/>
    <x v="0"/>
    <m/>
    <x v="0"/>
  </r>
  <r>
    <n v="1105452541"/>
    <x v="3"/>
    <x v="3"/>
    <d v="2023-03-01T16:58:56"/>
    <s v="ilevel"/>
    <x v="679"/>
    <x v="211"/>
    <s v="No"/>
    <s v="Inglés"/>
    <n v="26.18"/>
    <n v="1"/>
    <n v="26.18"/>
    <x v="0"/>
    <m/>
    <x v="0"/>
  </r>
  <r>
    <n v="1105374462"/>
    <x v="4"/>
    <x v="3"/>
    <d v="2023-02-28T22:58:34"/>
    <s v="Magicevents"/>
    <x v="2303"/>
    <x v="216"/>
    <s v="No"/>
    <s v="Inglés"/>
    <n v="0.52510638297872336"/>
    <n v="1"/>
    <n v="0.52510638297872336"/>
    <x v="0"/>
    <m/>
    <x v="0"/>
  </r>
  <r>
    <n v="1105374462"/>
    <x v="4"/>
    <x v="3"/>
    <d v="2023-02-28T22:58:34"/>
    <s v="Magicevents"/>
    <x v="2305"/>
    <x v="242"/>
    <s v="No"/>
    <s v="Español"/>
    <n v="12.07744680851064"/>
    <n v="2"/>
    <n v="24.15489361702128"/>
    <x v="0"/>
    <m/>
    <x v="0"/>
  </r>
  <r>
    <n v="1105196977"/>
    <x v="4"/>
    <x v="3"/>
    <d v="2023-02-27T14:48:04"/>
    <s v="SUMMONERSRIFT"/>
    <x v="2306"/>
    <x v="181"/>
    <s v="No"/>
    <s v="Español"/>
    <n v="0.95790654205607484"/>
    <n v="1"/>
    <n v="0.95790654205607484"/>
    <x v="0"/>
    <m/>
    <x v="0"/>
  </r>
  <r>
    <n v="1105196977"/>
    <x v="4"/>
    <x v="3"/>
    <d v="2023-02-27T14:48:04"/>
    <s v="SUMMONERSRIFT"/>
    <x v="592"/>
    <x v="193"/>
    <s v="No"/>
    <s v="Inglés"/>
    <n v="31.072093457943929"/>
    <n v="1"/>
    <n v="31.072093457943929"/>
    <x v="0"/>
    <m/>
    <x v="0"/>
  </r>
  <r>
    <n v="1105156841"/>
    <x v="4"/>
    <x v="3"/>
    <d v="2023-02-27T08:07:53"/>
    <s v="MoxIsland"/>
    <x v="2307"/>
    <x v="247"/>
    <s v="No"/>
    <s v="Japonés"/>
    <n v="12.081666666666671"/>
    <n v="1"/>
    <n v="12.081666666666671"/>
    <x v="0"/>
    <m/>
    <x v="0"/>
  </r>
  <r>
    <n v="1105156841"/>
    <x v="4"/>
    <x v="3"/>
    <d v="2023-02-27T08:07:53"/>
    <s v="MoxIsland"/>
    <x v="2308"/>
    <x v="112"/>
    <s v="No"/>
    <s v="Inglés"/>
    <n v="1.0983333333333329"/>
    <n v="1"/>
    <n v="1.0983333333333329"/>
    <x v="0"/>
    <m/>
    <x v="0"/>
  </r>
  <r>
    <n v="1105096685"/>
    <x v="4"/>
    <x v="3"/>
    <d v="2023-02-26T17:43:26"/>
    <s v="luisetebar"/>
    <x v="744"/>
    <x v="60"/>
    <s v="No"/>
    <s v="Inglés"/>
    <n v="19.64"/>
    <n v="2"/>
    <n v="39.28"/>
    <x v="0"/>
    <m/>
    <x v="0"/>
  </r>
  <r>
    <n v="1104633631"/>
    <x v="4"/>
    <x v="3"/>
    <d v="2023-02-22T14:35:01"/>
    <s v="Kolmillos"/>
    <x v="2309"/>
    <x v="252"/>
    <s v="No"/>
    <s v="Inglés"/>
    <n v="7.68"/>
    <n v="1"/>
    <n v="7.68"/>
    <x v="0"/>
    <m/>
    <x v="0"/>
  </r>
  <r>
    <n v="1104508425"/>
    <x v="4"/>
    <x v="3"/>
    <d v="2023-02-21T19:49:48"/>
    <s v="Skizoo"/>
    <x v="2310"/>
    <x v="247"/>
    <s v="No"/>
    <s v="Español"/>
    <n v="14.18"/>
    <n v="1"/>
    <n v="14.18"/>
    <x v="0"/>
    <m/>
    <x v="0"/>
  </r>
  <r>
    <n v="1103908217"/>
    <x v="4"/>
    <x v="3"/>
    <d v="2023-02-15T22:45:15"/>
    <s v="Edicionlimitada"/>
    <x v="2311"/>
    <x v="214"/>
    <s v="No"/>
    <s v="Inglés"/>
    <n v="8.2222157996146432"/>
    <n v="2"/>
    <n v="16.444431599229286"/>
    <x v="0"/>
    <m/>
    <x v="0"/>
  </r>
  <r>
    <n v="1103908217"/>
    <x v="4"/>
    <x v="3"/>
    <d v="2023-02-15T22:45:15"/>
    <s v="Edicionlimitada"/>
    <x v="1115"/>
    <x v="34"/>
    <s v="Si"/>
    <s v="Inglés"/>
    <n v="0.73978805394990366"/>
    <n v="4"/>
    <n v="2.9591522157996146"/>
    <x v="0"/>
    <m/>
    <x v="0"/>
  </r>
  <r>
    <n v="1103908217"/>
    <x v="4"/>
    <x v="3"/>
    <d v="2023-02-15T22:45:15"/>
    <s v="Edicionlimitada"/>
    <x v="1119"/>
    <x v="34"/>
    <s v="Si"/>
    <s v="Inglés"/>
    <n v="0.6341040462427745"/>
    <n v="4"/>
    <n v="2.536416184971098"/>
    <x v="0"/>
    <m/>
    <x v="0"/>
  </r>
  <r>
    <n v="1103894430"/>
    <x v="4"/>
    <x v="3"/>
    <d v="2023-02-15T22:45:15"/>
    <s v="jalopagu"/>
    <x v="2312"/>
    <x v="136"/>
    <s v="No"/>
    <s v="Chino-S"/>
    <n v="3.08"/>
    <n v="2"/>
    <n v="6.16"/>
    <x v="0"/>
    <m/>
    <x v="0"/>
  </r>
  <r>
    <n v="1103716418"/>
    <x v="4"/>
    <x v="3"/>
    <d v="2023-02-14T10:05:01"/>
    <s v="Eviae"/>
    <x v="247"/>
    <x v="72"/>
    <s v="No"/>
    <s v="Chino-S"/>
    <n v="3.59"/>
    <n v="2"/>
    <n v="7.18"/>
    <x v="0"/>
    <m/>
    <x v="0"/>
  </r>
  <r>
    <n v="1103681173"/>
    <x v="4"/>
    <x v="3"/>
    <d v="2023-02-13T22:25:22"/>
    <s v="skyfox"/>
    <x v="1369"/>
    <x v="72"/>
    <s v="No"/>
    <s v="Español"/>
    <n v="3.59"/>
    <n v="1"/>
    <n v="3.59"/>
    <x v="0"/>
    <m/>
    <x v="0"/>
  </r>
  <r>
    <n v="1103681173"/>
    <x v="4"/>
    <x v="3"/>
    <d v="2023-02-13T22:25:22"/>
    <s v="skyfox"/>
    <x v="1369"/>
    <x v="72"/>
    <s v="No"/>
    <s v="Chino-S"/>
    <n v="3.59"/>
    <n v="1"/>
    <n v="3.59"/>
    <x v="0"/>
    <m/>
    <x v="0"/>
  </r>
  <r>
    <n v="1103673852"/>
    <x v="4"/>
    <x v="3"/>
    <d v="2023-02-13T21:43:31"/>
    <s v="Kolmillos"/>
    <x v="2313"/>
    <x v="126"/>
    <s v="No"/>
    <s v="Chino-S"/>
    <n v="6.3933333333333344"/>
    <n v="1"/>
    <n v="6.3933333333333344"/>
    <x v="0"/>
    <m/>
    <x v="0"/>
  </r>
  <r>
    <n v="1103673852"/>
    <x v="4"/>
    <x v="3"/>
    <d v="2023-02-13T21:43:31"/>
    <s v="Kolmillos"/>
    <x v="2314"/>
    <x v="261"/>
    <s v="No"/>
    <s v="Inglés"/>
    <n v="12.786666666666671"/>
    <n v="1"/>
    <n v="12.786666666666671"/>
    <x v="0"/>
    <m/>
    <x v="0"/>
  </r>
  <r>
    <n v="1103068467"/>
    <x v="4"/>
    <x v="3"/>
    <d v="2023-02-08T20:05:28"/>
    <s v="MagicBarcelona"/>
    <x v="2315"/>
    <x v="112"/>
    <s v="Si"/>
    <s v="Español"/>
    <n v="3.3647361477572559"/>
    <n v="4"/>
    <n v="13.458944591029024"/>
    <x v="0"/>
    <m/>
    <x v="0"/>
  </r>
  <r>
    <n v="1103068467"/>
    <x v="4"/>
    <x v="3"/>
    <d v="2023-02-08T20:05:28"/>
    <s v="MagicBarcelona"/>
    <x v="2316"/>
    <x v="60"/>
    <s v="Si"/>
    <s v="Inglés"/>
    <n v="0.112532981530343"/>
    <n v="4"/>
    <n v="0.45013192612137198"/>
    <x v="0"/>
    <m/>
    <x v="0"/>
  </r>
  <r>
    <n v="1103068467"/>
    <x v="4"/>
    <x v="3"/>
    <d v="2023-02-08T20:05:28"/>
    <s v="MagicBarcelona"/>
    <x v="2317"/>
    <x v="267"/>
    <s v="Si"/>
    <s v="Inglés"/>
    <n v="0.112532981530343"/>
    <n v="4"/>
    <n v="0.45013192612137198"/>
    <x v="0"/>
    <m/>
    <x v="0"/>
  </r>
  <r>
    <n v="1103068467"/>
    <x v="4"/>
    <x v="3"/>
    <d v="2023-02-08T20:05:28"/>
    <s v="MagicBarcelona"/>
    <x v="2318"/>
    <x v="103"/>
    <s v="Si"/>
    <s v="Inglés"/>
    <n v="0.112532981530343"/>
    <n v="4"/>
    <n v="0.45013192612137198"/>
    <x v="0"/>
    <m/>
    <x v="0"/>
  </r>
  <r>
    <n v="1103068467"/>
    <x v="4"/>
    <x v="3"/>
    <d v="2023-02-08T20:05:28"/>
    <s v="MagicBarcelona"/>
    <x v="2319"/>
    <x v="34"/>
    <s v="No"/>
    <s v="Inglés"/>
    <n v="0.56266490765171506"/>
    <n v="2"/>
    <n v="1.1253298153034301"/>
    <x v="0"/>
    <m/>
    <x v="0"/>
  </r>
  <r>
    <n v="1103068467"/>
    <x v="4"/>
    <x v="3"/>
    <d v="2023-02-08T20:05:28"/>
    <s v="MagicBarcelona"/>
    <x v="2320"/>
    <x v="15"/>
    <s v="Si"/>
    <s v="Inglés"/>
    <n v="0.16879947229551451"/>
    <n v="4"/>
    <n v="0.67519788918205803"/>
    <x v="0"/>
    <m/>
    <x v="0"/>
  </r>
  <r>
    <n v="1103068467"/>
    <x v="4"/>
    <x v="3"/>
    <d v="2023-02-08T20:05:28"/>
    <s v="MagicBarcelona"/>
    <x v="2321"/>
    <x v="15"/>
    <s v="Si"/>
    <s v="Inglés"/>
    <n v="0.112532981530343"/>
    <n v="4"/>
    <n v="0.45013192612137198"/>
    <x v="0"/>
    <m/>
    <x v="0"/>
  </r>
  <r>
    <n v="1103068323"/>
    <x v="4"/>
    <x v="3"/>
    <d v="2023-02-08T20:05:28"/>
    <s v="MagicHunters"/>
    <x v="2322"/>
    <x v="39"/>
    <s v="Si"/>
    <s v="Español"/>
    <n v="0.54499999999999993"/>
    <n v="4"/>
    <n v="2.1799999999999997"/>
    <x v="0"/>
    <m/>
    <x v="0"/>
  </r>
  <r>
    <n v="1103060612"/>
    <x v="4"/>
    <x v="3"/>
    <d v="2023-02-08T19:33:49"/>
    <s v="tito33"/>
    <x v="2323"/>
    <x v="308"/>
    <s v="No"/>
    <s v="Inglés"/>
    <n v="10.18"/>
    <n v="1"/>
    <n v="10.18"/>
    <x v="0"/>
    <m/>
    <x v="0"/>
  </r>
  <r>
    <n v="1102867184"/>
    <x v="4"/>
    <x v="3"/>
    <d v="2023-02-08T08:47:50"/>
    <s v="monchitomlg"/>
    <x v="2323"/>
    <x v="308"/>
    <s v="No"/>
    <s v="Inglés"/>
    <n v="10.17939393939394"/>
    <n v="1"/>
    <n v="10.17939393939394"/>
    <x v="0"/>
    <m/>
    <x v="0"/>
  </r>
  <r>
    <n v="1102867184"/>
    <x v="4"/>
    <x v="3"/>
    <d v="2023-02-08T08:47:50"/>
    <s v="monchitomlg"/>
    <x v="2324"/>
    <x v="34"/>
    <s v="No"/>
    <s v="Español"/>
    <n v="7.5006060606060609"/>
    <n v="1"/>
    <n v="7.5006060606060609"/>
    <x v="0"/>
    <m/>
    <x v="0"/>
  </r>
  <r>
    <n v="1102867759"/>
    <x v="4"/>
    <x v="3"/>
    <d v="2023-02-07T00:00:00"/>
    <s v="Laodo"/>
    <x v="2324"/>
    <x v="308"/>
    <s v="No"/>
    <s v="Español"/>
    <n v="7"/>
    <n v="1"/>
    <n v="7"/>
    <x v="0"/>
    <m/>
    <x v="0"/>
  </r>
  <r>
    <n v="1102500791"/>
    <x v="4"/>
    <x v="3"/>
    <d v="2023-02-04T08:33:54"/>
    <s v="tierradoble"/>
    <x v="2325"/>
    <x v="34"/>
    <s v="Si"/>
    <s v="Español"/>
    <n v="2.8790893760539631"/>
    <n v="4"/>
    <n v="11.516357504215852"/>
    <x v="0"/>
    <m/>
    <x v="0"/>
  </r>
  <r>
    <n v="1102500791"/>
    <x v="4"/>
    <x v="3"/>
    <d v="2023-02-04T08:33:54"/>
    <s v="tierradoble"/>
    <x v="2326"/>
    <x v="34"/>
    <s v="Si"/>
    <s v="Español"/>
    <n v="0.1066329398538505"/>
    <n v="4"/>
    <n v="0.426531759415402"/>
    <x v="0"/>
    <m/>
    <x v="0"/>
  </r>
  <r>
    <n v="1102500791"/>
    <x v="4"/>
    <x v="3"/>
    <d v="2023-02-04T08:33:54"/>
    <s v="tierradoble"/>
    <x v="2327"/>
    <x v="34"/>
    <s v="No"/>
    <s v="Español"/>
    <n v="1.0556661045531199"/>
    <n v="1"/>
    <n v="1.0556661045531199"/>
    <x v="0"/>
    <m/>
    <x v="0"/>
  </r>
  <r>
    <n v="1102500791"/>
    <x v="4"/>
    <x v="3"/>
    <d v="2023-02-04T08:33:54"/>
    <s v="tierradoble"/>
    <x v="825"/>
    <x v="34"/>
    <s v="No"/>
    <s v="Español"/>
    <n v="1.0663293985385049"/>
    <n v="2"/>
    <n v="2.1326587970770099"/>
    <x v="0"/>
    <m/>
    <x v="0"/>
  </r>
  <r>
    <n v="1102500791"/>
    <x v="4"/>
    <x v="3"/>
    <d v="2023-02-04T08:33:54"/>
    <s v="tierradoble"/>
    <x v="1100"/>
    <x v="34"/>
    <s v="Si"/>
    <s v="Inglés"/>
    <n v="0.95969645868465436"/>
    <n v="4"/>
    <n v="3.8387858347386175"/>
    <x v="0"/>
    <m/>
    <x v="0"/>
  </r>
  <r>
    <n v="1102239837"/>
    <x v="4"/>
    <x v="3"/>
    <d v="2023-02-01T17:42:55"/>
    <s v="ROMACE"/>
    <x v="2328"/>
    <x v="37"/>
    <s v="No"/>
    <s v="Español"/>
    <n v="6.09"/>
    <n v="2"/>
    <n v="12.18"/>
    <x v="0"/>
    <m/>
    <x v="0"/>
  </r>
  <r>
    <n v="1102230131"/>
    <x v="4"/>
    <x v="3"/>
    <d v="2023-02-01T17:42:55"/>
    <s v="Metropolis-Center"/>
    <x v="2329"/>
    <x v="72"/>
    <s v="No"/>
    <s v="Español"/>
    <n v="1.5930597889800699"/>
    <n v="2"/>
    <n v="3.1861195779601399"/>
    <x v="0"/>
    <m/>
    <x v="0"/>
  </r>
  <r>
    <n v="1102230131"/>
    <x v="4"/>
    <x v="3"/>
    <d v="2023-02-01T17:42:55"/>
    <s v="Metropolis-Center"/>
    <x v="2330"/>
    <x v="263"/>
    <s v="Si"/>
    <s v="Español"/>
    <n v="0.31005861664712769"/>
    <n v="4"/>
    <n v="1.2402344665885108"/>
    <x v="0"/>
    <m/>
    <x v="0"/>
  </r>
  <r>
    <n v="1102230131"/>
    <x v="4"/>
    <x v="3"/>
    <d v="2023-02-01T17:42:55"/>
    <s v="Metropolis-Center"/>
    <x v="2331"/>
    <x v="64"/>
    <s v="Si"/>
    <s v="Inglés"/>
    <n v="0.79118405627198118"/>
    <n v="4"/>
    <n v="3.1647362250879247"/>
    <x v="0"/>
    <m/>
    <x v="0"/>
  </r>
  <r>
    <n v="1102230131"/>
    <x v="4"/>
    <x v="3"/>
    <d v="2023-02-01T17:42:55"/>
    <s v="Metropolis-Center"/>
    <x v="1391"/>
    <x v="210"/>
    <s v="Si"/>
    <s v="Inglés"/>
    <n v="2.6622274325908561"/>
    <n v="4"/>
    <n v="10.648909730363425"/>
    <x v="0"/>
    <m/>
    <x v="0"/>
  </r>
  <r>
    <n v="1101912517"/>
    <x v="5"/>
    <x v="3"/>
    <d v="2023-01-29T20:20:19"/>
    <s v="Articuno"/>
    <x v="2332"/>
    <x v="309"/>
    <s v="No"/>
    <s v="Inglés"/>
    <n v="23.964680851063829"/>
    <n v="1"/>
    <n v="23.964680851063829"/>
    <x v="0"/>
    <m/>
    <x v="0"/>
  </r>
  <r>
    <n v="1101912517"/>
    <x v="5"/>
    <x v="3"/>
    <d v="2023-01-29T20:20:19"/>
    <s v="Articuno"/>
    <x v="2333"/>
    <x v="134"/>
    <s v="No"/>
    <s v="Japonés"/>
    <n v="7.1653191489361703"/>
    <n v="1"/>
    <n v="7.1653191489361703"/>
    <x v="0"/>
    <m/>
    <x v="0"/>
  </r>
  <r>
    <n v="1101911975"/>
    <x v="5"/>
    <x v="3"/>
    <d v="2023-01-29T20:20:19"/>
    <s v="euromagik"/>
    <x v="1778"/>
    <x v="221"/>
    <s v="No"/>
    <s v="Inglés"/>
    <n v="7.4272727272727277"/>
    <n v="1"/>
    <n v="7.4272727272727277"/>
    <x v="0"/>
    <m/>
    <x v="0"/>
  </r>
  <r>
    <n v="1101911975"/>
    <x v="5"/>
    <x v="3"/>
    <d v="2023-01-29T20:20:19"/>
    <s v="euromagik"/>
    <x v="2215"/>
    <x v="304"/>
    <s v="No"/>
    <s v="Inglés"/>
    <n v="8.6363636363636367"/>
    <n v="2"/>
    <n v="17.272727272727273"/>
    <x v="0"/>
    <m/>
    <x v="0"/>
  </r>
  <r>
    <n v="1101909534"/>
    <x v="5"/>
    <x v="3"/>
    <d v="2023-01-29T20:20:19"/>
    <s v="GorkaSaiz"/>
    <x v="2334"/>
    <x v="117"/>
    <s v="No"/>
    <s v="Chino-S"/>
    <n v="33.28"/>
    <n v="1"/>
    <n v="33.28"/>
    <x v="0"/>
    <m/>
    <x v="0"/>
  </r>
  <r>
    <n v="1101909422"/>
    <x v="5"/>
    <x v="3"/>
    <d v="2023-01-29T20:20:19"/>
    <s v="nandomr20"/>
    <x v="2335"/>
    <x v="46"/>
    <s v="No"/>
    <s v="Japonés"/>
    <n v="3.7129707112970709"/>
    <n v="1"/>
    <n v="3.7129707112970709"/>
    <x v="0"/>
    <m/>
    <x v="0"/>
  </r>
  <r>
    <n v="1101909422"/>
    <x v="5"/>
    <x v="3"/>
    <d v="2023-01-29T20:20:19"/>
    <s v="nandomr20"/>
    <x v="1438"/>
    <x v="163"/>
    <s v="No"/>
    <s v="Chino"/>
    <n v="58.927029288702933"/>
    <n v="1"/>
    <n v="58.927029288702933"/>
    <x v="0"/>
    <m/>
    <x v="0"/>
  </r>
  <r>
    <n v="1101131183"/>
    <x v="5"/>
    <x v="3"/>
    <d v="2023-01-22T13:14:28"/>
    <s v="willybizarre"/>
    <x v="1228"/>
    <x v="115"/>
    <s v="Si"/>
    <s v="Chino-S"/>
    <n v="9.31"/>
    <n v="4"/>
    <n v="37.24"/>
    <x v="0"/>
    <m/>
    <x v="0"/>
  </r>
  <r>
    <n v="1100966441"/>
    <x v="5"/>
    <x v="3"/>
    <d v="2023-01-20T17:53:02"/>
    <s v="borjariu"/>
    <x v="2336"/>
    <x v="175"/>
    <s v="No"/>
    <s v="Español"/>
    <n v="6.17"/>
    <n v="1"/>
    <n v="6.17"/>
    <x v="0"/>
    <m/>
    <x v="0"/>
  </r>
  <r>
    <n v="1100958073"/>
    <x v="5"/>
    <x v="3"/>
    <d v="2023-01-20T16:18:25"/>
    <s v="SUMMONERSRIFT"/>
    <x v="2337"/>
    <x v="15"/>
    <s v="No"/>
    <s v="Inglés"/>
    <n v="16.18"/>
    <n v="1"/>
    <n v="16.18"/>
    <x v="0"/>
    <m/>
    <x v="0"/>
  </r>
  <r>
    <n v="1100957663"/>
    <x v="5"/>
    <x v="3"/>
    <d v="2023-01-20T16:18:25"/>
    <s v="Rokas7"/>
    <x v="1379"/>
    <x v="155"/>
    <s v="No"/>
    <s v="Inglés"/>
    <n v="11.32"/>
    <n v="1"/>
    <n v="11.32"/>
    <x v="0"/>
    <m/>
    <x v="0"/>
  </r>
  <r>
    <n v="1100957663"/>
    <x v="5"/>
    <x v="3"/>
    <d v="2023-01-20T16:18:25"/>
    <s v="Rokas7"/>
    <x v="1379"/>
    <x v="155"/>
    <s v="No"/>
    <s v="Español"/>
    <n v="11.32"/>
    <n v="3"/>
    <n v="33.96"/>
    <x v="0"/>
    <m/>
    <x v="0"/>
  </r>
  <r>
    <n v="1100955761"/>
    <x v="5"/>
    <x v="3"/>
    <d v="2023-01-20T16:18:25"/>
    <s v="Random-player"/>
    <x v="2338"/>
    <x v="72"/>
    <s v="Si"/>
    <s v="Japonés"/>
    <n v="2.2029389312977101"/>
    <n v="4"/>
    <n v="8.8117557251908405"/>
    <x v="0"/>
    <m/>
    <x v="0"/>
  </r>
  <r>
    <n v="1100955761"/>
    <x v="5"/>
    <x v="3"/>
    <d v="2023-01-20T16:18:25"/>
    <s v="Random-player"/>
    <x v="2339"/>
    <x v="159"/>
    <s v="No"/>
    <s v="Español"/>
    <n v="0.53404580152671755"/>
    <n v="1"/>
    <n v="0.53404580152671755"/>
    <x v="0"/>
    <m/>
    <x v="0"/>
  </r>
  <r>
    <n v="1100955761"/>
    <x v="5"/>
    <x v="3"/>
    <d v="2023-01-20T16:18:25"/>
    <s v="Random-player"/>
    <x v="2339"/>
    <x v="159"/>
    <s v="No"/>
    <s v="Inglés"/>
    <n v="0.55629770992366412"/>
    <n v="1"/>
    <n v="0.55629770992366412"/>
    <x v="0"/>
    <m/>
    <x v="0"/>
  </r>
  <r>
    <n v="1100955761"/>
    <x v="5"/>
    <x v="3"/>
    <d v="2023-01-20T16:18:25"/>
    <s v="Random-player"/>
    <x v="2339"/>
    <x v="159"/>
    <s v="No"/>
    <s v="Italiano"/>
    <n v="0.1223854961832061"/>
    <n v="2"/>
    <n v="0.2447709923664122"/>
    <x v="0"/>
    <m/>
    <x v="0"/>
  </r>
  <r>
    <n v="1100955761"/>
    <x v="5"/>
    <x v="3"/>
    <d v="2023-01-20T16:18:25"/>
    <s v="Random-player"/>
    <x v="2340"/>
    <x v="37"/>
    <s v="Si"/>
    <s v="Inglés"/>
    <n v="0.26702290076335877"/>
    <n v="4"/>
    <n v="1.0680916030534351"/>
    <x v="0"/>
    <m/>
    <x v="0"/>
  </r>
  <r>
    <n v="1100955761"/>
    <x v="5"/>
    <x v="3"/>
    <d v="2023-01-20T16:18:25"/>
    <s v="Random-player"/>
    <x v="2341"/>
    <x v="64"/>
    <s v="Si"/>
    <s v="Inglés"/>
    <n v="0.1112595419847328"/>
    <n v="4"/>
    <n v="0.4450381679389312"/>
    <x v="0"/>
    <m/>
    <x v="0"/>
  </r>
  <r>
    <n v="1100955760"/>
    <x v="5"/>
    <x v="3"/>
    <d v="2023-01-20T16:18:25"/>
    <s v="willybizarre"/>
    <x v="2342"/>
    <x v="263"/>
    <s v="No"/>
    <s v="Español"/>
    <n v="0.18034511784511781"/>
    <n v="2"/>
    <n v="0.36069023569023562"/>
    <x v="0"/>
    <m/>
    <x v="0"/>
  </r>
  <r>
    <n v="1100955760"/>
    <x v="5"/>
    <x v="3"/>
    <d v="2023-01-20T16:18:25"/>
    <s v="willybizarre"/>
    <x v="2343"/>
    <x v="250"/>
    <s v="Si"/>
    <s v="Japonés"/>
    <n v="1.5028759820426489"/>
    <n v="4"/>
    <n v="6.0115039281705958"/>
    <x v="0"/>
    <m/>
    <x v="0"/>
  </r>
  <r>
    <n v="1100955760"/>
    <x v="5"/>
    <x v="3"/>
    <d v="2023-01-20T16:18:25"/>
    <s v="willybizarre"/>
    <x v="2344"/>
    <x v="261"/>
    <s v="No"/>
    <s v="Japonés"/>
    <n v="4.7971801346801346"/>
    <n v="2"/>
    <n v="9.5943602693602692"/>
    <x v="0"/>
    <m/>
    <x v="0"/>
  </r>
  <r>
    <n v="1100955760"/>
    <x v="5"/>
    <x v="3"/>
    <d v="2023-01-20T16:18:25"/>
    <s v="willybizarre"/>
    <x v="2345"/>
    <x v="152"/>
    <s v="No"/>
    <s v="Inglés"/>
    <n v="0.1202300785634119"/>
    <n v="2"/>
    <n v="0.24046015712682381"/>
    <x v="0"/>
    <m/>
    <x v="0"/>
  </r>
  <r>
    <n v="1100955760"/>
    <x v="5"/>
    <x v="3"/>
    <d v="2023-01-20T16:18:25"/>
    <s v="willybizarre"/>
    <x v="2346"/>
    <x v="72"/>
    <s v="Si"/>
    <s v="Inglés"/>
    <n v="1.5028759820426489"/>
    <n v="4"/>
    <n v="6.0115039281705958"/>
    <x v="0"/>
    <m/>
    <x v="0"/>
  </r>
  <r>
    <n v="1100955760"/>
    <x v="5"/>
    <x v="3"/>
    <d v="2023-01-20T16:18:25"/>
    <s v="willybizarre"/>
    <x v="2347"/>
    <x v="117"/>
    <s v="Si"/>
    <s v="Inglés"/>
    <n v="1.190277777777778"/>
    <n v="4"/>
    <n v="4.761111111111112"/>
    <x v="0"/>
    <m/>
    <x v="0"/>
  </r>
  <r>
    <n v="1100955760"/>
    <x v="5"/>
    <x v="3"/>
    <d v="2023-01-20T16:18:25"/>
    <s v="willybizarre"/>
    <x v="2348"/>
    <x v="78"/>
    <s v="Si"/>
    <s v="Inglés"/>
    <n v="0.90172558922558921"/>
    <n v="4"/>
    <n v="3.6069023569023568"/>
    <x v="0"/>
    <m/>
    <x v="0"/>
  </r>
  <r>
    <n v="1100955760"/>
    <x v="5"/>
    <x v="3"/>
    <d v="2023-01-20T16:18:25"/>
    <s v="willybizarre"/>
    <x v="2349"/>
    <x v="168"/>
    <s v="Si"/>
    <s v="Inglés"/>
    <n v="0.18034511784511781"/>
    <n v="4"/>
    <n v="0.72138047138047123"/>
    <x v="0"/>
    <m/>
    <x v="0"/>
  </r>
  <r>
    <n v="1100955760"/>
    <x v="5"/>
    <x v="3"/>
    <d v="2023-01-20T16:18:25"/>
    <s v="willybizarre"/>
    <x v="2350"/>
    <x v="117"/>
    <s v="No"/>
    <s v="Español"/>
    <n v="0.58912738496071826"/>
    <n v="2"/>
    <n v="1.1782547699214365"/>
    <x v="0"/>
    <m/>
    <x v="0"/>
  </r>
  <r>
    <n v="1100955760"/>
    <x v="5"/>
    <x v="3"/>
    <d v="2023-01-20T16:18:25"/>
    <s v="willybizarre"/>
    <x v="206"/>
    <x v="42"/>
    <s v="No"/>
    <s v="Inglés"/>
    <n v="1.190277777777778"/>
    <n v="1"/>
    <n v="1.190277777777778"/>
    <x v="0"/>
    <m/>
    <x v="0"/>
  </r>
  <r>
    <n v="1100955760"/>
    <x v="5"/>
    <x v="3"/>
    <d v="2023-01-20T16:18:25"/>
    <s v="willybizarre"/>
    <x v="2351"/>
    <x v="167"/>
    <s v="No"/>
    <s v="Inglés"/>
    <n v="0.42080527497194159"/>
    <n v="2"/>
    <n v="0.84161054994388318"/>
    <x v="0"/>
    <m/>
    <x v="0"/>
  </r>
  <r>
    <n v="1100955760"/>
    <x v="5"/>
    <x v="3"/>
    <d v="2023-01-20T16:18:25"/>
    <s v="willybizarre"/>
    <x v="206"/>
    <x v="42"/>
    <s v="No"/>
    <s v="Chino-S"/>
    <n v="1.190277777777778"/>
    <n v="3"/>
    <n v="3.5708333333333337"/>
    <x v="0"/>
    <m/>
    <x v="0"/>
  </r>
  <r>
    <n v="1100955760"/>
    <x v="5"/>
    <x v="3"/>
    <d v="2023-01-20T16:18:25"/>
    <s v="willybizarre"/>
    <x v="281"/>
    <x v="90"/>
    <s v="Si"/>
    <s v="Inglés"/>
    <n v="0.58912738496071826"/>
    <n v="4"/>
    <n v="2.356509539842873"/>
    <x v="0"/>
    <m/>
    <x v="0"/>
  </r>
  <r>
    <n v="1100955760"/>
    <x v="5"/>
    <x v="3"/>
    <d v="2023-01-20T16:18:25"/>
    <s v="willybizarre"/>
    <x v="241"/>
    <x v="37"/>
    <s v="No"/>
    <s v="Inglés"/>
    <n v="0.30057519640852981"/>
    <n v="2"/>
    <n v="0.60115039281705962"/>
    <x v="0"/>
    <m/>
    <x v="0"/>
  </r>
  <r>
    <n v="1100955760"/>
    <x v="5"/>
    <x v="3"/>
    <d v="2023-01-20T16:18:25"/>
    <s v="willybizarre"/>
    <x v="927"/>
    <x v="66"/>
    <s v="No"/>
    <s v="Japonés"/>
    <n v="0.90172558922558921"/>
    <n v="2"/>
    <n v="1.8034511784511784"/>
    <x v="0"/>
    <m/>
    <x v="0"/>
  </r>
  <r>
    <n v="1100879522"/>
    <x v="5"/>
    <x v="3"/>
    <d v="2023-01-19T20:34:57"/>
    <s v="Mrguille"/>
    <x v="1413"/>
    <x v="139"/>
    <s v="No"/>
    <s v="Inglés"/>
    <n v="11.09"/>
    <n v="2"/>
    <n v="22.18"/>
    <x v="0"/>
    <m/>
    <x v="0"/>
  </r>
  <r>
    <n v="1100426977"/>
    <x v="5"/>
    <x v="3"/>
    <d v="2023-01-15T12:15:09"/>
    <s v="AceMagicDealer"/>
    <x v="264"/>
    <x v="67"/>
    <s v="No"/>
    <s v="Español"/>
    <n v="2.6446801346801352"/>
    <n v="2"/>
    <n v="5.2893602693602704"/>
    <x v="0"/>
    <m/>
    <x v="0"/>
  </r>
  <r>
    <n v="1100426977"/>
    <x v="5"/>
    <x v="3"/>
    <d v="2023-01-15T12:15:09"/>
    <s v="AceMagicDealer"/>
    <x v="1211"/>
    <x v="67"/>
    <s v="No"/>
    <s v="Español"/>
    <n v="10.74063973063973"/>
    <n v="1"/>
    <n v="10.74063973063973"/>
    <x v="0"/>
    <m/>
    <x v="0"/>
  </r>
  <r>
    <n v="1100426398"/>
    <x v="5"/>
    <x v="3"/>
    <d v="2023-01-15T12:05:11"/>
    <s v="Gayoso"/>
    <x v="2352"/>
    <x v="159"/>
    <s v="No"/>
    <s v="Chino-T"/>
    <n v="9.59"/>
    <n v="1"/>
    <n v="9.59"/>
    <x v="0"/>
    <m/>
    <x v="0"/>
  </r>
  <r>
    <n v="1100426398"/>
    <x v="5"/>
    <x v="3"/>
    <d v="2023-01-15T12:05:11"/>
    <s v="Gayoso"/>
    <x v="2352"/>
    <x v="159"/>
    <s v="No"/>
    <s v="Italiano"/>
    <n v="9.59"/>
    <n v="1"/>
    <n v="9.59"/>
    <x v="0"/>
    <m/>
    <x v="0"/>
  </r>
  <r>
    <n v="1100382249"/>
    <x v="5"/>
    <x v="3"/>
    <d v="2023-01-14T21:41:24"/>
    <s v="Nightbryd"/>
    <x v="2353"/>
    <x v="242"/>
    <s v="No"/>
    <s v="Italiano"/>
    <n v="1.264"/>
    <n v="3"/>
    <n v="3.7919999999999998"/>
    <x v="0"/>
    <m/>
    <x v="0"/>
  </r>
  <r>
    <n v="1100382249"/>
    <x v="5"/>
    <x v="3"/>
    <d v="2023-01-14T21:41:24"/>
    <s v="Nightbryd"/>
    <x v="1374"/>
    <x v="37"/>
    <s v="No"/>
    <s v="Inglés"/>
    <n v="10.744"/>
    <n v="2"/>
    <n v="21.488"/>
    <x v="0"/>
    <m/>
    <x v="0"/>
  </r>
  <r>
    <n v="1100375970"/>
    <x v="5"/>
    <x v="3"/>
    <d v="2023-01-14T21:41:24"/>
    <s v="mogul"/>
    <x v="2354"/>
    <x v="90"/>
    <s v="No"/>
    <s v="Inglés"/>
    <n v="51.28"/>
    <n v="1"/>
    <n v="51.28"/>
    <x v="0"/>
    <m/>
    <x v="0"/>
  </r>
  <r>
    <n v="1100375384"/>
    <x v="5"/>
    <x v="3"/>
    <d v="2023-01-14T21:41:24"/>
    <s v="ReyConde"/>
    <x v="2355"/>
    <x v="78"/>
    <s v="No"/>
    <s v="Inglés"/>
    <n v="1.0513043478260871"/>
    <n v="1"/>
    <n v="1.0513043478260871"/>
    <x v="0"/>
    <m/>
    <x v="0"/>
  </r>
  <r>
    <n v="1100375384"/>
    <x v="5"/>
    <x v="3"/>
    <d v="2023-01-14T21:41:24"/>
    <s v="ReyConde"/>
    <x v="2356"/>
    <x v="113"/>
    <s v="No"/>
    <s v="Inglés"/>
    <n v="12.615652173913039"/>
    <n v="1"/>
    <n v="12.615652173913039"/>
    <x v="0"/>
    <m/>
    <x v="0"/>
  </r>
  <r>
    <n v="1100375384"/>
    <x v="5"/>
    <x v="3"/>
    <d v="2023-01-14T21:41:24"/>
    <s v="ReyConde"/>
    <x v="2357"/>
    <x v="229"/>
    <s v="No"/>
    <s v="Inglés"/>
    <n v="4.2052173913043482"/>
    <n v="1"/>
    <n v="4.2052173913043482"/>
    <x v="0"/>
    <m/>
    <x v="0"/>
  </r>
  <r>
    <n v="1100375384"/>
    <x v="5"/>
    <x v="3"/>
    <d v="2023-01-14T21:41:24"/>
    <s v="ReyConde"/>
    <x v="2358"/>
    <x v="21"/>
    <s v="No"/>
    <s v="Inglés"/>
    <n v="6.3078260869565206"/>
    <n v="1"/>
    <n v="6.3078260869565206"/>
    <x v="0"/>
    <m/>
    <x v="0"/>
  </r>
  <r>
    <n v="1100375218"/>
    <x v="5"/>
    <x v="3"/>
    <d v="2023-01-14T21:41:24"/>
    <s v="Eurekagames"/>
    <x v="2359"/>
    <x v="113"/>
    <s v="Si"/>
    <s v="Inglés"/>
    <n v="2.5350000000000001"/>
    <n v="4"/>
    <n v="10.14"/>
    <x v="0"/>
    <m/>
    <x v="0"/>
  </r>
  <r>
    <n v="1100374850"/>
    <x v="5"/>
    <x v="3"/>
    <d v="2023-01-14T21:41:24"/>
    <s v="Mazvigosl"/>
    <x v="2360"/>
    <x v="64"/>
    <s v="Si"/>
    <s v="Inglés"/>
    <n v="0.58605026929982051"/>
    <n v="4"/>
    <n v="2.3442010771992821"/>
    <x v="0"/>
    <m/>
    <x v="0"/>
  </r>
  <r>
    <n v="1100374850"/>
    <x v="5"/>
    <x v="3"/>
    <d v="2023-01-14T21:41:24"/>
    <s v="Mazvigosl"/>
    <x v="2361"/>
    <x v="219"/>
    <s v="No"/>
    <s v="Inglés"/>
    <n v="0.54263913824057453"/>
    <n v="3"/>
    <n v="1.6279174147217237"/>
    <x v="0"/>
    <m/>
    <x v="0"/>
  </r>
  <r>
    <n v="1100374850"/>
    <x v="5"/>
    <x v="3"/>
    <d v="2023-01-14T21:41:24"/>
    <s v="Mazvigosl"/>
    <x v="2362"/>
    <x v="49"/>
    <s v="No"/>
    <s v="Inglés"/>
    <n v="5.3612746858168769"/>
    <n v="1"/>
    <n v="5.3612746858168769"/>
    <x v="0"/>
    <m/>
    <x v="0"/>
  </r>
  <r>
    <n v="1100374850"/>
    <x v="5"/>
    <x v="3"/>
    <d v="2023-01-14T21:41:24"/>
    <s v="Mazvigosl"/>
    <x v="2363"/>
    <x v="139"/>
    <s v="No"/>
    <s v="Inglés"/>
    <n v="2.1162926391382411"/>
    <n v="2"/>
    <n v="4.2325852782764821"/>
    <x v="0"/>
    <m/>
    <x v="0"/>
  </r>
  <r>
    <n v="1100374850"/>
    <x v="5"/>
    <x v="3"/>
    <d v="2023-01-14T21:41:24"/>
    <s v="Mazvigosl"/>
    <x v="754"/>
    <x v="12"/>
    <s v="Si"/>
    <s v="Inglés"/>
    <n v="0.13023339317773791"/>
    <n v="4"/>
    <n v="0.52093357271095164"/>
    <x v="0"/>
    <m/>
    <x v="0"/>
  </r>
  <r>
    <n v="1100374850"/>
    <x v="5"/>
    <x v="3"/>
    <d v="2023-01-14T21:41:24"/>
    <s v="Mazvigosl"/>
    <x v="2364"/>
    <x v="8"/>
    <s v="Si"/>
    <s v="Inglés"/>
    <n v="0.66201974865350088"/>
    <n v="4"/>
    <n v="2.6480789946140035"/>
    <x v="0"/>
    <m/>
    <x v="0"/>
  </r>
  <r>
    <n v="1100374850"/>
    <x v="5"/>
    <x v="3"/>
    <d v="2023-01-14T21:41:24"/>
    <s v="Mazvigosl"/>
    <x v="2365"/>
    <x v="67"/>
    <s v="No"/>
    <s v="Inglés"/>
    <n v="0.81395870736086173"/>
    <n v="2"/>
    <n v="1.6279174147217235"/>
    <x v="0"/>
    <m/>
    <x v="0"/>
  </r>
  <r>
    <n v="1100374850"/>
    <x v="5"/>
    <x v="3"/>
    <d v="2023-01-14T21:41:24"/>
    <s v="Mazvigosl"/>
    <x v="2366"/>
    <x v="101"/>
    <s v="Si"/>
    <s v="Inglés"/>
    <n v="0.20620287253141831"/>
    <n v="4"/>
    <n v="0.82481149012567323"/>
    <x v="0"/>
    <m/>
    <x v="0"/>
  </r>
  <r>
    <n v="1100374850"/>
    <x v="5"/>
    <x v="3"/>
    <d v="2023-01-14T21:41:24"/>
    <s v="Mazvigosl"/>
    <x v="799"/>
    <x v="45"/>
    <s v="No"/>
    <s v="Inglés"/>
    <n v="0.37984739676840212"/>
    <n v="8"/>
    <n v="3.038779174147217"/>
    <x v="0"/>
    <m/>
    <x v="0"/>
  </r>
  <r>
    <n v="1100374850"/>
    <x v="5"/>
    <x v="3"/>
    <d v="2023-01-14T21:41:24"/>
    <s v="Mazvigosl"/>
    <x v="653"/>
    <x v="216"/>
    <s v="Si"/>
    <s v="Inglés"/>
    <n v="0.48837522441651698"/>
    <n v="4"/>
    <n v="1.9535008976660679"/>
    <x v="0"/>
    <m/>
    <x v="0"/>
  </r>
  <r>
    <n v="1099980474"/>
    <x v="5"/>
    <x v="3"/>
    <d v="2023-01-10T18:34:20"/>
    <s v="infinitiworld"/>
    <x v="2367"/>
    <x v="244"/>
    <s v="No"/>
    <s v="Español"/>
    <n v="11.18"/>
    <n v="1"/>
    <n v="11.18"/>
    <x v="0"/>
    <m/>
    <x v="0"/>
  </r>
  <r>
    <n v="1099979167"/>
    <x v="5"/>
    <x v="3"/>
    <d v="2023-01-10T18:34:20"/>
    <s v="lluiset12"/>
    <x v="1392"/>
    <x v="67"/>
    <s v="No"/>
    <s v="Inglés"/>
    <n v="11.18"/>
    <n v="1"/>
    <n v="11.18"/>
    <x v="0"/>
    <m/>
    <x v="0"/>
  </r>
  <r>
    <n v="1099772885"/>
    <x v="5"/>
    <x v="3"/>
    <d v="2023-01-10T12:49:17"/>
    <s v="saltamontes"/>
    <x v="653"/>
    <x v="216"/>
    <s v="No"/>
    <s v="Inglés"/>
    <n v="0.15901639344262289"/>
    <n v="1"/>
    <n v="0.15901639344262289"/>
    <x v="0"/>
    <m/>
    <x v="0"/>
  </r>
  <r>
    <n v="1099772885"/>
    <x v="5"/>
    <x v="3"/>
    <d v="2023-01-10T12:49:17"/>
    <s v="saltamontes"/>
    <x v="2368"/>
    <x v="72"/>
    <s v="No"/>
    <s v="Inglés"/>
    <n v="21.19158469945355"/>
    <n v="1"/>
    <n v="21.19158469945355"/>
    <x v="0"/>
    <m/>
    <x v="0"/>
  </r>
  <r>
    <n v="1099772885"/>
    <x v="5"/>
    <x v="3"/>
    <d v="2023-01-10T12:49:17"/>
    <s v="saltamontes"/>
    <x v="2369"/>
    <x v="117"/>
    <s v="No"/>
    <s v="Español"/>
    <n v="3.180327868852459"/>
    <n v="1"/>
    <n v="3.180327868852459"/>
    <x v="0"/>
    <m/>
    <x v="0"/>
  </r>
  <r>
    <n v="1099772885"/>
    <x v="5"/>
    <x v="3"/>
    <d v="2023-01-10T12:49:17"/>
    <s v="saltamontes"/>
    <x v="1560"/>
    <x v="193"/>
    <s v="No"/>
    <s v="Alemán"/>
    <n v="0.5300546448087432"/>
    <n v="2"/>
    <n v="1.0601092896174864"/>
    <x v="0"/>
    <m/>
    <x v="0"/>
  </r>
  <r>
    <n v="1099772885"/>
    <x v="5"/>
    <x v="3"/>
    <d v="2023-01-10T12:49:17"/>
    <s v="saltamontes"/>
    <x v="2370"/>
    <x v="255"/>
    <s v="No"/>
    <s v="Español"/>
    <n v="1.5901639344262291"/>
    <n v="1"/>
    <n v="1.5901639344262291"/>
    <x v="0"/>
    <m/>
    <x v="0"/>
  </r>
  <r>
    <n v="1099772885"/>
    <x v="5"/>
    <x v="3"/>
    <d v="2023-01-10T12:49:17"/>
    <s v="saltamontes"/>
    <x v="2368"/>
    <x v="65"/>
    <s v="No"/>
    <s v="Inglés"/>
    <n v="20.672131147540981"/>
    <n v="1"/>
    <n v="20.672131147540981"/>
    <x v="0"/>
    <m/>
    <x v="0"/>
  </r>
  <r>
    <n v="1099772885"/>
    <x v="5"/>
    <x v="3"/>
    <d v="2023-01-10T12:49:17"/>
    <s v="saltamontes"/>
    <x v="2220"/>
    <x v="194"/>
    <s v="No"/>
    <s v="Japonés"/>
    <n v="42.404371584699447"/>
    <n v="1"/>
    <n v="42.404371584699447"/>
    <x v="0"/>
    <m/>
    <x v="0"/>
  </r>
  <r>
    <n v="1099772885"/>
    <x v="5"/>
    <x v="3"/>
    <d v="2023-01-10T12:49:17"/>
    <s v="saltamontes"/>
    <x v="589"/>
    <x v="194"/>
    <s v="No"/>
    <s v="Español"/>
    <n v="2.8622950819672131"/>
    <n v="1"/>
    <n v="2.8622950819672131"/>
    <x v="0"/>
    <m/>
    <x v="0"/>
  </r>
  <r>
    <n v="1099635627"/>
    <x v="5"/>
    <x v="3"/>
    <d v="2023-01-09T18:31:03"/>
    <s v="LuisLlana"/>
    <x v="2371"/>
    <x v="71"/>
    <s v="No"/>
    <s v="Español"/>
    <n v="16.416698337292161"/>
    <n v="1"/>
    <n v="16.416698337292161"/>
    <x v="0"/>
    <m/>
    <x v="0"/>
  </r>
  <r>
    <n v="1099635627"/>
    <x v="5"/>
    <x v="3"/>
    <d v="2023-01-09T18:31:03"/>
    <s v="LuisLlana"/>
    <x v="2368"/>
    <x v="49"/>
    <s v="No"/>
    <s v="Inglés"/>
    <n v="20.588598574821852"/>
    <n v="2"/>
    <n v="41.177197149643703"/>
    <x v="0"/>
    <m/>
    <x v="0"/>
  </r>
  <r>
    <n v="1099635627"/>
    <x v="5"/>
    <x v="3"/>
    <d v="2023-01-09T18:31:03"/>
    <s v="LuisLlana"/>
    <x v="2372"/>
    <x v="219"/>
    <s v="Si"/>
    <s v="Español"/>
    <n v="2.7090261282660331"/>
    <n v="4"/>
    <n v="10.836104513064132"/>
    <x v="0"/>
    <m/>
    <x v="0"/>
  </r>
  <r>
    <n v="1099635323"/>
    <x v="5"/>
    <x v="3"/>
    <d v="2023-01-09T17:40:29"/>
    <s v="PulpulFolker"/>
    <x v="2373"/>
    <x v="238"/>
    <s v="No"/>
    <s v="Español"/>
    <n v="3.198412698412699"/>
    <n v="2"/>
    <n v="6.3968253968253981"/>
    <x v="0"/>
    <m/>
    <x v="0"/>
  </r>
  <r>
    <n v="1099635323"/>
    <x v="5"/>
    <x v="3"/>
    <d v="2023-01-09T17:40:29"/>
    <s v="PulpulFolker"/>
    <x v="2374"/>
    <x v="247"/>
    <s v="No"/>
    <s v="Español"/>
    <n v="16.567777777777781"/>
    <n v="1"/>
    <n v="16.567777777777781"/>
    <x v="0"/>
    <m/>
    <x v="0"/>
  </r>
  <r>
    <n v="1099635323"/>
    <x v="5"/>
    <x v="3"/>
    <d v="2023-01-09T17:40:29"/>
    <s v="PulpulFolker"/>
    <x v="696"/>
    <x v="46"/>
    <s v="No"/>
    <s v="Español"/>
    <n v="1.215396825396825"/>
    <n v="1"/>
    <n v="1.215396825396825"/>
    <x v="0"/>
    <m/>
    <x v="0"/>
  </r>
  <r>
    <n v="1099624602"/>
    <x v="5"/>
    <x v="3"/>
    <d v="2023-01-07T01:35:11"/>
    <s v="Itaca"/>
    <x v="2296"/>
    <x v="307"/>
    <s v="No"/>
    <s v="Inglés"/>
    <n v="4.5832106038291611"/>
    <n v="3"/>
    <n v="13.749631811487482"/>
    <x v="0"/>
    <m/>
    <x v="0"/>
  </r>
  <r>
    <n v="1099624602"/>
    <x v="5"/>
    <x v="3"/>
    <d v="2023-01-07T01:35:11"/>
    <s v="Itaca"/>
    <x v="1290"/>
    <x v="261"/>
    <s v="No"/>
    <s v="Inglés"/>
    <n v="25.15036818851252"/>
    <n v="1"/>
    <n v="25.15036818851252"/>
    <x v="0"/>
    <m/>
    <x v="0"/>
  </r>
  <r>
    <n v="1099623764"/>
    <x v="5"/>
    <x v="3"/>
    <d v="2023-01-07T01:35:11"/>
    <s v="Chus-Saxo"/>
    <x v="2375"/>
    <x v="139"/>
    <s v="No"/>
    <s v="Español"/>
    <n v="6.0449504950495054"/>
    <n v="1"/>
    <n v="6.0449504950495054"/>
    <x v="0"/>
    <m/>
    <x v="0"/>
  </r>
  <r>
    <n v="1099623764"/>
    <x v="5"/>
    <x v="3"/>
    <d v="2023-01-07T01:35:11"/>
    <s v="Chus-Saxo"/>
    <x v="2303"/>
    <x v="21"/>
    <s v="No"/>
    <s v="Español"/>
    <n v="6.1683168316831689E-2"/>
    <n v="3"/>
    <n v="0.18504950495049508"/>
    <x v="0"/>
    <m/>
    <x v="0"/>
  </r>
  <r>
    <n v="1099619167"/>
    <x v="5"/>
    <x v="3"/>
    <d v="2023-01-07T01:35:11"/>
    <s v="Moria05"/>
    <x v="2376"/>
    <x v="67"/>
    <s v="Si"/>
    <s v="Español"/>
    <n v="1.709730485634376"/>
    <n v="4"/>
    <n v="6.8389219425375041"/>
    <x v="0"/>
    <m/>
    <x v="0"/>
  </r>
  <r>
    <n v="1099619167"/>
    <x v="5"/>
    <x v="3"/>
    <d v="2023-01-07T01:35:11"/>
    <s v="Moria05"/>
    <x v="1199"/>
    <x v="67"/>
    <s v="No"/>
    <s v="Inglés"/>
    <n v="3.1440681413679128"/>
    <n v="1"/>
    <n v="3.1440681413679128"/>
    <x v="0"/>
    <m/>
    <x v="0"/>
  </r>
  <r>
    <n v="1099619167"/>
    <x v="5"/>
    <x v="3"/>
    <d v="2023-01-07T01:35:11"/>
    <s v="Moria05"/>
    <x v="2377"/>
    <x v="65"/>
    <s v="No"/>
    <s v="Inglés"/>
    <n v="14.859738113399439"/>
    <n v="1"/>
    <n v="14.859738113399439"/>
    <x v="0"/>
    <m/>
    <x v="0"/>
  </r>
  <r>
    <n v="1099619167"/>
    <x v="5"/>
    <x v="3"/>
    <d v="2023-01-07T01:35:11"/>
    <s v="Moria05"/>
    <x v="2378"/>
    <x v="219"/>
    <s v="Si"/>
    <s v="Español"/>
    <n v="0.21801932367149759"/>
    <n v="4"/>
    <n v="0.87207729468599038"/>
    <x v="0"/>
    <m/>
    <x v="0"/>
  </r>
  <r>
    <n v="1099619167"/>
    <x v="5"/>
    <x v="3"/>
    <d v="2023-01-07T01:35:11"/>
    <s v="Moria05"/>
    <x v="332"/>
    <x v="32"/>
    <s v="No"/>
    <s v="Inglés"/>
    <n v="0.55078565980167804"/>
    <n v="2"/>
    <n v="1.1015713196033561"/>
    <x v="0"/>
    <m/>
    <x v="0"/>
  </r>
  <r>
    <n v="1099619167"/>
    <x v="5"/>
    <x v="3"/>
    <d v="2023-01-07T01:35:11"/>
    <s v="Moria05"/>
    <x v="318"/>
    <x v="65"/>
    <s v="Si"/>
    <s v="Inglés"/>
    <n v="0.86060259344012202"/>
    <n v="4"/>
    <n v="3.4424103737604881"/>
    <x v="0"/>
    <m/>
    <x v="0"/>
  </r>
  <r>
    <n v="1099619167"/>
    <x v="5"/>
    <x v="3"/>
    <d v="2023-01-07T01:35:11"/>
    <s v="Moria05"/>
    <x v="319"/>
    <x v="65"/>
    <s v="Si"/>
    <s v="Inglés"/>
    <n v="0.86060259344012202"/>
    <n v="4"/>
    <n v="3.4424103737604881"/>
    <x v="0"/>
    <m/>
    <x v="0"/>
  </r>
  <r>
    <n v="1099619167"/>
    <x v="5"/>
    <x v="3"/>
    <d v="2023-01-07T01:35:11"/>
    <s v="Moria05"/>
    <x v="320"/>
    <x v="65"/>
    <s v="Si"/>
    <s v="Inglés"/>
    <n v="0.86060259344012202"/>
    <n v="4"/>
    <n v="3.4424103737604881"/>
    <x v="0"/>
    <m/>
    <x v="0"/>
  </r>
  <r>
    <n v="1099619167"/>
    <x v="5"/>
    <x v="3"/>
    <d v="2023-01-07T01:35:11"/>
    <s v="Moria05"/>
    <x v="581"/>
    <x v="49"/>
    <s v="Si"/>
    <s v="Inglés"/>
    <n v="1.9965980167810831"/>
    <n v="4"/>
    <n v="7.9863920671243323"/>
    <x v="0"/>
    <m/>
    <x v="0"/>
  </r>
  <r>
    <n v="1099616997"/>
    <x v="5"/>
    <x v="3"/>
    <d v="2023-01-07T01:35:11"/>
    <s v="AsturianDreams"/>
    <x v="2379"/>
    <x v="41"/>
    <s v="No"/>
    <s v="Español"/>
    <n v="65.28"/>
    <n v="1"/>
    <n v="65.28"/>
    <x v="0"/>
    <m/>
    <x v="0"/>
  </r>
  <r>
    <n v="1098788924"/>
    <x v="6"/>
    <x v="4"/>
    <d v="2022-12-29T11:27:07"/>
    <s v="Moria05"/>
    <x v="2380"/>
    <x v="168"/>
    <s v="No"/>
    <s v="Inglés"/>
    <n v="31.9"/>
    <n v="1"/>
    <n v="31.9"/>
    <x v="0"/>
    <m/>
    <x v="0"/>
  </r>
  <r>
    <n v="1098527767"/>
    <x v="6"/>
    <x v="4"/>
    <d v="2022-12-26T14:18:26"/>
    <s v="TRBstore"/>
    <x v="2381"/>
    <x v="139"/>
    <s v="No"/>
    <s v="Español"/>
    <n v="17.149999999999999"/>
    <n v="1"/>
    <n v="17.149999999999999"/>
    <x v="0"/>
    <m/>
    <x v="0"/>
  </r>
  <r>
    <n v="1098527766"/>
    <x v="6"/>
    <x v="4"/>
    <d v="2022-12-26T14:18:26"/>
    <s v="MarinaMagic"/>
    <x v="2382"/>
    <x v="274"/>
    <s v="No"/>
    <s v="Español"/>
    <n v="18.04"/>
    <n v="1"/>
    <n v="18.04"/>
    <x v="0"/>
    <m/>
    <x v="0"/>
  </r>
  <r>
    <n v="1098527765"/>
    <x v="6"/>
    <x v="4"/>
    <d v="2022-12-26T14:18:26"/>
    <s v="mixcoa"/>
    <x v="2382"/>
    <x v="274"/>
    <s v="No"/>
    <s v="Español"/>
    <n v="17.14"/>
    <n v="1"/>
    <n v="17.14"/>
    <x v="0"/>
    <m/>
    <x v="0"/>
  </r>
  <r>
    <n v="1098450491"/>
    <x v="6"/>
    <x v="4"/>
    <d v="2022-12-25T14:03:28"/>
    <s v="merhans"/>
    <x v="2383"/>
    <x v="168"/>
    <s v="No"/>
    <s v="Inglés"/>
    <n v="4.3999999999999986"/>
    <n v="1"/>
    <n v="4.3999999999999986"/>
    <x v="0"/>
    <m/>
    <x v="0"/>
  </r>
  <r>
    <n v="1098442875"/>
    <x v="6"/>
    <x v="4"/>
    <d v="2022-12-25T12:20:05"/>
    <s v="Library-Of-Cards"/>
    <x v="2384"/>
    <x v="168"/>
    <s v="No"/>
    <s v="Inglés"/>
    <n v="18.649999999999999"/>
    <n v="1"/>
    <n v="18.649999999999999"/>
    <x v="0"/>
    <m/>
    <x v="0"/>
  </r>
  <r>
    <n v="1098439072"/>
    <x v="6"/>
    <x v="4"/>
    <d v="2022-12-25T11:06:51"/>
    <s v="xaradim"/>
    <x v="1356"/>
    <x v="49"/>
    <s v="No"/>
    <s v="Inglés"/>
    <n v="5.5032124352331611"/>
    <n v="1"/>
    <n v="5.5032124352331611"/>
    <x v="0"/>
    <m/>
    <x v="0"/>
  </r>
  <r>
    <n v="1098439072"/>
    <x v="6"/>
    <x v="4"/>
    <d v="2022-12-25T11:06:51"/>
    <s v="xaradim"/>
    <x v="1356"/>
    <x v="15"/>
    <s v="No"/>
    <s v="Inglés"/>
    <n v="4.5167875647668394"/>
    <n v="1"/>
    <n v="4.5167875647668394"/>
    <x v="0"/>
    <m/>
    <x v="0"/>
  </r>
  <r>
    <n v="1098438292"/>
    <x v="6"/>
    <x v="4"/>
    <d v="2022-12-25T11:06:51"/>
    <s v="Shark-Games"/>
    <x v="1356"/>
    <x v="49"/>
    <s v="No"/>
    <s v="Inglés"/>
    <n v="4.5650000000000004"/>
    <n v="2"/>
    <n v="9.1300000000000008"/>
    <x v="0"/>
    <m/>
    <x v="0"/>
  </r>
  <r>
    <n v="1098297896"/>
    <x v="6"/>
    <x v="4"/>
    <d v="2022-12-23T09:27:21"/>
    <s v="Mazvigosl"/>
    <x v="2385"/>
    <x v="64"/>
    <s v="Si"/>
    <s v="Inglés"/>
    <n v="0.1707481125600549"/>
    <n v="4"/>
    <n v="0.6829924502402196"/>
    <x v="0"/>
    <m/>
    <x v="0"/>
  </r>
  <r>
    <n v="1098297896"/>
    <x v="6"/>
    <x v="4"/>
    <d v="2022-12-23T09:27:21"/>
    <s v="Mazvigosl"/>
    <x v="865"/>
    <x v="250"/>
    <s v="Si"/>
    <s v="Inglés"/>
    <n v="0.30490734385724089"/>
    <n v="4"/>
    <n v="1.2196293754289635"/>
    <x v="0"/>
    <m/>
    <x v="0"/>
  </r>
  <r>
    <n v="1098297896"/>
    <x v="6"/>
    <x v="4"/>
    <d v="2022-12-23T09:27:21"/>
    <s v="Mazvigosl"/>
    <x v="2386"/>
    <x v="15"/>
    <s v="Si"/>
    <s v="Inglés"/>
    <n v="0.42687028140013722"/>
    <n v="4"/>
    <n v="1.7074811256005489"/>
    <x v="0"/>
    <m/>
    <x v="0"/>
  </r>
  <r>
    <n v="1098297896"/>
    <x v="6"/>
    <x v="4"/>
    <d v="2022-12-23T09:27:21"/>
    <s v="Mazvigosl"/>
    <x v="2387"/>
    <x v="171"/>
    <s v="No"/>
    <s v="Inglés"/>
    <n v="0.1219629375428964"/>
    <n v="5"/>
    <n v="0.609814687714482"/>
    <x v="0"/>
    <m/>
    <x v="0"/>
  </r>
  <r>
    <n v="1098297896"/>
    <x v="6"/>
    <x v="4"/>
    <d v="2022-12-23T09:27:21"/>
    <s v="Mazvigosl"/>
    <x v="2388"/>
    <x v="227"/>
    <s v="Si"/>
    <s v="Inglés"/>
    <n v="0.1219629375428964"/>
    <n v="4"/>
    <n v="0.48785175017158561"/>
    <x v="0"/>
    <m/>
    <x v="0"/>
  </r>
  <r>
    <n v="1098297896"/>
    <x v="6"/>
    <x v="4"/>
    <d v="2022-12-23T09:27:21"/>
    <s v="Mazvigosl"/>
    <x v="2389"/>
    <x v="246"/>
    <s v="No"/>
    <s v="Inglés"/>
    <n v="0.1219629375428964"/>
    <n v="2"/>
    <n v="0.2439258750857928"/>
    <x v="0"/>
    <m/>
    <x v="0"/>
  </r>
  <r>
    <n v="1098297896"/>
    <x v="6"/>
    <x v="4"/>
    <d v="2022-12-23T09:27:21"/>
    <s v="Mazvigosl"/>
    <x v="1432"/>
    <x v="206"/>
    <s v="Si"/>
    <s v="Inglés"/>
    <n v="0.14635552505147559"/>
    <n v="4"/>
    <n v="0.58542210020590235"/>
    <x v="0"/>
    <m/>
    <x v="0"/>
  </r>
  <r>
    <n v="1098297896"/>
    <x v="6"/>
    <x v="4"/>
    <d v="2022-12-23T09:27:21"/>
    <s v="Mazvigosl"/>
    <x v="877"/>
    <x v="90"/>
    <s v="Si"/>
    <s v="Inglés"/>
    <n v="0.1219629375428964"/>
    <n v="4"/>
    <n v="0.48785175017158561"/>
    <x v="0"/>
    <m/>
    <x v="0"/>
  </r>
  <r>
    <n v="1098297896"/>
    <x v="6"/>
    <x v="4"/>
    <d v="2022-12-23T09:27:21"/>
    <s v="Mazvigosl"/>
    <x v="1063"/>
    <x v="41"/>
    <s v="Si"/>
    <s v="Inglés"/>
    <n v="0.24392587508579269"/>
    <n v="4"/>
    <n v="0.97570350034317077"/>
    <x v="0"/>
    <m/>
    <x v="0"/>
  </r>
  <r>
    <n v="1098297896"/>
    <x v="6"/>
    <x v="4"/>
    <d v="2022-12-23T09:27:21"/>
    <s v="Mazvigosl"/>
    <x v="878"/>
    <x v="90"/>
    <s v="Si"/>
    <s v="Inglés"/>
    <n v="0.1219629375428964"/>
    <n v="4"/>
    <n v="0.48785175017158561"/>
    <x v="0"/>
    <m/>
    <x v="0"/>
  </r>
  <r>
    <n v="1098297896"/>
    <x v="6"/>
    <x v="4"/>
    <d v="2022-12-23T09:27:21"/>
    <s v="Mazvigosl"/>
    <x v="876"/>
    <x v="100"/>
    <s v="No"/>
    <s v="Inglés"/>
    <n v="0.1219629375428964"/>
    <n v="3"/>
    <n v="0.36588881262868922"/>
    <x v="0"/>
    <m/>
    <x v="0"/>
  </r>
  <r>
    <n v="1098297896"/>
    <x v="6"/>
    <x v="4"/>
    <d v="2022-12-23T09:27:21"/>
    <s v="Mazvigosl"/>
    <x v="987"/>
    <x v="232"/>
    <s v="No"/>
    <s v="Inglés"/>
    <n v="0.24392587508579269"/>
    <n v="2"/>
    <n v="0.48785175017158539"/>
    <x v="0"/>
    <m/>
    <x v="0"/>
  </r>
  <r>
    <n v="1098297896"/>
    <x v="6"/>
    <x v="4"/>
    <d v="2022-12-23T09:27:21"/>
    <s v="Mazvigosl"/>
    <x v="809"/>
    <x v="80"/>
    <s v="No"/>
    <s v="Inglés"/>
    <n v="1.158647906657515"/>
    <n v="1"/>
    <n v="1.158647906657515"/>
    <x v="0"/>
    <m/>
    <x v="0"/>
  </r>
  <r>
    <n v="1098297896"/>
    <x v="6"/>
    <x v="4"/>
    <d v="2022-12-23T09:27:21"/>
    <s v="Mazvigosl"/>
    <x v="2390"/>
    <x v="310"/>
    <s v="No"/>
    <s v="Inglés"/>
    <n v="0.14635552505147559"/>
    <n v="1"/>
    <n v="0.14635552505147559"/>
    <x v="0"/>
    <m/>
    <x v="0"/>
  </r>
  <r>
    <n v="1098297896"/>
    <x v="6"/>
    <x v="4"/>
    <d v="2022-12-23T09:27:21"/>
    <s v="Mazvigosl"/>
    <x v="879"/>
    <x v="90"/>
    <s v="Si"/>
    <s v="Inglés"/>
    <n v="0.1219629375428964"/>
    <n v="4"/>
    <n v="0.48785175017158561"/>
    <x v="0"/>
    <m/>
    <x v="0"/>
  </r>
  <r>
    <n v="1098297896"/>
    <x v="6"/>
    <x v="4"/>
    <d v="2022-12-23T09:27:21"/>
    <s v="Mazvigosl"/>
    <x v="2391"/>
    <x v="207"/>
    <s v="No"/>
    <s v="Inglés"/>
    <n v="0.47565545641729579"/>
    <n v="2"/>
    <n v="0.95131091283459157"/>
    <x v="0"/>
    <m/>
    <x v="0"/>
  </r>
  <r>
    <n v="1098297896"/>
    <x v="6"/>
    <x v="4"/>
    <d v="2022-12-23T09:27:21"/>
    <s v="Mazvigosl"/>
    <x v="2392"/>
    <x v="64"/>
    <s v="No"/>
    <s v="Inglés"/>
    <n v="0.90252573781743306"/>
    <n v="2"/>
    <n v="1.8050514756348661"/>
    <x v="0"/>
    <m/>
    <x v="0"/>
  </r>
  <r>
    <n v="1098297896"/>
    <x v="6"/>
    <x v="4"/>
    <d v="2022-12-23T09:27:21"/>
    <s v="Mazvigosl"/>
    <x v="2393"/>
    <x v="152"/>
    <s v="Si"/>
    <s v="Inglés"/>
    <n v="0.79275909402882638"/>
    <n v="4"/>
    <n v="3.1710363761153055"/>
    <x v="0"/>
    <m/>
    <x v="0"/>
  </r>
  <r>
    <n v="1098297896"/>
    <x v="6"/>
    <x v="4"/>
    <d v="2022-12-23T09:27:21"/>
    <s v="Mazvigosl"/>
    <x v="400"/>
    <x v="15"/>
    <s v="Si"/>
    <s v="Inglés"/>
    <n v="0.42687028140013722"/>
    <n v="4"/>
    <n v="1.7074811256005489"/>
    <x v="0"/>
    <m/>
    <x v="0"/>
  </r>
  <r>
    <n v="1098221549"/>
    <x v="6"/>
    <x v="4"/>
    <d v="2022-12-22T09:04:27"/>
    <s v="Devian-Magic-Cards"/>
    <x v="2394"/>
    <x v="180"/>
    <s v="No"/>
    <s v="Inglés"/>
    <n v="5.5650000000000004"/>
    <n v="2"/>
    <n v="11.13"/>
    <x v="0"/>
    <m/>
    <x v="0"/>
  </r>
  <r>
    <n v="1098220638"/>
    <x v="6"/>
    <x v="4"/>
    <d v="2022-12-22T09:04:27"/>
    <s v="NinetyFive"/>
    <x v="2395"/>
    <x v="311"/>
    <s v="Si"/>
    <s v="Inglés"/>
    <n v="0.29491725768321508"/>
    <n v="4"/>
    <n v="1.1796690307328603"/>
    <x v="0"/>
    <m/>
    <x v="0"/>
  </r>
  <r>
    <n v="1098220638"/>
    <x v="6"/>
    <x v="4"/>
    <d v="2022-12-22T09:04:27"/>
    <s v="NinetyFive"/>
    <x v="1127"/>
    <x v="194"/>
    <s v="No"/>
    <s v="Inglés"/>
    <n v="0.29491725768321508"/>
    <n v="1"/>
    <n v="0.29491725768321508"/>
    <x v="0"/>
    <m/>
    <x v="0"/>
  </r>
  <r>
    <n v="1098220638"/>
    <x v="6"/>
    <x v="4"/>
    <d v="2022-12-22T09:04:27"/>
    <s v="NinetyFive"/>
    <x v="1368"/>
    <x v="195"/>
    <s v="No"/>
    <s v="Inglés"/>
    <n v="11.737706855791959"/>
    <n v="2"/>
    <n v="23.475413711583919"/>
    <x v="0"/>
    <m/>
    <x v="0"/>
  </r>
  <r>
    <n v="1098102519"/>
    <x v="6"/>
    <x v="4"/>
    <d v="2022-12-20T18:17:09"/>
    <s v="Luisterine"/>
    <x v="1302"/>
    <x v="250"/>
    <s v="No"/>
    <s v="Inglés"/>
    <n v="3.717567567567567"/>
    <n v="1"/>
    <n v="3.717567567567567"/>
    <x v="0"/>
    <m/>
    <x v="0"/>
  </r>
  <r>
    <n v="1098102519"/>
    <x v="6"/>
    <x v="4"/>
    <d v="2022-12-20T18:17:09"/>
    <s v="Luisterine"/>
    <x v="547"/>
    <x v="21"/>
    <s v="No"/>
    <s v="Español"/>
    <n v="15.93243243243243"/>
    <n v="1"/>
    <n v="15.93243243243243"/>
    <x v="0"/>
    <m/>
    <x v="0"/>
  </r>
  <r>
    <n v="1098084023"/>
    <x v="6"/>
    <x v="4"/>
    <d v="2022-12-20T14:39:48"/>
    <s v="ruben1985"/>
    <x v="754"/>
    <x v="152"/>
    <s v="No"/>
    <s v="Inglés"/>
    <n v="0.58214285714285718"/>
    <n v="1"/>
    <n v="0.58214285714285718"/>
    <x v="0"/>
    <m/>
    <x v="0"/>
  </r>
  <r>
    <n v="1098084023"/>
    <x v="6"/>
    <x v="4"/>
    <d v="2022-12-20T14:39:48"/>
    <s v="ruben1985"/>
    <x v="1433"/>
    <x v="269"/>
    <s v="No"/>
    <s v="Español"/>
    <n v="7.5678571428571431"/>
    <n v="1"/>
    <n v="7.5678571428571431"/>
    <x v="0"/>
    <m/>
    <x v="0"/>
  </r>
  <r>
    <n v="1098083917"/>
    <x v="6"/>
    <x v="4"/>
    <d v="2022-12-20T14:39:48"/>
    <s v="Kimidaxu"/>
    <x v="2396"/>
    <x v="126"/>
    <s v="No"/>
    <s v="Español"/>
    <n v="2.2445606229143489"/>
    <n v="1"/>
    <n v="2.2445606229143489"/>
    <x v="0"/>
    <m/>
    <x v="0"/>
  </r>
  <r>
    <n v="1098083917"/>
    <x v="6"/>
    <x v="4"/>
    <d v="2022-12-20T14:39:48"/>
    <s v="Kimidaxu"/>
    <x v="2397"/>
    <x v="191"/>
    <s v="No"/>
    <s v="Español"/>
    <n v="3.9477196885428252"/>
    <n v="2"/>
    <n v="7.8954393770856504"/>
    <x v="0"/>
    <m/>
    <x v="0"/>
  </r>
  <r>
    <n v="1097956980"/>
    <x v="6"/>
    <x v="4"/>
    <d v="2022-12-18T22:19:25"/>
    <s v="EndorStore"/>
    <x v="2398"/>
    <x v="294"/>
    <s v="No"/>
    <s v="Inglés"/>
    <n v="13.65"/>
    <n v="1"/>
    <n v="13.65"/>
    <x v="0"/>
    <m/>
    <x v="0"/>
  </r>
  <r>
    <n v="1097956624"/>
    <x v="6"/>
    <x v="4"/>
    <d v="2022-12-18T22:19:25"/>
    <s v="WORKSHOP12"/>
    <x v="2399"/>
    <x v="64"/>
    <s v="No"/>
    <s v="Inglés"/>
    <n v="3.0750000000000002"/>
    <n v="2"/>
    <n v="6.15"/>
    <x v="0"/>
    <m/>
    <x v="0"/>
  </r>
  <r>
    <s v="CVSALE-1097748382-01"/>
    <x v="6"/>
    <x v="4"/>
    <d v="2022-12-16T08:51:59"/>
    <s v="Venta asociada sin pedido identificado"/>
    <x v="2400"/>
    <x v="46"/>
    <s v="No"/>
    <s v="Español"/>
    <n v="20.170000000000002"/>
    <n v="2"/>
    <n v="40.340000000000003"/>
    <x v="1"/>
    <n v="40.340000000000003"/>
    <x v="0"/>
  </r>
  <r>
    <n v="1097748382"/>
    <x v="6"/>
    <x v="4"/>
    <d v="2022-12-16T08:51:59"/>
    <s v="bertkoda"/>
    <x v="2400"/>
    <x v="46"/>
    <s v="No"/>
    <s v="Español"/>
    <n v="30.04"/>
    <n v="2"/>
    <n v="60.08"/>
    <x v="0"/>
    <m/>
    <x v="0"/>
  </r>
  <r>
    <n v="1097746345"/>
    <x v="6"/>
    <x v="4"/>
    <d v="2022-12-16T08:51:59"/>
    <s v="Igiber91"/>
    <x v="2401"/>
    <x v="192"/>
    <s v="No"/>
    <s v="Español"/>
    <n v="50.09"/>
    <n v="1"/>
    <n v="50.09"/>
    <x v="0"/>
    <m/>
    <x v="0"/>
  </r>
  <r>
    <n v="1097642096"/>
    <x v="6"/>
    <x v="4"/>
    <d v="2022-12-14T20:55:39"/>
    <s v="ginenxo"/>
    <x v="2402"/>
    <x v="168"/>
    <s v="No"/>
    <s v="Inglés"/>
    <n v="11.15"/>
    <n v="1"/>
    <n v="11.15"/>
    <x v="0"/>
    <m/>
    <x v="0"/>
  </r>
  <r>
    <n v="1097640163"/>
    <x v="6"/>
    <x v="4"/>
    <d v="2022-12-14T20:55:39"/>
    <s v="Ismael54"/>
    <x v="2403"/>
    <x v="188"/>
    <s v="No"/>
    <s v="Español"/>
    <n v="0.85407506702412861"/>
    <n v="2"/>
    <n v="1.7081501340482572"/>
    <x v="0"/>
    <m/>
    <x v="0"/>
  </r>
  <r>
    <n v="1097640163"/>
    <x v="6"/>
    <x v="4"/>
    <d v="2022-12-14T20:55:39"/>
    <s v="Ismael54"/>
    <x v="1263"/>
    <x v="182"/>
    <s v="No"/>
    <s v="Inglés"/>
    <n v="3.4509249329758709"/>
    <n v="2"/>
    <n v="6.9018498659517418"/>
    <x v="0"/>
    <m/>
    <x v="0"/>
  </r>
  <r>
    <n v="1097638400"/>
    <x v="6"/>
    <x v="4"/>
    <d v="2022-12-14T20:55:39"/>
    <s v="Grimblin"/>
    <x v="2404"/>
    <x v="90"/>
    <s v="No"/>
    <s v="Inglés"/>
    <n v="1.1513157894736841"/>
    <n v="1"/>
    <n v="1.1513157894736841"/>
    <x v="0"/>
    <m/>
    <x v="0"/>
  </r>
  <r>
    <n v="1097638400"/>
    <x v="6"/>
    <x v="4"/>
    <d v="2022-12-14T20:55:39"/>
    <s v="Grimblin"/>
    <x v="2405"/>
    <x v="90"/>
    <s v="No"/>
    <s v="Inglés"/>
    <n v="1.1513157894736841"/>
    <n v="1"/>
    <n v="1.1513157894736841"/>
    <x v="0"/>
    <m/>
    <x v="0"/>
  </r>
  <r>
    <n v="1097638400"/>
    <x v="6"/>
    <x v="4"/>
    <d v="2022-12-14T20:55:39"/>
    <s v="Grimblin"/>
    <x v="2406"/>
    <x v="97"/>
    <s v="No"/>
    <s v="Inglés"/>
    <n v="5.7565789473684212"/>
    <n v="1"/>
    <n v="5.7565789473684212"/>
    <x v="0"/>
    <m/>
    <x v="0"/>
  </r>
  <r>
    <n v="1097638400"/>
    <x v="6"/>
    <x v="4"/>
    <d v="2022-12-14T20:55:39"/>
    <s v="Grimblin"/>
    <x v="2407"/>
    <x v="112"/>
    <s v="Si"/>
    <s v="Inglés"/>
    <n v="0.1726973684210526"/>
    <n v="4"/>
    <n v="0.6907894736842104"/>
    <x v="0"/>
    <m/>
    <x v="0"/>
  </r>
  <r>
    <n v="1097630041"/>
    <x v="6"/>
    <x v="4"/>
    <d v="2022-12-14T20:55:39"/>
    <s v="goordi"/>
    <x v="2408"/>
    <x v="37"/>
    <s v="No"/>
    <s v="Español"/>
    <n v="2.197222222222222"/>
    <n v="1"/>
    <n v="2.197222222222222"/>
    <x v="0"/>
    <m/>
    <x v="0"/>
  </r>
  <r>
    <n v="1097630041"/>
    <x v="6"/>
    <x v="4"/>
    <d v="2022-12-14T20:55:39"/>
    <s v="goordi"/>
    <x v="629"/>
    <x v="207"/>
    <s v="No"/>
    <s v="Inglés"/>
    <n v="3.4527777777777779"/>
    <n v="1"/>
    <n v="3.4527777777777779"/>
    <x v="0"/>
    <m/>
    <x v="0"/>
  </r>
  <r>
    <n v="1097110444"/>
    <x v="6"/>
    <x v="4"/>
    <d v="2022-12-13T09:57:32"/>
    <s v="Mazvigosl"/>
    <x v="2408"/>
    <x v="37"/>
    <s v="No"/>
    <s v="Inglés"/>
    <n v="4.3611524163568776"/>
    <n v="1"/>
    <n v="4.3611524163568776"/>
    <x v="0"/>
    <m/>
    <x v="0"/>
  </r>
  <r>
    <n v="1097110444"/>
    <x v="6"/>
    <x v="4"/>
    <d v="2022-12-13T09:57:32"/>
    <s v="Mazvigosl"/>
    <x v="2409"/>
    <x v="67"/>
    <s v="Si"/>
    <s v="Inglés"/>
    <n v="0.66245353159851295"/>
    <n v="4"/>
    <n v="2.6498141263940518"/>
    <x v="0"/>
    <m/>
    <x v="0"/>
  </r>
  <r>
    <n v="1097110444"/>
    <x v="6"/>
    <x v="4"/>
    <d v="2022-12-13T09:57:32"/>
    <s v="Mazvigosl"/>
    <x v="1125"/>
    <x v="312"/>
    <s v="Si"/>
    <s v="Inglés"/>
    <n v="2.9258364312267662"/>
    <n v="4"/>
    <n v="11.703345724907065"/>
    <x v="0"/>
    <m/>
    <x v="0"/>
  </r>
  <r>
    <n v="1097110444"/>
    <x v="6"/>
    <x v="4"/>
    <d v="2022-12-13T09:57:32"/>
    <s v="Mazvigosl"/>
    <x v="1111"/>
    <x v="312"/>
    <s v="Si"/>
    <s v="Inglés"/>
    <n v="2.0977695167286239"/>
    <n v="4"/>
    <n v="8.3910780669144955"/>
    <x v="0"/>
    <m/>
    <x v="0"/>
  </r>
  <r>
    <n v="1097110444"/>
    <x v="6"/>
    <x v="4"/>
    <d v="2022-12-13T09:57:32"/>
    <s v="Mazvigosl"/>
    <x v="1729"/>
    <x v="117"/>
    <s v="No"/>
    <s v="Inglés"/>
    <n v="0.1104089219330855"/>
    <n v="2"/>
    <n v="0.22081784386617101"/>
    <x v="0"/>
    <m/>
    <x v="0"/>
  </r>
  <r>
    <n v="1097110444"/>
    <x v="6"/>
    <x v="4"/>
    <d v="2022-12-13T09:57:32"/>
    <s v="Mazvigosl"/>
    <x v="2410"/>
    <x v="45"/>
    <s v="No"/>
    <s v="Inglés"/>
    <n v="0.27602230483271373"/>
    <n v="1"/>
    <n v="0.27602230483271373"/>
    <x v="0"/>
    <m/>
    <x v="0"/>
  </r>
  <r>
    <n v="1097110444"/>
    <x v="6"/>
    <x v="4"/>
    <d v="2022-12-13T09:57:32"/>
    <s v="Mazvigosl"/>
    <x v="1100"/>
    <x v="312"/>
    <s v="Si"/>
    <s v="Inglés"/>
    <n v="2.3737918215613378"/>
    <n v="4"/>
    <n v="9.4951672862453513"/>
    <x v="0"/>
    <m/>
    <x v="0"/>
  </r>
  <r>
    <n v="1097110444"/>
    <x v="6"/>
    <x v="4"/>
    <d v="2022-12-13T09:57:32"/>
    <s v="Mazvigosl"/>
    <x v="1115"/>
    <x v="312"/>
    <s v="Si"/>
    <s v="Inglés"/>
    <n v="2.9258364312267662"/>
    <n v="4"/>
    <n v="11.703345724907065"/>
    <x v="0"/>
    <m/>
    <x v="0"/>
  </r>
  <r>
    <n v="1097110444"/>
    <x v="6"/>
    <x v="4"/>
    <d v="2022-12-13T09:57:32"/>
    <s v="Mazvigosl"/>
    <x v="1119"/>
    <x v="312"/>
    <s v="Si"/>
    <s v="Inglés"/>
    <n v="2.6498141263940518"/>
    <n v="4"/>
    <n v="10.599256505576207"/>
    <x v="0"/>
    <m/>
    <x v="0"/>
  </r>
  <r>
    <n v="1097429604"/>
    <x v="6"/>
    <x v="4"/>
    <d v="2022-12-12T14:50:53"/>
    <s v="fichescu"/>
    <x v="2411"/>
    <x v="212"/>
    <s v="No"/>
    <s v="Inglés"/>
    <n v="6.3724137931034477"/>
    <n v="1"/>
    <n v="6.3724137931034477"/>
    <x v="0"/>
    <m/>
    <x v="0"/>
  </r>
  <r>
    <n v="1097429604"/>
    <x v="6"/>
    <x v="4"/>
    <d v="2022-12-12T14:50:53"/>
    <s v="fichescu"/>
    <x v="2412"/>
    <x v="212"/>
    <s v="No"/>
    <s v="Inglés"/>
    <n v="2.0275862068965518"/>
    <n v="1"/>
    <n v="2.0275862068965518"/>
    <x v="0"/>
    <m/>
    <x v="0"/>
  </r>
  <r>
    <n v="1097114568"/>
    <x v="6"/>
    <x v="4"/>
    <d v="2022-12-12T11:55:17"/>
    <s v="PERALTA"/>
    <x v="2413"/>
    <x v="275"/>
    <s v="Si"/>
    <s v="Español"/>
    <n v="1.1375"/>
    <n v="4"/>
    <n v="4.55"/>
    <x v="0"/>
    <m/>
    <x v="0"/>
  </r>
  <r>
    <s v="CVSALE-1097325133-01"/>
    <x v="6"/>
    <x v="4"/>
    <d v="2022-12-11T13:42:20"/>
    <s v="Venta asociada sin pedido identificado"/>
    <x v="1376"/>
    <x v="46"/>
    <s v="No"/>
    <s v="Español"/>
    <n v="12.17"/>
    <n v="2"/>
    <n v="24.34"/>
    <x v="1"/>
    <n v="24.34"/>
    <x v="0"/>
  </r>
  <r>
    <n v="1097325133"/>
    <x v="6"/>
    <x v="4"/>
    <d v="2022-12-11T13:42:20"/>
    <s v="darkkind96"/>
    <x v="336"/>
    <x v="117"/>
    <s v="No"/>
    <s v="Inglés"/>
    <n v="1.574271844660194"/>
    <n v="2"/>
    <n v="3.148543689320388"/>
    <x v="0"/>
    <m/>
    <x v="0"/>
  </r>
  <r>
    <n v="1097325133"/>
    <x v="6"/>
    <x v="4"/>
    <d v="2022-12-11T13:42:20"/>
    <s v="darkkind96"/>
    <x v="1301"/>
    <x v="46"/>
    <s v="No"/>
    <s v="Español"/>
    <n v="26.237864077669901"/>
    <n v="2"/>
    <n v="52.475728155339802"/>
    <x v="0"/>
    <m/>
    <x v="0"/>
  </r>
  <r>
    <n v="1097325133"/>
    <x v="6"/>
    <x v="4"/>
    <d v="2022-12-11T13:42:20"/>
    <s v="darkkind96"/>
    <x v="1376"/>
    <x v="46"/>
    <s v="No"/>
    <s v="Español"/>
    <n v="26.237864077669901"/>
    <n v="2"/>
    <n v="52.475728155339802"/>
    <x v="0"/>
    <m/>
    <x v="0"/>
  </r>
  <r>
    <s v="CVSALE-1097268072-01"/>
    <x v="6"/>
    <x v="4"/>
    <d v="2022-12-10T19:11:58"/>
    <s v="Venta asociada sin pedido identificado"/>
    <x v="2414"/>
    <x v="113"/>
    <s v="Si"/>
    <s v="Japonés"/>
    <n v="5.6889034322280398"/>
    <n v="4"/>
    <n v="22.755613728912159"/>
    <x v="1"/>
    <n v="22.755613728912159"/>
    <x v="0"/>
  </r>
  <r>
    <n v="1097268072"/>
    <x v="6"/>
    <x v="4"/>
    <d v="2022-12-10T19:11:58"/>
    <s v="damnat10n"/>
    <x v="2414"/>
    <x v="113"/>
    <s v="Si"/>
    <s v="Japonés"/>
    <n v="2.7374999999999998"/>
    <n v="4"/>
    <n v="10.95"/>
    <x v="0"/>
    <m/>
    <x v="0"/>
  </r>
  <r>
    <n v="1097214161"/>
    <x v="6"/>
    <x v="4"/>
    <d v="2022-12-10T01:58:55"/>
    <s v="Sotoh"/>
    <x v="2415"/>
    <x v="67"/>
    <s v="No"/>
    <s v="Inglés"/>
    <n v="1.6233333333333331"/>
    <n v="3"/>
    <n v="4.8699999999999992"/>
    <x v="0"/>
    <m/>
    <x v="0"/>
  </r>
  <r>
    <n v="1097214139"/>
    <x v="6"/>
    <x v="4"/>
    <d v="2022-12-10T01:58:55"/>
    <s v="imanolperezg"/>
    <x v="2416"/>
    <x v="261"/>
    <s v="No"/>
    <s v="Inglés"/>
    <n v="2.2186311787072241E-2"/>
    <n v="1"/>
    <n v="2.2186311787072241E-2"/>
    <x v="0"/>
    <m/>
    <x v="0"/>
  </r>
  <r>
    <n v="1097214139"/>
    <x v="6"/>
    <x v="4"/>
    <d v="2022-12-10T01:58:55"/>
    <s v="imanolperezg"/>
    <x v="2417"/>
    <x v="40"/>
    <s v="No"/>
    <s v="Inglés"/>
    <n v="0.55465779467680609"/>
    <n v="1"/>
    <n v="0.55465779467680609"/>
    <x v="0"/>
    <m/>
    <x v="0"/>
  </r>
  <r>
    <n v="1097214139"/>
    <x v="6"/>
    <x v="4"/>
    <d v="2022-12-10T01:58:55"/>
    <s v="imanolperezg"/>
    <x v="2418"/>
    <x v="83"/>
    <s v="No"/>
    <s v="Español"/>
    <n v="11.093155893536119"/>
    <n v="1"/>
    <n v="11.093155893536119"/>
    <x v="0"/>
    <m/>
    <x v="0"/>
  </r>
  <r>
    <n v="1097214102"/>
    <x v="6"/>
    <x v="4"/>
    <d v="2022-12-10T01:58:55"/>
    <s v="monstersystem"/>
    <x v="2419"/>
    <x v="313"/>
    <s v="No"/>
    <s v="Inglés"/>
    <n v="4.0650000000000004"/>
    <n v="2"/>
    <n v="8.1300000000000008"/>
    <x v="0"/>
    <m/>
    <x v="0"/>
  </r>
  <r>
    <n v="1097214098"/>
    <x v="6"/>
    <x v="4"/>
    <d v="2022-12-10T01:58:55"/>
    <s v="biteul"/>
    <x v="2420"/>
    <x v="314"/>
    <s v="No"/>
    <s v="Francés"/>
    <n v="0.56666666666666665"/>
    <n v="1"/>
    <n v="0.56666666666666665"/>
    <x v="0"/>
    <m/>
    <x v="0"/>
  </r>
  <r>
    <n v="1097214098"/>
    <x v="6"/>
    <x v="4"/>
    <d v="2022-12-10T01:58:55"/>
    <s v="biteul"/>
    <x v="2421"/>
    <x v="101"/>
    <s v="No"/>
    <s v="Francés"/>
    <n v="0.48571428571428571"/>
    <n v="1"/>
    <n v="0.48571428571428571"/>
    <x v="0"/>
    <m/>
    <x v="0"/>
  </r>
  <r>
    <n v="1097214098"/>
    <x v="6"/>
    <x v="4"/>
    <d v="2022-12-10T01:58:55"/>
    <s v="biteul"/>
    <x v="1263"/>
    <x v="182"/>
    <s v="No"/>
    <s v="Francés"/>
    <n v="4.0476190476190466"/>
    <n v="1"/>
    <n v="4.0476190476190466"/>
    <x v="0"/>
    <m/>
    <x v="0"/>
  </r>
  <r>
    <n v="1097106732"/>
    <x v="6"/>
    <x v="4"/>
    <d v="2022-12-08T20:23:08"/>
    <s v="Flikaso"/>
    <x v="1014"/>
    <x v="238"/>
    <s v="No"/>
    <s v="Español"/>
    <n v="8.5749999999999993"/>
    <n v="1"/>
    <n v="8.5749999999999993"/>
    <x v="0"/>
    <m/>
    <x v="0"/>
  </r>
  <r>
    <n v="1097106732"/>
    <x v="6"/>
    <x v="4"/>
    <d v="2022-12-08T20:23:08"/>
    <s v="Flikaso"/>
    <x v="1150"/>
    <x v="45"/>
    <s v="No"/>
    <s v="Español"/>
    <n v="6.125"/>
    <n v="1"/>
    <n v="6.125"/>
    <x v="0"/>
    <m/>
    <x v="0"/>
  </r>
  <r>
    <n v="1096981292"/>
    <x v="6"/>
    <x v="4"/>
    <d v="2022-12-07T13:31:44"/>
    <s v="euromagik"/>
    <x v="2422"/>
    <x v="315"/>
    <s v="No"/>
    <s v="Inglés"/>
    <n v="6.243243243243243"/>
    <n v="1"/>
    <n v="6.243243243243243"/>
    <x v="0"/>
    <m/>
    <x v="0"/>
  </r>
  <r>
    <n v="1096981292"/>
    <x v="6"/>
    <x v="4"/>
    <d v="2022-12-07T13:31:44"/>
    <s v="euromagik"/>
    <x v="2422"/>
    <x v="316"/>
    <s v="No"/>
    <s v="Inglés"/>
    <n v="7.2648648648648653"/>
    <n v="1"/>
    <n v="7.2648648648648653"/>
    <x v="0"/>
    <m/>
    <x v="0"/>
  </r>
  <r>
    <n v="1096981292"/>
    <x v="6"/>
    <x v="4"/>
    <d v="2022-12-07T13:31:44"/>
    <s v="euromagik"/>
    <x v="2422"/>
    <x v="304"/>
    <s v="No"/>
    <s v="Inglés"/>
    <n v="6.5270270270270272"/>
    <n v="1"/>
    <n v="6.5270270270270272"/>
    <x v="0"/>
    <m/>
    <x v="0"/>
  </r>
  <r>
    <n v="1096981292"/>
    <x v="6"/>
    <x v="4"/>
    <d v="2022-12-07T13:31:44"/>
    <s v="euromagik"/>
    <x v="2422"/>
    <x v="317"/>
    <s v="No"/>
    <s v="Inglés"/>
    <n v="7.2648648648648653"/>
    <n v="1"/>
    <n v="7.2648648648648653"/>
    <x v="0"/>
    <m/>
    <x v="0"/>
  </r>
  <r>
    <n v="1096980618"/>
    <x v="6"/>
    <x v="4"/>
    <d v="2022-12-07T13:31:44"/>
    <s v="isafor77"/>
    <x v="1778"/>
    <x v="221"/>
    <s v="No"/>
    <s v="Inglés"/>
    <n v="7.0569075144508666"/>
    <n v="1"/>
    <n v="7.0569075144508666"/>
    <x v="0"/>
    <m/>
    <x v="0"/>
  </r>
  <r>
    <n v="1096980618"/>
    <x v="6"/>
    <x v="4"/>
    <d v="2022-12-07T13:31:44"/>
    <s v="isafor77"/>
    <x v="1778"/>
    <x v="221"/>
    <s v="No"/>
    <s v="Inglés"/>
    <n v="9.8840879897238274"/>
    <n v="1"/>
    <n v="9.8840879897238274"/>
    <x v="0"/>
    <m/>
    <x v="0"/>
  </r>
  <r>
    <n v="1096980618"/>
    <x v="6"/>
    <x v="4"/>
    <d v="2022-12-07T13:31:44"/>
    <s v="isafor77"/>
    <x v="1778"/>
    <x v="221"/>
    <s v="No"/>
    <s v="Inglés"/>
    <n v="8.7245022479126533"/>
    <n v="1"/>
    <n v="8.7245022479126533"/>
    <x v="0"/>
    <m/>
    <x v="0"/>
  </r>
  <r>
    <n v="1096980618"/>
    <x v="6"/>
    <x v="4"/>
    <d v="2022-12-07T13:31:44"/>
    <s v="isafor77"/>
    <x v="1778"/>
    <x v="221"/>
    <s v="No"/>
    <s v="Inglés"/>
    <n v="8.7245022479126533"/>
    <n v="1"/>
    <n v="8.7245022479126533"/>
    <x v="0"/>
    <m/>
    <x v="0"/>
  </r>
  <r>
    <s v="CVSALE-1096959898-01"/>
    <x v="6"/>
    <x v="4"/>
    <d v="2022-12-07T10:54:21"/>
    <s v="Venta asociada sin pedido identificado"/>
    <x v="2423"/>
    <x v="21"/>
    <s v="No"/>
    <s v="Inglés"/>
    <n v="2.6375000000000002"/>
    <n v="2"/>
    <n v="5.2750000000000004"/>
    <x v="1"/>
    <n v="5.2750000000000004"/>
    <x v="0"/>
  </r>
  <r>
    <n v="1096963707"/>
    <x v="6"/>
    <x v="4"/>
    <d v="2022-12-07T10:54:21"/>
    <s v="berko"/>
    <x v="2424"/>
    <x v="250"/>
    <s v="No"/>
    <s v="Inglés"/>
    <n v="32.590000000000003"/>
    <n v="1"/>
    <n v="32.590000000000003"/>
    <x v="0"/>
    <m/>
    <x v="0"/>
  </r>
  <r>
    <n v="1096959898"/>
    <x v="6"/>
    <x v="4"/>
    <d v="2022-12-07T10:54:21"/>
    <s v="willybizarre"/>
    <x v="2425"/>
    <x v="37"/>
    <s v="No"/>
    <s v="Inglés"/>
    <n v="14.603790164762319"/>
    <n v="3"/>
    <n v="43.811370494286962"/>
    <x v="0"/>
    <m/>
    <x v="0"/>
  </r>
  <r>
    <n v="1096959898"/>
    <x v="6"/>
    <x v="4"/>
    <d v="2022-12-07T10:54:21"/>
    <s v="willybizarre"/>
    <x v="2426"/>
    <x v="115"/>
    <s v="No"/>
    <s v="Inglés"/>
    <n v="10.428296193422129"/>
    <n v="2"/>
    <n v="20.856592386844259"/>
    <x v="0"/>
    <m/>
    <x v="0"/>
  </r>
  <r>
    <n v="1096959898"/>
    <x v="6"/>
    <x v="4"/>
    <d v="2022-12-07T10:54:21"/>
    <s v="willybizarre"/>
    <x v="2296"/>
    <x v="307"/>
    <s v="No"/>
    <s v="Inglés"/>
    <n v="6.2528022220819386"/>
    <n v="3"/>
    <n v="18.758406666245815"/>
    <x v="0"/>
    <m/>
    <x v="0"/>
  </r>
  <r>
    <n v="1096959898"/>
    <x v="6"/>
    <x v="4"/>
    <d v="2022-12-07T10:54:21"/>
    <s v="willybizarre"/>
    <x v="2427"/>
    <x v="263"/>
    <s v="Si"/>
    <s v="Inglés"/>
    <n v="3.1211817435767948"/>
    <n v="4"/>
    <n v="12.484726974307179"/>
    <x v="0"/>
    <m/>
    <x v="0"/>
  </r>
  <r>
    <n v="1096959898"/>
    <x v="6"/>
    <x v="4"/>
    <d v="2022-12-07T10:54:21"/>
    <s v="willybizarre"/>
    <x v="2428"/>
    <x v="80"/>
    <s v="Si"/>
    <s v="Inglés"/>
    <n v="0.26096837320876209"/>
    <n v="4"/>
    <n v="1.0438734928350484"/>
    <x v="0"/>
    <m/>
    <x v="0"/>
  </r>
  <r>
    <n v="1096959898"/>
    <x v="6"/>
    <x v="4"/>
    <d v="2022-12-07T10:54:21"/>
    <s v="willybizarre"/>
    <x v="2429"/>
    <x v="102"/>
    <s v="Si"/>
    <s v="Inglés"/>
    <n v="0.51149801148917362"/>
    <n v="4"/>
    <n v="2.0459920459566945"/>
    <x v="0"/>
    <m/>
    <x v="0"/>
  </r>
  <r>
    <n v="1096959898"/>
    <x v="6"/>
    <x v="4"/>
    <d v="2022-12-07T10:54:21"/>
    <s v="willybizarre"/>
    <x v="2430"/>
    <x v="80"/>
    <s v="Si"/>
    <s v="Inglés"/>
    <n v="1.3048418660438099"/>
    <n v="4"/>
    <n v="5.2193674641752397"/>
    <x v="0"/>
    <m/>
    <x v="0"/>
  </r>
  <r>
    <n v="1096959898"/>
    <x v="6"/>
    <x v="4"/>
    <d v="2022-12-07T10:54:21"/>
    <s v="willybizarre"/>
    <x v="2431"/>
    <x v="72"/>
    <s v="No"/>
    <s v="Inglés"/>
    <n v="0.78290511962628617"/>
    <n v="2"/>
    <n v="1.5658102392525723"/>
    <x v="0"/>
    <m/>
    <x v="0"/>
  </r>
  <r>
    <n v="1096959898"/>
    <x v="6"/>
    <x v="4"/>
    <d v="2022-12-07T10:54:21"/>
    <s v="willybizarre"/>
    <x v="2432"/>
    <x v="57"/>
    <s v="No"/>
    <s v="Español"/>
    <n v="0.26096837320876209"/>
    <n v="2"/>
    <n v="0.52193674641752419"/>
    <x v="0"/>
    <m/>
    <x v="0"/>
  </r>
  <r>
    <n v="1096959898"/>
    <x v="6"/>
    <x v="4"/>
    <d v="2022-12-07T10:54:21"/>
    <s v="willybizarre"/>
    <x v="2433"/>
    <x v="49"/>
    <s v="No"/>
    <s v="Inglés"/>
    <n v="10.428296193422129"/>
    <n v="2"/>
    <n v="20.856592386844259"/>
    <x v="0"/>
    <m/>
    <x v="0"/>
  </r>
  <r>
    <n v="1096959898"/>
    <x v="6"/>
    <x v="4"/>
    <d v="2022-12-07T10:54:21"/>
    <s v="willybizarre"/>
    <x v="2434"/>
    <x v="155"/>
    <s v="No"/>
    <s v="Chino-S"/>
    <n v="0.78290511962628617"/>
    <n v="1"/>
    <n v="0.78290511962628617"/>
    <x v="0"/>
    <m/>
    <x v="0"/>
  </r>
  <r>
    <n v="1096959898"/>
    <x v="6"/>
    <x v="4"/>
    <d v="2022-12-07T10:54:21"/>
    <s v="willybizarre"/>
    <x v="336"/>
    <x v="117"/>
    <s v="No"/>
    <s v="Inglés"/>
    <n v="3.1211817435767948"/>
    <n v="2"/>
    <n v="6.2423634871535896"/>
    <x v="0"/>
    <m/>
    <x v="0"/>
  </r>
  <r>
    <n v="1096959898"/>
    <x v="6"/>
    <x v="4"/>
    <d v="2022-12-07T10:54:21"/>
    <s v="willybizarre"/>
    <x v="2435"/>
    <x v="80"/>
    <s v="No"/>
    <s v="Inglés"/>
    <n v="1.555371504324222"/>
    <n v="1"/>
    <n v="1.555371504324222"/>
    <x v="0"/>
    <m/>
    <x v="0"/>
  </r>
  <r>
    <n v="1096959898"/>
    <x v="6"/>
    <x v="4"/>
    <d v="2022-12-07T10:54:21"/>
    <s v="willybizarre"/>
    <x v="1766"/>
    <x v="210"/>
    <s v="No"/>
    <s v="Inglés"/>
    <n v="4.1650552364118427"/>
    <n v="1"/>
    <n v="4.1650552364118427"/>
    <x v="0"/>
    <m/>
    <x v="0"/>
  </r>
  <r>
    <n v="1096959898"/>
    <x v="6"/>
    <x v="4"/>
    <d v="2022-12-07T10:54:21"/>
    <s v="willybizarre"/>
    <x v="2436"/>
    <x v="246"/>
    <s v="Si"/>
    <s v="Inglés"/>
    <n v="1.033434757906698"/>
    <n v="4"/>
    <n v="4.1337390316267921"/>
    <x v="0"/>
    <m/>
    <x v="0"/>
  </r>
  <r>
    <n v="1096959898"/>
    <x v="6"/>
    <x v="4"/>
    <d v="2022-12-07T10:54:21"/>
    <s v="willybizarre"/>
    <x v="2437"/>
    <x v="80"/>
    <s v="No"/>
    <s v="Inglés"/>
    <n v="0.51149801148917362"/>
    <n v="1"/>
    <n v="0.51149801148917362"/>
    <x v="0"/>
    <m/>
    <x v="0"/>
  </r>
  <r>
    <n v="1096959898"/>
    <x v="6"/>
    <x v="4"/>
    <d v="2022-12-07T10:54:21"/>
    <s v="willybizarre"/>
    <x v="191"/>
    <x v="28"/>
    <s v="No"/>
    <s v="Inglés"/>
    <n v="2.077308250741746"/>
    <n v="2"/>
    <n v="4.1546165014834919"/>
    <x v="0"/>
    <m/>
    <x v="0"/>
  </r>
  <r>
    <n v="1096959898"/>
    <x v="6"/>
    <x v="4"/>
    <d v="2022-12-07T10:54:21"/>
    <s v="willybizarre"/>
    <x v="327"/>
    <x v="15"/>
    <s v="No"/>
    <s v="Inglés"/>
    <n v="4.1650552364118427"/>
    <n v="1"/>
    <n v="4.1650552364118427"/>
    <x v="0"/>
    <m/>
    <x v="0"/>
  </r>
  <r>
    <n v="1096959898"/>
    <x v="6"/>
    <x v="4"/>
    <d v="2022-12-07T10:54:21"/>
    <s v="willybizarre"/>
    <x v="2423"/>
    <x v="21"/>
    <s v="No"/>
    <s v="Inglés"/>
    <n v="3.1211817435767948"/>
    <n v="2"/>
    <n v="6.2423634871535896"/>
    <x v="0"/>
    <m/>
    <x v="0"/>
  </r>
  <r>
    <n v="1096959898"/>
    <x v="6"/>
    <x v="4"/>
    <d v="2022-12-07T10:54:21"/>
    <s v="willybizarre"/>
    <x v="1364"/>
    <x v="170"/>
    <s v="No"/>
    <s v="Inglés"/>
    <n v="3.1211817435767948"/>
    <n v="2"/>
    <n v="6.2423634871535896"/>
    <x v="0"/>
    <m/>
    <x v="0"/>
  </r>
  <r>
    <n v="1096470220"/>
    <x v="6"/>
    <x v="4"/>
    <d v="2022-12-02T08:34:59"/>
    <s v="Borja15"/>
    <x v="2438"/>
    <x v="81"/>
    <s v="No"/>
    <s v="Español"/>
    <n v="8.949251412429378"/>
    <n v="1"/>
    <n v="8.949251412429378"/>
    <x v="0"/>
    <m/>
    <x v="0"/>
  </r>
  <r>
    <n v="1096470220"/>
    <x v="6"/>
    <x v="4"/>
    <d v="2022-12-02T08:34:59"/>
    <s v="Borja15"/>
    <x v="2439"/>
    <x v="232"/>
    <s v="No"/>
    <s v="Español"/>
    <n v="0.1008050847457627"/>
    <n v="2"/>
    <n v="0.20161016949152541"/>
    <x v="0"/>
    <m/>
    <x v="0"/>
  </r>
  <r>
    <n v="1096470220"/>
    <x v="6"/>
    <x v="4"/>
    <d v="2022-12-02T08:34:59"/>
    <s v="Borja15"/>
    <x v="2440"/>
    <x v="157"/>
    <s v="No"/>
    <s v="Inglés"/>
    <n v="1.66888418079096"/>
    <n v="1"/>
    <n v="1.66888418079096"/>
    <x v="0"/>
    <m/>
    <x v="0"/>
  </r>
  <r>
    <n v="1096470220"/>
    <x v="6"/>
    <x v="4"/>
    <d v="2022-12-02T08:34:59"/>
    <s v="Borja15"/>
    <x v="2441"/>
    <x v="15"/>
    <s v="No"/>
    <s v="Inglés"/>
    <n v="33.545692090395477"/>
    <n v="1"/>
    <n v="33.545692090395477"/>
    <x v="0"/>
    <m/>
    <x v="0"/>
  </r>
  <r>
    <n v="1096470220"/>
    <x v="6"/>
    <x v="4"/>
    <d v="2022-12-02T08:34:59"/>
    <s v="Borja15"/>
    <x v="197"/>
    <x v="318"/>
    <s v="No"/>
    <s v="Inglés"/>
    <n v="1.052853107344633"/>
    <n v="2"/>
    <n v="2.105706214689266"/>
    <x v="0"/>
    <m/>
    <x v="0"/>
  </r>
  <r>
    <n v="1096470220"/>
    <x v="6"/>
    <x v="4"/>
    <d v="2022-12-02T08:34:59"/>
    <s v="Borja15"/>
    <x v="2437"/>
    <x v="78"/>
    <s v="No"/>
    <s v="Inglés"/>
    <n v="1.052853107344633"/>
    <n v="1"/>
    <n v="1.052853107344633"/>
    <x v="0"/>
    <m/>
    <x v="0"/>
  </r>
  <r>
    <n v="1096470220"/>
    <x v="6"/>
    <x v="4"/>
    <d v="2022-12-02T08:34:59"/>
    <s v="Borja15"/>
    <x v="1557"/>
    <x v="15"/>
    <s v="No"/>
    <s v="Inglés"/>
    <n v="5.6002824858757072E-2"/>
    <n v="1"/>
    <n v="5.6002824858757072E-2"/>
    <x v="0"/>
    <m/>
    <x v="0"/>
  </r>
  <r>
    <n v="1096386596"/>
    <x v="6"/>
    <x v="4"/>
    <d v="2022-12-01T13:04:59"/>
    <s v="TheWolverine"/>
    <x v="2442"/>
    <x v="115"/>
    <s v="No"/>
    <s v="Español"/>
    <n v="1.325892857142857"/>
    <n v="2"/>
    <n v="2.651785714285714"/>
    <x v="0"/>
    <m/>
    <x v="0"/>
  </r>
  <r>
    <n v="1096386596"/>
    <x v="6"/>
    <x v="4"/>
    <d v="2022-12-01T13:04:59"/>
    <s v="TheWolverine"/>
    <x v="2443"/>
    <x v="15"/>
    <s v="No"/>
    <s v="Inglés"/>
    <n v="1.0607142857142859"/>
    <n v="1"/>
    <n v="1.0607142857142859"/>
    <x v="0"/>
    <m/>
    <x v="0"/>
  </r>
  <r>
    <n v="1096386596"/>
    <x v="6"/>
    <x v="4"/>
    <d v="2022-12-01T13:04:59"/>
    <s v="TheWolverine"/>
    <x v="2444"/>
    <x v="37"/>
    <s v="Si"/>
    <s v="Español"/>
    <n v="14.31964285714286"/>
    <n v="4"/>
    <n v="57.278571428571439"/>
    <x v="0"/>
    <m/>
    <x v="0"/>
  </r>
  <r>
    <n v="1096386596"/>
    <x v="6"/>
    <x v="4"/>
    <d v="2022-12-01T13:04:59"/>
    <s v="TheWolverine"/>
    <x v="2445"/>
    <x v="166"/>
    <s v="No"/>
    <s v="Español"/>
    <n v="3.7124999999999999"/>
    <n v="1"/>
    <n v="3.7124999999999999"/>
    <x v="0"/>
    <m/>
    <x v="0"/>
  </r>
  <r>
    <n v="1096386596"/>
    <x v="6"/>
    <x v="4"/>
    <d v="2022-12-01T13:04:59"/>
    <s v="TheWolverine"/>
    <x v="204"/>
    <x v="40"/>
    <s v="No"/>
    <s v="Inglés"/>
    <n v="12.19821428571429"/>
    <n v="2"/>
    <n v="24.396428571428579"/>
    <x v="0"/>
    <m/>
    <x v="0"/>
  </r>
  <r>
    <n v="1096386453"/>
    <x v="6"/>
    <x v="4"/>
    <d v="2022-12-01T13:04:59"/>
    <s v="Manos90"/>
    <x v="2446"/>
    <x v="60"/>
    <s v="No"/>
    <s v="Inglés"/>
    <n v="192.2265625"/>
    <n v="1"/>
    <n v="192.2265625"/>
    <x v="0"/>
    <m/>
    <x v="0"/>
  </r>
  <r>
    <n v="1096386453"/>
    <x v="6"/>
    <x v="4"/>
    <d v="2022-12-01T13:04:59"/>
    <s v="Manos90"/>
    <x v="2447"/>
    <x v="41"/>
    <s v="Si"/>
    <s v="Inglés"/>
    <n v="1.55859375"/>
    <n v="4"/>
    <n v="6.234375"/>
    <x v="0"/>
    <m/>
    <x v="0"/>
  </r>
  <r>
    <n v="1096386453"/>
    <x v="6"/>
    <x v="4"/>
    <d v="2022-12-01T13:04:59"/>
    <s v="Manos90"/>
    <x v="2448"/>
    <x v="15"/>
    <s v="No"/>
    <s v="Inglés"/>
    <n v="0.51953125"/>
    <n v="2"/>
    <n v="1.0390625"/>
    <x v="0"/>
    <m/>
    <x v="0"/>
  </r>
  <r>
    <s v="CVSALE-1096000000-01"/>
    <x v="7"/>
    <x v="4"/>
    <d v="2022-11-27T16:59:25"/>
    <s v="Venta asociada sin pedido identificado"/>
    <x v="1425"/>
    <x v="72"/>
    <s v="No"/>
    <s v="Español"/>
    <n v="4.1056276696725202"/>
    <n v="2"/>
    <n v="8.2112553393450405"/>
    <x v="1"/>
    <n v="8.2112553393450405"/>
    <x v="0"/>
  </r>
  <r>
    <n v="1096000000"/>
    <x v="7"/>
    <x v="4"/>
    <d v="2022-11-27T16:59:25"/>
    <s v="GremioDeDragones"/>
    <x v="2449"/>
    <x v="21"/>
    <s v="No"/>
    <s v="Español"/>
    <n v="0.32936507936507942"/>
    <n v="3"/>
    <n v="0.98809523809523825"/>
    <x v="0"/>
    <m/>
    <x v="0"/>
  </r>
  <r>
    <n v="1096000000"/>
    <x v="7"/>
    <x v="4"/>
    <d v="2022-11-27T16:59:25"/>
    <s v="GremioDeDragones"/>
    <x v="2450"/>
    <x v="157"/>
    <s v="Si"/>
    <s v="Español"/>
    <n v="1.0978835978835979"/>
    <n v="4"/>
    <n v="4.3915343915343916"/>
    <x v="0"/>
    <m/>
    <x v="0"/>
  </r>
  <r>
    <n v="1096000000"/>
    <x v="7"/>
    <x v="4"/>
    <d v="2022-11-27T16:59:25"/>
    <s v="GremioDeDragones"/>
    <x v="531"/>
    <x v="250"/>
    <s v="Si"/>
    <s v="Inglés"/>
    <n v="0.32936507936507942"/>
    <n v="4"/>
    <n v="1.3174603174603177"/>
    <x v="0"/>
    <m/>
    <x v="0"/>
  </r>
  <r>
    <n v="1096000000"/>
    <x v="7"/>
    <x v="4"/>
    <d v="2022-11-27T16:59:25"/>
    <s v="GremioDeDragones"/>
    <x v="2451"/>
    <x v="250"/>
    <s v="Si"/>
    <s v="Inglés"/>
    <n v="0.21957671957671959"/>
    <n v="4"/>
    <n v="0.87830687830687837"/>
    <x v="0"/>
    <m/>
    <x v="0"/>
  </r>
  <r>
    <n v="1096000000"/>
    <x v="7"/>
    <x v="4"/>
    <d v="2022-11-27T16:59:25"/>
    <s v="GremioDeDragones"/>
    <x v="2452"/>
    <x v="250"/>
    <s v="Si"/>
    <s v="Inglés"/>
    <n v="1.0978835978835979"/>
    <n v="4"/>
    <n v="4.3915343915343916"/>
    <x v="0"/>
    <m/>
    <x v="0"/>
  </r>
  <r>
    <n v="1096000000"/>
    <x v="7"/>
    <x v="4"/>
    <d v="2022-11-27T16:59:25"/>
    <s v="GremioDeDragones"/>
    <x v="2453"/>
    <x v="90"/>
    <s v="Si"/>
    <s v="Inglés"/>
    <n v="0.54894179894179895"/>
    <n v="4"/>
    <n v="2.1957671957671958"/>
    <x v="0"/>
    <m/>
    <x v="0"/>
  </r>
  <r>
    <n v="1096000000"/>
    <x v="7"/>
    <x v="4"/>
    <d v="2022-11-27T16:59:25"/>
    <s v="GremioDeDragones"/>
    <x v="1184"/>
    <x v="65"/>
    <s v="Si"/>
    <s v="Inglés"/>
    <n v="0.16468253968253971"/>
    <n v="4"/>
    <n v="0.65873015873015883"/>
    <x v="0"/>
    <m/>
    <x v="0"/>
  </r>
  <r>
    <n v="1096000000"/>
    <x v="7"/>
    <x v="4"/>
    <d v="2022-11-27T16:59:25"/>
    <s v="GremioDeDragones"/>
    <x v="2454"/>
    <x v="227"/>
    <s v="No"/>
    <s v="Inglés"/>
    <n v="0.16468253968253971"/>
    <n v="1"/>
    <n v="0.16468253968253971"/>
    <x v="0"/>
    <m/>
    <x v="0"/>
  </r>
  <r>
    <n v="1096000000"/>
    <x v="7"/>
    <x v="4"/>
    <d v="2022-11-27T16:59:25"/>
    <s v="GremioDeDragones"/>
    <x v="2455"/>
    <x v="60"/>
    <s v="No"/>
    <s v="Inglés"/>
    <n v="0.27447089947089948"/>
    <n v="1"/>
    <n v="0.27447089947089948"/>
    <x v="0"/>
    <m/>
    <x v="0"/>
  </r>
  <r>
    <n v="1096000000"/>
    <x v="7"/>
    <x v="4"/>
    <d v="2022-11-27T16:59:25"/>
    <s v="GremioDeDragones"/>
    <x v="1425"/>
    <x v="72"/>
    <s v="No"/>
    <s v="Español"/>
    <n v="2.7447089947089949"/>
    <n v="2"/>
    <n v="5.4894179894179898"/>
    <x v="0"/>
    <m/>
    <x v="0"/>
  </r>
  <r>
    <n v="1095985772"/>
    <x v="7"/>
    <x v="4"/>
    <d v="2022-11-27T12:58:45"/>
    <s v="Kimidaxu"/>
    <x v="2456"/>
    <x v="234"/>
    <s v="No"/>
    <s v="Inglés"/>
    <n v="63.591942547680723"/>
    <n v="1"/>
    <n v="63.591942547680723"/>
    <x v="0"/>
    <m/>
    <x v="0"/>
  </r>
  <r>
    <n v="1095985772"/>
    <x v="7"/>
    <x v="4"/>
    <d v="2022-11-27T12:58:45"/>
    <s v="Kimidaxu"/>
    <x v="2457"/>
    <x v="83"/>
    <s v="No"/>
    <s v="Inglés"/>
    <n v="5.2896114904638569"/>
    <n v="1"/>
    <n v="5.2896114904638569"/>
    <x v="0"/>
    <m/>
    <x v="0"/>
  </r>
  <r>
    <n v="1095985772"/>
    <x v="7"/>
    <x v="4"/>
    <d v="2022-11-27T12:58:45"/>
    <s v="Kimidaxu"/>
    <x v="1032"/>
    <x v="182"/>
    <s v="Si"/>
    <s v="Inglés"/>
    <n v="5.2896114904638569"/>
    <n v="4"/>
    <n v="21.158445961855428"/>
    <x v="0"/>
    <m/>
    <x v="0"/>
  </r>
  <r>
    <n v="1095959451"/>
    <x v="7"/>
    <x v="4"/>
    <d v="2022-11-27T12:04:26"/>
    <s v="Mazvigosl"/>
    <x v="2458"/>
    <x v="182"/>
    <s v="Si"/>
    <s v="Japonés"/>
    <n v="0.33506857855361588"/>
    <n v="4"/>
    <n v="1.3402743142144635"/>
    <x v="0"/>
    <m/>
    <x v="0"/>
  </r>
  <r>
    <n v="1095959451"/>
    <x v="7"/>
    <x v="4"/>
    <d v="2022-11-27T12:04:26"/>
    <s v="Mazvigosl"/>
    <x v="2459"/>
    <x v="64"/>
    <s v="Si"/>
    <s v="Inglés"/>
    <n v="0.21221009975062341"/>
    <n v="4"/>
    <n v="0.84884039900249364"/>
    <x v="0"/>
    <m/>
    <x v="0"/>
  </r>
  <r>
    <n v="1095959451"/>
    <x v="7"/>
    <x v="4"/>
    <d v="2022-11-27T12:04:26"/>
    <s v="Mazvigosl"/>
    <x v="365"/>
    <x v="15"/>
    <s v="No"/>
    <s v="Inglés"/>
    <n v="1.3849501246882789"/>
    <n v="2"/>
    <n v="2.7699002493765579"/>
    <x v="0"/>
    <m/>
    <x v="0"/>
  </r>
  <r>
    <n v="1095959451"/>
    <x v="7"/>
    <x v="4"/>
    <d v="2022-11-27T12:04:26"/>
    <s v="Mazvigosl"/>
    <x v="2460"/>
    <x v="15"/>
    <s v="No"/>
    <s v="Inglés"/>
    <n v="0.1898721945137157"/>
    <n v="2"/>
    <n v="0.37974438902743141"/>
    <x v="0"/>
    <m/>
    <x v="0"/>
  </r>
  <r>
    <n v="1095959451"/>
    <x v="7"/>
    <x v="4"/>
    <d v="2022-11-27T12:04:26"/>
    <s v="Mazvigosl"/>
    <x v="2461"/>
    <x v="37"/>
    <s v="Si"/>
    <s v="Inglés"/>
    <n v="1.228584788029925"/>
    <n v="4"/>
    <n v="4.9143391521197"/>
    <x v="0"/>
    <m/>
    <x v="0"/>
  </r>
  <r>
    <n v="1095959451"/>
    <x v="7"/>
    <x v="4"/>
    <d v="2022-11-27T12:04:26"/>
    <s v="Mazvigosl"/>
    <x v="2462"/>
    <x v="210"/>
    <s v="No"/>
    <s v="Inglés"/>
    <n v="0.8376714463840399"/>
    <n v="1"/>
    <n v="0.8376714463840399"/>
    <x v="0"/>
    <m/>
    <x v="0"/>
  </r>
  <r>
    <n v="1095959451"/>
    <x v="7"/>
    <x v="4"/>
    <d v="2022-11-27T12:04:26"/>
    <s v="Mazvigosl"/>
    <x v="2463"/>
    <x v="33"/>
    <s v="No"/>
    <s v="Inglés"/>
    <n v="2.1221009975062342"/>
    <n v="2"/>
    <n v="4.2442019950124683"/>
    <x v="0"/>
    <m/>
    <x v="0"/>
  </r>
  <r>
    <n v="1095959451"/>
    <x v="7"/>
    <x v="4"/>
    <d v="2022-11-27T12:04:26"/>
    <s v="Mazvigosl"/>
    <x v="2445"/>
    <x v="166"/>
    <s v="No"/>
    <s v="Inglés"/>
    <n v="7.7624220698254369"/>
    <n v="2"/>
    <n v="15.524844139650874"/>
    <x v="0"/>
    <m/>
    <x v="0"/>
  </r>
  <r>
    <n v="1095959451"/>
    <x v="7"/>
    <x v="4"/>
    <d v="2022-11-27T12:04:26"/>
    <s v="Mazvigosl"/>
    <x v="408"/>
    <x v="15"/>
    <s v="No"/>
    <s v="Inglés"/>
    <n v="2.7252244389027429"/>
    <n v="2"/>
    <n v="5.4504488778054858"/>
    <x v="0"/>
    <m/>
    <x v="0"/>
  </r>
  <r>
    <n v="1095959451"/>
    <x v="7"/>
    <x v="4"/>
    <d v="2022-11-27T12:04:26"/>
    <s v="Mazvigosl"/>
    <x v="2464"/>
    <x v="32"/>
    <s v="Si"/>
    <s v="Inglés"/>
    <n v="0.21221009975062341"/>
    <n v="4"/>
    <n v="0.84884039900249364"/>
    <x v="0"/>
    <m/>
    <x v="0"/>
  </r>
  <r>
    <n v="1095959451"/>
    <x v="7"/>
    <x v="4"/>
    <d v="2022-11-27T12:04:26"/>
    <s v="Mazvigosl"/>
    <x v="2465"/>
    <x v="319"/>
    <s v="Si"/>
    <s v="Inglés"/>
    <n v="0.13402743142144641"/>
    <n v="4"/>
    <n v="0.53610972568578563"/>
    <x v="0"/>
    <m/>
    <x v="0"/>
  </r>
  <r>
    <n v="1095959451"/>
    <x v="7"/>
    <x v="4"/>
    <d v="2022-11-27T12:04:26"/>
    <s v="Mazvigosl"/>
    <x v="2466"/>
    <x v="15"/>
    <s v="Si"/>
    <s v="Inglés"/>
    <n v="0.13402743142144641"/>
    <n v="4"/>
    <n v="0.53610972568578563"/>
    <x v="0"/>
    <m/>
    <x v="0"/>
  </r>
  <r>
    <n v="1095959451"/>
    <x v="7"/>
    <x v="4"/>
    <d v="2022-11-27T12:04:26"/>
    <s v="Mazvigosl"/>
    <x v="2467"/>
    <x v="181"/>
    <s v="Si"/>
    <s v="Inglés"/>
    <n v="1.0610504987531171"/>
    <n v="4"/>
    <n v="4.2442019950124683"/>
    <x v="0"/>
    <m/>
    <x v="0"/>
  </r>
  <r>
    <n v="1095959451"/>
    <x v="7"/>
    <x v="4"/>
    <d v="2022-11-27T12:04:26"/>
    <s v="Mazvigosl"/>
    <x v="2468"/>
    <x v="15"/>
    <s v="Si"/>
    <s v="Inglés"/>
    <n v="1.8540461346633419"/>
    <n v="4"/>
    <n v="7.4161845386533676"/>
    <x v="0"/>
    <m/>
    <x v="0"/>
  </r>
  <r>
    <n v="1095959451"/>
    <x v="7"/>
    <x v="4"/>
    <d v="2022-11-27T12:04:26"/>
    <s v="Mazvigosl"/>
    <x v="375"/>
    <x v="15"/>
    <s v="Si"/>
    <s v="Inglés"/>
    <n v="0.167534289276808"/>
    <n v="4"/>
    <n v="0.67013715710723198"/>
    <x v="0"/>
    <m/>
    <x v="0"/>
  </r>
  <r>
    <n v="1095959451"/>
    <x v="7"/>
    <x v="4"/>
    <d v="2022-11-27T12:04:26"/>
    <s v="Mazvigosl"/>
    <x v="2469"/>
    <x v="15"/>
    <s v="Si"/>
    <s v="Inglés"/>
    <n v="0.1116895261845387"/>
    <n v="4"/>
    <n v="0.4467581047381548"/>
    <x v="0"/>
    <m/>
    <x v="0"/>
  </r>
  <r>
    <n v="1095959451"/>
    <x v="7"/>
    <x v="4"/>
    <d v="2022-11-27T12:04:26"/>
    <s v="Mazvigosl"/>
    <x v="2215"/>
    <x v="320"/>
    <s v="No"/>
    <s v="Inglés"/>
    <n v="7.751253117206983"/>
    <n v="1"/>
    <n v="7.751253117206983"/>
    <x v="0"/>
    <m/>
    <x v="0"/>
  </r>
  <r>
    <n v="1095959451"/>
    <x v="7"/>
    <x v="4"/>
    <d v="2022-11-27T12:04:26"/>
    <s v="Mazvigosl"/>
    <x v="1778"/>
    <x v="221"/>
    <s v="No"/>
    <s v="Inglés"/>
    <n v="9.9962125935162085"/>
    <n v="1"/>
    <n v="9.9962125935162085"/>
    <x v="0"/>
    <m/>
    <x v="0"/>
  </r>
  <r>
    <n v="1095959451"/>
    <x v="7"/>
    <x v="4"/>
    <d v="2022-11-27T12:04:26"/>
    <s v="Mazvigosl"/>
    <x v="235"/>
    <x v="65"/>
    <s v="Si"/>
    <s v="Inglés"/>
    <n v="0.72598192019950125"/>
    <n v="4"/>
    <n v="2.903927680798005"/>
    <x v="0"/>
    <m/>
    <x v="0"/>
  </r>
  <r>
    <n v="1095908969"/>
    <x v="7"/>
    <x v="4"/>
    <d v="2022-11-26T16:57:12"/>
    <s v="ElRincondeMagic"/>
    <x v="2470"/>
    <x v="166"/>
    <s v="Si"/>
    <s v="Inglés"/>
    <n v="0.21441176470588241"/>
    <n v="4"/>
    <n v="0.85764705882352965"/>
    <x v="0"/>
    <m/>
    <x v="0"/>
  </r>
  <r>
    <n v="1095908969"/>
    <x v="7"/>
    <x v="4"/>
    <d v="2022-11-26T16:57:12"/>
    <s v="ElRincondeMagic"/>
    <x v="2471"/>
    <x v="231"/>
    <s v="No"/>
    <s v="Español"/>
    <n v="32.108161764705883"/>
    <n v="1"/>
    <n v="32.108161764705883"/>
    <x v="0"/>
    <m/>
    <x v="0"/>
  </r>
  <r>
    <n v="1095908969"/>
    <x v="7"/>
    <x v="4"/>
    <d v="2022-11-26T16:57:12"/>
    <s v="ElRincondeMagic"/>
    <x v="1311"/>
    <x v="15"/>
    <s v="Si"/>
    <s v="Español"/>
    <n v="2.0905147058823532"/>
    <n v="4"/>
    <n v="8.3620588235294129"/>
    <x v="0"/>
    <m/>
    <x v="0"/>
  </r>
  <r>
    <n v="1095908969"/>
    <x v="7"/>
    <x v="4"/>
    <d v="2022-11-26T16:57:12"/>
    <s v="ElRincondeMagic"/>
    <x v="2472"/>
    <x v="194"/>
    <s v="No"/>
    <s v="Inglés"/>
    <n v="1.1792647058823531"/>
    <n v="1"/>
    <n v="1.1792647058823531"/>
    <x v="0"/>
    <m/>
    <x v="0"/>
  </r>
  <r>
    <n v="1095908969"/>
    <x v="7"/>
    <x v="4"/>
    <d v="2022-11-26T16:57:12"/>
    <s v="ElRincondeMagic"/>
    <x v="2454"/>
    <x v="167"/>
    <s v="No"/>
    <s v="Inglés"/>
    <n v="0.26801470588235288"/>
    <n v="1"/>
    <n v="0.26801470588235288"/>
    <x v="0"/>
    <m/>
    <x v="0"/>
  </r>
  <r>
    <n v="1095908969"/>
    <x v="7"/>
    <x v="4"/>
    <d v="2022-11-26T16:57:12"/>
    <s v="ElRincondeMagic"/>
    <x v="748"/>
    <x v="21"/>
    <s v="No"/>
    <s v="Inglés"/>
    <n v="8.0404411764705888"/>
    <n v="1"/>
    <n v="8.0404411764705888"/>
    <x v="0"/>
    <m/>
    <x v="0"/>
  </r>
  <r>
    <n v="1095908969"/>
    <x v="7"/>
    <x v="4"/>
    <d v="2022-11-26T16:57:12"/>
    <s v="ElRincondeMagic"/>
    <x v="2462"/>
    <x v="210"/>
    <s v="No"/>
    <s v="Inglés"/>
    <n v="0.21441176470588241"/>
    <n v="1"/>
    <n v="0.21441176470588241"/>
    <x v="0"/>
    <m/>
    <x v="0"/>
  </r>
  <r>
    <n v="1095908969"/>
    <x v="7"/>
    <x v="4"/>
    <d v="2022-11-26T16:57:12"/>
    <s v="ElRincondeMagic"/>
    <x v="2462"/>
    <x v="210"/>
    <s v="No"/>
    <s v="Español"/>
    <n v="0.21441176470588241"/>
    <n v="2"/>
    <n v="0.42882352941176483"/>
    <x v="0"/>
    <m/>
    <x v="0"/>
  </r>
  <r>
    <n v="1095908969"/>
    <x v="7"/>
    <x v="4"/>
    <d v="2022-11-26T16:57:12"/>
    <s v="ElRincondeMagic"/>
    <x v="2460"/>
    <x v="15"/>
    <s v="No"/>
    <s v="Español"/>
    <n v="0.53602941176470587"/>
    <n v="2"/>
    <n v="1.0720588235294117"/>
    <x v="0"/>
    <m/>
    <x v="0"/>
  </r>
  <r>
    <n v="1095908969"/>
    <x v="7"/>
    <x v="4"/>
    <d v="2022-11-26T16:57:12"/>
    <s v="ElRincondeMagic"/>
    <x v="2473"/>
    <x v="321"/>
    <s v="No"/>
    <s v="Español"/>
    <n v="0.37522058823529408"/>
    <n v="3"/>
    <n v="1.1256617647058822"/>
    <x v="0"/>
    <m/>
    <x v="0"/>
  </r>
  <r>
    <n v="1095908969"/>
    <x v="7"/>
    <x v="4"/>
    <d v="2022-11-26T16:57:12"/>
    <s v="ElRincondeMagic"/>
    <x v="748"/>
    <x v="21"/>
    <s v="No"/>
    <s v="Español"/>
    <n v="8.0404411764705888"/>
    <n v="1"/>
    <n v="8.0404411764705888"/>
    <x v="0"/>
    <m/>
    <x v="0"/>
  </r>
  <r>
    <n v="1095908969"/>
    <x v="7"/>
    <x v="4"/>
    <d v="2022-11-26T16:57:12"/>
    <s v="ElRincondeMagic"/>
    <x v="2474"/>
    <x v="8"/>
    <s v="Si"/>
    <s v="Español"/>
    <n v="0.10720588235294121"/>
    <n v="4"/>
    <n v="0.42882352941176483"/>
    <x v="0"/>
    <m/>
    <x v="0"/>
  </r>
  <r>
    <n v="1095908969"/>
    <x v="7"/>
    <x v="4"/>
    <d v="2022-11-26T16:57:12"/>
    <s v="ElRincondeMagic"/>
    <x v="2475"/>
    <x v="113"/>
    <s v="No"/>
    <s v="Español"/>
    <n v="1.018455882352941"/>
    <n v="2"/>
    <n v="2.0369117647058821"/>
    <x v="0"/>
    <m/>
    <x v="0"/>
  </r>
  <r>
    <n v="1095908969"/>
    <x v="7"/>
    <x v="4"/>
    <d v="2022-11-26T16:57:12"/>
    <s v="ElRincondeMagic"/>
    <x v="2476"/>
    <x v="12"/>
    <s v="No"/>
    <s v="Español"/>
    <n v="0.64323529411764702"/>
    <n v="2"/>
    <n v="1.286470588235294"/>
    <x v="0"/>
    <m/>
    <x v="0"/>
  </r>
  <r>
    <n v="1095908969"/>
    <x v="7"/>
    <x v="4"/>
    <d v="2022-11-26T16:57:12"/>
    <s v="ElRincondeMagic"/>
    <x v="1095"/>
    <x v="15"/>
    <s v="No"/>
    <s v="Español"/>
    <n v="7.4508088235294121"/>
    <n v="1"/>
    <n v="7.4508088235294121"/>
    <x v="0"/>
    <m/>
    <x v="0"/>
  </r>
  <r>
    <n v="1095635319"/>
    <x v="7"/>
    <x v="4"/>
    <d v="2022-11-23T19:28:31"/>
    <s v="Leenx"/>
    <x v="2477"/>
    <x v="65"/>
    <s v="No"/>
    <s v="Inglés"/>
    <n v="2.0766917293233078"/>
    <n v="1"/>
    <n v="2.0766917293233078"/>
    <x v="0"/>
    <m/>
    <x v="0"/>
  </r>
  <r>
    <n v="1095635319"/>
    <x v="7"/>
    <x v="4"/>
    <d v="2022-11-23T19:28:31"/>
    <s v="Leenx"/>
    <x v="2478"/>
    <x v="78"/>
    <s v="No"/>
    <s v="Inglés"/>
    <n v="132.9082706766917"/>
    <n v="1"/>
    <n v="132.9082706766917"/>
    <x v="0"/>
    <m/>
    <x v="0"/>
  </r>
  <r>
    <n v="1095635319"/>
    <x v="7"/>
    <x v="4"/>
    <d v="2022-11-23T19:28:31"/>
    <s v="Leenx"/>
    <x v="1365"/>
    <x v="12"/>
    <s v="No"/>
    <s v="Inglés"/>
    <n v="1.5575187969924811"/>
    <n v="2"/>
    <n v="3.1150375939849622"/>
    <x v="0"/>
    <m/>
    <x v="0"/>
  </r>
  <r>
    <n v="1094468405"/>
    <x v="7"/>
    <x v="4"/>
    <d v="2022-11-12T19:17:54"/>
    <s v="isafor77"/>
    <x v="2479"/>
    <x v="322"/>
    <s v="No"/>
    <s v="Inglés"/>
    <n v="3.791535150645625"/>
    <n v="2"/>
    <n v="7.5830703012912499"/>
    <x v="0"/>
    <m/>
    <x v="0"/>
  </r>
  <r>
    <n v="1094468405"/>
    <x v="7"/>
    <x v="4"/>
    <d v="2022-11-12T19:17:54"/>
    <s v="isafor77"/>
    <x v="2296"/>
    <x v="323"/>
    <s v="No"/>
    <s v="Inglés"/>
    <n v="5.3740889526542324"/>
    <n v="5"/>
    <n v="26.870444763271163"/>
    <x v="0"/>
    <m/>
    <x v="0"/>
  </r>
  <r>
    <n v="1094468405"/>
    <x v="7"/>
    <x v="4"/>
    <d v="2022-11-12T19:17:54"/>
    <s v="isafor77"/>
    <x v="2480"/>
    <x v="221"/>
    <s v="No"/>
    <s v="Inglés"/>
    <n v="2.1430416068866571"/>
    <n v="1"/>
    <n v="2.1430416068866571"/>
    <x v="0"/>
    <m/>
    <x v="0"/>
  </r>
  <r>
    <n v="1094468405"/>
    <x v="7"/>
    <x v="4"/>
    <d v="2022-11-12T19:17:54"/>
    <s v="isafor77"/>
    <x v="2481"/>
    <x v="221"/>
    <s v="No"/>
    <s v="Inglés"/>
    <n v="1.7034433285509329"/>
    <n v="1"/>
    <n v="1.7034433285509329"/>
    <x v="0"/>
    <m/>
    <x v="0"/>
  </r>
  <r>
    <n v="1094260376"/>
    <x v="7"/>
    <x v="4"/>
    <d v="2022-11-10T17:14:03"/>
    <s v="Andr4en"/>
    <x v="2482"/>
    <x v="15"/>
    <s v="No"/>
    <s v="Inglés"/>
    <n v="133.1"/>
    <n v="1"/>
    <n v="133.1"/>
    <x v="0"/>
    <m/>
    <x v="0"/>
  </r>
  <r>
    <n v="1094144113"/>
    <x v="7"/>
    <x v="4"/>
    <d v="2022-11-09T15:05:18"/>
    <s v="TheWolverine"/>
    <x v="2477"/>
    <x v="42"/>
    <s v="No"/>
    <s v="Inglés"/>
    <n v="3.7445205479452048"/>
    <n v="2"/>
    <n v="7.4890410958904097"/>
    <x v="0"/>
    <m/>
    <x v="0"/>
  </r>
  <r>
    <n v="1094144113"/>
    <x v="7"/>
    <x v="4"/>
    <d v="2022-11-09T15:05:18"/>
    <s v="TheWolverine"/>
    <x v="2483"/>
    <x v="84"/>
    <s v="No"/>
    <s v="Inglés"/>
    <n v="9.3613013698630141"/>
    <n v="2"/>
    <n v="18.722602739726028"/>
    <x v="0"/>
    <m/>
    <x v="0"/>
  </r>
  <r>
    <n v="1094144113"/>
    <x v="7"/>
    <x v="4"/>
    <d v="2022-11-09T15:05:18"/>
    <s v="TheWolverine"/>
    <x v="222"/>
    <x v="52"/>
    <s v="No"/>
    <s v="Español"/>
    <n v="3.7445205479452048"/>
    <n v="1"/>
    <n v="3.7445205479452048"/>
    <x v="0"/>
    <m/>
    <x v="0"/>
  </r>
  <r>
    <n v="1094144113"/>
    <x v="7"/>
    <x v="4"/>
    <d v="2022-11-09T15:05:18"/>
    <s v="TheWolverine"/>
    <x v="259"/>
    <x v="66"/>
    <s v="Si"/>
    <s v="Español"/>
    <n v="0.53493150684931501"/>
    <n v="4"/>
    <n v="2.13972602739726"/>
    <x v="0"/>
    <m/>
    <x v="0"/>
  </r>
  <r>
    <n v="1094144113"/>
    <x v="7"/>
    <x v="4"/>
    <d v="2022-11-09T15:05:18"/>
    <s v="TheWolverine"/>
    <x v="1277"/>
    <x v="259"/>
    <s v="No"/>
    <s v="Inglés"/>
    <n v="1.06986301369863"/>
    <n v="3"/>
    <n v="3.20958904109589"/>
    <x v="0"/>
    <m/>
    <x v="0"/>
  </r>
  <r>
    <n v="1094144113"/>
    <x v="7"/>
    <x v="4"/>
    <d v="2022-11-09T15:05:18"/>
    <s v="TheWolverine"/>
    <x v="857"/>
    <x v="41"/>
    <s v="No"/>
    <s v="Inglés"/>
    <n v="21.397260273972599"/>
    <n v="2"/>
    <n v="42.794520547945197"/>
    <x v="0"/>
    <m/>
    <x v="0"/>
  </r>
  <r>
    <s v="CVSALE-1094021888-01"/>
    <x v="7"/>
    <x v="4"/>
    <d v="2022-11-08T14:41:30"/>
    <s v="Venta asociada sin pedido identificado"/>
    <x v="316"/>
    <x v="17"/>
    <s v="No"/>
    <s v="Español"/>
    <n v="1.7411111111111113"/>
    <n v="3"/>
    <n v="5.2233333333333336"/>
    <x v="1"/>
    <n v="5.2233333333333336"/>
    <x v="0"/>
  </r>
  <r>
    <n v="1094021888"/>
    <x v="7"/>
    <x v="4"/>
    <d v="2022-11-08T14:41:30"/>
    <s v="MagicBarcelona"/>
    <x v="2484"/>
    <x v="186"/>
    <s v="No"/>
    <s v="Español"/>
    <n v="6.9056403201600798"/>
    <n v="1"/>
    <n v="6.9056403201600798"/>
    <x v="0"/>
    <m/>
    <x v="0"/>
  </r>
  <r>
    <n v="1094021888"/>
    <x v="7"/>
    <x v="4"/>
    <d v="2022-11-08T14:41:30"/>
    <s v="MagicBarcelona"/>
    <x v="2485"/>
    <x v="84"/>
    <s v="No"/>
    <s v="Italiano"/>
    <n v="6.3638131565782894"/>
    <n v="1"/>
    <n v="6.3638131565782894"/>
    <x v="0"/>
    <m/>
    <x v="0"/>
  </r>
  <r>
    <n v="1094021888"/>
    <x v="7"/>
    <x v="4"/>
    <d v="2022-11-08T14:41:30"/>
    <s v="MagicBarcelona"/>
    <x v="2486"/>
    <x v="324"/>
    <s v="Si"/>
    <s v="Inglés"/>
    <n v="0.1062406203101551"/>
    <n v="4"/>
    <n v="0.42496248124062042"/>
    <x v="0"/>
    <m/>
    <x v="0"/>
  </r>
  <r>
    <n v="1094021888"/>
    <x v="7"/>
    <x v="4"/>
    <d v="2022-11-08T14:41:30"/>
    <s v="MagicBarcelona"/>
    <x v="2487"/>
    <x v="207"/>
    <s v="No"/>
    <s v="Inglés"/>
    <n v="0.1062406203101551"/>
    <n v="2"/>
    <n v="0.21248124062031021"/>
    <x v="0"/>
    <m/>
    <x v="0"/>
  </r>
  <r>
    <n v="1094021888"/>
    <x v="7"/>
    <x v="4"/>
    <d v="2022-11-08T14:41:30"/>
    <s v="MagicBarcelona"/>
    <x v="2488"/>
    <x v="231"/>
    <s v="Si"/>
    <s v="Inglés"/>
    <n v="0.79680465232616304"/>
    <n v="4"/>
    <n v="3.1872186093046522"/>
    <x v="0"/>
    <m/>
    <x v="0"/>
  </r>
  <r>
    <n v="1094021888"/>
    <x v="7"/>
    <x v="4"/>
    <d v="2022-11-08T14:41:30"/>
    <s v="MagicBarcelona"/>
    <x v="2485"/>
    <x v="144"/>
    <s v="No"/>
    <s v="Inglés"/>
    <n v="7.9680465232616307"/>
    <n v="3"/>
    <n v="23.904139569784892"/>
    <x v="0"/>
    <m/>
    <x v="0"/>
  </r>
  <r>
    <n v="1094021888"/>
    <x v="7"/>
    <x v="4"/>
    <d v="2022-11-08T14:41:30"/>
    <s v="MagicBarcelona"/>
    <x v="2489"/>
    <x v="180"/>
    <s v="Si"/>
    <s v="Inglés"/>
    <n v="0.15936093046523259"/>
    <n v="4"/>
    <n v="0.63744372186093035"/>
    <x v="0"/>
    <m/>
    <x v="0"/>
  </r>
  <r>
    <n v="1094021888"/>
    <x v="7"/>
    <x v="4"/>
    <d v="2022-11-08T14:41:30"/>
    <s v="MagicBarcelona"/>
    <x v="2490"/>
    <x v="37"/>
    <s v="Si"/>
    <s v="Inglés"/>
    <n v="0.37184217108554268"/>
    <n v="4"/>
    <n v="1.4873686843421707"/>
    <x v="0"/>
    <m/>
    <x v="0"/>
  </r>
  <r>
    <n v="1094021888"/>
    <x v="7"/>
    <x v="4"/>
    <d v="2022-11-08T14:41:30"/>
    <s v="MagicBarcelona"/>
    <x v="2491"/>
    <x v="96"/>
    <s v="Si"/>
    <s v="Inglés"/>
    <n v="0.1062406203101551"/>
    <n v="4"/>
    <n v="0.42496248124062042"/>
    <x v="0"/>
    <m/>
    <x v="0"/>
  </r>
  <r>
    <n v="1094021888"/>
    <x v="7"/>
    <x v="4"/>
    <d v="2022-11-08T14:41:30"/>
    <s v="MagicBarcelona"/>
    <x v="2484"/>
    <x v="186"/>
    <s v="No"/>
    <s v="Inglés"/>
    <n v="7.9680465232616307"/>
    <n v="2"/>
    <n v="15.936093046523261"/>
    <x v="0"/>
    <m/>
    <x v="0"/>
  </r>
  <r>
    <n v="1094021888"/>
    <x v="7"/>
    <x v="4"/>
    <d v="2022-11-08T14:41:30"/>
    <s v="MagicBarcelona"/>
    <x v="2492"/>
    <x v="65"/>
    <s v="No"/>
    <s v="Inglés"/>
    <n v="0.1062406203101551"/>
    <n v="3"/>
    <n v="0.31872186093046528"/>
    <x v="0"/>
    <m/>
    <x v="0"/>
  </r>
  <r>
    <n v="1094021888"/>
    <x v="7"/>
    <x v="4"/>
    <d v="2022-11-08T14:41:30"/>
    <s v="MagicBarcelona"/>
    <x v="468"/>
    <x v="195"/>
    <s v="No"/>
    <s v="Inglés"/>
    <n v="0.1062406203101551"/>
    <n v="3"/>
    <n v="0.31872186093046528"/>
    <x v="0"/>
    <m/>
    <x v="0"/>
  </r>
  <r>
    <n v="1094021888"/>
    <x v="7"/>
    <x v="4"/>
    <d v="2022-11-08T14:41:30"/>
    <s v="MagicBarcelona"/>
    <x v="1395"/>
    <x v="325"/>
    <s v="Si"/>
    <s v="Inglés"/>
    <n v="0.79680465232616304"/>
    <n v="4"/>
    <n v="3.1872186093046522"/>
    <x v="0"/>
    <m/>
    <x v="0"/>
  </r>
  <r>
    <n v="1094021888"/>
    <x v="7"/>
    <x v="4"/>
    <d v="2022-11-08T14:41:30"/>
    <s v="MagicBarcelona"/>
    <x v="1282"/>
    <x v="129"/>
    <s v="Si"/>
    <s v="Inglés"/>
    <n v="0.79680465232616304"/>
    <n v="4"/>
    <n v="3.1872186093046522"/>
    <x v="0"/>
    <m/>
    <x v="0"/>
  </r>
  <r>
    <n v="1094021888"/>
    <x v="7"/>
    <x v="4"/>
    <d v="2022-11-08T14:41:30"/>
    <s v="MagicBarcelona"/>
    <x v="2493"/>
    <x v="83"/>
    <s v="No"/>
    <s v="Inglés"/>
    <n v="0.37184217108554268"/>
    <n v="1"/>
    <n v="0.37184217108554268"/>
    <x v="0"/>
    <m/>
    <x v="0"/>
  </r>
  <r>
    <n v="1094021888"/>
    <x v="7"/>
    <x v="4"/>
    <d v="2022-11-08T14:41:30"/>
    <s v="MagicBarcelona"/>
    <x v="2494"/>
    <x v="137"/>
    <s v="Si"/>
    <s v="Inglés"/>
    <n v="0.15936093046523259"/>
    <n v="4"/>
    <n v="0.63744372186093035"/>
    <x v="0"/>
    <m/>
    <x v="0"/>
  </r>
  <r>
    <n v="1094021888"/>
    <x v="7"/>
    <x v="4"/>
    <d v="2022-11-08T14:41:30"/>
    <s v="MagicBarcelona"/>
    <x v="2495"/>
    <x v="310"/>
    <s v="Si"/>
    <s v="Inglés"/>
    <n v="0.1062406203101551"/>
    <n v="4"/>
    <n v="0.42496248124062042"/>
    <x v="0"/>
    <m/>
    <x v="0"/>
  </r>
  <r>
    <n v="1094021888"/>
    <x v="7"/>
    <x v="4"/>
    <d v="2022-11-08T14:41:30"/>
    <s v="MagicBarcelona"/>
    <x v="1115"/>
    <x v="113"/>
    <s v="Si"/>
    <s v="Inglés"/>
    <n v="0.15936093046523259"/>
    <n v="4"/>
    <n v="0.63744372186093035"/>
    <x v="0"/>
    <m/>
    <x v="0"/>
  </r>
  <r>
    <n v="1094021888"/>
    <x v="7"/>
    <x v="4"/>
    <d v="2022-11-08T14:41:30"/>
    <s v="MagicBarcelona"/>
    <x v="1116"/>
    <x v="113"/>
    <s v="Si"/>
    <s v="Inglés"/>
    <n v="0.21248124062031021"/>
    <n v="4"/>
    <n v="0.84992496248124083"/>
    <x v="0"/>
    <m/>
    <x v="0"/>
  </r>
  <r>
    <n v="1094021888"/>
    <x v="7"/>
    <x v="4"/>
    <d v="2022-11-08T14:41:30"/>
    <s v="MagicBarcelona"/>
    <x v="1116"/>
    <x v="194"/>
    <s v="Si"/>
    <s v="Inglés"/>
    <n v="0.26560155077538772"/>
    <n v="4"/>
    <n v="1.0624062031015509"/>
    <x v="0"/>
    <m/>
    <x v="0"/>
  </r>
  <r>
    <n v="1094021888"/>
    <x v="7"/>
    <x v="4"/>
    <d v="2022-11-08T14:41:30"/>
    <s v="MagicBarcelona"/>
    <x v="2496"/>
    <x v="194"/>
    <s v="Si"/>
    <s v="Inglés"/>
    <n v="0.26560155077538772"/>
    <n v="4"/>
    <n v="1.0624062031015509"/>
    <x v="0"/>
    <m/>
    <x v="0"/>
  </r>
  <r>
    <n v="1094021888"/>
    <x v="7"/>
    <x v="4"/>
    <d v="2022-11-08T14:41:30"/>
    <s v="MagicBarcelona"/>
    <x v="2497"/>
    <x v="65"/>
    <s v="Si"/>
    <s v="Inglés"/>
    <n v="0.79680465232616304"/>
    <n v="4"/>
    <n v="3.1872186093046522"/>
    <x v="0"/>
    <m/>
    <x v="0"/>
  </r>
  <r>
    <n v="1094021888"/>
    <x v="7"/>
    <x v="4"/>
    <d v="2022-11-08T14:41:30"/>
    <s v="MagicBarcelona"/>
    <x v="2498"/>
    <x v="41"/>
    <s v="Si"/>
    <s v="Inglés"/>
    <n v="0.21248124062031021"/>
    <n v="4"/>
    <n v="0.84992496248124083"/>
    <x v="0"/>
    <m/>
    <x v="0"/>
  </r>
  <r>
    <n v="1094021888"/>
    <x v="7"/>
    <x v="4"/>
    <d v="2022-11-08T14:41:30"/>
    <s v="MagicBarcelona"/>
    <x v="2499"/>
    <x v="139"/>
    <s v="Si"/>
    <s v="Inglés"/>
    <n v="0.53120310155077544"/>
    <n v="4"/>
    <n v="2.1248124062031017"/>
    <x v="0"/>
    <m/>
    <x v="0"/>
  </r>
  <r>
    <n v="1094021888"/>
    <x v="7"/>
    <x v="4"/>
    <d v="2022-11-08T14:41:30"/>
    <s v="MagicBarcelona"/>
    <x v="2500"/>
    <x v="21"/>
    <s v="Si"/>
    <s v="Inglés"/>
    <n v="0.1062406203101551"/>
    <n v="4"/>
    <n v="0.42496248124062042"/>
    <x v="0"/>
    <m/>
    <x v="0"/>
  </r>
  <r>
    <n v="1094021888"/>
    <x v="7"/>
    <x v="4"/>
    <d v="2022-11-08T14:41:30"/>
    <s v="MagicBarcelona"/>
    <x v="2501"/>
    <x v="139"/>
    <s v="Si"/>
    <s v="Inglés"/>
    <n v="0.1062406203101551"/>
    <n v="4"/>
    <n v="0.42496248124062042"/>
    <x v="0"/>
    <m/>
    <x v="0"/>
  </r>
  <r>
    <n v="1094021888"/>
    <x v="7"/>
    <x v="4"/>
    <d v="2022-11-08T14:41:30"/>
    <s v="MagicBarcelona"/>
    <x v="2502"/>
    <x v="101"/>
    <s v="Si"/>
    <s v="Inglés"/>
    <n v="0.15936093046523259"/>
    <n v="4"/>
    <n v="0.63744372186093035"/>
    <x v="0"/>
    <m/>
    <x v="0"/>
  </r>
  <r>
    <n v="1094021888"/>
    <x v="7"/>
    <x v="4"/>
    <d v="2022-11-08T14:41:30"/>
    <s v="MagicBarcelona"/>
    <x v="1384"/>
    <x v="64"/>
    <s v="Si"/>
    <s v="Inglés"/>
    <n v="0.1062406203101551"/>
    <n v="4"/>
    <n v="0.42496248124062042"/>
    <x v="0"/>
    <m/>
    <x v="0"/>
  </r>
  <r>
    <n v="1094021888"/>
    <x v="7"/>
    <x v="4"/>
    <d v="2022-11-08T14:41:30"/>
    <s v="MagicBarcelona"/>
    <x v="2503"/>
    <x v="15"/>
    <s v="No"/>
    <s v="Inglés"/>
    <n v="0.1062406203101551"/>
    <n v="3"/>
    <n v="0.31872186093046528"/>
    <x v="0"/>
    <m/>
    <x v="0"/>
  </r>
  <r>
    <n v="1094021888"/>
    <x v="7"/>
    <x v="4"/>
    <d v="2022-11-08T14:41:30"/>
    <s v="MagicBarcelona"/>
    <x v="316"/>
    <x v="17"/>
    <s v="No"/>
    <s v="Español"/>
    <n v="1.051782141070535"/>
    <n v="3"/>
    <n v="3.1553464232116051"/>
    <x v="0"/>
    <m/>
    <x v="0"/>
  </r>
  <r>
    <n v="1094021888"/>
    <x v="7"/>
    <x v="4"/>
    <d v="2022-11-08T14:41:30"/>
    <s v="MagicBarcelona"/>
    <x v="316"/>
    <x v="17"/>
    <s v="No"/>
    <s v="Inglés"/>
    <n v="1.859210855427714"/>
    <n v="1"/>
    <n v="1.859210855427714"/>
    <x v="0"/>
    <m/>
    <x v="0"/>
  </r>
  <r>
    <n v="1093646709"/>
    <x v="7"/>
    <x v="4"/>
    <d v="2022-11-05T00:00:00"/>
    <s v="PERALTA"/>
    <x v="1886"/>
    <x v="126"/>
    <s v="No"/>
    <s v="Español"/>
    <n v="16.5"/>
    <n v="2"/>
    <n v="33"/>
    <x v="0"/>
    <m/>
    <x v="0"/>
  </r>
  <r>
    <n v="1093646709"/>
    <x v="7"/>
    <x v="4"/>
    <d v="2022-11-05T00:00:00"/>
    <s v="PERALTA"/>
    <x v="1259"/>
    <x v="46"/>
    <s v="No"/>
    <s v="Español"/>
    <n v="26.5"/>
    <n v="2"/>
    <n v="53"/>
    <x v="0"/>
    <m/>
    <x v="0"/>
  </r>
  <r>
    <n v="1093444404"/>
    <x v="7"/>
    <x v="4"/>
    <d v="2022-11-03T12:08:05"/>
    <s v="mundicomics"/>
    <x v="870"/>
    <x v="65"/>
    <s v="No"/>
    <s v="Inglés"/>
    <n v="14.307310901001109"/>
    <n v="2"/>
    <n v="28.614621802002219"/>
    <x v="0"/>
    <m/>
    <x v="0"/>
  </r>
  <r>
    <n v="1093444404"/>
    <x v="7"/>
    <x v="4"/>
    <d v="2022-11-03T12:08:05"/>
    <s v="mundicomics"/>
    <x v="2504"/>
    <x v="221"/>
    <s v="No"/>
    <s v="Inglés"/>
    <n v="7.1476890989988879"/>
    <n v="2"/>
    <n v="14.295378197997776"/>
    <x v="0"/>
    <m/>
    <x v="0"/>
  </r>
  <r>
    <n v="1093441105"/>
    <x v="7"/>
    <x v="4"/>
    <d v="2022-11-03T11:52:02"/>
    <s v="talasoma"/>
    <x v="503"/>
    <x v="180"/>
    <s v="No"/>
    <s v="Inglés"/>
    <n v="41.539726027397258"/>
    <n v="1"/>
    <n v="41.539726027397258"/>
    <x v="0"/>
    <m/>
    <x v="0"/>
  </r>
  <r>
    <n v="1093441105"/>
    <x v="7"/>
    <x v="4"/>
    <d v="2022-11-03T11:52:02"/>
    <s v="talasoma"/>
    <x v="2381"/>
    <x v="139"/>
    <s v="No"/>
    <s v="Español"/>
    <n v="18.31027397260274"/>
    <n v="1"/>
    <n v="18.31027397260274"/>
    <x v="0"/>
    <m/>
    <x v="0"/>
  </r>
  <r>
    <s v="CVSALE-1093432462-02"/>
    <x v="7"/>
    <x v="4"/>
    <d v="2022-11-03T10:16:23"/>
    <s v="Venta asociada sin pedido identificado"/>
    <x v="1244"/>
    <x v="207"/>
    <s v="No"/>
    <s v="Español"/>
    <n v="6.2029122414756834"/>
    <n v="3"/>
    <n v="18.60873672442705"/>
    <x v="1"/>
    <n v="18.60873672442705"/>
    <x v="0"/>
  </r>
  <r>
    <s v="CVSALE-1093432462-01"/>
    <x v="7"/>
    <x v="4"/>
    <d v="2022-11-03T10:16:23"/>
    <s v="Venta asociada sin pedido identificado"/>
    <x v="2475"/>
    <x v="262"/>
    <s v="No"/>
    <s v="Inglés"/>
    <n v="6.17"/>
    <n v="2"/>
    <n v="12.34"/>
    <x v="1"/>
    <n v="12.34"/>
    <x v="0"/>
  </r>
  <r>
    <n v="1093432462"/>
    <x v="7"/>
    <x v="4"/>
    <d v="2022-11-03T10:16:23"/>
    <s v="CumplidoHalcon"/>
    <x v="201"/>
    <x v="37"/>
    <s v="No"/>
    <s v="Español"/>
    <n v="11.05263157894737"/>
    <n v="1"/>
    <n v="11.05263157894737"/>
    <x v="0"/>
    <m/>
    <x v="0"/>
  </r>
  <r>
    <n v="1093432462"/>
    <x v="7"/>
    <x v="4"/>
    <d v="2022-11-03T10:16:23"/>
    <s v="CumplidoHalcon"/>
    <x v="2505"/>
    <x v="33"/>
    <s v="No"/>
    <s v="Inglés"/>
    <n v="1.271052631578947"/>
    <n v="3"/>
    <n v="3.813157894736841"/>
    <x v="0"/>
    <m/>
    <x v="0"/>
  </r>
  <r>
    <n v="1093432462"/>
    <x v="7"/>
    <x v="4"/>
    <d v="2022-11-03T10:16:23"/>
    <s v="CumplidoHalcon"/>
    <x v="2475"/>
    <x v="262"/>
    <s v="No"/>
    <s v="Inglés"/>
    <n v="1.6578947368421051"/>
    <n v="2"/>
    <n v="3.3157894736842102"/>
    <x v="0"/>
    <m/>
    <x v="0"/>
  </r>
  <r>
    <n v="1093432462"/>
    <x v="7"/>
    <x v="4"/>
    <d v="2022-11-03T10:16:23"/>
    <s v="CumplidoHalcon"/>
    <x v="1244"/>
    <x v="77"/>
    <s v="No"/>
    <s v="Inglés"/>
    <n v="8.8421052631578938"/>
    <n v="1"/>
    <n v="8.8421052631578938"/>
    <x v="0"/>
    <m/>
    <x v="0"/>
  </r>
  <r>
    <n v="1093432462"/>
    <x v="7"/>
    <x v="4"/>
    <d v="2022-11-03T10:16:23"/>
    <s v="CumplidoHalcon"/>
    <x v="1244"/>
    <x v="207"/>
    <s v="No"/>
    <s v="Español"/>
    <n v="8.8421052631578956"/>
    <n v="3"/>
    <n v="26.526315789473685"/>
    <x v="0"/>
    <m/>
    <x v="0"/>
  </r>
  <r>
    <s v="CVSALE-1093422778-02"/>
    <x v="7"/>
    <x v="4"/>
    <d v="2022-11-03T09:23:12"/>
    <s v="Venta asociada sin pedido identificado"/>
    <x v="2506"/>
    <x v="15"/>
    <s v="Si"/>
    <s v="Inglés"/>
    <n v="0.62705823293172702"/>
    <n v="4"/>
    <n v="2.5082329317269081"/>
    <x v="1"/>
    <n v="2.5082329317269081"/>
    <x v="0"/>
  </r>
  <r>
    <s v="CVSALE-1093422778-01"/>
    <x v="7"/>
    <x v="4"/>
    <d v="2022-11-03T09:23:12"/>
    <s v="Venta asociada sin pedido identificado"/>
    <x v="2507"/>
    <x v="15"/>
    <s v="Si"/>
    <s v="Inglés"/>
    <n v="1.8630232558139537"/>
    <n v="4"/>
    <n v="7.4520930232558147"/>
    <x v="1"/>
    <n v="7.4520930232558147"/>
    <x v="0"/>
  </r>
  <r>
    <n v="1093426179"/>
    <x v="7"/>
    <x v="4"/>
    <d v="2022-11-03T09:23:12"/>
    <s v="D-Ruiz"/>
    <x v="1229"/>
    <x v="115"/>
    <s v="No"/>
    <s v="Español"/>
    <n v="37.1"/>
    <n v="1"/>
    <n v="37.1"/>
    <x v="0"/>
    <m/>
    <x v="0"/>
  </r>
  <r>
    <n v="1093422778"/>
    <x v="7"/>
    <x v="4"/>
    <d v="2022-11-03T09:23:12"/>
    <s v="Mazvigosl"/>
    <x v="2508"/>
    <x v="45"/>
    <s v="Si"/>
    <s v="Inglés"/>
    <n v="4.1909712054660808"/>
    <n v="4"/>
    <n v="16.763884821864323"/>
    <x v="0"/>
    <m/>
    <x v="0"/>
  </r>
  <r>
    <n v="1093422778"/>
    <x v="7"/>
    <x v="4"/>
    <d v="2022-11-03T09:23:12"/>
    <s v="Mazvigosl"/>
    <x v="2509"/>
    <x v="21"/>
    <s v="Si"/>
    <s v="Inglés"/>
    <n v="0.12732064421669109"/>
    <n v="4"/>
    <n v="0.50928257686676437"/>
    <x v="0"/>
    <m/>
    <x v="0"/>
  </r>
  <r>
    <n v="1093422778"/>
    <x v="7"/>
    <x v="4"/>
    <d v="2022-11-03T09:23:12"/>
    <s v="Mazvigosl"/>
    <x v="2510"/>
    <x v="15"/>
    <s v="Si"/>
    <s v="Inglés"/>
    <n v="0.15915080527086381"/>
    <n v="4"/>
    <n v="0.63660322108345524"/>
    <x v="0"/>
    <m/>
    <x v="0"/>
  </r>
  <r>
    <n v="1093422778"/>
    <x v="7"/>
    <x v="4"/>
    <d v="2022-11-03T09:23:12"/>
    <s v="Mazvigosl"/>
    <x v="2511"/>
    <x v="33"/>
    <s v="Si"/>
    <s v="Inglés"/>
    <n v="1.432357247437775"/>
    <n v="4"/>
    <n v="5.7294289897511002"/>
    <x v="0"/>
    <m/>
    <x v="0"/>
  </r>
  <r>
    <n v="1093422778"/>
    <x v="7"/>
    <x v="4"/>
    <d v="2022-11-03T09:23:12"/>
    <s v="Mazvigosl"/>
    <x v="323"/>
    <x v="37"/>
    <s v="No"/>
    <s v="Inglés"/>
    <n v="1.0079551000488041"/>
    <n v="6"/>
    <n v="6.0477306002928248"/>
    <x v="0"/>
    <m/>
    <x v="0"/>
  </r>
  <r>
    <n v="1093422778"/>
    <x v="7"/>
    <x v="4"/>
    <d v="2022-11-03T09:23:12"/>
    <s v="Mazvigosl"/>
    <x v="2512"/>
    <x v="37"/>
    <s v="No"/>
    <s v="Inglés"/>
    <n v="0.47745241581259151"/>
    <n v="6"/>
    <n v="2.8647144948755492"/>
    <x v="0"/>
    <m/>
    <x v="0"/>
  </r>
  <r>
    <n v="1093422778"/>
    <x v="7"/>
    <x v="4"/>
    <d v="2022-11-03T09:23:12"/>
    <s v="Mazvigosl"/>
    <x v="2513"/>
    <x v="15"/>
    <s v="Si"/>
    <s v="Inglés"/>
    <n v="0.1061005368472426"/>
    <n v="4"/>
    <n v="0.42440214738897042"/>
    <x v="0"/>
    <m/>
    <x v="0"/>
  </r>
  <r>
    <n v="1093422778"/>
    <x v="7"/>
    <x v="4"/>
    <d v="2022-11-03T09:23:12"/>
    <s v="Mazvigosl"/>
    <x v="1778"/>
    <x v="221"/>
    <s v="No"/>
    <s v="Inglés"/>
    <n v="9.4959980478282091"/>
    <n v="1"/>
    <n v="9.4959980478282091"/>
    <x v="0"/>
    <m/>
    <x v="0"/>
  </r>
  <r>
    <n v="1093422778"/>
    <x v="7"/>
    <x v="4"/>
    <d v="2022-11-03T09:23:12"/>
    <s v="Mazvigosl"/>
    <x v="2215"/>
    <x v="326"/>
    <s v="No"/>
    <s v="Inglés"/>
    <n v="7.3527672035139089"/>
    <n v="1"/>
    <n v="7.3527672035139089"/>
    <x v="0"/>
    <m/>
    <x v="0"/>
  </r>
  <r>
    <n v="1093422778"/>
    <x v="7"/>
    <x v="4"/>
    <d v="2022-11-03T09:23:12"/>
    <s v="Mazvigosl"/>
    <x v="2514"/>
    <x v="166"/>
    <s v="No"/>
    <s v="Inglés"/>
    <n v="2.0689604685212299"/>
    <n v="2"/>
    <n v="4.1379209370424599"/>
    <x v="0"/>
    <m/>
    <x v="0"/>
  </r>
  <r>
    <n v="1093422778"/>
    <x v="7"/>
    <x v="4"/>
    <d v="2022-11-03T09:23:12"/>
    <s v="Mazvigosl"/>
    <x v="663"/>
    <x v="37"/>
    <s v="Si"/>
    <s v="Inglés"/>
    <n v="5.2519765739385056"/>
    <n v="4"/>
    <n v="21.007906295754022"/>
    <x v="0"/>
    <m/>
    <x v="0"/>
  </r>
  <r>
    <n v="1093422778"/>
    <x v="7"/>
    <x v="4"/>
    <d v="2022-11-03T09:23:12"/>
    <s v="Mazvigosl"/>
    <x v="346"/>
    <x v="15"/>
    <s v="Si"/>
    <s v="Inglés"/>
    <n v="1.835539287457296"/>
    <n v="4"/>
    <n v="7.342157149829184"/>
    <x v="0"/>
    <m/>
    <x v="0"/>
  </r>
  <r>
    <n v="1093422778"/>
    <x v="7"/>
    <x v="4"/>
    <d v="2022-11-03T09:23:12"/>
    <s v="Mazvigosl"/>
    <x v="2507"/>
    <x v="15"/>
    <s v="Si"/>
    <s v="Inglés"/>
    <n v="1.241376281112738"/>
    <n v="4"/>
    <n v="4.965505124450952"/>
    <x v="0"/>
    <m/>
    <x v="0"/>
  </r>
  <r>
    <n v="1093422778"/>
    <x v="7"/>
    <x v="4"/>
    <d v="2022-11-03T09:23:12"/>
    <s v="Mazvigosl"/>
    <x v="2506"/>
    <x v="15"/>
    <s v="Si"/>
    <s v="Inglés"/>
    <n v="0.30769155685700339"/>
    <n v="4"/>
    <n v="1.2307662274280136"/>
    <x v="0"/>
    <m/>
    <x v="0"/>
  </r>
  <r>
    <n v="1093422778"/>
    <x v="7"/>
    <x v="4"/>
    <d v="2022-11-03T09:23:12"/>
    <s v="Mazvigosl"/>
    <x v="982"/>
    <x v="15"/>
    <s v="Si"/>
    <s v="Inglés"/>
    <n v="0.98673499267935583"/>
    <n v="4"/>
    <n v="3.9469399707174233"/>
    <x v="0"/>
    <m/>
    <x v="0"/>
  </r>
  <r>
    <n v="1093422778"/>
    <x v="7"/>
    <x v="4"/>
    <d v="2022-11-03T09:23:12"/>
    <s v="Mazvigosl"/>
    <x v="249"/>
    <x v="74"/>
    <s v="Si"/>
    <s v="Inglés"/>
    <n v="9.4959980478282091"/>
    <n v="4"/>
    <n v="37.983992191312836"/>
    <x v="0"/>
    <m/>
    <x v="0"/>
  </r>
  <r>
    <n v="1093455927"/>
    <x v="7"/>
    <x v="4"/>
    <d v="2022-11-03T00:00:00"/>
    <s v="TEMPEST-STORE"/>
    <x v="2515"/>
    <x v="132"/>
    <s v="No"/>
    <s v="Español"/>
    <n v="0.35"/>
    <n v="3"/>
    <n v="1.0499999999999998"/>
    <x v="0"/>
    <m/>
    <x v="0"/>
  </r>
  <r>
    <n v="1093455927"/>
    <x v="7"/>
    <x v="4"/>
    <d v="2022-11-03T00:00:00"/>
    <s v="TEMPEST-STORE"/>
    <x v="301"/>
    <x v="37"/>
    <s v="No"/>
    <s v="Español"/>
    <n v="5.95"/>
    <n v="1"/>
    <n v="5.95"/>
    <x v="0"/>
    <m/>
    <x v="0"/>
  </r>
  <r>
    <n v="1092990396"/>
    <x v="8"/>
    <x v="4"/>
    <d v="2022-10-29T23:17:28"/>
    <s v="mison"/>
    <x v="2516"/>
    <x v="90"/>
    <s v="No"/>
    <s v="Inglés"/>
    <n v="40.1"/>
    <n v="1"/>
    <n v="40.1"/>
    <x v="0"/>
    <m/>
    <x v="0"/>
  </r>
  <r>
    <n v="1092930379"/>
    <x v="8"/>
    <x v="4"/>
    <d v="2022-10-29T14:31:32"/>
    <s v="EldritchGate"/>
    <x v="1259"/>
    <x v="46"/>
    <s v="No"/>
    <s v="Español"/>
    <n v="28.21889920542808"/>
    <n v="2"/>
    <n v="56.437798410856161"/>
    <x v="0"/>
    <m/>
    <x v="0"/>
  </r>
  <r>
    <n v="1092930379"/>
    <x v="8"/>
    <x v="4"/>
    <d v="2022-10-29T14:31:32"/>
    <s v="EldritchGate"/>
    <x v="2517"/>
    <x v="45"/>
    <s v="No"/>
    <s v="Inglés"/>
    <n v="20.858356396750288"/>
    <n v="1"/>
    <n v="20.858356396750288"/>
    <x v="0"/>
    <m/>
    <x v="0"/>
  </r>
  <r>
    <n v="1092930379"/>
    <x v="8"/>
    <x v="4"/>
    <d v="2022-10-29T14:31:32"/>
    <s v="EldritchGate"/>
    <x v="1149"/>
    <x v="126"/>
    <s v="No"/>
    <s v="Chino-S"/>
    <n v="0.7736934202303366"/>
    <n v="1"/>
    <n v="0.7736934202303366"/>
    <x v="0"/>
    <m/>
    <x v="0"/>
  </r>
  <r>
    <n v="1092930379"/>
    <x v="8"/>
    <x v="4"/>
    <d v="2022-10-29T14:31:32"/>
    <s v="EldritchGate"/>
    <x v="1258"/>
    <x v="46"/>
    <s v="No"/>
    <s v="Inglés"/>
    <n v="19.279603606820821"/>
    <n v="1"/>
    <n v="19.279603606820821"/>
    <x v="0"/>
    <m/>
    <x v="0"/>
  </r>
  <r>
    <n v="1092930379"/>
    <x v="8"/>
    <x v="4"/>
    <d v="2022-10-29T14:31:32"/>
    <s v="EldritchGate"/>
    <x v="1258"/>
    <x v="46"/>
    <s v="No"/>
    <s v="Inglés"/>
    <n v="19.760548165342382"/>
    <n v="1"/>
    <n v="19.760548165342382"/>
    <x v="0"/>
    <m/>
    <x v="0"/>
  </r>
  <r>
    <n v="1092855087"/>
    <x v="8"/>
    <x v="4"/>
    <d v="2022-10-28T15:15:06"/>
    <s v="Mazvigosl"/>
    <x v="2518"/>
    <x v="327"/>
    <s v="Si"/>
    <s v="Inglés"/>
    <n v="1.357969595761833"/>
    <n v="4"/>
    <n v="5.4318783830473318"/>
    <x v="0"/>
    <m/>
    <x v="0"/>
  </r>
  <r>
    <n v="1092855087"/>
    <x v="8"/>
    <x v="4"/>
    <d v="2022-10-28T15:15:06"/>
    <s v="Mazvigosl"/>
    <x v="2519"/>
    <x v="290"/>
    <s v="No"/>
    <s v="Inglés"/>
    <n v="2.281388920879881"/>
    <n v="2"/>
    <n v="4.562777841759762"/>
    <x v="0"/>
    <m/>
    <x v="0"/>
  </r>
  <r>
    <n v="1092855087"/>
    <x v="8"/>
    <x v="4"/>
    <d v="2022-10-28T15:15:06"/>
    <s v="Mazvigosl"/>
    <x v="1778"/>
    <x v="221"/>
    <s v="No"/>
    <s v="Inglés"/>
    <n v="9.723062305654727"/>
    <n v="1"/>
    <n v="9.723062305654727"/>
    <x v="0"/>
    <m/>
    <x v="0"/>
  </r>
  <r>
    <n v="1092855087"/>
    <x v="8"/>
    <x v="4"/>
    <d v="2022-10-28T15:15:06"/>
    <s v="Mazvigosl"/>
    <x v="2358"/>
    <x v="21"/>
    <s v="No"/>
    <s v="Inglés"/>
    <n v="9.723062305654727"/>
    <n v="1"/>
    <n v="9.723062305654727"/>
    <x v="0"/>
    <m/>
    <x v="0"/>
  </r>
  <r>
    <n v="1092855087"/>
    <x v="8"/>
    <x v="4"/>
    <d v="2022-10-28T15:15:06"/>
    <s v="Mazvigosl"/>
    <x v="2520"/>
    <x v="179"/>
    <s v="No"/>
    <s v="Inglés"/>
    <n v="3.747996084302661"/>
    <n v="2"/>
    <n v="7.4959921686053219"/>
    <x v="0"/>
    <m/>
    <x v="0"/>
  </r>
  <r>
    <n v="1092855087"/>
    <x v="8"/>
    <x v="4"/>
    <d v="2022-10-28T15:15:06"/>
    <s v="Mazvigosl"/>
    <x v="2520"/>
    <x v="179"/>
    <s v="No"/>
    <s v="Inglés"/>
    <n v="4.2911839226073942"/>
    <n v="1"/>
    <n v="4.2911839226073942"/>
    <x v="0"/>
    <m/>
    <x v="0"/>
  </r>
  <r>
    <n v="1092855087"/>
    <x v="8"/>
    <x v="4"/>
    <d v="2022-10-28T15:15:06"/>
    <s v="Mazvigosl"/>
    <x v="2519"/>
    <x v="290"/>
    <s v="No"/>
    <s v="Inglés"/>
    <n v="2.1184325693884598"/>
    <n v="1"/>
    <n v="2.1184325693884598"/>
    <x v="0"/>
    <m/>
    <x v="0"/>
  </r>
  <r>
    <n v="1092855087"/>
    <x v="8"/>
    <x v="4"/>
    <d v="2022-10-28T15:15:06"/>
    <s v="Mazvigosl"/>
    <x v="2521"/>
    <x v="226"/>
    <s v="No"/>
    <s v="Inglés"/>
    <n v="1.357969595761833"/>
    <n v="3"/>
    <n v="4.0739087872854984"/>
    <x v="0"/>
    <m/>
    <x v="0"/>
  </r>
  <r>
    <n v="1092855087"/>
    <x v="8"/>
    <x v="4"/>
    <d v="2022-10-28T15:15:06"/>
    <s v="Mazvigosl"/>
    <x v="2522"/>
    <x v="21"/>
    <s v="No"/>
    <s v="Inglés"/>
    <n v="1.032056892778993"/>
    <n v="3"/>
    <n v="3.0961706783369793"/>
    <x v="0"/>
    <m/>
    <x v="0"/>
  </r>
  <r>
    <n v="1092855087"/>
    <x v="8"/>
    <x v="4"/>
    <d v="2022-10-28T15:15:06"/>
    <s v="Mazvigosl"/>
    <x v="2523"/>
    <x v="226"/>
    <s v="No"/>
    <s v="Inglés"/>
    <n v="1.032056892778993"/>
    <n v="1"/>
    <n v="1.032056892778993"/>
    <x v="0"/>
    <m/>
    <x v="0"/>
  </r>
  <r>
    <n v="1092855087"/>
    <x v="8"/>
    <x v="4"/>
    <d v="2022-10-28T15:15:06"/>
    <s v="Mazvigosl"/>
    <x v="2524"/>
    <x v="8"/>
    <s v="No"/>
    <s v="Inglés"/>
    <n v="1.032056892778993"/>
    <n v="2"/>
    <n v="2.0641137855579861"/>
    <x v="0"/>
    <m/>
    <x v="0"/>
  </r>
  <r>
    <n v="1092855087"/>
    <x v="8"/>
    <x v="4"/>
    <d v="2022-10-28T15:15:06"/>
    <s v="Mazvigosl"/>
    <x v="2521"/>
    <x v="226"/>
    <s v="No"/>
    <s v="Inglés"/>
    <n v="2.1184325693884598"/>
    <n v="1"/>
    <n v="2.1184325693884598"/>
    <x v="0"/>
    <m/>
    <x v="0"/>
  </r>
  <r>
    <n v="1092855087"/>
    <x v="8"/>
    <x v="4"/>
    <d v="2022-10-28T15:15:06"/>
    <s v="Mazvigosl"/>
    <x v="2525"/>
    <x v="139"/>
    <s v="Si"/>
    <s v="Inglés"/>
    <n v="0.1086375676609467"/>
    <n v="4"/>
    <n v="0.43455027064378682"/>
    <x v="0"/>
    <m/>
    <x v="0"/>
  </r>
  <r>
    <n v="1092855087"/>
    <x v="8"/>
    <x v="4"/>
    <d v="2022-10-28T15:15:06"/>
    <s v="Mazvigosl"/>
    <x v="2526"/>
    <x v="180"/>
    <s v="Si"/>
    <s v="Inglés"/>
    <n v="0.16295635149141999"/>
    <n v="4"/>
    <n v="0.65182540596567995"/>
    <x v="0"/>
    <m/>
    <x v="0"/>
  </r>
  <r>
    <n v="1092855087"/>
    <x v="8"/>
    <x v="4"/>
    <d v="2022-10-28T15:15:06"/>
    <s v="Mazvigosl"/>
    <x v="2527"/>
    <x v="226"/>
    <s v="Si"/>
    <s v="Inglés"/>
    <n v="0.35850397328112399"/>
    <n v="4"/>
    <n v="1.434015893124496"/>
    <x v="0"/>
    <m/>
    <x v="0"/>
  </r>
  <r>
    <n v="1092855087"/>
    <x v="8"/>
    <x v="4"/>
    <d v="2022-10-28T15:15:06"/>
    <s v="Mazvigosl"/>
    <x v="2290"/>
    <x v="139"/>
    <s v="No"/>
    <s v="Inglés"/>
    <n v="0.1086375676609467"/>
    <n v="2"/>
    <n v="0.21727513532189341"/>
    <x v="0"/>
    <m/>
    <x v="0"/>
  </r>
  <r>
    <n v="1092855087"/>
    <x v="8"/>
    <x v="4"/>
    <d v="2022-10-28T15:15:06"/>
    <s v="Mazvigosl"/>
    <x v="2528"/>
    <x v="21"/>
    <s v="Si"/>
    <s v="Inglés"/>
    <n v="0.1086375676609467"/>
    <n v="4"/>
    <n v="0.43455027064378682"/>
    <x v="0"/>
    <m/>
    <x v="0"/>
  </r>
  <r>
    <n v="1092855087"/>
    <x v="8"/>
    <x v="4"/>
    <d v="2022-10-28T15:15:06"/>
    <s v="Mazvigosl"/>
    <x v="2529"/>
    <x v="21"/>
    <s v="No"/>
    <s v="Inglés"/>
    <n v="4.2911839226073942"/>
    <n v="1"/>
    <n v="4.2911839226073942"/>
    <x v="0"/>
    <m/>
    <x v="0"/>
  </r>
  <r>
    <n v="1092855087"/>
    <x v="8"/>
    <x v="4"/>
    <d v="2022-10-28T15:15:06"/>
    <s v="Mazvigosl"/>
    <x v="2530"/>
    <x v="139"/>
    <s v="Si"/>
    <s v="Inglés"/>
    <n v="0.32591270298283997"/>
    <n v="4"/>
    <n v="1.3036508119313599"/>
    <x v="0"/>
    <m/>
    <x v="0"/>
  </r>
  <r>
    <n v="1092855087"/>
    <x v="8"/>
    <x v="4"/>
    <d v="2022-10-28T15:15:06"/>
    <s v="Mazvigosl"/>
    <x v="2531"/>
    <x v="71"/>
    <s v="Si"/>
    <s v="Inglés"/>
    <n v="0.1086375676609467"/>
    <n v="4"/>
    <n v="0.43455027064378682"/>
    <x v="0"/>
    <m/>
    <x v="0"/>
  </r>
  <r>
    <n v="1092855087"/>
    <x v="8"/>
    <x v="4"/>
    <d v="2022-10-28T15:15:06"/>
    <s v="Mazvigosl"/>
    <x v="2532"/>
    <x v="290"/>
    <s v="No"/>
    <s v="Inglés"/>
    <n v="0.21727513532189341"/>
    <n v="2"/>
    <n v="0.43455027064378682"/>
    <x v="0"/>
    <m/>
    <x v="0"/>
  </r>
  <r>
    <n v="1092855087"/>
    <x v="8"/>
    <x v="4"/>
    <d v="2022-10-28T15:15:06"/>
    <s v="Mazvigosl"/>
    <x v="2533"/>
    <x v="21"/>
    <s v="No"/>
    <s v="Inglés"/>
    <n v="0.1086375676609467"/>
    <n v="2"/>
    <n v="0.21727513532189341"/>
    <x v="0"/>
    <m/>
    <x v="0"/>
  </r>
  <r>
    <n v="1092855087"/>
    <x v="8"/>
    <x v="4"/>
    <d v="2022-10-28T15:15:06"/>
    <s v="Mazvigosl"/>
    <x v="2534"/>
    <x v="21"/>
    <s v="No"/>
    <s v="Inglés"/>
    <n v="0.70614418979615345"/>
    <n v="3"/>
    <n v="2.1184325693884603"/>
    <x v="0"/>
    <m/>
    <x v="0"/>
  </r>
  <r>
    <n v="1092855087"/>
    <x v="8"/>
    <x v="4"/>
    <d v="2022-10-28T15:15:06"/>
    <s v="Mazvigosl"/>
    <x v="2535"/>
    <x v="328"/>
    <s v="No"/>
    <s v="Inglés"/>
    <n v="0.16295635149141999"/>
    <n v="3"/>
    <n v="0.48886905447425999"/>
    <x v="0"/>
    <m/>
    <x v="0"/>
  </r>
  <r>
    <n v="1092855087"/>
    <x v="8"/>
    <x v="4"/>
    <d v="2022-10-28T15:15:06"/>
    <s v="Mazvigosl"/>
    <x v="2536"/>
    <x v="179"/>
    <s v="Si"/>
    <s v="Inglés"/>
    <n v="0.260730162386272"/>
    <n v="4"/>
    <n v="1.042920649545088"/>
    <x v="0"/>
    <m/>
    <x v="0"/>
  </r>
  <r>
    <n v="1092855087"/>
    <x v="8"/>
    <x v="4"/>
    <d v="2022-10-28T15:15:06"/>
    <s v="Mazvigosl"/>
    <x v="1119"/>
    <x v="8"/>
    <s v="Si"/>
    <s v="Inglés"/>
    <n v="0.16295635149141999"/>
    <n v="4"/>
    <n v="0.65182540596567995"/>
    <x v="0"/>
    <m/>
    <x v="0"/>
  </r>
  <r>
    <n v="1092855087"/>
    <x v="8"/>
    <x v="4"/>
    <d v="2022-10-28T15:15:06"/>
    <s v="Mazvigosl"/>
    <x v="1118"/>
    <x v="12"/>
    <s v="Si"/>
    <s v="Inglés"/>
    <n v="0.15209259472532541"/>
    <n v="4"/>
    <n v="0.60837037890130163"/>
    <x v="0"/>
    <m/>
    <x v="0"/>
  </r>
  <r>
    <n v="1092855087"/>
    <x v="8"/>
    <x v="4"/>
    <d v="2022-10-28T15:15:06"/>
    <s v="Mazvigosl"/>
    <x v="1122"/>
    <x v="8"/>
    <s v="Si"/>
    <s v="Inglés"/>
    <n v="0.16295635149141999"/>
    <n v="4"/>
    <n v="0.65182540596567995"/>
    <x v="0"/>
    <m/>
    <x v="0"/>
  </r>
  <r>
    <n v="1092855087"/>
    <x v="8"/>
    <x v="4"/>
    <d v="2022-10-28T15:15:06"/>
    <s v="Mazvigosl"/>
    <x v="1122"/>
    <x v="12"/>
    <s v="Si"/>
    <s v="Inglés"/>
    <n v="0.15209259472532541"/>
    <n v="4"/>
    <n v="0.60837037890130163"/>
    <x v="0"/>
    <m/>
    <x v="0"/>
  </r>
  <r>
    <n v="1092855087"/>
    <x v="8"/>
    <x v="4"/>
    <d v="2022-10-28T15:15:06"/>
    <s v="Mazvigosl"/>
    <x v="2267"/>
    <x v="83"/>
    <s v="No"/>
    <s v="Inglés"/>
    <n v="3.2048082459979281"/>
    <n v="3"/>
    <n v="9.6144247379937848"/>
    <x v="0"/>
    <m/>
    <x v="0"/>
  </r>
  <r>
    <n v="1092855087"/>
    <x v="8"/>
    <x v="4"/>
    <d v="2022-10-28T15:15:06"/>
    <s v="Mazvigosl"/>
    <x v="2422"/>
    <x v="329"/>
    <s v="No"/>
    <s v="Inglés"/>
    <n v="6.4965265461246116"/>
    <n v="1"/>
    <n v="6.4965265461246116"/>
    <x v="0"/>
    <m/>
    <x v="0"/>
  </r>
  <r>
    <n v="1092855087"/>
    <x v="8"/>
    <x v="4"/>
    <d v="2022-10-28T15:15:06"/>
    <s v="Mazvigosl"/>
    <x v="2422"/>
    <x v="330"/>
    <s v="No"/>
    <s v="Inglés"/>
    <n v="6.4639352758263273"/>
    <n v="1"/>
    <n v="6.4639352758263273"/>
    <x v="0"/>
    <m/>
    <x v="0"/>
  </r>
  <r>
    <n v="1092761535"/>
    <x v="8"/>
    <x v="4"/>
    <d v="2022-10-27T16:09:22"/>
    <s v="Moria05"/>
    <x v="1122"/>
    <x v="21"/>
    <s v="Si"/>
    <s v="Japonés"/>
    <n v="0.99882352941176478"/>
    <n v="4"/>
    <n v="3.9952941176470591"/>
    <x v="0"/>
    <m/>
    <x v="0"/>
  </r>
  <r>
    <n v="1092761535"/>
    <x v="8"/>
    <x v="4"/>
    <d v="2022-10-27T16:09:22"/>
    <s v="Moria05"/>
    <x v="1100"/>
    <x v="21"/>
    <s v="Si"/>
    <s v="Japonés"/>
    <n v="1.054313725490196"/>
    <n v="4"/>
    <n v="4.2172549019607839"/>
    <x v="0"/>
    <m/>
    <x v="0"/>
  </r>
  <r>
    <n v="1092761535"/>
    <x v="8"/>
    <x v="4"/>
    <d v="2022-10-27T16:09:22"/>
    <s v="Moria05"/>
    <x v="1114"/>
    <x v="21"/>
    <s v="Si"/>
    <s v="Japonés"/>
    <n v="1.387254901960784"/>
    <n v="4"/>
    <n v="5.5490196078431362"/>
    <x v="0"/>
    <m/>
    <x v="0"/>
  </r>
  <r>
    <n v="1092761535"/>
    <x v="8"/>
    <x v="4"/>
    <d v="2022-10-27T16:09:22"/>
    <s v="Moria05"/>
    <x v="1115"/>
    <x v="21"/>
    <s v="Si"/>
    <s v="Japonés"/>
    <n v="1.942156862745098"/>
    <n v="4"/>
    <n v="7.7686274509803921"/>
    <x v="0"/>
    <m/>
    <x v="0"/>
  </r>
  <r>
    <n v="1092761535"/>
    <x v="8"/>
    <x v="4"/>
    <d v="2022-10-27T16:09:22"/>
    <s v="Moria05"/>
    <x v="1110"/>
    <x v="21"/>
    <s v="Si"/>
    <s v="Japonés"/>
    <n v="1.4982352941176471"/>
    <n v="4"/>
    <n v="5.9929411764705884"/>
    <x v="0"/>
    <m/>
    <x v="0"/>
  </r>
  <r>
    <n v="1092761535"/>
    <x v="8"/>
    <x v="4"/>
    <d v="2022-10-27T16:09:22"/>
    <s v="Moria05"/>
    <x v="1111"/>
    <x v="21"/>
    <s v="Si"/>
    <s v="Japonés"/>
    <n v="1.054313725490196"/>
    <n v="4"/>
    <n v="4.2172549019607839"/>
    <x v="0"/>
    <m/>
    <x v="0"/>
  </r>
  <r>
    <n v="1092761535"/>
    <x v="8"/>
    <x v="4"/>
    <d v="2022-10-27T16:09:22"/>
    <s v="Moria05"/>
    <x v="1118"/>
    <x v="21"/>
    <s v="Si"/>
    <s v="Japonés"/>
    <n v="1.331764705882353"/>
    <n v="4"/>
    <n v="5.3270588235294118"/>
    <x v="0"/>
    <m/>
    <x v="0"/>
  </r>
  <r>
    <n v="1092761535"/>
    <x v="8"/>
    <x v="4"/>
    <d v="2022-10-27T16:09:22"/>
    <s v="Moria05"/>
    <x v="1119"/>
    <x v="21"/>
    <s v="Si"/>
    <s v="Japonés"/>
    <n v="0.99882352941176478"/>
    <n v="4"/>
    <n v="3.9952941176470591"/>
    <x v="0"/>
    <m/>
    <x v="0"/>
  </r>
  <r>
    <n v="1092761535"/>
    <x v="8"/>
    <x v="4"/>
    <d v="2022-10-27T16:09:22"/>
    <s v="Moria05"/>
    <x v="1126"/>
    <x v="21"/>
    <s v="Si"/>
    <s v="Japonés"/>
    <n v="1.942156862745098"/>
    <n v="4"/>
    <n v="7.7686274509803921"/>
    <x v="0"/>
    <m/>
    <x v="0"/>
  </r>
  <r>
    <n v="1092761535"/>
    <x v="8"/>
    <x v="4"/>
    <d v="2022-10-27T16:09:22"/>
    <s v="Moria05"/>
    <x v="1125"/>
    <x v="21"/>
    <s v="Si"/>
    <s v="Japonés"/>
    <n v="1.942156862745098"/>
    <n v="4"/>
    <n v="7.7686274509803921"/>
    <x v="0"/>
    <m/>
    <x v="0"/>
  </r>
  <r>
    <s v="CVSALE-1092676783-01"/>
    <x v="8"/>
    <x v="4"/>
    <d v="2022-10-26T19:10:48"/>
    <s v="Venta asociada sin pedido identificado"/>
    <x v="955"/>
    <x v="331"/>
    <s v="No"/>
    <s v="Inglés"/>
    <n v="5.8999999999999995"/>
    <n v="3"/>
    <n v="17.7"/>
    <x v="1"/>
    <n v="17.7"/>
    <x v="0"/>
  </r>
  <r>
    <n v="1092677225"/>
    <x v="8"/>
    <x v="4"/>
    <d v="2022-10-26T19:10:48"/>
    <s v="Metropolis-Center"/>
    <x v="2518"/>
    <x v="126"/>
    <s v="No"/>
    <s v="Español"/>
    <n v="0.33112766326000342"/>
    <n v="2"/>
    <n v="0.66225532652000685"/>
    <x v="0"/>
    <m/>
    <x v="0"/>
  </r>
  <r>
    <n v="1092677225"/>
    <x v="8"/>
    <x v="4"/>
    <d v="2022-10-26T19:10:48"/>
    <s v="Metropolis-Center"/>
    <x v="2537"/>
    <x v="84"/>
    <s v="No"/>
    <s v="Español"/>
    <n v="2.196480166291356"/>
    <n v="1"/>
    <n v="2.196480166291356"/>
    <x v="0"/>
    <m/>
    <x v="0"/>
  </r>
  <r>
    <n v="1092677225"/>
    <x v="8"/>
    <x v="4"/>
    <d v="2022-10-26T19:10:48"/>
    <s v="Metropolis-Center"/>
    <x v="2538"/>
    <x v="57"/>
    <s v="Si"/>
    <s v="Español"/>
    <n v="1.0927212887580109"/>
    <n v="4"/>
    <n v="4.3708851550320436"/>
    <x v="0"/>
    <m/>
    <x v="0"/>
  </r>
  <r>
    <n v="1092677225"/>
    <x v="8"/>
    <x v="4"/>
    <d v="2022-10-26T19:10:48"/>
    <s v="Metropolis-Center"/>
    <x v="2539"/>
    <x v="181"/>
    <s v="Si"/>
    <s v="Español"/>
    <n v="0.82781915815000862"/>
    <n v="4"/>
    <n v="3.3112766326000345"/>
    <x v="0"/>
    <m/>
    <x v="0"/>
  </r>
  <r>
    <n v="1092677225"/>
    <x v="8"/>
    <x v="4"/>
    <d v="2022-10-26T19:10:48"/>
    <s v="Metropolis-Center"/>
    <x v="2540"/>
    <x v="210"/>
    <s v="Si"/>
    <s v="Inglés"/>
    <n v="2.196480166291356"/>
    <n v="4"/>
    <n v="8.785920665165424"/>
    <x v="0"/>
    <m/>
    <x v="0"/>
  </r>
  <r>
    <n v="1092677225"/>
    <x v="8"/>
    <x v="4"/>
    <d v="2022-10-26T19:10:48"/>
    <s v="Metropolis-Center"/>
    <x v="2541"/>
    <x v="126"/>
    <s v="Si"/>
    <s v="Inglés"/>
    <n v="0.20971418673133549"/>
    <n v="4"/>
    <n v="0.83885674692534196"/>
    <x v="0"/>
    <m/>
    <x v="0"/>
  </r>
  <r>
    <n v="1092677225"/>
    <x v="8"/>
    <x v="4"/>
    <d v="2022-10-26T19:10:48"/>
    <s v="Metropolis-Center"/>
    <x v="2542"/>
    <x v="15"/>
    <s v="Si"/>
    <s v="Inglés"/>
    <n v="9.9338298978001033E-2"/>
    <n v="4"/>
    <n v="0.39735319591200413"/>
    <x v="0"/>
    <m/>
    <x v="0"/>
  </r>
  <r>
    <n v="1092677225"/>
    <x v="8"/>
    <x v="4"/>
    <d v="2022-10-26T19:10:48"/>
    <s v="Metropolis-Center"/>
    <x v="2543"/>
    <x v="15"/>
    <s v="No"/>
    <s v="Inglés"/>
    <n v="6.6115156764247356"/>
    <n v="1"/>
    <n v="6.6115156764247356"/>
    <x v="0"/>
    <m/>
    <x v="0"/>
  </r>
  <r>
    <n v="1092677225"/>
    <x v="8"/>
    <x v="4"/>
    <d v="2022-10-26T19:10:48"/>
    <s v="Metropolis-Center"/>
    <x v="2544"/>
    <x v="332"/>
    <s v="No"/>
    <s v="Inglés"/>
    <n v="2.196480166291356"/>
    <n v="1"/>
    <n v="2.196480166291356"/>
    <x v="0"/>
    <m/>
    <x v="0"/>
  </r>
  <r>
    <n v="1092677225"/>
    <x v="8"/>
    <x v="4"/>
    <d v="2022-10-26T19:10:48"/>
    <s v="Metropolis-Center"/>
    <x v="2545"/>
    <x v="332"/>
    <s v="No"/>
    <s v="Inglés"/>
    <n v="2.196480166291356"/>
    <n v="1"/>
    <n v="2.196480166291356"/>
    <x v="0"/>
    <m/>
    <x v="0"/>
  </r>
  <r>
    <n v="1092677225"/>
    <x v="8"/>
    <x v="4"/>
    <d v="2022-10-26T19:10:48"/>
    <s v="Metropolis-Center"/>
    <x v="2546"/>
    <x v="83"/>
    <s v="No"/>
    <s v="Inglés"/>
    <n v="1.3686610081413479"/>
    <n v="3"/>
    <n v="4.1059830244240434"/>
    <x v="0"/>
    <m/>
    <x v="0"/>
  </r>
  <r>
    <n v="1092677225"/>
    <x v="8"/>
    <x v="4"/>
    <d v="2022-10-26T19:10:48"/>
    <s v="Metropolis-Center"/>
    <x v="952"/>
    <x v="15"/>
    <s v="No"/>
    <s v="Inglés"/>
    <n v="2.7483596050580288"/>
    <n v="3"/>
    <n v="8.2450788151740859"/>
    <x v="0"/>
    <m/>
    <x v="0"/>
  </r>
  <r>
    <n v="1092677225"/>
    <x v="8"/>
    <x v="4"/>
    <d v="2022-10-26T19:10:48"/>
    <s v="Metropolis-Center"/>
    <x v="1266"/>
    <x v="15"/>
    <s v="Si"/>
    <s v="Inglés"/>
    <n v="1.6446007275246839"/>
    <n v="4"/>
    <n v="6.5784029100987356"/>
    <x v="0"/>
    <m/>
    <x v="0"/>
  </r>
  <r>
    <n v="1092677225"/>
    <x v="8"/>
    <x v="4"/>
    <d v="2022-10-26T19:10:48"/>
    <s v="Metropolis-Center"/>
    <x v="1375"/>
    <x v="180"/>
    <s v="No"/>
    <s v="Inglés"/>
    <n v="6.6115156764247356"/>
    <n v="2"/>
    <n v="13.223031352849471"/>
    <x v="0"/>
    <m/>
    <x v="0"/>
  </r>
  <r>
    <n v="1092676783"/>
    <x v="8"/>
    <x v="4"/>
    <d v="2022-10-26T19:10:48"/>
    <s v="Library-Of-Cards"/>
    <x v="2547"/>
    <x v="231"/>
    <s v="No"/>
    <s v="Inglés"/>
    <n v="17.12087912087912"/>
    <n v="1"/>
    <n v="17.12087912087912"/>
    <x v="0"/>
    <m/>
    <x v="0"/>
  </r>
  <r>
    <n v="1092676783"/>
    <x v="8"/>
    <x v="4"/>
    <d v="2022-10-26T19:10:48"/>
    <s v="Library-Of-Cards"/>
    <x v="2548"/>
    <x v="21"/>
    <s v="No"/>
    <s v="Español"/>
    <n v="1.1413919413919409"/>
    <n v="1"/>
    <n v="1.1413919413919409"/>
    <x v="0"/>
    <m/>
    <x v="0"/>
  </r>
  <r>
    <n v="1092676783"/>
    <x v="8"/>
    <x v="4"/>
    <d v="2022-10-26T19:10:48"/>
    <s v="Library-Of-Cards"/>
    <x v="2549"/>
    <x v="60"/>
    <s v="No"/>
    <s v="Español"/>
    <n v="2.2827838827838831"/>
    <n v="1"/>
    <n v="2.2827838827838831"/>
    <x v="0"/>
    <m/>
    <x v="0"/>
  </r>
  <r>
    <n v="1092676783"/>
    <x v="8"/>
    <x v="4"/>
    <d v="2022-10-26T19:10:48"/>
    <s v="Library-Of-Cards"/>
    <x v="2550"/>
    <x v="248"/>
    <s v="No"/>
    <s v="Español"/>
    <n v="0.57069597069597067"/>
    <n v="3"/>
    <n v="1.712087912087912"/>
    <x v="0"/>
    <m/>
    <x v="0"/>
  </r>
  <r>
    <n v="1092676783"/>
    <x v="8"/>
    <x v="4"/>
    <d v="2022-10-26T19:10:48"/>
    <s v="Library-Of-Cards"/>
    <x v="1374"/>
    <x v="37"/>
    <s v="No"/>
    <s v="Español"/>
    <n v="9.7018315018315011"/>
    <n v="2"/>
    <n v="19.403663003663002"/>
    <x v="0"/>
    <m/>
    <x v="0"/>
  </r>
  <r>
    <n v="1092676783"/>
    <x v="8"/>
    <x v="4"/>
    <d v="2022-10-26T19:10:48"/>
    <s v="Library-Of-Cards"/>
    <x v="2551"/>
    <x v="15"/>
    <s v="No"/>
    <s v="Japonés"/>
    <n v="75.331868131868134"/>
    <n v="1"/>
    <n v="75.331868131868134"/>
    <x v="0"/>
    <m/>
    <x v="0"/>
  </r>
  <r>
    <n v="1092676783"/>
    <x v="8"/>
    <x v="4"/>
    <d v="2022-10-26T19:10:48"/>
    <s v="Library-Of-Cards"/>
    <x v="2552"/>
    <x v="58"/>
    <s v="No"/>
    <s v="Chino-S"/>
    <n v="38.807326007325997"/>
    <n v="1"/>
    <n v="38.807326007325997"/>
    <x v="0"/>
    <m/>
    <x v="0"/>
  </r>
  <r>
    <n v="1092676783"/>
    <x v="8"/>
    <x v="4"/>
    <d v="2022-10-26T19:10:48"/>
    <s v="Library-Of-Cards"/>
    <x v="2553"/>
    <x v="72"/>
    <s v="No"/>
    <s v="Chino-S"/>
    <n v="36.524542124542123"/>
    <n v="1"/>
    <n v="36.524542124542123"/>
    <x v="0"/>
    <m/>
    <x v="0"/>
  </r>
  <r>
    <n v="1092676783"/>
    <x v="8"/>
    <x v="4"/>
    <d v="2022-10-26T19:10:48"/>
    <s v="Library-Of-Cards"/>
    <x v="2554"/>
    <x v="96"/>
    <s v="No"/>
    <s v="Inglés"/>
    <n v="8.8457875457875463"/>
    <n v="1"/>
    <n v="8.8457875457875463"/>
    <x v="0"/>
    <m/>
    <x v="0"/>
  </r>
  <r>
    <n v="1092676783"/>
    <x v="8"/>
    <x v="4"/>
    <d v="2022-10-26T19:10:48"/>
    <s v="Library-Of-Cards"/>
    <x v="955"/>
    <x v="331"/>
    <s v="No"/>
    <s v="Inglés"/>
    <n v="10.84322344322344"/>
    <n v="3"/>
    <n v="32.529670329670324"/>
    <x v="0"/>
    <m/>
    <x v="0"/>
  </r>
  <r>
    <n v="1091618411"/>
    <x v="8"/>
    <x v="4"/>
    <d v="2022-10-16T15:48:56"/>
    <s v="GENEXCOMICS"/>
    <x v="328"/>
    <x v="89"/>
    <s v="No"/>
    <s v="Español"/>
    <n v="0.83083140877598149"/>
    <n v="1"/>
    <n v="0.83083140877598149"/>
    <x v="0"/>
    <m/>
    <x v="0"/>
  </r>
  <r>
    <n v="1091618411"/>
    <x v="8"/>
    <x v="4"/>
    <d v="2022-10-16T15:48:56"/>
    <s v="GENEXCOMICS"/>
    <x v="2555"/>
    <x v="333"/>
    <s v="No"/>
    <s v="Inglés"/>
    <n v="7.2226943802925323"/>
    <n v="2"/>
    <n v="14.445388760585065"/>
    <x v="0"/>
    <m/>
    <x v="0"/>
  </r>
  <r>
    <n v="1091618411"/>
    <x v="8"/>
    <x v="4"/>
    <d v="2022-10-16T15:48:56"/>
    <s v="GENEXCOMICS"/>
    <x v="328"/>
    <x v="89"/>
    <s v="No"/>
    <s v="Español"/>
    <n v="0.81975365665896838"/>
    <n v="3"/>
    <n v="2.459260969976905"/>
    <x v="0"/>
    <m/>
    <x v="0"/>
  </r>
  <r>
    <n v="1091618411"/>
    <x v="8"/>
    <x v="4"/>
    <d v="2022-10-16T15:48:56"/>
    <s v="GENEXCOMICS"/>
    <x v="2556"/>
    <x v="112"/>
    <s v="Si"/>
    <s v="Inglés"/>
    <n v="0.44311008468052349"/>
    <n v="4"/>
    <n v="1.7724403387220939"/>
    <x v="0"/>
    <m/>
    <x v="0"/>
  </r>
  <r>
    <n v="1091618411"/>
    <x v="8"/>
    <x v="4"/>
    <d v="2022-10-16T15:48:56"/>
    <s v="GENEXCOMICS"/>
    <x v="2557"/>
    <x v="232"/>
    <s v="Si"/>
    <s v="Español"/>
    <n v="0.50957659738260197"/>
    <n v="4"/>
    <n v="2.0383063895304079"/>
    <x v="0"/>
    <m/>
    <x v="0"/>
  </r>
  <r>
    <n v="1091618411"/>
    <x v="8"/>
    <x v="4"/>
    <d v="2022-10-16T15:48:56"/>
    <s v="GENEXCOMICS"/>
    <x v="1426"/>
    <x v="89"/>
    <s v="Si"/>
    <s v="Español"/>
    <n v="0.81975365665896849"/>
    <n v="4"/>
    <n v="3.279014626635874"/>
    <x v="0"/>
    <m/>
    <x v="0"/>
  </r>
  <r>
    <n v="1091618411"/>
    <x v="8"/>
    <x v="4"/>
    <d v="2022-10-16T15:48:56"/>
    <s v="GENEXCOMICS"/>
    <x v="2558"/>
    <x v="100"/>
    <s v="No"/>
    <s v="Inglés"/>
    <n v="0.44311008468052349"/>
    <n v="2"/>
    <n v="0.88622016936104697"/>
    <x v="0"/>
    <m/>
    <x v="0"/>
  </r>
  <r>
    <n v="1091618411"/>
    <x v="8"/>
    <x v="4"/>
    <d v="2022-10-16T15:48:56"/>
    <s v="GENEXCOMICS"/>
    <x v="1180"/>
    <x v="254"/>
    <s v="No"/>
    <s v="Español"/>
    <n v="26.57552732871439"/>
    <n v="1"/>
    <n v="26.57552732871439"/>
    <x v="0"/>
    <m/>
    <x v="0"/>
  </r>
  <r>
    <n v="1091618411"/>
    <x v="8"/>
    <x v="4"/>
    <d v="2022-10-16T15:48:56"/>
    <s v="GENEXCOMICS"/>
    <x v="286"/>
    <x v="65"/>
    <s v="Si"/>
    <s v="Inglés"/>
    <n v="0.49849884526558891"/>
    <n v="4"/>
    <n v="1.9939953810623556"/>
    <x v="0"/>
    <m/>
    <x v="0"/>
  </r>
  <r>
    <n v="1091618411"/>
    <x v="8"/>
    <x v="4"/>
    <d v="2022-10-16T15:48:56"/>
    <s v="GENEXCOMICS"/>
    <x v="303"/>
    <x v="101"/>
    <s v="Si"/>
    <s v="Inglés"/>
    <n v="0.81975365665896849"/>
    <n v="4"/>
    <n v="3.279014626635874"/>
    <x v="0"/>
    <m/>
    <x v="0"/>
  </r>
  <r>
    <n v="1091408288"/>
    <x v="8"/>
    <x v="4"/>
    <d v="2022-10-14T13:14:35"/>
    <s v="Itaca"/>
    <x v="2559"/>
    <x v="275"/>
    <s v="Si"/>
    <s v="Inglés"/>
    <n v="3.5827954898911361"/>
    <n v="4"/>
    <n v="14.331181959564544"/>
    <x v="0"/>
    <m/>
    <x v="0"/>
  </r>
  <r>
    <n v="1091408288"/>
    <x v="8"/>
    <x v="4"/>
    <d v="2022-10-14T13:14:35"/>
    <s v="Itaca"/>
    <x v="2365"/>
    <x v="25"/>
    <s v="No"/>
    <s v="Inglés"/>
    <n v="5.1405326594090202"/>
    <n v="1"/>
    <n v="5.1405326594090202"/>
    <x v="0"/>
    <m/>
    <x v="0"/>
  </r>
  <r>
    <n v="1091408288"/>
    <x v="8"/>
    <x v="4"/>
    <d v="2022-10-14T13:14:35"/>
    <s v="Itaca"/>
    <x v="2560"/>
    <x v="207"/>
    <s v="Si"/>
    <s v="Español"/>
    <n v="0.77886858475894249"/>
    <n v="4"/>
    <n v="3.11547433903577"/>
    <x v="0"/>
    <m/>
    <x v="0"/>
  </r>
  <r>
    <n v="1091408288"/>
    <x v="8"/>
    <x v="4"/>
    <d v="2022-10-14T13:14:35"/>
    <s v="Itaca"/>
    <x v="2276"/>
    <x v="15"/>
    <s v="No"/>
    <s v="Inglés"/>
    <n v="0.46732115085536552"/>
    <n v="2"/>
    <n v="0.93464230171073104"/>
    <x v="0"/>
    <m/>
    <x v="0"/>
  </r>
  <r>
    <n v="1091408288"/>
    <x v="8"/>
    <x v="4"/>
    <d v="2022-10-14T13:14:35"/>
    <s v="Itaca"/>
    <x v="2561"/>
    <x v="139"/>
    <s v="Si"/>
    <s v="Inglés"/>
    <n v="0.20769828926905129"/>
    <n v="4"/>
    <n v="0.83079315707620516"/>
    <x v="0"/>
    <m/>
    <x v="0"/>
  </r>
  <r>
    <n v="1091408288"/>
    <x v="8"/>
    <x v="4"/>
    <d v="2022-10-14T13:14:35"/>
    <s v="Itaca"/>
    <x v="2562"/>
    <x v="278"/>
    <s v="No"/>
    <s v="Español"/>
    <n v="0.15577371695178849"/>
    <n v="2"/>
    <n v="0.31154743390357698"/>
    <x v="0"/>
    <m/>
    <x v="0"/>
  </r>
  <r>
    <n v="1091408288"/>
    <x v="8"/>
    <x v="4"/>
    <d v="2022-10-14T13:14:35"/>
    <s v="Itaca"/>
    <x v="1778"/>
    <x v="221"/>
    <s v="No"/>
    <s v="Inglés"/>
    <n v="9.3464230171073091"/>
    <n v="1"/>
    <n v="9.3464230171073091"/>
    <x v="0"/>
    <m/>
    <x v="0"/>
  </r>
  <r>
    <n v="1091408288"/>
    <x v="8"/>
    <x v="4"/>
    <d v="2022-10-14T13:14:35"/>
    <s v="Itaca"/>
    <x v="1778"/>
    <x v="221"/>
    <s v="No"/>
    <s v="Inglés"/>
    <n v="9.3464230171073091"/>
    <n v="1"/>
    <n v="9.3464230171073091"/>
    <x v="0"/>
    <m/>
    <x v="0"/>
  </r>
  <r>
    <n v="1091408288"/>
    <x v="8"/>
    <x v="4"/>
    <d v="2022-10-14T13:14:35"/>
    <s v="Itaca"/>
    <x v="2563"/>
    <x v="221"/>
    <s v="No"/>
    <s v="Inglés"/>
    <n v="2.0769828926905132"/>
    <n v="1"/>
    <n v="2.0769828926905132"/>
    <x v="0"/>
    <m/>
    <x v="0"/>
  </r>
  <r>
    <n v="1091408288"/>
    <x v="8"/>
    <x v="4"/>
    <d v="2022-10-14T13:14:35"/>
    <s v="Itaca"/>
    <x v="2564"/>
    <x v="221"/>
    <s v="No"/>
    <s v="Inglés"/>
    <n v="2.0769828926905132"/>
    <n v="1"/>
    <n v="2.0769828926905132"/>
    <x v="0"/>
    <m/>
    <x v="0"/>
  </r>
  <r>
    <n v="1091408288"/>
    <x v="8"/>
    <x v="4"/>
    <d v="2022-10-14T13:14:35"/>
    <s v="Itaca"/>
    <x v="2565"/>
    <x v="334"/>
    <s v="No"/>
    <s v="Inglés"/>
    <n v="41.487733281493007"/>
    <n v="1"/>
    <n v="41.487733281493007"/>
    <x v="0"/>
    <m/>
    <x v="0"/>
  </r>
  <r>
    <n v="1091408288"/>
    <x v="8"/>
    <x v="4"/>
    <d v="2022-10-14T13:14:35"/>
    <s v="Itaca"/>
    <x v="657"/>
    <x v="81"/>
    <s v="No"/>
    <s v="Inglés"/>
    <n v="19.679412908242611"/>
    <n v="2"/>
    <n v="39.358825816485222"/>
    <x v="0"/>
    <m/>
    <x v="0"/>
  </r>
  <r>
    <n v="1091408288"/>
    <x v="8"/>
    <x v="4"/>
    <d v="2022-10-14T13:14:35"/>
    <s v="Itaca"/>
    <x v="684"/>
    <x v="15"/>
    <s v="Si"/>
    <s v="Inglés"/>
    <n v="1.2981143079315709"/>
    <n v="4"/>
    <n v="5.1924572317262836"/>
    <x v="0"/>
    <m/>
    <x v="0"/>
  </r>
  <r>
    <n v="1091327068"/>
    <x v="8"/>
    <x v="4"/>
    <d v="2022-10-13T15:54:19"/>
    <s v="Teban"/>
    <x v="2566"/>
    <x v="77"/>
    <s v="No"/>
    <s v="Español"/>
    <n v="0.94927536231884058"/>
    <n v="1"/>
    <n v="0.94927536231884058"/>
    <x v="0"/>
    <m/>
    <x v="0"/>
  </r>
  <r>
    <n v="1091327068"/>
    <x v="8"/>
    <x v="4"/>
    <d v="2022-10-13T15:54:19"/>
    <s v="Teban"/>
    <x v="2567"/>
    <x v="144"/>
    <s v="No"/>
    <s v="Inglés"/>
    <n v="0.79106280193236711"/>
    <n v="1"/>
    <n v="0.79106280193236711"/>
    <x v="0"/>
    <m/>
    <x v="0"/>
  </r>
  <r>
    <n v="1091327068"/>
    <x v="8"/>
    <x v="4"/>
    <d v="2022-10-13T15:54:19"/>
    <s v="Teban"/>
    <x v="1367"/>
    <x v="165"/>
    <s v="No"/>
    <s v="Inglés"/>
    <n v="3.164251207729468"/>
    <n v="1"/>
    <n v="3.164251207729468"/>
    <x v="0"/>
    <m/>
    <x v="0"/>
  </r>
  <r>
    <n v="1091327068"/>
    <x v="8"/>
    <x v="4"/>
    <d v="2022-10-13T15:54:19"/>
    <s v="Teban"/>
    <x v="1931"/>
    <x v="15"/>
    <s v="No"/>
    <s v="Inglés"/>
    <n v="93.345410628019323"/>
    <n v="1"/>
    <n v="93.345410628019323"/>
    <x v="0"/>
    <m/>
    <x v="0"/>
  </r>
  <r>
    <n v="1090971436"/>
    <x v="8"/>
    <x v="4"/>
    <d v="2022-10-10T10:13:10"/>
    <s v="Mazvigosl"/>
    <x v="2568"/>
    <x v="101"/>
    <s v="Si"/>
    <s v="Inglés"/>
    <n v="0.33075796411570851"/>
    <n v="4"/>
    <n v="1.3230318564628341"/>
    <x v="0"/>
    <m/>
    <x v="0"/>
  </r>
  <r>
    <n v="1090971436"/>
    <x v="8"/>
    <x v="4"/>
    <d v="2022-10-10T10:13:10"/>
    <s v="Mazvigosl"/>
    <x v="2569"/>
    <x v="74"/>
    <s v="Si"/>
    <s v="Inglés"/>
    <n v="0.4961369461735628"/>
    <n v="4"/>
    <n v="1.9845477846942512"/>
    <x v="0"/>
    <m/>
    <x v="0"/>
  </r>
  <r>
    <n v="1090971436"/>
    <x v="8"/>
    <x v="4"/>
    <d v="2022-10-10T10:13:10"/>
    <s v="Mazvigosl"/>
    <x v="2570"/>
    <x v="236"/>
    <s v="Si"/>
    <s v="Inglés"/>
    <n v="0.38588429146832659"/>
    <n v="4"/>
    <n v="1.5435371658733064"/>
    <x v="0"/>
    <m/>
    <x v="0"/>
  </r>
  <r>
    <n v="1090971436"/>
    <x v="8"/>
    <x v="4"/>
    <d v="2022-10-10T10:13:10"/>
    <s v="Mazvigosl"/>
    <x v="2571"/>
    <x v="21"/>
    <s v="Si"/>
    <s v="Inglés"/>
    <n v="0.26460637129256681"/>
    <n v="4"/>
    <n v="1.0584254851702672"/>
    <x v="0"/>
    <m/>
    <x v="0"/>
  </r>
  <r>
    <n v="1090971436"/>
    <x v="8"/>
    <x v="4"/>
    <d v="2022-10-10T10:13:10"/>
    <s v="Mazvigosl"/>
    <x v="2572"/>
    <x v="74"/>
    <s v="Si"/>
    <s v="Inglés"/>
    <n v="0.13230318564628341"/>
    <n v="4"/>
    <n v="0.52921274258513362"/>
    <x v="0"/>
    <m/>
    <x v="0"/>
  </r>
  <r>
    <n v="1090971436"/>
    <x v="8"/>
    <x v="4"/>
    <d v="2022-10-10T10:13:10"/>
    <s v="Mazvigosl"/>
    <x v="1759"/>
    <x v="15"/>
    <s v="No"/>
    <s v="Inglés"/>
    <n v="24.134306114976201"/>
    <n v="2"/>
    <n v="48.268612229952403"/>
    <x v="0"/>
    <m/>
    <x v="0"/>
  </r>
  <r>
    <n v="1090971436"/>
    <x v="8"/>
    <x v="4"/>
    <d v="2022-10-10T10:13:10"/>
    <s v="Mazvigosl"/>
    <x v="2573"/>
    <x v="57"/>
    <s v="Si"/>
    <s v="Inglés"/>
    <n v="1.0474002196997441"/>
    <n v="4"/>
    <n v="4.1896008787989762"/>
    <x v="0"/>
    <m/>
    <x v="0"/>
  </r>
  <r>
    <n v="1090971436"/>
    <x v="8"/>
    <x v="4"/>
    <d v="2022-10-10T10:13:10"/>
    <s v="Mazvigosl"/>
    <x v="119"/>
    <x v="15"/>
    <s v="Si"/>
    <s v="Inglés"/>
    <n v="0.33075796411570851"/>
    <n v="4"/>
    <n v="1.3230318564628341"/>
    <x v="0"/>
    <m/>
    <x v="0"/>
  </r>
  <r>
    <n v="1090683868"/>
    <x v="8"/>
    <x v="4"/>
    <d v="2022-10-07T12:18:19"/>
    <s v="vertuk"/>
    <x v="1885"/>
    <x v="259"/>
    <s v="No"/>
    <s v="Inglés"/>
    <n v="15.035532994923861"/>
    <n v="2"/>
    <n v="30.071065989847721"/>
    <x v="0"/>
    <m/>
    <x v="0"/>
  </r>
  <r>
    <n v="1090683868"/>
    <x v="8"/>
    <x v="4"/>
    <d v="2022-10-07T12:18:19"/>
    <s v="vertuk"/>
    <x v="2574"/>
    <x v="175"/>
    <s v="No"/>
    <s v="Chino-S"/>
    <n v="0.48328498912255258"/>
    <n v="1"/>
    <n v="0.48328498912255258"/>
    <x v="0"/>
    <m/>
    <x v="0"/>
  </r>
  <r>
    <n v="1090683868"/>
    <x v="8"/>
    <x v="4"/>
    <d v="2022-10-07T12:18:19"/>
    <s v="vertuk"/>
    <x v="2575"/>
    <x v="335"/>
    <s v="No"/>
    <s v="Inglés"/>
    <n v="42.421682378535174"/>
    <n v="1"/>
    <n v="42.421682378535174"/>
    <x v="0"/>
    <m/>
    <x v="0"/>
  </r>
  <r>
    <n v="1090683868"/>
    <x v="8"/>
    <x v="4"/>
    <d v="2022-10-07T12:18:19"/>
    <s v="vertuk"/>
    <x v="900"/>
    <x v="229"/>
    <s v="No"/>
    <s v="Español"/>
    <n v="0.53698332124728065"/>
    <n v="2"/>
    <n v="1.0739666424945613"/>
    <x v="0"/>
    <m/>
    <x v="0"/>
  </r>
  <r>
    <n v="1090451525"/>
    <x v="8"/>
    <x v="4"/>
    <d v="2022-10-05T14:20:19"/>
    <s v="Knowny"/>
    <x v="2576"/>
    <x v="42"/>
    <s v="No"/>
    <s v="Inglés"/>
    <n v="90.088028169014081"/>
    <n v="1"/>
    <n v="90.088028169014081"/>
    <x v="0"/>
    <m/>
    <x v="0"/>
  </r>
  <r>
    <n v="1090451525"/>
    <x v="8"/>
    <x v="4"/>
    <d v="2022-10-05T14:20:19"/>
    <s v="Knowny"/>
    <x v="2577"/>
    <x v="336"/>
    <s v="No"/>
    <s v="Español"/>
    <n v="0.21197183098591549"/>
    <n v="1"/>
    <n v="0.21197183098591549"/>
    <x v="0"/>
    <m/>
    <x v="0"/>
  </r>
  <r>
    <n v="1089777804"/>
    <x v="9"/>
    <x v="4"/>
    <d v="2022-09-29T07:33:06"/>
    <s v="Mazvigosl"/>
    <x v="1884"/>
    <x v="15"/>
    <s v="No"/>
    <s v="Inglés"/>
    <n v="16.356734317343172"/>
    <n v="2"/>
    <n v="32.713468634686343"/>
    <x v="0"/>
    <m/>
    <x v="0"/>
  </r>
  <r>
    <n v="1089777804"/>
    <x v="9"/>
    <x v="4"/>
    <d v="2022-09-29T07:33:06"/>
    <s v="Mazvigosl"/>
    <x v="2333"/>
    <x v="40"/>
    <s v="No"/>
    <s v="Inglés"/>
    <n v="4.1028597785977858"/>
    <n v="2"/>
    <n v="8.2057195571955717"/>
    <x v="0"/>
    <m/>
    <x v="0"/>
  </r>
  <r>
    <n v="1089777804"/>
    <x v="9"/>
    <x v="4"/>
    <d v="2022-09-29T07:33:06"/>
    <s v="Mazvigosl"/>
    <x v="2393"/>
    <x v="64"/>
    <s v="Si"/>
    <s v="Inglés"/>
    <n v="0.32822878228782287"/>
    <n v="4"/>
    <n v="1.3129151291512915"/>
    <x v="0"/>
    <m/>
    <x v="0"/>
  </r>
  <r>
    <n v="1089777804"/>
    <x v="9"/>
    <x v="4"/>
    <d v="2022-09-29T07:33:06"/>
    <s v="Mazvigosl"/>
    <x v="1357"/>
    <x v="64"/>
    <s v="Si"/>
    <s v="Inglés"/>
    <n v="0.16411439114391141"/>
    <n v="4"/>
    <n v="0.65645756457564564"/>
    <x v="0"/>
    <m/>
    <x v="0"/>
  </r>
  <r>
    <n v="1089777804"/>
    <x v="9"/>
    <x v="4"/>
    <d v="2022-09-29T07:33:06"/>
    <s v="Mazvigosl"/>
    <x v="2578"/>
    <x v="337"/>
    <s v="No"/>
    <s v="Inglés"/>
    <n v="4.3216789667896682"/>
    <n v="1"/>
    <n v="4.3216789667896682"/>
    <x v="0"/>
    <m/>
    <x v="0"/>
  </r>
  <r>
    <n v="1089777804"/>
    <x v="9"/>
    <x v="4"/>
    <d v="2022-09-29T07:33:06"/>
    <s v="Mazvigosl"/>
    <x v="1241"/>
    <x v="64"/>
    <s v="No"/>
    <s v="Inglés"/>
    <n v="5.4157749077490784"/>
    <n v="2"/>
    <n v="10.831549815498157"/>
    <x v="0"/>
    <m/>
    <x v="0"/>
  </r>
  <r>
    <n v="1089777804"/>
    <x v="9"/>
    <x v="4"/>
    <d v="2022-09-29T07:33:06"/>
    <s v="Mazvigosl"/>
    <x v="205"/>
    <x v="41"/>
    <s v="No"/>
    <s v="Inglés"/>
    <n v="1.2582103321033209"/>
    <n v="1"/>
    <n v="1.2582103321033209"/>
    <x v="0"/>
    <m/>
    <x v="0"/>
  </r>
  <r>
    <n v="1089629306"/>
    <x v="9"/>
    <x v="4"/>
    <d v="2022-09-27T20:44:47"/>
    <s v="imanolperezg"/>
    <x v="2579"/>
    <x v="72"/>
    <s v="No"/>
    <s v="Español"/>
    <n v="1.392307692307692"/>
    <n v="1"/>
    <n v="1.392307692307692"/>
    <x v="0"/>
    <m/>
    <x v="0"/>
  </r>
  <r>
    <n v="1089629306"/>
    <x v="9"/>
    <x v="4"/>
    <d v="2022-09-27T20:44:47"/>
    <s v="imanolperezg"/>
    <x v="2580"/>
    <x v="72"/>
    <s v="No"/>
    <s v="Español"/>
    <n v="16.707692307692309"/>
    <n v="1"/>
    <n v="16.707692307692309"/>
    <x v="0"/>
    <m/>
    <x v="0"/>
  </r>
  <r>
    <n v="1089600453"/>
    <x v="9"/>
    <x v="4"/>
    <d v="2022-09-27T20:09:46"/>
    <s v="Mazvigosl"/>
    <x v="2581"/>
    <x v="338"/>
    <s v="Si"/>
    <s v="Inglés"/>
    <n v="0.16081283422459891"/>
    <n v="4"/>
    <n v="0.64325133689839564"/>
    <x v="0"/>
    <m/>
    <x v="0"/>
  </r>
  <r>
    <n v="1089600453"/>
    <x v="9"/>
    <x v="4"/>
    <d v="2022-09-27T20:09:46"/>
    <s v="Mazvigosl"/>
    <x v="806"/>
    <x v="193"/>
    <s v="No"/>
    <s v="Inglés"/>
    <n v="0.5168983957219252"/>
    <n v="3"/>
    <n v="1.5506951871657755"/>
    <x v="0"/>
    <m/>
    <x v="0"/>
  </r>
  <r>
    <n v="1089600453"/>
    <x v="9"/>
    <x v="4"/>
    <d v="2022-09-27T20:09:46"/>
    <s v="Mazvigosl"/>
    <x v="2582"/>
    <x v="72"/>
    <s v="No"/>
    <s v="Inglés"/>
    <n v="0.51689839572192509"/>
    <n v="1"/>
    <n v="0.51689839572192509"/>
    <x v="0"/>
    <m/>
    <x v="0"/>
  </r>
  <r>
    <n v="1089600453"/>
    <x v="9"/>
    <x v="4"/>
    <d v="2022-09-27T20:09:46"/>
    <s v="Mazvigosl"/>
    <x v="2582"/>
    <x v="72"/>
    <s v="No"/>
    <s v="Inglés"/>
    <n v="1.091229946524064"/>
    <n v="1"/>
    <n v="1.091229946524064"/>
    <x v="0"/>
    <m/>
    <x v="0"/>
  </r>
  <r>
    <n v="1089600453"/>
    <x v="9"/>
    <x v="4"/>
    <d v="2022-09-27T20:09:46"/>
    <s v="Mazvigosl"/>
    <x v="409"/>
    <x v="94"/>
    <s v="No"/>
    <s v="Español"/>
    <n v="1.665561497326203"/>
    <n v="1"/>
    <n v="1.665561497326203"/>
    <x v="0"/>
    <m/>
    <x v="0"/>
  </r>
  <r>
    <n v="1089600453"/>
    <x v="9"/>
    <x v="4"/>
    <d v="2022-09-27T20:09:46"/>
    <s v="Mazvigosl"/>
    <x v="2583"/>
    <x v="12"/>
    <s v="Si"/>
    <s v="Inglés"/>
    <n v="0.13783957219251339"/>
    <n v="4"/>
    <n v="0.55135828877005355"/>
    <x v="0"/>
    <m/>
    <x v="0"/>
  </r>
  <r>
    <n v="1089600453"/>
    <x v="9"/>
    <x v="4"/>
    <d v="2022-09-27T20:09:46"/>
    <s v="Mazvigosl"/>
    <x v="210"/>
    <x v="64"/>
    <s v="Si"/>
    <s v="Inglés"/>
    <n v="0.82703743315508016"/>
    <n v="4"/>
    <n v="3.3081497326203206"/>
    <x v="0"/>
    <m/>
    <x v="0"/>
  </r>
  <r>
    <n v="1089600453"/>
    <x v="9"/>
    <x v="4"/>
    <d v="2022-09-27T20:09:46"/>
    <s v="Mazvigosl"/>
    <x v="2584"/>
    <x v="90"/>
    <s v="Si"/>
    <s v="Inglés"/>
    <n v="0.17229946524064171"/>
    <n v="4"/>
    <n v="0.68919786096256686"/>
    <x v="0"/>
    <m/>
    <x v="0"/>
  </r>
  <r>
    <n v="1089600453"/>
    <x v="9"/>
    <x v="4"/>
    <d v="2022-09-27T20:09:46"/>
    <s v="Mazvigosl"/>
    <x v="2585"/>
    <x v="65"/>
    <s v="Si"/>
    <s v="Inglés"/>
    <n v="0.36757219251336898"/>
    <n v="4"/>
    <n v="1.4702887700534759"/>
    <x v="0"/>
    <m/>
    <x v="0"/>
  </r>
  <r>
    <n v="1089600453"/>
    <x v="9"/>
    <x v="4"/>
    <d v="2022-09-27T20:09:46"/>
    <s v="Mazvigosl"/>
    <x v="741"/>
    <x v="37"/>
    <s v="Si"/>
    <s v="Inglés"/>
    <n v="0.28716577540106952"/>
    <n v="4"/>
    <n v="1.1486631016042781"/>
    <x v="0"/>
    <m/>
    <x v="0"/>
  </r>
  <r>
    <n v="1089600453"/>
    <x v="9"/>
    <x v="4"/>
    <d v="2022-09-27T20:09:46"/>
    <s v="Mazvigosl"/>
    <x v="2586"/>
    <x v="101"/>
    <s v="Si"/>
    <s v="Español"/>
    <n v="0.1148663101604278"/>
    <n v="4"/>
    <n v="0.45946524064171118"/>
    <x v="0"/>
    <m/>
    <x v="0"/>
  </r>
  <r>
    <n v="1089600453"/>
    <x v="9"/>
    <x v="4"/>
    <d v="2022-09-27T20:09:46"/>
    <s v="Mazvigosl"/>
    <x v="476"/>
    <x v="8"/>
    <s v="Si"/>
    <s v="Inglés"/>
    <n v="1.6540748663101601"/>
    <n v="4"/>
    <n v="6.6162994652406404"/>
    <x v="0"/>
    <m/>
    <x v="0"/>
  </r>
  <r>
    <n v="1089600453"/>
    <x v="9"/>
    <x v="4"/>
    <d v="2022-09-27T20:09:46"/>
    <s v="Mazvigosl"/>
    <x v="2587"/>
    <x v="8"/>
    <s v="Si"/>
    <s v="Inglés"/>
    <n v="0.16081283422459891"/>
    <n v="4"/>
    <n v="0.64325133689839564"/>
    <x v="0"/>
    <m/>
    <x v="0"/>
  </r>
  <r>
    <n v="1089600453"/>
    <x v="9"/>
    <x v="4"/>
    <d v="2022-09-27T20:09:46"/>
    <s v="Mazvigosl"/>
    <x v="1118"/>
    <x v="113"/>
    <s v="No"/>
    <s v="Inglés"/>
    <n v="0.16081283422459891"/>
    <n v="8"/>
    <n v="1.2865026737967913"/>
    <x v="0"/>
    <m/>
    <x v="0"/>
  </r>
  <r>
    <n v="1089600453"/>
    <x v="9"/>
    <x v="4"/>
    <d v="2022-09-27T20:09:46"/>
    <s v="Mazvigosl"/>
    <x v="1119"/>
    <x v="113"/>
    <s v="No"/>
    <s v="Inglés"/>
    <n v="0.16081283422459891"/>
    <n v="8"/>
    <n v="1.2865026737967913"/>
    <x v="0"/>
    <m/>
    <x v="0"/>
  </r>
  <r>
    <n v="1089600453"/>
    <x v="9"/>
    <x v="4"/>
    <d v="2022-09-27T20:09:46"/>
    <s v="Mazvigosl"/>
    <x v="1120"/>
    <x v="113"/>
    <s v="No"/>
    <s v="Inglés"/>
    <n v="0.16081283422459891"/>
    <n v="8"/>
    <n v="1.2865026737967913"/>
    <x v="0"/>
    <m/>
    <x v="0"/>
  </r>
  <r>
    <n v="1089600453"/>
    <x v="9"/>
    <x v="4"/>
    <d v="2022-09-27T20:09:46"/>
    <s v="Mazvigosl"/>
    <x v="1122"/>
    <x v="113"/>
    <s v="No"/>
    <s v="Inglés"/>
    <n v="0.16081283422459891"/>
    <n v="8"/>
    <n v="1.2865026737967913"/>
    <x v="0"/>
    <m/>
    <x v="0"/>
  </r>
  <r>
    <n v="1089600453"/>
    <x v="9"/>
    <x v="4"/>
    <d v="2022-09-27T20:09:46"/>
    <s v="Mazvigosl"/>
    <x v="2588"/>
    <x v="311"/>
    <s v="No"/>
    <s v="Inglés"/>
    <n v="0.45946524064171118"/>
    <n v="2"/>
    <n v="0.91893048128342236"/>
    <x v="0"/>
    <m/>
    <x v="0"/>
  </r>
  <r>
    <n v="1089600453"/>
    <x v="9"/>
    <x v="4"/>
    <d v="2022-09-27T20:09:46"/>
    <s v="Mazvigosl"/>
    <x v="2589"/>
    <x v="15"/>
    <s v="Si"/>
    <s v="Inglés"/>
    <n v="2.8716577540106951"/>
    <n v="4"/>
    <n v="11.48663101604278"/>
    <x v="0"/>
    <m/>
    <x v="0"/>
  </r>
  <r>
    <n v="1089600453"/>
    <x v="9"/>
    <x v="4"/>
    <d v="2022-09-27T20:09:46"/>
    <s v="Mazvigosl"/>
    <x v="979"/>
    <x v="233"/>
    <s v="No"/>
    <s v="Español"/>
    <n v="5.628449197860963"/>
    <n v="1"/>
    <n v="5.628449197860963"/>
    <x v="0"/>
    <m/>
    <x v="0"/>
  </r>
  <r>
    <n v="1089600453"/>
    <x v="9"/>
    <x v="4"/>
    <d v="2022-09-27T20:09:46"/>
    <s v="Mazvigosl"/>
    <x v="695"/>
    <x v="64"/>
    <s v="Si"/>
    <s v="Inglés"/>
    <n v="0.34459893048128343"/>
    <n v="4"/>
    <n v="1.3783957219251337"/>
    <x v="0"/>
    <m/>
    <x v="0"/>
  </r>
  <r>
    <n v="1089600453"/>
    <x v="9"/>
    <x v="4"/>
    <d v="2022-09-27T20:09:46"/>
    <s v="Mazvigosl"/>
    <x v="302"/>
    <x v="100"/>
    <s v="Si"/>
    <s v="Inglés"/>
    <n v="0.51689839572192509"/>
    <n v="4"/>
    <n v="2.0675935828877003"/>
    <x v="0"/>
    <m/>
    <x v="0"/>
  </r>
  <r>
    <n v="1089600453"/>
    <x v="9"/>
    <x v="4"/>
    <d v="2022-09-27T20:09:46"/>
    <s v="Mazvigosl"/>
    <x v="409"/>
    <x v="152"/>
    <s v="No"/>
    <s v="Inglés"/>
    <n v="2.2398930481283421"/>
    <n v="3"/>
    <n v="6.7196791443850259"/>
    <x v="0"/>
    <m/>
    <x v="0"/>
  </r>
  <r>
    <n v="1089437514"/>
    <x v="9"/>
    <x v="4"/>
    <d v="2022-09-26T11:30:44"/>
    <s v="ManaVortex-POOL4YOU"/>
    <x v="474"/>
    <x v="210"/>
    <s v="No"/>
    <s v="Inglés"/>
    <n v="3.8067648634172468"/>
    <n v="3"/>
    <n v="11.420294590251741"/>
    <x v="0"/>
    <m/>
    <x v="0"/>
  </r>
  <r>
    <n v="1089437514"/>
    <x v="9"/>
    <x v="4"/>
    <d v="2022-09-26T11:30:44"/>
    <s v="ManaVortex-POOL4YOU"/>
    <x v="2590"/>
    <x v="339"/>
    <s v="No"/>
    <s v="Inglés"/>
    <n v="6.2894376004284949"/>
    <n v="1"/>
    <n v="6.2894376004284949"/>
    <x v="0"/>
    <m/>
    <x v="0"/>
  </r>
  <r>
    <n v="1089437514"/>
    <x v="9"/>
    <x v="4"/>
    <d v="2022-09-26T11:30:44"/>
    <s v="ManaVortex-POOL4YOU"/>
    <x v="2591"/>
    <x v="175"/>
    <s v="No"/>
    <s v="Inglés"/>
    <n v="1.2477021960364221"/>
    <n v="2"/>
    <n v="2.4954043920728441"/>
    <x v="0"/>
    <m/>
    <x v="0"/>
  </r>
  <r>
    <n v="1089437514"/>
    <x v="9"/>
    <x v="4"/>
    <d v="2022-09-26T11:30:44"/>
    <s v="ManaVortex-POOL4YOU"/>
    <x v="2592"/>
    <x v="139"/>
    <s v="No"/>
    <s v="Inglés"/>
    <n v="0.44560792715586489"/>
    <n v="3"/>
    <n v="1.3368237814675947"/>
    <x v="0"/>
    <m/>
    <x v="0"/>
  </r>
  <r>
    <n v="1089437514"/>
    <x v="9"/>
    <x v="4"/>
    <d v="2022-09-26T11:30:44"/>
    <s v="ManaVortex-POOL4YOU"/>
    <x v="2593"/>
    <x v="37"/>
    <s v="No"/>
    <s v="Inglés"/>
    <n v="2.2280396357793251"/>
    <n v="1"/>
    <n v="2.2280396357793251"/>
    <x v="0"/>
    <m/>
    <x v="0"/>
  </r>
  <r>
    <n v="1089379499"/>
    <x v="9"/>
    <x v="4"/>
    <d v="2022-09-25T20:40:27"/>
    <s v="Metropolis-Center"/>
    <x v="2594"/>
    <x v="321"/>
    <s v="No"/>
    <s v="Español"/>
    <n v="1.6636063022758221"/>
    <n v="1"/>
    <n v="1.6636063022758221"/>
    <x v="0"/>
    <m/>
    <x v="0"/>
  </r>
  <r>
    <n v="1089379499"/>
    <x v="9"/>
    <x v="4"/>
    <d v="2022-09-25T20:40:27"/>
    <s v="Metropolis-Center"/>
    <x v="358"/>
    <x v="193"/>
    <s v="Si"/>
    <s v="Español"/>
    <n v="0.32378914608052911"/>
    <n v="4"/>
    <n v="1.2951565843221164"/>
    <x v="0"/>
    <m/>
    <x v="0"/>
  </r>
  <r>
    <n v="1089379499"/>
    <x v="9"/>
    <x v="4"/>
    <d v="2022-09-25T20:40:27"/>
    <s v="Metropolis-Center"/>
    <x v="2595"/>
    <x v="40"/>
    <s v="Si"/>
    <s v="Inglés"/>
    <n v="0.54709200544641123"/>
    <n v="4"/>
    <n v="2.1883680217856449"/>
    <x v="0"/>
    <m/>
    <x v="0"/>
  </r>
  <r>
    <n v="1089379499"/>
    <x v="9"/>
    <x v="4"/>
    <d v="2022-09-25T20:40:27"/>
    <s v="Metropolis-Center"/>
    <x v="1557"/>
    <x v="15"/>
    <s v="No"/>
    <s v="Inglés"/>
    <n v="0.54709200544641123"/>
    <n v="3"/>
    <n v="1.6412760163392337"/>
    <x v="0"/>
    <m/>
    <x v="0"/>
  </r>
  <r>
    <n v="1089379499"/>
    <x v="9"/>
    <x v="4"/>
    <d v="2022-09-25T20:40:27"/>
    <s v="Metropolis-Center"/>
    <x v="2596"/>
    <x v="179"/>
    <s v="Si"/>
    <s v="Inglés"/>
    <n v="0.65874343512935218"/>
    <n v="4"/>
    <n v="2.6349737405174087"/>
    <x v="0"/>
    <m/>
    <x v="0"/>
  </r>
  <r>
    <n v="1089379499"/>
    <x v="9"/>
    <x v="4"/>
    <d v="2022-09-25T20:40:27"/>
    <s v="Metropolis-Center"/>
    <x v="2303"/>
    <x v="64"/>
    <s v="No"/>
    <s v="Inglés"/>
    <n v="0.26796343123905858"/>
    <n v="3"/>
    <n v="0.80389029371717569"/>
    <x v="0"/>
    <m/>
    <x v="0"/>
  </r>
  <r>
    <n v="1089379499"/>
    <x v="9"/>
    <x v="4"/>
    <d v="2022-09-25T20:40:27"/>
    <s v="Metropolis-Center"/>
    <x v="2597"/>
    <x v="250"/>
    <s v="Si"/>
    <s v="Inglés"/>
    <n v="0.54709200544641123"/>
    <n v="4"/>
    <n v="2.1883680217856449"/>
    <x v="0"/>
    <m/>
    <x v="0"/>
  </r>
  <r>
    <n v="1089379499"/>
    <x v="9"/>
    <x v="4"/>
    <d v="2022-09-25T20:40:27"/>
    <s v="Metropolis-Center"/>
    <x v="2594"/>
    <x v="12"/>
    <s v="No"/>
    <s v="Inglés"/>
    <n v="2.221863450690527"/>
    <n v="3"/>
    <n v="6.6655903520715807"/>
    <x v="0"/>
    <m/>
    <x v="0"/>
  </r>
  <r>
    <n v="1089379499"/>
    <x v="9"/>
    <x v="4"/>
    <d v="2022-09-25T20:40:27"/>
    <s v="Metropolis-Center"/>
    <x v="265"/>
    <x v="81"/>
    <s v="No"/>
    <s v="Inglés"/>
    <n v="5.5714063411787587"/>
    <n v="3"/>
    <n v="16.714219023536277"/>
    <x v="0"/>
    <m/>
    <x v="0"/>
  </r>
  <r>
    <n v="1089379499"/>
    <x v="9"/>
    <x v="4"/>
    <d v="2022-09-25T20:40:27"/>
    <s v="Metropolis-Center"/>
    <x v="695"/>
    <x v="64"/>
    <s v="Si"/>
    <s v="Inglés"/>
    <n v="0.93787200933670489"/>
    <n v="4"/>
    <n v="3.7514880373468196"/>
    <x v="0"/>
    <m/>
    <x v="0"/>
  </r>
  <r>
    <n v="1089379499"/>
    <x v="9"/>
    <x v="4"/>
    <d v="2022-09-25T20:40:27"/>
    <s v="Metropolis-Center"/>
    <x v="1499"/>
    <x v="192"/>
    <s v="No"/>
    <s v="Español"/>
    <n v="17.853063606302271"/>
    <n v="1"/>
    <n v="17.853063606302271"/>
    <x v="0"/>
    <m/>
    <x v="0"/>
  </r>
  <r>
    <n v="1088899357"/>
    <x v="9"/>
    <x v="4"/>
    <d v="2022-09-20T23:01:43"/>
    <s v="Metropolis-Center"/>
    <x v="1114"/>
    <x v="170"/>
    <s v="Si"/>
    <s v="Inglés"/>
    <n v="0.26603404563563932"/>
    <n v="4"/>
    <n v="1.0641361825425573"/>
    <x v="0"/>
    <m/>
    <x v="0"/>
  </r>
  <r>
    <n v="1088899357"/>
    <x v="9"/>
    <x v="4"/>
    <d v="2022-09-20T23:01:43"/>
    <s v="Metropolis-Center"/>
    <x v="864"/>
    <x v="139"/>
    <s v="Si"/>
    <s v="Inglés"/>
    <n v="1.651628033321261"/>
    <n v="4"/>
    <n v="6.6065121332850438"/>
    <x v="0"/>
    <m/>
    <x v="0"/>
  </r>
  <r>
    <n v="1088899357"/>
    <x v="9"/>
    <x v="4"/>
    <d v="2022-09-20T23:01:43"/>
    <s v="Metropolis-Center"/>
    <x v="2598"/>
    <x v="40"/>
    <s v="Si"/>
    <s v="Inglés"/>
    <n v="1.651628033321261"/>
    <n v="4"/>
    <n v="6.6065121332850438"/>
    <x v="0"/>
    <m/>
    <x v="0"/>
  </r>
  <r>
    <n v="1088899357"/>
    <x v="9"/>
    <x v="4"/>
    <d v="2022-09-20T23:01:43"/>
    <s v="Metropolis-Center"/>
    <x v="376"/>
    <x v="255"/>
    <s v="No"/>
    <s v="Español"/>
    <n v="3.314340818544006"/>
    <n v="2"/>
    <n v="6.6286816370880119"/>
    <x v="0"/>
    <m/>
    <x v="0"/>
  </r>
  <r>
    <n v="1088899357"/>
    <x v="9"/>
    <x v="4"/>
    <d v="2022-09-20T23:01:43"/>
    <s v="Metropolis-Center"/>
    <x v="1159"/>
    <x v="64"/>
    <s v="Si"/>
    <s v="Inglés"/>
    <n v="0.26603404563563932"/>
    <n v="4"/>
    <n v="1.0641361825425573"/>
    <x v="0"/>
    <m/>
    <x v="0"/>
  </r>
  <r>
    <n v="1088899357"/>
    <x v="9"/>
    <x v="4"/>
    <d v="2022-09-20T23:01:43"/>
    <s v="Metropolis-Center"/>
    <x v="2599"/>
    <x v="193"/>
    <s v="No"/>
    <s v="Español"/>
    <n v="5.5312911988410001"/>
    <n v="3"/>
    <n v="16.593873596523"/>
    <x v="0"/>
    <m/>
    <x v="0"/>
  </r>
  <r>
    <n v="1088899357"/>
    <x v="9"/>
    <x v="4"/>
    <d v="2022-09-20T23:01:43"/>
    <s v="Metropolis-Center"/>
    <x v="2600"/>
    <x v="136"/>
    <s v="No"/>
    <s v="Español"/>
    <n v="0.22169503802969939"/>
    <n v="3"/>
    <n v="0.66508511408909821"/>
    <x v="0"/>
    <m/>
    <x v="0"/>
  </r>
  <r>
    <n v="1088899357"/>
    <x v="9"/>
    <x v="4"/>
    <d v="2022-09-20T23:01:43"/>
    <s v="Metropolis-Center"/>
    <x v="2601"/>
    <x v="33"/>
    <s v="No"/>
    <s v="Inglés"/>
    <n v="0.26603404563563932"/>
    <n v="3"/>
    <n v="0.79810213690691789"/>
    <x v="0"/>
    <m/>
    <x v="0"/>
  </r>
  <r>
    <n v="1088899357"/>
    <x v="9"/>
    <x v="4"/>
    <d v="2022-09-20T23:01:43"/>
    <s v="Metropolis-Center"/>
    <x v="1115"/>
    <x v="170"/>
    <s v="Si"/>
    <s v="Inglés"/>
    <n v="0.26603404563563932"/>
    <n v="4"/>
    <n v="1.0641361825425573"/>
    <x v="0"/>
    <m/>
    <x v="0"/>
  </r>
  <r>
    <n v="1088899357"/>
    <x v="9"/>
    <x v="4"/>
    <d v="2022-09-20T23:01:43"/>
    <s v="Metropolis-Center"/>
    <x v="1118"/>
    <x v="170"/>
    <s v="Si"/>
    <s v="Inglés"/>
    <n v="0.26603404563563932"/>
    <n v="4"/>
    <n v="1.0641361825425573"/>
    <x v="0"/>
    <m/>
    <x v="0"/>
  </r>
  <r>
    <n v="1088899357"/>
    <x v="9"/>
    <x v="4"/>
    <d v="2022-09-20T23:01:43"/>
    <s v="Metropolis-Center"/>
    <x v="1118"/>
    <x v="113"/>
    <s v="Si"/>
    <s v="Inglés"/>
    <n v="0.33254255704454899"/>
    <n v="4"/>
    <n v="1.330170228178196"/>
    <x v="0"/>
    <m/>
    <x v="0"/>
  </r>
  <r>
    <n v="1088899357"/>
    <x v="9"/>
    <x v="4"/>
    <d v="2022-09-20T23:01:43"/>
    <s v="Metropolis-Center"/>
    <x v="1499"/>
    <x v="192"/>
    <s v="No"/>
    <s v="Español"/>
    <n v="17.724518290474471"/>
    <n v="1"/>
    <n v="17.724518290474471"/>
    <x v="0"/>
    <m/>
    <x v="0"/>
  </r>
  <r>
    <n v="1088514779"/>
    <x v="9"/>
    <x v="4"/>
    <d v="2022-09-17T15:26:19"/>
    <s v="Metropolis-Center"/>
    <x v="2602"/>
    <x v="255"/>
    <s v="Si"/>
    <s v="Inglés"/>
    <n v="1.6817251160391959"/>
    <n v="4"/>
    <n v="6.7269004641567838"/>
    <x v="0"/>
    <m/>
    <x v="0"/>
  </r>
  <r>
    <n v="1088514779"/>
    <x v="9"/>
    <x v="4"/>
    <d v="2022-09-17T15:26:19"/>
    <s v="Metropolis-Center"/>
    <x v="2603"/>
    <x v="255"/>
    <s v="No"/>
    <s v="Inglés"/>
    <n v="1.6817251160391959"/>
    <n v="1"/>
    <n v="1.6817251160391959"/>
    <x v="0"/>
    <m/>
    <x v="0"/>
  </r>
  <r>
    <n v="1088514779"/>
    <x v="9"/>
    <x v="4"/>
    <d v="2022-09-17T15:26:19"/>
    <s v="Metropolis-Center"/>
    <x v="1113"/>
    <x v="126"/>
    <s v="No"/>
    <s v="Español"/>
    <n v="0.44018308406395051"/>
    <n v="3"/>
    <n v="1.3205492521918516"/>
    <x v="0"/>
    <m/>
    <x v="0"/>
  </r>
  <r>
    <n v="1088514779"/>
    <x v="9"/>
    <x v="4"/>
    <d v="2022-09-17T15:26:19"/>
    <s v="Metropolis-Center"/>
    <x v="2604"/>
    <x v="212"/>
    <s v="No"/>
    <s v="Español"/>
    <n v="0.21444816915936049"/>
    <n v="2"/>
    <n v="0.42889633831872098"/>
    <x v="0"/>
    <m/>
    <x v="0"/>
  </r>
  <r>
    <n v="1088514779"/>
    <x v="9"/>
    <x v="4"/>
    <d v="2022-09-17T15:26:19"/>
    <s v="Metropolis-Center"/>
    <x v="892"/>
    <x v="340"/>
    <s v="No"/>
    <s v="Inglés"/>
    <n v="1.6817251160391959"/>
    <n v="1"/>
    <n v="1.6817251160391959"/>
    <x v="0"/>
    <m/>
    <x v="0"/>
  </r>
  <r>
    <n v="1088514779"/>
    <x v="9"/>
    <x v="4"/>
    <d v="2022-09-17T15:26:19"/>
    <s v="Metropolis-Center"/>
    <x v="2605"/>
    <x v="147"/>
    <s v="Si"/>
    <s v="Inglés"/>
    <n v="0.56433728726147503"/>
    <n v="4"/>
    <n v="2.2573491490459001"/>
    <x v="0"/>
    <m/>
    <x v="0"/>
  </r>
  <r>
    <n v="1088514779"/>
    <x v="9"/>
    <x v="4"/>
    <d v="2022-09-17T15:26:19"/>
    <s v="Metropolis-Center"/>
    <x v="2606"/>
    <x v="278"/>
    <s v="Si"/>
    <s v="Español"/>
    <n v="0.32731562661165547"/>
    <n v="4"/>
    <n v="1.3092625064466219"/>
    <x v="0"/>
    <m/>
    <x v="0"/>
  </r>
  <r>
    <n v="1088514779"/>
    <x v="9"/>
    <x v="4"/>
    <d v="2022-09-17T15:26:19"/>
    <s v="Metropolis-Center"/>
    <x v="867"/>
    <x v="341"/>
    <s v="Si"/>
    <s v="Español"/>
    <n v="0.55305054151624544"/>
    <n v="4"/>
    <n v="2.2122021660649818"/>
    <x v="0"/>
    <m/>
    <x v="0"/>
  </r>
  <r>
    <n v="1088514779"/>
    <x v="9"/>
    <x v="4"/>
    <d v="2022-09-17T15:26:19"/>
    <s v="Metropolis-Center"/>
    <x v="860"/>
    <x v="74"/>
    <s v="Si"/>
    <s v="Inglés"/>
    <n v="0.21444816915936049"/>
    <n v="4"/>
    <n v="0.85779267663744196"/>
    <x v="0"/>
    <m/>
    <x v="0"/>
  </r>
  <r>
    <n v="1088514779"/>
    <x v="9"/>
    <x v="4"/>
    <d v="2022-09-17T15:26:19"/>
    <s v="Metropolis-Center"/>
    <x v="2607"/>
    <x v="261"/>
    <s v="Si"/>
    <s v="Inglés"/>
    <n v="0.56433728726147503"/>
    <n v="4"/>
    <n v="2.2573491490459001"/>
    <x v="0"/>
    <m/>
    <x v="0"/>
  </r>
  <r>
    <n v="1088514779"/>
    <x v="9"/>
    <x v="4"/>
    <d v="2022-09-17T15:26:19"/>
    <s v="Metropolis-Center"/>
    <x v="869"/>
    <x v="102"/>
    <s v="Si"/>
    <s v="Español"/>
    <n v="0.67720474471377001"/>
    <n v="4"/>
    <n v="2.7088189788550801"/>
    <x v="0"/>
    <m/>
    <x v="0"/>
  </r>
  <r>
    <n v="1088514779"/>
    <x v="9"/>
    <x v="4"/>
    <d v="2022-09-17T15:26:19"/>
    <s v="Metropolis-Center"/>
    <x v="2603"/>
    <x v="13"/>
    <s v="No"/>
    <s v="Inglés"/>
    <n v="0.4514698298091801"/>
    <n v="3"/>
    <n v="1.3544094894275402"/>
    <x v="0"/>
    <m/>
    <x v="0"/>
  </r>
  <r>
    <n v="1088514779"/>
    <x v="9"/>
    <x v="4"/>
    <d v="2022-09-17T15:26:19"/>
    <s v="Metropolis-Center"/>
    <x v="2608"/>
    <x v="147"/>
    <s v="Si"/>
    <s v="Inglés"/>
    <n v="0.22573491490458999"/>
    <n v="4"/>
    <n v="0.90293965961835998"/>
    <x v="0"/>
    <m/>
    <x v="0"/>
  </r>
  <r>
    <n v="1088514779"/>
    <x v="9"/>
    <x v="4"/>
    <d v="2022-09-17T15:26:19"/>
    <s v="Metropolis-Center"/>
    <x v="2604"/>
    <x v="212"/>
    <s v="No"/>
    <s v="Inglés"/>
    <n v="0.112867457452295"/>
    <n v="2"/>
    <n v="0.22573491490458999"/>
    <x v="0"/>
    <m/>
    <x v="0"/>
  </r>
  <r>
    <n v="1088514779"/>
    <x v="9"/>
    <x v="4"/>
    <d v="2022-09-17T15:26:19"/>
    <s v="Metropolis-Center"/>
    <x v="2609"/>
    <x v="13"/>
    <s v="No"/>
    <s v="Español"/>
    <n v="0.56433728726147503"/>
    <n v="3"/>
    <n v="1.693011861784425"/>
    <x v="0"/>
    <m/>
    <x v="0"/>
  </r>
  <r>
    <n v="1088514779"/>
    <x v="9"/>
    <x v="4"/>
    <d v="2022-09-17T15:26:19"/>
    <s v="Metropolis-Center"/>
    <x v="2610"/>
    <x v="275"/>
    <s v="Si"/>
    <s v="Español"/>
    <n v="0.158014440433213"/>
    <n v="4"/>
    <n v="0.632057761732852"/>
    <x v="0"/>
    <m/>
    <x v="0"/>
  </r>
  <r>
    <n v="1088514779"/>
    <x v="9"/>
    <x v="4"/>
    <d v="2022-09-17T15:26:19"/>
    <s v="Metropolis-Center"/>
    <x v="2611"/>
    <x v="137"/>
    <s v="Si"/>
    <s v="Español"/>
    <n v="0.158014440433213"/>
    <n v="4"/>
    <n v="0.632057761732852"/>
    <x v="0"/>
    <m/>
    <x v="0"/>
  </r>
  <r>
    <n v="1088514779"/>
    <x v="9"/>
    <x v="4"/>
    <d v="2022-09-17T15:26:19"/>
    <s v="Metropolis-Center"/>
    <x v="1110"/>
    <x v="113"/>
    <s v="Si"/>
    <s v="Inglés"/>
    <n v="0.33860237235688501"/>
    <n v="4"/>
    <n v="1.35440948942754"/>
    <x v="0"/>
    <m/>
    <x v="0"/>
  </r>
  <r>
    <n v="1088514779"/>
    <x v="9"/>
    <x v="4"/>
    <d v="2022-09-17T15:26:19"/>
    <s v="Metropolis-Center"/>
    <x v="1111"/>
    <x v="113"/>
    <s v="Si"/>
    <s v="Inglés"/>
    <n v="0.33860237235688501"/>
    <n v="4"/>
    <n v="1.35440948942754"/>
    <x v="0"/>
    <m/>
    <x v="0"/>
  </r>
  <r>
    <n v="1088514779"/>
    <x v="9"/>
    <x v="4"/>
    <d v="2022-09-17T15:26:19"/>
    <s v="Metropolis-Center"/>
    <x v="1112"/>
    <x v="113"/>
    <s v="Si"/>
    <s v="Inglés"/>
    <n v="0.33860237235688501"/>
    <n v="4"/>
    <n v="1.35440948942754"/>
    <x v="0"/>
    <m/>
    <x v="0"/>
  </r>
  <r>
    <n v="1088514779"/>
    <x v="9"/>
    <x v="4"/>
    <d v="2022-09-17T15:26:19"/>
    <s v="Metropolis-Center"/>
    <x v="2612"/>
    <x v="80"/>
    <s v="No"/>
    <s v="Inglés"/>
    <n v="0.44018308406395051"/>
    <n v="2"/>
    <n v="0.88036616812790103"/>
    <x v="0"/>
    <m/>
    <x v="0"/>
  </r>
  <r>
    <n v="1088514779"/>
    <x v="9"/>
    <x v="4"/>
    <d v="2022-09-17T15:26:19"/>
    <s v="Metropolis-Center"/>
    <x v="2613"/>
    <x v="175"/>
    <s v="Si"/>
    <s v="Español"/>
    <n v="0.22573491490458999"/>
    <n v="4"/>
    <n v="0.90293965961835998"/>
    <x v="0"/>
    <m/>
    <x v="0"/>
  </r>
  <r>
    <n v="1088514779"/>
    <x v="9"/>
    <x v="4"/>
    <d v="2022-09-17T15:26:19"/>
    <s v="Metropolis-Center"/>
    <x v="2614"/>
    <x v="147"/>
    <s v="No"/>
    <s v="Inglés"/>
    <n v="0.84650593089221249"/>
    <n v="2"/>
    <n v="1.693011861784425"/>
    <x v="0"/>
    <m/>
    <x v="0"/>
  </r>
  <r>
    <n v="1088514779"/>
    <x v="9"/>
    <x v="4"/>
    <d v="2022-09-17T15:26:19"/>
    <s v="Metropolis-Center"/>
    <x v="2615"/>
    <x v="226"/>
    <s v="Si"/>
    <s v="Inglés"/>
    <n v="0.158014440433213"/>
    <n v="4"/>
    <n v="0.632057761732852"/>
    <x v="0"/>
    <m/>
    <x v="0"/>
  </r>
  <r>
    <n v="1088514779"/>
    <x v="9"/>
    <x v="4"/>
    <d v="2022-09-17T15:26:19"/>
    <s v="Metropolis-Center"/>
    <x v="2616"/>
    <x v="266"/>
    <s v="Si"/>
    <s v="Inglés"/>
    <n v="1.117387828777721"/>
    <n v="4"/>
    <n v="4.4695513151108841"/>
    <x v="0"/>
    <m/>
    <x v="0"/>
  </r>
  <r>
    <n v="1088514779"/>
    <x v="9"/>
    <x v="4"/>
    <d v="2022-09-17T15:26:19"/>
    <s v="Metropolis-Center"/>
    <x v="862"/>
    <x v="278"/>
    <s v="No"/>
    <s v="Español"/>
    <n v="2.24606240330067"/>
    <n v="1"/>
    <n v="2.24606240330067"/>
    <x v="0"/>
    <m/>
    <x v="0"/>
  </r>
  <r>
    <n v="1088216907"/>
    <x v="9"/>
    <x v="4"/>
    <d v="2022-09-14T20:26:31"/>
    <s v="ElRincondeMagic"/>
    <x v="2504"/>
    <x v="221"/>
    <s v="No"/>
    <s v="Inglés"/>
    <n v="10.15"/>
    <n v="1"/>
    <n v="10.15"/>
    <x v="0"/>
    <m/>
    <x v="0"/>
  </r>
  <r>
    <n v="1088204073"/>
    <x v="9"/>
    <x v="4"/>
    <d v="2022-09-14T20:26:31"/>
    <s v="TEMPEST-STORE"/>
    <x v="219"/>
    <x v="268"/>
    <s v="No"/>
    <s v="Español"/>
    <n v="1.1236547733847639"/>
    <n v="2"/>
    <n v="2.2473095467695279"/>
    <x v="0"/>
    <m/>
    <x v="0"/>
  </r>
  <r>
    <n v="1088204073"/>
    <x v="9"/>
    <x v="4"/>
    <d v="2022-09-14T20:26:31"/>
    <s v="TEMPEST-STORE"/>
    <x v="219"/>
    <x v="342"/>
    <s v="No"/>
    <s v="Inglés"/>
    <n v="1.645756991321119"/>
    <n v="1"/>
    <n v="1.645756991321119"/>
    <x v="0"/>
    <m/>
    <x v="0"/>
  </r>
  <r>
    <n v="1088204073"/>
    <x v="9"/>
    <x v="4"/>
    <d v="2022-09-14T20:26:31"/>
    <s v="TEMPEST-STORE"/>
    <x v="2617"/>
    <x v="120"/>
    <s v="No"/>
    <s v="Japonés"/>
    <n v="3.3482642237222762"/>
    <n v="3"/>
    <n v="10.044792671166828"/>
    <x v="0"/>
    <m/>
    <x v="0"/>
  </r>
  <r>
    <n v="1088204073"/>
    <x v="9"/>
    <x v="4"/>
    <d v="2022-09-14T20:26:31"/>
    <s v="TEMPEST-STORE"/>
    <x v="2618"/>
    <x v="166"/>
    <s v="Si"/>
    <s v="Japonés"/>
    <n v="2.213259402121504"/>
    <n v="4"/>
    <n v="8.8530376084860158"/>
    <x v="0"/>
    <m/>
    <x v="0"/>
  </r>
  <r>
    <n v="1088204073"/>
    <x v="9"/>
    <x v="4"/>
    <d v="2022-09-14T20:26:31"/>
    <s v="TEMPEST-STORE"/>
    <x v="337"/>
    <x v="73"/>
    <s v="No"/>
    <s v="Inglés"/>
    <n v="2.7807618129218898"/>
    <n v="1"/>
    <n v="2.7807618129218898"/>
    <x v="0"/>
    <m/>
    <x v="0"/>
  </r>
  <r>
    <n v="1088204073"/>
    <x v="9"/>
    <x v="4"/>
    <d v="2022-09-14T20:26:31"/>
    <s v="TEMPEST-STORE"/>
    <x v="103"/>
    <x v="193"/>
    <s v="Si"/>
    <s v="Japonés"/>
    <n v="2.213259402121504"/>
    <n v="4"/>
    <n v="8.8530376084860158"/>
    <x v="0"/>
    <m/>
    <x v="0"/>
  </r>
  <r>
    <n v="1088204073"/>
    <x v="9"/>
    <x v="4"/>
    <d v="2022-09-14T20:26:31"/>
    <s v="TEMPEST-STORE"/>
    <x v="337"/>
    <x v="73"/>
    <s v="No"/>
    <s v="Japonés"/>
    <n v="2.7807618129218898"/>
    <n v="3"/>
    <n v="8.3422854387656695"/>
    <x v="0"/>
    <m/>
    <x v="0"/>
  </r>
  <r>
    <n v="1088204073"/>
    <x v="9"/>
    <x v="4"/>
    <d v="2022-09-14T20:26:31"/>
    <s v="TEMPEST-STORE"/>
    <x v="347"/>
    <x v="92"/>
    <s v="Si"/>
    <s v="Inglés"/>
    <n v="1.0782545805207331"/>
    <n v="4"/>
    <n v="4.3130183220829323"/>
    <x v="0"/>
    <m/>
    <x v="0"/>
  </r>
  <r>
    <m/>
    <x v="12"/>
    <x v="5"/>
    <m/>
    <m/>
    <x v="2619"/>
    <x v="343"/>
    <m/>
    <m/>
    <m/>
    <m/>
    <m/>
    <x v="2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7BB65-5A07-4141-8369-8223FF48FE05}" name="TablaDinámica5" cacheId="1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:E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m="1" x="3"/>
        <item x="0"/>
        <item x="1"/>
        <item x="2"/>
        <item t="default"/>
      </items>
    </pivotField>
    <pivotField showAll="0"/>
    <pivotField showAll="0"/>
  </pivotFields>
  <rowFields count="1">
    <field x="1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a de Total" fld="11" baseField="12" baseItem="1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ABB77-A3B1-4EEA-9553-D42016340F97}" name="TablaDinámica1" cacheId="1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15">
    <pivotField showAll="0"/>
    <pivotField axis="axisRow" showAll="0">
      <items count="14">
        <item x="5"/>
        <item x="4"/>
        <item x="3"/>
        <item x="2"/>
        <item x="1"/>
        <item x="0"/>
        <item x="11"/>
        <item x="10"/>
        <item x="9"/>
        <item x="8"/>
        <item x="7"/>
        <item x="6"/>
        <item x="12"/>
        <item t="default"/>
      </items>
    </pivotField>
    <pivotField axis="axisRow" showAll="0">
      <items count="7">
        <item sd="0" x="4"/>
        <item sd="0" x="3"/>
        <item sd="0" x="2"/>
        <item sd="0" x="1"/>
        <item sd="0"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5">
        <item m="1" x="3"/>
        <item x="0"/>
        <item x="1"/>
        <item x="2"/>
        <item t="default"/>
      </items>
    </pivotField>
    <pivotField showAll="0"/>
    <pivotField showAll="0"/>
  </pivotFields>
  <rowFields count="2">
    <field x="2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2" item="1" hier="-1"/>
  </pageFields>
  <dataFields count="1">
    <dataField name="Suma de Total" fld="11" baseField="0" baseItem="0" numFmtId="166"/>
  </dataFields>
  <formats count="7">
    <format dxfId="6">
      <pivotArea collapsedLevelsAreSubtotals="1" fieldPosition="0">
        <references count="1">
          <reference field="2" count="1">
            <x v="0"/>
          </reference>
        </references>
      </pivotArea>
    </format>
    <format dxfId="5">
      <pivotArea collapsedLevelsAreSubtotals="1" fieldPosition="0">
        <references count="1">
          <reference field="2" count="1">
            <x v="1"/>
          </reference>
        </references>
      </pivotArea>
    </format>
    <format dxfId="4">
      <pivotArea collapsedLevelsAreSubtotals="1" fieldPosition="0">
        <references count="1">
          <reference field="2" count="1">
            <x v="2"/>
          </reference>
        </references>
      </pivotArea>
    </format>
    <format dxfId="3">
      <pivotArea collapsedLevelsAreSubtotals="1" fieldPosition="0">
        <references count="1">
          <reference field="2" count="1">
            <x v="3"/>
          </reference>
        </references>
      </pivotArea>
    </format>
    <format dxfId="2">
      <pivotArea collapsedLevelsAreSubtotals="1" fieldPosition="0">
        <references count="1">
          <reference field="2" count="1">
            <x v="4"/>
          </reference>
        </references>
      </pivotArea>
    </format>
    <format dxfId="1">
      <pivotArea grandRow="1"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E2127-7773-4001-9098-B508EDAA5CA4}" name="TablaDinámica8" cacheId="1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3:P7" firstHeaderRow="1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5">
        <item m="1" x="3"/>
        <item x="0"/>
        <item x="1"/>
        <item x="2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item="1" hier="-1"/>
  </pageFields>
  <dataFields count="1">
    <dataField name="Suma de Total" fld="11" baseField="14" baseItem="1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AF1D6-6DE3-4EEC-932C-6D410ED3E4E4}" name="TablaDinámica7" cacheId="1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3:M54" firstHeaderRow="1" firstDataRow="1" firstDataCol="1" rowPageCount="1" colPageCount="1"/>
  <pivotFields count="15">
    <pivotField showAll="0"/>
    <pivotField showAll="0"/>
    <pivotField showAll="0"/>
    <pivotField showAll="0"/>
    <pivotField showAll="0"/>
    <pivotField axis="axisRow" showAll="0" measureFilter="1" sortType="descending">
      <items count="2621">
        <item x="2216"/>
        <item x="1778"/>
        <item x="1779"/>
        <item x="2296"/>
        <item x="1777"/>
        <item x="156"/>
        <item x="422"/>
        <item x="172"/>
        <item x="1164"/>
        <item x="487"/>
        <item x="233"/>
        <item x="700"/>
        <item x="2511"/>
        <item x="664"/>
        <item x="2321"/>
        <item x="632"/>
        <item x="1971"/>
        <item x="18"/>
        <item x="417"/>
        <item x="344"/>
        <item x="1255"/>
        <item x="1562"/>
        <item x="153"/>
        <item x="792"/>
        <item x="2030"/>
        <item x="1325"/>
        <item x="2465"/>
        <item x="480"/>
        <item x="996"/>
        <item x="2354"/>
        <item x="289"/>
        <item sd="0" x="591"/>
        <item x="1536"/>
        <item x="1568"/>
        <item x="2031"/>
        <item x="2578"/>
        <item x="1097"/>
        <item x="945"/>
        <item x="842"/>
        <item x="862"/>
        <item x="2606"/>
        <item x="25"/>
        <item x="1213"/>
        <item x="2397"/>
        <item x="1158"/>
        <item x="2061"/>
        <item x="1173"/>
        <item x="1642"/>
        <item x="646"/>
        <item x="1320"/>
        <item sd="0" x="493"/>
        <item x="232"/>
        <item x="2587"/>
        <item x="407"/>
        <item x="380"/>
        <item x="2268"/>
        <item x="286"/>
        <item x="1546"/>
        <item x="1171"/>
        <item x="2388"/>
        <item x="482"/>
        <item x="98"/>
        <item x="843"/>
        <item x="360"/>
        <item x="468"/>
        <item x="2363"/>
        <item x="1794"/>
        <item x="2582"/>
        <item x="2579"/>
        <item x="1381"/>
        <item x="616"/>
        <item x="2197"/>
        <item x="2167"/>
        <item x="2182"/>
        <item x="1720"/>
        <item x="1547"/>
        <item x="678"/>
        <item x="1063"/>
        <item sd="0" x="29"/>
        <item x="292"/>
        <item x="1892"/>
        <item x="548"/>
        <item x="212"/>
        <item x="1091"/>
        <item x="1232"/>
        <item x="1458"/>
        <item x="2444"/>
        <item x="1480"/>
        <item x="331"/>
        <item x="2356"/>
        <item x="1043"/>
        <item x="1468"/>
        <item x="930"/>
        <item x="2593"/>
        <item x="1884"/>
        <item x="1280"/>
        <item x="1281"/>
        <item x="65"/>
        <item x="839"/>
        <item x="2105"/>
        <item x="1511"/>
        <item x="1385"/>
        <item x="496"/>
        <item x="603"/>
        <item x="1947"/>
        <item x="2519"/>
        <item x="1768"/>
        <item x="77"/>
        <item x="844"/>
        <item x="2272"/>
        <item x="626"/>
        <item x="2166"/>
        <item x="962"/>
        <item x="1429"/>
        <item x="636"/>
        <item x="74"/>
        <item x="2261"/>
        <item x="1047"/>
        <item x="1278"/>
        <item x="2294"/>
        <item x="2498"/>
        <item x="1088"/>
        <item x="801"/>
        <item x="745"/>
        <item x="691"/>
        <item x="2258"/>
        <item x="66"/>
        <item x="46"/>
        <item x="57"/>
        <item x="441"/>
        <item x="719"/>
        <item x="63"/>
        <item x="1825"/>
        <item x="1658"/>
        <item x="1614"/>
        <item x="155"/>
        <item x="1782"/>
        <item sd="0" x="252"/>
        <item sd="0" x="82"/>
        <item x="499"/>
        <item x="2174"/>
        <item x="135"/>
        <item x="2434"/>
        <item x="2020"/>
        <item x="1962"/>
        <item x="1479"/>
        <item x="265"/>
        <item x="1321"/>
        <item x="908"/>
        <item x="1795"/>
        <item x="378"/>
        <item x="1647"/>
        <item x="941"/>
        <item x="1788"/>
        <item x="2143"/>
        <item x="1665"/>
        <item x="1170"/>
        <item x="1389"/>
        <item x="1630"/>
        <item x="2362"/>
        <item x="2409"/>
        <item x="957"/>
        <item x="1080"/>
        <item x="1600"/>
        <item x="2345"/>
        <item x="740"/>
        <item x="2245"/>
        <item x="1659"/>
        <item x="1740"/>
        <item x="2113"/>
        <item x="44"/>
        <item x="1607"/>
        <item x="1694"/>
        <item x="429"/>
        <item x="2148"/>
        <item x="1617"/>
        <item x="2147"/>
        <item x="509"/>
        <item x="590"/>
        <item x="2001"/>
        <item x="534"/>
        <item x="1661"/>
        <item x="394"/>
        <item x="1482"/>
        <item x="1730"/>
        <item x="541"/>
        <item x="1796"/>
        <item x="2151"/>
        <item x="78"/>
        <item x="2542"/>
        <item x="656"/>
        <item x="2548"/>
        <item x="2299"/>
        <item x="2032"/>
        <item x="2365"/>
        <item x="766"/>
        <item x="775"/>
        <item x="926"/>
        <item x="2338"/>
        <item x="1437"/>
        <item x="2547"/>
        <item x="426"/>
        <item x="711"/>
        <item x="981"/>
        <item x="894"/>
        <item x="1907"/>
        <item x="1236"/>
        <item x="539"/>
        <item x="870"/>
        <item x="2385"/>
        <item x="2403"/>
        <item x="1747"/>
        <item sd="0" x="1301"/>
        <item x="2297"/>
        <item x="1178"/>
        <item x="670"/>
        <item x="2304"/>
        <item x="2347"/>
        <item x="1395"/>
        <item x="2114"/>
        <item x="2236"/>
        <item x="1737"/>
        <item x="2062"/>
        <item x="4"/>
        <item x="1313"/>
        <item x="809"/>
        <item x="2264"/>
        <item x="1761"/>
        <item x="1733"/>
        <item x="2033"/>
        <item x="1324"/>
        <item x="431"/>
        <item x="914"/>
        <item x="149"/>
        <item x="1939"/>
        <item x="2015"/>
        <item x="1930"/>
        <item x="2003"/>
        <item x="257"/>
        <item x="2559"/>
        <item x="1476"/>
        <item x="879"/>
        <item x="2225"/>
        <item x="1692"/>
        <item x="503"/>
        <item x="1205"/>
        <item x="221"/>
        <item x="2497"/>
        <item x="33"/>
        <item x="789"/>
        <item x="2115"/>
        <item x="297"/>
        <item x="2398"/>
        <item x="1559"/>
        <item x="1517"/>
        <item x="529"/>
        <item x="38"/>
        <item x="1531"/>
        <item x="478"/>
        <item x="576"/>
        <item x="364"/>
        <item x="2300"/>
        <item x="967"/>
        <item x="1762"/>
        <item x="59"/>
        <item x="2034"/>
        <item x="1916"/>
        <item x="1648"/>
        <item x="2035"/>
        <item x="2063"/>
        <item x="1649"/>
        <item x="329"/>
        <item x="1148"/>
        <item x="2116"/>
        <item x="1738"/>
        <item x="803"/>
        <item x="1008"/>
        <item x="470"/>
        <item x="308"/>
        <item x="760"/>
        <item x="132"/>
        <item x="174"/>
        <item x="2064"/>
        <item x="1791"/>
        <item x="307"/>
        <item x="1689"/>
        <item x="1383"/>
        <item x="912"/>
        <item x="1797"/>
        <item x="2036"/>
        <item x="765"/>
        <item x="861"/>
        <item x="1735"/>
        <item x="1220"/>
        <item x="1506"/>
        <item x="532"/>
        <item x="1984"/>
        <item x="2248"/>
        <item x="1431"/>
        <item x="1932"/>
        <item x="2435"/>
        <item x="1288"/>
        <item x="1283"/>
        <item x="1300"/>
        <item x="1284"/>
        <item x="2284"/>
        <item x="1175"/>
        <item x="1223"/>
        <item x="1843"/>
        <item x="1071"/>
        <item x="263"/>
        <item x="248"/>
        <item x="639"/>
        <item x="2333"/>
        <item x="2309"/>
        <item x="1976"/>
        <item x="1351"/>
        <item x="312"/>
        <item x="2350"/>
        <item x="1487"/>
        <item x="1844"/>
        <item x="1621"/>
        <item x="50"/>
        <item x="1065"/>
        <item x="6"/>
        <item x="272"/>
        <item x="835"/>
        <item x="2254"/>
        <item x="131"/>
        <item x="175"/>
        <item x="1660"/>
        <item x="1845"/>
        <item x="2065"/>
        <item x="1994"/>
        <item x="2066"/>
        <item x="2106"/>
        <item x="2107"/>
        <item x="1993"/>
        <item x="1826"/>
        <item x="2067"/>
        <item x="2037"/>
        <item x="1992"/>
        <item x="1798"/>
        <item x="2068"/>
        <item x="2117"/>
        <item x="2118"/>
        <item x="97"/>
        <item x="2418"/>
        <item x="1415"/>
        <item x="1141"/>
        <item x="776"/>
        <item x="2038"/>
        <item x="1304"/>
        <item x="2069"/>
        <item x="2211"/>
        <item x="1673"/>
        <item x="1226"/>
        <item x="1227"/>
        <item x="328"/>
        <item x="2556"/>
        <item x="2361"/>
        <item x="1443"/>
        <item sd="0" x="399"/>
        <item x="1334"/>
        <item x="2391"/>
        <item x="910"/>
        <item x="1388"/>
        <item x="1496"/>
        <item sd="0" x="278"/>
        <item x="1291"/>
        <item x="1392"/>
        <item x="2367"/>
        <item x="742"/>
        <item x="1873"/>
        <item x="203"/>
        <item x="525"/>
        <item x="2410"/>
        <item x="1058"/>
        <item x="438"/>
        <item x="236"/>
        <item x="1982"/>
        <item x="791"/>
        <item x="620"/>
        <item x="464"/>
        <item x="373"/>
        <item x="1896"/>
        <item x="1846"/>
        <item x="2571"/>
        <item x="2554"/>
        <item x="419"/>
        <item x="1135"/>
        <item x="1522"/>
        <item x="2509"/>
        <item x="336"/>
        <item x="1742"/>
        <item x="2275"/>
        <item x="1643"/>
        <item x="129"/>
        <item x="2594"/>
        <item x="950"/>
        <item x="1176"/>
        <item x="199"/>
        <item x="1729"/>
        <item x="573"/>
        <item x="528"/>
        <item x="2366"/>
        <item x="1540"/>
        <item x="2070"/>
        <item x="606"/>
        <item x="738"/>
        <item x="2298"/>
        <item x="2287"/>
        <item x="1799"/>
        <item x="1465"/>
        <item x="580"/>
        <item x="387"/>
        <item x="444"/>
        <item x="435"/>
        <item x="2589"/>
        <item x="1460"/>
        <item x="1221"/>
        <item x="359"/>
        <item x="2464"/>
        <item x="2586"/>
        <item x="1926"/>
        <item x="1533"/>
        <item x="685"/>
        <item x="2437"/>
        <item x="2532"/>
        <item x="2206"/>
        <item x="2230"/>
        <item x="1859"/>
        <item x="1708"/>
        <item x="2039"/>
        <item x="1749"/>
        <item x="987"/>
        <item x="500"/>
        <item x="1440"/>
        <item x="2483"/>
        <item x="992"/>
        <item x="91"/>
        <item x="335"/>
        <item x="881"/>
        <item x="317"/>
        <item x="448"/>
        <item x="2569"/>
        <item x="2071"/>
        <item x="1561"/>
        <item x="2476"/>
        <item x="599"/>
        <item x="1752"/>
        <item x="1569"/>
        <item x="333"/>
        <item x="1664"/>
        <item x="327"/>
        <item x="445"/>
        <item x="1307"/>
        <item x="1560"/>
        <item x="466"/>
        <item x="795"/>
        <item x="915"/>
        <item x="686"/>
        <item x="251"/>
        <item x="2467"/>
        <item x="1188"/>
        <item x="897"/>
        <item x="896"/>
        <item x="2441"/>
        <item x="833"/>
        <item x="868"/>
        <item x="674"/>
        <item x="1069"/>
        <item x="1464"/>
        <item x="409"/>
        <item x="2308"/>
        <item x="818"/>
        <item x="45"/>
        <item x="1299"/>
        <item x="213"/>
        <item x="1882"/>
        <item x="2260"/>
        <item x="86"/>
        <item x="2119"/>
        <item x="974"/>
        <item x="1966"/>
        <item x="377"/>
        <item x="867"/>
        <item x="237"/>
        <item x="1504"/>
        <item x="512"/>
        <item x="1384"/>
        <item x="1066"/>
        <item x="275"/>
        <item x="1399"/>
        <item x="147"/>
        <item x="1493"/>
        <item x="564"/>
        <item x="2413"/>
        <item x="151"/>
        <item x="2019"/>
        <item x="2026"/>
        <item x="2024"/>
        <item x="1800"/>
        <item x="2596"/>
        <item x="8"/>
        <item x="1042"/>
        <item x="1484"/>
        <item x="1485"/>
        <item x="1576"/>
        <item x="1372"/>
        <item x="515"/>
        <item x="1767"/>
        <item x="22"/>
        <item x="810"/>
        <item x="2591"/>
        <item x="2508"/>
        <item x="1051"/>
        <item x="2331"/>
        <item x="565"/>
        <item x="934"/>
        <item x="909"/>
        <item x="1087"/>
        <item x="1847"/>
        <item x="642"/>
        <item x="110"/>
        <item x="111"/>
        <item x="71"/>
        <item x="1509"/>
        <item x="1541"/>
        <item x="552"/>
        <item x="170"/>
        <item x="1335"/>
        <item x="161"/>
        <item x="1052"/>
        <item x="906"/>
        <item x="1425"/>
        <item x="949"/>
        <item x="533"/>
        <item x="1946"/>
        <item x="508"/>
        <item x="615"/>
        <item x="1344"/>
        <item x="273"/>
        <item x="1039"/>
        <item x="2342"/>
        <item x="2326"/>
        <item x="281"/>
        <item x="793"/>
        <item x="2251"/>
        <item x="226"/>
        <item x="845"/>
        <item x="1591"/>
        <item x="1448"/>
        <item x="1860"/>
        <item x="1701"/>
        <item x="1650"/>
        <item x="1626"/>
        <item x="1801"/>
        <item x="1705"/>
        <item x="1608"/>
        <item x="1615"/>
        <item x="1474"/>
        <item x="1940"/>
        <item x="1090"/>
        <item x="60"/>
        <item x="846"/>
        <item x="2447"/>
        <item x="1238"/>
        <item x="70"/>
        <item x="577"/>
        <item x="2239"/>
        <item x="1217"/>
        <item x="1683"/>
        <item x="613"/>
        <item x="1827"/>
        <item x="423"/>
        <item x="2429"/>
        <item x="1311"/>
        <item x="710"/>
        <item x="311"/>
        <item x="1206"/>
        <item x="1713"/>
        <item x="942"/>
        <item x="408"/>
        <item x="2392"/>
        <item x="536"/>
        <item x="1535"/>
        <item x="2457"/>
        <item x="701"/>
        <item x="1444"/>
        <item x="2176"/>
        <item x="1355"/>
        <item x="1970"/>
        <item x="925"/>
        <item x="904"/>
        <item x="883"/>
        <item x="1477"/>
        <item x="2600"/>
        <item x="1062"/>
        <item x="2601"/>
        <item x="113"/>
        <item x="416"/>
        <item x="582"/>
        <item x="583"/>
        <item x="165"/>
        <item x="2223"/>
        <item x="1438"/>
        <item x="2336"/>
        <item x="2358"/>
        <item x="2612"/>
        <item x="1596"/>
        <item x="964"/>
        <item x="932"/>
        <item x="24"/>
        <item x="334"/>
        <item x="261"/>
        <item x="1212"/>
        <item x="224"/>
        <item x="2217"/>
        <item x="2597"/>
        <item x="463"/>
        <item x="929"/>
        <item x="560"/>
        <item x="1910"/>
        <item x="341"/>
        <item x="1049"/>
        <item x="1637"/>
        <item x="2195"/>
        <item x="2158"/>
        <item x="2171"/>
        <item x="453"/>
        <item x="1146"/>
        <item x="1900"/>
        <item x="1949"/>
        <item x="1893"/>
        <item x="1928"/>
        <item x="963"/>
        <item x="943"/>
        <item x="124"/>
        <item x="1197"/>
        <item x="1354"/>
        <item x="401"/>
        <item x="120"/>
        <item x="1651"/>
        <item x="2241"/>
        <item x="1592"/>
        <item x="2318"/>
        <item x="189"/>
        <item x="1180"/>
        <item x="978"/>
        <item x="1189"/>
        <item x="169"/>
        <item x="1828"/>
        <item x="659"/>
        <item x="2506"/>
        <item sd="0" x="1461"/>
        <item x="266"/>
        <item x="442"/>
        <item x="1041"/>
        <item x="1612"/>
        <item x="1590"/>
        <item x="204"/>
        <item x="2072"/>
        <item x="821"/>
        <item x="1290"/>
        <item x="2165"/>
        <item x="2004"/>
        <item x="2461"/>
        <item x="2402"/>
        <item x="1414"/>
        <item x="1829"/>
        <item x="899"/>
        <item x="1133"/>
        <item x="2436"/>
        <item x="649"/>
        <item x="2551"/>
        <item x="223"/>
        <item x="1442"/>
        <item x="1316"/>
        <item x="2257"/>
        <item x="860"/>
        <item x="2227"/>
        <item x="1580"/>
        <item x="143"/>
        <item x="633"/>
        <item x="543"/>
        <item x="2293"/>
        <item x="892"/>
        <item x="186"/>
        <item x="404"/>
        <item x="133"/>
        <item x="1145"/>
        <item x="1149"/>
        <item x="1432"/>
        <item x="1032"/>
        <item x="1034"/>
        <item x="61"/>
        <item x="1503"/>
        <item x="287"/>
        <item x="1763"/>
        <item x="1387"/>
        <item x="150"/>
        <item x="121"/>
        <item x="2219"/>
        <item x="571"/>
        <item x="568"/>
        <item x="2487"/>
        <item x="1396"/>
        <item x="1567"/>
        <item x="2491"/>
        <item x="2490"/>
        <item x="555"/>
        <item x="1358"/>
        <item x="520"/>
        <item x="1040"/>
        <item x="1963"/>
        <item x="2183"/>
        <item x="1903"/>
        <item x="2164"/>
        <item x="2189"/>
        <item x="2017"/>
        <item x="1394"/>
        <item x="1235"/>
        <item x="2438"/>
        <item x="101"/>
        <item x="188"/>
        <item x="1488"/>
        <item x="279"/>
        <item x="578"/>
        <item x="1154"/>
        <item x="483"/>
        <item x="2462"/>
        <item x="1336"/>
        <item x="2583"/>
        <item x="754"/>
        <item x="356"/>
        <item x="2073"/>
        <item x="201"/>
        <item x="28"/>
        <item x="14"/>
        <item x="27"/>
        <item x="2595"/>
        <item x="2120"/>
        <item x="1587"/>
        <item x="650"/>
        <item x="1160"/>
        <item x="420"/>
        <item x="3"/>
        <item x="550"/>
        <item x="166"/>
        <item x="1327"/>
        <item x="2513"/>
        <item x="2533"/>
        <item x="2121"/>
        <item x="1002"/>
        <item x="260"/>
        <item x="713"/>
        <item x="1784"/>
        <item x="1347"/>
        <item sd="0" x="1098"/>
        <item x="1107"/>
        <item x="193"/>
        <item x="1251"/>
        <item x="1339"/>
        <item x="159"/>
        <item x="183"/>
        <item x="563"/>
        <item x="653"/>
        <item x="180"/>
        <item sd="0" x="1259"/>
        <item x="1151"/>
        <item x="436"/>
        <item x="190"/>
        <item x="1550"/>
        <item x="2305"/>
        <item x="382"/>
        <item x="1979"/>
        <item x="1980"/>
        <item x="1924"/>
        <item x="2169"/>
        <item x="681"/>
        <item x="991"/>
        <item sd="0" x="2285"/>
        <item x="2256"/>
        <item sd="0" x="1362"/>
        <item x="352"/>
        <item x="796"/>
        <item x="1122"/>
        <item x="1100"/>
        <item x="1123"/>
        <item x="1124"/>
        <item x="2029"/>
        <item x="1867"/>
        <item x="2495"/>
        <item x="255"/>
        <item x="518"/>
        <item x="2074"/>
        <item x="2276"/>
        <item x="1099"/>
        <item x="2566"/>
        <item x="1067"/>
        <item x="1622"/>
        <item x="2458"/>
        <item x="772"/>
        <item x="2150"/>
        <item x="1848"/>
        <item x="1594"/>
        <item x="2502"/>
        <item x="1419"/>
        <item x="348"/>
        <item x="1026"/>
        <item x="294"/>
        <item x="2002"/>
        <item x="2190"/>
        <item x="2021"/>
        <item x="2160"/>
        <item x="2451"/>
        <item x="611"/>
        <item x="2040"/>
        <item x="351"/>
        <item sd="0" x="1937"/>
        <item x="1253"/>
        <item x="764"/>
        <item x="2075"/>
        <item x="2199"/>
        <item x="2153"/>
        <item x="1961"/>
        <item x="2076"/>
        <item x="654"/>
        <item x="1295"/>
        <item x="1102"/>
        <item x="1676"/>
        <item x="2168"/>
        <item x="1719"/>
        <item x="1548"/>
        <item x="676"/>
        <item x="1999"/>
        <item x="2191"/>
        <item x="938"/>
        <item x="621"/>
        <item x="1695"/>
        <item x="1467"/>
        <item x="2477"/>
        <item x="2616"/>
        <item x="1378"/>
        <item x="1741"/>
        <item x="668"/>
        <item x="2386"/>
        <item x="2027"/>
        <item x="194"/>
        <item x="2077"/>
        <item x="602"/>
        <item x="434"/>
        <item x="1298"/>
        <item x="2454"/>
        <item x="889"/>
        <item x="1711"/>
        <item x="607"/>
        <item x="2357"/>
        <item x="1167"/>
        <item x="1322"/>
        <item x="191"/>
        <item x="1869"/>
        <item x="828"/>
        <item x="457"/>
        <item x="695"/>
        <item x="1974"/>
        <item x="2192"/>
        <item x="2185"/>
        <item x="2154"/>
        <item x="2152"/>
        <item x="2122"/>
        <item x="1802"/>
        <item x="459"/>
        <item x="1416"/>
        <item x="1374"/>
        <item x="1573"/>
        <item x="1570"/>
        <item x="730"/>
        <item x="222"/>
        <item x="1652"/>
        <item x="1753"/>
        <item x="757"/>
        <item x="87"/>
        <item x="720"/>
        <item x="1056"/>
        <item x="439"/>
        <item x="519"/>
        <item x="1745"/>
        <item x="817"/>
        <item x="244"/>
        <item x="2346"/>
        <item x="1165"/>
        <item x="1938"/>
        <item x="473"/>
        <item x="933"/>
        <item x="1712"/>
        <item x="2288"/>
        <item x="2316"/>
        <item x="1209"/>
        <item x="1367"/>
        <item x="371"/>
        <item x="979"/>
        <item x="802"/>
        <item x="1147"/>
        <item x="2617"/>
        <item x="2618"/>
        <item x="1285"/>
        <item x="2614"/>
        <item x="337"/>
        <item x="553"/>
        <item x="395"/>
        <item x="805"/>
        <item x="2615"/>
        <item x="103"/>
        <item x="1240"/>
        <item x="1257"/>
        <item x="1495"/>
        <item x="1954"/>
        <item x="726"/>
        <item x="2387"/>
        <item x="972"/>
        <item x="877"/>
        <item x="688"/>
        <item x="2193"/>
        <item x="366"/>
        <item x="1048"/>
        <item x="1275"/>
        <item x="2161"/>
        <item x="2440"/>
        <item x="184"/>
        <item x="2317"/>
        <item x="956"/>
        <item x="1866"/>
        <item x="970"/>
        <item x="1744"/>
        <item x="1086"/>
        <item x="1134"/>
        <item x="622"/>
        <item x="537"/>
        <item x="1035"/>
        <item sd="0" x="1931"/>
        <item x="9"/>
        <item x="1187"/>
        <item x="1038"/>
        <item x="655"/>
        <item x="1131"/>
        <item x="680"/>
        <item x="388"/>
        <item x="2322"/>
        <item x="2348"/>
        <item x="1200"/>
        <item x="876"/>
        <item x="2405"/>
        <item x="163"/>
        <item x="1318"/>
        <item x="64"/>
        <item x="947"/>
        <item x="2078"/>
        <item x="2123"/>
        <item x="1790"/>
        <item x="1877"/>
        <item x="1780"/>
        <item x="2417"/>
        <item x="1417"/>
        <item x="31"/>
        <item x="975"/>
        <item x="1302"/>
        <item x="1793"/>
        <item x="1631"/>
        <item x="1653"/>
        <item x="1830"/>
        <item x="1679"/>
        <item x="2524"/>
        <item x="208"/>
        <item x="301"/>
        <item x="666"/>
        <item x="55"/>
        <item x="1766"/>
        <item x="1520"/>
        <item x="1249"/>
        <item x="2445"/>
        <item x="1136"/>
        <item x="1894"/>
        <item x="1803"/>
        <item x="1060"/>
        <item x="1349"/>
        <item x="108"/>
        <item x="298"/>
        <item x="779"/>
        <item x="784"/>
        <item x="783"/>
        <item x="786"/>
        <item x="782"/>
        <item x="785"/>
        <item x="781"/>
        <item x="780"/>
        <item x="788"/>
        <item x="787"/>
        <item x="76"/>
        <item x="1309"/>
        <item x="1942"/>
        <item x="692"/>
        <item x="2041"/>
        <item x="1138"/>
        <item x="595"/>
        <item x="1601"/>
        <item x="2376"/>
        <item x="1222"/>
        <item x="164"/>
        <item x="804"/>
        <item x="1904"/>
        <item x="516"/>
        <item x="1748"/>
        <item x="1566"/>
        <item x="1230"/>
        <item x="209"/>
        <item x="211"/>
        <item x="2079"/>
        <item x="2141"/>
        <item x="1715"/>
        <item x="1139"/>
        <item x="1454"/>
        <item x="1831"/>
        <item x="1092"/>
        <item x="917"/>
        <item x="916"/>
        <item x="412"/>
        <item x="1956"/>
        <item x="35"/>
        <item x="262"/>
        <item x="1515"/>
        <item x="90"/>
        <item x="2394"/>
        <item x="1169"/>
        <item x="1602"/>
        <item x="1691"/>
        <item x="884"/>
        <item x="1292"/>
        <item x="1688"/>
        <item x="1489"/>
        <item x="1674"/>
        <item x="89"/>
        <item x="1328"/>
        <item x="1195"/>
        <item x="1957"/>
        <item x="1945"/>
        <item x="1510"/>
        <item x="1644"/>
        <item x="1598"/>
        <item x="847"/>
        <item x="2080"/>
        <item x="363"/>
        <item x="372"/>
        <item x="556"/>
        <item x="2178"/>
        <item x="756"/>
        <item x="491"/>
        <item x="2546"/>
        <item x="393"/>
        <item x="118"/>
        <item x="1739"/>
        <item x="513"/>
        <item x="902"/>
        <item x="1638"/>
        <item x="1553"/>
        <item x="1804"/>
        <item x="2108"/>
        <item x="1832"/>
        <item x="440"/>
        <item x="505"/>
        <item x="1849"/>
        <item x="777"/>
        <item x="2337"/>
        <item x="2042"/>
        <item x="296"/>
        <item x="1490"/>
        <item x="2149"/>
        <item x="1054"/>
        <item x="39"/>
        <item x="2592"/>
        <item x="1353"/>
        <item x="1623"/>
        <item x="2374"/>
        <item x="1481"/>
        <item x="1933"/>
        <item x="936"/>
        <item x="2540"/>
        <item x="240"/>
        <item x="2561"/>
        <item x="1082"/>
        <item x="1523"/>
        <item x="2334"/>
        <item x="1564"/>
        <item x="567"/>
        <item x="1142"/>
        <item sd="0" x="702"/>
        <item x="1769"/>
        <item x="2243"/>
        <item x="1969"/>
        <item x="2221"/>
        <item x="2432"/>
        <item x="1326"/>
        <item x="206"/>
        <item x="176"/>
        <item x="177"/>
        <item x="421"/>
        <item x="10"/>
        <item x="2244"/>
        <item x="2574"/>
        <item x="1951"/>
        <item x="797"/>
        <item x="1114"/>
        <item x="1115"/>
        <item x="1116"/>
        <item x="1117"/>
        <item x="2496"/>
        <item x="1346"/>
        <item x="1989"/>
        <item x="1861"/>
        <item x="1616"/>
        <item x="424"/>
        <item x="1669"/>
        <item x="2124"/>
        <item x="2081"/>
        <item x="601"/>
        <item x="2575"/>
        <item x="1046"/>
        <item x="831"/>
        <item x="471"/>
        <item x="2125"/>
        <item x="836"/>
        <item x="2411"/>
        <item x="2142"/>
        <item x="2082"/>
        <item x="696"/>
        <item x="1243"/>
        <item x="1516"/>
        <item x="840"/>
        <item x="1672"/>
        <item x="1662"/>
        <item x="1297"/>
        <item x="535"/>
        <item x="485"/>
        <item x="1977"/>
        <item x="2412"/>
        <item x="2204"/>
        <item x="2235"/>
        <item x="1704"/>
        <item x="1579"/>
        <item x="718"/>
        <item x="1370"/>
        <item x="2043"/>
        <item x="1990"/>
        <item x="2543"/>
        <item x="2044"/>
        <item x="2126"/>
        <item x="2613"/>
        <item x="2528"/>
        <item x="1192"/>
        <item x="325"/>
        <item x="1593"/>
        <item x="2368"/>
        <item x="826"/>
        <item x="2379"/>
        <item x="2375"/>
        <item x="1805"/>
        <item x="381"/>
        <item x="85"/>
        <item x="832"/>
        <item x="625"/>
        <item x="479"/>
        <item x="2419"/>
        <item x="2127"/>
        <item x="848"/>
        <item x="629"/>
        <item x="2408"/>
        <item x="1027"/>
        <item x="1500"/>
        <item x="454"/>
        <item sd="0" x="524"/>
        <item x="1716"/>
        <item x="874"/>
        <item x="872"/>
        <item x="873"/>
        <item x="871"/>
        <item x="875"/>
        <item x="138"/>
        <item x="455"/>
        <item x="1618"/>
        <item x="2584"/>
        <item x="2229"/>
        <item x="1850"/>
        <item x="2233"/>
        <item x="1851"/>
        <item x="2200"/>
        <item x="2083"/>
        <item x="16"/>
        <item x="850"/>
        <item x="965"/>
        <item x="449"/>
        <item x="605"/>
        <item x="2084"/>
        <item x="1028"/>
        <item x="1771"/>
        <item x="1055"/>
        <item x="1507"/>
        <item x="1582"/>
        <item x="2140"/>
        <item x="1106"/>
        <item x="2128"/>
        <item x="2399"/>
        <item x="2406"/>
        <item x="326"/>
        <item x="2518"/>
        <item x="2355"/>
        <item x="2541"/>
        <item x="819"/>
        <item x="1645"/>
        <item x="1833"/>
        <item x="1450"/>
        <item x="2234"/>
        <item x="1273"/>
        <item x="1202"/>
        <item x="225"/>
        <item x="527"/>
        <item x="1995"/>
        <item x="767"/>
        <item x="1914"/>
        <item x="2085"/>
        <item x="2526"/>
        <item x="2109"/>
        <item x="1806"/>
        <item x="1943"/>
        <item x="1709"/>
        <item x="1654"/>
        <item x="2242"/>
        <item x="1787"/>
        <item x="1391"/>
        <item x="1456"/>
        <item x="1834"/>
        <item x="673"/>
        <item x="123"/>
        <item x="714"/>
        <item x="586"/>
        <item x="741"/>
        <item x="1359"/>
        <item x="2550"/>
        <item x="2246"/>
        <item x="72"/>
        <item x="67"/>
        <item x="73"/>
        <item x="1239"/>
        <item x="182"/>
        <item x="1303"/>
        <item x="1421"/>
        <item x="1723"/>
        <item x="2194"/>
        <item x="2201"/>
        <item x="2156"/>
        <item x="1944"/>
        <item x="706"/>
        <item x="207"/>
        <item x="2360"/>
        <item x="1632"/>
        <item x="958"/>
        <item x="2381"/>
        <item x="2382"/>
        <item x="2424"/>
        <item x="1023"/>
        <item x="1393"/>
        <item x="293"/>
        <item x="1965"/>
        <item x="1685"/>
        <item x="1177"/>
        <item x="1494"/>
        <item x="2428"/>
        <item x="1019"/>
        <item x="306"/>
        <item x="2384"/>
        <item x="581"/>
        <item x="2332"/>
        <item x="2393"/>
        <item x="2383"/>
        <item x="2290"/>
        <item x="635"/>
        <item x="815"/>
        <item x="2045"/>
        <item x="1696"/>
        <item x="218"/>
        <item x="2423"/>
        <item x="1050"/>
        <item x="1502"/>
        <item x="1544"/>
        <item x="597"/>
        <item x="1006"/>
        <item x="763"/>
        <item x="2016"/>
        <item x="1964"/>
        <item x="1998"/>
        <item x="99"/>
        <item x="2494"/>
        <item x="1269"/>
        <item x="574"/>
        <item x="264"/>
        <item x="238"/>
        <item x="749"/>
        <item x="1578"/>
        <item x="447"/>
        <item x="269"/>
        <item x="2503"/>
        <item x="2181"/>
        <item x="1948"/>
        <item x="1061"/>
        <item x="284"/>
        <item x="361"/>
        <item x="127"/>
        <item x="254"/>
        <item x="490"/>
        <item x="1498"/>
        <item x="1166"/>
        <item x="2232"/>
        <item x="1876"/>
        <item x="709"/>
        <item x="2312"/>
        <item x="330"/>
        <item x="2249"/>
        <item x="542"/>
        <item x="1915"/>
        <item x="2414"/>
        <item x="1572"/>
        <item x="1254"/>
        <item x="1357"/>
        <item x="2407"/>
        <item x="1083"/>
        <item x="1697"/>
        <item x="2170"/>
        <item x="558"/>
        <item x="600"/>
        <item x="214"/>
        <item x="748"/>
        <item x="181"/>
        <item x="1734"/>
        <item x="1997"/>
        <item x="1248"/>
        <item x="1885"/>
        <item x="1274"/>
        <item x="1276"/>
        <item x="2129"/>
        <item x="354"/>
        <item x="1684"/>
        <item x="1968"/>
        <item x="1666"/>
        <item x="304"/>
        <item x="247"/>
        <item x="2271"/>
        <item x="955"/>
        <item x="1365"/>
        <item x="2203"/>
        <item x="430"/>
        <item x="1423"/>
        <item x="1009"/>
        <item x="1382"/>
        <item x="2086"/>
        <item x="2186"/>
        <item x="2157"/>
        <item x="1184"/>
        <item x="229"/>
        <item x="1455"/>
        <item x="2341"/>
        <item x="2289"/>
        <item x="1754"/>
        <item x="1953"/>
        <item x="498"/>
        <item x="95"/>
        <item x="704"/>
        <item x="355"/>
        <item x="168"/>
        <item x="824"/>
        <item x="1987"/>
        <item x="1878"/>
        <item x="2325"/>
        <item x="2087"/>
        <item x="1879"/>
        <item x="2088"/>
        <item x="2010"/>
        <item x="2353"/>
        <item x="913"/>
        <item x="83"/>
        <item x="1434"/>
        <item x="2372"/>
        <item x="2516"/>
        <item x="1634"/>
        <item x="1807"/>
        <item x="1808"/>
        <item x="1852"/>
        <item x="523"/>
        <item x="697"/>
        <item x="502"/>
        <item x="375"/>
        <item x="1759"/>
        <item sd="0" x="1271"/>
        <item x="1272"/>
        <item x="1718"/>
        <item x="1045"/>
        <item x="347"/>
        <item x="2581"/>
        <item x="2567"/>
        <item x="618"/>
        <item x="1728"/>
        <item x="724"/>
        <item x="751"/>
        <item x="2089"/>
        <item x="1144"/>
        <item x="210"/>
        <item x="2335"/>
        <item x="1627"/>
        <item x="1037"/>
        <item x="2054"/>
        <item x="1633"/>
        <item x="2231"/>
        <item x="2226"/>
        <item x="2130"/>
        <item x="1835"/>
        <item x="1699"/>
        <item x="1611"/>
        <item x="1581"/>
        <item x="1902"/>
        <item x="1003"/>
        <item x="253"/>
        <item x="1246"/>
        <item x="2489"/>
        <item x="102"/>
        <item x="693"/>
        <item x="2144"/>
        <item x="1959"/>
        <item x="1588"/>
        <item x="1760"/>
        <item x="798"/>
        <item x="1118"/>
        <item x="1119"/>
        <item x="1120"/>
        <item x="1121"/>
        <item x="1179"/>
        <item sd="0" x="743"/>
        <item x="1667"/>
        <item x="1732"/>
        <item x="1675"/>
        <item x="1836"/>
        <item x="1786"/>
        <item x="1853"/>
        <item x="2240"/>
        <item x="708"/>
        <item x="885"/>
        <item x="1400"/>
        <item x="1919"/>
        <item x="1538"/>
        <item x="2580"/>
        <item x="142"/>
        <item x="725"/>
        <item x="413"/>
        <item x="531"/>
        <item x="758"/>
        <item x="546"/>
        <item x="2493"/>
        <item x="2380"/>
        <item x="2267"/>
        <item x="1554"/>
        <item x="1348"/>
        <item x="849"/>
        <item x="2311"/>
        <item x="2131"/>
        <item x="2110"/>
        <item x="1809"/>
        <item x="2090"/>
        <item x="905"/>
        <item x="2046"/>
        <item x="687"/>
        <item x="698"/>
        <item x="683"/>
        <item x="205"/>
        <item x="1428"/>
        <item x="1398"/>
        <item x="2453"/>
        <item x="540"/>
        <item x="1985"/>
        <item x="671"/>
        <item x="672"/>
        <item x="1343"/>
        <item x="1526"/>
        <item x="2421"/>
        <item x="2420"/>
        <item x="1528"/>
        <item x="1765"/>
        <item x="1810"/>
        <item x="1639"/>
        <item x="1862"/>
        <item x="1603"/>
        <item x="1571"/>
        <item x="2091"/>
        <item x="623"/>
        <item sd="0" x="1262"/>
        <item x="2549"/>
        <item x="285"/>
        <item x="1837"/>
        <item x="1624"/>
        <item x="851"/>
        <item x="481"/>
        <item x="2463"/>
        <item x="340"/>
        <item x="1033"/>
        <item x="2562"/>
        <item x="2263"/>
        <item x="316"/>
        <item x="1935"/>
        <item x="1068"/>
        <item x="1030"/>
        <item x="859"/>
        <item x="1524"/>
        <item x="1379"/>
        <item x="2047"/>
        <item x="1686"/>
        <item x="314"/>
        <item x="1909"/>
        <item x="1078"/>
        <item x="158"/>
        <item x="309"/>
        <item x="562"/>
        <item x="1265"/>
        <item x="276"/>
        <item x="1182"/>
        <item x="723"/>
        <item x="467"/>
        <item x="834"/>
        <item x="998"/>
        <item x="2605"/>
        <item x="332"/>
        <item x="1898"/>
        <item x="1013"/>
        <item x="1161"/>
        <item sd="0" x="944"/>
        <item x="425"/>
        <item x="559"/>
        <item x="1530"/>
        <item x="1583"/>
        <item x="584"/>
        <item x="1811"/>
        <item x="1854"/>
        <item x="2028"/>
        <item x="492"/>
        <item x="722"/>
        <item x="1921"/>
        <item x="1306"/>
        <item x="1156"/>
        <item x="663"/>
        <item x="1635"/>
        <item x="2555"/>
        <item x="2198"/>
        <item x="2048"/>
        <item x="1640"/>
        <item x="2538"/>
        <item x="358"/>
        <item x="1911"/>
        <item x="2012"/>
        <item sd="0" x="1137"/>
        <item x="58"/>
        <item x="1330"/>
        <item x="2539"/>
        <item x="1883"/>
        <item x="2306"/>
        <item x="1670"/>
        <item x="1024"/>
        <item x="882"/>
        <item x="1074"/>
        <item x="612"/>
        <item x="1812"/>
        <item x="547"/>
        <item x="2278"/>
        <item x="549"/>
        <item x="250"/>
        <item x="406"/>
        <item x="2536"/>
        <item x="2092"/>
        <item x="486"/>
        <item x="1064"/>
        <item x="1323"/>
        <item x="1228"/>
        <item sd="0" x="1108"/>
        <item x="1072"/>
        <item x="959"/>
        <item x="919"/>
        <item x="1089"/>
        <item x="820"/>
        <item x="2281"/>
        <item x="1889"/>
        <item x="2604"/>
        <item x="1687"/>
        <item x="1838"/>
        <item x="1109"/>
        <item x="1012"/>
        <item x="1906"/>
        <item x="762"/>
        <item x="707"/>
        <item x="1130"/>
        <item x="1312"/>
        <item x="415"/>
        <item x="1308"/>
        <item x="1891"/>
        <item x="428"/>
        <item x="2049"/>
        <item x="1941"/>
        <item x="886"/>
        <item x="2093"/>
        <item x="2050"/>
        <item x="1702"/>
        <item x="1655"/>
        <item x="2344"/>
        <item x="185"/>
        <item x="1020"/>
        <item x="811"/>
        <item x="634"/>
        <item x="365"/>
        <item x="1007"/>
        <item x="526"/>
        <item x="321"/>
        <item x="995"/>
        <item x="999"/>
        <item x="1950"/>
        <item x="1250"/>
        <item sd="0" x="1268"/>
        <item x="2530"/>
        <item x="637"/>
        <item x="890"/>
        <item x="1342"/>
        <item x="1211"/>
        <item x="761"/>
        <item x="2455"/>
        <item x="1776"/>
        <item x="648"/>
        <item x="1075"/>
        <item x="433"/>
        <item x="245"/>
        <item x="461"/>
        <item x="1613"/>
        <item x="1525"/>
        <item x="1104"/>
        <item x="2573"/>
        <item x="1373"/>
        <item x="545"/>
        <item x="2202"/>
        <item x="2155"/>
        <item x="2009"/>
        <item x="12"/>
        <item x="1908"/>
        <item x="1231"/>
        <item x="993"/>
        <item x="1813"/>
        <item x="2339"/>
        <item x="799"/>
        <item x="1110"/>
        <item x="1111"/>
        <item x="1112"/>
        <item x="1113"/>
        <item x="1168"/>
        <item x="437"/>
        <item x="812"/>
        <item x="1920"/>
        <item x="1446"/>
        <item x="1473"/>
        <item x="42"/>
        <item x="2400"/>
        <item x="1397"/>
        <item x="667"/>
        <item x="283"/>
        <item x="699"/>
        <item x="2237"/>
        <item x="2111"/>
        <item x="2329"/>
        <item x="1814"/>
        <item x="750"/>
        <item x="2250"/>
        <item x="368"/>
        <item x="398"/>
        <item x="1469"/>
        <item x="1282"/>
        <item x="1261"/>
        <item x="1463"/>
        <item x="432"/>
        <item x="2460"/>
        <item x="1453"/>
        <item x="2162"/>
        <item x="1478"/>
        <item x="1266"/>
        <item x="472"/>
        <item x="2210"/>
        <item x="770"/>
        <item sd="0" x="324"/>
        <item x="234"/>
        <item x="497"/>
        <item x="384"/>
        <item x="608"/>
        <item x="427"/>
        <item x="1011"/>
        <item x="1305"/>
        <item x="1044"/>
        <item x="339"/>
        <item x="1105"/>
        <item sd="0" x="1093"/>
        <item x="17"/>
        <item x="1636"/>
        <item x="2553"/>
        <item x="139"/>
        <item x="2270"/>
        <item x="1219"/>
        <item x="370"/>
        <item x="807"/>
        <item x="569"/>
        <item x="937"/>
        <item x="579"/>
        <item x="1863"/>
        <item x="1839"/>
        <item x="215"/>
        <item x="1899"/>
        <item x="755"/>
        <item x="2521"/>
        <item x="96"/>
        <item x="1815"/>
        <item x="2531"/>
        <item x="2014"/>
        <item x="2527"/>
        <item x="989"/>
        <item x="246"/>
        <item x="1577"/>
        <item x="1132"/>
        <item x="1459"/>
        <item sd="0" x="1726"/>
        <item sd="0" x="1518"/>
        <item x="488"/>
        <item x="931"/>
        <item x="731"/>
        <item x="630"/>
        <item x="277"/>
        <item x="1340"/>
        <item x="852"/>
        <item x="2286"/>
        <item x="1816"/>
        <item x="1289"/>
        <item x="2011"/>
        <item x="1201"/>
        <item x="641"/>
        <item x="1521"/>
        <item x="2310"/>
        <item x="114"/>
        <item x="596"/>
        <item x="357"/>
        <item x="893"/>
        <item x="1314"/>
        <item x="736"/>
        <item x="2449"/>
        <item x="1864"/>
        <item x="1789"/>
        <item x="1589"/>
        <item x="152"/>
        <item x="1872"/>
        <item x="476"/>
        <item x="469"/>
        <item x="2520"/>
        <item x="538"/>
        <item x="1556"/>
        <item x="1143"/>
        <item x="994"/>
        <item x="703"/>
        <item x="880"/>
        <item x="48"/>
        <item x="1871"/>
        <item x="2252"/>
        <item x="1870"/>
        <item x="1315"/>
        <item x="1420"/>
        <item x="392"/>
        <item x="2535"/>
        <item x="295"/>
        <item x="1242"/>
        <item x="2608"/>
        <item x="689"/>
        <item x="200"/>
        <item x="1988"/>
        <item x="11"/>
        <item x="1317"/>
        <item x="1059"/>
        <item x="2426"/>
        <item x="1153"/>
        <item x="816"/>
        <item x="1501"/>
        <item x="587"/>
        <item x="259"/>
        <item x="643"/>
        <item x="1625"/>
        <item x="1922"/>
        <item x="154"/>
        <item x="92"/>
        <item x="1681"/>
        <item x="1929"/>
        <item x="961"/>
        <item x="26"/>
        <item x="988"/>
        <item x="1756"/>
        <item x="813"/>
        <item x="2006"/>
        <item x="1986"/>
        <item x="350"/>
        <item x="1208"/>
        <item x="1386"/>
        <item x="216"/>
        <item x="451"/>
        <item x="2132"/>
        <item x="2112"/>
        <item x="1991"/>
        <item x="1597"/>
        <item x="173"/>
        <item x="2291"/>
        <item x="729"/>
        <item x="2475"/>
        <item x="1817"/>
        <item x="2228"/>
        <item x="1855"/>
        <item x="1449"/>
        <item x="1973"/>
        <item x="1534"/>
        <item x="1018"/>
        <item x="1430"/>
        <item x="1905"/>
        <item x="1310"/>
        <item x="1005"/>
        <item x="2255"/>
        <item x="79"/>
        <item x="628"/>
        <item x="921"/>
        <item x="644"/>
        <item x="1707"/>
        <item x="1609"/>
        <item x="1599"/>
        <item x="7"/>
        <item x="1865"/>
        <item x="1252"/>
        <item x="80"/>
        <item x="51"/>
        <item x="853"/>
        <item x="1678"/>
        <item x="1680"/>
        <item x="1682"/>
        <item x="2224"/>
        <item x="1610"/>
        <item x="68"/>
        <item x="1912"/>
        <item x="854"/>
        <item x="705"/>
        <item x="952"/>
        <item x="997"/>
        <item x="771"/>
        <item x="589"/>
        <item x="1076"/>
        <item x="346"/>
        <item x="47"/>
        <item x="1671"/>
        <item x="2133"/>
        <item x="1818"/>
        <item x="1700"/>
        <item x="2055"/>
        <item x="2175"/>
        <item x="918"/>
        <item x="1975"/>
        <item x="837"/>
        <item x="1656"/>
        <item x="94"/>
        <item x="677"/>
        <item x="1785"/>
        <item x="1595"/>
        <item x="1441"/>
        <item x="1551"/>
        <item x="2180"/>
        <item x="1552"/>
        <item x="1967"/>
        <item x="1542"/>
        <item x="2607"/>
        <item x="585"/>
        <item x="2247"/>
        <item x="1157"/>
        <item x="734"/>
        <item sd="0" x="1237"/>
        <item x="2340"/>
        <item x="990"/>
        <item x="489"/>
        <item x="2212"/>
        <item x="1356"/>
        <item x="1025"/>
        <item x="1981"/>
        <item x="2196"/>
        <item sd="0" x="888"/>
        <item x="268"/>
        <item x="167"/>
        <item sd="0" x="494"/>
        <item x="2352"/>
        <item x="290"/>
        <item x="130"/>
        <item x="2515"/>
        <item x="2222"/>
        <item x="305"/>
        <item x="866"/>
        <item x="56"/>
        <item x="2610"/>
        <item x="1491"/>
        <item x="878"/>
        <item x="1856"/>
        <item sd="0" x="640"/>
        <item x="609"/>
        <item x="313"/>
        <item x="418"/>
        <item x="1413"/>
        <item sd="0" x="343"/>
        <item x="971"/>
        <item x="376"/>
        <item x="15"/>
        <item x="715"/>
        <item x="1029"/>
        <item x="227"/>
        <item x="128"/>
        <item x="2013"/>
        <item x="2266"/>
        <item x="52"/>
        <item x="2517"/>
        <item x="928"/>
        <item x="2025"/>
        <item x="2094"/>
        <item x="2472"/>
        <item x="2145"/>
        <item x="119"/>
        <item x="1545"/>
        <item x="465"/>
        <item x="2277"/>
        <item x="2302"/>
        <item x="1960"/>
        <item x="895"/>
        <item x="1575"/>
        <item x="2590"/>
        <item x="369"/>
        <item x="450"/>
        <item x="1874"/>
        <item x="501"/>
        <item x="1952"/>
        <item x="1079"/>
        <item sd="0" x="521"/>
        <item x="5"/>
        <item x="1216"/>
        <item x="1457"/>
        <item x="2051"/>
        <item x="1619"/>
        <item x="2052"/>
        <item x="1714"/>
        <item x="864"/>
        <item x="572"/>
        <item x="2501"/>
        <item x="1486"/>
        <item x="2395"/>
        <item x="2572"/>
        <item x="1475"/>
        <item x="315"/>
        <item x="1279"/>
        <item x="1620"/>
        <item x="1360"/>
        <item x="219"/>
        <item x="1371"/>
        <item x="2552"/>
        <item x="2514"/>
        <item x="2209"/>
        <item x="2425"/>
        <item x="2603"/>
        <item x="196"/>
        <item x="2443"/>
        <item x="1758"/>
        <item x="274"/>
        <item x="2269"/>
        <item x="367"/>
        <item x="386"/>
        <item x="2404"/>
        <item x="379"/>
        <item x="100"/>
        <item x="1016"/>
        <item x="1234"/>
        <item x="522"/>
        <item x="1341"/>
        <item x="1345"/>
        <item x="1181"/>
        <item x="2134"/>
        <item x="228"/>
        <item x="903"/>
        <item x="2560"/>
        <item x="806"/>
        <item x="732"/>
        <item x="198"/>
        <item x="2359"/>
        <item x="179"/>
        <item x="619"/>
        <item x="2369"/>
        <item x="446"/>
        <item x="2598"/>
        <item x="1927"/>
        <item x="721"/>
        <item x="2470"/>
        <item x="2172"/>
        <item x="2163"/>
        <item x="300"/>
        <item x="107"/>
        <item x="405"/>
        <item x="1923"/>
        <item x="2349"/>
        <item x="2484"/>
        <item x="32"/>
        <item x="814"/>
        <item x="2576"/>
        <item x="157"/>
        <item x="1186"/>
        <item x="323"/>
        <item x="322"/>
        <item x="1287"/>
        <item x="2512"/>
        <item x="1286"/>
        <item x="1529"/>
        <item x="2095"/>
        <item x="75"/>
        <item x="2466"/>
        <item x="2529"/>
        <item x="1772"/>
        <item x="2262"/>
        <item x="661"/>
        <item x="2510"/>
        <item sd="0" x="2446"/>
        <item x="145"/>
        <item x="682"/>
        <item x="1332"/>
        <item x="855"/>
        <item x="1140"/>
        <item x="62"/>
        <item x="217"/>
        <item x="1555"/>
        <item x="825"/>
        <item x="192"/>
        <item x="1750"/>
        <item x="2427"/>
        <item x="593"/>
        <item x="735"/>
        <item x="2135"/>
        <item x="2301"/>
        <item x="2096"/>
        <item x="2303"/>
        <item x="900"/>
        <item x="1293"/>
        <item x="1369"/>
        <item x="2485"/>
        <item x="986"/>
        <item x="2442"/>
        <item x="1783"/>
        <item x="1558"/>
        <item x="1497"/>
        <item x="2488"/>
        <item x="737"/>
        <item x="1527"/>
        <item x="1773"/>
        <item x="1774"/>
        <item x="1775"/>
        <item x="2177"/>
        <item x="598"/>
        <item x="1717"/>
        <item x="727"/>
        <item x="414"/>
        <item x="389"/>
        <item x="940"/>
        <item x="2396"/>
        <item x="2313"/>
        <item x="1333"/>
        <item x="2537"/>
        <item x="2378"/>
        <item x="54"/>
        <item x="53"/>
        <item x="2430"/>
        <item x="40"/>
        <item x="1057"/>
        <item x="544"/>
        <item x="2523"/>
        <item x="302"/>
        <item x="1978"/>
        <item x="36"/>
        <item x="1663"/>
        <item x="1563"/>
        <item x="790"/>
        <item x="137"/>
        <item x="146"/>
        <item x="554"/>
        <item x="2283"/>
        <item x="2282"/>
        <item x="477"/>
        <item x="136"/>
        <item x="1337"/>
        <item x="1499"/>
        <item x="1247"/>
        <item x="2492"/>
        <item x="624"/>
        <item x="162"/>
        <item x="310"/>
        <item x="660"/>
        <item x="982"/>
        <item x="823"/>
        <item x="1677"/>
        <item x="1628"/>
        <item sd="0" x="1422"/>
        <item x="2007"/>
        <item x="390"/>
        <item x="1565"/>
        <item x="924"/>
        <item x="638"/>
        <item x="1244"/>
        <item x="1483"/>
        <item x="1913"/>
        <item x="948"/>
        <item x="267"/>
        <item x="258"/>
        <item x="2478"/>
        <item x="2480"/>
        <item x="338"/>
        <item x="187"/>
        <item x="2292"/>
        <item x="2208"/>
        <item x="570"/>
        <item x="968"/>
        <item x="658"/>
        <item x="1543"/>
        <item x="2136"/>
        <item x="1751"/>
        <item x="2320"/>
        <item x="2097"/>
        <item x="2570"/>
        <item x="1022"/>
        <item x="1366"/>
        <item x="116"/>
        <item x="1819"/>
        <item x="1418"/>
        <item x="1574"/>
        <item sd="0" x="744"/>
        <item x="1512"/>
        <item x="1703"/>
        <item x="1840"/>
        <item x="2599"/>
        <item x="794"/>
        <item x="2315"/>
        <item x="2314"/>
        <item x="1888"/>
        <item x="1103"/>
        <item x="104"/>
        <item x="1338"/>
        <item x="349"/>
        <item x="1451"/>
        <item x="2390"/>
        <item x="1152"/>
        <item x="2274"/>
        <item x="171"/>
        <item x="733"/>
        <item x="561"/>
        <item x="220"/>
        <item x="1841"/>
        <item x="517"/>
        <item x="2416"/>
        <item x="0"/>
        <item x="510"/>
        <item x="1241"/>
        <item x="1085"/>
        <item x="566"/>
        <item x="746"/>
        <item x="747"/>
        <item x="800"/>
        <item x="1126"/>
        <item x="1125"/>
        <item x="1127"/>
        <item x="1128"/>
        <item x="1514"/>
        <item x="134"/>
        <item x="2471"/>
        <item x="1095"/>
        <item x="1021"/>
        <item sd="0" x="898"/>
        <item x="271"/>
        <item x="1426"/>
        <item x="2370"/>
        <item x="2507"/>
        <item x="891"/>
        <item x="2265"/>
        <item x="1193"/>
        <item x="1887"/>
        <item x="923"/>
        <item x="977"/>
        <item x="1204"/>
        <item x="1215"/>
        <item x="507"/>
        <item x="856"/>
        <item x="1077"/>
        <item sd="0" x="1094"/>
        <item x="2534"/>
        <item x="2469"/>
        <item x="1155"/>
        <item x="106"/>
        <item x="752"/>
        <item x="1881"/>
        <item x="484"/>
        <item x="1936"/>
        <item x="140"/>
        <item sd="0" x="592"/>
        <item sd="0" x="857"/>
        <item x="969"/>
        <item x="2053"/>
        <item x="1229"/>
        <item x="2611"/>
        <item x="2205"/>
        <item x="2585"/>
        <item x="2173"/>
        <item x="1492"/>
        <item x="1466"/>
        <item x="530"/>
        <item x="197"/>
        <item x="1934"/>
        <item x="1277"/>
        <item x="400"/>
        <item x="728"/>
        <item x="2253"/>
        <item x="829"/>
        <item x="396"/>
        <item x="506"/>
        <item x="2364"/>
        <item x="954"/>
        <item x="1917"/>
        <item x="2056"/>
        <item x="960"/>
        <item x="2159"/>
        <item x="1955"/>
        <item x="13"/>
        <item x="1363"/>
        <item x="2008"/>
        <item x="1721"/>
        <item x="2188"/>
        <item x="2187"/>
        <item x="2179"/>
        <item x="1015"/>
        <item x="1010"/>
        <item x="2500"/>
        <item x="1452"/>
        <item x="1725"/>
        <item x="1722"/>
        <item x="1890"/>
        <item x="1375"/>
        <item x="662"/>
        <item x="2018"/>
        <item x="81"/>
        <item x="2327"/>
        <item x="1958"/>
        <item x="627"/>
        <item x="1199"/>
        <item x="122"/>
        <item x="2273"/>
        <item x="830"/>
        <item x="679"/>
        <item x="652"/>
        <item x="617"/>
        <item x="669"/>
        <item x="1820"/>
        <item x="2022"/>
        <item x="1017"/>
        <item x="460"/>
        <item x="2415"/>
        <item x="1537"/>
        <item x="397"/>
        <item x="2486"/>
        <item x="2468"/>
        <item x="1191"/>
        <item x="1159"/>
        <item x="2452"/>
        <item x="1190"/>
        <item x="1214"/>
        <item x="983"/>
        <item x="2456"/>
        <item x="109"/>
        <item x="514"/>
        <item x="342"/>
        <item x="2558"/>
        <item x="769"/>
        <item x="256"/>
        <item x="2137"/>
        <item x="2280"/>
        <item x="1203"/>
        <item x="2295"/>
        <item x="462"/>
        <item x="2098"/>
        <item x="604"/>
        <item x="2522"/>
        <item x="1218"/>
        <item x="1207"/>
        <item x="838"/>
        <item x="1196"/>
        <item x="1757"/>
        <item x="230"/>
        <item x="773"/>
        <item x="1001"/>
        <item x="148"/>
        <item x="2099"/>
        <item x="1472"/>
        <item x="1471"/>
        <item x="458"/>
        <item x="610"/>
        <item x="1743"/>
        <item x="1031"/>
        <item x="1172"/>
        <item x="2214"/>
        <item x="1657"/>
        <item x="1842"/>
        <item x="2499"/>
        <item x="1821"/>
        <item x="1755"/>
        <item x="2279"/>
        <item x="1822"/>
        <item x="1727"/>
        <item x="2100"/>
        <item x="2057"/>
        <item x="1053"/>
        <item x="303"/>
        <item x="887"/>
        <item x="2473"/>
        <item x="374"/>
        <item x="774"/>
        <item x="614"/>
        <item x="1329"/>
        <item x="2238"/>
        <item x="1629"/>
        <item x="1693"/>
        <item x="2146"/>
        <item x="345"/>
        <item x="1004"/>
        <item x="985"/>
        <item x="1462"/>
        <item x="105"/>
        <item x="1513"/>
        <item x="115"/>
        <item x="141"/>
        <item x="1983"/>
        <item x="551"/>
        <item x="1256"/>
        <item x="1539"/>
        <item x="383"/>
        <item x="1857"/>
        <item x="2588"/>
        <item x="865"/>
        <item x="21"/>
        <item x="2377"/>
        <item x="452"/>
        <item x="1918"/>
        <item x="2101"/>
        <item x="1792"/>
        <item x="1880"/>
        <item x="1294"/>
        <item x="1319"/>
        <item x="1445"/>
        <item x="112"/>
        <item x="2207"/>
        <item x="575"/>
        <item x="1698"/>
        <item x="2319"/>
        <item x="759"/>
        <item x="827"/>
        <item x="2565"/>
        <item x="1210"/>
        <item x="768"/>
        <item x="2220"/>
        <item x="443"/>
        <item x="1858"/>
        <item x="1584"/>
        <item x="239"/>
        <item x="2215"/>
        <item x="2422"/>
        <item x="1439"/>
        <item x="2504"/>
        <item x="2479"/>
        <item x="2563"/>
        <item x="2481"/>
        <item x="2564"/>
        <item x="93"/>
        <item x="126"/>
        <item x="1505"/>
        <item x="1084"/>
        <item x="717"/>
        <item x="1163"/>
        <item sd="0" x="385"/>
        <item x="1150"/>
        <item x="1014"/>
        <item x="2450"/>
        <item x="2474"/>
        <item x="299"/>
        <item x="1532"/>
        <item x="694"/>
        <item x="1557"/>
        <item x="665"/>
        <item x="37"/>
        <item x="1764"/>
        <item x="2373"/>
        <item x="1331"/>
        <item x="1296"/>
        <item x="1081"/>
        <item x="20"/>
        <item x="410"/>
        <item x="922"/>
        <item x="19"/>
        <item x="1897"/>
        <item x="1646"/>
        <item x="1096"/>
        <item x="920"/>
        <item x="242"/>
        <item x="1233"/>
        <item x="651"/>
        <item x="282"/>
        <item x="1036"/>
        <item x="319"/>
        <item x="1403"/>
        <item x="195"/>
        <item x="1410"/>
        <item x="1406"/>
        <item x="318"/>
        <item x="1404"/>
        <item x="1407"/>
        <item x="1402"/>
        <item x="1408"/>
        <item x="2482"/>
        <item x="320"/>
        <item x="1409"/>
        <item x="1411"/>
        <item x="1412"/>
        <item x="1405"/>
        <item x="1586"/>
        <item x="1996"/>
        <item x="1781"/>
        <item x="2102"/>
        <item x="2103"/>
        <item x="2139"/>
        <item x="249"/>
        <item x="1436"/>
        <item x="1368"/>
        <item x="23"/>
        <item x="1770"/>
        <item x="557"/>
        <item x="690"/>
        <item x="411"/>
        <item x="1263"/>
        <item x="2431"/>
        <item x="808"/>
        <item x="2433"/>
        <item x="456"/>
        <item x="1868"/>
        <item x="2324"/>
        <item x="2323"/>
        <item x="935"/>
        <item x="1746"/>
        <item x="1886"/>
        <item x="1270"/>
        <item x="1267"/>
        <item x="2058"/>
        <item x="1604"/>
        <item x="1435"/>
        <item x="178"/>
        <item x="117"/>
        <item x="144"/>
        <item x="84"/>
        <item x="41"/>
        <item x="43"/>
        <item x="946"/>
        <item x="684"/>
        <item x="2343"/>
        <item x="1361"/>
        <item x="1447"/>
        <item x="1823"/>
        <item x="1641"/>
        <item x="1101"/>
        <item x="2351"/>
        <item x="280"/>
        <item x="1198"/>
        <item x="1174"/>
        <item x="495"/>
        <item x="1731"/>
        <item sd="0" x="594"/>
        <item x="1070"/>
        <item x="841"/>
        <item x="2330"/>
        <item x="753"/>
        <item x="1194"/>
        <item x="739"/>
        <item x="588"/>
        <item x="2448"/>
        <item x="1364"/>
        <item x="34"/>
        <item x="231"/>
        <item x="2005"/>
        <item x="858"/>
        <item x="69"/>
        <item x="1724"/>
        <item x="2568"/>
        <item x="657"/>
        <item x="2459"/>
        <item x="2213"/>
        <item x="270"/>
        <item x="2059"/>
        <item x="2184"/>
        <item x="1710"/>
        <item x="716"/>
        <item x="911"/>
        <item x="2557"/>
        <item x="1245"/>
        <item x="631"/>
        <item sd="0" x="1424"/>
        <item x="1073"/>
        <item x="2439"/>
        <item x="243"/>
        <item x="88"/>
        <item x="1380"/>
        <item x="2328"/>
        <item x="511"/>
        <item x="1260"/>
        <item x="353"/>
        <item x="2401"/>
        <item x="202"/>
        <item x="2505"/>
        <item x="241"/>
        <item x="1264"/>
        <item x="235"/>
        <item x="1606"/>
        <item x="2602"/>
        <item x="1183"/>
        <item x="504"/>
        <item x="869"/>
        <item x="951"/>
        <item x="1000"/>
        <item x="966"/>
        <item x="1925"/>
        <item x="1736"/>
        <item x="1901"/>
        <item x="927"/>
        <item x="1390"/>
        <item x="291"/>
        <item x="1162"/>
        <item x="1875"/>
        <item x="2577"/>
        <item x="1258"/>
        <item sd="0" x="1377"/>
        <item x="2609"/>
        <item x="1185"/>
        <item x="712"/>
        <item x="474"/>
        <item x="125"/>
        <item x="1350"/>
        <item x="2023"/>
        <item x="1549"/>
        <item x="675"/>
        <item x="1508"/>
        <item x="1129"/>
        <item x="907"/>
        <item x="2000"/>
        <item x="1972"/>
        <item x="402"/>
        <item sd="0" x="1376"/>
        <item x="976"/>
        <item sd="0" x="30"/>
        <item x="1427"/>
        <item x="288"/>
        <item x="901"/>
        <item x="1352"/>
        <item x="1224"/>
        <item x="391"/>
        <item sd="0" x="1470"/>
        <item x="475"/>
        <item x="973"/>
        <item x="2544"/>
        <item x="2545"/>
        <item x="1401"/>
        <item x="1668"/>
        <item x="1605"/>
        <item x="2371"/>
        <item x="1433"/>
        <item x="49"/>
        <item x="1690"/>
        <item x="1706"/>
        <item x="362"/>
        <item x="863"/>
        <item x="647"/>
        <item x="2525"/>
        <item x="778"/>
        <item x="2218"/>
        <item x="984"/>
        <item x="1824"/>
        <item x="2104"/>
        <item x="953"/>
        <item x="980"/>
        <item x="403"/>
        <item x="1895"/>
        <item x="645"/>
        <item x="2307"/>
        <item x="939"/>
        <item x="2060"/>
        <item x="2138"/>
        <item x="2259"/>
        <item x="160"/>
        <item x="2389"/>
        <item x="1519"/>
        <item x="1585"/>
        <item x="1225"/>
        <item x="822"/>
        <item x="2619"/>
        <item sd="0" x="1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346">
        <item x="322"/>
        <item x="271"/>
        <item x="221"/>
        <item x="210"/>
        <item x="141"/>
        <item x="237"/>
        <item x="81"/>
        <item x="156"/>
        <item x="69"/>
        <item x="50"/>
        <item x="178"/>
        <item x="224"/>
        <item x="317"/>
        <item x="320"/>
        <item x="263"/>
        <item x="73"/>
        <item x="66"/>
        <item x="59"/>
        <item x="283"/>
        <item x="194"/>
        <item x="17"/>
        <item x="245"/>
        <item x="118"/>
        <item x="54"/>
        <item x="174"/>
        <item x="243"/>
        <item x="242"/>
        <item x="198"/>
        <item x="175"/>
        <item x="31"/>
        <item x="172"/>
        <item x="304"/>
        <item x="114"/>
        <item x="137"/>
        <item x="341"/>
        <item x="318"/>
        <item x="246"/>
        <item x="100"/>
        <item x="324"/>
        <item x="332"/>
        <item x="293"/>
        <item x="129"/>
        <item x="277"/>
        <item x="80"/>
        <item x="275"/>
        <item x="273"/>
        <item x="240"/>
        <item x="74"/>
        <item x="33"/>
        <item x="241"/>
        <item x="278"/>
        <item x="336"/>
        <item x="28"/>
        <item x="306"/>
        <item x="9"/>
        <item x="131"/>
        <item x="116"/>
        <item x="135"/>
        <item x="253"/>
        <item x="298"/>
        <item x="310"/>
        <item x="32"/>
        <item x="280"/>
        <item x="299"/>
        <item x="127"/>
        <item x="130"/>
        <item x="155"/>
        <item x="191"/>
        <item x="96"/>
        <item x="268"/>
        <item x="101"/>
        <item x="334"/>
        <item x="314"/>
        <item x="157"/>
        <item x="231"/>
        <item x="23"/>
        <item x="229"/>
        <item x="193"/>
        <item x="267"/>
        <item x="103"/>
        <item x="139"/>
        <item x="226"/>
        <item x="274"/>
        <item x="65"/>
        <item x="64"/>
        <item x="216"/>
        <item x="227"/>
        <item x="183"/>
        <item x="97"/>
        <item x="337"/>
        <item x="342"/>
        <item x="235"/>
        <item x="311"/>
        <item x="266"/>
        <item x="292"/>
        <item x="51"/>
        <item x="82"/>
        <item x="125"/>
        <item x="208"/>
        <item x="38"/>
        <item x="44"/>
        <item x="10"/>
        <item x="58"/>
        <item x="70"/>
        <item x="335"/>
        <item x="303"/>
        <item sd="0" x="87"/>
        <item x="176"/>
        <item x="136"/>
        <item x="222"/>
        <item x="53"/>
        <item m="1" x="344"/>
        <item x="161"/>
        <item x="107"/>
        <item x="217"/>
        <item x="255"/>
        <item x="340"/>
        <item x="264"/>
        <item x="316"/>
        <item x="124"/>
        <item x="321"/>
        <item x="331"/>
        <item x="77"/>
        <item x="327"/>
        <item x="339"/>
        <item x="192"/>
        <item x="287"/>
        <item x="236"/>
        <item x="91"/>
        <item x="90"/>
        <item x="212"/>
        <item x="247"/>
        <item x="42"/>
        <item x="56"/>
        <item x="6"/>
        <item x="8"/>
        <item x="290"/>
        <item x="106"/>
        <item x="328"/>
        <item x="12"/>
        <item x="301"/>
        <item x="179"/>
        <item x="111"/>
        <item x="196"/>
        <item x="163"/>
        <item x="154"/>
        <item x="30"/>
        <item x="319"/>
        <item x="117"/>
        <item x="195"/>
        <item x="239"/>
        <item x="251"/>
        <item x="21"/>
        <item x="180"/>
        <item x="211"/>
        <item x="46"/>
        <item x="285"/>
        <item x="109"/>
        <item x="220"/>
        <item x="84"/>
        <item x="79"/>
        <item x="14"/>
        <item x="85"/>
        <item x="52"/>
        <item x="102"/>
        <item x="165"/>
        <item x="197"/>
        <item x="181"/>
        <item x="166"/>
        <item x="305"/>
        <item x="173"/>
        <item x="138"/>
        <item x="75"/>
        <item x="153"/>
        <item x="187"/>
        <item x="190"/>
        <item x="201"/>
        <item x="110"/>
        <item x="309"/>
        <item x="326"/>
        <item x="61"/>
        <item x="48"/>
        <item x="145"/>
        <item x="47"/>
        <item x="0"/>
        <item x="261"/>
        <item x="158"/>
        <item x="121"/>
        <item x="89"/>
        <item x="167"/>
        <item x="313"/>
        <item x="37"/>
        <item x="15"/>
        <item sd="0" x="60"/>
        <item sd="0" x="22"/>
        <item sd="0" x="7"/>
        <item x="209"/>
        <item x="260"/>
        <item x="108"/>
        <item x="144"/>
        <item x="250"/>
        <item x="259"/>
        <item x="164"/>
        <item x="148"/>
        <item x="76"/>
        <item x="62"/>
        <item x="123"/>
        <item x="152"/>
        <item x="168"/>
        <item x="94"/>
        <item x="72"/>
        <item x="256"/>
        <item x="232"/>
        <item x="55"/>
        <item x="147"/>
        <item x="291"/>
        <item x="284"/>
        <item x="3"/>
        <item x="5"/>
        <item x="68"/>
        <item x="202"/>
        <item x="128"/>
        <item x="281"/>
        <item x="34"/>
        <item x="214"/>
        <item x="308"/>
        <item x="295"/>
        <item x="132"/>
        <item x="119"/>
        <item x="252"/>
        <item x="329"/>
        <item x="338"/>
        <item x="254"/>
        <item x="177"/>
        <item x="140"/>
        <item x="19"/>
        <item x="207"/>
        <item x="223"/>
        <item x="169"/>
        <item x="146"/>
        <item x="272"/>
        <item x="219"/>
        <item x="115"/>
        <item x="142"/>
        <item x="29"/>
        <item x="171"/>
        <item x="296"/>
        <item x="315"/>
        <item x="330"/>
        <item x="122"/>
        <item x="159"/>
        <item x="13"/>
        <item x="276"/>
        <item x="25"/>
        <item x="162"/>
        <item x="150"/>
        <item x="288"/>
        <item x="189"/>
        <item x="184"/>
        <item x="185"/>
        <item x="258"/>
        <item x="27"/>
        <item x="20"/>
        <item x="26"/>
        <item x="160"/>
        <item x="57"/>
        <item x="95"/>
        <item x="325"/>
        <item x="143"/>
        <item x="98"/>
        <item x="4"/>
        <item x="18"/>
        <item x="63"/>
        <item x="286"/>
        <item x="282"/>
        <item x="248"/>
        <item x="170"/>
        <item x="71"/>
        <item x="269"/>
        <item x="182"/>
        <item x="105"/>
        <item x="24"/>
        <item x="203"/>
        <item x="99"/>
        <item x="43"/>
        <item x="92"/>
        <item x="233"/>
        <item x="151"/>
        <item x="67"/>
        <item x="16"/>
        <item x="244"/>
        <item x="228"/>
        <item x="2"/>
        <item x="49"/>
        <item sd="0" x="11"/>
        <item x="297"/>
        <item x="133"/>
        <item x="199"/>
        <item x="149"/>
        <item x="234"/>
        <item x="45"/>
        <item x="249"/>
        <item x="238"/>
        <item x="83"/>
        <item x="333"/>
        <item x="294"/>
        <item x="39"/>
        <item x="112"/>
        <item x="88"/>
        <item x="104"/>
        <item x="204"/>
        <item x="40"/>
        <item x="270"/>
        <item x="312"/>
        <item x="300"/>
        <item x="279"/>
        <item x="289"/>
        <item x="205"/>
        <item x="230"/>
        <item x="93"/>
        <item x="257"/>
        <item x="206"/>
        <item sd="0" x="1"/>
        <item x="302"/>
        <item x="35"/>
        <item x="36"/>
        <item x="186"/>
        <item sd="0" x="120"/>
        <item x="323"/>
        <item x="307"/>
        <item x="218"/>
        <item x="41"/>
        <item x="86"/>
        <item x="200"/>
        <item x="225"/>
        <item x="213"/>
        <item x="265"/>
        <item x="78"/>
        <item x="126"/>
        <item x="113"/>
        <item x="134"/>
        <item x="215"/>
        <item x="262"/>
        <item x="188"/>
        <item x="3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axis="axisPage" showAll="0">
      <items count="5">
        <item m="1" x="3"/>
        <item x="0"/>
        <item x="1"/>
        <item x="2"/>
        <item t="default"/>
      </items>
    </pivotField>
    <pivotField showAll="0"/>
    <pivotField showAll="0"/>
  </pivotFields>
  <rowFields count="2">
    <field x="5"/>
    <field x="6"/>
  </rowFields>
  <rowItems count="51">
    <i>
      <x v="368"/>
    </i>
    <i>
      <x v="1919"/>
    </i>
    <i>
      <x v="2619"/>
    </i>
    <i>
      <x v="2396"/>
    </i>
    <i>
      <x v="2618"/>
    </i>
    <i>
      <x v="1898"/>
    </i>
    <i>
      <x v="769"/>
    </i>
    <i>
      <x v="2491"/>
    </i>
    <i>
      <x v="2570"/>
    </i>
    <i>
      <x v="362"/>
    </i>
    <i>
      <x v="1444"/>
    </i>
    <i>
      <x v="1564"/>
    </i>
    <i>
      <x v="212"/>
    </i>
    <i>
      <x v="31"/>
    </i>
    <i>
      <x v="78"/>
    </i>
    <i>
      <x v="2572"/>
    </i>
    <i>
      <x v="1540"/>
    </i>
    <i>
      <x v="820"/>
    </i>
    <i>
      <x v="941"/>
    </i>
    <i>
      <x v="784"/>
    </i>
    <i>
      <x v="1629"/>
    </i>
    <i>
      <x v="1736"/>
    </i>
    <i>
      <x v="759"/>
    </i>
    <i>
      <x v="2188"/>
    </i>
    <i>
      <x v="1096"/>
    </i>
    <i>
      <x v="2036"/>
    </i>
    <i>
      <x v="655"/>
    </i>
    <i>
      <x v="137"/>
    </i>
    <i>
      <x v="782"/>
    </i>
    <i>
      <x v="1735"/>
    </i>
    <i>
      <x v="1889"/>
    </i>
    <i>
      <x v="1401"/>
    </i>
    <i>
      <x v="1501"/>
    </i>
    <i>
      <x v="2215"/>
    </i>
    <i>
      <x v="1696"/>
    </i>
    <i>
      <x v="2579"/>
    </i>
    <i>
      <x v="50"/>
    </i>
    <i>
      <x v="138"/>
    </i>
    <i>
      <x v="2114"/>
    </i>
    <i>
      <x v="1707"/>
    </i>
    <i>
      <x v="2147"/>
    </i>
    <i>
      <x v="1914"/>
    </i>
    <i>
      <x v="2554"/>
    </i>
    <i>
      <x v="2520"/>
    </i>
    <i>
      <x v="1901"/>
    </i>
    <i>
      <x v="1180"/>
    </i>
    <i>
      <x v="2214"/>
    </i>
    <i>
      <x v="1587"/>
    </i>
    <i>
      <x v="2204"/>
    </i>
    <i>
      <x v="1951"/>
    </i>
    <i t="grand">
      <x/>
    </i>
  </rowItems>
  <colItems count="1">
    <i/>
  </colItems>
  <pageFields count="1">
    <pageField fld="12" item="1" hier="-1"/>
  </pageFields>
  <dataFields count="1">
    <dataField name="Suma de Total" fld="11" baseField="5" baseItem="0" numFmtId="167"/>
  </dataFields>
  <pivotTableStyleInfo name="PivotStyleLight16" showRowHeaders="1" showColHeaders="1" showRowStripes="0" showColStripes="0" showLastColumn="1"/>
  <filters count="2">
    <filter fld="6" type="count" evalOrder="-1" id="1" iMeasureFld="0">
      <autoFilter ref="A1">
        <filterColumn colId="0">
          <top10 val="25" filterVal="25"/>
        </filterColumn>
      </autoFilter>
    </filter>
    <filter fld="5" type="count" evalOrder="-1" id="3" iMeasureFld="0">
      <autoFilter ref="A1">
        <filterColumn colId="0">
          <top10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EC7FB-9139-4843-9A38-2978255FABD3}" name="TablaDinámica6" cacheId="1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I34" firstHeaderRow="0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46">
        <item x="322"/>
        <item x="271"/>
        <item x="221"/>
        <item x="210"/>
        <item x="141"/>
        <item x="237"/>
        <item x="81"/>
        <item x="156"/>
        <item x="69"/>
        <item x="50"/>
        <item x="178"/>
        <item x="224"/>
        <item x="317"/>
        <item x="320"/>
        <item x="263"/>
        <item x="73"/>
        <item x="66"/>
        <item x="59"/>
        <item x="283"/>
        <item x="194"/>
        <item x="17"/>
        <item x="245"/>
        <item x="118"/>
        <item x="54"/>
        <item x="174"/>
        <item x="243"/>
        <item x="242"/>
        <item x="198"/>
        <item x="175"/>
        <item x="31"/>
        <item x="172"/>
        <item x="304"/>
        <item x="114"/>
        <item x="137"/>
        <item x="341"/>
        <item x="318"/>
        <item x="246"/>
        <item x="100"/>
        <item x="324"/>
        <item x="332"/>
        <item x="293"/>
        <item x="129"/>
        <item x="277"/>
        <item x="80"/>
        <item x="275"/>
        <item x="273"/>
        <item x="240"/>
        <item x="74"/>
        <item x="33"/>
        <item x="241"/>
        <item x="278"/>
        <item x="336"/>
        <item x="28"/>
        <item x="306"/>
        <item x="9"/>
        <item x="131"/>
        <item x="116"/>
        <item x="135"/>
        <item x="253"/>
        <item x="298"/>
        <item x="310"/>
        <item x="32"/>
        <item x="280"/>
        <item x="299"/>
        <item x="127"/>
        <item x="130"/>
        <item x="155"/>
        <item x="191"/>
        <item x="96"/>
        <item x="268"/>
        <item x="101"/>
        <item x="334"/>
        <item x="314"/>
        <item x="157"/>
        <item x="231"/>
        <item x="23"/>
        <item x="229"/>
        <item x="193"/>
        <item x="267"/>
        <item x="103"/>
        <item x="139"/>
        <item x="226"/>
        <item x="274"/>
        <item x="65"/>
        <item x="64"/>
        <item x="216"/>
        <item x="227"/>
        <item x="183"/>
        <item x="97"/>
        <item x="337"/>
        <item x="342"/>
        <item x="235"/>
        <item x="311"/>
        <item x="266"/>
        <item x="292"/>
        <item x="51"/>
        <item x="82"/>
        <item x="125"/>
        <item x="208"/>
        <item x="38"/>
        <item x="44"/>
        <item x="10"/>
        <item x="58"/>
        <item x="70"/>
        <item x="335"/>
        <item x="303"/>
        <item x="87"/>
        <item x="176"/>
        <item x="136"/>
        <item x="222"/>
        <item x="53"/>
        <item m="1" x="344"/>
        <item x="161"/>
        <item x="107"/>
        <item x="217"/>
        <item x="255"/>
        <item x="340"/>
        <item x="264"/>
        <item x="316"/>
        <item x="124"/>
        <item x="321"/>
        <item x="331"/>
        <item x="77"/>
        <item x="327"/>
        <item x="339"/>
        <item x="192"/>
        <item x="287"/>
        <item x="236"/>
        <item x="91"/>
        <item x="90"/>
        <item x="212"/>
        <item x="247"/>
        <item x="42"/>
        <item x="56"/>
        <item x="6"/>
        <item x="8"/>
        <item x="290"/>
        <item x="106"/>
        <item x="328"/>
        <item x="12"/>
        <item x="301"/>
        <item x="179"/>
        <item x="111"/>
        <item x="196"/>
        <item x="163"/>
        <item x="154"/>
        <item x="30"/>
        <item x="319"/>
        <item x="117"/>
        <item x="195"/>
        <item x="239"/>
        <item x="251"/>
        <item x="21"/>
        <item x="180"/>
        <item x="211"/>
        <item x="46"/>
        <item x="285"/>
        <item x="109"/>
        <item x="220"/>
        <item x="84"/>
        <item x="79"/>
        <item x="14"/>
        <item x="85"/>
        <item x="52"/>
        <item x="102"/>
        <item x="165"/>
        <item x="197"/>
        <item x="181"/>
        <item x="166"/>
        <item x="305"/>
        <item x="173"/>
        <item x="138"/>
        <item x="75"/>
        <item x="153"/>
        <item x="187"/>
        <item x="190"/>
        <item x="201"/>
        <item x="110"/>
        <item x="309"/>
        <item x="326"/>
        <item x="61"/>
        <item x="48"/>
        <item x="145"/>
        <item x="47"/>
        <item x="0"/>
        <item x="261"/>
        <item x="158"/>
        <item x="121"/>
        <item x="89"/>
        <item x="167"/>
        <item x="313"/>
        <item x="37"/>
        <item x="15"/>
        <item x="60"/>
        <item x="22"/>
        <item x="7"/>
        <item x="209"/>
        <item x="260"/>
        <item x="108"/>
        <item x="144"/>
        <item x="250"/>
        <item x="259"/>
        <item x="164"/>
        <item x="148"/>
        <item x="76"/>
        <item x="62"/>
        <item x="123"/>
        <item x="152"/>
        <item x="168"/>
        <item x="94"/>
        <item x="72"/>
        <item x="256"/>
        <item x="232"/>
        <item x="55"/>
        <item x="147"/>
        <item x="291"/>
        <item x="284"/>
        <item x="3"/>
        <item x="5"/>
        <item x="68"/>
        <item x="202"/>
        <item x="128"/>
        <item x="281"/>
        <item x="34"/>
        <item x="214"/>
        <item x="308"/>
        <item x="295"/>
        <item x="132"/>
        <item x="119"/>
        <item x="252"/>
        <item x="329"/>
        <item x="338"/>
        <item x="254"/>
        <item x="177"/>
        <item x="140"/>
        <item x="19"/>
        <item x="207"/>
        <item x="223"/>
        <item x="169"/>
        <item x="146"/>
        <item x="272"/>
        <item x="219"/>
        <item x="115"/>
        <item x="142"/>
        <item x="29"/>
        <item x="171"/>
        <item x="296"/>
        <item x="315"/>
        <item x="330"/>
        <item x="122"/>
        <item x="159"/>
        <item x="13"/>
        <item x="276"/>
        <item x="25"/>
        <item x="162"/>
        <item x="150"/>
        <item x="288"/>
        <item x="189"/>
        <item x="184"/>
        <item x="185"/>
        <item x="258"/>
        <item x="27"/>
        <item x="20"/>
        <item x="26"/>
        <item x="160"/>
        <item x="57"/>
        <item x="95"/>
        <item x="325"/>
        <item x="143"/>
        <item x="98"/>
        <item x="4"/>
        <item x="18"/>
        <item x="63"/>
        <item x="286"/>
        <item x="282"/>
        <item x="248"/>
        <item x="170"/>
        <item x="71"/>
        <item x="269"/>
        <item x="182"/>
        <item x="105"/>
        <item x="24"/>
        <item x="203"/>
        <item x="99"/>
        <item x="43"/>
        <item x="92"/>
        <item x="233"/>
        <item x="151"/>
        <item x="67"/>
        <item x="16"/>
        <item x="244"/>
        <item x="228"/>
        <item x="49"/>
        <item x="11"/>
        <item x="297"/>
        <item x="133"/>
        <item x="199"/>
        <item x="149"/>
        <item x="234"/>
        <item x="45"/>
        <item x="249"/>
        <item x="238"/>
        <item x="83"/>
        <item x="333"/>
        <item x="294"/>
        <item x="39"/>
        <item x="112"/>
        <item x="88"/>
        <item x="104"/>
        <item x="204"/>
        <item x="40"/>
        <item x="270"/>
        <item x="312"/>
        <item x="300"/>
        <item x="279"/>
        <item x="289"/>
        <item x="205"/>
        <item x="230"/>
        <item x="93"/>
        <item x="257"/>
        <item x="206"/>
        <item x="1"/>
        <item x="302"/>
        <item x="35"/>
        <item x="36"/>
        <item x="186"/>
        <item x="120"/>
        <item x="323"/>
        <item x="307"/>
        <item x="218"/>
        <item x="41"/>
        <item x="86"/>
        <item x="200"/>
        <item x="225"/>
        <item x="213"/>
        <item x="265"/>
        <item x="78"/>
        <item x="126"/>
        <item x="113"/>
        <item x="134"/>
        <item x="215"/>
        <item x="262"/>
        <item x="188"/>
        <item x="34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axis="axisPage" showAll="0">
      <items count="5">
        <item m="1" x="3"/>
        <item x="0"/>
        <item x="1"/>
        <item x="2"/>
        <item t="default"/>
      </items>
    </pivotField>
    <pivotField showAll="0"/>
    <pivotField showAll="0"/>
  </pivotFields>
  <rowFields count="1">
    <field x="6"/>
  </rowFields>
  <rowItems count="31">
    <i>
      <x v="193"/>
    </i>
    <i>
      <x v="321"/>
    </i>
    <i>
      <x v="194"/>
    </i>
    <i>
      <x v="106"/>
    </i>
    <i>
      <x v="195"/>
    </i>
    <i>
      <x v="293"/>
    </i>
    <i>
      <x v="326"/>
    </i>
    <i>
      <x v="243"/>
    </i>
    <i>
      <x v="214"/>
    </i>
    <i>
      <x v="192"/>
    </i>
    <i>
      <x v="344"/>
    </i>
    <i>
      <x v="114"/>
    </i>
    <i>
      <x v="270"/>
    </i>
    <i>
      <x v="217"/>
    </i>
    <i>
      <x v="307"/>
    </i>
    <i>
      <x v="218"/>
    </i>
    <i>
      <x v="85"/>
    </i>
    <i>
      <x v="191"/>
    </i>
    <i>
      <x v="285"/>
    </i>
    <i>
      <x v="96"/>
    </i>
    <i>
      <x v="171"/>
    </i>
    <i>
      <x v="183"/>
    </i>
    <i>
      <x v="155"/>
    </i>
    <i>
      <x v="8"/>
    </i>
    <i>
      <x v="250"/>
    </i>
    <i>
      <x v="336"/>
    </i>
    <i>
      <x v="153"/>
    </i>
    <i>
      <x v="332"/>
    </i>
    <i>
      <x v="255"/>
    </i>
    <i>
      <x v="238"/>
    </i>
    <i t="grand">
      <x/>
    </i>
  </rowItems>
  <colFields count="1">
    <field x="-2"/>
  </colFields>
  <colItems count="2">
    <i>
      <x/>
    </i>
    <i i="1">
      <x v="1"/>
    </i>
  </colItems>
  <pageFields count="1">
    <pageField fld="12" item="1" hier="-1"/>
  </pageFields>
  <dataFields count="2">
    <dataField name="Suma de Total" fld="11" baseField="6" baseItem="0" numFmtId="167"/>
    <dataField name="Suma de Quantity" fld="10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1740"/>
  <sheetViews>
    <sheetView workbookViewId="0"/>
  </sheetViews>
  <sheetFormatPr baseColWidth="10" defaultColWidth="9.140625" defaultRowHeight="15" x14ac:dyDescent="0.25"/>
  <cols>
    <col min="1" max="1" width="18" customWidth="1"/>
    <col min="2" max="2" width="22" customWidth="1"/>
    <col min="3" max="3" width="10" customWidth="1"/>
    <col min="4" max="5" width="14" customWidth="1"/>
    <col min="6" max="6" width="72" customWidth="1"/>
    <col min="7" max="7" width="16" customWidth="1"/>
    <col min="8" max="8" width="22" customWidth="1"/>
  </cols>
  <sheetData>
    <row r="1" spans="1:8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x14ac:dyDescent="0.25">
      <c r="A2">
        <v>1285152349</v>
      </c>
      <c r="B2" t="s">
        <v>8</v>
      </c>
      <c r="C2">
        <v>4</v>
      </c>
      <c r="D2" s="1">
        <v>4.41</v>
      </c>
      <c r="E2" s="10" t="s">
        <v>9</v>
      </c>
      <c r="F2" s="10" t="s">
        <v>10</v>
      </c>
      <c r="G2" s="10" t="s">
        <v>11</v>
      </c>
      <c r="H2" t="s">
        <v>12</v>
      </c>
    </row>
    <row r="3" spans="1:8" x14ac:dyDescent="0.25">
      <c r="A3">
        <v>1284988797</v>
      </c>
      <c r="B3" t="s">
        <v>13</v>
      </c>
      <c r="C3">
        <v>1</v>
      </c>
      <c r="D3" s="1">
        <v>1.7</v>
      </c>
      <c r="E3" s="10" t="s">
        <v>14</v>
      </c>
      <c r="F3" s="10" t="s">
        <v>15</v>
      </c>
      <c r="G3" s="10" t="s">
        <v>11</v>
      </c>
      <c r="H3" t="s">
        <v>16</v>
      </c>
    </row>
    <row r="4" spans="1:8" x14ac:dyDescent="0.25">
      <c r="A4">
        <v>1284988792</v>
      </c>
      <c r="B4" t="s">
        <v>17</v>
      </c>
      <c r="C4">
        <v>1</v>
      </c>
      <c r="D4" s="1">
        <v>1.65</v>
      </c>
      <c r="E4" s="10" t="s">
        <v>14</v>
      </c>
      <c r="F4" s="10" t="s">
        <v>18</v>
      </c>
      <c r="G4" s="10" t="s">
        <v>11</v>
      </c>
      <c r="H4" t="s">
        <v>16</v>
      </c>
    </row>
    <row r="5" spans="1:8" x14ac:dyDescent="0.25">
      <c r="A5">
        <v>1284986651</v>
      </c>
      <c r="B5" t="s">
        <v>19</v>
      </c>
      <c r="C5">
        <v>16</v>
      </c>
      <c r="D5" s="1">
        <v>56.49</v>
      </c>
      <c r="E5" s="10" t="s">
        <v>14</v>
      </c>
      <c r="F5" s="10" t="s">
        <v>20</v>
      </c>
      <c r="G5" s="10" t="s">
        <v>11</v>
      </c>
      <c r="H5" t="s">
        <v>16</v>
      </c>
    </row>
    <row r="6" spans="1:8" x14ac:dyDescent="0.25">
      <c r="A6">
        <v>1284986254</v>
      </c>
      <c r="B6" t="s">
        <v>21</v>
      </c>
      <c r="C6">
        <v>11</v>
      </c>
      <c r="D6" s="1">
        <v>47.36</v>
      </c>
      <c r="E6" s="10" t="s">
        <v>14</v>
      </c>
      <c r="F6" s="10" t="s">
        <v>22</v>
      </c>
      <c r="G6" s="10" t="s">
        <v>11</v>
      </c>
      <c r="H6" t="s">
        <v>16</v>
      </c>
    </row>
    <row r="7" spans="1:8" x14ac:dyDescent="0.25">
      <c r="A7">
        <v>1284983295</v>
      </c>
      <c r="B7" t="s">
        <v>23</v>
      </c>
      <c r="C7">
        <v>2</v>
      </c>
      <c r="D7" s="1">
        <v>49.48</v>
      </c>
      <c r="E7" s="10" t="s">
        <v>14</v>
      </c>
      <c r="F7" s="10" t="s">
        <v>24</v>
      </c>
      <c r="G7" s="10" t="s">
        <v>11</v>
      </c>
      <c r="H7" t="s">
        <v>16</v>
      </c>
    </row>
    <row r="8" spans="1:8" x14ac:dyDescent="0.25">
      <c r="A8">
        <v>1284982979</v>
      </c>
      <c r="B8" t="s">
        <v>25</v>
      </c>
      <c r="C8">
        <v>1</v>
      </c>
      <c r="D8" s="1">
        <v>16.45</v>
      </c>
      <c r="E8" s="10" t="s">
        <v>14</v>
      </c>
      <c r="F8" s="10" t="s">
        <v>26</v>
      </c>
      <c r="G8" s="10" t="s">
        <v>11</v>
      </c>
      <c r="H8" t="s">
        <v>16</v>
      </c>
    </row>
    <row r="9" spans="1:8" x14ac:dyDescent="0.25">
      <c r="A9">
        <v>1284982829</v>
      </c>
      <c r="B9" t="s">
        <v>27</v>
      </c>
      <c r="C9">
        <v>2</v>
      </c>
      <c r="D9" s="1">
        <v>3.24</v>
      </c>
      <c r="E9" s="10" t="s">
        <v>14</v>
      </c>
      <c r="F9" s="10" t="s">
        <v>28</v>
      </c>
      <c r="G9" s="10" t="s">
        <v>11</v>
      </c>
      <c r="H9" t="s">
        <v>16</v>
      </c>
    </row>
    <row r="10" spans="1:8" x14ac:dyDescent="0.25">
      <c r="A10">
        <v>1284982814</v>
      </c>
      <c r="B10" t="s">
        <v>29</v>
      </c>
      <c r="C10">
        <v>2</v>
      </c>
      <c r="D10" s="1">
        <v>2</v>
      </c>
      <c r="E10" s="10" t="s">
        <v>14</v>
      </c>
      <c r="F10" s="10" t="s">
        <v>30</v>
      </c>
      <c r="G10" s="10" t="s">
        <v>11</v>
      </c>
      <c r="H10" t="s">
        <v>16</v>
      </c>
    </row>
    <row r="11" spans="1:8" x14ac:dyDescent="0.25">
      <c r="A11">
        <v>1284982624</v>
      </c>
      <c r="B11" t="s">
        <v>31</v>
      </c>
      <c r="C11">
        <v>2</v>
      </c>
      <c r="D11" s="1">
        <v>2.89</v>
      </c>
      <c r="E11" s="10" t="s">
        <v>14</v>
      </c>
      <c r="F11" s="10" t="s">
        <v>32</v>
      </c>
      <c r="G11" s="10" t="s">
        <v>11</v>
      </c>
      <c r="H11" t="s">
        <v>16</v>
      </c>
    </row>
    <row r="12" spans="1:8" x14ac:dyDescent="0.25">
      <c r="A12">
        <v>1284982290</v>
      </c>
      <c r="B12" t="s">
        <v>33</v>
      </c>
      <c r="C12">
        <v>5</v>
      </c>
      <c r="D12" s="1">
        <v>9.4499999999999993</v>
      </c>
      <c r="E12" s="10" t="s">
        <v>14</v>
      </c>
      <c r="F12" s="10" t="s">
        <v>34</v>
      </c>
      <c r="G12" s="10" t="s">
        <v>11</v>
      </c>
      <c r="H12" t="s">
        <v>16</v>
      </c>
    </row>
    <row r="13" spans="1:8" x14ac:dyDescent="0.25">
      <c r="A13">
        <v>1284981397</v>
      </c>
      <c r="B13" t="s">
        <v>35</v>
      </c>
      <c r="C13">
        <v>8</v>
      </c>
      <c r="D13" s="1">
        <v>5.24</v>
      </c>
      <c r="E13" s="10" t="s">
        <v>14</v>
      </c>
      <c r="F13" s="10" t="s">
        <v>36</v>
      </c>
      <c r="G13" s="10" t="s">
        <v>11</v>
      </c>
      <c r="H13" t="s">
        <v>16</v>
      </c>
    </row>
    <row r="14" spans="1:8" ht="30" x14ac:dyDescent="0.25">
      <c r="A14">
        <v>1284981025</v>
      </c>
      <c r="B14" t="s">
        <v>8</v>
      </c>
      <c r="C14">
        <v>9</v>
      </c>
      <c r="D14" s="1">
        <v>34</v>
      </c>
      <c r="E14" s="10" t="s">
        <v>14</v>
      </c>
      <c r="F14" s="10" t="s">
        <v>37</v>
      </c>
      <c r="G14" s="10" t="s">
        <v>38</v>
      </c>
      <c r="H14" t="s">
        <v>16</v>
      </c>
    </row>
    <row r="15" spans="1:8" x14ac:dyDescent="0.25">
      <c r="A15">
        <v>1284969484</v>
      </c>
      <c r="B15" t="s">
        <v>39</v>
      </c>
      <c r="C15">
        <v>2</v>
      </c>
      <c r="D15" s="1">
        <v>301.3</v>
      </c>
      <c r="E15" s="10" t="s">
        <v>14</v>
      </c>
      <c r="F15" s="10" t="s">
        <v>40</v>
      </c>
      <c r="G15" s="10" t="s">
        <v>11</v>
      </c>
      <c r="H15" t="s">
        <v>16</v>
      </c>
    </row>
    <row r="16" spans="1:8" x14ac:dyDescent="0.25">
      <c r="A16">
        <v>1284968616</v>
      </c>
      <c r="B16" t="s">
        <v>41</v>
      </c>
      <c r="C16">
        <v>1</v>
      </c>
      <c r="D16" s="1">
        <v>237.15</v>
      </c>
      <c r="E16" s="10" t="s">
        <v>14</v>
      </c>
      <c r="F16" s="10" t="s">
        <v>42</v>
      </c>
      <c r="G16" s="10" t="s">
        <v>11</v>
      </c>
      <c r="H16" t="s">
        <v>16</v>
      </c>
    </row>
    <row r="17" spans="1:8" x14ac:dyDescent="0.25">
      <c r="A17">
        <v>1284926434</v>
      </c>
      <c r="B17" t="s">
        <v>43</v>
      </c>
      <c r="C17">
        <v>3</v>
      </c>
      <c r="D17" s="1">
        <v>3.25</v>
      </c>
      <c r="E17" s="10" t="s">
        <v>14</v>
      </c>
      <c r="F17" s="10" t="s">
        <v>44</v>
      </c>
      <c r="G17" s="10" t="s">
        <v>11</v>
      </c>
      <c r="H17" t="s">
        <v>16</v>
      </c>
    </row>
    <row r="18" spans="1:8" x14ac:dyDescent="0.25">
      <c r="A18">
        <v>1284601698</v>
      </c>
      <c r="B18" t="s">
        <v>45</v>
      </c>
      <c r="C18">
        <v>4</v>
      </c>
      <c r="D18" s="1">
        <v>87.84</v>
      </c>
      <c r="E18" s="10" t="s">
        <v>46</v>
      </c>
      <c r="F18" s="10" t="s">
        <v>47</v>
      </c>
      <c r="G18" s="10" t="s">
        <v>48</v>
      </c>
      <c r="H18" t="s">
        <v>12</v>
      </c>
    </row>
    <row r="19" spans="1:8" x14ac:dyDescent="0.25">
      <c r="A19">
        <v>1284476874</v>
      </c>
      <c r="B19" t="s">
        <v>49</v>
      </c>
      <c r="C19">
        <v>1</v>
      </c>
      <c r="D19" s="1">
        <v>4.55</v>
      </c>
      <c r="E19" s="10" t="s">
        <v>46</v>
      </c>
      <c r="F19" s="10" t="s">
        <v>50</v>
      </c>
      <c r="G19" s="10" t="s">
        <v>48</v>
      </c>
      <c r="H19" t="s">
        <v>12</v>
      </c>
    </row>
    <row r="20" spans="1:8" x14ac:dyDescent="0.25">
      <c r="A20">
        <v>1284125120</v>
      </c>
      <c r="B20" t="s">
        <v>51</v>
      </c>
      <c r="C20">
        <v>4</v>
      </c>
      <c r="D20" s="1">
        <v>2.81</v>
      </c>
      <c r="E20" s="10" t="s">
        <v>52</v>
      </c>
      <c r="F20" s="10" t="s">
        <v>53</v>
      </c>
      <c r="G20" s="10" t="s">
        <v>11</v>
      </c>
      <c r="H20" t="s">
        <v>12</v>
      </c>
    </row>
    <row r="21" spans="1:8" x14ac:dyDescent="0.25">
      <c r="A21">
        <v>1283958909</v>
      </c>
      <c r="B21" t="s">
        <v>54</v>
      </c>
      <c r="C21">
        <v>3</v>
      </c>
      <c r="D21" s="1">
        <v>19.18</v>
      </c>
      <c r="E21" s="10" t="s">
        <v>55</v>
      </c>
      <c r="F21" s="10" t="s">
        <v>56</v>
      </c>
      <c r="G21" s="10" t="s">
        <v>11</v>
      </c>
      <c r="H21" t="s">
        <v>16</v>
      </c>
    </row>
    <row r="22" spans="1:8" ht="30" x14ac:dyDescent="0.25">
      <c r="A22">
        <v>1283814659</v>
      </c>
      <c r="B22" t="s">
        <v>8</v>
      </c>
      <c r="C22">
        <v>1</v>
      </c>
      <c r="D22" s="1">
        <v>118.95</v>
      </c>
      <c r="E22" s="10" t="s">
        <v>57</v>
      </c>
      <c r="F22" s="10" t="s">
        <v>37</v>
      </c>
      <c r="G22" s="10" t="s">
        <v>38</v>
      </c>
      <c r="H22" t="s">
        <v>16</v>
      </c>
    </row>
    <row r="23" spans="1:8" x14ac:dyDescent="0.25">
      <c r="A23">
        <v>1282631998</v>
      </c>
      <c r="B23" t="s">
        <v>58</v>
      </c>
      <c r="C23">
        <v>1</v>
      </c>
      <c r="D23" s="1">
        <v>1.7</v>
      </c>
      <c r="E23" s="10" t="s">
        <v>59</v>
      </c>
      <c r="F23" s="10" t="s">
        <v>60</v>
      </c>
      <c r="G23" s="10" t="s">
        <v>48</v>
      </c>
      <c r="H23" t="s">
        <v>12</v>
      </c>
    </row>
    <row r="24" spans="1:8" ht="30" x14ac:dyDescent="0.25">
      <c r="A24">
        <v>1282393287</v>
      </c>
      <c r="B24" t="s">
        <v>61</v>
      </c>
      <c r="C24">
        <v>1</v>
      </c>
      <c r="D24" s="1">
        <v>3.45</v>
      </c>
      <c r="E24" s="10" t="s">
        <v>62</v>
      </c>
      <c r="F24" s="10" t="s">
        <v>63</v>
      </c>
      <c r="G24" s="10" t="s">
        <v>38</v>
      </c>
      <c r="H24" t="s">
        <v>16</v>
      </c>
    </row>
    <row r="25" spans="1:8" x14ac:dyDescent="0.25">
      <c r="A25">
        <v>1282393284</v>
      </c>
      <c r="B25" t="s">
        <v>64</v>
      </c>
      <c r="C25">
        <v>3</v>
      </c>
      <c r="D25" s="1">
        <v>13.27</v>
      </c>
      <c r="E25" s="10" t="s">
        <v>62</v>
      </c>
      <c r="F25" s="10" t="s">
        <v>65</v>
      </c>
      <c r="G25" s="10" t="s">
        <v>11</v>
      </c>
      <c r="H25" t="s">
        <v>16</v>
      </c>
    </row>
    <row r="26" spans="1:8" x14ac:dyDescent="0.25">
      <c r="A26">
        <v>1282393282</v>
      </c>
      <c r="B26" t="s">
        <v>66</v>
      </c>
      <c r="C26">
        <v>1</v>
      </c>
      <c r="D26" s="1">
        <v>67.66</v>
      </c>
      <c r="E26" s="10" t="s">
        <v>62</v>
      </c>
      <c r="F26" s="10" t="s">
        <v>67</v>
      </c>
      <c r="G26" s="10" t="s">
        <v>11</v>
      </c>
      <c r="H26" t="s">
        <v>16</v>
      </c>
    </row>
    <row r="27" spans="1:8" x14ac:dyDescent="0.25">
      <c r="A27">
        <v>1282393281</v>
      </c>
      <c r="B27" t="s">
        <v>68</v>
      </c>
      <c r="C27">
        <v>2</v>
      </c>
      <c r="D27" s="1">
        <v>7.35</v>
      </c>
      <c r="E27" s="10" t="s">
        <v>62</v>
      </c>
      <c r="F27" s="10" t="s">
        <v>69</v>
      </c>
      <c r="G27" s="10" t="s">
        <v>11</v>
      </c>
      <c r="H27" t="s">
        <v>16</v>
      </c>
    </row>
    <row r="28" spans="1:8" x14ac:dyDescent="0.25">
      <c r="A28">
        <v>1282393280</v>
      </c>
      <c r="B28" t="s">
        <v>70</v>
      </c>
      <c r="C28">
        <v>3</v>
      </c>
      <c r="D28" s="1">
        <v>2.8</v>
      </c>
      <c r="E28" s="10" t="s">
        <v>62</v>
      </c>
      <c r="F28" s="10" t="s">
        <v>71</v>
      </c>
      <c r="G28" s="10" t="s">
        <v>11</v>
      </c>
      <c r="H28" t="s">
        <v>16</v>
      </c>
    </row>
    <row r="29" spans="1:8" x14ac:dyDescent="0.25">
      <c r="A29">
        <v>1282393042</v>
      </c>
      <c r="B29" t="s">
        <v>72</v>
      </c>
      <c r="C29">
        <v>1</v>
      </c>
      <c r="D29" s="1">
        <v>62.85</v>
      </c>
      <c r="E29" s="10" t="s">
        <v>62</v>
      </c>
      <c r="F29" s="10" t="s">
        <v>73</v>
      </c>
      <c r="G29" s="10" t="s">
        <v>11</v>
      </c>
      <c r="H29" t="s">
        <v>16</v>
      </c>
    </row>
    <row r="30" spans="1:8" x14ac:dyDescent="0.25">
      <c r="A30">
        <v>1282390690</v>
      </c>
      <c r="B30" t="s">
        <v>74</v>
      </c>
      <c r="C30">
        <v>4</v>
      </c>
      <c r="D30" s="1">
        <v>2.4500000000000002</v>
      </c>
      <c r="E30" s="10" t="s">
        <v>62</v>
      </c>
      <c r="F30" s="10" t="s">
        <v>75</v>
      </c>
      <c r="G30" s="10" t="s">
        <v>48</v>
      </c>
      <c r="H30" t="s">
        <v>12</v>
      </c>
    </row>
    <row r="31" spans="1:8" x14ac:dyDescent="0.25">
      <c r="A31">
        <v>1282329702</v>
      </c>
      <c r="B31" t="s">
        <v>76</v>
      </c>
      <c r="C31">
        <v>3</v>
      </c>
      <c r="D31" s="1">
        <v>5.95</v>
      </c>
      <c r="E31" s="10" t="s">
        <v>77</v>
      </c>
      <c r="F31" s="10" t="s">
        <v>78</v>
      </c>
      <c r="G31" s="10" t="s">
        <v>11</v>
      </c>
      <c r="H31" t="s">
        <v>16</v>
      </c>
    </row>
    <row r="32" spans="1:8" x14ac:dyDescent="0.25">
      <c r="A32">
        <v>1282325871</v>
      </c>
      <c r="B32" t="s">
        <v>79</v>
      </c>
      <c r="C32">
        <v>29</v>
      </c>
      <c r="D32" s="1">
        <v>76.709999999999994</v>
      </c>
      <c r="E32" s="10" t="s">
        <v>77</v>
      </c>
      <c r="F32" s="10" t="s">
        <v>80</v>
      </c>
      <c r="G32" s="10" t="s">
        <v>11</v>
      </c>
      <c r="H32" t="s">
        <v>16</v>
      </c>
    </row>
    <row r="33" spans="1:8" x14ac:dyDescent="0.25">
      <c r="A33">
        <v>1281467267</v>
      </c>
      <c r="B33" t="s">
        <v>81</v>
      </c>
      <c r="C33">
        <v>2</v>
      </c>
      <c r="D33" s="1">
        <v>10.45</v>
      </c>
      <c r="E33" s="10" t="s">
        <v>82</v>
      </c>
      <c r="F33" s="10" t="s">
        <v>83</v>
      </c>
      <c r="G33" s="10" t="s">
        <v>11</v>
      </c>
      <c r="H33" t="s">
        <v>16</v>
      </c>
    </row>
    <row r="34" spans="1:8" x14ac:dyDescent="0.25">
      <c r="A34">
        <v>1281432469</v>
      </c>
      <c r="B34" t="s">
        <v>84</v>
      </c>
      <c r="C34">
        <v>1</v>
      </c>
      <c r="D34" s="1">
        <v>5.45</v>
      </c>
      <c r="E34" s="10" t="s">
        <v>82</v>
      </c>
      <c r="F34" s="10" t="s">
        <v>85</v>
      </c>
      <c r="G34" s="10" t="s">
        <v>38</v>
      </c>
      <c r="H34" t="s">
        <v>16</v>
      </c>
    </row>
    <row r="35" spans="1:8" x14ac:dyDescent="0.25">
      <c r="A35">
        <v>1281431764</v>
      </c>
      <c r="B35" t="s">
        <v>64</v>
      </c>
      <c r="C35">
        <v>2</v>
      </c>
      <c r="D35" s="1">
        <v>4.45</v>
      </c>
      <c r="E35" s="10" t="s">
        <v>82</v>
      </c>
      <c r="F35" s="10" t="s">
        <v>65</v>
      </c>
      <c r="G35" s="10" t="s">
        <v>11</v>
      </c>
      <c r="H35" t="s">
        <v>16</v>
      </c>
    </row>
    <row r="36" spans="1:8" x14ac:dyDescent="0.25">
      <c r="A36">
        <v>1281426334</v>
      </c>
      <c r="B36" t="s">
        <v>86</v>
      </c>
      <c r="C36">
        <v>3</v>
      </c>
      <c r="D36" s="1">
        <v>4.75</v>
      </c>
      <c r="E36" s="10" t="s">
        <v>82</v>
      </c>
      <c r="F36" s="10" t="s">
        <v>87</v>
      </c>
      <c r="G36" s="10" t="s">
        <v>11</v>
      </c>
      <c r="H36" t="s">
        <v>16</v>
      </c>
    </row>
    <row r="37" spans="1:8" x14ac:dyDescent="0.25">
      <c r="A37">
        <v>1281426128</v>
      </c>
      <c r="B37" t="s">
        <v>35</v>
      </c>
      <c r="C37">
        <v>19</v>
      </c>
      <c r="D37" s="1">
        <v>86.09</v>
      </c>
      <c r="E37" s="10" t="s">
        <v>82</v>
      </c>
      <c r="F37" s="10" t="s">
        <v>88</v>
      </c>
      <c r="G37" s="10" t="s">
        <v>11</v>
      </c>
      <c r="H37" t="s">
        <v>16</v>
      </c>
    </row>
    <row r="38" spans="1:8" x14ac:dyDescent="0.25">
      <c r="A38">
        <v>1281332356</v>
      </c>
      <c r="B38" t="s">
        <v>64</v>
      </c>
      <c r="C38">
        <v>1</v>
      </c>
      <c r="D38" s="1">
        <v>2.0299999999999998</v>
      </c>
      <c r="E38" s="10" t="s">
        <v>82</v>
      </c>
      <c r="F38" s="10" t="s">
        <v>65</v>
      </c>
      <c r="G38" s="10" t="s">
        <v>11</v>
      </c>
      <c r="H38" t="s">
        <v>16</v>
      </c>
    </row>
    <row r="39" spans="1:8" x14ac:dyDescent="0.25">
      <c r="A39">
        <v>1281325913</v>
      </c>
      <c r="B39" t="s">
        <v>64</v>
      </c>
      <c r="C39">
        <v>3</v>
      </c>
      <c r="D39" s="1">
        <v>17.95</v>
      </c>
      <c r="E39" s="10" t="s">
        <v>82</v>
      </c>
      <c r="F39" s="10" t="s">
        <v>65</v>
      </c>
      <c r="G39" s="10" t="s">
        <v>11</v>
      </c>
      <c r="H39" t="s">
        <v>16</v>
      </c>
    </row>
    <row r="40" spans="1:8" x14ac:dyDescent="0.25">
      <c r="A40">
        <v>1280926007</v>
      </c>
      <c r="B40" t="s">
        <v>89</v>
      </c>
      <c r="C40">
        <v>1</v>
      </c>
      <c r="D40" s="1">
        <v>7.45</v>
      </c>
      <c r="E40" s="10" t="s">
        <v>90</v>
      </c>
      <c r="F40" s="10" t="s">
        <v>91</v>
      </c>
      <c r="G40" s="10" t="s">
        <v>11</v>
      </c>
      <c r="H40" t="s">
        <v>16</v>
      </c>
    </row>
    <row r="41" spans="1:8" x14ac:dyDescent="0.25">
      <c r="A41">
        <v>1280879705</v>
      </c>
      <c r="B41" t="s">
        <v>92</v>
      </c>
      <c r="C41">
        <v>1</v>
      </c>
      <c r="D41" s="1">
        <v>2.4500000000000002</v>
      </c>
      <c r="E41" s="10" t="s">
        <v>90</v>
      </c>
      <c r="F41" s="10" t="s">
        <v>93</v>
      </c>
      <c r="G41" s="10" t="s">
        <v>38</v>
      </c>
      <c r="H41" t="s">
        <v>16</v>
      </c>
    </row>
    <row r="42" spans="1:8" x14ac:dyDescent="0.25">
      <c r="A42">
        <v>1280879493</v>
      </c>
      <c r="B42" t="s">
        <v>35</v>
      </c>
      <c r="C42">
        <v>4</v>
      </c>
      <c r="D42" s="1">
        <v>16.38</v>
      </c>
      <c r="E42" s="10" t="s">
        <v>90</v>
      </c>
      <c r="F42" s="10" t="s">
        <v>94</v>
      </c>
      <c r="G42" s="10" t="s">
        <v>11</v>
      </c>
      <c r="H42" t="s">
        <v>16</v>
      </c>
    </row>
    <row r="43" spans="1:8" x14ac:dyDescent="0.25">
      <c r="A43">
        <v>1280668188</v>
      </c>
      <c r="B43" t="s">
        <v>95</v>
      </c>
      <c r="C43">
        <v>1</v>
      </c>
      <c r="D43" s="1">
        <v>113.11</v>
      </c>
      <c r="E43" s="10" t="s">
        <v>96</v>
      </c>
      <c r="F43" s="10" t="s">
        <v>97</v>
      </c>
      <c r="G43" s="10" t="s">
        <v>11</v>
      </c>
      <c r="H43" t="s">
        <v>16</v>
      </c>
    </row>
    <row r="44" spans="1:8" ht="30" x14ac:dyDescent="0.25">
      <c r="A44">
        <v>1280656915</v>
      </c>
      <c r="B44" t="s">
        <v>8</v>
      </c>
      <c r="C44">
        <v>1</v>
      </c>
      <c r="D44" s="1">
        <v>92.75</v>
      </c>
      <c r="E44" s="10" t="s">
        <v>96</v>
      </c>
      <c r="F44" s="10" t="s">
        <v>37</v>
      </c>
      <c r="G44" s="10" t="s">
        <v>38</v>
      </c>
      <c r="H44" t="s">
        <v>16</v>
      </c>
    </row>
    <row r="45" spans="1:8" x14ac:dyDescent="0.25">
      <c r="A45">
        <v>1280654061</v>
      </c>
      <c r="B45" t="s">
        <v>98</v>
      </c>
      <c r="C45">
        <v>3</v>
      </c>
      <c r="D45" s="1">
        <v>16.45</v>
      </c>
      <c r="E45" s="10" t="s">
        <v>96</v>
      </c>
      <c r="F45" s="10" t="s">
        <v>99</v>
      </c>
      <c r="G45" s="10" t="s">
        <v>38</v>
      </c>
      <c r="H45" t="s">
        <v>16</v>
      </c>
    </row>
    <row r="46" spans="1:8" x14ac:dyDescent="0.25">
      <c r="A46">
        <v>1280654053</v>
      </c>
      <c r="B46" t="s">
        <v>100</v>
      </c>
      <c r="C46">
        <v>6</v>
      </c>
      <c r="D46" s="1">
        <v>17.05</v>
      </c>
      <c r="E46" s="10" t="s">
        <v>96</v>
      </c>
      <c r="F46" s="10" t="s">
        <v>101</v>
      </c>
      <c r="G46" s="10" t="s">
        <v>11</v>
      </c>
      <c r="H46" t="s">
        <v>16</v>
      </c>
    </row>
    <row r="47" spans="1:8" x14ac:dyDescent="0.25">
      <c r="A47">
        <v>1280654047</v>
      </c>
      <c r="B47" t="s">
        <v>102</v>
      </c>
      <c r="C47">
        <v>2</v>
      </c>
      <c r="D47" s="1">
        <v>11.45</v>
      </c>
      <c r="E47" s="10" t="s">
        <v>96</v>
      </c>
      <c r="F47" s="10" t="s">
        <v>103</v>
      </c>
      <c r="G47" s="10" t="s">
        <v>11</v>
      </c>
      <c r="H47" t="s">
        <v>16</v>
      </c>
    </row>
    <row r="48" spans="1:8" x14ac:dyDescent="0.25">
      <c r="A48">
        <v>1280652580</v>
      </c>
      <c r="B48" t="s">
        <v>104</v>
      </c>
      <c r="C48">
        <v>14</v>
      </c>
      <c r="D48" s="1">
        <v>21.91</v>
      </c>
      <c r="E48" s="10" t="s">
        <v>96</v>
      </c>
      <c r="F48" s="10" t="s">
        <v>105</v>
      </c>
      <c r="G48" s="10" t="s">
        <v>11</v>
      </c>
      <c r="H48" t="s">
        <v>16</v>
      </c>
    </row>
    <row r="49" spans="1:8" x14ac:dyDescent="0.25">
      <c r="A49">
        <v>1280650991</v>
      </c>
      <c r="B49" t="s">
        <v>106</v>
      </c>
      <c r="C49">
        <v>1</v>
      </c>
      <c r="D49" s="1">
        <v>3.4</v>
      </c>
      <c r="E49" s="10" t="s">
        <v>96</v>
      </c>
      <c r="F49" s="10" t="s">
        <v>107</v>
      </c>
      <c r="G49" s="10" t="s">
        <v>11</v>
      </c>
      <c r="H49" t="s">
        <v>16</v>
      </c>
    </row>
    <row r="50" spans="1:8" x14ac:dyDescent="0.25">
      <c r="A50">
        <v>1280650986</v>
      </c>
      <c r="B50" t="s">
        <v>108</v>
      </c>
      <c r="C50">
        <v>1</v>
      </c>
      <c r="D50" s="1">
        <v>9.4499999999999993</v>
      </c>
      <c r="E50" s="10" t="s">
        <v>96</v>
      </c>
      <c r="F50" s="10" t="s">
        <v>109</v>
      </c>
      <c r="G50" s="10" t="s">
        <v>11</v>
      </c>
      <c r="H50" t="s">
        <v>16</v>
      </c>
    </row>
    <row r="51" spans="1:8" x14ac:dyDescent="0.25">
      <c r="A51">
        <v>1280650981</v>
      </c>
      <c r="B51" t="s">
        <v>110</v>
      </c>
      <c r="C51">
        <v>4</v>
      </c>
      <c r="D51" s="1">
        <v>107.01</v>
      </c>
      <c r="E51" s="10" t="s">
        <v>96</v>
      </c>
      <c r="F51" s="10" t="s">
        <v>111</v>
      </c>
      <c r="G51" s="10" t="s">
        <v>11</v>
      </c>
      <c r="H51" t="s">
        <v>16</v>
      </c>
    </row>
    <row r="52" spans="1:8" x14ac:dyDescent="0.25">
      <c r="A52">
        <v>1280650978</v>
      </c>
      <c r="B52" t="s">
        <v>112</v>
      </c>
      <c r="C52">
        <v>1</v>
      </c>
      <c r="D52" s="1">
        <v>9.35</v>
      </c>
      <c r="E52" s="10" t="s">
        <v>96</v>
      </c>
      <c r="F52" s="10" t="s">
        <v>113</v>
      </c>
      <c r="G52" s="10" t="s">
        <v>11</v>
      </c>
      <c r="H52" t="s">
        <v>16</v>
      </c>
    </row>
    <row r="53" spans="1:8" x14ac:dyDescent="0.25">
      <c r="A53">
        <v>1280650976</v>
      </c>
      <c r="B53" t="s">
        <v>114</v>
      </c>
      <c r="C53">
        <v>3</v>
      </c>
      <c r="D53" s="1">
        <v>11.95</v>
      </c>
      <c r="E53" s="10" t="s">
        <v>96</v>
      </c>
      <c r="F53" s="10" t="s">
        <v>115</v>
      </c>
      <c r="G53" s="10" t="s">
        <v>11</v>
      </c>
      <c r="H53" t="s">
        <v>16</v>
      </c>
    </row>
    <row r="54" spans="1:8" x14ac:dyDescent="0.25">
      <c r="A54">
        <v>1280650972</v>
      </c>
      <c r="B54" t="s">
        <v>116</v>
      </c>
      <c r="C54">
        <v>1</v>
      </c>
      <c r="D54" s="1">
        <v>7.15</v>
      </c>
      <c r="E54" s="10" t="s">
        <v>96</v>
      </c>
      <c r="F54" s="10" t="s">
        <v>117</v>
      </c>
      <c r="G54" s="10" t="s">
        <v>11</v>
      </c>
      <c r="H54" t="s">
        <v>16</v>
      </c>
    </row>
    <row r="55" spans="1:8" x14ac:dyDescent="0.25">
      <c r="A55">
        <v>1280650970</v>
      </c>
      <c r="B55" t="s">
        <v>118</v>
      </c>
      <c r="C55">
        <v>1</v>
      </c>
      <c r="D55" s="1">
        <v>10.95</v>
      </c>
      <c r="E55" s="10" t="s">
        <v>96</v>
      </c>
      <c r="F55" s="10" t="s">
        <v>119</v>
      </c>
      <c r="G55" s="10" t="s">
        <v>11</v>
      </c>
      <c r="H55" t="s">
        <v>16</v>
      </c>
    </row>
    <row r="56" spans="1:8" x14ac:dyDescent="0.25">
      <c r="A56">
        <v>1280650965</v>
      </c>
      <c r="B56" t="s">
        <v>35</v>
      </c>
      <c r="C56">
        <v>11</v>
      </c>
      <c r="D56" s="1">
        <v>13.69</v>
      </c>
      <c r="E56" s="10" t="s">
        <v>96</v>
      </c>
      <c r="F56" s="10" t="s">
        <v>94</v>
      </c>
      <c r="G56" s="10" t="s">
        <v>11</v>
      </c>
      <c r="H56" t="s">
        <v>16</v>
      </c>
    </row>
    <row r="57" spans="1:8" x14ac:dyDescent="0.25">
      <c r="A57">
        <v>1280650958</v>
      </c>
      <c r="B57" t="s">
        <v>27</v>
      </c>
      <c r="C57">
        <v>1</v>
      </c>
      <c r="D57" s="1">
        <v>7.44</v>
      </c>
      <c r="E57" s="10" t="s">
        <v>96</v>
      </c>
      <c r="F57" s="10" t="s">
        <v>120</v>
      </c>
      <c r="G57" s="10" t="s">
        <v>38</v>
      </c>
      <c r="H57" t="s">
        <v>16</v>
      </c>
    </row>
    <row r="58" spans="1:8" x14ac:dyDescent="0.25">
      <c r="A58">
        <v>1280650957</v>
      </c>
      <c r="B58" t="s">
        <v>121</v>
      </c>
      <c r="C58">
        <v>1</v>
      </c>
      <c r="D58" s="1">
        <v>2.4500000000000002</v>
      </c>
      <c r="E58" s="10" t="s">
        <v>96</v>
      </c>
      <c r="F58" s="10" t="s">
        <v>122</v>
      </c>
      <c r="G58" s="10" t="s">
        <v>11</v>
      </c>
      <c r="H58" t="s">
        <v>16</v>
      </c>
    </row>
    <row r="59" spans="1:8" x14ac:dyDescent="0.25">
      <c r="A59">
        <v>1280650954</v>
      </c>
      <c r="B59" t="s">
        <v>123</v>
      </c>
      <c r="C59">
        <v>2</v>
      </c>
      <c r="D59" s="1">
        <v>11.45</v>
      </c>
      <c r="E59" s="10" t="s">
        <v>96</v>
      </c>
      <c r="F59" s="10" t="s">
        <v>124</v>
      </c>
      <c r="G59" s="10" t="s">
        <v>11</v>
      </c>
      <c r="H59" t="s">
        <v>16</v>
      </c>
    </row>
    <row r="60" spans="1:8" x14ac:dyDescent="0.25">
      <c r="A60">
        <v>1280650952</v>
      </c>
      <c r="B60" t="s">
        <v>125</v>
      </c>
      <c r="C60">
        <v>1</v>
      </c>
      <c r="D60" s="1">
        <v>9.4499999999999993</v>
      </c>
      <c r="E60" s="10" t="s">
        <v>96</v>
      </c>
      <c r="F60" s="10" t="s">
        <v>126</v>
      </c>
      <c r="G60" s="10" t="s">
        <v>11</v>
      </c>
      <c r="H60" t="s">
        <v>16</v>
      </c>
    </row>
    <row r="61" spans="1:8" x14ac:dyDescent="0.25">
      <c r="A61">
        <v>1280650949</v>
      </c>
      <c r="B61" t="s">
        <v>127</v>
      </c>
      <c r="C61">
        <v>2</v>
      </c>
      <c r="D61" s="1">
        <v>6.45</v>
      </c>
      <c r="E61" s="10" t="s">
        <v>96</v>
      </c>
      <c r="F61" s="10" t="s">
        <v>128</v>
      </c>
      <c r="G61" s="10" t="s">
        <v>11</v>
      </c>
      <c r="H61" t="s">
        <v>16</v>
      </c>
    </row>
    <row r="62" spans="1:8" x14ac:dyDescent="0.25">
      <c r="A62">
        <v>1280650948</v>
      </c>
      <c r="B62" t="s">
        <v>129</v>
      </c>
      <c r="C62">
        <v>1</v>
      </c>
      <c r="D62" s="1">
        <v>2.5499999999999998</v>
      </c>
      <c r="E62" s="10" t="s">
        <v>96</v>
      </c>
      <c r="F62" s="10" t="s">
        <v>130</v>
      </c>
      <c r="G62" s="10" t="s">
        <v>11</v>
      </c>
      <c r="H62" t="s">
        <v>16</v>
      </c>
    </row>
    <row r="63" spans="1:8" x14ac:dyDescent="0.25">
      <c r="A63">
        <v>1280650946</v>
      </c>
      <c r="B63" t="s">
        <v>131</v>
      </c>
      <c r="C63">
        <v>1</v>
      </c>
      <c r="D63" s="1">
        <v>2.4500000000000002</v>
      </c>
      <c r="E63" s="10" t="s">
        <v>96</v>
      </c>
      <c r="F63" s="10" t="s">
        <v>132</v>
      </c>
      <c r="G63" s="10" t="s">
        <v>11</v>
      </c>
      <c r="H63" t="s">
        <v>16</v>
      </c>
    </row>
    <row r="64" spans="1:8" x14ac:dyDescent="0.25">
      <c r="A64">
        <v>1280650944</v>
      </c>
      <c r="B64" t="s">
        <v>133</v>
      </c>
      <c r="C64">
        <v>2</v>
      </c>
      <c r="D64" s="1">
        <v>13.07</v>
      </c>
      <c r="E64" s="10" t="s">
        <v>96</v>
      </c>
      <c r="F64" s="10" t="s">
        <v>134</v>
      </c>
      <c r="G64" s="10" t="s">
        <v>11</v>
      </c>
      <c r="H64" t="s">
        <v>16</v>
      </c>
    </row>
    <row r="65" spans="1:8" x14ac:dyDescent="0.25">
      <c r="A65">
        <v>1280650938</v>
      </c>
      <c r="B65" t="s">
        <v>135</v>
      </c>
      <c r="C65">
        <v>2</v>
      </c>
      <c r="D65" s="1">
        <v>2.2999999999999998</v>
      </c>
      <c r="E65" s="10" t="s">
        <v>96</v>
      </c>
      <c r="F65" s="10" t="s">
        <v>136</v>
      </c>
      <c r="G65" s="10" t="s">
        <v>11</v>
      </c>
      <c r="H65" t="s">
        <v>16</v>
      </c>
    </row>
    <row r="66" spans="1:8" x14ac:dyDescent="0.25">
      <c r="A66">
        <v>1280650937</v>
      </c>
      <c r="B66" t="s">
        <v>137</v>
      </c>
      <c r="C66">
        <v>1</v>
      </c>
      <c r="D66" s="1">
        <v>2.25</v>
      </c>
      <c r="E66" s="10" t="s">
        <v>96</v>
      </c>
      <c r="F66" s="10" t="s">
        <v>138</v>
      </c>
      <c r="G66" s="10" t="s">
        <v>11</v>
      </c>
      <c r="H66" t="s">
        <v>16</v>
      </c>
    </row>
    <row r="67" spans="1:8" x14ac:dyDescent="0.25">
      <c r="A67">
        <v>1280650896</v>
      </c>
      <c r="B67" t="s">
        <v>139</v>
      </c>
      <c r="C67">
        <v>5</v>
      </c>
      <c r="D67" s="1">
        <v>134.32</v>
      </c>
      <c r="E67" s="10" t="s">
        <v>96</v>
      </c>
      <c r="F67" s="10" t="s">
        <v>140</v>
      </c>
      <c r="G67" s="10" t="s">
        <v>11</v>
      </c>
      <c r="H67" t="s">
        <v>16</v>
      </c>
    </row>
    <row r="68" spans="1:8" x14ac:dyDescent="0.25">
      <c r="A68">
        <v>1280248997</v>
      </c>
      <c r="B68" t="s">
        <v>141</v>
      </c>
      <c r="C68">
        <v>1</v>
      </c>
      <c r="D68" s="1">
        <v>1.7</v>
      </c>
      <c r="E68" s="10" t="s">
        <v>142</v>
      </c>
      <c r="F68" s="10" t="s">
        <v>143</v>
      </c>
      <c r="G68" s="10" t="s">
        <v>48</v>
      </c>
      <c r="H68" t="s">
        <v>12</v>
      </c>
    </row>
    <row r="69" spans="1:8" x14ac:dyDescent="0.25">
      <c r="A69">
        <v>1279743782</v>
      </c>
      <c r="B69" t="s">
        <v>144</v>
      </c>
      <c r="C69">
        <v>1</v>
      </c>
      <c r="D69" s="1">
        <v>6.45</v>
      </c>
      <c r="E69" s="10" t="s">
        <v>145</v>
      </c>
      <c r="F69" s="10" t="s">
        <v>146</v>
      </c>
      <c r="G69" s="10" t="s">
        <v>11</v>
      </c>
      <c r="H69" t="s">
        <v>16</v>
      </c>
    </row>
    <row r="70" spans="1:8" x14ac:dyDescent="0.25">
      <c r="A70">
        <v>1279736097</v>
      </c>
      <c r="B70" t="s">
        <v>102</v>
      </c>
      <c r="C70">
        <v>3</v>
      </c>
      <c r="D70" s="1">
        <v>15.95</v>
      </c>
      <c r="E70" s="10" t="s">
        <v>145</v>
      </c>
      <c r="F70" s="10" t="s">
        <v>103</v>
      </c>
      <c r="G70" s="10" t="s">
        <v>11</v>
      </c>
      <c r="H70" t="s">
        <v>16</v>
      </c>
    </row>
    <row r="71" spans="1:8" x14ac:dyDescent="0.25">
      <c r="A71">
        <v>1279736075</v>
      </c>
      <c r="B71" t="s">
        <v>147</v>
      </c>
      <c r="C71">
        <v>2</v>
      </c>
      <c r="D71" s="1">
        <v>11.45</v>
      </c>
      <c r="E71" s="10" t="s">
        <v>145</v>
      </c>
      <c r="F71" s="10" t="s">
        <v>148</v>
      </c>
      <c r="G71" s="10" t="s">
        <v>11</v>
      </c>
      <c r="H71" t="s">
        <v>16</v>
      </c>
    </row>
    <row r="72" spans="1:8" x14ac:dyDescent="0.25">
      <c r="A72">
        <v>1279593576</v>
      </c>
      <c r="B72" t="s">
        <v>149</v>
      </c>
      <c r="C72">
        <v>2</v>
      </c>
      <c r="D72" s="1">
        <v>3.54</v>
      </c>
      <c r="E72" s="10" t="s">
        <v>145</v>
      </c>
      <c r="F72" s="10" t="s">
        <v>150</v>
      </c>
      <c r="G72" s="10" t="s">
        <v>11</v>
      </c>
      <c r="H72" t="s">
        <v>16</v>
      </c>
    </row>
    <row r="73" spans="1:8" x14ac:dyDescent="0.25">
      <c r="A73">
        <v>1279515389</v>
      </c>
      <c r="B73" t="s">
        <v>151</v>
      </c>
      <c r="C73">
        <v>1</v>
      </c>
      <c r="D73" s="1">
        <v>67.61</v>
      </c>
      <c r="E73" s="10" t="s">
        <v>152</v>
      </c>
      <c r="F73" s="10" t="s">
        <v>153</v>
      </c>
      <c r="G73" s="10" t="s">
        <v>11</v>
      </c>
      <c r="H73" t="s">
        <v>16</v>
      </c>
    </row>
    <row r="74" spans="1:8" x14ac:dyDescent="0.25">
      <c r="A74">
        <v>1279514045</v>
      </c>
      <c r="B74" t="s">
        <v>154</v>
      </c>
      <c r="C74">
        <v>3</v>
      </c>
      <c r="D74" s="1">
        <v>22.2</v>
      </c>
      <c r="E74" s="10" t="s">
        <v>152</v>
      </c>
      <c r="F74" s="10" t="s">
        <v>155</v>
      </c>
      <c r="G74" s="10" t="s">
        <v>11</v>
      </c>
      <c r="H74" t="s">
        <v>16</v>
      </c>
    </row>
    <row r="75" spans="1:8" x14ac:dyDescent="0.25">
      <c r="A75">
        <v>1278501372</v>
      </c>
      <c r="B75" t="s">
        <v>156</v>
      </c>
      <c r="C75">
        <v>2</v>
      </c>
      <c r="D75" s="1">
        <v>13.45</v>
      </c>
      <c r="E75" s="10" t="s">
        <v>157</v>
      </c>
      <c r="F75" s="10" t="s">
        <v>158</v>
      </c>
      <c r="G75" s="10" t="s">
        <v>11</v>
      </c>
      <c r="H75" t="s">
        <v>16</v>
      </c>
    </row>
    <row r="76" spans="1:8" x14ac:dyDescent="0.25">
      <c r="A76">
        <v>1278500695</v>
      </c>
      <c r="B76" t="s">
        <v>159</v>
      </c>
      <c r="C76">
        <v>1</v>
      </c>
      <c r="D76" s="1">
        <v>24.23</v>
      </c>
      <c r="E76" s="10" t="s">
        <v>157</v>
      </c>
      <c r="F76" s="10" t="s">
        <v>160</v>
      </c>
      <c r="G76" s="10" t="s">
        <v>11</v>
      </c>
      <c r="H76" t="s">
        <v>16</v>
      </c>
    </row>
    <row r="77" spans="1:8" x14ac:dyDescent="0.25">
      <c r="A77">
        <v>1278427135</v>
      </c>
      <c r="B77" t="s">
        <v>161</v>
      </c>
      <c r="C77">
        <v>2</v>
      </c>
      <c r="D77" s="1">
        <v>49.48</v>
      </c>
      <c r="E77" s="10" t="s">
        <v>157</v>
      </c>
      <c r="F77" s="10" t="s">
        <v>162</v>
      </c>
      <c r="G77" s="10" t="s">
        <v>11</v>
      </c>
      <c r="H77" t="s">
        <v>16</v>
      </c>
    </row>
    <row r="78" spans="1:8" x14ac:dyDescent="0.25">
      <c r="A78">
        <v>1278141197</v>
      </c>
      <c r="B78" t="s">
        <v>163</v>
      </c>
      <c r="C78">
        <v>1</v>
      </c>
      <c r="D78" s="1">
        <v>3.2</v>
      </c>
      <c r="E78" s="10" t="s">
        <v>164</v>
      </c>
      <c r="F78" s="10" t="s">
        <v>165</v>
      </c>
      <c r="G78" s="10" t="s">
        <v>38</v>
      </c>
      <c r="H78" t="s">
        <v>16</v>
      </c>
    </row>
    <row r="79" spans="1:8" x14ac:dyDescent="0.25">
      <c r="A79">
        <v>1278141189</v>
      </c>
      <c r="B79" t="s">
        <v>166</v>
      </c>
      <c r="C79">
        <v>1</v>
      </c>
      <c r="D79" s="1">
        <v>3.14</v>
      </c>
      <c r="E79" s="10" t="s">
        <v>164</v>
      </c>
      <c r="F79" s="10" t="s">
        <v>167</v>
      </c>
      <c r="G79" s="10" t="s">
        <v>11</v>
      </c>
      <c r="H79" t="s">
        <v>16</v>
      </c>
    </row>
    <row r="80" spans="1:8" x14ac:dyDescent="0.25">
      <c r="A80">
        <v>1278141184</v>
      </c>
      <c r="B80" t="s">
        <v>168</v>
      </c>
      <c r="C80">
        <v>1</v>
      </c>
      <c r="D80" s="1">
        <v>3.14</v>
      </c>
      <c r="E80" s="10" t="s">
        <v>164</v>
      </c>
      <c r="F80" s="10" t="s">
        <v>169</v>
      </c>
      <c r="G80" s="10" t="s">
        <v>11</v>
      </c>
      <c r="H80" t="s">
        <v>16</v>
      </c>
    </row>
    <row r="81" spans="1:8" x14ac:dyDescent="0.25">
      <c r="A81">
        <v>1277856677</v>
      </c>
      <c r="B81" t="s">
        <v>170</v>
      </c>
      <c r="C81">
        <v>4</v>
      </c>
      <c r="D81" s="1">
        <v>7.88</v>
      </c>
      <c r="E81" s="10" t="s">
        <v>171</v>
      </c>
      <c r="F81" s="10" t="s">
        <v>172</v>
      </c>
      <c r="G81" s="10" t="s">
        <v>11</v>
      </c>
      <c r="H81" t="s">
        <v>16</v>
      </c>
    </row>
    <row r="82" spans="1:8" x14ac:dyDescent="0.25">
      <c r="A82">
        <v>1277855906</v>
      </c>
      <c r="B82" t="s">
        <v>173</v>
      </c>
      <c r="C82">
        <v>2</v>
      </c>
      <c r="D82" s="1">
        <v>3.55</v>
      </c>
      <c r="E82" s="10" t="s">
        <v>171</v>
      </c>
      <c r="F82" s="10" t="s">
        <v>174</v>
      </c>
      <c r="G82" s="10" t="s">
        <v>11</v>
      </c>
      <c r="H82" t="s">
        <v>16</v>
      </c>
    </row>
    <row r="83" spans="1:8" x14ac:dyDescent="0.25">
      <c r="A83">
        <v>1277855753</v>
      </c>
      <c r="B83" t="s">
        <v>175</v>
      </c>
      <c r="C83">
        <v>4</v>
      </c>
      <c r="D83" s="1">
        <v>13.41</v>
      </c>
      <c r="E83" s="10" t="s">
        <v>171</v>
      </c>
      <c r="F83" s="10" t="s">
        <v>176</v>
      </c>
      <c r="G83" s="10" t="s">
        <v>11</v>
      </c>
      <c r="H83" t="s">
        <v>16</v>
      </c>
    </row>
    <row r="84" spans="1:8" x14ac:dyDescent="0.25">
      <c r="A84">
        <v>1277854593</v>
      </c>
      <c r="B84" t="s">
        <v>177</v>
      </c>
      <c r="C84">
        <v>1</v>
      </c>
      <c r="D84" s="1">
        <v>21.45</v>
      </c>
      <c r="E84" s="10" t="s">
        <v>171</v>
      </c>
      <c r="F84" s="10" t="s">
        <v>178</v>
      </c>
      <c r="G84" s="10" t="s">
        <v>11</v>
      </c>
      <c r="H84" t="s">
        <v>16</v>
      </c>
    </row>
    <row r="85" spans="1:8" x14ac:dyDescent="0.25">
      <c r="A85">
        <v>1277844004</v>
      </c>
      <c r="B85" t="s">
        <v>179</v>
      </c>
      <c r="C85">
        <v>2</v>
      </c>
      <c r="D85" s="1">
        <v>6.47</v>
      </c>
      <c r="E85" s="10" t="s">
        <v>171</v>
      </c>
      <c r="F85" s="10" t="s">
        <v>180</v>
      </c>
      <c r="G85" s="10" t="s">
        <v>11</v>
      </c>
      <c r="H85" t="s">
        <v>16</v>
      </c>
    </row>
    <row r="86" spans="1:8" x14ac:dyDescent="0.25">
      <c r="A86">
        <v>1277842511</v>
      </c>
      <c r="B86" t="s">
        <v>181</v>
      </c>
      <c r="C86">
        <v>6</v>
      </c>
      <c r="D86" s="1">
        <v>4.51</v>
      </c>
      <c r="E86" s="10" t="s">
        <v>171</v>
      </c>
      <c r="F86" s="10" t="s">
        <v>182</v>
      </c>
      <c r="G86" s="10" t="s">
        <v>11</v>
      </c>
      <c r="H86" t="s">
        <v>16</v>
      </c>
    </row>
    <row r="87" spans="1:8" x14ac:dyDescent="0.25">
      <c r="A87">
        <v>1277835312</v>
      </c>
      <c r="B87" t="s">
        <v>183</v>
      </c>
      <c r="C87">
        <v>8</v>
      </c>
      <c r="D87" s="1">
        <v>10.3</v>
      </c>
      <c r="E87" s="10" t="s">
        <v>171</v>
      </c>
      <c r="F87" s="10" t="s">
        <v>184</v>
      </c>
      <c r="G87" s="10" t="s">
        <v>11</v>
      </c>
      <c r="H87" t="s">
        <v>16</v>
      </c>
    </row>
    <row r="88" spans="1:8" x14ac:dyDescent="0.25">
      <c r="A88">
        <v>1277823599</v>
      </c>
      <c r="B88" t="s">
        <v>185</v>
      </c>
      <c r="C88">
        <v>6</v>
      </c>
      <c r="D88" s="1">
        <v>8.92</v>
      </c>
      <c r="E88" s="10" t="s">
        <v>171</v>
      </c>
      <c r="F88" s="10" t="s">
        <v>186</v>
      </c>
      <c r="G88" s="10" t="s">
        <v>11</v>
      </c>
      <c r="H88" t="s">
        <v>16</v>
      </c>
    </row>
    <row r="89" spans="1:8" x14ac:dyDescent="0.25">
      <c r="A89">
        <v>1277236340</v>
      </c>
      <c r="B89" t="s">
        <v>187</v>
      </c>
      <c r="C89">
        <v>1</v>
      </c>
      <c r="D89" s="1">
        <v>1.95</v>
      </c>
      <c r="E89" s="10" t="s">
        <v>188</v>
      </c>
      <c r="F89" s="10" t="s">
        <v>189</v>
      </c>
      <c r="G89" s="10" t="s">
        <v>11</v>
      </c>
      <c r="H89" t="s">
        <v>16</v>
      </c>
    </row>
    <row r="90" spans="1:8" x14ac:dyDescent="0.25">
      <c r="A90">
        <v>1277231573</v>
      </c>
      <c r="B90" t="s">
        <v>190</v>
      </c>
      <c r="C90">
        <v>2</v>
      </c>
      <c r="D90" s="1">
        <v>2.91</v>
      </c>
      <c r="E90" s="10" t="s">
        <v>188</v>
      </c>
      <c r="F90" s="10" t="s">
        <v>191</v>
      </c>
      <c r="G90" s="10" t="s">
        <v>11</v>
      </c>
      <c r="H90" t="s">
        <v>16</v>
      </c>
    </row>
    <row r="91" spans="1:8" x14ac:dyDescent="0.25">
      <c r="A91">
        <v>1276668080</v>
      </c>
      <c r="B91" t="s">
        <v>192</v>
      </c>
      <c r="C91">
        <v>1</v>
      </c>
      <c r="D91" s="1">
        <v>9.4499999999999993</v>
      </c>
      <c r="E91" s="10" t="s">
        <v>193</v>
      </c>
      <c r="F91" s="10" t="s">
        <v>194</v>
      </c>
      <c r="G91" s="10" t="s">
        <v>38</v>
      </c>
      <c r="H91" t="s">
        <v>12</v>
      </c>
    </row>
    <row r="92" spans="1:8" x14ac:dyDescent="0.25">
      <c r="A92">
        <v>1276666850</v>
      </c>
      <c r="B92" t="s">
        <v>195</v>
      </c>
      <c r="C92">
        <v>2</v>
      </c>
      <c r="D92" s="1">
        <v>5.45</v>
      </c>
      <c r="E92" s="10" t="s">
        <v>193</v>
      </c>
      <c r="F92" s="10" t="s">
        <v>196</v>
      </c>
      <c r="G92" s="10" t="s">
        <v>11</v>
      </c>
      <c r="H92" t="s">
        <v>12</v>
      </c>
    </row>
    <row r="93" spans="1:8" x14ac:dyDescent="0.25">
      <c r="A93">
        <v>1276611355</v>
      </c>
      <c r="B93" t="s">
        <v>197</v>
      </c>
      <c r="C93">
        <v>1</v>
      </c>
      <c r="D93" s="1">
        <v>1.75</v>
      </c>
      <c r="E93" s="10" t="s">
        <v>193</v>
      </c>
      <c r="F93" s="10" t="s">
        <v>198</v>
      </c>
      <c r="G93" s="10" t="s">
        <v>11</v>
      </c>
      <c r="H93" t="s">
        <v>16</v>
      </c>
    </row>
    <row r="94" spans="1:8" x14ac:dyDescent="0.25">
      <c r="A94">
        <v>1276609179</v>
      </c>
      <c r="B94" t="s">
        <v>199</v>
      </c>
      <c r="C94">
        <v>2</v>
      </c>
      <c r="D94" s="1">
        <v>1.95</v>
      </c>
      <c r="E94" s="10" t="s">
        <v>193</v>
      </c>
      <c r="F94" s="10" t="s">
        <v>200</v>
      </c>
      <c r="G94" s="10" t="s">
        <v>48</v>
      </c>
      <c r="H94" t="s">
        <v>12</v>
      </c>
    </row>
    <row r="95" spans="1:8" x14ac:dyDescent="0.25">
      <c r="A95">
        <v>1276596993</v>
      </c>
      <c r="B95" t="s">
        <v>201</v>
      </c>
      <c r="C95">
        <v>2</v>
      </c>
      <c r="D95" s="1">
        <v>57.5</v>
      </c>
      <c r="E95" s="10" t="s">
        <v>193</v>
      </c>
      <c r="F95" s="10" t="s">
        <v>202</v>
      </c>
      <c r="G95" s="10" t="s">
        <v>11</v>
      </c>
      <c r="H95" t="s">
        <v>16</v>
      </c>
    </row>
    <row r="96" spans="1:8" x14ac:dyDescent="0.25">
      <c r="A96">
        <v>1276595473</v>
      </c>
      <c r="B96" t="s">
        <v>203</v>
      </c>
      <c r="C96">
        <v>2</v>
      </c>
      <c r="D96" s="1">
        <v>5.55</v>
      </c>
      <c r="E96" s="10" t="s">
        <v>193</v>
      </c>
      <c r="F96" s="10" t="s">
        <v>204</v>
      </c>
      <c r="G96" s="10" t="s">
        <v>11</v>
      </c>
      <c r="H96" t="s">
        <v>16</v>
      </c>
    </row>
    <row r="97" spans="1:8" x14ac:dyDescent="0.25">
      <c r="A97">
        <v>1276449169</v>
      </c>
      <c r="B97" t="s">
        <v>205</v>
      </c>
      <c r="C97">
        <v>1</v>
      </c>
      <c r="D97" s="1">
        <v>14.34</v>
      </c>
      <c r="E97" s="10" t="s">
        <v>206</v>
      </c>
      <c r="F97" s="10" t="s">
        <v>207</v>
      </c>
      <c r="G97" s="10" t="s">
        <v>11</v>
      </c>
      <c r="H97" t="s">
        <v>12</v>
      </c>
    </row>
    <row r="98" spans="1:8" x14ac:dyDescent="0.25">
      <c r="A98">
        <v>1276440581</v>
      </c>
      <c r="B98" t="s">
        <v>104</v>
      </c>
      <c r="C98">
        <v>3</v>
      </c>
      <c r="D98" s="1">
        <v>49.48</v>
      </c>
      <c r="E98" s="10" t="s">
        <v>206</v>
      </c>
      <c r="F98" s="10" t="s">
        <v>105</v>
      </c>
      <c r="G98" s="10" t="s">
        <v>11</v>
      </c>
      <c r="H98" t="s">
        <v>12</v>
      </c>
    </row>
    <row r="99" spans="1:8" x14ac:dyDescent="0.25">
      <c r="A99">
        <v>1276426649</v>
      </c>
      <c r="B99" t="s">
        <v>208</v>
      </c>
      <c r="C99">
        <v>1</v>
      </c>
      <c r="D99" s="1">
        <v>11.45</v>
      </c>
      <c r="E99" s="10" t="s">
        <v>206</v>
      </c>
      <c r="F99" s="10" t="s">
        <v>209</v>
      </c>
      <c r="G99" s="10" t="s">
        <v>11</v>
      </c>
      <c r="H99" t="s">
        <v>12</v>
      </c>
    </row>
    <row r="100" spans="1:8" x14ac:dyDescent="0.25">
      <c r="A100">
        <v>1276426613</v>
      </c>
      <c r="B100" t="s">
        <v>210</v>
      </c>
      <c r="C100">
        <v>1</v>
      </c>
      <c r="D100" s="1">
        <v>11.44</v>
      </c>
      <c r="E100" s="10" t="s">
        <v>206</v>
      </c>
      <c r="F100" s="10" t="s">
        <v>211</v>
      </c>
      <c r="G100" s="10" t="s">
        <v>38</v>
      </c>
      <c r="H100" t="s">
        <v>12</v>
      </c>
    </row>
    <row r="101" spans="1:8" x14ac:dyDescent="0.25">
      <c r="A101">
        <v>1276426574</v>
      </c>
      <c r="B101" t="s">
        <v>212</v>
      </c>
      <c r="C101">
        <v>1</v>
      </c>
      <c r="D101" s="1">
        <v>9.44</v>
      </c>
      <c r="E101" s="10" t="s">
        <v>206</v>
      </c>
      <c r="F101" s="10" t="s">
        <v>213</v>
      </c>
      <c r="G101" s="10" t="s">
        <v>11</v>
      </c>
      <c r="H101" t="s">
        <v>12</v>
      </c>
    </row>
    <row r="102" spans="1:8" x14ac:dyDescent="0.25">
      <c r="A102">
        <v>1276420896</v>
      </c>
      <c r="B102" t="s">
        <v>214</v>
      </c>
      <c r="C102">
        <v>1</v>
      </c>
      <c r="D102" s="1">
        <v>24.15</v>
      </c>
      <c r="E102" s="10" t="s">
        <v>206</v>
      </c>
      <c r="F102" s="10" t="s">
        <v>215</v>
      </c>
      <c r="G102" s="10" t="s">
        <v>11</v>
      </c>
      <c r="H102" t="s">
        <v>16</v>
      </c>
    </row>
    <row r="103" spans="1:8" ht="30" x14ac:dyDescent="0.25">
      <c r="A103">
        <v>1276368338</v>
      </c>
      <c r="B103" t="s">
        <v>61</v>
      </c>
      <c r="C103">
        <v>6</v>
      </c>
      <c r="D103" s="1">
        <v>2.63</v>
      </c>
      <c r="E103" s="10" t="s">
        <v>206</v>
      </c>
      <c r="F103" s="10" t="s">
        <v>63</v>
      </c>
      <c r="G103" s="10" t="s">
        <v>38</v>
      </c>
      <c r="H103" t="s">
        <v>16</v>
      </c>
    </row>
    <row r="104" spans="1:8" x14ac:dyDescent="0.25">
      <c r="A104">
        <v>1276368255</v>
      </c>
      <c r="B104" t="s">
        <v>116</v>
      </c>
      <c r="C104">
        <v>1</v>
      </c>
      <c r="D104" s="1">
        <v>21.15</v>
      </c>
      <c r="E104" s="10" t="s">
        <v>206</v>
      </c>
      <c r="F104" s="10" t="s">
        <v>117</v>
      </c>
      <c r="G104" s="10" t="s">
        <v>11</v>
      </c>
      <c r="H104" t="s">
        <v>16</v>
      </c>
    </row>
    <row r="105" spans="1:8" ht="30" x14ac:dyDescent="0.25">
      <c r="A105">
        <v>1276365871</v>
      </c>
      <c r="B105" t="s">
        <v>61</v>
      </c>
      <c r="C105">
        <v>4</v>
      </c>
      <c r="D105" s="1">
        <v>14.94</v>
      </c>
      <c r="E105" s="10" t="s">
        <v>206</v>
      </c>
      <c r="F105" s="10" t="s">
        <v>216</v>
      </c>
      <c r="G105" s="10" t="s">
        <v>38</v>
      </c>
      <c r="H105" t="s">
        <v>16</v>
      </c>
    </row>
    <row r="106" spans="1:8" x14ac:dyDescent="0.25">
      <c r="A106">
        <v>1276364502</v>
      </c>
      <c r="B106" t="s">
        <v>217</v>
      </c>
      <c r="C106">
        <v>1</v>
      </c>
      <c r="D106" s="1">
        <v>1.95</v>
      </c>
      <c r="E106" s="10" t="s">
        <v>206</v>
      </c>
      <c r="F106" s="10" t="s">
        <v>218</v>
      </c>
      <c r="G106" s="10" t="s">
        <v>11</v>
      </c>
      <c r="H106" t="s">
        <v>16</v>
      </c>
    </row>
    <row r="107" spans="1:8" x14ac:dyDescent="0.25">
      <c r="A107">
        <v>1276364490</v>
      </c>
      <c r="B107" t="s">
        <v>219</v>
      </c>
      <c r="C107">
        <v>2</v>
      </c>
      <c r="D107" s="1">
        <v>3.45</v>
      </c>
      <c r="E107" s="10" t="s">
        <v>206</v>
      </c>
      <c r="F107" s="10" t="s">
        <v>220</v>
      </c>
      <c r="G107" s="10" t="s">
        <v>11</v>
      </c>
      <c r="H107" t="s">
        <v>16</v>
      </c>
    </row>
    <row r="108" spans="1:8" x14ac:dyDescent="0.25">
      <c r="A108">
        <v>1276364321</v>
      </c>
      <c r="B108" t="s">
        <v>221</v>
      </c>
      <c r="C108">
        <v>3</v>
      </c>
      <c r="D108" s="1">
        <v>1.51</v>
      </c>
      <c r="E108" s="10" t="s">
        <v>206</v>
      </c>
      <c r="F108" s="10" t="s">
        <v>222</v>
      </c>
      <c r="G108" s="10" t="s">
        <v>11</v>
      </c>
      <c r="H108" t="s">
        <v>16</v>
      </c>
    </row>
    <row r="109" spans="1:8" x14ac:dyDescent="0.25">
      <c r="A109">
        <v>1276364037</v>
      </c>
      <c r="B109" t="s">
        <v>223</v>
      </c>
      <c r="C109">
        <v>3</v>
      </c>
      <c r="D109" s="1">
        <v>2.5</v>
      </c>
      <c r="E109" s="10" t="s">
        <v>206</v>
      </c>
      <c r="F109" s="10" t="s">
        <v>224</v>
      </c>
      <c r="G109" s="10" t="s">
        <v>11</v>
      </c>
      <c r="H109" t="s">
        <v>16</v>
      </c>
    </row>
    <row r="110" spans="1:8" x14ac:dyDescent="0.25">
      <c r="A110">
        <v>1276363015</v>
      </c>
      <c r="B110" t="s">
        <v>225</v>
      </c>
      <c r="C110">
        <v>4</v>
      </c>
      <c r="D110" s="1">
        <v>12.45</v>
      </c>
      <c r="E110" s="10" t="s">
        <v>206</v>
      </c>
      <c r="F110" s="10" t="s">
        <v>226</v>
      </c>
      <c r="G110" s="10" t="s">
        <v>11</v>
      </c>
      <c r="H110" t="s">
        <v>16</v>
      </c>
    </row>
    <row r="111" spans="1:8" x14ac:dyDescent="0.25">
      <c r="A111">
        <v>1276361995</v>
      </c>
      <c r="B111" t="s">
        <v>227</v>
      </c>
      <c r="C111">
        <v>2</v>
      </c>
      <c r="D111" s="1">
        <v>8.4499999999999993</v>
      </c>
      <c r="E111" s="10" t="s">
        <v>206</v>
      </c>
      <c r="F111" s="10" t="s">
        <v>228</v>
      </c>
      <c r="G111" s="10" t="s">
        <v>11</v>
      </c>
      <c r="H111" t="s">
        <v>16</v>
      </c>
    </row>
    <row r="112" spans="1:8" x14ac:dyDescent="0.25">
      <c r="A112">
        <v>1276361207</v>
      </c>
      <c r="B112" t="s">
        <v>190</v>
      </c>
      <c r="C112">
        <v>8</v>
      </c>
      <c r="D112" s="1">
        <v>4.9400000000000004</v>
      </c>
      <c r="E112" s="10" t="s">
        <v>206</v>
      </c>
      <c r="F112" s="10" t="s">
        <v>191</v>
      </c>
      <c r="G112" s="10" t="s">
        <v>11</v>
      </c>
      <c r="H112" t="s">
        <v>16</v>
      </c>
    </row>
    <row r="113" spans="1:8" x14ac:dyDescent="0.25">
      <c r="A113">
        <v>1276361197</v>
      </c>
      <c r="B113" t="s">
        <v>229</v>
      </c>
      <c r="C113">
        <v>7</v>
      </c>
      <c r="D113" s="1">
        <v>13.05</v>
      </c>
      <c r="E113" s="10" t="s">
        <v>206</v>
      </c>
      <c r="F113" s="10" t="s">
        <v>230</v>
      </c>
      <c r="G113" s="10" t="s">
        <v>11</v>
      </c>
      <c r="H113" t="s">
        <v>16</v>
      </c>
    </row>
    <row r="114" spans="1:8" x14ac:dyDescent="0.25">
      <c r="A114">
        <v>1276361160</v>
      </c>
      <c r="B114" t="s">
        <v>231</v>
      </c>
      <c r="C114">
        <v>3</v>
      </c>
      <c r="D114" s="1">
        <v>86.35</v>
      </c>
      <c r="E114" s="10" t="s">
        <v>206</v>
      </c>
      <c r="F114" s="10" t="s">
        <v>232</v>
      </c>
      <c r="G114" s="10" t="s">
        <v>11</v>
      </c>
      <c r="H114" t="s">
        <v>16</v>
      </c>
    </row>
    <row r="115" spans="1:8" x14ac:dyDescent="0.25">
      <c r="A115">
        <v>1276361133</v>
      </c>
      <c r="B115" t="s">
        <v>106</v>
      </c>
      <c r="C115">
        <v>3</v>
      </c>
      <c r="D115" s="1">
        <v>25.3</v>
      </c>
      <c r="E115" s="10" t="s">
        <v>206</v>
      </c>
      <c r="F115" s="10" t="s">
        <v>107</v>
      </c>
      <c r="G115" s="10" t="s">
        <v>11</v>
      </c>
      <c r="H115" t="s">
        <v>16</v>
      </c>
    </row>
    <row r="116" spans="1:8" x14ac:dyDescent="0.25">
      <c r="A116">
        <v>1276350182</v>
      </c>
      <c r="B116" t="s">
        <v>233</v>
      </c>
      <c r="C116">
        <v>5</v>
      </c>
      <c r="D116" s="1">
        <v>3.51</v>
      </c>
      <c r="E116" s="10" t="s">
        <v>206</v>
      </c>
      <c r="F116" s="10" t="s">
        <v>234</v>
      </c>
      <c r="G116" s="10" t="s">
        <v>11</v>
      </c>
      <c r="H116" t="s">
        <v>16</v>
      </c>
    </row>
    <row r="117" spans="1:8" x14ac:dyDescent="0.25">
      <c r="A117">
        <v>1276349689</v>
      </c>
      <c r="B117" t="s">
        <v>235</v>
      </c>
      <c r="C117">
        <v>2</v>
      </c>
      <c r="D117" s="1">
        <v>11.35</v>
      </c>
      <c r="E117" s="10" t="s">
        <v>206</v>
      </c>
      <c r="F117" s="10" t="s">
        <v>236</v>
      </c>
      <c r="G117" s="10" t="s">
        <v>11</v>
      </c>
      <c r="H117" t="s">
        <v>16</v>
      </c>
    </row>
    <row r="118" spans="1:8" x14ac:dyDescent="0.25">
      <c r="A118">
        <v>1276288887</v>
      </c>
      <c r="B118" t="s">
        <v>237</v>
      </c>
      <c r="C118">
        <v>8</v>
      </c>
      <c r="D118" s="1">
        <v>72.19</v>
      </c>
      <c r="E118" s="10" t="s">
        <v>238</v>
      </c>
      <c r="F118" s="10" t="s">
        <v>239</v>
      </c>
      <c r="G118" s="10" t="s">
        <v>11</v>
      </c>
      <c r="H118" t="s">
        <v>16</v>
      </c>
    </row>
    <row r="119" spans="1:8" x14ac:dyDescent="0.25">
      <c r="A119">
        <v>1276247604</v>
      </c>
      <c r="B119" t="s">
        <v>240</v>
      </c>
      <c r="C119">
        <v>1</v>
      </c>
      <c r="D119" s="1">
        <v>19.95</v>
      </c>
      <c r="E119" s="10" t="s">
        <v>238</v>
      </c>
      <c r="F119" s="10" t="s">
        <v>241</v>
      </c>
      <c r="G119" s="10" t="s">
        <v>11</v>
      </c>
      <c r="H119" t="s">
        <v>16</v>
      </c>
    </row>
    <row r="120" spans="1:8" x14ac:dyDescent="0.25">
      <c r="A120">
        <v>1276247424</v>
      </c>
      <c r="B120" t="s">
        <v>242</v>
      </c>
      <c r="C120">
        <v>1</v>
      </c>
      <c r="D120" s="1">
        <v>20.350000000000001</v>
      </c>
      <c r="E120" s="10" t="s">
        <v>238</v>
      </c>
      <c r="F120" s="10" t="s">
        <v>243</v>
      </c>
      <c r="G120" s="10" t="s">
        <v>11</v>
      </c>
      <c r="H120" t="s">
        <v>16</v>
      </c>
    </row>
    <row r="121" spans="1:8" ht="30" x14ac:dyDescent="0.25">
      <c r="A121">
        <v>1276244956</v>
      </c>
      <c r="B121" t="s">
        <v>8</v>
      </c>
      <c r="C121">
        <v>1</v>
      </c>
      <c r="D121" s="1">
        <v>24.75</v>
      </c>
      <c r="E121" s="10" t="s">
        <v>238</v>
      </c>
      <c r="F121" s="10" t="s">
        <v>244</v>
      </c>
      <c r="G121" s="10" t="s">
        <v>38</v>
      </c>
      <c r="H121" t="s">
        <v>16</v>
      </c>
    </row>
    <row r="122" spans="1:8" x14ac:dyDescent="0.25">
      <c r="A122">
        <v>1276244802</v>
      </c>
      <c r="B122" t="s">
        <v>35</v>
      </c>
      <c r="C122">
        <v>3</v>
      </c>
      <c r="D122" s="1">
        <v>5.89</v>
      </c>
      <c r="E122" s="10" t="s">
        <v>238</v>
      </c>
      <c r="F122" s="10" t="s">
        <v>94</v>
      </c>
      <c r="G122" s="10" t="s">
        <v>11</v>
      </c>
      <c r="H122" t="s">
        <v>16</v>
      </c>
    </row>
    <row r="123" spans="1:8" x14ac:dyDescent="0.25">
      <c r="A123">
        <v>1276244057</v>
      </c>
      <c r="B123" t="s">
        <v>245</v>
      </c>
      <c r="C123">
        <v>3</v>
      </c>
      <c r="D123" s="1">
        <v>11.95</v>
      </c>
      <c r="E123" s="10" t="s">
        <v>238</v>
      </c>
      <c r="F123" s="10" t="s">
        <v>246</v>
      </c>
      <c r="G123" s="10" t="s">
        <v>48</v>
      </c>
      <c r="H123" t="s">
        <v>12</v>
      </c>
    </row>
    <row r="124" spans="1:8" x14ac:dyDescent="0.25">
      <c r="A124">
        <v>1276238993</v>
      </c>
      <c r="B124" t="s">
        <v>247</v>
      </c>
      <c r="C124">
        <v>4</v>
      </c>
      <c r="D124" s="1">
        <v>3.79</v>
      </c>
      <c r="E124" s="10" t="s">
        <v>238</v>
      </c>
      <c r="F124" s="10" t="s">
        <v>248</v>
      </c>
      <c r="G124" s="10" t="s">
        <v>11</v>
      </c>
      <c r="H124" t="s">
        <v>16</v>
      </c>
    </row>
    <row r="125" spans="1:8" x14ac:dyDescent="0.25">
      <c r="A125">
        <v>1276220875</v>
      </c>
      <c r="B125" t="s">
        <v>92</v>
      </c>
      <c r="C125">
        <v>1</v>
      </c>
      <c r="D125" s="1">
        <v>1.8</v>
      </c>
      <c r="E125" s="10" t="s">
        <v>238</v>
      </c>
      <c r="F125" s="10" t="s">
        <v>93</v>
      </c>
      <c r="G125" s="10" t="s">
        <v>38</v>
      </c>
      <c r="H125" t="s">
        <v>16</v>
      </c>
    </row>
    <row r="126" spans="1:8" x14ac:dyDescent="0.25">
      <c r="A126">
        <v>1276219583</v>
      </c>
      <c r="B126" t="s">
        <v>249</v>
      </c>
      <c r="C126">
        <v>3</v>
      </c>
      <c r="D126" s="1">
        <v>1.75</v>
      </c>
      <c r="E126" s="10" t="s">
        <v>238</v>
      </c>
      <c r="F126" s="10" t="s">
        <v>250</v>
      </c>
      <c r="G126" s="10" t="s">
        <v>11</v>
      </c>
      <c r="H126" t="s">
        <v>16</v>
      </c>
    </row>
    <row r="127" spans="1:8" x14ac:dyDescent="0.25">
      <c r="A127">
        <v>1276219582</v>
      </c>
      <c r="B127" t="s">
        <v>251</v>
      </c>
      <c r="C127">
        <v>3</v>
      </c>
      <c r="D127" s="1">
        <v>4.45</v>
      </c>
      <c r="E127" s="10" t="s">
        <v>238</v>
      </c>
      <c r="F127" s="10" t="s">
        <v>252</v>
      </c>
      <c r="G127" s="10" t="s">
        <v>38</v>
      </c>
      <c r="H127" t="s">
        <v>16</v>
      </c>
    </row>
    <row r="128" spans="1:8" x14ac:dyDescent="0.25">
      <c r="A128">
        <v>1276219580</v>
      </c>
      <c r="B128" t="s">
        <v>253</v>
      </c>
      <c r="C128">
        <v>4</v>
      </c>
      <c r="D128" s="1">
        <v>13.65</v>
      </c>
      <c r="E128" s="10" t="s">
        <v>238</v>
      </c>
      <c r="F128" s="10" t="s">
        <v>254</v>
      </c>
      <c r="G128" s="10" t="s">
        <v>11</v>
      </c>
      <c r="H128" t="s">
        <v>16</v>
      </c>
    </row>
    <row r="129" spans="1:8" x14ac:dyDescent="0.25">
      <c r="A129">
        <v>1276219579</v>
      </c>
      <c r="B129" t="s">
        <v>255</v>
      </c>
      <c r="C129">
        <v>1</v>
      </c>
      <c r="D129" s="1">
        <v>3.45</v>
      </c>
      <c r="E129" s="10" t="s">
        <v>238</v>
      </c>
      <c r="F129" s="10" t="s">
        <v>256</v>
      </c>
      <c r="G129" s="10" t="s">
        <v>11</v>
      </c>
      <c r="H129" t="s">
        <v>16</v>
      </c>
    </row>
    <row r="130" spans="1:8" x14ac:dyDescent="0.25">
      <c r="A130">
        <v>1276219576</v>
      </c>
      <c r="B130" t="s">
        <v>257</v>
      </c>
      <c r="C130">
        <v>5</v>
      </c>
      <c r="D130" s="1">
        <v>9.35</v>
      </c>
      <c r="E130" s="10" t="s">
        <v>238</v>
      </c>
      <c r="F130" s="10" t="s">
        <v>258</v>
      </c>
      <c r="G130" s="10" t="s">
        <v>11</v>
      </c>
      <c r="H130" t="s">
        <v>16</v>
      </c>
    </row>
    <row r="131" spans="1:8" x14ac:dyDescent="0.25">
      <c r="A131">
        <v>1276219574</v>
      </c>
      <c r="B131" t="s">
        <v>259</v>
      </c>
      <c r="C131">
        <v>1</v>
      </c>
      <c r="D131" s="1">
        <v>3.45</v>
      </c>
      <c r="E131" s="10" t="s">
        <v>238</v>
      </c>
      <c r="F131" s="10" t="s">
        <v>260</v>
      </c>
      <c r="G131" s="10" t="s">
        <v>11</v>
      </c>
      <c r="H131" t="s">
        <v>16</v>
      </c>
    </row>
    <row r="132" spans="1:8" x14ac:dyDescent="0.25">
      <c r="A132">
        <v>1276219573</v>
      </c>
      <c r="B132" t="s">
        <v>261</v>
      </c>
      <c r="C132">
        <v>2</v>
      </c>
      <c r="D132" s="1">
        <v>7.95</v>
      </c>
      <c r="E132" s="10" t="s">
        <v>238</v>
      </c>
      <c r="F132" s="10" t="s">
        <v>262</v>
      </c>
      <c r="G132" s="10" t="s">
        <v>11</v>
      </c>
      <c r="H132" t="s">
        <v>16</v>
      </c>
    </row>
    <row r="133" spans="1:8" x14ac:dyDescent="0.25">
      <c r="A133">
        <v>1276219569</v>
      </c>
      <c r="B133" t="s">
        <v>19</v>
      </c>
      <c r="C133">
        <v>3</v>
      </c>
      <c r="D133" s="1">
        <v>6.27</v>
      </c>
      <c r="E133" s="10" t="s">
        <v>238</v>
      </c>
      <c r="F133" s="10" t="s">
        <v>263</v>
      </c>
      <c r="G133" s="10" t="s">
        <v>11</v>
      </c>
      <c r="H133" t="s">
        <v>16</v>
      </c>
    </row>
    <row r="134" spans="1:8" x14ac:dyDescent="0.25">
      <c r="A134">
        <v>1276219568</v>
      </c>
      <c r="B134" t="s">
        <v>264</v>
      </c>
      <c r="C134">
        <v>2</v>
      </c>
      <c r="D134" s="1">
        <v>10.199999999999999</v>
      </c>
      <c r="E134" s="10" t="s">
        <v>238</v>
      </c>
      <c r="F134" s="10" t="s">
        <v>265</v>
      </c>
      <c r="G134" s="10" t="s">
        <v>11</v>
      </c>
      <c r="H134" t="s">
        <v>266</v>
      </c>
    </row>
    <row r="135" spans="1:8" x14ac:dyDescent="0.25">
      <c r="A135">
        <v>1276219564</v>
      </c>
      <c r="B135" t="s">
        <v>267</v>
      </c>
      <c r="C135">
        <v>1</v>
      </c>
      <c r="D135" s="1">
        <v>4.4400000000000004</v>
      </c>
      <c r="E135" s="10" t="s">
        <v>238</v>
      </c>
      <c r="F135" s="10" t="s">
        <v>268</v>
      </c>
      <c r="G135" s="10" t="s">
        <v>11</v>
      </c>
      <c r="H135" t="s">
        <v>16</v>
      </c>
    </row>
    <row r="136" spans="1:8" x14ac:dyDescent="0.25">
      <c r="A136">
        <v>1276219563</v>
      </c>
      <c r="B136" t="s">
        <v>269</v>
      </c>
      <c r="C136">
        <v>1</v>
      </c>
      <c r="D136" s="1">
        <v>8.6999999999999993</v>
      </c>
      <c r="E136" s="10" t="s">
        <v>238</v>
      </c>
      <c r="F136" s="10" t="s">
        <v>270</v>
      </c>
      <c r="G136" s="10" t="s">
        <v>11</v>
      </c>
      <c r="H136" t="s">
        <v>16</v>
      </c>
    </row>
    <row r="137" spans="1:8" x14ac:dyDescent="0.25">
      <c r="A137">
        <v>1276219562</v>
      </c>
      <c r="B137" t="s">
        <v>43</v>
      </c>
      <c r="C137">
        <v>3</v>
      </c>
      <c r="D137" s="1">
        <v>4.45</v>
      </c>
      <c r="E137" s="10" t="s">
        <v>238</v>
      </c>
      <c r="F137" s="10" t="s">
        <v>44</v>
      </c>
      <c r="G137" s="10" t="s">
        <v>11</v>
      </c>
      <c r="H137" t="s">
        <v>16</v>
      </c>
    </row>
    <row r="138" spans="1:8" x14ac:dyDescent="0.25">
      <c r="A138">
        <v>1276219561</v>
      </c>
      <c r="B138" t="s">
        <v>271</v>
      </c>
      <c r="C138">
        <v>1</v>
      </c>
      <c r="D138" s="1">
        <v>4.1900000000000004</v>
      </c>
      <c r="E138" s="10" t="s">
        <v>238</v>
      </c>
      <c r="F138" s="10" t="s">
        <v>272</v>
      </c>
      <c r="G138" s="10" t="s">
        <v>11</v>
      </c>
      <c r="H138" t="s">
        <v>16</v>
      </c>
    </row>
    <row r="139" spans="1:8" x14ac:dyDescent="0.25">
      <c r="A139">
        <v>1276219560</v>
      </c>
      <c r="B139" t="s">
        <v>173</v>
      </c>
      <c r="C139">
        <v>5</v>
      </c>
      <c r="D139" s="1">
        <v>9.3000000000000007</v>
      </c>
      <c r="E139" s="10" t="s">
        <v>238</v>
      </c>
      <c r="F139" s="10" t="s">
        <v>174</v>
      </c>
      <c r="G139" s="10" t="s">
        <v>11</v>
      </c>
      <c r="H139" t="s">
        <v>16</v>
      </c>
    </row>
    <row r="140" spans="1:8" x14ac:dyDescent="0.25">
      <c r="A140">
        <v>1276219554</v>
      </c>
      <c r="B140" t="s">
        <v>273</v>
      </c>
      <c r="C140">
        <v>3</v>
      </c>
      <c r="D140" s="1">
        <v>2.95</v>
      </c>
      <c r="E140" s="10" t="s">
        <v>238</v>
      </c>
      <c r="F140" s="10" t="s">
        <v>274</v>
      </c>
      <c r="G140" s="10" t="s">
        <v>11</v>
      </c>
      <c r="H140" t="s">
        <v>16</v>
      </c>
    </row>
    <row r="141" spans="1:8" x14ac:dyDescent="0.25">
      <c r="A141">
        <v>1276219520</v>
      </c>
      <c r="B141" t="s">
        <v>183</v>
      </c>
      <c r="C141">
        <v>43</v>
      </c>
      <c r="D141" s="1">
        <v>48.94</v>
      </c>
      <c r="E141" s="10" t="s">
        <v>238</v>
      </c>
      <c r="F141" s="10" t="s">
        <v>275</v>
      </c>
      <c r="G141" s="10" t="s">
        <v>11</v>
      </c>
      <c r="H141" t="s">
        <v>16</v>
      </c>
    </row>
    <row r="142" spans="1:8" x14ac:dyDescent="0.25">
      <c r="A142">
        <v>1276151760</v>
      </c>
      <c r="B142" t="s">
        <v>276</v>
      </c>
      <c r="C142">
        <v>1</v>
      </c>
      <c r="D142" s="1">
        <v>82.81</v>
      </c>
      <c r="E142" s="10" t="s">
        <v>238</v>
      </c>
      <c r="F142" s="10" t="s">
        <v>277</v>
      </c>
      <c r="G142" s="10" t="s">
        <v>11</v>
      </c>
      <c r="H142" t="s">
        <v>16</v>
      </c>
    </row>
    <row r="143" spans="1:8" x14ac:dyDescent="0.25">
      <c r="A143">
        <v>1276142537</v>
      </c>
      <c r="B143" t="s">
        <v>278</v>
      </c>
      <c r="C143">
        <v>1</v>
      </c>
      <c r="D143" s="1">
        <v>123.21</v>
      </c>
      <c r="E143" s="10" t="s">
        <v>238</v>
      </c>
      <c r="F143" s="10" t="s">
        <v>279</v>
      </c>
      <c r="G143" s="10" t="s">
        <v>11</v>
      </c>
      <c r="H143" t="s">
        <v>16</v>
      </c>
    </row>
    <row r="144" spans="1:8" x14ac:dyDescent="0.25">
      <c r="A144">
        <v>1276141115</v>
      </c>
      <c r="B144" t="s">
        <v>280</v>
      </c>
      <c r="C144">
        <v>3</v>
      </c>
      <c r="D144" s="1">
        <v>67.66</v>
      </c>
      <c r="E144" s="10" t="s">
        <v>238</v>
      </c>
      <c r="F144" s="10" t="s">
        <v>281</v>
      </c>
      <c r="G144" s="10" t="s">
        <v>38</v>
      </c>
      <c r="H144" t="s">
        <v>16</v>
      </c>
    </row>
    <row r="145" spans="1:8" ht="30" x14ac:dyDescent="0.25">
      <c r="A145">
        <v>1276141010</v>
      </c>
      <c r="B145" t="s">
        <v>61</v>
      </c>
      <c r="C145">
        <v>1</v>
      </c>
      <c r="D145" s="1">
        <v>29.95</v>
      </c>
      <c r="E145" s="10" t="s">
        <v>238</v>
      </c>
      <c r="F145" s="10" t="s">
        <v>216</v>
      </c>
      <c r="G145" s="10" t="s">
        <v>38</v>
      </c>
      <c r="H145" t="s">
        <v>16</v>
      </c>
    </row>
    <row r="146" spans="1:8" ht="30" x14ac:dyDescent="0.25">
      <c r="A146">
        <v>1276140995</v>
      </c>
      <c r="B146" t="s">
        <v>8</v>
      </c>
      <c r="C146">
        <v>2</v>
      </c>
      <c r="D146" s="1">
        <v>28.5</v>
      </c>
      <c r="E146" s="10" t="s">
        <v>238</v>
      </c>
      <c r="F146" s="10" t="s">
        <v>37</v>
      </c>
      <c r="G146" s="10" t="s">
        <v>38</v>
      </c>
      <c r="H146" t="s">
        <v>16</v>
      </c>
    </row>
    <row r="147" spans="1:8" x14ac:dyDescent="0.25">
      <c r="A147">
        <v>1275996078</v>
      </c>
      <c r="B147" t="s">
        <v>282</v>
      </c>
      <c r="C147">
        <v>1</v>
      </c>
      <c r="D147" s="1">
        <v>1.7</v>
      </c>
      <c r="E147" s="10" t="s">
        <v>283</v>
      </c>
      <c r="F147" s="10" t="s">
        <v>284</v>
      </c>
      <c r="G147" s="10" t="s">
        <v>48</v>
      </c>
      <c r="H147" t="s">
        <v>12</v>
      </c>
    </row>
    <row r="148" spans="1:8" x14ac:dyDescent="0.25">
      <c r="A148">
        <v>1275963226</v>
      </c>
      <c r="B148" t="s">
        <v>285</v>
      </c>
      <c r="C148">
        <v>5</v>
      </c>
      <c r="D148" s="1">
        <v>9.15</v>
      </c>
      <c r="E148" s="10" t="s">
        <v>283</v>
      </c>
      <c r="F148" s="10" t="s">
        <v>286</v>
      </c>
      <c r="G148" s="10" t="s">
        <v>11</v>
      </c>
      <c r="H148" t="s">
        <v>12</v>
      </c>
    </row>
    <row r="149" spans="1:8" x14ac:dyDescent="0.25">
      <c r="A149">
        <v>1275846152</v>
      </c>
      <c r="B149" t="s">
        <v>287</v>
      </c>
      <c r="C149">
        <v>4</v>
      </c>
      <c r="D149" s="1">
        <v>2.0499999999999998</v>
      </c>
      <c r="E149" s="10" t="s">
        <v>288</v>
      </c>
      <c r="F149" s="10" t="s">
        <v>289</v>
      </c>
      <c r="G149" s="10" t="s">
        <v>11</v>
      </c>
      <c r="H149" t="s">
        <v>12</v>
      </c>
    </row>
    <row r="150" spans="1:8" x14ac:dyDescent="0.25">
      <c r="A150">
        <v>1275845928</v>
      </c>
      <c r="B150" t="s">
        <v>290</v>
      </c>
      <c r="C150">
        <v>4</v>
      </c>
      <c r="D150" s="1">
        <v>2.0499999999999998</v>
      </c>
      <c r="E150" s="10" t="s">
        <v>288</v>
      </c>
      <c r="F150" s="10" t="s">
        <v>291</v>
      </c>
      <c r="G150" s="10" t="s">
        <v>11</v>
      </c>
      <c r="H150" t="s">
        <v>12</v>
      </c>
    </row>
    <row r="151" spans="1:8" ht="30" x14ac:dyDescent="0.25">
      <c r="A151">
        <v>1275843154</v>
      </c>
      <c r="B151" t="s">
        <v>61</v>
      </c>
      <c r="C151">
        <v>2</v>
      </c>
      <c r="D151" s="1">
        <v>9.4499999999999993</v>
      </c>
      <c r="E151" s="10" t="s">
        <v>288</v>
      </c>
      <c r="F151" s="10" t="s">
        <v>63</v>
      </c>
      <c r="G151" s="10" t="s">
        <v>38</v>
      </c>
      <c r="H151" t="s">
        <v>12</v>
      </c>
    </row>
    <row r="152" spans="1:8" x14ac:dyDescent="0.25">
      <c r="A152">
        <v>1275840855</v>
      </c>
      <c r="B152" t="s">
        <v>292</v>
      </c>
      <c r="C152">
        <v>4</v>
      </c>
      <c r="D152" s="1">
        <v>1.85</v>
      </c>
      <c r="E152" s="10" t="s">
        <v>288</v>
      </c>
      <c r="F152" s="10" t="s">
        <v>293</v>
      </c>
      <c r="G152" s="10" t="s">
        <v>11</v>
      </c>
      <c r="H152" t="s">
        <v>12</v>
      </c>
    </row>
    <row r="153" spans="1:8" x14ac:dyDescent="0.25">
      <c r="A153">
        <v>1275840500</v>
      </c>
      <c r="B153" t="s">
        <v>285</v>
      </c>
      <c r="C153">
        <v>8</v>
      </c>
      <c r="D153" s="1">
        <v>18.45</v>
      </c>
      <c r="E153" s="10" t="s">
        <v>288</v>
      </c>
      <c r="F153" s="10" t="s">
        <v>286</v>
      </c>
      <c r="G153" s="10" t="s">
        <v>11</v>
      </c>
      <c r="H153" t="s">
        <v>12</v>
      </c>
    </row>
    <row r="154" spans="1:8" x14ac:dyDescent="0.25">
      <c r="A154">
        <v>1275840114</v>
      </c>
      <c r="B154" t="s">
        <v>294</v>
      </c>
      <c r="C154">
        <v>4</v>
      </c>
      <c r="D154" s="1">
        <v>16.25</v>
      </c>
      <c r="E154" s="10" t="s">
        <v>288</v>
      </c>
      <c r="F154" s="10" t="s">
        <v>295</v>
      </c>
      <c r="G154" s="10" t="s">
        <v>11</v>
      </c>
      <c r="H154" t="s">
        <v>12</v>
      </c>
    </row>
    <row r="155" spans="1:8" x14ac:dyDescent="0.25">
      <c r="A155">
        <v>1274354305</v>
      </c>
      <c r="B155" t="s">
        <v>296</v>
      </c>
      <c r="C155">
        <v>1</v>
      </c>
      <c r="D155" s="1">
        <v>1.95</v>
      </c>
      <c r="E155" s="10" t="s">
        <v>297</v>
      </c>
      <c r="F155" s="10" t="s">
        <v>298</v>
      </c>
      <c r="G155" s="10" t="s">
        <v>48</v>
      </c>
      <c r="H155" t="s">
        <v>12</v>
      </c>
    </row>
    <row r="156" spans="1:8" x14ac:dyDescent="0.25">
      <c r="A156">
        <v>1273923257</v>
      </c>
      <c r="B156" t="s">
        <v>299</v>
      </c>
      <c r="C156">
        <v>1</v>
      </c>
      <c r="D156" s="1">
        <v>1.95</v>
      </c>
      <c r="E156" s="10" t="s">
        <v>300</v>
      </c>
      <c r="F156" s="10" t="s">
        <v>301</v>
      </c>
      <c r="G156" s="10" t="s">
        <v>48</v>
      </c>
      <c r="H156" t="s">
        <v>12</v>
      </c>
    </row>
    <row r="157" spans="1:8" x14ac:dyDescent="0.25">
      <c r="A157">
        <v>1271466316</v>
      </c>
      <c r="B157" t="s">
        <v>92</v>
      </c>
      <c r="C157">
        <v>1</v>
      </c>
      <c r="D157" s="1">
        <v>1.55</v>
      </c>
      <c r="E157" s="10" t="s">
        <v>302</v>
      </c>
      <c r="F157" s="10" t="s">
        <v>93</v>
      </c>
      <c r="G157" s="10" t="s">
        <v>38</v>
      </c>
      <c r="H157" t="s">
        <v>12</v>
      </c>
    </row>
    <row r="158" spans="1:8" x14ac:dyDescent="0.25">
      <c r="A158">
        <v>1270673758</v>
      </c>
      <c r="B158" t="s">
        <v>303</v>
      </c>
      <c r="C158">
        <v>1</v>
      </c>
      <c r="D158" s="1">
        <v>6.39</v>
      </c>
      <c r="E158" s="10" t="s">
        <v>304</v>
      </c>
      <c r="F158" s="10" t="s">
        <v>305</v>
      </c>
      <c r="G158" s="10" t="s">
        <v>11</v>
      </c>
      <c r="H158" t="s">
        <v>12</v>
      </c>
    </row>
    <row r="159" spans="1:8" x14ac:dyDescent="0.25">
      <c r="A159">
        <v>1270672711</v>
      </c>
      <c r="B159" t="s">
        <v>35</v>
      </c>
      <c r="C159">
        <v>4</v>
      </c>
      <c r="D159" s="1">
        <v>21.37</v>
      </c>
      <c r="E159" s="10" t="s">
        <v>304</v>
      </c>
      <c r="F159" s="10" t="s">
        <v>94</v>
      </c>
      <c r="G159" s="10" t="s">
        <v>11</v>
      </c>
      <c r="H159" t="s">
        <v>12</v>
      </c>
    </row>
    <row r="160" spans="1:8" x14ac:dyDescent="0.25">
      <c r="A160">
        <v>1268320882</v>
      </c>
      <c r="B160" t="s">
        <v>306</v>
      </c>
      <c r="C160">
        <v>2</v>
      </c>
      <c r="D160" s="1">
        <v>7.23</v>
      </c>
      <c r="E160" s="10" t="s">
        <v>307</v>
      </c>
      <c r="F160" s="10" t="s">
        <v>308</v>
      </c>
      <c r="G160" s="10" t="s">
        <v>48</v>
      </c>
      <c r="H160" t="s">
        <v>12</v>
      </c>
    </row>
    <row r="161" spans="1:8" x14ac:dyDescent="0.25">
      <c r="A161">
        <v>1267203294</v>
      </c>
      <c r="B161" t="s">
        <v>309</v>
      </c>
      <c r="C161">
        <v>1</v>
      </c>
      <c r="D161" s="1">
        <v>5.4</v>
      </c>
      <c r="E161" s="10" t="s">
        <v>310</v>
      </c>
      <c r="F161" s="10" t="s">
        <v>311</v>
      </c>
      <c r="G161" s="10" t="s">
        <v>48</v>
      </c>
      <c r="H161" t="s">
        <v>12</v>
      </c>
    </row>
    <row r="162" spans="1:8" x14ac:dyDescent="0.25">
      <c r="A162">
        <v>1266994871</v>
      </c>
      <c r="B162" t="s">
        <v>312</v>
      </c>
      <c r="C162">
        <v>2</v>
      </c>
      <c r="D162" s="1">
        <v>3.35</v>
      </c>
      <c r="E162" s="10" t="s">
        <v>313</v>
      </c>
      <c r="F162" s="10" t="s">
        <v>314</v>
      </c>
      <c r="G162" s="10" t="s">
        <v>48</v>
      </c>
      <c r="H162" t="s">
        <v>12</v>
      </c>
    </row>
    <row r="163" spans="1:8" x14ac:dyDescent="0.25">
      <c r="A163">
        <v>1266244894</v>
      </c>
      <c r="B163" t="s">
        <v>315</v>
      </c>
      <c r="C163">
        <v>1</v>
      </c>
      <c r="D163" s="1">
        <v>52.01</v>
      </c>
      <c r="E163" s="10" t="s">
        <v>316</v>
      </c>
      <c r="F163" s="10" t="s">
        <v>317</v>
      </c>
      <c r="G163" s="10" t="s">
        <v>38</v>
      </c>
      <c r="H163" t="s">
        <v>12</v>
      </c>
    </row>
    <row r="164" spans="1:8" x14ac:dyDescent="0.25">
      <c r="A164">
        <v>1266121863</v>
      </c>
      <c r="B164" t="s">
        <v>318</v>
      </c>
      <c r="C164">
        <v>8</v>
      </c>
      <c r="D164" s="1">
        <v>18.25</v>
      </c>
      <c r="E164" s="10" t="s">
        <v>316</v>
      </c>
      <c r="F164" s="10" t="s">
        <v>319</v>
      </c>
      <c r="G164" s="10" t="s">
        <v>48</v>
      </c>
      <c r="H164" t="s">
        <v>12</v>
      </c>
    </row>
    <row r="165" spans="1:8" x14ac:dyDescent="0.25">
      <c r="A165">
        <v>1265242239</v>
      </c>
      <c r="B165" t="s">
        <v>320</v>
      </c>
      <c r="C165">
        <v>4</v>
      </c>
      <c r="D165" s="1">
        <v>4.45</v>
      </c>
      <c r="E165" s="10" t="s">
        <v>321</v>
      </c>
      <c r="F165" s="10" t="s">
        <v>322</v>
      </c>
      <c r="G165" s="10" t="s">
        <v>11</v>
      </c>
      <c r="H165" t="s">
        <v>12</v>
      </c>
    </row>
    <row r="166" spans="1:8" x14ac:dyDescent="0.25">
      <c r="A166">
        <v>1265192498</v>
      </c>
      <c r="B166" t="s">
        <v>323</v>
      </c>
      <c r="C166">
        <v>2</v>
      </c>
      <c r="D166" s="1">
        <v>124.63</v>
      </c>
      <c r="E166" s="10" t="s">
        <v>321</v>
      </c>
      <c r="F166" s="10" t="s">
        <v>324</v>
      </c>
      <c r="G166" s="10" t="s">
        <v>11</v>
      </c>
      <c r="H166" t="s">
        <v>12</v>
      </c>
    </row>
    <row r="167" spans="1:8" x14ac:dyDescent="0.25">
      <c r="A167">
        <v>1264582657</v>
      </c>
      <c r="B167" t="s">
        <v>325</v>
      </c>
      <c r="C167">
        <v>4</v>
      </c>
      <c r="D167" s="1">
        <v>12.6</v>
      </c>
      <c r="E167" s="10" t="s">
        <v>326</v>
      </c>
      <c r="F167" s="10" t="s">
        <v>327</v>
      </c>
      <c r="G167" s="10" t="s">
        <v>38</v>
      </c>
      <c r="H167" t="s">
        <v>12</v>
      </c>
    </row>
    <row r="168" spans="1:8" x14ac:dyDescent="0.25">
      <c r="A168">
        <v>1264242539</v>
      </c>
      <c r="B168" t="s">
        <v>328</v>
      </c>
      <c r="C168">
        <v>2</v>
      </c>
      <c r="D168" s="1">
        <v>7.35</v>
      </c>
      <c r="E168" s="10" t="s">
        <v>329</v>
      </c>
      <c r="F168" s="10" t="s">
        <v>330</v>
      </c>
      <c r="G168" s="10" t="s">
        <v>11</v>
      </c>
      <c r="H168" t="s">
        <v>12</v>
      </c>
    </row>
    <row r="169" spans="1:8" x14ac:dyDescent="0.25">
      <c r="A169">
        <v>1264228159</v>
      </c>
      <c r="B169" t="s">
        <v>331</v>
      </c>
      <c r="C169">
        <v>7</v>
      </c>
      <c r="D169" s="1">
        <v>38.729999999999997</v>
      </c>
      <c r="E169" s="10" t="s">
        <v>329</v>
      </c>
      <c r="F169" s="10" t="s">
        <v>332</v>
      </c>
      <c r="G169" s="10" t="s">
        <v>11</v>
      </c>
      <c r="H169" t="s">
        <v>12</v>
      </c>
    </row>
    <row r="170" spans="1:8" x14ac:dyDescent="0.25">
      <c r="A170">
        <v>1263537193</v>
      </c>
      <c r="B170" t="s">
        <v>333</v>
      </c>
      <c r="C170">
        <v>1</v>
      </c>
      <c r="D170" s="1">
        <v>1.95</v>
      </c>
      <c r="E170" s="10" t="s">
        <v>334</v>
      </c>
      <c r="F170" s="10" t="s">
        <v>335</v>
      </c>
      <c r="G170" s="10" t="s">
        <v>48</v>
      </c>
      <c r="H170" t="s">
        <v>12</v>
      </c>
    </row>
    <row r="171" spans="1:8" x14ac:dyDescent="0.25">
      <c r="A171">
        <v>1263299290</v>
      </c>
      <c r="B171" t="s">
        <v>336</v>
      </c>
      <c r="C171">
        <v>4</v>
      </c>
      <c r="D171" s="1">
        <v>9.25</v>
      </c>
      <c r="E171" s="10" t="s">
        <v>337</v>
      </c>
      <c r="F171" s="10" t="s">
        <v>338</v>
      </c>
      <c r="G171" s="10" t="s">
        <v>48</v>
      </c>
      <c r="H171" t="s">
        <v>12</v>
      </c>
    </row>
    <row r="172" spans="1:8" x14ac:dyDescent="0.25">
      <c r="A172">
        <v>1262889786</v>
      </c>
      <c r="B172" t="s">
        <v>64</v>
      </c>
      <c r="C172">
        <v>4</v>
      </c>
      <c r="D172" s="1">
        <v>5.09</v>
      </c>
      <c r="E172" s="10" t="s">
        <v>339</v>
      </c>
      <c r="F172" s="10" t="s">
        <v>65</v>
      </c>
      <c r="G172" s="10" t="s">
        <v>11</v>
      </c>
      <c r="H172" t="s">
        <v>12</v>
      </c>
    </row>
    <row r="173" spans="1:8" x14ac:dyDescent="0.25">
      <c r="A173">
        <v>1262888434</v>
      </c>
      <c r="B173" t="s">
        <v>285</v>
      </c>
      <c r="C173">
        <v>4</v>
      </c>
      <c r="D173" s="1">
        <v>24.05</v>
      </c>
      <c r="E173" s="10" t="s">
        <v>339</v>
      </c>
      <c r="F173" s="10" t="s">
        <v>286</v>
      </c>
      <c r="G173" s="10" t="s">
        <v>11</v>
      </c>
      <c r="H173" t="s">
        <v>12</v>
      </c>
    </row>
    <row r="174" spans="1:8" x14ac:dyDescent="0.25">
      <c r="A174">
        <v>1262887894</v>
      </c>
      <c r="B174" t="s">
        <v>340</v>
      </c>
      <c r="C174">
        <v>2</v>
      </c>
      <c r="D174" s="1">
        <v>21.43</v>
      </c>
      <c r="E174" s="10" t="s">
        <v>339</v>
      </c>
      <c r="F174" s="10" t="s">
        <v>341</v>
      </c>
      <c r="G174" s="10" t="s">
        <v>11</v>
      </c>
      <c r="H174" t="s">
        <v>12</v>
      </c>
    </row>
    <row r="175" spans="1:8" x14ac:dyDescent="0.25">
      <c r="A175">
        <v>1262629977</v>
      </c>
      <c r="B175" t="s">
        <v>342</v>
      </c>
      <c r="C175">
        <v>4</v>
      </c>
      <c r="D175" s="1">
        <v>2.4500000000000002</v>
      </c>
      <c r="E175" s="10" t="s">
        <v>343</v>
      </c>
      <c r="F175" s="10" t="s">
        <v>344</v>
      </c>
      <c r="G175" s="10" t="s">
        <v>48</v>
      </c>
      <c r="H175" t="s">
        <v>12</v>
      </c>
    </row>
    <row r="176" spans="1:8" x14ac:dyDescent="0.25">
      <c r="A176">
        <v>1262419985</v>
      </c>
      <c r="B176" t="s">
        <v>294</v>
      </c>
      <c r="C176">
        <v>17</v>
      </c>
      <c r="D176" s="1">
        <v>17.100000000000001</v>
      </c>
      <c r="E176" s="10" t="s">
        <v>345</v>
      </c>
      <c r="F176" s="10" t="s">
        <v>346</v>
      </c>
      <c r="G176" s="10" t="s">
        <v>48</v>
      </c>
      <c r="H176" t="s">
        <v>12</v>
      </c>
    </row>
    <row r="177" spans="1:8" x14ac:dyDescent="0.25">
      <c r="A177">
        <v>1262398464</v>
      </c>
      <c r="B177" t="s">
        <v>347</v>
      </c>
      <c r="C177">
        <v>1</v>
      </c>
      <c r="D177" s="1">
        <v>4.4000000000000004</v>
      </c>
      <c r="E177" s="10" t="s">
        <v>345</v>
      </c>
      <c r="F177" s="10" t="s">
        <v>348</v>
      </c>
      <c r="G177" s="10" t="s">
        <v>48</v>
      </c>
      <c r="H177" t="s">
        <v>12</v>
      </c>
    </row>
    <row r="178" spans="1:8" x14ac:dyDescent="0.25">
      <c r="A178">
        <v>1261791271</v>
      </c>
      <c r="B178" t="s">
        <v>349</v>
      </c>
      <c r="C178">
        <v>4</v>
      </c>
      <c r="D178" s="1">
        <v>3.7</v>
      </c>
      <c r="E178" s="10" t="s">
        <v>350</v>
      </c>
      <c r="F178" s="10" t="s">
        <v>351</v>
      </c>
      <c r="G178" s="10" t="s">
        <v>48</v>
      </c>
      <c r="H178" t="s">
        <v>12</v>
      </c>
    </row>
    <row r="179" spans="1:8" ht="30" x14ac:dyDescent="0.25">
      <c r="A179">
        <v>1261362738</v>
      </c>
      <c r="B179" t="s">
        <v>8</v>
      </c>
      <c r="C179">
        <v>2</v>
      </c>
      <c r="D179" s="1">
        <v>3.4</v>
      </c>
      <c r="E179" s="10" t="s">
        <v>352</v>
      </c>
      <c r="F179" s="10" t="s">
        <v>244</v>
      </c>
      <c r="G179" s="10" t="s">
        <v>38</v>
      </c>
      <c r="H179" t="s">
        <v>12</v>
      </c>
    </row>
    <row r="180" spans="1:8" x14ac:dyDescent="0.25">
      <c r="A180">
        <v>1261362700</v>
      </c>
      <c r="B180" t="s">
        <v>51</v>
      </c>
      <c r="C180">
        <v>4</v>
      </c>
      <c r="D180" s="1">
        <v>7.45</v>
      </c>
      <c r="E180" s="10" t="s">
        <v>352</v>
      </c>
      <c r="F180" s="10" t="s">
        <v>53</v>
      </c>
      <c r="G180" s="10" t="s">
        <v>11</v>
      </c>
      <c r="H180" t="s">
        <v>12</v>
      </c>
    </row>
    <row r="181" spans="1:8" x14ac:dyDescent="0.25">
      <c r="A181">
        <v>1261092661</v>
      </c>
      <c r="B181" t="s">
        <v>170</v>
      </c>
      <c r="C181">
        <v>6</v>
      </c>
      <c r="D181" s="1">
        <v>3.01</v>
      </c>
      <c r="E181" s="10" t="s">
        <v>353</v>
      </c>
      <c r="F181" s="10" t="s">
        <v>172</v>
      </c>
      <c r="G181" s="10" t="s">
        <v>11</v>
      </c>
      <c r="H181" t="s">
        <v>12</v>
      </c>
    </row>
    <row r="182" spans="1:8" x14ac:dyDescent="0.25">
      <c r="A182">
        <v>1260889596</v>
      </c>
      <c r="B182" t="s">
        <v>354</v>
      </c>
      <c r="C182">
        <v>4</v>
      </c>
      <c r="D182" s="1">
        <v>6.4</v>
      </c>
      <c r="E182" s="10" t="s">
        <v>355</v>
      </c>
      <c r="F182" s="10" t="s">
        <v>356</v>
      </c>
      <c r="G182" s="10" t="s">
        <v>48</v>
      </c>
      <c r="H182" t="s">
        <v>12</v>
      </c>
    </row>
    <row r="183" spans="1:8" x14ac:dyDescent="0.25">
      <c r="A183">
        <v>1260428137</v>
      </c>
      <c r="B183" t="s">
        <v>357</v>
      </c>
      <c r="C183">
        <v>2</v>
      </c>
      <c r="D183" s="1">
        <v>9.35</v>
      </c>
      <c r="E183" s="10" t="s">
        <v>358</v>
      </c>
      <c r="F183" s="10" t="s">
        <v>359</v>
      </c>
      <c r="G183" s="10" t="s">
        <v>48</v>
      </c>
      <c r="H183" t="s">
        <v>12</v>
      </c>
    </row>
    <row r="184" spans="1:8" x14ac:dyDescent="0.25">
      <c r="A184">
        <v>1260052296</v>
      </c>
      <c r="B184" t="s">
        <v>360</v>
      </c>
      <c r="C184">
        <v>1</v>
      </c>
      <c r="D184" s="1">
        <v>6.55</v>
      </c>
      <c r="E184" s="10" t="s">
        <v>361</v>
      </c>
      <c r="F184" s="10" t="s">
        <v>362</v>
      </c>
      <c r="G184" s="10" t="s">
        <v>48</v>
      </c>
      <c r="H184" t="s">
        <v>12</v>
      </c>
    </row>
    <row r="185" spans="1:8" x14ac:dyDescent="0.25">
      <c r="A185">
        <v>1259925283</v>
      </c>
      <c r="B185" t="s">
        <v>363</v>
      </c>
      <c r="C185">
        <v>3</v>
      </c>
      <c r="D185" s="1">
        <v>9.85</v>
      </c>
      <c r="E185" s="10" t="s">
        <v>364</v>
      </c>
      <c r="F185" s="10" t="s">
        <v>365</v>
      </c>
      <c r="G185" s="10" t="s">
        <v>48</v>
      </c>
      <c r="H185" t="s">
        <v>12</v>
      </c>
    </row>
    <row r="186" spans="1:8" x14ac:dyDescent="0.25">
      <c r="A186">
        <v>1258883321</v>
      </c>
      <c r="B186" t="s">
        <v>366</v>
      </c>
      <c r="C186">
        <v>1</v>
      </c>
      <c r="D186" s="1">
        <v>4.4000000000000004</v>
      </c>
      <c r="E186" s="10" t="s">
        <v>367</v>
      </c>
      <c r="F186" s="10" t="s">
        <v>368</v>
      </c>
      <c r="G186" s="10" t="s">
        <v>48</v>
      </c>
      <c r="H186" t="s">
        <v>12</v>
      </c>
    </row>
    <row r="187" spans="1:8" x14ac:dyDescent="0.25">
      <c r="A187">
        <v>1258565333</v>
      </c>
      <c r="B187" t="s">
        <v>369</v>
      </c>
      <c r="C187">
        <v>1</v>
      </c>
      <c r="D187" s="1">
        <v>10.4</v>
      </c>
      <c r="E187" s="10" t="s">
        <v>370</v>
      </c>
      <c r="F187" s="10" t="s">
        <v>371</v>
      </c>
      <c r="G187" s="10" t="s">
        <v>48</v>
      </c>
      <c r="H187" t="s">
        <v>12</v>
      </c>
    </row>
    <row r="188" spans="1:8" x14ac:dyDescent="0.25">
      <c r="A188">
        <v>1258407112</v>
      </c>
      <c r="B188" t="s">
        <v>318</v>
      </c>
      <c r="C188">
        <v>12</v>
      </c>
      <c r="D188" s="1">
        <v>19.75</v>
      </c>
      <c r="E188" s="10" t="s">
        <v>372</v>
      </c>
      <c r="F188" s="10" t="s">
        <v>319</v>
      </c>
      <c r="G188" s="10" t="s">
        <v>48</v>
      </c>
      <c r="H188" t="s">
        <v>12</v>
      </c>
    </row>
    <row r="189" spans="1:8" x14ac:dyDescent="0.25">
      <c r="A189">
        <v>1258369919</v>
      </c>
      <c r="B189" t="s">
        <v>373</v>
      </c>
      <c r="C189">
        <v>2</v>
      </c>
      <c r="D189" s="1">
        <v>4.3499999999999996</v>
      </c>
      <c r="E189" s="10" t="s">
        <v>372</v>
      </c>
      <c r="F189" s="10" t="s">
        <v>374</v>
      </c>
      <c r="G189" s="10" t="s">
        <v>48</v>
      </c>
      <c r="H189" t="s">
        <v>12</v>
      </c>
    </row>
    <row r="190" spans="1:8" x14ac:dyDescent="0.25">
      <c r="A190">
        <v>1257677828</v>
      </c>
      <c r="B190" t="s">
        <v>375</v>
      </c>
      <c r="C190">
        <v>5</v>
      </c>
      <c r="D190" s="1">
        <v>8.14</v>
      </c>
      <c r="E190" s="10" t="s">
        <v>376</v>
      </c>
      <c r="F190" s="10" t="s">
        <v>377</v>
      </c>
      <c r="G190" s="10" t="s">
        <v>48</v>
      </c>
      <c r="H190" t="s">
        <v>12</v>
      </c>
    </row>
    <row r="191" spans="1:8" x14ac:dyDescent="0.25">
      <c r="A191">
        <v>1257613765</v>
      </c>
      <c r="B191" t="s">
        <v>378</v>
      </c>
      <c r="C191">
        <v>4</v>
      </c>
      <c r="D191" s="1">
        <v>4.5999999999999996</v>
      </c>
      <c r="E191" s="10" t="s">
        <v>376</v>
      </c>
      <c r="F191" s="10" t="s">
        <v>379</v>
      </c>
      <c r="G191" s="10" t="s">
        <v>48</v>
      </c>
      <c r="H191" t="s">
        <v>12</v>
      </c>
    </row>
    <row r="192" spans="1:8" x14ac:dyDescent="0.25">
      <c r="A192">
        <v>1257556326</v>
      </c>
      <c r="B192" t="s">
        <v>380</v>
      </c>
      <c r="C192">
        <v>2</v>
      </c>
      <c r="D192" s="1">
        <v>21.35</v>
      </c>
      <c r="E192" s="10" t="s">
        <v>376</v>
      </c>
      <c r="F192" s="10" t="s">
        <v>381</v>
      </c>
      <c r="G192" s="10" t="s">
        <v>48</v>
      </c>
      <c r="H192" t="s">
        <v>12</v>
      </c>
    </row>
    <row r="193" spans="1:8" x14ac:dyDescent="0.25">
      <c r="A193">
        <v>1257503357</v>
      </c>
      <c r="B193" t="s">
        <v>382</v>
      </c>
      <c r="C193">
        <v>4</v>
      </c>
      <c r="D193" s="1">
        <v>10.4</v>
      </c>
      <c r="E193" s="10" t="s">
        <v>383</v>
      </c>
      <c r="F193" s="10" t="s">
        <v>384</v>
      </c>
      <c r="G193" s="10" t="s">
        <v>48</v>
      </c>
      <c r="H193" t="s">
        <v>12</v>
      </c>
    </row>
    <row r="194" spans="1:8" x14ac:dyDescent="0.25">
      <c r="A194">
        <v>1257189486</v>
      </c>
      <c r="B194" t="s">
        <v>385</v>
      </c>
      <c r="C194">
        <v>4</v>
      </c>
      <c r="D194" s="1">
        <v>4.5999999999999996</v>
      </c>
      <c r="E194" s="10" t="s">
        <v>386</v>
      </c>
      <c r="F194" s="10" t="s">
        <v>387</v>
      </c>
      <c r="G194" s="10" t="s">
        <v>48</v>
      </c>
      <c r="H194" t="s">
        <v>12</v>
      </c>
    </row>
    <row r="195" spans="1:8" x14ac:dyDescent="0.25">
      <c r="A195">
        <v>1256847267</v>
      </c>
      <c r="B195" t="s">
        <v>388</v>
      </c>
      <c r="C195">
        <v>1</v>
      </c>
      <c r="D195" s="1">
        <v>33.57</v>
      </c>
      <c r="E195" s="10" t="s">
        <v>389</v>
      </c>
      <c r="F195" s="10" t="s">
        <v>390</v>
      </c>
      <c r="G195" s="10" t="s">
        <v>11</v>
      </c>
      <c r="H195" t="s">
        <v>12</v>
      </c>
    </row>
    <row r="196" spans="1:8" x14ac:dyDescent="0.25">
      <c r="A196">
        <v>1256802315</v>
      </c>
      <c r="B196" t="s">
        <v>391</v>
      </c>
      <c r="C196">
        <v>1</v>
      </c>
      <c r="D196" s="1">
        <v>56.4</v>
      </c>
      <c r="E196" s="10" t="s">
        <v>392</v>
      </c>
      <c r="F196" s="10" t="s">
        <v>393</v>
      </c>
      <c r="G196" s="10" t="s">
        <v>11</v>
      </c>
      <c r="H196" t="s">
        <v>12</v>
      </c>
    </row>
    <row r="197" spans="1:8" x14ac:dyDescent="0.25">
      <c r="A197">
        <v>1256487354</v>
      </c>
      <c r="B197" t="s">
        <v>394</v>
      </c>
      <c r="C197">
        <v>2</v>
      </c>
      <c r="D197" s="1">
        <v>2.4500000000000002</v>
      </c>
      <c r="E197" s="10" t="s">
        <v>395</v>
      </c>
      <c r="F197" s="10" t="s">
        <v>396</v>
      </c>
      <c r="G197" s="10" t="s">
        <v>48</v>
      </c>
      <c r="H197" t="s">
        <v>12</v>
      </c>
    </row>
    <row r="198" spans="1:8" x14ac:dyDescent="0.25">
      <c r="A198">
        <v>1256265067</v>
      </c>
      <c r="B198" t="s">
        <v>397</v>
      </c>
      <c r="C198">
        <v>1</v>
      </c>
      <c r="D198" s="1">
        <v>5.4</v>
      </c>
      <c r="E198" s="10" t="s">
        <v>398</v>
      </c>
      <c r="F198" s="10" t="s">
        <v>399</v>
      </c>
      <c r="G198" s="10" t="s">
        <v>48</v>
      </c>
      <c r="H198" t="s">
        <v>12</v>
      </c>
    </row>
    <row r="199" spans="1:8" x14ac:dyDescent="0.25">
      <c r="A199">
        <v>1256231608</v>
      </c>
      <c r="B199" t="s">
        <v>400</v>
      </c>
      <c r="C199">
        <v>2</v>
      </c>
      <c r="D199" s="1">
        <v>90.65</v>
      </c>
      <c r="E199" s="10" t="s">
        <v>398</v>
      </c>
      <c r="F199" s="10" t="s">
        <v>401</v>
      </c>
      <c r="G199" s="10" t="s">
        <v>11</v>
      </c>
      <c r="H199" t="s">
        <v>12</v>
      </c>
    </row>
    <row r="200" spans="1:8" x14ac:dyDescent="0.25">
      <c r="A200">
        <v>1256139128</v>
      </c>
      <c r="B200" t="s">
        <v>402</v>
      </c>
      <c r="C200">
        <v>2</v>
      </c>
      <c r="D200" s="1">
        <v>3.35</v>
      </c>
      <c r="E200" s="10" t="s">
        <v>403</v>
      </c>
      <c r="F200" s="10" t="s">
        <v>404</v>
      </c>
      <c r="G200" s="10" t="s">
        <v>48</v>
      </c>
      <c r="H200" t="s">
        <v>12</v>
      </c>
    </row>
    <row r="201" spans="1:8" x14ac:dyDescent="0.25">
      <c r="A201">
        <v>1256121538</v>
      </c>
      <c r="B201" t="s">
        <v>405</v>
      </c>
      <c r="C201">
        <v>3</v>
      </c>
      <c r="D201" s="1">
        <v>16.3</v>
      </c>
      <c r="E201" s="10" t="s">
        <v>403</v>
      </c>
      <c r="F201" s="10" t="s">
        <v>406</v>
      </c>
      <c r="G201" s="10" t="s">
        <v>38</v>
      </c>
      <c r="H201" t="s">
        <v>12</v>
      </c>
    </row>
    <row r="202" spans="1:8" x14ac:dyDescent="0.25">
      <c r="A202">
        <v>1255989435</v>
      </c>
      <c r="B202" t="s">
        <v>407</v>
      </c>
      <c r="C202">
        <v>1</v>
      </c>
      <c r="D202" s="1">
        <v>8.4</v>
      </c>
      <c r="E202" s="10" t="s">
        <v>408</v>
      </c>
      <c r="F202" s="10" t="s">
        <v>409</v>
      </c>
      <c r="G202" s="10" t="s">
        <v>48</v>
      </c>
      <c r="H202" t="s">
        <v>12</v>
      </c>
    </row>
    <row r="203" spans="1:8" x14ac:dyDescent="0.25">
      <c r="A203">
        <v>1255877240</v>
      </c>
      <c r="B203" t="s">
        <v>410</v>
      </c>
      <c r="C203">
        <v>1</v>
      </c>
      <c r="D203" s="1">
        <v>6.55</v>
      </c>
      <c r="E203" s="10" t="s">
        <v>408</v>
      </c>
      <c r="F203" s="10" t="s">
        <v>411</v>
      </c>
      <c r="G203" s="10" t="s">
        <v>48</v>
      </c>
      <c r="H203" t="s">
        <v>12</v>
      </c>
    </row>
    <row r="204" spans="1:8" x14ac:dyDescent="0.25">
      <c r="A204">
        <v>1255847996</v>
      </c>
      <c r="B204" t="s">
        <v>412</v>
      </c>
      <c r="C204">
        <v>1</v>
      </c>
      <c r="D204" s="1">
        <v>62.94</v>
      </c>
      <c r="E204" s="10" t="s">
        <v>408</v>
      </c>
      <c r="F204" s="10" t="s">
        <v>413</v>
      </c>
      <c r="G204" s="10" t="s">
        <v>11</v>
      </c>
      <c r="H204" t="s">
        <v>12</v>
      </c>
    </row>
    <row r="205" spans="1:8" x14ac:dyDescent="0.25">
      <c r="A205">
        <v>1255562695</v>
      </c>
      <c r="B205" t="s">
        <v>414</v>
      </c>
      <c r="C205">
        <v>4</v>
      </c>
      <c r="D205" s="1">
        <v>17.41</v>
      </c>
      <c r="E205" s="10" t="s">
        <v>415</v>
      </c>
      <c r="F205" s="10" t="s">
        <v>416</v>
      </c>
      <c r="G205" s="10" t="s">
        <v>11</v>
      </c>
      <c r="H205" t="s">
        <v>12</v>
      </c>
    </row>
    <row r="206" spans="1:8" x14ac:dyDescent="0.25">
      <c r="A206">
        <v>1255553836</v>
      </c>
      <c r="B206" t="s">
        <v>417</v>
      </c>
      <c r="C206">
        <v>2</v>
      </c>
      <c r="D206" s="1">
        <v>33.57</v>
      </c>
      <c r="E206" s="10" t="s">
        <v>415</v>
      </c>
      <c r="F206" s="10" t="s">
        <v>418</v>
      </c>
      <c r="G206" s="10" t="s">
        <v>11</v>
      </c>
      <c r="H206" t="s">
        <v>12</v>
      </c>
    </row>
    <row r="207" spans="1:8" x14ac:dyDescent="0.25">
      <c r="A207">
        <v>1255482037</v>
      </c>
      <c r="B207" t="s">
        <v>419</v>
      </c>
      <c r="C207">
        <v>4</v>
      </c>
      <c r="D207" s="1">
        <v>62.23</v>
      </c>
      <c r="E207" s="10" t="s">
        <v>415</v>
      </c>
      <c r="F207" s="10" t="s">
        <v>420</v>
      </c>
      <c r="G207" s="10" t="s">
        <v>48</v>
      </c>
      <c r="H207" t="s">
        <v>12</v>
      </c>
    </row>
    <row r="208" spans="1:8" x14ac:dyDescent="0.25">
      <c r="A208">
        <v>1255474256</v>
      </c>
      <c r="B208" t="s">
        <v>421</v>
      </c>
      <c r="C208">
        <v>1</v>
      </c>
      <c r="D208" s="1">
        <v>4.4000000000000004</v>
      </c>
      <c r="E208" s="10" t="s">
        <v>415</v>
      </c>
      <c r="F208" s="10" t="s">
        <v>422</v>
      </c>
      <c r="G208" s="10" t="s">
        <v>48</v>
      </c>
      <c r="H208" t="s">
        <v>12</v>
      </c>
    </row>
    <row r="209" spans="1:8" x14ac:dyDescent="0.25">
      <c r="A209">
        <v>1255258655</v>
      </c>
      <c r="B209" t="s">
        <v>423</v>
      </c>
      <c r="C209">
        <v>4</v>
      </c>
      <c r="D209" s="1">
        <v>12.25</v>
      </c>
      <c r="E209" s="10" t="s">
        <v>424</v>
      </c>
      <c r="F209" s="10" t="s">
        <v>425</v>
      </c>
      <c r="G209" s="10" t="s">
        <v>48</v>
      </c>
      <c r="H209" t="s">
        <v>12</v>
      </c>
    </row>
    <row r="210" spans="1:8" x14ac:dyDescent="0.25">
      <c r="A210">
        <v>1255191934</v>
      </c>
      <c r="B210" t="s">
        <v>426</v>
      </c>
      <c r="C210">
        <v>1</v>
      </c>
      <c r="D210" s="1">
        <v>5.55</v>
      </c>
      <c r="E210" s="10" t="s">
        <v>427</v>
      </c>
      <c r="F210" s="10" t="s">
        <v>428</v>
      </c>
      <c r="G210" s="10" t="s">
        <v>48</v>
      </c>
      <c r="H210" t="s">
        <v>12</v>
      </c>
    </row>
    <row r="211" spans="1:8" ht="30" x14ac:dyDescent="0.25">
      <c r="A211">
        <v>1254926624</v>
      </c>
      <c r="B211" t="s">
        <v>8</v>
      </c>
      <c r="C211">
        <v>4</v>
      </c>
      <c r="D211" s="1">
        <v>0.35</v>
      </c>
      <c r="E211" s="10" t="s">
        <v>429</v>
      </c>
      <c r="F211" s="10" t="s">
        <v>244</v>
      </c>
      <c r="G211" s="10" t="s">
        <v>38</v>
      </c>
      <c r="H211" t="s">
        <v>12</v>
      </c>
    </row>
    <row r="212" spans="1:8" x14ac:dyDescent="0.25">
      <c r="A212">
        <v>1254900778</v>
      </c>
      <c r="B212" t="s">
        <v>430</v>
      </c>
      <c r="C212">
        <v>1</v>
      </c>
      <c r="D212" s="1">
        <v>9.4</v>
      </c>
      <c r="E212" s="10" t="s">
        <v>429</v>
      </c>
      <c r="F212" s="10" t="s">
        <v>431</v>
      </c>
      <c r="G212" s="10" t="s">
        <v>48</v>
      </c>
      <c r="H212" t="s">
        <v>12</v>
      </c>
    </row>
    <row r="213" spans="1:8" x14ac:dyDescent="0.25">
      <c r="A213">
        <v>1254783097</v>
      </c>
      <c r="B213" t="s">
        <v>432</v>
      </c>
      <c r="C213">
        <v>1</v>
      </c>
      <c r="D213" s="1">
        <v>4.45</v>
      </c>
      <c r="E213" s="10" t="s">
        <v>429</v>
      </c>
      <c r="F213" s="10" t="s">
        <v>433</v>
      </c>
      <c r="G213" s="10" t="s">
        <v>11</v>
      </c>
      <c r="H213" t="s">
        <v>12</v>
      </c>
    </row>
    <row r="214" spans="1:8" x14ac:dyDescent="0.25">
      <c r="A214">
        <v>1254712460</v>
      </c>
      <c r="B214" t="s">
        <v>434</v>
      </c>
      <c r="C214">
        <v>2</v>
      </c>
      <c r="D214" s="1">
        <v>7.45</v>
      </c>
      <c r="E214" s="10" t="s">
        <v>435</v>
      </c>
      <c r="F214" s="10" t="s">
        <v>436</v>
      </c>
      <c r="G214" s="10" t="s">
        <v>11</v>
      </c>
      <c r="H214" t="s">
        <v>12</v>
      </c>
    </row>
    <row r="215" spans="1:8" x14ac:dyDescent="0.25">
      <c r="A215">
        <v>1254403240</v>
      </c>
      <c r="B215" t="s">
        <v>437</v>
      </c>
      <c r="C215">
        <v>3</v>
      </c>
      <c r="D215" s="1">
        <v>4.8499999999999996</v>
      </c>
      <c r="E215" s="10" t="s">
        <v>438</v>
      </c>
      <c r="F215" s="10" t="s">
        <v>439</v>
      </c>
      <c r="G215" s="10" t="s">
        <v>48</v>
      </c>
      <c r="H215" t="s">
        <v>12</v>
      </c>
    </row>
    <row r="216" spans="1:8" x14ac:dyDescent="0.25">
      <c r="A216">
        <v>1254395151</v>
      </c>
      <c r="B216" t="s">
        <v>440</v>
      </c>
      <c r="C216">
        <v>4</v>
      </c>
      <c r="D216" s="1">
        <v>73.319999999999993</v>
      </c>
      <c r="E216" s="10" t="s">
        <v>438</v>
      </c>
      <c r="F216" s="10" t="s">
        <v>441</v>
      </c>
      <c r="G216" s="10" t="s">
        <v>11</v>
      </c>
      <c r="H216" t="s">
        <v>12</v>
      </c>
    </row>
    <row r="217" spans="1:8" x14ac:dyDescent="0.25">
      <c r="A217">
        <v>1254143197</v>
      </c>
      <c r="B217" t="s">
        <v>442</v>
      </c>
      <c r="C217">
        <v>4</v>
      </c>
      <c r="D217" s="1">
        <v>5.21</v>
      </c>
      <c r="E217" s="10" t="s">
        <v>443</v>
      </c>
      <c r="F217" s="10" t="s">
        <v>444</v>
      </c>
      <c r="G217" s="10" t="s">
        <v>11</v>
      </c>
      <c r="H217" t="s">
        <v>12</v>
      </c>
    </row>
    <row r="218" spans="1:8" ht="30" x14ac:dyDescent="0.25">
      <c r="A218">
        <v>1254002338</v>
      </c>
      <c r="B218" t="s">
        <v>61</v>
      </c>
      <c r="C218">
        <v>4</v>
      </c>
      <c r="D218" s="1">
        <v>4.9400000000000004</v>
      </c>
      <c r="E218" s="10" t="s">
        <v>445</v>
      </c>
      <c r="F218" s="10" t="s">
        <v>216</v>
      </c>
      <c r="G218" s="10" t="s">
        <v>38</v>
      </c>
      <c r="H218" t="s">
        <v>12</v>
      </c>
    </row>
    <row r="219" spans="1:8" x14ac:dyDescent="0.25">
      <c r="A219">
        <v>1253991394</v>
      </c>
      <c r="B219" t="s">
        <v>446</v>
      </c>
      <c r="C219">
        <v>1</v>
      </c>
      <c r="D219" s="1">
        <v>2.4500000000000002</v>
      </c>
      <c r="E219" s="10" t="s">
        <v>445</v>
      </c>
      <c r="F219" s="10" t="s">
        <v>447</v>
      </c>
      <c r="G219" s="10" t="s">
        <v>11</v>
      </c>
      <c r="H219" t="s">
        <v>12</v>
      </c>
    </row>
    <row r="220" spans="1:8" x14ac:dyDescent="0.25">
      <c r="A220">
        <v>1253991384</v>
      </c>
      <c r="B220" t="s">
        <v>448</v>
      </c>
      <c r="C220">
        <v>3</v>
      </c>
      <c r="D220" s="1">
        <v>4.1500000000000004</v>
      </c>
      <c r="E220" s="10" t="s">
        <v>445</v>
      </c>
      <c r="F220" s="10" t="s">
        <v>449</v>
      </c>
      <c r="G220" s="10" t="s">
        <v>11</v>
      </c>
      <c r="H220" t="s">
        <v>12</v>
      </c>
    </row>
    <row r="221" spans="1:8" ht="30" x14ac:dyDescent="0.25">
      <c r="A221">
        <v>1253991180</v>
      </c>
      <c r="B221" t="s">
        <v>8</v>
      </c>
      <c r="C221">
        <v>4</v>
      </c>
      <c r="D221" s="1">
        <v>0.7</v>
      </c>
      <c r="E221" s="10" t="s">
        <v>445</v>
      </c>
      <c r="F221" s="10" t="s">
        <v>244</v>
      </c>
      <c r="G221" s="10" t="s">
        <v>38</v>
      </c>
      <c r="H221" t="s">
        <v>12</v>
      </c>
    </row>
    <row r="222" spans="1:8" ht="30" x14ac:dyDescent="0.25">
      <c r="A222">
        <v>1253986679</v>
      </c>
      <c r="B222" t="s">
        <v>61</v>
      </c>
      <c r="C222">
        <v>16</v>
      </c>
      <c r="D222" s="1">
        <v>2.85</v>
      </c>
      <c r="E222" s="10" t="s">
        <v>445</v>
      </c>
      <c r="F222" s="10" t="s">
        <v>63</v>
      </c>
      <c r="G222" s="10" t="s">
        <v>38</v>
      </c>
      <c r="H222" t="s">
        <v>12</v>
      </c>
    </row>
    <row r="223" spans="1:8" x14ac:dyDescent="0.25">
      <c r="A223">
        <v>1253816762</v>
      </c>
      <c r="B223" t="s">
        <v>450</v>
      </c>
      <c r="C223">
        <v>4</v>
      </c>
      <c r="D223" s="1">
        <v>5.25</v>
      </c>
      <c r="E223" s="10" t="s">
        <v>451</v>
      </c>
      <c r="F223" s="10" t="s">
        <v>452</v>
      </c>
      <c r="G223" s="10" t="s">
        <v>48</v>
      </c>
      <c r="H223" t="s">
        <v>12</v>
      </c>
    </row>
    <row r="224" spans="1:8" x14ac:dyDescent="0.25">
      <c r="A224">
        <v>1253572152</v>
      </c>
      <c r="B224" t="s">
        <v>453</v>
      </c>
      <c r="C224">
        <v>1</v>
      </c>
      <c r="D224" s="1">
        <v>117.49</v>
      </c>
      <c r="E224" s="10" t="s">
        <v>454</v>
      </c>
      <c r="F224" s="10" t="s">
        <v>455</v>
      </c>
      <c r="G224" s="10" t="s">
        <v>11</v>
      </c>
      <c r="H224" t="s">
        <v>12</v>
      </c>
    </row>
    <row r="225" spans="1:8" x14ac:dyDescent="0.25">
      <c r="A225">
        <v>1252837493</v>
      </c>
      <c r="B225" t="s">
        <v>318</v>
      </c>
      <c r="C225">
        <v>2</v>
      </c>
      <c r="D225" s="1">
        <v>653.15</v>
      </c>
      <c r="E225" s="10" t="s">
        <v>456</v>
      </c>
      <c r="F225" s="10" t="s">
        <v>457</v>
      </c>
      <c r="G225" s="10" t="s">
        <v>11</v>
      </c>
      <c r="H225" t="s">
        <v>12</v>
      </c>
    </row>
    <row r="226" spans="1:8" x14ac:dyDescent="0.25">
      <c r="A226">
        <v>1252733258</v>
      </c>
      <c r="B226" t="s">
        <v>458</v>
      </c>
      <c r="C226">
        <v>4</v>
      </c>
      <c r="D226" s="1">
        <v>3.45</v>
      </c>
      <c r="E226" s="10" t="s">
        <v>456</v>
      </c>
      <c r="F226" s="10" t="s">
        <v>459</v>
      </c>
      <c r="G226" s="10" t="s">
        <v>48</v>
      </c>
      <c r="H226" t="s">
        <v>12</v>
      </c>
    </row>
    <row r="227" spans="1:8" x14ac:dyDescent="0.25">
      <c r="A227">
        <v>1252582075</v>
      </c>
      <c r="B227" t="s">
        <v>460</v>
      </c>
      <c r="C227">
        <v>1</v>
      </c>
      <c r="D227" s="1">
        <v>7.44</v>
      </c>
      <c r="E227" s="10" t="s">
        <v>461</v>
      </c>
      <c r="F227" s="10" t="s">
        <v>462</v>
      </c>
      <c r="G227" s="10" t="s">
        <v>11</v>
      </c>
      <c r="H227" t="s">
        <v>12</v>
      </c>
    </row>
    <row r="228" spans="1:8" x14ac:dyDescent="0.25">
      <c r="A228">
        <v>1252580960</v>
      </c>
      <c r="B228" t="s">
        <v>463</v>
      </c>
      <c r="C228">
        <v>1</v>
      </c>
      <c r="D228" s="1">
        <v>6.44</v>
      </c>
      <c r="E228" s="10" t="s">
        <v>461</v>
      </c>
      <c r="F228" s="10" t="s">
        <v>464</v>
      </c>
      <c r="G228" s="10" t="s">
        <v>11</v>
      </c>
      <c r="H228" t="s">
        <v>12</v>
      </c>
    </row>
    <row r="229" spans="1:8" x14ac:dyDescent="0.25">
      <c r="A229">
        <v>1252534156</v>
      </c>
      <c r="B229" t="s">
        <v>465</v>
      </c>
      <c r="C229">
        <v>3</v>
      </c>
      <c r="D229" s="1">
        <v>4.0999999999999996</v>
      </c>
      <c r="E229" s="10" t="s">
        <v>461</v>
      </c>
      <c r="F229" s="10" t="s">
        <v>466</v>
      </c>
      <c r="G229" s="10" t="s">
        <v>48</v>
      </c>
      <c r="H229" t="s">
        <v>12</v>
      </c>
    </row>
    <row r="230" spans="1:8" x14ac:dyDescent="0.25">
      <c r="A230">
        <v>1252502785</v>
      </c>
      <c r="B230" t="s">
        <v>467</v>
      </c>
      <c r="C230">
        <v>4</v>
      </c>
      <c r="D230" s="1">
        <v>42.45</v>
      </c>
      <c r="E230" s="10" t="s">
        <v>461</v>
      </c>
      <c r="F230" s="10" t="s">
        <v>468</v>
      </c>
      <c r="G230" s="10" t="s">
        <v>11</v>
      </c>
      <c r="H230" t="s">
        <v>12</v>
      </c>
    </row>
    <row r="231" spans="1:8" x14ac:dyDescent="0.25">
      <c r="A231">
        <v>1252489296</v>
      </c>
      <c r="B231" t="s">
        <v>469</v>
      </c>
      <c r="C231">
        <v>8</v>
      </c>
      <c r="D231" s="1">
        <v>116.73</v>
      </c>
      <c r="E231" s="10" t="s">
        <v>470</v>
      </c>
      <c r="F231" s="10" t="s">
        <v>471</v>
      </c>
      <c r="G231" s="10" t="s">
        <v>11</v>
      </c>
      <c r="H231" t="s">
        <v>12</v>
      </c>
    </row>
    <row r="232" spans="1:8" x14ac:dyDescent="0.25">
      <c r="A232">
        <v>1252378732</v>
      </c>
      <c r="B232" t="s">
        <v>472</v>
      </c>
      <c r="C232">
        <v>10</v>
      </c>
      <c r="D232" s="1">
        <v>12.8</v>
      </c>
      <c r="E232" s="10" t="s">
        <v>470</v>
      </c>
      <c r="F232" s="10" t="s">
        <v>473</v>
      </c>
      <c r="G232" s="10" t="s">
        <v>48</v>
      </c>
      <c r="H232" t="s">
        <v>12</v>
      </c>
    </row>
    <row r="233" spans="1:8" x14ac:dyDescent="0.25">
      <c r="A233">
        <v>1252277888</v>
      </c>
      <c r="B233" t="s">
        <v>474</v>
      </c>
      <c r="C233">
        <v>1</v>
      </c>
      <c r="D233" s="1">
        <v>2.4</v>
      </c>
      <c r="E233" s="10" t="s">
        <v>475</v>
      </c>
      <c r="F233" s="10" t="s">
        <v>476</v>
      </c>
      <c r="G233" s="10" t="s">
        <v>48</v>
      </c>
      <c r="H233" t="s">
        <v>12</v>
      </c>
    </row>
    <row r="234" spans="1:8" x14ac:dyDescent="0.25">
      <c r="A234">
        <v>1252234284</v>
      </c>
      <c r="B234" t="s">
        <v>477</v>
      </c>
      <c r="C234">
        <v>2</v>
      </c>
      <c r="D234" s="1">
        <v>4.45</v>
      </c>
      <c r="E234" s="10" t="s">
        <v>475</v>
      </c>
      <c r="F234" s="10" t="s">
        <v>478</v>
      </c>
      <c r="G234" s="10" t="s">
        <v>48</v>
      </c>
      <c r="H234" t="s">
        <v>12</v>
      </c>
    </row>
    <row r="235" spans="1:8" x14ac:dyDescent="0.25">
      <c r="A235">
        <v>1252089479</v>
      </c>
      <c r="B235" t="s">
        <v>479</v>
      </c>
      <c r="C235">
        <v>8</v>
      </c>
      <c r="D235" s="1">
        <v>13.15</v>
      </c>
      <c r="E235" s="10" t="s">
        <v>475</v>
      </c>
      <c r="F235" s="10" t="s">
        <v>480</v>
      </c>
      <c r="G235" s="10" t="s">
        <v>48</v>
      </c>
      <c r="H235" t="s">
        <v>12</v>
      </c>
    </row>
    <row r="236" spans="1:8" x14ac:dyDescent="0.25">
      <c r="A236">
        <v>1251821338</v>
      </c>
      <c r="B236" t="s">
        <v>481</v>
      </c>
      <c r="C236">
        <v>3</v>
      </c>
      <c r="D236" s="1">
        <v>9.4</v>
      </c>
      <c r="E236" s="10" t="s">
        <v>482</v>
      </c>
      <c r="F236" s="10" t="s">
        <v>483</v>
      </c>
      <c r="G236" s="10" t="s">
        <v>11</v>
      </c>
      <c r="H236" t="s">
        <v>12</v>
      </c>
    </row>
    <row r="237" spans="1:8" x14ac:dyDescent="0.25">
      <c r="A237">
        <v>1251717931</v>
      </c>
      <c r="B237" t="s">
        <v>484</v>
      </c>
      <c r="C237">
        <v>4</v>
      </c>
      <c r="D237" s="1">
        <v>12.25</v>
      </c>
      <c r="E237" s="10" t="s">
        <v>482</v>
      </c>
      <c r="F237" s="10" t="s">
        <v>485</v>
      </c>
      <c r="G237" s="10" t="s">
        <v>38</v>
      </c>
      <c r="H237" t="s">
        <v>12</v>
      </c>
    </row>
    <row r="238" spans="1:8" x14ac:dyDescent="0.25">
      <c r="A238">
        <v>1251425870</v>
      </c>
      <c r="B238" t="s">
        <v>486</v>
      </c>
      <c r="C238">
        <v>1</v>
      </c>
      <c r="D238" s="1">
        <v>2.9</v>
      </c>
      <c r="E238" s="10" t="s">
        <v>487</v>
      </c>
      <c r="F238" s="10" t="s">
        <v>488</v>
      </c>
      <c r="G238" s="10" t="s">
        <v>48</v>
      </c>
      <c r="H238" t="s">
        <v>12</v>
      </c>
    </row>
    <row r="239" spans="1:8" x14ac:dyDescent="0.25">
      <c r="A239">
        <v>1251407559</v>
      </c>
      <c r="B239" t="s">
        <v>489</v>
      </c>
      <c r="C239">
        <v>1</v>
      </c>
      <c r="D239" s="1">
        <v>2.4</v>
      </c>
      <c r="E239" s="10" t="s">
        <v>487</v>
      </c>
      <c r="F239" s="10" t="s">
        <v>490</v>
      </c>
      <c r="G239" s="10" t="s">
        <v>48</v>
      </c>
      <c r="H239" t="s">
        <v>12</v>
      </c>
    </row>
    <row r="240" spans="1:8" x14ac:dyDescent="0.25">
      <c r="A240">
        <v>1251259881</v>
      </c>
      <c r="B240" t="s">
        <v>491</v>
      </c>
      <c r="C240">
        <v>16</v>
      </c>
      <c r="D240" s="1">
        <v>11.35</v>
      </c>
      <c r="E240" s="10" t="s">
        <v>492</v>
      </c>
      <c r="F240" s="10" t="s">
        <v>493</v>
      </c>
      <c r="G240" s="10" t="s">
        <v>48</v>
      </c>
      <c r="H240" t="s">
        <v>12</v>
      </c>
    </row>
    <row r="241" spans="1:8" ht="30" x14ac:dyDescent="0.25">
      <c r="A241">
        <v>1251202625</v>
      </c>
      <c r="B241" t="s">
        <v>8</v>
      </c>
      <c r="C241">
        <v>4</v>
      </c>
      <c r="D241" s="1">
        <v>0.05</v>
      </c>
      <c r="E241" s="10" t="s">
        <v>492</v>
      </c>
      <c r="F241" s="10" t="s">
        <v>244</v>
      </c>
      <c r="G241" s="10" t="s">
        <v>38</v>
      </c>
      <c r="H241" t="s">
        <v>12</v>
      </c>
    </row>
    <row r="242" spans="1:8" x14ac:dyDescent="0.25">
      <c r="A242">
        <v>1251202598</v>
      </c>
      <c r="B242" t="s">
        <v>494</v>
      </c>
      <c r="C242">
        <v>5</v>
      </c>
      <c r="D242" s="1">
        <v>20.14</v>
      </c>
      <c r="E242" s="10" t="s">
        <v>492</v>
      </c>
      <c r="F242" s="10" t="s">
        <v>495</v>
      </c>
      <c r="G242" s="10" t="s">
        <v>11</v>
      </c>
      <c r="H242" t="s">
        <v>12</v>
      </c>
    </row>
    <row r="243" spans="1:8" x14ac:dyDescent="0.25">
      <c r="A243">
        <v>1251202381</v>
      </c>
      <c r="B243" t="s">
        <v>414</v>
      </c>
      <c r="C243">
        <v>7</v>
      </c>
      <c r="D243" s="1">
        <v>21.38</v>
      </c>
      <c r="E243" s="10" t="s">
        <v>492</v>
      </c>
      <c r="F243" s="10" t="s">
        <v>416</v>
      </c>
      <c r="G243" s="10" t="s">
        <v>11</v>
      </c>
      <c r="H243" t="s">
        <v>12</v>
      </c>
    </row>
    <row r="244" spans="1:8" x14ac:dyDescent="0.25">
      <c r="A244">
        <v>1251144510</v>
      </c>
      <c r="B244" t="s">
        <v>496</v>
      </c>
      <c r="C244">
        <v>1</v>
      </c>
      <c r="D244" s="1">
        <v>5.4</v>
      </c>
      <c r="E244" s="10" t="s">
        <v>497</v>
      </c>
      <c r="F244" s="10" t="s">
        <v>498</v>
      </c>
      <c r="G244" s="10" t="s">
        <v>48</v>
      </c>
      <c r="H244" t="s">
        <v>12</v>
      </c>
    </row>
    <row r="245" spans="1:8" x14ac:dyDescent="0.25">
      <c r="A245">
        <v>1250998236</v>
      </c>
      <c r="B245" t="s">
        <v>303</v>
      </c>
      <c r="C245">
        <v>4</v>
      </c>
      <c r="D245" s="1">
        <v>1.8</v>
      </c>
      <c r="E245" s="10" t="s">
        <v>497</v>
      </c>
      <c r="F245" s="10" t="s">
        <v>305</v>
      </c>
      <c r="G245" s="10" t="s">
        <v>11</v>
      </c>
      <c r="H245" t="s">
        <v>12</v>
      </c>
    </row>
    <row r="246" spans="1:8" x14ac:dyDescent="0.25">
      <c r="A246">
        <v>1250996062</v>
      </c>
      <c r="B246" t="s">
        <v>414</v>
      </c>
      <c r="C246">
        <v>4</v>
      </c>
      <c r="D246" s="1">
        <v>13.41</v>
      </c>
      <c r="E246" s="10" t="s">
        <v>497</v>
      </c>
      <c r="F246" s="10" t="s">
        <v>416</v>
      </c>
      <c r="G246" s="10" t="s">
        <v>11</v>
      </c>
      <c r="H246" t="s">
        <v>12</v>
      </c>
    </row>
    <row r="247" spans="1:8" x14ac:dyDescent="0.25">
      <c r="A247">
        <v>1250993041</v>
      </c>
      <c r="B247" t="s">
        <v>499</v>
      </c>
      <c r="C247">
        <v>3</v>
      </c>
      <c r="D247" s="1">
        <v>162.05000000000001</v>
      </c>
      <c r="E247" s="10" t="s">
        <v>497</v>
      </c>
      <c r="F247" s="10" t="s">
        <v>500</v>
      </c>
      <c r="G247" s="10" t="s">
        <v>11</v>
      </c>
      <c r="H247" t="s">
        <v>12</v>
      </c>
    </row>
    <row r="248" spans="1:8" x14ac:dyDescent="0.25">
      <c r="A248">
        <v>1250947586</v>
      </c>
      <c r="B248" t="s">
        <v>501</v>
      </c>
      <c r="C248">
        <v>1</v>
      </c>
      <c r="D248" s="1">
        <v>53.85</v>
      </c>
      <c r="E248" s="10" t="s">
        <v>497</v>
      </c>
      <c r="F248" s="10" t="s">
        <v>502</v>
      </c>
      <c r="G248" s="10" t="s">
        <v>11</v>
      </c>
      <c r="H248" t="s">
        <v>12</v>
      </c>
    </row>
    <row r="249" spans="1:8" x14ac:dyDescent="0.25">
      <c r="A249">
        <v>1250941116</v>
      </c>
      <c r="B249" t="s">
        <v>503</v>
      </c>
      <c r="C249">
        <v>2</v>
      </c>
      <c r="D249" s="1">
        <v>2.9</v>
      </c>
      <c r="E249" s="10" t="s">
        <v>497</v>
      </c>
      <c r="F249" s="10" t="s">
        <v>504</v>
      </c>
      <c r="G249" s="10" t="s">
        <v>48</v>
      </c>
      <c r="H249" t="s">
        <v>12</v>
      </c>
    </row>
    <row r="250" spans="1:8" x14ac:dyDescent="0.25">
      <c r="A250">
        <v>1250724952</v>
      </c>
      <c r="B250" t="s">
        <v>505</v>
      </c>
      <c r="C250">
        <v>1</v>
      </c>
      <c r="D250" s="1">
        <v>3.4</v>
      </c>
      <c r="E250" s="10" t="s">
        <v>506</v>
      </c>
      <c r="F250" s="10" t="s">
        <v>507</v>
      </c>
      <c r="G250" s="10" t="s">
        <v>48</v>
      </c>
      <c r="H250" t="s">
        <v>12</v>
      </c>
    </row>
    <row r="251" spans="1:8" x14ac:dyDescent="0.25">
      <c r="A251">
        <v>1250537633</v>
      </c>
      <c r="B251" t="s">
        <v>508</v>
      </c>
      <c r="C251">
        <v>4</v>
      </c>
      <c r="D251" s="1">
        <v>2.4500000000000002</v>
      </c>
      <c r="E251" s="10" t="s">
        <v>509</v>
      </c>
      <c r="F251" s="10" t="s">
        <v>510</v>
      </c>
      <c r="G251" s="10" t="s">
        <v>48</v>
      </c>
      <c r="H251" t="s">
        <v>12</v>
      </c>
    </row>
    <row r="252" spans="1:8" x14ac:dyDescent="0.25">
      <c r="A252">
        <v>1250212850</v>
      </c>
      <c r="B252" t="s">
        <v>511</v>
      </c>
      <c r="C252">
        <v>17</v>
      </c>
      <c r="D252" s="1">
        <v>14.65</v>
      </c>
      <c r="E252" s="10" t="s">
        <v>512</v>
      </c>
      <c r="F252" s="10" t="s">
        <v>513</v>
      </c>
      <c r="G252" s="10" t="s">
        <v>48</v>
      </c>
      <c r="H252" t="s">
        <v>12</v>
      </c>
    </row>
    <row r="253" spans="1:8" x14ac:dyDescent="0.25">
      <c r="A253">
        <v>1250180858</v>
      </c>
      <c r="B253" t="s">
        <v>514</v>
      </c>
      <c r="C253">
        <v>1</v>
      </c>
      <c r="D253" s="1">
        <v>25.45</v>
      </c>
      <c r="E253" s="10" t="s">
        <v>512</v>
      </c>
      <c r="F253" s="10" t="s">
        <v>515</v>
      </c>
      <c r="G253" s="10" t="s">
        <v>11</v>
      </c>
      <c r="H253" t="s">
        <v>12</v>
      </c>
    </row>
    <row r="254" spans="1:8" x14ac:dyDescent="0.25">
      <c r="A254">
        <v>1250180793</v>
      </c>
      <c r="B254" t="s">
        <v>516</v>
      </c>
      <c r="C254">
        <v>1</v>
      </c>
      <c r="D254" s="1">
        <v>5.95</v>
      </c>
      <c r="E254" s="10" t="s">
        <v>512</v>
      </c>
      <c r="F254" s="10" t="s">
        <v>517</v>
      </c>
      <c r="G254" s="10" t="s">
        <v>11</v>
      </c>
      <c r="H254" t="s">
        <v>12</v>
      </c>
    </row>
    <row r="255" spans="1:8" x14ac:dyDescent="0.25">
      <c r="A255">
        <v>1250175970</v>
      </c>
      <c r="B255" t="s">
        <v>518</v>
      </c>
      <c r="C255">
        <v>4</v>
      </c>
      <c r="D255" s="1">
        <v>13.25</v>
      </c>
      <c r="E255" s="10" t="s">
        <v>512</v>
      </c>
      <c r="F255" s="10" t="s">
        <v>519</v>
      </c>
      <c r="G255" s="10" t="s">
        <v>11</v>
      </c>
      <c r="H255" t="s">
        <v>12</v>
      </c>
    </row>
    <row r="256" spans="1:8" x14ac:dyDescent="0.25">
      <c r="A256">
        <v>1250094794</v>
      </c>
      <c r="B256" t="s">
        <v>520</v>
      </c>
      <c r="C256">
        <v>4</v>
      </c>
      <c r="D256" s="1">
        <v>3.45</v>
      </c>
      <c r="E256" s="10" t="s">
        <v>512</v>
      </c>
      <c r="F256" s="10" t="s">
        <v>521</v>
      </c>
      <c r="G256" s="10" t="s">
        <v>48</v>
      </c>
      <c r="H256" t="s">
        <v>12</v>
      </c>
    </row>
    <row r="257" spans="1:8" x14ac:dyDescent="0.25">
      <c r="A257">
        <v>1250045793</v>
      </c>
      <c r="B257" t="s">
        <v>199</v>
      </c>
      <c r="C257">
        <v>1</v>
      </c>
      <c r="D257" s="1">
        <v>2.4</v>
      </c>
      <c r="E257" s="10" t="s">
        <v>522</v>
      </c>
      <c r="F257" s="10" t="s">
        <v>200</v>
      </c>
      <c r="G257" s="10" t="s">
        <v>48</v>
      </c>
      <c r="H257" t="s">
        <v>12</v>
      </c>
    </row>
    <row r="258" spans="1:8" x14ac:dyDescent="0.25">
      <c r="A258">
        <v>1249955163</v>
      </c>
      <c r="B258" t="s">
        <v>523</v>
      </c>
      <c r="C258">
        <v>1</v>
      </c>
      <c r="D258" s="1">
        <v>4.4000000000000004</v>
      </c>
      <c r="E258" s="10" t="s">
        <v>522</v>
      </c>
      <c r="F258" s="10" t="s">
        <v>524</v>
      </c>
      <c r="G258" s="10" t="s">
        <v>48</v>
      </c>
      <c r="H258" t="s">
        <v>12</v>
      </c>
    </row>
    <row r="259" spans="1:8" x14ac:dyDescent="0.25">
      <c r="A259">
        <v>1249777080</v>
      </c>
      <c r="B259" t="s">
        <v>465</v>
      </c>
      <c r="C259">
        <v>1</v>
      </c>
      <c r="D259" s="1">
        <v>18</v>
      </c>
      <c r="E259" s="10" t="s">
        <v>525</v>
      </c>
      <c r="F259" s="10" t="s">
        <v>466</v>
      </c>
      <c r="G259" s="10" t="s">
        <v>48</v>
      </c>
      <c r="H259" t="s">
        <v>12</v>
      </c>
    </row>
    <row r="260" spans="1:8" x14ac:dyDescent="0.25">
      <c r="A260">
        <v>1249717335</v>
      </c>
      <c r="B260" t="s">
        <v>526</v>
      </c>
      <c r="C260">
        <v>1</v>
      </c>
      <c r="D260" s="1">
        <v>3.4</v>
      </c>
      <c r="E260" s="10" t="s">
        <v>525</v>
      </c>
      <c r="F260" s="10" t="s">
        <v>527</v>
      </c>
      <c r="G260" s="10" t="s">
        <v>48</v>
      </c>
      <c r="H260" t="s">
        <v>12</v>
      </c>
    </row>
    <row r="261" spans="1:8" x14ac:dyDescent="0.25">
      <c r="A261">
        <v>1249470201</v>
      </c>
      <c r="B261" t="s">
        <v>528</v>
      </c>
      <c r="C261">
        <v>1</v>
      </c>
      <c r="D261" s="1">
        <v>6.4</v>
      </c>
      <c r="E261" s="10" t="s">
        <v>529</v>
      </c>
      <c r="F261" s="10" t="s">
        <v>530</v>
      </c>
      <c r="G261" s="10" t="s">
        <v>48</v>
      </c>
      <c r="H261" t="s">
        <v>12</v>
      </c>
    </row>
    <row r="262" spans="1:8" x14ac:dyDescent="0.25">
      <c r="A262">
        <v>1249422644</v>
      </c>
      <c r="B262" t="s">
        <v>531</v>
      </c>
      <c r="C262">
        <v>3</v>
      </c>
      <c r="D262" s="1">
        <v>2.2000000000000002</v>
      </c>
      <c r="E262" s="10" t="s">
        <v>529</v>
      </c>
      <c r="F262" s="10" t="s">
        <v>532</v>
      </c>
      <c r="G262" s="10" t="s">
        <v>48</v>
      </c>
      <c r="H262" t="s">
        <v>12</v>
      </c>
    </row>
    <row r="263" spans="1:8" x14ac:dyDescent="0.25">
      <c r="A263">
        <v>1249268818</v>
      </c>
      <c r="B263" t="s">
        <v>533</v>
      </c>
      <c r="C263">
        <v>2</v>
      </c>
      <c r="D263" s="1">
        <v>11.35</v>
      </c>
      <c r="E263" s="10" t="s">
        <v>534</v>
      </c>
      <c r="F263" s="10" t="s">
        <v>535</v>
      </c>
      <c r="G263" s="10" t="s">
        <v>48</v>
      </c>
      <c r="H263" t="s">
        <v>12</v>
      </c>
    </row>
    <row r="264" spans="1:8" x14ac:dyDescent="0.25">
      <c r="A264">
        <v>1249242627</v>
      </c>
      <c r="B264" t="s">
        <v>536</v>
      </c>
      <c r="C264">
        <v>8</v>
      </c>
      <c r="D264" s="1">
        <v>6.35</v>
      </c>
      <c r="E264" s="10" t="s">
        <v>534</v>
      </c>
      <c r="F264" s="10" t="s">
        <v>537</v>
      </c>
      <c r="G264" s="10" t="s">
        <v>48</v>
      </c>
      <c r="H264" t="s">
        <v>12</v>
      </c>
    </row>
    <row r="265" spans="1:8" x14ac:dyDescent="0.25">
      <c r="A265">
        <v>1249091802</v>
      </c>
      <c r="B265" t="s">
        <v>538</v>
      </c>
      <c r="C265">
        <v>1</v>
      </c>
      <c r="D265" s="1">
        <v>8.5500000000000007</v>
      </c>
      <c r="E265" s="10" t="s">
        <v>539</v>
      </c>
      <c r="F265" s="10" t="s">
        <v>540</v>
      </c>
      <c r="G265" s="10" t="s">
        <v>48</v>
      </c>
      <c r="H265" t="s">
        <v>12</v>
      </c>
    </row>
    <row r="266" spans="1:8" x14ac:dyDescent="0.25">
      <c r="A266">
        <v>1249045481</v>
      </c>
      <c r="B266" t="s">
        <v>541</v>
      </c>
      <c r="C266">
        <v>8</v>
      </c>
      <c r="D266" s="1">
        <v>7.4</v>
      </c>
      <c r="E266" s="10" t="s">
        <v>539</v>
      </c>
      <c r="F266" s="10" t="s">
        <v>542</v>
      </c>
      <c r="G266" s="10" t="s">
        <v>48</v>
      </c>
      <c r="H266" t="s">
        <v>12</v>
      </c>
    </row>
    <row r="267" spans="1:8" x14ac:dyDescent="0.25">
      <c r="A267">
        <v>1249026814</v>
      </c>
      <c r="B267" t="s">
        <v>543</v>
      </c>
      <c r="C267">
        <v>4</v>
      </c>
      <c r="D267" s="1">
        <v>5.25</v>
      </c>
      <c r="E267" s="10" t="s">
        <v>539</v>
      </c>
      <c r="F267" s="10" t="s">
        <v>544</v>
      </c>
      <c r="G267" s="10" t="s">
        <v>48</v>
      </c>
      <c r="H267" t="s">
        <v>12</v>
      </c>
    </row>
    <row r="268" spans="1:8" x14ac:dyDescent="0.25">
      <c r="A268" t="s">
        <v>545</v>
      </c>
      <c r="B268" t="s">
        <v>546</v>
      </c>
      <c r="C268">
        <v>1</v>
      </c>
      <c r="D268" s="1">
        <v>330</v>
      </c>
      <c r="E268" s="10" t="s">
        <v>547</v>
      </c>
      <c r="F268" s="10" t="s">
        <v>548</v>
      </c>
      <c r="G268" s="10" t="s">
        <v>11</v>
      </c>
      <c r="H268" t="s">
        <v>12</v>
      </c>
    </row>
    <row r="269" spans="1:8" x14ac:dyDescent="0.25">
      <c r="A269" t="s">
        <v>549</v>
      </c>
      <c r="B269" t="s">
        <v>550</v>
      </c>
      <c r="C269">
        <v>7</v>
      </c>
      <c r="D269" s="1">
        <v>31.5</v>
      </c>
      <c r="E269" s="10" t="s">
        <v>547</v>
      </c>
      <c r="F269" s="10" t="s">
        <v>551</v>
      </c>
      <c r="G269" s="10" t="s">
        <v>11</v>
      </c>
      <c r="H269" t="s">
        <v>12</v>
      </c>
    </row>
    <row r="270" spans="1:8" x14ac:dyDescent="0.25">
      <c r="A270" t="s">
        <v>552</v>
      </c>
      <c r="B270" t="s">
        <v>553</v>
      </c>
      <c r="C270">
        <v>2</v>
      </c>
      <c r="D270" s="1">
        <v>700</v>
      </c>
      <c r="E270" s="10" t="s">
        <v>547</v>
      </c>
      <c r="F270" s="10" t="s">
        <v>548</v>
      </c>
      <c r="G270" s="10" t="s">
        <v>11</v>
      </c>
      <c r="H270" t="s">
        <v>12</v>
      </c>
    </row>
    <row r="271" spans="1:8" x14ac:dyDescent="0.25">
      <c r="A271">
        <v>1248886513</v>
      </c>
      <c r="B271" t="s">
        <v>554</v>
      </c>
      <c r="C271">
        <v>12</v>
      </c>
      <c r="D271" s="1">
        <v>8.4499999999999993</v>
      </c>
      <c r="E271" s="10" t="s">
        <v>547</v>
      </c>
      <c r="F271" s="10" t="s">
        <v>555</v>
      </c>
      <c r="G271" s="10" t="s">
        <v>48</v>
      </c>
      <c r="H271" t="s">
        <v>12</v>
      </c>
    </row>
    <row r="272" spans="1:8" x14ac:dyDescent="0.25">
      <c r="A272">
        <v>1248630308</v>
      </c>
      <c r="B272" t="s">
        <v>556</v>
      </c>
      <c r="C272">
        <v>2</v>
      </c>
      <c r="D272" s="1">
        <v>8.23</v>
      </c>
      <c r="E272" s="10" t="s">
        <v>557</v>
      </c>
      <c r="F272" s="10" t="s">
        <v>558</v>
      </c>
      <c r="G272" s="10" t="s">
        <v>48</v>
      </c>
      <c r="H272" t="s">
        <v>12</v>
      </c>
    </row>
    <row r="273" spans="1:8" x14ac:dyDescent="0.25">
      <c r="A273">
        <v>1248408245</v>
      </c>
      <c r="B273" t="s">
        <v>559</v>
      </c>
      <c r="C273">
        <v>2</v>
      </c>
      <c r="D273" s="1">
        <v>12.23</v>
      </c>
      <c r="E273" s="10" t="s">
        <v>560</v>
      </c>
      <c r="F273" s="10" t="s">
        <v>561</v>
      </c>
      <c r="G273" s="10" t="s">
        <v>48</v>
      </c>
      <c r="H273" t="s">
        <v>12</v>
      </c>
    </row>
    <row r="274" spans="1:8" x14ac:dyDescent="0.25">
      <c r="A274">
        <v>1248289480</v>
      </c>
      <c r="B274" t="s">
        <v>562</v>
      </c>
      <c r="C274">
        <v>5</v>
      </c>
      <c r="D274" s="1">
        <v>2.83</v>
      </c>
      <c r="E274" s="10" t="s">
        <v>563</v>
      </c>
      <c r="F274" s="10" t="s">
        <v>564</v>
      </c>
      <c r="G274" s="10" t="s">
        <v>48</v>
      </c>
      <c r="H274" t="s">
        <v>12</v>
      </c>
    </row>
    <row r="275" spans="1:8" x14ac:dyDescent="0.25">
      <c r="A275">
        <v>1248193531</v>
      </c>
      <c r="B275" t="s">
        <v>565</v>
      </c>
      <c r="C275">
        <v>2</v>
      </c>
      <c r="D275" s="1">
        <v>4.3499999999999996</v>
      </c>
      <c r="E275" s="10" t="s">
        <v>563</v>
      </c>
      <c r="F275" s="10" t="s">
        <v>566</v>
      </c>
      <c r="G275" s="10" t="s">
        <v>48</v>
      </c>
      <c r="H275" t="s">
        <v>12</v>
      </c>
    </row>
    <row r="276" spans="1:8" x14ac:dyDescent="0.25">
      <c r="A276">
        <v>1248066770</v>
      </c>
      <c r="B276" t="s">
        <v>567</v>
      </c>
      <c r="C276">
        <v>2</v>
      </c>
      <c r="D276" s="1">
        <v>9.7799999999999994</v>
      </c>
      <c r="E276" s="10" t="s">
        <v>568</v>
      </c>
      <c r="F276" s="10" t="s">
        <v>569</v>
      </c>
      <c r="G276" s="10" t="s">
        <v>48</v>
      </c>
      <c r="H276" t="s">
        <v>12</v>
      </c>
    </row>
    <row r="277" spans="1:8" x14ac:dyDescent="0.25">
      <c r="A277">
        <v>1247810200</v>
      </c>
      <c r="B277" t="s">
        <v>570</v>
      </c>
      <c r="C277">
        <v>4</v>
      </c>
      <c r="D277" s="1">
        <v>55.4</v>
      </c>
      <c r="E277" s="10" t="s">
        <v>571</v>
      </c>
      <c r="F277" s="10" t="s">
        <v>572</v>
      </c>
      <c r="G277" s="10" t="s">
        <v>48</v>
      </c>
      <c r="H277" t="s">
        <v>12</v>
      </c>
    </row>
    <row r="278" spans="1:8" x14ac:dyDescent="0.25">
      <c r="A278">
        <v>1247673365</v>
      </c>
      <c r="B278" t="s">
        <v>573</v>
      </c>
      <c r="C278">
        <v>3</v>
      </c>
      <c r="D278" s="1">
        <v>25.18</v>
      </c>
      <c r="E278" s="10" t="s">
        <v>574</v>
      </c>
      <c r="F278" s="10" t="s">
        <v>575</v>
      </c>
      <c r="G278" s="10" t="s">
        <v>11</v>
      </c>
      <c r="H278" t="s">
        <v>12</v>
      </c>
    </row>
    <row r="279" spans="1:8" x14ac:dyDescent="0.25">
      <c r="A279">
        <v>1247489911</v>
      </c>
      <c r="B279" t="s">
        <v>576</v>
      </c>
      <c r="C279">
        <v>1</v>
      </c>
      <c r="D279" s="1">
        <v>4.4000000000000004</v>
      </c>
      <c r="E279" s="10" t="s">
        <v>577</v>
      </c>
      <c r="F279" s="10" t="s">
        <v>578</v>
      </c>
      <c r="G279" s="10" t="s">
        <v>48</v>
      </c>
      <c r="H279" t="s">
        <v>12</v>
      </c>
    </row>
    <row r="280" spans="1:8" x14ac:dyDescent="0.25">
      <c r="A280">
        <v>1247478896</v>
      </c>
      <c r="B280" t="s">
        <v>579</v>
      </c>
      <c r="C280">
        <v>1</v>
      </c>
      <c r="D280" s="1">
        <v>5.28</v>
      </c>
      <c r="E280" s="10" t="s">
        <v>577</v>
      </c>
      <c r="F280" s="10" t="s">
        <v>580</v>
      </c>
      <c r="G280" s="10" t="s">
        <v>48</v>
      </c>
      <c r="H280" t="s">
        <v>12</v>
      </c>
    </row>
    <row r="281" spans="1:8" x14ac:dyDescent="0.25">
      <c r="A281">
        <v>1247458671</v>
      </c>
      <c r="B281" t="s">
        <v>581</v>
      </c>
      <c r="C281">
        <v>4</v>
      </c>
      <c r="D281" s="1">
        <v>12.53</v>
      </c>
      <c r="E281" s="10" t="s">
        <v>577</v>
      </c>
      <c r="F281" s="10" t="s">
        <v>582</v>
      </c>
      <c r="G281" s="10" t="s">
        <v>38</v>
      </c>
      <c r="H281" t="s">
        <v>12</v>
      </c>
    </row>
    <row r="282" spans="1:8" x14ac:dyDescent="0.25">
      <c r="A282">
        <v>1247427520</v>
      </c>
      <c r="B282" t="s">
        <v>583</v>
      </c>
      <c r="C282">
        <v>1</v>
      </c>
      <c r="D282" s="1">
        <v>1.58</v>
      </c>
      <c r="E282" s="10" t="s">
        <v>584</v>
      </c>
      <c r="F282" s="10" t="s">
        <v>585</v>
      </c>
      <c r="G282" s="10" t="s">
        <v>48</v>
      </c>
      <c r="H282" t="s">
        <v>12</v>
      </c>
    </row>
    <row r="283" spans="1:8" x14ac:dyDescent="0.25">
      <c r="A283">
        <v>1247407412</v>
      </c>
      <c r="B283" t="s">
        <v>586</v>
      </c>
      <c r="C283">
        <v>3</v>
      </c>
      <c r="D283" s="1">
        <v>33.07</v>
      </c>
      <c r="E283" s="10" t="s">
        <v>584</v>
      </c>
      <c r="F283" s="10" t="s">
        <v>587</v>
      </c>
      <c r="G283" s="10" t="s">
        <v>11</v>
      </c>
      <c r="H283" t="s">
        <v>12</v>
      </c>
    </row>
    <row r="284" spans="1:8" x14ac:dyDescent="0.25">
      <c r="A284">
        <v>1247375996</v>
      </c>
      <c r="B284" t="s">
        <v>588</v>
      </c>
      <c r="C284">
        <v>4</v>
      </c>
      <c r="D284" s="1">
        <v>3.33</v>
      </c>
      <c r="E284" s="10" t="s">
        <v>584</v>
      </c>
      <c r="F284" s="10" t="s">
        <v>589</v>
      </c>
      <c r="G284" s="10" t="s">
        <v>48</v>
      </c>
      <c r="H284" t="s">
        <v>12</v>
      </c>
    </row>
    <row r="285" spans="1:8" x14ac:dyDescent="0.25">
      <c r="A285">
        <v>1247290743</v>
      </c>
      <c r="B285" t="s">
        <v>590</v>
      </c>
      <c r="C285">
        <v>6</v>
      </c>
      <c r="D285" s="1">
        <v>18.52</v>
      </c>
      <c r="E285" s="10" t="s">
        <v>591</v>
      </c>
      <c r="F285" s="10" t="s">
        <v>592</v>
      </c>
      <c r="G285" s="10" t="s">
        <v>48</v>
      </c>
      <c r="H285" t="s">
        <v>12</v>
      </c>
    </row>
    <row r="286" spans="1:8" x14ac:dyDescent="0.25">
      <c r="A286">
        <v>1247288758</v>
      </c>
      <c r="B286" t="s">
        <v>593</v>
      </c>
      <c r="C286">
        <v>4</v>
      </c>
      <c r="D286" s="1">
        <v>10.25</v>
      </c>
      <c r="E286" s="10" t="s">
        <v>591</v>
      </c>
      <c r="F286" s="10" t="s">
        <v>594</v>
      </c>
      <c r="G286" s="10" t="s">
        <v>48</v>
      </c>
      <c r="H286" t="s">
        <v>12</v>
      </c>
    </row>
    <row r="287" spans="1:8" x14ac:dyDescent="0.25">
      <c r="A287">
        <v>1247248244</v>
      </c>
      <c r="B287" t="s">
        <v>595</v>
      </c>
      <c r="C287">
        <v>8</v>
      </c>
      <c r="D287" s="1">
        <v>13.33</v>
      </c>
      <c r="E287" s="10" t="s">
        <v>591</v>
      </c>
      <c r="F287" s="10" t="s">
        <v>596</v>
      </c>
      <c r="G287" s="10" t="s">
        <v>48</v>
      </c>
      <c r="H287" t="s">
        <v>12</v>
      </c>
    </row>
    <row r="288" spans="1:8" x14ac:dyDescent="0.25">
      <c r="A288">
        <v>1247238999</v>
      </c>
      <c r="B288" t="s">
        <v>597</v>
      </c>
      <c r="C288">
        <v>1</v>
      </c>
      <c r="D288" s="1">
        <v>4.95</v>
      </c>
      <c r="E288" s="10" t="s">
        <v>591</v>
      </c>
      <c r="F288" s="10" t="s">
        <v>598</v>
      </c>
      <c r="G288" s="10" t="s">
        <v>48</v>
      </c>
      <c r="H288" t="s">
        <v>12</v>
      </c>
    </row>
    <row r="289" spans="1:8" x14ac:dyDescent="0.25">
      <c r="A289">
        <v>1247238483</v>
      </c>
      <c r="B289" t="s">
        <v>181</v>
      </c>
      <c r="C289">
        <v>6</v>
      </c>
      <c r="D289" s="1">
        <v>6.07</v>
      </c>
      <c r="E289" s="10" t="s">
        <v>591</v>
      </c>
      <c r="F289" s="10" t="s">
        <v>599</v>
      </c>
      <c r="G289" s="10" t="s">
        <v>11</v>
      </c>
      <c r="H289" t="s">
        <v>12</v>
      </c>
    </row>
    <row r="290" spans="1:8" x14ac:dyDescent="0.25">
      <c r="A290">
        <v>1247229759</v>
      </c>
      <c r="B290" t="s">
        <v>600</v>
      </c>
      <c r="C290">
        <v>4</v>
      </c>
      <c r="D290" s="1">
        <v>13.25</v>
      </c>
      <c r="E290" s="10" t="s">
        <v>591</v>
      </c>
      <c r="F290" s="10" t="s">
        <v>601</v>
      </c>
      <c r="G290" s="10" t="s">
        <v>48</v>
      </c>
      <c r="H290" t="s">
        <v>12</v>
      </c>
    </row>
    <row r="291" spans="1:8" x14ac:dyDescent="0.25">
      <c r="A291" t="s">
        <v>602</v>
      </c>
      <c r="B291" t="s">
        <v>603</v>
      </c>
      <c r="C291">
        <v>1</v>
      </c>
      <c r="D291" s="1">
        <v>310</v>
      </c>
      <c r="E291" s="10" t="s">
        <v>604</v>
      </c>
      <c r="F291" s="10" t="s">
        <v>548</v>
      </c>
      <c r="G291" s="10" t="s">
        <v>11</v>
      </c>
      <c r="H291" t="s">
        <v>12</v>
      </c>
    </row>
    <row r="292" spans="1:8" x14ac:dyDescent="0.25">
      <c r="A292">
        <v>1247020450</v>
      </c>
      <c r="B292" t="s">
        <v>605</v>
      </c>
      <c r="C292">
        <v>1</v>
      </c>
      <c r="D292" s="1">
        <v>3.28</v>
      </c>
      <c r="E292" s="10" t="s">
        <v>606</v>
      </c>
      <c r="F292" s="10" t="s">
        <v>607</v>
      </c>
      <c r="G292" s="10" t="s">
        <v>48</v>
      </c>
      <c r="H292" t="s">
        <v>12</v>
      </c>
    </row>
    <row r="293" spans="1:8" x14ac:dyDescent="0.25">
      <c r="A293">
        <v>1246809442</v>
      </c>
      <c r="B293" t="s">
        <v>608</v>
      </c>
      <c r="C293">
        <v>4</v>
      </c>
      <c r="D293" s="1">
        <v>87.4</v>
      </c>
      <c r="E293" s="10" t="s">
        <v>609</v>
      </c>
      <c r="F293" s="10" t="s">
        <v>610</v>
      </c>
      <c r="G293" s="10" t="s">
        <v>48</v>
      </c>
      <c r="H293" t="s">
        <v>12</v>
      </c>
    </row>
    <row r="294" spans="1:8" x14ac:dyDescent="0.25">
      <c r="A294">
        <v>1246782050</v>
      </c>
      <c r="B294" t="s">
        <v>442</v>
      </c>
      <c r="C294">
        <v>5</v>
      </c>
      <c r="D294" s="1">
        <v>47.62</v>
      </c>
      <c r="E294" s="10" t="s">
        <v>609</v>
      </c>
      <c r="F294" s="10" t="s">
        <v>611</v>
      </c>
      <c r="G294" s="10" t="s">
        <v>11</v>
      </c>
      <c r="H294" t="s">
        <v>12</v>
      </c>
    </row>
    <row r="295" spans="1:8" x14ac:dyDescent="0.25">
      <c r="A295">
        <v>1246778711</v>
      </c>
      <c r="B295" t="s">
        <v>612</v>
      </c>
      <c r="C295">
        <v>4</v>
      </c>
      <c r="D295" s="1">
        <v>5.13</v>
      </c>
      <c r="E295" s="10" t="s">
        <v>609</v>
      </c>
      <c r="F295" s="10" t="s">
        <v>613</v>
      </c>
      <c r="G295" s="10" t="s">
        <v>48</v>
      </c>
      <c r="H295" t="s">
        <v>12</v>
      </c>
    </row>
    <row r="296" spans="1:8" x14ac:dyDescent="0.25">
      <c r="A296">
        <v>1246502519</v>
      </c>
      <c r="B296" t="s">
        <v>614</v>
      </c>
      <c r="C296">
        <v>1</v>
      </c>
      <c r="D296" s="1">
        <v>1.83</v>
      </c>
      <c r="E296" s="10" t="s">
        <v>615</v>
      </c>
      <c r="F296" s="10" t="s">
        <v>616</v>
      </c>
      <c r="G296" s="10" t="s">
        <v>48</v>
      </c>
      <c r="H296" t="s">
        <v>12</v>
      </c>
    </row>
    <row r="297" spans="1:8" x14ac:dyDescent="0.25">
      <c r="A297">
        <v>1246390151</v>
      </c>
      <c r="B297" t="s">
        <v>617</v>
      </c>
      <c r="C297">
        <v>1</v>
      </c>
      <c r="D297" s="1">
        <v>335.5</v>
      </c>
      <c r="E297" s="10" t="s">
        <v>618</v>
      </c>
      <c r="F297" s="10" t="s">
        <v>619</v>
      </c>
      <c r="G297" s="10" t="s">
        <v>11</v>
      </c>
      <c r="H297" t="s">
        <v>12</v>
      </c>
    </row>
    <row r="298" spans="1:8" x14ac:dyDescent="0.25">
      <c r="A298">
        <v>1246389998</v>
      </c>
      <c r="B298" t="s">
        <v>620</v>
      </c>
      <c r="C298">
        <v>1</v>
      </c>
      <c r="D298" s="1">
        <v>1.53</v>
      </c>
      <c r="E298" s="10" t="s">
        <v>618</v>
      </c>
      <c r="F298" s="10" t="s">
        <v>621</v>
      </c>
      <c r="G298" s="10" t="s">
        <v>11</v>
      </c>
      <c r="H298" t="s">
        <v>12</v>
      </c>
    </row>
    <row r="299" spans="1:8" x14ac:dyDescent="0.25">
      <c r="A299">
        <v>1246130252</v>
      </c>
      <c r="B299" t="s">
        <v>442</v>
      </c>
      <c r="C299">
        <v>5</v>
      </c>
      <c r="D299" s="1">
        <v>47.62</v>
      </c>
      <c r="E299" s="10" t="s">
        <v>622</v>
      </c>
      <c r="F299" s="10" t="s">
        <v>623</v>
      </c>
      <c r="G299" s="10" t="s">
        <v>38</v>
      </c>
      <c r="H299" t="s">
        <v>12</v>
      </c>
    </row>
    <row r="300" spans="1:8" ht="30" x14ac:dyDescent="0.25">
      <c r="A300">
        <v>1246129625</v>
      </c>
      <c r="B300" t="s">
        <v>61</v>
      </c>
      <c r="C300">
        <v>3</v>
      </c>
      <c r="D300" s="1">
        <v>21</v>
      </c>
      <c r="E300" s="10" t="s">
        <v>622</v>
      </c>
      <c r="F300" s="10" t="s">
        <v>216</v>
      </c>
      <c r="G300" s="10" t="s">
        <v>38</v>
      </c>
      <c r="H300" t="s">
        <v>12</v>
      </c>
    </row>
    <row r="301" spans="1:8" x14ac:dyDescent="0.25">
      <c r="A301">
        <v>1246129492</v>
      </c>
      <c r="B301" t="s">
        <v>212</v>
      </c>
      <c r="C301">
        <v>4</v>
      </c>
      <c r="D301" s="1">
        <v>24.29</v>
      </c>
      <c r="E301" s="10" t="s">
        <v>622</v>
      </c>
      <c r="F301" s="10" t="s">
        <v>624</v>
      </c>
      <c r="G301" s="10" t="s">
        <v>11</v>
      </c>
      <c r="H301" t="s">
        <v>12</v>
      </c>
    </row>
    <row r="302" spans="1:8" x14ac:dyDescent="0.25">
      <c r="A302">
        <v>1245818358</v>
      </c>
      <c r="B302" t="s">
        <v>625</v>
      </c>
      <c r="C302">
        <v>4</v>
      </c>
      <c r="D302" s="1">
        <v>4.45</v>
      </c>
      <c r="E302" s="10" t="s">
        <v>626</v>
      </c>
      <c r="F302" s="10" t="s">
        <v>627</v>
      </c>
      <c r="G302" s="10" t="s">
        <v>48</v>
      </c>
      <c r="H302" t="s">
        <v>12</v>
      </c>
    </row>
    <row r="303" spans="1:8" x14ac:dyDescent="0.25">
      <c r="A303">
        <v>1245614245</v>
      </c>
      <c r="B303" t="s">
        <v>628</v>
      </c>
      <c r="C303">
        <v>1</v>
      </c>
      <c r="D303" s="1">
        <v>3.28</v>
      </c>
      <c r="E303" s="10" t="s">
        <v>629</v>
      </c>
      <c r="F303" s="10" t="s">
        <v>630</v>
      </c>
      <c r="G303" s="10" t="s">
        <v>48</v>
      </c>
      <c r="H303" t="s">
        <v>12</v>
      </c>
    </row>
    <row r="304" spans="1:8" x14ac:dyDescent="0.25">
      <c r="A304">
        <v>1245445493</v>
      </c>
      <c r="B304" t="s">
        <v>631</v>
      </c>
      <c r="C304">
        <v>4</v>
      </c>
      <c r="D304" s="1">
        <v>7.89</v>
      </c>
      <c r="E304" s="10" t="s">
        <v>632</v>
      </c>
      <c r="F304" s="10" t="s">
        <v>633</v>
      </c>
      <c r="G304" s="10" t="s">
        <v>48</v>
      </c>
      <c r="H304" t="s">
        <v>12</v>
      </c>
    </row>
    <row r="305" spans="1:8" x14ac:dyDescent="0.25">
      <c r="A305">
        <v>1245439549</v>
      </c>
      <c r="B305" t="s">
        <v>634</v>
      </c>
      <c r="C305">
        <v>1</v>
      </c>
      <c r="D305" s="1">
        <v>42.55</v>
      </c>
      <c r="E305" s="10" t="s">
        <v>632</v>
      </c>
      <c r="F305" s="10" t="s">
        <v>635</v>
      </c>
      <c r="G305" s="10" t="s">
        <v>48</v>
      </c>
      <c r="H305" t="s">
        <v>12</v>
      </c>
    </row>
    <row r="306" spans="1:8" x14ac:dyDescent="0.25">
      <c r="A306">
        <v>1245357481</v>
      </c>
      <c r="B306" t="s">
        <v>636</v>
      </c>
      <c r="C306">
        <v>2</v>
      </c>
      <c r="D306" s="1">
        <v>1.83</v>
      </c>
      <c r="E306" s="10" t="s">
        <v>632</v>
      </c>
      <c r="F306" s="10" t="s">
        <v>637</v>
      </c>
      <c r="G306" s="10" t="s">
        <v>48</v>
      </c>
      <c r="H306" t="s">
        <v>12</v>
      </c>
    </row>
    <row r="307" spans="1:8" x14ac:dyDescent="0.25">
      <c r="A307">
        <v>1245264371</v>
      </c>
      <c r="B307" t="s">
        <v>141</v>
      </c>
      <c r="C307">
        <v>1</v>
      </c>
      <c r="D307" s="1">
        <v>15.28</v>
      </c>
      <c r="E307" s="10" t="s">
        <v>638</v>
      </c>
      <c r="F307" s="10" t="s">
        <v>639</v>
      </c>
      <c r="G307" s="10" t="s">
        <v>11</v>
      </c>
      <c r="H307" t="s">
        <v>12</v>
      </c>
    </row>
    <row r="308" spans="1:8" x14ac:dyDescent="0.25">
      <c r="A308">
        <v>1245010552</v>
      </c>
      <c r="B308" t="s">
        <v>640</v>
      </c>
      <c r="C308">
        <v>1</v>
      </c>
      <c r="D308" s="1">
        <v>19.32</v>
      </c>
      <c r="E308" s="10" t="s">
        <v>641</v>
      </c>
      <c r="F308" s="10" t="s">
        <v>642</v>
      </c>
      <c r="G308" s="10" t="s">
        <v>11</v>
      </c>
      <c r="H308" t="s">
        <v>12</v>
      </c>
    </row>
    <row r="309" spans="1:8" x14ac:dyDescent="0.25">
      <c r="A309">
        <v>1244994033</v>
      </c>
      <c r="B309" t="s">
        <v>643</v>
      </c>
      <c r="C309">
        <v>1</v>
      </c>
      <c r="D309" s="1">
        <v>18.329999999999998</v>
      </c>
      <c r="E309" s="10" t="s">
        <v>641</v>
      </c>
      <c r="F309" s="10" t="s">
        <v>644</v>
      </c>
      <c r="G309" s="10" t="s">
        <v>11</v>
      </c>
      <c r="H309" t="s">
        <v>12</v>
      </c>
    </row>
    <row r="310" spans="1:8" x14ac:dyDescent="0.25">
      <c r="A310">
        <v>1244990507</v>
      </c>
      <c r="B310" t="s">
        <v>645</v>
      </c>
      <c r="C310">
        <v>6</v>
      </c>
      <c r="D310" s="1">
        <v>18.03</v>
      </c>
      <c r="E310" s="10" t="s">
        <v>641</v>
      </c>
      <c r="F310" s="10" t="s">
        <v>646</v>
      </c>
      <c r="G310" s="10" t="s">
        <v>48</v>
      </c>
      <c r="H310" t="s">
        <v>12</v>
      </c>
    </row>
    <row r="311" spans="1:8" x14ac:dyDescent="0.25">
      <c r="A311">
        <v>1244893411</v>
      </c>
      <c r="B311" t="s">
        <v>647</v>
      </c>
      <c r="C311">
        <v>2</v>
      </c>
      <c r="D311" s="1">
        <v>3.23</v>
      </c>
      <c r="E311" s="10" t="s">
        <v>648</v>
      </c>
      <c r="F311" s="10" t="s">
        <v>649</v>
      </c>
      <c r="G311" s="10" t="s">
        <v>48</v>
      </c>
      <c r="H311" t="s">
        <v>12</v>
      </c>
    </row>
    <row r="312" spans="1:8" x14ac:dyDescent="0.25">
      <c r="A312">
        <v>1244635042</v>
      </c>
      <c r="B312" t="s">
        <v>650</v>
      </c>
      <c r="C312">
        <v>3</v>
      </c>
      <c r="D312" s="1">
        <v>4.18</v>
      </c>
      <c r="E312" s="10" t="s">
        <v>651</v>
      </c>
      <c r="F312" s="10" t="s">
        <v>652</v>
      </c>
      <c r="G312" s="10" t="s">
        <v>38</v>
      </c>
      <c r="H312" t="s">
        <v>12</v>
      </c>
    </row>
    <row r="313" spans="1:8" x14ac:dyDescent="0.25">
      <c r="A313" t="s">
        <v>653</v>
      </c>
      <c r="B313" t="s">
        <v>654</v>
      </c>
      <c r="C313">
        <v>1</v>
      </c>
      <c r="D313" s="1">
        <v>600</v>
      </c>
      <c r="E313" s="10" t="s">
        <v>655</v>
      </c>
      <c r="F313" s="10" t="s">
        <v>548</v>
      </c>
      <c r="G313" s="10" t="s">
        <v>11</v>
      </c>
      <c r="H313" t="s">
        <v>12</v>
      </c>
    </row>
    <row r="314" spans="1:8" x14ac:dyDescent="0.25">
      <c r="A314" t="s">
        <v>656</v>
      </c>
      <c r="B314" t="s">
        <v>657</v>
      </c>
      <c r="C314">
        <v>4</v>
      </c>
      <c r="D314" s="1">
        <v>11</v>
      </c>
      <c r="E314" s="10" t="s">
        <v>655</v>
      </c>
      <c r="F314" s="10" t="s">
        <v>548</v>
      </c>
      <c r="G314" s="10" t="s">
        <v>48</v>
      </c>
      <c r="H314" t="s">
        <v>12</v>
      </c>
    </row>
    <row r="315" spans="1:8" x14ac:dyDescent="0.25">
      <c r="A315" t="s">
        <v>658</v>
      </c>
      <c r="B315" t="s">
        <v>659</v>
      </c>
      <c r="C315">
        <v>4</v>
      </c>
      <c r="D315" s="1">
        <v>45</v>
      </c>
      <c r="E315" s="10" t="s">
        <v>655</v>
      </c>
      <c r="F315" s="10" t="s">
        <v>548</v>
      </c>
      <c r="G315" s="10" t="s">
        <v>48</v>
      </c>
      <c r="H315" t="s">
        <v>12</v>
      </c>
    </row>
    <row r="316" spans="1:8" x14ac:dyDescent="0.25">
      <c r="A316">
        <v>1244475690</v>
      </c>
      <c r="B316" t="s">
        <v>660</v>
      </c>
      <c r="C316">
        <v>1</v>
      </c>
      <c r="D316" s="1">
        <v>4.83</v>
      </c>
      <c r="E316" s="10" t="s">
        <v>655</v>
      </c>
      <c r="F316" s="10" t="s">
        <v>661</v>
      </c>
      <c r="G316" s="10" t="s">
        <v>48</v>
      </c>
      <c r="H316" t="s">
        <v>12</v>
      </c>
    </row>
    <row r="317" spans="1:8" x14ac:dyDescent="0.25">
      <c r="A317">
        <v>1244398238</v>
      </c>
      <c r="B317" t="s">
        <v>662</v>
      </c>
      <c r="C317">
        <v>1</v>
      </c>
      <c r="D317" s="1">
        <v>3.28</v>
      </c>
      <c r="E317" s="10" t="s">
        <v>655</v>
      </c>
      <c r="F317" s="10" t="s">
        <v>663</v>
      </c>
      <c r="G317" s="10" t="s">
        <v>48</v>
      </c>
      <c r="H317" t="s">
        <v>12</v>
      </c>
    </row>
    <row r="318" spans="1:8" x14ac:dyDescent="0.25">
      <c r="A318">
        <v>1244251179</v>
      </c>
      <c r="B318" t="s">
        <v>664</v>
      </c>
      <c r="C318">
        <v>1</v>
      </c>
      <c r="D318" s="1">
        <v>8.4</v>
      </c>
      <c r="E318" s="10" t="s">
        <v>665</v>
      </c>
      <c r="F318" s="10" t="s">
        <v>666</v>
      </c>
      <c r="G318" s="10" t="s">
        <v>48</v>
      </c>
      <c r="H318" t="s">
        <v>12</v>
      </c>
    </row>
    <row r="319" spans="1:8" x14ac:dyDescent="0.25">
      <c r="A319">
        <v>1244130136</v>
      </c>
      <c r="B319" t="s">
        <v>667</v>
      </c>
      <c r="C319">
        <v>1</v>
      </c>
      <c r="D319" s="1">
        <v>4.4000000000000004</v>
      </c>
      <c r="E319" s="10" t="s">
        <v>665</v>
      </c>
      <c r="F319" s="10" t="s">
        <v>668</v>
      </c>
      <c r="G319" s="10" t="s">
        <v>48</v>
      </c>
      <c r="H319" t="s">
        <v>12</v>
      </c>
    </row>
    <row r="320" spans="1:8" x14ac:dyDescent="0.25">
      <c r="A320" t="s">
        <v>669</v>
      </c>
      <c r="B320" t="s">
        <v>670</v>
      </c>
      <c r="C320">
        <v>1</v>
      </c>
      <c r="D320" s="1">
        <v>25</v>
      </c>
      <c r="E320" s="10" t="s">
        <v>671</v>
      </c>
      <c r="F320" s="10" t="s">
        <v>548</v>
      </c>
      <c r="G320" s="10" t="s">
        <v>48</v>
      </c>
      <c r="H320" t="s">
        <v>12</v>
      </c>
    </row>
    <row r="321" spans="1:8" x14ac:dyDescent="0.25">
      <c r="A321">
        <v>1244111848</v>
      </c>
      <c r="B321" t="s">
        <v>672</v>
      </c>
      <c r="C321">
        <v>9</v>
      </c>
      <c r="D321" s="1">
        <v>3.58</v>
      </c>
      <c r="E321" s="10" t="s">
        <v>671</v>
      </c>
      <c r="F321" s="10" t="s">
        <v>673</v>
      </c>
      <c r="G321" s="10" t="s">
        <v>48</v>
      </c>
      <c r="H321" t="s">
        <v>12</v>
      </c>
    </row>
    <row r="322" spans="1:8" x14ac:dyDescent="0.25">
      <c r="A322">
        <v>1243929990</v>
      </c>
      <c r="B322" t="s">
        <v>674</v>
      </c>
      <c r="C322">
        <v>1</v>
      </c>
      <c r="D322" s="1">
        <v>2.2799999999999998</v>
      </c>
      <c r="E322" s="10" t="s">
        <v>675</v>
      </c>
      <c r="F322" s="10" t="s">
        <v>676</v>
      </c>
      <c r="G322" s="10" t="s">
        <v>48</v>
      </c>
      <c r="H322" t="s">
        <v>12</v>
      </c>
    </row>
    <row r="323" spans="1:8" x14ac:dyDescent="0.25">
      <c r="A323">
        <v>1243812749</v>
      </c>
      <c r="B323" t="s">
        <v>677</v>
      </c>
      <c r="C323">
        <v>1</v>
      </c>
      <c r="D323" s="1">
        <v>2.83</v>
      </c>
      <c r="E323" s="10" t="s">
        <v>675</v>
      </c>
      <c r="F323" s="10" t="s">
        <v>678</v>
      </c>
      <c r="G323" s="10" t="s">
        <v>48</v>
      </c>
      <c r="H323" t="s">
        <v>12</v>
      </c>
    </row>
    <row r="324" spans="1:8" x14ac:dyDescent="0.25">
      <c r="A324">
        <v>1243793386</v>
      </c>
      <c r="B324" t="s">
        <v>679</v>
      </c>
      <c r="C324">
        <v>4</v>
      </c>
      <c r="D324" s="1">
        <v>3.33</v>
      </c>
      <c r="E324" s="10" t="s">
        <v>675</v>
      </c>
      <c r="F324" s="10" t="s">
        <v>680</v>
      </c>
      <c r="G324" s="10" t="s">
        <v>48</v>
      </c>
      <c r="H324" t="s">
        <v>12</v>
      </c>
    </row>
    <row r="325" spans="1:8" x14ac:dyDescent="0.25">
      <c r="A325">
        <v>1243741253</v>
      </c>
      <c r="B325" t="s">
        <v>681</v>
      </c>
      <c r="C325">
        <v>2</v>
      </c>
      <c r="D325" s="1">
        <v>5.23</v>
      </c>
      <c r="E325" s="10" t="s">
        <v>682</v>
      </c>
      <c r="F325" s="10" t="s">
        <v>683</v>
      </c>
      <c r="G325" s="10" t="s">
        <v>48</v>
      </c>
      <c r="H325" t="s">
        <v>12</v>
      </c>
    </row>
    <row r="326" spans="1:8" x14ac:dyDescent="0.25">
      <c r="A326">
        <v>1243620987</v>
      </c>
      <c r="B326" t="s">
        <v>380</v>
      </c>
      <c r="C326">
        <v>4</v>
      </c>
      <c r="D326" s="1">
        <v>5.13</v>
      </c>
      <c r="E326" s="10" t="s">
        <v>682</v>
      </c>
      <c r="F326" s="10" t="s">
        <v>684</v>
      </c>
      <c r="G326" s="10" t="s">
        <v>48</v>
      </c>
      <c r="H326" t="s">
        <v>12</v>
      </c>
    </row>
    <row r="327" spans="1:8" x14ac:dyDescent="0.25">
      <c r="A327">
        <v>1243580885</v>
      </c>
      <c r="B327" t="s">
        <v>685</v>
      </c>
      <c r="C327">
        <v>4</v>
      </c>
      <c r="D327" s="1">
        <v>316.99</v>
      </c>
      <c r="E327" s="10" t="s">
        <v>686</v>
      </c>
      <c r="F327" s="10" t="s">
        <v>687</v>
      </c>
      <c r="G327" s="10" t="s">
        <v>11</v>
      </c>
      <c r="H327" t="s">
        <v>12</v>
      </c>
    </row>
    <row r="328" spans="1:8" x14ac:dyDescent="0.25">
      <c r="A328">
        <v>1243443704</v>
      </c>
      <c r="B328" t="s">
        <v>688</v>
      </c>
      <c r="C328">
        <v>1</v>
      </c>
      <c r="D328" s="1">
        <v>3.28</v>
      </c>
      <c r="E328" s="10" t="s">
        <v>686</v>
      </c>
      <c r="F328" s="10" t="s">
        <v>689</v>
      </c>
      <c r="G328" s="10" t="s">
        <v>38</v>
      </c>
      <c r="H328" t="s">
        <v>12</v>
      </c>
    </row>
    <row r="329" spans="1:8" x14ac:dyDescent="0.25">
      <c r="A329">
        <v>1243238844</v>
      </c>
      <c r="B329" t="s">
        <v>690</v>
      </c>
      <c r="C329">
        <v>1</v>
      </c>
      <c r="D329" s="1">
        <v>3.28</v>
      </c>
      <c r="E329" s="10" t="s">
        <v>691</v>
      </c>
      <c r="F329" s="10" t="s">
        <v>692</v>
      </c>
      <c r="G329" s="10" t="s">
        <v>48</v>
      </c>
      <c r="H329" t="s">
        <v>12</v>
      </c>
    </row>
    <row r="330" spans="1:8" x14ac:dyDescent="0.25">
      <c r="A330">
        <v>1243145592</v>
      </c>
      <c r="B330" t="s">
        <v>693</v>
      </c>
      <c r="C330">
        <v>1</v>
      </c>
      <c r="D330" s="1">
        <v>3.28</v>
      </c>
      <c r="E330" s="10" t="s">
        <v>691</v>
      </c>
      <c r="F330" s="10" t="s">
        <v>694</v>
      </c>
      <c r="G330" s="10" t="s">
        <v>48</v>
      </c>
      <c r="H330" t="s">
        <v>12</v>
      </c>
    </row>
    <row r="331" spans="1:8" x14ac:dyDescent="0.25">
      <c r="A331">
        <v>1243134485</v>
      </c>
      <c r="B331" t="s">
        <v>695</v>
      </c>
      <c r="C331">
        <v>2</v>
      </c>
      <c r="D331" s="1">
        <v>11.23</v>
      </c>
      <c r="E331" s="10" t="s">
        <v>691</v>
      </c>
      <c r="F331" s="10" t="s">
        <v>696</v>
      </c>
      <c r="G331" s="10" t="s">
        <v>48</v>
      </c>
      <c r="H331" t="s">
        <v>12</v>
      </c>
    </row>
    <row r="332" spans="1:8" x14ac:dyDescent="0.25">
      <c r="A332">
        <v>1243072138</v>
      </c>
      <c r="B332" t="s">
        <v>697</v>
      </c>
      <c r="C332">
        <v>4</v>
      </c>
      <c r="D332" s="1">
        <v>6.25</v>
      </c>
      <c r="E332" s="10" t="s">
        <v>698</v>
      </c>
      <c r="F332" s="10" t="s">
        <v>699</v>
      </c>
      <c r="G332" s="10" t="s">
        <v>48</v>
      </c>
      <c r="H332" t="s">
        <v>12</v>
      </c>
    </row>
    <row r="333" spans="1:8" x14ac:dyDescent="0.25">
      <c r="A333">
        <v>1242958601</v>
      </c>
      <c r="B333" t="s">
        <v>700</v>
      </c>
      <c r="C333">
        <v>2</v>
      </c>
      <c r="D333" s="1">
        <v>7.78</v>
      </c>
      <c r="E333" s="10" t="s">
        <v>698</v>
      </c>
      <c r="F333" s="10" t="s">
        <v>701</v>
      </c>
      <c r="G333" s="10" t="s">
        <v>38</v>
      </c>
      <c r="H333" t="s">
        <v>12</v>
      </c>
    </row>
    <row r="334" spans="1:8" x14ac:dyDescent="0.25">
      <c r="A334">
        <v>1242941050</v>
      </c>
      <c r="B334" t="s">
        <v>702</v>
      </c>
      <c r="C334">
        <v>4</v>
      </c>
      <c r="D334" s="1">
        <v>17.13</v>
      </c>
      <c r="E334" s="10" t="s">
        <v>698</v>
      </c>
      <c r="F334" s="10" t="s">
        <v>703</v>
      </c>
      <c r="G334" s="10" t="s">
        <v>48</v>
      </c>
      <c r="H334" t="s">
        <v>12</v>
      </c>
    </row>
    <row r="335" spans="1:8" x14ac:dyDescent="0.25">
      <c r="A335">
        <v>1242930381</v>
      </c>
      <c r="B335" t="s">
        <v>704</v>
      </c>
      <c r="C335">
        <v>3</v>
      </c>
      <c r="D335" s="1">
        <v>11.18</v>
      </c>
      <c r="E335" s="10" t="s">
        <v>698</v>
      </c>
      <c r="F335" s="10" t="s">
        <v>705</v>
      </c>
      <c r="G335" s="10" t="s">
        <v>48</v>
      </c>
      <c r="H335" t="s">
        <v>12</v>
      </c>
    </row>
    <row r="336" spans="1:8" x14ac:dyDescent="0.25">
      <c r="A336">
        <v>1242778113</v>
      </c>
      <c r="B336" t="s">
        <v>706</v>
      </c>
      <c r="C336">
        <v>1</v>
      </c>
      <c r="D336" s="1">
        <v>3.33</v>
      </c>
      <c r="E336" s="10" t="s">
        <v>707</v>
      </c>
      <c r="F336" s="10" t="s">
        <v>708</v>
      </c>
      <c r="G336" s="10" t="s">
        <v>11</v>
      </c>
      <c r="H336" t="s">
        <v>12</v>
      </c>
    </row>
    <row r="337" spans="1:8" x14ac:dyDescent="0.25">
      <c r="A337">
        <v>1242739223</v>
      </c>
      <c r="B337" t="s">
        <v>469</v>
      </c>
      <c r="C337">
        <v>4</v>
      </c>
      <c r="D337" s="1">
        <v>6.23</v>
      </c>
      <c r="E337" s="10" t="s">
        <v>707</v>
      </c>
      <c r="F337" s="10" t="s">
        <v>709</v>
      </c>
      <c r="G337" s="10" t="s">
        <v>11</v>
      </c>
      <c r="H337" t="s">
        <v>12</v>
      </c>
    </row>
    <row r="338" spans="1:8" x14ac:dyDescent="0.25">
      <c r="A338">
        <v>1242651146</v>
      </c>
      <c r="B338" t="s">
        <v>710</v>
      </c>
      <c r="C338">
        <v>1</v>
      </c>
      <c r="D338" s="1">
        <v>6.28</v>
      </c>
      <c r="E338" s="10" t="s">
        <v>711</v>
      </c>
      <c r="F338" s="10" t="s">
        <v>712</v>
      </c>
      <c r="G338" s="10" t="s">
        <v>48</v>
      </c>
      <c r="H338" t="s">
        <v>12</v>
      </c>
    </row>
    <row r="339" spans="1:8" x14ac:dyDescent="0.25">
      <c r="A339">
        <v>1242523059</v>
      </c>
      <c r="B339" t="s">
        <v>242</v>
      </c>
      <c r="C339">
        <v>1</v>
      </c>
      <c r="D339" s="1">
        <v>14.29</v>
      </c>
      <c r="E339" s="10" t="s">
        <v>713</v>
      </c>
      <c r="F339" s="10" t="s">
        <v>714</v>
      </c>
      <c r="G339" s="10" t="s">
        <v>11</v>
      </c>
      <c r="H339" t="s">
        <v>12</v>
      </c>
    </row>
    <row r="340" spans="1:8" x14ac:dyDescent="0.25">
      <c r="A340">
        <v>1242522935</v>
      </c>
      <c r="B340" t="s">
        <v>285</v>
      </c>
      <c r="C340">
        <v>4</v>
      </c>
      <c r="D340" s="1">
        <v>3.33</v>
      </c>
      <c r="E340" s="10" t="s">
        <v>713</v>
      </c>
      <c r="F340" s="10" t="s">
        <v>715</v>
      </c>
      <c r="G340" s="10" t="s">
        <v>11</v>
      </c>
      <c r="H340" t="s">
        <v>12</v>
      </c>
    </row>
    <row r="341" spans="1:8" x14ac:dyDescent="0.25">
      <c r="A341">
        <v>1242320169</v>
      </c>
      <c r="B341" t="s">
        <v>285</v>
      </c>
      <c r="C341">
        <v>44</v>
      </c>
      <c r="D341" s="1">
        <v>11.2</v>
      </c>
      <c r="E341" s="10" t="s">
        <v>716</v>
      </c>
      <c r="F341" s="10" t="s">
        <v>717</v>
      </c>
      <c r="G341" s="10" t="s">
        <v>11</v>
      </c>
      <c r="H341" t="s">
        <v>12</v>
      </c>
    </row>
    <row r="342" spans="1:8" x14ac:dyDescent="0.25">
      <c r="A342">
        <v>1242317669</v>
      </c>
      <c r="B342" t="s">
        <v>318</v>
      </c>
      <c r="C342">
        <v>3</v>
      </c>
      <c r="D342" s="1">
        <v>7.73</v>
      </c>
      <c r="E342" s="10" t="s">
        <v>716</v>
      </c>
      <c r="F342" s="10" t="s">
        <v>718</v>
      </c>
      <c r="G342" s="10" t="s">
        <v>48</v>
      </c>
      <c r="H342" t="s">
        <v>12</v>
      </c>
    </row>
    <row r="343" spans="1:8" x14ac:dyDescent="0.25">
      <c r="A343">
        <v>1242249150</v>
      </c>
      <c r="B343" t="s">
        <v>719</v>
      </c>
      <c r="C343">
        <v>1</v>
      </c>
      <c r="D343" s="1">
        <v>2.2799999999999998</v>
      </c>
      <c r="E343" s="10" t="s">
        <v>720</v>
      </c>
      <c r="F343" s="10" t="s">
        <v>721</v>
      </c>
      <c r="G343" s="10" t="s">
        <v>48</v>
      </c>
      <c r="H343" t="s">
        <v>12</v>
      </c>
    </row>
    <row r="344" spans="1:8" x14ac:dyDescent="0.25">
      <c r="A344">
        <v>1242211482</v>
      </c>
      <c r="B344" t="s">
        <v>722</v>
      </c>
      <c r="C344">
        <v>1</v>
      </c>
      <c r="D344" s="1">
        <v>4.4000000000000004</v>
      </c>
      <c r="E344" s="10" t="s">
        <v>720</v>
      </c>
      <c r="F344" s="10" t="s">
        <v>723</v>
      </c>
      <c r="G344" s="10" t="s">
        <v>48</v>
      </c>
      <c r="H344" t="s">
        <v>12</v>
      </c>
    </row>
    <row r="345" spans="1:8" x14ac:dyDescent="0.25">
      <c r="A345">
        <v>1242171536</v>
      </c>
      <c r="B345" t="s">
        <v>724</v>
      </c>
      <c r="C345">
        <v>2</v>
      </c>
      <c r="D345" s="1">
        <v>9.4499999999999993</v>
      </c>
      <c r="E345" s="10" t="s">
        <v>720</v>
      </c>
      <c r="F345" s="10" t="s">
        <v>725</v>
      </c>
      <c r="G345" s="10" t="s">
        <v>48</v>
      </c>
      <c r="H345" t="s">
        <v>12</v>
      </c>
    </row>
    <row r="346" spans="1:8" x14ac:dyDescent="0.25">
      <c r="A346">
        <v>1242114768</v>
      </c>
      <c r="B346" t="s">
        <v>726</v>
      </c>
      <c r="C346">
        <v>5</v>
      </c>
      <c r="D346" s="1">
        <v>2.83</v>
      </c>
      <c r="E346" s="10" t="s">
        <v>727</v>
      </c>
      <c r="F346" s="10" t="s">
        <v>728</v>
      </c>
      <c r="G346" s="10" t="s">
        <v>48</v>
      </c>
      <c r="H346" t="s">
        <v>12</v>
      </c>
    </row>
    <row r="347" spans="1:8" x14ac:dyDescent="0.25">
      <c r="A347">
        <v>1242056139</v>
      </c>
      <c r="B347" t="s">
        <v>729</v>
      </c>
      <c r="C347">
        <v>2</v>
      </c>
      <c r="D347" s="1">
        <v>7.23</v>
      </c>
      <c r="E347" s="10" t="s">
        <v>727</v>
      </c>
      <c r="F347" s="10" t="s">
        <v>730</v>
      </c>
      <c r="G347" s="10" t="s">
        <v>48</v>
      </c>
      <c r="H347" t="s">
        <v>12</v>
      </c>
    </row>
    <row r="348" spans="1:8" x14ac:dyDescent="0.25">
      <c r="A348">
        <v>1242015691</v>
      </c>
      <c r="B348" t="s">
        <v>731</v>
      </c>
      <c r="C348">
        <v>4</v>
      </c>
      <c r="D348" s="1">
        <v>6.25</v>
      </c>
      <c r="E348" s="10" t="s">
        <v>727</v>
      </c>
      <c r="F348" s="10" t="s">
        <v>732</v>
      </c>
      <c r="G348" s="10" t="s">
        <v>48</v>
      </c>
      <c r="H348" t="s">
        <v>12</v>
      </c>
    </row>
    <row r="349" spans="1:8" x14ac:dyDescent="0.25">
      <c r="A349">
        <v>1241942137</v>
      </c>
      <c r="B349" t="s">
        <v>733</v>
      </c>
      <c r="C349">
        <v>2</v>
      </c>
      <c r="D349" s="1">
        <v>6.69</v>
      </c>
      <c r="E349" s="10" t="s">
        <v>734</v>
      </c>
      <c r="F349" s="10" t="s">
        <v>735</v>
      </c>
      <c r="G349" s="10" t="s">
        <v>11</v>
      </c>
      <c r="H349" t="s">
        <v>12</v>
      </c>
    </row>
    <row r="350" spans="1:8" x14ac:dyDescent="0.25">
      <c r="A350">
        <v>1241881703</v>
      </c>
      <c r="B350" t="s">
        <v>736</v>
      </c>
      <c r="C350">
        <v>2</v>
      </c>
      <c r="D350" s="1">
        <v>7.23</v>
      </c>
      <c r="E350" s="10" t="s">
        <v>734</v>
      </c>
      <c r="F350" s="10" t="s">
        <v>737</v>
      </c>
      <c r="G350" s="10" t="s">
        <v>48</v>
      </c>
      <c r="H350" t="s">
        <v>12</v>
      </c>
    </row>
    <row r="351" spans="1:8" x14ac:dyDescent="0.25">
      <c r="A351">
        <v>1241802115</v>
      </c>
      <c r="B351" t="s">
        <v>738</v>
      </c>
      <c r="C351">
        <v>4</v>
      </c>
      <c r="D351" s="1">
        <v>6.25</v>
      </c>
      <c r="E351" s="10" t="s">
        <v>734</v>
      </c>
      <c r="F351" s="10" t="s">
        <v>739</v>
      </c>
      <c r="G351" s="10" t="s">
        <v>48</v>
      </c>
      <c r="H351" t="s">
        <v>12</v>
      </c>
    </row>
    <row r="352" spans="1:8" x14ac:dyDescent="0.25">
      <c r="A352">
        <v>1241737569</v>
      </c>
      <c r="B352" t="s">
        <v>170</v>
      </c>
      <c r="C352">
        <v>16</v>
      </c>
      <c r="D352" s="1">
        <v>5.01</v>
      </c>
      <c r="E352" s="10" t="s">
        <v>740</v>
      </c>
      <c r="F352" s="10" t="s">
        <v>741</v>
      </c>
      <c r="G352" s="10" t="s">
        <v>11</v>
      </c>
      <c r="H352" t="s">
        <v>12</v>
      </c>
    </row>
    <row r="353" spans="1:8" x14ac:dyDescent="0.25">
      <c r="A353">
        <v>1241668804</v>
      </c>
      <c r="B353" t="s">
        <v>742</v>
      </c>
      <c r="C353">
        <v>15</v>
      </c>
      <c r="D353" s="1">
        <v>18.350000000000001</v>
      </c>
      <c r="E353" s="10" t="s">
        <v>740</v>
      </c>
      <c r="F353" s="10" t="s">
        <v>743</v>
      </c>
      <c r="G353" s="10" t="s">
        <v>48</v>
      </c>
      <c r="H353" t="s">
        <v>12</v>
      </c>
    </row>
    <row r="354" spans="1:8" x14ac:dyDescent="0.25">
      <c r="A354">
        <v>1241664035</v>
      </c>
      <c r="B354" t="s">
        <v>744</v>
      </c>
      <c r="C354">
        <v>3</v>
      </c>
      <c r="D354" s="1">
        <v>5.18</v>
      </c>
      <c r="E354" s="10" t="s">
        <v>740</v>
      </c>
      <c r="F354" s="10" t="s">
        <v>745</v>
      </c>
      <c r="G354" s="10" t="s">
        <v>48</v>
      </c>
      <c r="H354" t="s">
        <v>12</v>
      </c>
    </row>
    <row r="355" spans="1:8" x14ac:dyDescent="0.25">
      <c r="A355">
        <v>1241623919</v>
      </c>
      <c r="B355" t="s">
        <v>746</v>
      </c>
      <c r="C355">
        <v>1</v>
      </c>
      <c r="D355" s="1">
        <v>9.32</v>
      </c>
      <c r="E355" s="10" t="s">
        <v>740</v>
      </c>
      <c r="F355" s="10" t="s">
        <v>747</v>
      </c>
      <c r="G355" s="10" t="s">
        <v>11</v>
      </c>
      <c r="H355" t="s">
        <v>12</v>
      </c>
    </row>
    <row r="356" spans="1:8" x14ac:dyDescent="0.25">
      <c r="A356">
        <v>1241597708</v>
      </c>
      <c r="B356" t="s">
        <v>748</v>
      </c>
      <c r="C356">
        <v>1</v>
      </c>
      <c r="D356" s="1">
        <v>8.0299999999999994</v>
      </c>
      <c r="E356" s="10" t="s">
        <v>749</v>
      </c>
      <c r="F356" s="10" t="s">
        <v>750</v>
      </c>
      <c r="G356" s="10" t="s">
        <v>48</v>
      </c>
      <c r="H356" t="s">
        <v>12</v>
      </c>
    </row>
    <row r="357" spans="1:8" x14ac:dyDescent="0.25">
      <c r="A357">
        <v>1241565486</v>
      </c>
      <c r="B357" t="s">
        <v>751</v>
      </c>
      <c r="C357">
        <v>4</v>
      </c>
      <c r="D357" s="1">
        <v>22.25</v>
      </c>
      <c r="E357" s="10" t="s">
        <v>749</v>
      </c>
      <c r="F357" s="10" t="s">
        <v>752</v>
      </c>
      <c r="G357" s="10" t="s">
        <v>48</v>
      </c>
      <c r="H357" t="s">
        <v>12</v>
      </c>
    </row>
    <row r="358" spans="1:8" x14ac:dyDescent="0.25">
      <c r="A358">
        <v>1241283618</v>
      </c>
      <c r="B358" t="s">
        <v>414</v>
      </c>
      <c r="C358">
        <v>4</v>
      </c>
      <c r="D358" s="1">
        <v>393.86</v>
      </c>
      <c r="E358" s="10" t="s">
        <v>753</v>
      </c>
      <c r="F358" s="10" t="s">
        <v>754</v>
      </c>
      <c r="G358" s="10" t="s">
        <v>38</v>
      </c>
      <c r="H358" t="s">
        <v>12</v>
      </c>
    </row>
    <row r="359" spans="1:8" x14ac:dyDescent="0.25">
      <c r="A359">
        <v>1241197416</v>
      </c>
      <c r="B359" t="s">
        <v>755</v>
      </c>
      <c r="C359">
        <v>1</v>
      </c>
      <c r="D359" s="1">
        <v>11.32</v>
      </c>
      <c r="E359" s="10" t="s">
        <v>756</v>
      </c>
      <c r="F359" s="10" t="s">
        <v>757</v>
      </c>
      <c r="G359" s="10" t="s">
        <v>38</v>
      </c>
      <c r="H359" t="s">
        <v>12</v>
      </c>
    </row>
    <row r="360" spans="1:8" x14ac:dyDescent="0.25">
      <c r="A360">
        <v>1241155381</v>
      </c>
      <c r="B360" t="s">
        <v>758</v>
      </c>
      <c r="C360">
        <v>4</v>
      </c>
      <c r="D360" s="1">
        <v>19.29</v>
      </c>
      <c r="E360" s="10" t="s">
        <v>756</v>
      </c>
      <c r="F360" s="10" t="s">
        <v>759</v>
      </c>
      <c r="G360" s="10" t="s">
        <v>11</v>
      </c>
      <c r="H360" t="s">
        <v>12</v>
      </c>
    </row>
    <row r="361" spans="1:8" x14ac:dyDescent="0.25">
      <c r="A361">
        <v>1241154975</v>
      </c>
      <c r="B361" t="s">
        <v>760</v>
      </c>
      <c r="C361">
        <v>8</v>
      </c>
      <c r="D361" s="1">
        <v>4.53</v>
      </c>
      <c r="E361" s="10" t="s">
        <v>756</v>
      </c>
      <c r="F361" s="10" t="s">
        <v>761</v>
      </c>
      <c r="G361" s="10" t="s">
        <v>11</v>
      </c>
      <c r="H361" t="s">
        <v>12</v>
      </c>
    </row>
    <row r="362" spans="1:8" x14ac:dyDescent="0.25">
      <c r="A362">
        <v>1240849073</v>
      </c>
      <c r="B362" t="s">
        <v>762</v>
      </c>
      <c r="C362">
        <v>1</v>
      </c>
      <c r="D362" s="1">
        <v>1.83</v>
      </c>
      <c r="E362" s="10" t="s">
        <v>763</v>
      </c>
      <c r="F362" s="10" t="s">
        <v>764</v>
      </c>
      <c r="G362" s="10" t="s">
        <v>11</v>
      </c>
      <c r="H362" t="s">
        <v>12</v>
      </c>
    </row>
    <row r="363" spans="1:8" x14ac:dyDescent="0.25">
      <c r="A363">
        <v>1240847981</v>
      </c>
      <c r="B363" t="s">
        <v>765</v>
      </c>
      <c r="C363">
        <v>1</v>
      </c>
      <c r="D363" s="1">
        <v>17.75</v>
      </c>
      <c r="E363" s="10" t="s">
        <v>763</v>
      </c>
      <c r="F363" s="10" t="s">
        <v>766</v>
      </c>
      <c r="G363" s="10" t="s">
        <v>11</v>
      </c>
      <c r="H363" t="s">
        <v>12</v>
      </c>
    </row>
    <row r="364" spans="1:8" x14ac:dyDescent="0.25">
      <c r="A364">
        <v>1240847029</v>
      </c>
      <c r="B364" t="s">
        <v>237</v>
      </c>
      <c r="C364">
        <v>2</v>
      </c>
      <c r="D364" s="1">
        <v>4.2300000000000004</v>
      </c>
      <c r="E364" s="10" t="s">
        <v>763</v>
      </c>
      <c r="F364" s="10" t="s">
        <v>767</v>
      </c>
      <c r="G364" s="10" t="s">
        <v>11</v>
      </c>
      <c r="H364" t="s">
        <v>12</v>
      </c>
    </row>
    <row r="365" spans="1:8" x14ac:dyDescent="0.25">
      <c r="A365">
        <v>1240841505</v>
      </c>
      <c r="B365" t="s">
        <v>237</v>
      </c>
      <c r="C365">
        <v>4</v>
      </c>
      <c r="D365" s="1">
        <v>4.33</v>
      </c>
      <c r="E365" s="10" t="s">
        <v>763</v>
      </c>
      <c r="F365" s="10" t="s">
        <v>767</v>
      </c>
      <c r="G365" s="10" t="s">
        <v>11</v>
      </c>
      <c r="H365" t="s">
        <v>12</v>
      </c>
    </row>
    <row r="366" spans="1:8" x14ac:dyDescent="0.25">
      <c r="A366">
        <v>1240834049</v>
      </c>
      <c r="B366" t="s">
        <v>768</v>
      </c>
      <c r="C366">
        <v>1</v>
      </c>
      <c r="D366" s="1">
        <v>5.28</v>
      </c>
      <c r="E366" s="10" t="s">
        <v>763</v>
      </c>
      <c r="F366" s="10" t="s">
        <v>769</v>
      </c>
      <c r="G366" s="10" t="s">
        <v>48</v>
      </c>
      <c r="H366" t="s">
        <v>12</v>
      </c>
    </row>
    <row r="367" spans="1:8" x14ac:dyDescent="0.25">
      <c r="A367">
        <v>1240764273</v>
      </c>
      <c r="B367" t="s">
        <v>380</v>
      </c>
      <c r="C367">
        <v>4</v>
      </c>
      <c r="D367" s="1">
        <v>20.93</v>
      </c>
      <c r="E367" s="10" t="s">
        <v>763</v>
      </c>
      <c r="F367" s="10" t="s">
        <v>684</v>
      </c>
      <c r="G367" s="10" t="s">
        <v>48</v>
      </c>
      <c r="H367" t="s">
        <v>12</v>
      </c>
    </row>
    <row r="368" spans="1:8" x14ac:dyDescent="0.25">
      <c r="A368">
        <v>1240763009</v>
      </c>
      <c r="B368" t="s">
        <v>770</v>
      </c>
      <c r="C368">
        <v>3</v>
      </c>
      <c r="D368" s="1">
        <v>16.18</v>
      </c>
      <c r="E368" s="10" t="s">
        <v>763</v>
      </c>
      <c r="F368" s="10" t="s">
        <v>771</v>
      </c>
      <c r="G368" s="10" t="s">
        <v>48</v>
      </c>
      <c r="H368" t="s">
        <v>12</v>
      </c>
    </row>
    <row r="369" spans="1:8" x14ac:dyDescent="0.25">
      <c r="A369">
        <v>1240558130</v>
      </c>
      <c r="B369" t="s">
        <v>772</v>
      </c>
      <c r="C369">
        <v>1</v>
      </c>
      <c r="D369" s="1">
        <v>19.28</v>
      </c>
      <c r="E369" s="10" t="s">
        <v>773</v>
      </c>
      <c r="F369" s="10" t="s">
        <v>774</v>
      </c>
      <c r="G369" s="10" t="s">
        <v>48</v>
      </c>
      <c r="H369" t="s">
        <v>12</v>
      </c>
    </row>
    <row r="370" spans="1:8" x14ac:dyDescent="0.25">
      <c r="A370">
        <v>1240546158</v>
      </c>
      <c r="B370" t="s">
        <v>775</v>
      </c>
      <c r="C370">
        <v>4</v>
      </c>
      <c r="D370" s="1">
        <v>25.13</v>
      </c>
      <c r="E370" s="10" t="s">
        <v>773</v>
      </c>
      <c r="F370" s="10" t="s">
        <v>776</v>
      </c>
      <c r="G370" s="10" t="s">
        <v>48</v>
      </c>
      <c r="H370" t="s">
        <v>12</v>
      </c>
    </row>
    <row r="371" spans="1:8" x14ac:dyDescent="0.25">
      <c r="A371">
        <v>1240434008</v>
      </c>
      <c r="B371" t="s">
        <v>777</v>
      </c>
      <c r="C371">
        <v>1</v>
      </c>
      <c r="D371" s="1">
        <v>3.83</v>
      </c>
      <c r="E371" s="10" t="s">
        <v>773</v>
      </c>
      <c r="F371" s="10" t="s">
        <v>778</v>
      </c>
      <c r="G371" s="10" t="s">
        <v>11</v>
      </c>
      <c r="H371" t="s">
        <v>12</v>
      </c>
    </row>
    <row r="372" spans="1:8" x14ac:dyDescent="0.25">
      <c r="A372">
        <v>1240433989</v>
      </c>
      <c r="B372" t="s">
        <v>762</v>
      </c>
      <c r="C372">
        <v>5</v>
      </c>
      <c r="D372" s="1">
        <v>13.23</v>
      </c>
      <c r="E372" s="10" t="s">
        <v>773</v>
      </c>
      <c r="F372" s="10" t="s">
        <v>764</v>
      </c>
      <c r="G372" s="10" t="s">
        <v>11</v>
      </c>
      <c r="H372" t="s">
        <v>12</v>
      </c>
    </row>
    <row r="373" spans="1:8" x14ac:dyDescent="0.25">
      <c r="A373">
        <v>1240433322</v>
      </c>
      <c r="B373" t="s">
        <v>779</v>
      </c>
      <c r="C373">
        <v>3</v>
      </c>
      <c r="D373" s="1">
        <v>1.63</v>
      </c>
      <c r="E373" s="10" t="s">
        <v>773</v>
      </c>
      <c r="F373" s="10" t="s">
        <v>780</v>
      </c>
      <c r="G373" s="10" t="s">
        <v>11</v>
      </c>
      <c r="H373" t="s">
        <v>12</v>
      </c>
    </row>
    <row r="374" spans="1:8" x14ac:dyDescent="0.25">
      <c r="A374">
        <v>1240432988</v>
      </c>
      <c r="B374" t="s">
        <v>781</v>
      </c>
      <c r="C374">
        <v>2</v>
      </c>
      <c r="D374" s="1">
        <v>2.23</v>
      </c>
      <c r="E374" s="10" t="s">
        <v>773</v>
      </c>
      <c r="F374" s="10" t="s">
        <v>782</v>
      </c>
      <c r="G374" s="10" t="s">
        <v>11</v>
      </c>
      <c r="H374" t="s">
        <v>12</v>
      </c>
    </row>
    <row r="375" spans="1:8" x14ac:dyDescent="0.25">
      <c r="A375">
        <v>1240431832</v>
      </c>
      <c r="B375" t="s">
        <v>783</v>
      </c>
      <c r="C375">
        <v>3</v>
      </c>
      <c r="D375" s="1">
        <v>2.4300000000000002</v>
      </c>
      <c r="E375" s="10" t="s">
        <v>773</v>
      </c>
      <c r="F375" s="10" t="s">
        <v>784</v>
      </c>
      <c r="G375" s="10" t="s">
        <v>11</v>
      </c>
      <c r="H375" t="s">
        <v>12</v>
      </c>
    </row>
    <row r="376" spans="1:8" x14ac:dyDescent="0.25">
      <c r="A376">
        <v>1240429845</v>
      </c>
      <c r="B376" t="s">
        <v>785</v>
      </c>
      <c r="C376">
        <v>2</v>
      </c>
      <c r="D376" s="1">
        <v>4.32</v>
      </c>
      <c r="E376" s="10" t="s">
        <v>773</v>
      </c>
      <c r="F376" s="10" t="s">
        <v>786</v>
      </c>
      <c r="G376" s="10" t="s">
        <v>11</v>
      </c>
      <c r="H376" t="s">
        <v>12</v>
      </c>
    </row>
    <row r="377" spans="1:8" x14ac:dyDescent="0.25">
      <c r="A377">
        <v>1240428040</v>
      </c>
      <c r="B377" t="s">
        <v>414</v>
      </c>
      <c r="C377">
        <v>2</v>
      </c>
      <c r="D377" s="1">
        <v>7.31</v>
      </c>
      <c r="E377" s="10" t="s">
        <v>773</v>
      </c>
      <c r="F377" s="10" t="s">
        <v>787</v>
      </c>
      <c r="G377" s="10" t="s">
        <v>11</v>
      </c>
      <c r="H377" t="s">
        <v>12</v>
      </c>
    </row>
    <row r="378" spans="1:8" x14ac:dyDescent="0.25">
      <c r="A378">
        <v>1240427599</v>
      </c>
      <c r="B378" t="s">
        <v>788</v>
      </c>
      <c r="C378">
        <v>1</v>
      </c>
      <c r="D378" s="1">
        <v>6.78</v>
      </c>
      <c r="E378" s="10" t="s">
        <v>773</v>
      </c>
      <c r="F378" s="10" t="s">
        <v>789</v>
      </c>
      <c r="G378" s="10" t="s">
        <v>11</v>
      </c>
      <c r="H378" t="s">
        <v>12</v>
      </c>
    </row>
    <row r="379" spans="1:8" x14ac:dyDescent="0.25">
      <c r="A379">
        <v>1240421247</v>
      </c>
      <c r="B379" t="s">
        <v>790</v>
      </c>
      <c r="C379">
        <v>3</v>
      </c>
      <c r="D379" s="1">
        <v>9.83</v>
      </c>
      <c r="E379" s="10" t="s">
        <v>773</v>
      </c>
      <c r="F379" s="10" t="s">
        <v>791</v>
      </c>
      <c r="G379" s="10" t="s">
        <v>11</v>
      </c>
      <c r="H379" t="s">
        <v>12</v>
      </c>
    </row>
    <row r="380" spans="1:8" x14ac:dyDescent="0.25">
      <c r="A380">
        <v>1240417559</v>
      </c>
      <c r="B380" t="s">
        <v>181</v>
      </c>
      <c r="C380">
        <v>11</v>
      </c>
      <c r="D380" s="1">
        <v>15.72</v>
      </c>
      <c r="E380" s="10" t="s">
        <v>773</v>
      </c>
      <c r="F380" s="10" t="s">
        <v>599</v>
      </c>
      <c r="G380" s="10" t="s">
        <v>11</v>
      </c>
      <c r="H380" t="s">
        <v>12</v>
      </c>
    </row>
    <row r="381" spans="1:8" x14ac:dyDescent="0.25">
      <c r="A381">
        <v>1240414115</v>
      </c>
      <c r="B381" t="s">
        <v>792</v>
      </c>
      <c r="C381">
        <v>3</v>
      </c>
      <c r="D381" s="1">
        <v>62.78</v>
      </c>
      <c r="E381" s="10" t="s">
        <v>773</v>
      </c>
      <c r="F381" s="10" t="s">
        <v>793</v>
      </c>
      <c r="G381" s="10" t="s">
        <v>48</v>
      </c>
      <c r="H381" t="s">
        <v>12</v>
      </c>
    </row>
    <row r="382" spans="1:8" x14ac:dyDescent="0.25">
      <c r="A382">
        <v>1240183988</v>
      </c>
      <c r="B382" t="s">
        <v>794</v>
      </c>
      <c r="C382">
        <v>2</v>
      </c>
      <c r="D382" s="1">
        <v>1.83</v>
      </c>
      <c r="E382" s="10" t="s">
        <v>795</v>
      </c>
      <c r="F382" s="10" t="s">
        <v>796</v>
      </c>
      <c r="G382" s="10" t="s">
        <v>38</v>
      </c>
      <c r="H382" t="s">
        <v>12</v>
      </c>
    </row>
    <row r="383" spans="1:8" x14ac:dyDescent="0.25">
      <c r="A383">
        <v>1240175085</v>
      </c>
      <c r="B383" t="s">
        <v>797</v>
      </c>
      <c r="C383">
        <v>6</v>
      </c>
      <c r="D383" s="1">
        <v>9.5299999999999994</v>
      </c>
      <c r="E383" s="10" t="s">
        <v>795</v>
      </c>
      <c r="F383" s="10" t="s">
        <v>798</v>
      </c>
      <c r="G383" s="10" t="s">
        <v>11</v>
      </c>
      <c r="H383" t="s">
        <v>12</v>
      </c>
    </row>
    <row r="384" spans="1:8" ht="30" x14ac:dyDescent="0.25">
      <c r="A384">
        <v>1240174616</v>
      </c>
      <c r="B384" t="s">
        <v>8</v>
      </c>
      <c r="C384">
        <v>4</v>
      </c>
      <c r="D384" s="1">
        <v>0.5</v>
      </c>
      <c r="E384" s="10" t="s">
        <v>795</v>
      </c>
      <c r="F384" s="10" t="s">
        <v>799</v>
      </c>
      <c r="G384" s="10" t="s">
        <v>38</v>
      </c>
      <c r="H384" t="s">
        <v>12</v>
      </c>
    </row>
    <row r="385" spans="1:8" x14ac:dyDescent="0.25">
      <c r="A385">
        <v>1240170413</v>
      </c>
      <c r="B385" t="s">
        <v>318</v>
      </c>
      <c r="C385">
        <v>2</v>
      </c>
      <c r="D385" s="1">
        <v>2.31</v>
      </c>
      <c r="E385" s="10" t="s">
        <v>795</v>
      </c>
      <c r="F385" s="10" t="s">
        <v>800</v>
      </c>
      <c r="G385" s="10" t="s">
        <v>11</v>
      </c>
      <c r="H385" t="s">
        <v>12</v>
      </c>
    </row>
    <row r="386" spans="1:8" x14ac:dyDescent="0.25">
      <c r="A386">
        <v>1240170405</v>
      </c>
      <c r="B386" t="s">
        <v>801</v>
      </c>
      <c r="C386">
        <v>2</v>
      </c>
      <c r="D386" s="1">
        <v>2.13</v>
      </c>
      <c r="E386" s="10" t="s">
        <v>795</v>
      </c>
      <c r="F386" s="10" t="s">
        <v>802</v>
      </c>
      <c r="G386" s="10" t="s">
        <v>11</v>
      </c>
      <c r="H386" t="s">
        <v>12</v>
      </c>
    </row>
    <row r="387" spans="1:8" x14ac:dyDescent="0.25">
      <c r="A387">
        <v>1240170186</v>
      </c>
      <c r="B387" t="s">
        <v>803</v>
      </c>
      <c r="C387">
        <v>4</v>
      </c>
      <c r="D387" s="1">
        <v>9.51</v>
      </c>
      <c r="E387" s="10" t="s">
        <v>795</v>
      </c>
      <c r="F387" s="10" t="s">
        <v>804</v>
      </c>
      <c r="G387" s="10" t="s">
        <v>11</v>
      </c>
      <c r="H387" t="s">
        <v>12</v>
      </c>
    </row>
    <row r="388" spans="1:8" x14ac:dyDescent="0.25">
      <c r="A388">
        <v>1239994419</v>
      </c>
      <c r="B388" t="s">
        <v>805</v>
      </c>
      <c r="C388">
        <v>4</v>
      </c>
      <c r="D388" s="1">
        <v>6.33</v>
      </c>
      <c r="E388" s="10" t="s">
        <v>806</v>
      </c>
      <c r="F388" s="10" t="s">
        <v>807</v>
      </c>
      <c r="G388" s="10" t="s">
        <v>48</v>
      </c>
      <c r="H388" t="s">
        <v>12</v>
      </c>
    </row>
    <row r="389" spans="1:8" x14ac:dyDescent="0.25">
      <c r="A389">
        <v>1239882307</v>
      </c>
      <c r="B389" t="s">
        <v>808</v>
      </c>
      <c r="C389">
        <v>1</v>
      </c>
      <c r="D389" s="1">
        <v>3.28</v>
      </c>
      <c r="E389" s="10" t="s">
        <v>806</v>
      </c>
      <c r="F389" s="10" t="s">
        <v>809</v>
      </c>
      <c r="G389" s="10" t="s">
        <v>48</v>
      </c>
      <c r="H389" t="s">
        <v>12</v>
      </c>
    </row>
    <row r="390" spans="1:8" x14ac:dyDescent="0.25">
      <c r="A390">
        <v>1239758352</v>
      </c>
      <c r="B390" t="s">
        <v>810</v>
      </c>
      <c r="C390">
        <v>2</v>
      </c>
      <c r="D390" s="1">
        <v>21.33</v>
      </c>
      <c r="E390" s="10" t="s">
        <v>811</v>
      </c>
      <c r="F390" s="10" t="s">
        <v>812</v>
      </c>
      <c r="G390" s="10" t="s">
        <v>11</v>
      </c>
      <c r="H390" t="s">
        <v>12</v>
      </c>
    </row>
    <row r="391" spans="1:8" x14ac:dyDescent="0.25">
      <c r="A391">
        <v>1239756058</v>
      </c>
      <c r="B391" t="s">
        <v>223</v>
      </c>
      <c r="C391">
        <v>1</v>
      </c>
      <c r="D391" s="1">
        <v>13.14</v>
      </c>
      <c r="E391" s="10" t="s">
        <v>811</v>
      </c>
      <c r="F391" s="10" t="s">
        <v>813</v>
      </c>
      <c r="G391" s="10" t="s">
        <v>11</v>
      </c>
      <c r="H391" t="s">
        <v>12</v>
      </c>
    </row>
    <row r="392" spans="1:8" x14ac:dyDescent="0.25">
      <c r="A392">
        <v>1239427732</v>
      </c>
      <c r="B392" t="s">
        <v>814</v>
      </c>
      <c r="C392">
        <v>4</v>
      </c>
      <c r="D392" s="1">
        <v>19.329999999999998</v>
      </c>
      <c r="E392" s="10" t="s">
        <v>815</v>
      </c>
      <c r="F392" s="10" t="s">
        <v>816</v>
      </c>
      <c r="G392" s="10" t="s">
        <v>48</v>
      </c>
      <c r="H392" t="s">
        <v>12</v>
      </c>
    </row>
    <row r="393" spans="1:8" x14ac:dyDescent="0.25">
      <c r="A393">
        <v>1239069185</v>
      </c>
      <c r="B393" t="s">
        <v>817</v>
      </c>
      <c r="C393">
        <v>3</v>
      </c>
      <c r="D393" s="1">
        <v>26.13</v>
      </c>
      <c r="E393" s="10" t="s">
        <v>818</v>
      </c>
      <c r="F393" s="10" t="s">
        <v>819</v>
      </c>
      <c r="G393" s="10" t="s">
        <v>48</v>
      </c>
      <c r="H393" t="s">
        <v>12</v>
      </c>
    </row>
    <row r="394" spans="1:8" x14ac:dyDescent="0.25">
      <c r="A394">
        <v>1238949577</v>
      </c>
      <c r="B394" t="s">
        <v>744</v>
      </c>
      <c r="C394">
        <v>3</v>
      </c>
      <c r="D394" s="1">
        <v>13.18</v>
      </c>
      <c r="E394" s="10" t="s">
        <v>820</v>
      </c>
      <c r="F394" s="10" t="s">
        <v>745</v>
      </c>
      <c r="G394" s="10" t="s">
        <v>48</v>
      </c>
      <c r="H394" t="s">
        <v>12</v>
      </c>
    </row>
    <row r="395" spans="1:8" x14ac:dyDescent="0.25">
      <c r="A395">
        <v>1238778886</v>
      </c>
      <c r="B395" t="s">
        <v>821</v>
      </c>
      <c r="C395">
        <v>2</v>
      </c>
      <c r="D395" s="1">
        <v>22.35</v>
      </c>
      <c r="E395" s="10" t="s">
        <v>822</v>
      </c>
      <c r="F395" s="10" t="s">
        <v>823</v>
      </c>
      <c r="G395" s="10" t="s">
        <v>48</v>
      </c>
      <c r="H395" t="s">
        <v>12</v>
      </c>
    </row>
    <row r="396" spans="1:8" x14ac:dyDescent="0.25">
      <c r="A396">
        <v>1238707570</v>
      </c>
      <c r="B396" t="s">
        <v>824</v>
      </c>
      <c r="C396">
        <v>1</v>
      </c>
      <c r="D396" s="1">
        <v>11.28</v>
      </c>
      <c r="E396" s="10" t="s">
        <v>822</v>
      </c>
      <c r="F396" s="10" t="s">
        <v>825</v>
      </c>
      <c r="G396" s="10" t="s">
        <v>48</v>
      </c>
      <c r="H396" t="s">
        <v>12</v>
      </c>
    </row>
    <row r="397" spans="1:8" x14ac:dyDescent="0.25">
      <c r="A397">
        <v>1238467066</v>
      </c>
      <c r="B397" t="s">
        <v>797</v>
      </c>
      <c r="C397">
        <v>2</v>
      </c>
      <c r="D397" s="1">
        <v>5.33</v>
      </c>
      <c r="E397" s="10" t="s">
        <v>826</v>
      </c>
      <c r="F397" s="10" t="s">
        <v>798</v>
      </c>
      <c r="G397" s="10" t="s">
        <v>11</v>
      </c>
      <c r="H397" t="s">
        <v>12</v>
      </c>
    </row>
    <row r="398" spans="1:8" x14ac:dyDescent="0.25">
      <c r="A398">
        <v>1238464752</v>
      </c>
      <c r="B398" t="s">
        <v>762</v>
      </c>
      <c r="C398">
        <v>2</v>
      </c>
      <c r="D398" s="1">
        <v>3.83</v>
      </c>
      <c r="E398" s="10" t="s">
        <v>826</v>
      </c>
      <c r="F398" s="10" t="s">
        <v>764</v>
      </c>
      <c r="G398" s="10" t="s">
        <v>11</v>
      </c>
      <c r="H398" t="s">
        <v>12</v>
      </c>
    </row>
    <row r="399" spans="1:8" x14ac:dyDescent="0.25">
      <c r="A399">
        <v>1238462551</v>
      </c>
      <c r="B399" t="s">
        <v>827</v>
      </c>
      <c r="C399">
        <v>4</v>
      </c>
      <c r="D399" s="1">
        <v>4.53</v>
      </c>
      <c r="E399" s="10" t="s">
        <v>826</v>
      </c>
      <c r="F399" s="10" t="s">
        <v>828</v>
      </c>
      <c r="G399" s="10" t="s">
        <v>11</v>
      </c>
      <c r="H399" t="s">
        <v>12</v>
      </c>
    </row>
    <row r="400" spans="1:8" x14ac:dyDescent="0.25">
      <c r="A400">
        <v>1238258491</v>
      </c>
      <c r="B400" t="s">
        <v>829</v>
      </c>
      <c r="C400">
        <v>3</v>
      </c>
      <c r="D400" s="1">
        <v>1.93</v>
      </c>
      <c r="E400" s="10" t="s">
        <v>830</v>
      </c>
      <c r="F400" s="10" t="s">
        <v>831</v>
      </c>
      <c r="G400" s="10" t="s">
        <v>38</v>
      </c>
      <c r="H400" t="s">
        <v>12</v>
      </c>
    </row>
    <row r="401" spans="1:8" x14ac:dyDescent="0.25">
      <c r="A401">
        <v>1238166844</v>
      </c>
      <c r="B401" t="s">
        <v>832</v>
      </c>
      <c r="C401">
        <v>9</v>
      </c>
      <c r="D401" s="1">
        <v>20.63</v>
      </c>
      <c r="E401" s="10" t="s">
        <v>833</v>
      </c>
      <c r="F401" s="10" t="s">
        <v>834</v>
      </c>
      <c r="G401" s="10" t="s">
        <v>48</v>
      </c>
      <c r="H401" t="s">
        <v>12</v>
      </c>
    </row>
    <row r="402" spans="1:8" x14ac:dyDescent="0.25">
      <c r="A402">
        <v>1238163768</v>
      </c>
      <c r="B402" t="s">
        <v>835</v>
      </c>
      <c r="C402">
        <v>4</v>
      </c>
      <c r="D402" s="1">
        <v>9.1300000000000008</v>
      </c>
      <c r="E402" s="10" t="s">
        <v>833</v>
      </c>
      <c r="F402" s="10" t="s">
        <v>836</v>
      </c>
      <c r="G402" s="10" t="s">
        <v>48</v>
      </c>
      <c r="H402" t="s">
        <v>12</v>
      </c>
    </row>
    <row r="403" spans="1:8" x14ac:dyDescent="0.25">
      <c r="A403">
        <v>1238013373</v>
      </c>
      <c r="B403" t="s">
        <v>837</v>
      </c>
      <c r="C403">
        <v>2</v>
      </c>
      <c r="D403" s="1">
        <v>2.23</v>
      </c>
      <c r="E403" s="10" t="s">
        <v>838</v>
      </c>
      <c r="F403" s="10" t="s">
        <v>839</v>
      </c>
      <c r="G403" s="10" t="s">
        <v>11</v>
      </c>
      <c r="H403" t="s">
        <v>12</v>
      </c>
    </row>
    <row r="404" spans="1:8" x14ac:dyDescent="0.25">
      <c r="A404">
        <v>1238012706</v>
      </c>
      <c r="B404" t="s">
        <v>840</v>
      </c>
      <c r="C404">
        <v>2</v>
      </c>
      <c r="D404" s="1">
        <v>2.33</v>
      </c>
      <c r="E404" s="10" t="s">
        <v>838</v>
      </c>
      <c r="F404" s="10" t="s">
        <v>841</v>
      </c>
      <c r="G404" s="10" t="s">
        <v>11</v>
      </c>
      <c r="H404" t="s">
        <v>12</v>
      </c>
    </row>
    <row r="405" spans="1:8" x14ac:dyDescent="0.25">
      <c r="A405">
        <v>1238010432</v>
      </c>
      <c r="B405" t="s">
        <v>842</v>
      </c>
      <c r="C405">
        <v>6</v>
      </c>
      <c r="D405" s="1">
        <v>3.43</v>
      </c>
      <c r="E405" s="10" t="s">
        <v>838</v>
      </c>
      <c r="F405" s="10" t="s">
        <v>843</v>
      </c>
      <c r="G405" s="10" t="s">
        <v>11</v>
      </c>
      <c r="H405" t="s">
        <v>12</v>
      </c>
    </row>
    <row r="406" spans="1:8" x14ac:dyDescent="0.25">
      <c r="A406">
        <v>1237966382</v>
      </c>
      <c r="B406" t="s">
        <v>844</v>
      </c>
      <c r="C406">
        <v>9</v>
      </c>
      <c r="D406" s="1">
        <v>7.48</v>
      </c>
      <c r="E406" s="10" t="s">
        <v>838</v>
      </c>
      <c r="F406" s="10" t="s">
        <v>845</v>
      </c>
      <c r="G406" s="10" t="s">
        <v>11</v>
      </c>
      <c r="H406" t="s">
        <v>12</v>
      </c>
    </row>
    <row r="407" spans="1:8" x14ac:dyDescent="0.25">
      <c r="A407">
        <v>1237966174</v>
      </c>
      <c r="B407" t="s">
        <v>231</v>
      </c>
      <c r="C407">
        <v>2</v>
      </c>
      <c r="D407" s="1">
        <v>3.33</v>
      </c>
      <c r="E407" s="10" t="s">
        <v>838</v>
      </c>
      <c r="F407" s="10" t="s">
        <v>846</v>
      </c>
      <c r="G407" s="10" t="s">
        <v>11</v>
      </c>
      <c r="H407" t="s">
        <v>12</v>
      </c>
    </row>
    <row r="408" spans="1:8" x14ac:dyDescent="0.25">
      <c r="A408">
        <v>1237965823</v>
      </c>
      <c r="B408" t="s">
        <v>847</v>
      </c>
      <c r="C408">
        <v>2</v>
      </c>
      <c r="D408" s="1">
        <v>1.99</v>
      </c>
      <c r="E408" s="10" t="s">
        <v>838</v>
      </c>
      <c r="F408" s="10" t="s">
        <v>848</v>
      </c>
      <c r="G408" s="10" t="s">
        <v>11</v>
      </c>
      <c r="H408" t="s">
        <v>12</v>
      </c>
    </row>
    <row r="409" spans="1:8" x14ac:dyDescent="0.25">
      <c r="A409">
        <v>1237965372</v>
      </c>
      <c r="B409" t="s">
        <v>849</v>
      </c>
      <c r="C409">
        <v>1</v>
      </c>
      <c r="D409" s="1">
        <v>4.53</v>
      </c>
      <c r="E409" s="10" t="s">
        <v>838</v>
      </c>
      <c r="F409" s="10" t="s">
        <v>850</v>
      </c>
      <c r="G409" s="10" t="s">
        <v>11</v>
      </c>
      <c r="H409" t="s">
        <v>12</v>
      </c>
    </row>
    <row r="410" spans="1:8" x14ac:dyDescent="0.25">
      <c r="A410">
        <v>1237431851</v>
      </c>
      <c r="B410" t="s">
        <v>851</v>
      </c>
      <c r="C410">
        <v>4</v>
      </c>
      <c r="D410" s="1">
        <v>146.04</v>
      </c>
      <c r="E410" s="10" t="s">
        <v>852</v>
      </c>
      <c r="F410" s="10" t="s">
        <v>853</v>
      </c>
      <c r="G410" s="10" t="s">
        <v>11</v>
      </c>
      <c r="H410" t="s">
        <v>12</v>
      </c>
    </row>
    <row r="411" spans="1:8" x14ac:dyDescent="0.25">
      <c r="A411">
        <v>1237409267</v>
      </c>
      <c r="B411" t="s">
        <v>854</v>
      </c>
      <c r="C411">
        <v>4</v>
      </c>
      <c r="D411" s="1">
        <v>25.13</v>
      </c>
      <c r="E411" s="10" t="s">
        <v>855</v>
      </c>
      <c r="F411" s="10" t="s">
        <v>856</v>
      </c>
      <c r="G411" s="10" t="s">
        <v>48</v>
      </c>
      <c r="H411" t="s">
        <v>12</v>
      </c>
    </row>
    <row r="412" spans="1:8" x14ac:dyDescent="0.25">
      <c r="A412">
        <v>1237338508</v>
      </c>
      <c r="B412" t="s">
        <v>857</v>
      </c>
      <c r="C412">
        <v>5</v>
      </c>
      <c r="D412" s="1">
        <v>26.25</v>
      </c>
      <c r="E412" s="10" t="s">
        <v>855</v>
      </c>
      <c r="F412" s="10" t="s">
        <v>858</v>
      </c>
      <c r="G412" s="10" t="s">
        <v>11</v>
      </c>
      <c r="H412" t="s">
        <v>12</v>
      </c>
    </row>
    <row r="413" spans="1:8" x14ac:dyDescent="0.25">
      <c r="A413">
        <v>1237292133</v>
      </c>
      <c r="B413" t="s">
        <v>859</v>
      </c>
      <c r="C413">
        <v>2</v>
      </c>
      <c r="D413" s="1">
        <v>2.31</v>
      </c>
      <c r="E413" s="10" t="s">
        <v>855</v>
      </c>
      <c r="F413" s="10" t="s">
        <v>860</v>
      </c>
      <c r="G413" s="10" t="s">
        <v>11</v>
      </c>
      <c r="H413" t="s">
        <v>12</v>
      </c>
    </row>
    <row r="414" spans="1:8" x14ac:dyDescent="0.25">
      <c r="A414">
        <v>1237292131</v>
      </c>
      <c r="B414" t="s">
        <v>861</v>
      </c>
      <c r="C414">
        <v>2</v>
      </c>
      <c r="D414" s="1">
        <v>2.23</v>
      </c>
      <c r="E414" s="10" t="s">
        <v>855</v>
      </c>
      <c r="F414" s="10" t="s">
        <v>862</v>
      </c>
      <c r="G414" s="10" t="s">
        <v>11</v>
      </c>
      <c r="H414" t="s">
        <v>12</v>
      </c>
    </row>
    <row r="415" spans="1:8" x14ac:dyDescent="0.25">
      <c r="A415">
        <v>1237292123</v>
      </c>
      <c r="B415" t="s">
        <v>863</v>
      </c>
      <c r="C415">
        <v>5</v>
      </c>
      <c r="D415" s="1">
        <v>7.71</v>
      </c>
      <c r="E415" s="10" t="s">
        <v>855</v>
      </c>
      <c r="F415" s="10" t="s">
        <v>864</v>
      </c>
      <c r="G415" s="10" t="s">
        <v>11</v>
      </c>
      <c r="H415" t="s">
        <v>12</v>
      </c>
    </row>
    <row r="416" spans="1:8" x14ac:dyDescent="0.25">
      <c r="A416">
        <v>1237155870</v>
      </c>
      <c r="B416" t="s">
        <v>865</v>
      </c>
      <c r="C416">
        <v>2</v>
      </c>
      <c r="D416" s="1">
        <v>24.35</v>
      </c>
      <c r="E416" s="10" t="s">
        <v>866</v>
      </c>
      <c r="F416" s="10" t="s">
        <v>867</v>
      </c>
      <c r="G416" s="10" t="s">
        <v>48</v>
      </c>
      <c r="H416" t="s">
        <v>12</v>
      </c>
    </row>
    <row r="417" spans="1:8" x14ac:dyDescent="0.25">
      <c r="A417">
        <v>1237057578</v>
      </c>
      <c r="B417" t="s">
        <v>868</v>
      </c>
      <c r="C417">
        <v>1</v>
      </c>
      <c r="D417" s="1">
        <v>6.28</v>
      </c>
      <c r="E417" s="10" t="s">
        <v>869</v>
      </c>
      <c r="F417" s="10" t="s">
        <v>870</v>
      </c>
      <c r="G417" s="10" t="s">
        <v>48</v>
      </c>
      <c r="H417" t="s">
        <v>12</v>
      </c>
    </row>
    <row r="418" spans="1:8" x14ac:dyDescent="0.25">
      <c r="A418">
        <v>1236654747</v>
      </c>
      <c r="B418" t="s">
        <v>871</v>
      </c>
      <c r="C418">
        <v>2</v>
      </c>
      <c r="D418" s="1">
        <v>8.33</v>
      </c>
      <c r="E418" s="10" t="s">
        <v>872</v>
      </c>
      <c r="F418" s="10" t="s">
        <v>873</v>
      </c>
      <c r="G418" s="10" t="s">
        <v>48</v>
      </c>
      <c r="H418" t="s">
        <v>12</v>
      </c>
    </row>
    <row r="419" spans="1:8" x14ac:dyDescent="0.25">
      <c r="A419">
        <v>1236601962</v>
      </c>
      <c r="B419" t="s">
        <v>874</v>
      </c>
      <c r="C419">
        <v>4</v>
      </c>
      <c r="D419" s="1">
        <v>67.2</v>
      </c>
      <c r="E419" s="10" t="s">
        <v>875</v>
      </c>
      <c r="F419" s="10" t="s">
        <v>876</v>
      </c>
      <c r="G419" s="10" t="s">
        <v>48</v>
      </c>
      <c r="H419" t="s">
        <v>12</v>
      </c>
    </row>
    <row r="420" spans="1:8" x14ac:dyDescent="0.25">
      <c r="A420">
        <v>1236431090</v>
      </c>
      <c r="B420" t="s">
        <v>877</v>
      </c>
      <c r="C420">
        <v>1</v>
      </c>
      <c r="D420" s="1">
        <v>39.26</v>
      </c>
      <c r="E420" s="10" t="s">
        <v>875</v>
      </c>
      <c r="F420" s="10" t="s">
        <v>878</v>
      </c>
      <c r="G420" s="10" t="s">
        <v>11</v>
      </c>
      <c r="H420" t="s">
        <v>12</v>
      </c>
    </row>
    <row r="421" spans="1:8" x14ac:dyDescent="0.25">
      <c r="A421">
        <v>1236168020</v>
      </c>
      <c r="B421" t="s">
        <v>879</v>
      </c>
      <c r="C421">
        <v>4</v>
      </c>
      <c r="D421" s="1">
        <v>21.29</v>
      </c>
      <c r="E421" s="10" t="s">
        <v>880</v>
      </c>
      <c r="F421" s="10" t="s">
        <v>881</v>
      </c>
      <c r="G421" s="10" t="s">
        <v>11</v>
      </c>
      <c r="H421" t="s">
        <v>12</v>
      </c>
    </row>
    <row r="422" spans="1:8" x14ac:dyDescent="0.25">
      <c r="A422">
        <v>1235996091</v>
      </c>
      <c r="B422" t="s">
        <v>882</v>
      </c>
      <c r="C422">
        <v>1</v>
      </c>
      <c r="D422" s="1">
        <v>4.62</v>
      </c>
      <c r="E422" s="10" t="s">
        <v>883</v>
      </c>
      <c r="F422" s="10" t="s">
        <v>884</v>
      </c>
      <c r="G422" s="10" t="s">
        <v>11</v>
      </c>
      <c r="H422" t="s">
        <v>12</v>
      </c>
    </row>
    <row r="423" spans="1:8" x14ac:dyDescent="0.25">
      <c r="A423">
        <v>1235995421</v>
      </c>
      <c r="B423" t="s">
        <v>885</v>
      </c>
      <c r="C423">
        <v>3</v>
      </c>
      <c r="D423" s="1">
        <v>10.33</v>
      </c>
      <c r="E423" s="10" t="s">
        <v>883</v>
      </c>
      <c r="F423" s="10" t="s">
        <v>886</v>
      </c>
      <c r="G423" s="10" t="s">
        <v>11</v>
      </c>
      <c r="H423" t="s">
        <v>12</v>
      </c>
    </row>
    <row r="424" spans="1:8" x14ac:dyDescent="0.25">
      <c r="A424">
        <v>1235893246</v>
      </c>
      <c r="B424" t="s">
        <v>242</v>
      </c>
      <c r="C424">
        <v>2</v>
      </c>
      <c r="D424" s="1">
        <v>15.23</v>
      </c>
      <c r="E424" s="10" t="s">
        <v>887</v>
      </c>
      <c r="F424" s="10" t="s">
        <v>714</v>
      </c>
      <c r="G424" s="10" t="s">
        <v>11</v>
      </c>
      <c r="H424" t="s">
        <v>12</v>
      </c>
    </row>
    <row r="425" spans="1:8" x14ac:dyDescent="0.25">
      <c r="A425">
        <v>1235893234</v>
      </c>
      <c r="B425" t="s">
        <v>888</v>
      </c>
      <c r="C425">
        <v>2</v>
      </c>
      <c r="D425" s="1">
        <v>15.83</v>
      </c>
      <c r="E425" s="10" t="s">
        <v>887</v>
      </c>
      <c r="F425" s="10" t="s">
        <v>889</v>
      </c>
      <c r="G425" s="10" t="s">
        <v>11</v>
      </c>
      <c r="H425" t="s">
        <v>12</v>
      </c>
    </row>
    <row r="426" spans="1:8" x14ac:dyDescent="0.25">
      <c r="A426">
        <v>1235891521</v>
      </c>
      <c r="B426" t="s">
        <v>890</v>
      </c>
      <c r="C426">
        <v>4</v>
      </c>
      <c r="D426" s="1">
        <v>25.13</v>
      </c>
      <c r="E426" s="10" t="s">
        <v>887</v>
      </c>
      <c r="F426" s="10" t="s">
        <v>891</v>
      </c>
      <c r="G426" s="10" t="s">
        <v>38</v>
      </c>
      <c r="H426" t="s">
        <v>12</v>
      </c>
    </row>
    <row r="427" spans="1:8" x14ac:dyDescent="0.25">
      <c r="A427">
        <v>1235737822</v>
      </c>
      <c r="B427" t="s">
        <v>892</v>
      </c>
      <c r="C427">
        <v>2</v>
      </c>
      <c r="D427" s="1">
        <v>76.61</v>
      </c>
      <c r="E427" s="10" t="s">
        <v>893</v>
      </c>
      <c r="F427" s="10" t="s">
        <v>894</v>
      </c>
      <c r="G427" s="10" t="s">
        <v>38</v>
      </c>
      <c r="H427" t="s">
        <v>12</v>
      </c>
    </row>
    <row r="428" spans="1:8" x14ac:dyDescent="0.25">
      <c r="A428">
        <v>1235737810</v>
      </c>
      <c r="B428" t="s">
        <v>895</v>
      </c>
      <c r="C428">
        <v>1</v>
      </c>
      <c r="D428" s="1">
        <v>36.08</v>
      </c>
      <c r="E428" s="10" t="s">
        <v>893</v>
      </c>
      <c r="F428" s="10" t="s">
        <v>896</v>
      </c>
      <c r="G428" s="10" t="s">
        <v>38</v>
      </c>
      <c r="H428" t="s">
        <v>12</v>
      </c>
    </row>
    <row r="429" spans="1:8" x14ac:dyDescent="0.25">
      <c r="A429">
        <v>1235615590</v>
      </c>
      <c r="B429" t="s">
        <v>897</v>
      </c>
      <c r="C429">
        <v>1</v>
      </c>
      <c r="D429" s="1">
        <v>19.329999999999998</v>
      </c>
      <c r="E429" s="10" t="s">
        <v>898</v>
      </c>
      <c r="F429" s="10" t="s">
        <v>899</v>
      </c>
      <c r="G429" s="10" t="s">
        <v>11</v>
      </c>
      <c r="H429" t="s">
        <v>12</v>
      </c>
    </row>
    <row r="430" spans="1:8" x14ac:dyDescent="0.25">
      <c r="A430">
        <v>1235614772</v>
      </c>
      <c r="B430" t="s">
        <v>900</v>
      </c>
      <c r="C430">
        <v>4</v>
      </c>
      <c r="D430" s="1">
        <v>25.33</v>
      </c>
      <c r="E430" s="10" t="s">
        <v>898</v>
      </c>
      <c r="F430" s="10" t="s">
        <v>901</v>
      </c>
      <c r="G430" s="10" t="s">
        <v>38</v>
      </c>
      <c r="H430" t="s">
        <v>12</v>
      </c>
    </row>
    <row r="431" spans="1:8" x14ac:dyDescent="0.25">
      <c r="A431">
        <v>1235614540</v>
      </c>
      <c r="B431" t="s">
        <v>902</v>
      </c>
      <c r="C431">
        <v>4</v>
      </c>
      <c r="D431" s="1">
        <v>3.33</v>
      </c>
      <c r="E431" s="10" t="s">
        <v>898</v>
      </c>
      <c r="F431" s="10" t="s">
        <v>903</v>
      </c>
      <c r="G431" s="10" t="s">
        <v>11</v>
      </c>
      <c r="H431" t="s">
        <v>12</v>
      </c>
    </row>
    <row r="432" spans="1:8" x14ac:dyDescent="0.25">
      <c r="A432">
        <v>1235614411</v>
      </c>
      <c r="B432" t="s">
        <v>904</v>
      </c>
      <c r="C432">
        <v>3</v>
      </c>
      <c r="D432" s="1">
        <v>16.670000000000002</v>
      </c>
      <c r="E432" s="10" t="s">
        <v>898</v>
      </c>
      <c r="F432" s="10" t="s">
        <v>905</v>
      </c>
      <c r="G432" s="10" t="s">
        <v>11</v>
      </c>
      <c r="H432" t="s">
        <v>12</v>
      </c>
    </row>
    <row r="433" spans="1:8" x14ac:dyDescent="0.25">
      <c r="A433">
        <v>1235614380</v>
      </c>
      <c r="B433" t="s">
        <v>844</v>
      </c>
      <c r="C433">
        <v>1</v>
      </c>
      <c r="D433" s="1">
        <v>5.58</v>
      </c>
      <c r="E433" s="10" t="s">
        <v>898</v>
      </c>
      <c r="F433" s="10" t="s">
        <v>845</v>
      </c>
      <c r="G433" s="10" t="s">
        <v>11</v>
      </c>
      <c r="H433" t="s">
        <v>12</v>
      </c>
    </row>
    <row r="434" spans="1:8" ht="30" x14ac:dyDescent="0.25">
      <c r="A434">
        <v>1235567765</v>
      </c>
      <c r="B434" t="s">
        <v>8</v>
      </c>
      <c r="C434">
        <v>4</v>
      </c>
      <c r="D434" s="1">
        <v>0.05</v>
      </c>
      <c r="E434" s="10" t="s">
        <v>898</v>
      </c>
      <c r="F434" s="10" t="s">
        <v>799</v>
      </c>
      <c r="G434" s="10" t="s">
        <v>38</v>
      </c>
      <c r="H434" t="s">
        <v>12</v>
      </c>
    </row>
    <row r="435" spans="1:8" x14ac:dyDescent="0.25">
      <c r="A435">
        <v>1235566939</v>
      </c>
      <c r="B435" t="s">
        <v>906</v>
      </c>
      <c r="C435">
        <v>4</v>
      </c>
      <c r="D435" s="1">
        <v>15.33</v>
      </c>
      <c r="E435" s="10" t="s">
        <v>898</v>
      </c>
      <c r="F435" s="10" t="s">
        <v>907</v>
      </c>
      <c r="G435" s="10" t="s">
        <v>38</v>
      </c>
      <c r="H435" t="s">
        <v>12</v>
      </c>
    </row>
    <row r="436" spans="1:8" x14ac:dyDescent="0.25">
      <c r="A436">
        <v>1235566894</v>
      </c>
      <c r="B436" t="s">
        <v>908</v>
      </c>
      <c r="C436">
        <v>4</v>
      </c>
      <c r="D436" s="1">
        <v>5.33</v>
      </c>
      <c r="E436" s="10" t="s">
        <v>898</v>
      </c>
      <c r="F436" s="10" t="s">
        <v>909</v>
      </c>
      <c r="G436" s="10" t="s">
        <v>38</v>
      </c>
      <c r="H436" t="s">
        <v>12</v>
      </c>
    </row>
    <row r="437" spans="1:8" x14ac:dyDescent="0.25">
      <c r="A437">
        <v>1235516214</v>
      </c>
      <c r="B437" t="s">
        <v>910</v>
      </c>
      <c r="C437">
        <v>9</v>
      </c>
      <c r="D437" s="1">
        <v>2.48</v>
      </c>
      <c r="E437" s="10" t="s">
        <v>898</v>
      </c>
      <c r="F437" s="10" t="s">
        <v>911</v>
      </c>
      <c r="G437" s="10" t="s">
        <v>11</v>
      </c>
      <c r="H437" t="s">
        <v>12</v>
      </c>
    </row>
    <row r="438" spans="1:8" x14ac:dyDescent="0.25">
      <c r="A438">
        <v>1235474583</v>
      </c>
      <c r="B438" t="s">
        <v>203</v>
      </c>
      <c r="C438">
        <v>8</v>
      </c>
      <c r="D438" s="1">
        <v>3.91</v>
      </c>
      <c r="E438" s="10" t="s">
        <v>898</v>
      </c>
      <c r="F438" s="10" t="s">
        <v>912</v>
      </c>
      <c r="G438" s="10" t="s">
        <v>11</v>
      </c>
      <c r="H438" t="s">
        <v>12</v>
      </c>
    </row>
    <row r="439" spans="1:8" x14ac:dyDescent="0.25">
      <c r="A439">
        <v>1234987459</v>
      </c>
      <c r="B439" t="s">
        <v>913</v>
      </c>
      <c r="C439">
        <v>1</v>
      </c>
      <c r="D439" s="1">
        <v>24.28</v>
      </c>
      <c r="E439" s="10" t="s">
        <v>914</v>
      </c>
      <c r="F439" s="10" t="s">
        <v>915</v>
      </c>
      <c r="G439" s="10" t="s">
        <v>48</v>
      </c>
      <c r="H439" t="s">
        <v>12</v>
      </c>
    </row>
    <row r="440" spans="1:8" x14ac:dyDescent="0.25">
      <c r="A440">
        <v>1234897710</v>
      </c>
      <c r="B440" t="s">
        <v>916</v>
      </c>
      <c r="C440">
        <v>1</v>
      </c>
      <c r="D440" s="1">
        <v>43.55</v>
      </c>
      <c r="E440" s="10" t="s">
        <v>917</v>
      </c>
      <c r="F440" s="10" t="s">
        <v>918</v>
      </c>
      <c r="G440" s="10" t="s">
        <v>48</v>
      </c>
      <c r="H440" t="s">
        <v>12</v>
      </c>
    </row>
    <row r="441" spans="1:8" x14ac:dyDescent="0.25">
      <c r="A441">
        <v>1234769905</v>
      </c>
      <c r="B441" t="s">
        <v>919</v>
      </c>
      <c r="C441">
        <v>1</v>
      </c>
      <c r="D441" s="1">
        <v>17.829999999999998</v>
      </c>
      <c r="E441" s="10" t="s">
        <v>917</v>
      </c>
      <c r="F441" s="10" t="s">
        <v>920</v>
      </c>
      <c r="G441" s="10" t="s">
        <v>11</v>
      </c>
      <c r="H441" t="s">
        <v>12</v>
      </c>
    </row>
    <row r="442" spans="1:8" x14ac:dyDescent="0.25">
      <c r="A442">
        <v>1234769837</v>
      </c>
      <c r="B442" t="s">
        <v>921</v>
      </c>
      <c r="C442">
        <v>2</v>
      </c>
      <c r="D442" s="1">
        <v>56.43</v>
      </c>
      <c r="E442" s="10" t="s">
        <v>917</v>
      </c>
      <c r="F442" s="10" t="s">
        <v>922</v>
      </c>
      <c r="G442" s="10" t="s">
        <v>11</v>
      </c>
      <c r="H442" t="s">
        <v>12</v>
      </c>
    </row>
    <row r="443" spans="1:8" x14ac:dyDescent="0.25">
      <c r="A443">
        <v>1234281990</v>
      </c>
      <c r="B443" t="s">
        <v>923</v>
      </c>
      <c r="C443">
        <v>1</v>
      </c>
      <c r="D443" s="1">
        <v>2.33</v>
      </c>
      <c r="E443" s="10" t="s">
        <v>924</v>
      </c>
      <c r="F443" s="10" t="s">
        <v>925</v>
      </c>
      <c r="G443" s="10" t="s">
        <v>11</v>
      </c>
      <c r="H443" t="s">
        <v>12</v>
      </c>
    </row>
    <row r="444" spans="1:8" x14ac:dyDescent="0.25">
      <c r="A444">
        <v>1234239011</v>
      </c>
      <c r="B444" t="s">
        <v>926</v>
      </c>
      <c r="C444">
        <v>3</v>
      </c>
      <c r="D444" s="1">
        <v>7.18</v>
      </c>
      <c r="E444" s="10" t="s">
        <v>927</v>
      </c>
      <c r="F444" s="10" t="s">
        <v>928</v>
      </c>
      <c r="G444" s="10" t="s">
        <v>48</v>
      </c>
      <c r="H444" t="s">
        <v>12</v>
      </c>
    </row>
    <row r="445" spans="1:8" x14ac:dyDescent="0.25">
      <c r="A445">
        <v>1234193549</v>
      </c>
      <c r="B445" t="s">
        <v>929</v>
      </c>
      <c r="C445">
        <v>1</v>
      </c>
      <c r="D445" s="1">
        <v>23.28</v>
      </c>
      <c r="E445" s="10" t="s">
        <v>927</v>
      </c>
      <c r="F445" s="10" t="s">
        <v>930</v>
      </c>
      <c r="G445" s="10" t="s">
        <v>48</v>
      </c>
      <c r="H445" t="s">
        <v>12</v>
      </c>
    </row>
    <row r="446" spans="1:8" x14ac:dyDescent="0.25">
      <c r="A446">
        <v>1233634174</v>
      </c>
      <c r="B446" t="s">
        <v>931</v>
      </c>
      <c r="C446">
        <v>1</v>
      </c>
      <c r="D446" s="1">
        <v>3.28</v>
      </c>
      <c r="E446" s="10" t="s">
        <v>932</v>
      </c>
      <c r="F446" s="10" t="s">
        <v>933</v>
      </c>
      <c r="G446" s="10" t="s">
        <v>48</v>
      </c>
      <c r="H446" t="s">
        <v>12</v>
      </c>
    </row>
    <row r="447" spans="1:8" x14ac:dyDescent="0.25">
      <c r="A447">
        <v>1233538458</v>
      </c>
      <c r="B447" t="s">
        <v>934</v>
      </c>
      <c r="C447">
        <v>1</v>
      </c>
      <c r="D447" s="1">
        <v>28.94</v>
      </c>
      <c r="E447" s="10" t="s">
        <v>932</v>
      </c>
      <c r="F447" s="10" t="s">
        <v>935</v>
      </c>
      <c r="G447" s="10" t="s">
        <v>11</v>
      </c>
      <c r="H447" t="s">
        <v>12</v>
      </c>
    </row>
    <row r="448" spans="1:8" x14ac:dyDescent="0.25">
      <c r="A448">
        <v>1233538447</v>
      </c>
      <c r="B448" t="s">
        <v>936</v>
      </c>
      <c r="C448">
        <v>7</v>
      </c>
      <c r="D448" s="1">
        <v>76.31</v>
      </c>
      <c r="E448" s="10" t="s">
        <v>932</v>
      </c>
      <c r="F448" s="10" t="s">
        <v>937</v>
      </c>
      <c r="G448" s="10" t="s">
        <v>11</v>
      </c>
      <c r="H448" t="s">
        <v>12</v>
      </c>
    </row>
    <row r="449" spans="1:8" x14ac:dyDescent="0.25">
      <c r="A449">
        <v>1232885725</v>
      </c>
      <c r="B449" t="s">
        <v>181</v>
      </c>
      <c r="C449">
        <v>1</v>
      </c>
      <c r="D449" s="1">
        <v>26.29</v>
      </c>
      <c r="E449" s="10" t="s">
        <v>938</v>
      </c>
      <c r="F449" s="10" t="s">
        <v>599</v>
      </c>
      <c r="G449" s="10" t="s">
        <v>11</v>
      </c>
      <c r="H449" t="s">
        <v>12</v>
      </c>
    </row>
    <row r="450" spans="1:8" x14ac:dyDescent="0.25">
      <c r="A450">
        <v>1232881034</v>
      </c>
      <c r="B450" t="s">
        <v>939</v>
      </c>
      <c r="C450">
        <v>2</v>
      </c>
      <c r="D450" s="1">
        <v>3.23</v>
      </c>
      <c r="E450" s="10" t="s">
        <v>938</v>
      </c>
      <c r="F450" s="10" t="s">
        <v>940</v>
      </c>
      <c r="G450" s="10" t="s">
        <v>11</v>
      </c>
      <c r="H450" t="s">
        <v>12</v>
      </c>
    </row>
    <row r="451" spans="1:8" x14ac:dyDescent="0.25">
      <c r="A451">
        <v>1232881019</v>
      </c>
      <c r="B451" t="s">
        <v>941</v>
      </c>
      <c r="C451">
        <v>2</v>
      </c>
      <c r="D451" s="1">
        <v>2.5099999999999998</v>
      </c>
      <c r="E451" s="10" t="s">
        <v>938</v>
      </c>
      <c r="F451" s="10" t="s">
        <v>942</v>
      </c>
      <c r="G451" s="10" t="s">
        <v>11</v>
      </c>
      <c r="H451" t="s">
        <v>12</v>
      </c>
    </row>
    <row r="452" spans="1:8" x14ac:dyDescent="0.25">
      <c r="A452">
        <v>1232760932</v>
      </c>
      <c r="B452" t="s">
        <v>943</v>
      </c>
      <c r="C452">
        <v>1</v>
      </c>
      <c r="D452" s="1">
        <v>23.28</v>
      </c>
      <c r="E452" s="10" t="s">
        <v>944</v>
      </c>
      <c r="F452" s="10" t="s">
        <v>945</v>
      </c>
      <c r="G452" s="10" t="s">
        <v>48</v>
      </c>
      <c r="H452" t="s">
        <v>12</v>
      </c>
    </row>
    <row r="453" spans="1:8" x14ac:dyDescent="0.25">
      <c r="A453">
        <v>1231603567</v>
      </c>
      <c r="B453" t="s">
        <v>946</v>
      </c>
      <c r="C453">
        <v>1</v>
      </c>
      <c r="D453" s="1">
        <v>60.88</v>
      </c>
      <c r="E453" s="10" t="s">
        <v>947</v>
      </c>
      <c r="F453" s="10" t="s">
        <v>948</v>
      </c>
      <c r="G453" s="10" t="s">
        <v>48</v>
      </c>
      <c r="H453" t="s">
        <v>12</v>
      </c>
    </row>
    <row r="454" spans="1:8" x14ac:dyDescent="0.25">
      <c r="A454">
        <v>1231365830</v>
      </c>
      <c r="B454" t="s">
        <v>788</v>
      </c>
      <c r="C454">
        <v>1</v>
      </c>
      <c r="D454" s="1">
        <v>23.33</v>
      </c>
      <c r="E454" s="10" t="s">
        <v>949</v>
      </c>
      <c r="F454" s="10" t="s">
        <v>789</v>
      </c>
      <c r="G454" s="10" t="s">
        <v>11</v>
      </c>
      <c r="H454" t="s">
        <v>12</v>
      </c>
    </row>
    <row r="455" spans="1:8" x14ac:dyDescent="0.25">
      <c r="A455">
        <v>1231302663</v>
      </c>
      <c r="B455" t="s">
        <v>950</v>
      </c>
      <c r="C455">
        <v>3</v>
      </c>
      <c r="D455" s="1">
        <v>4.3499999999999996</v>
      </c>
      <c r="E455" s="10" t="s">
        <v>949</v>
      </c>
      <c r="F455" s="10" t="s">
        <v>951</v>
      </c>
      <c r="G455" s="10" t="s">
        <v>11</v>
      </c>
      <c r="H455" t="s">
        <v>12</v>
      </c>
    </row>
    <row r="456" spans="1:8" x14ac:dyDescent="0.25">
      <c r="A456">
        <v>1231010967</v>
      </c>
      <c r="B456" t="s">
        <v>952</v>
      </c>
      <c r="C456">
        <v>1</v>
      </c>
      <c r="D456" s="1">
        <v>3.83</v>
      </c>
      <c r="E456" s="10" t="s">
        <v>953</v>
      </c>
      <c r="F456" s="10" t="s">
        <v>954</v>
      </c>
      <c r="G456" s="10" t="s">
        <v>11</v>
      </c>
      <c r="H456" t="s">
        <v>12</v>
      </c>
    </row>
    <row r="457" spans="1:8" x14ac:dyDescent="0.25">
      <c r="A457">
        <v>1230933881</v>
      </c>
      <c r="B457" t="s">
        <v>955</v>
      </c>
      <c r="C457">
        <v>1</v>
      </c>
      <c r="D457" s="1">
        <v>16.78</v>
      </c>
      <c r="E457" s="10" t="s">
        <v>953</v>
      </c>
      <c r="F457" s="10" t="s">
        <v>956</v>
      </c>
      <c r="G457" s="10" t="s">
        <v>48</v>
      </c>
      <c r="H457" t="s">
        <v>12</v>
      </c>
    </row>
    <row r="458" spans="1:8" x14ac:dyDescent="0.25">
      <c r="A458">
        <v>1230639811</v>
      </c>
      <c r="B458" t="s">
        <v>957</v>
      </c>
      <c r="C458">
        <v>1</v>
      </c>
      <c r="D458" s="1">
        <v>2.33</v>
      </c>
      <c r="E458" s="10" t="s">
        <v>958</v>
      </c>
      <c r="F458" s="10" t="s">
        <v>959</v>
      </c>
      <c r="G458" s="10" t="s">
        <v>11</v>
      </c>
      <c r="H458" t="s">
        <v>12</v>
      </c>
    </row>
    <row r="459" spans="1:8" x14ac:dyDescent="0.25">
      <c r="A459">
        <v>1230513565</v>
      </c>
      <c r="B459" t="s">
        <v>294</v>
      </c>
      <c r="C459">
        <v>4</v>
      </c>
      <c r="D459" s="1">
        <v>3.53</v>
      </c>
      <c r="E459" s="10" t="s">
        <v>960</v>
      </c>
      <c r="F459" s="10" t="s">
        <v>961</v>
      </c>
      <c r="G459" s="10" t="s">
        <v>11</v>
      </c>
      <c r="H459" t="s">
        <v>12</v>
      </c>
    </row>
    <row r="460" spans="1:8" x14ac:dyDescent="0.25">
      <c r="A460">
        <v>1230512829</v>
      </c>
      <c r="B460" t="s">
        <v>318</v>
      </c>
      <c r="C460">
        <v>14</v>
      </c>
      <c r="D460" s="1">
        <v>6.29</v>
      </c>
      <c r="E460" s="10" t="s">
        <v>960</v>
      </c>
      <c r="F460" s="10" t="s">
        <v>800</v>
      </c>
      <c r="G460" s="10" t="s">
        <v>11</v>
      </c>
      <c r="H460" t="s">
        <v>12</v>
      </c>
    </row>
    <row r="461" spans="1:8" x14ac:dyDescent="0.25">
      <c r="A461">
        <v>1230501200</v>
      </c>
      <c r="B461" t="s">
        <v>962</v>
      </c>
      <c r="C461">
        <v>1</v>
      </c>
      <c r="D461" s="1">
        <v>10.4</v>
      </c>
      <c r="E461" s="10" t="s">
        <v>960</v>
      </c>
      <c r="F461" s="10" t="s">
        <v>963</v>
      </c>
      <c r="G461" s="10" t="s">
        <v>48</v>
      </c>
      <c r="H461" t="s">
        <v>12</v>
      </c>
    </row>
    <row r="462" spans="1:8" ht="30" x14ac:dyDescent="0.25">
      <c r="A462">
        <v>1229479613</v>
      </c>
      <c r="B462" t="s">
        <v>8</v>
      </c>
      <c r="C462">
        <v>4</v>
      </c>
      <c r="D462" s="1">
        <v>0.3</v>
      </c>
      <c r="E462" s="10" t="s">
        <v>964</v>
      </c>
      <c r="F462" s="10" t="s">
        <v>799</v>
      </c>
      <c r="G462" s="10" t="s">
        <v>38</v>
      </c>
      <c r="H462" t="s">
        <v>12</v>
      </c>
    </row>
    <row r="463" spans="1:8" x14ac:dyDescent="0.25">
      <c r="A463">
        <v>1229426370</v>
      </c>
      <c r="B463" t="s">
        <v>965</v>
      </c>
      <c r="C463">
        <v>4</v>
      </c>
      <c r="D463" s="1">
        <v>9.1300000000000008</v>
      </c>
      <c r="E463" s="10" t="s">
        <v>964</v>
      </c>
      <c r="F463" s="10" t="s">
        <v>966</v>
      </c>
      <c r="G463" s="10" t="s">
        <v>11</v>
      </c>
      <c r="H463" t="s">
        <v>12</v>
      </c>
    </row>
    <row r="464" spans="1:8" x14ac:dyDescent="0.25">
      <c r="A464">
        <v>1229423458</v>
      </c>
      <c r="B464" t="s">
        <v>967</v>
      </c>
      <c r="C464">
        <v>1</v>
      </c>
      <c r="D464" s="1">
        <v>1.83</v>
      </c>
      <c r="E464" s="10" t="s">
        <v>968</v>
      </c>
      <c r="F464" s="10" t="s">
        <v>969</v>
      </c>
      <c r="G464" s="10" t="s">
        <v>11</v>
      </c>
      <c r="H464" t="s">
        <v>12</v>
      </c>
    </row>
    <row r="465" spans="1:8" x14ac:dyDescent="0.25">
      <c r="A465">
        <v>1229323496</v>
      </c>
      <c r="B465" t="s">
        <v>970</v>
      </c>
      <c r="C465">
        <v>8</v>
      </c>
      <c r="D465" s="1">
        <v>3.33</v>
      </c>
      <c r="E465" s="10" t="s">
        <v>968</v>
      </c>
      <c r="F465" s="10" t="s">
        <v>971</v>
      </c>
      <c r="G465" s="10" t="s">
        <v>11</v>
      </c>
      <c r="H465" t="s">
        <v>12</v>
      </c>
    </row>
    <row r="466" spans="1:8" x14ac:dyDescent="0.25">
      <c r="A466">
        <v>1229234217</v>
      </c>
      <c r="B466" t="s">
        <v>972</v>
      </c>
      <c r="C466">
        <v>2</v>
      </c>
      <c r="D466" s="1">
        <v>4.5999999999999996</v>
      </c>
      <c r="E466" s="10" t="s">
        <v>973</v>
      </c>
      <c r="F466" s="10" t="s">
        <v>974</v>
      </c>
      <c r="G466" s="10" t="s">
        <v>48</v>
      </c>
      <c r="H466" t="s">
        <v>12</v>
      </c>
    </row>
    <row r="467" spans="1:8" x14ac:dyDescent="0.25">
      <c r="A467">
        <v>1228632016</v>
      </c>
      <c r="B467" t="s">
        <v>941</v>
      </c>
      <c r="C467">
        <v>3</v>
      </c>
      <c r="D467" s="1">
        <v>13.8</v>
      </c>
      <c r="E467" s="10" t="s">
        <v>975</v>
      </c>
      <c r="F467" s="10" t="s">
        <v>942</v>
      </c>
      <c r="G467" s="10" t="s">
        <v>11</v>
      </c>
      <c r="H467" t="s">
        <v>12</v>
      </c>
    </row>
    <row r="468" spans="1:8" x14ac:dyDescent="0.25">
      <c r="A468">
        <v>1228581261</v>
      </c>
      <c r="B468" t="s">
        <v>212</v>
      </c>
      <c r="C468">
        <v>4</v>
      </c>
      <c r="D468" s="1">
        <v>6.09</v>
      </c>
      <c r="E468" s="10" t="s">
        <v>975</v>
      </c>
      <c r="F468" s="10" t="s">
        <v>624</v>
      </c>
      <c r="G468" s="10" t="s">
        <v>11</v>
      </c>
      <c r="H468" t="s">
        <v>12</v>
      </c>
    </row>
    <row r="469" spans="1:8" x14ac:dyDescent="0.25">
      <c r="A469">
        <v>1228581019</v>
      </c>
      <c r="B469" t="s">
        <v>976</v>
      </c>
      <c r="C469">
        <v>3</v>
      </c>
      <c r="D469" s="1">
        <v>4.29</v>
      </c>
      <c r="E469" s="10" t="s">
        <v>975</v>
      </c>
      <c r="F469" s="10" t="s">
        <v>977</v>
      </c>
      <c r="G469" s="10" t="s">
        <v>11</v>
      </c>
      <c r="H469" t="s">
        <v>12</v>
      </c>
    </row>
    <row r="470" spans="1:8" x14ac:dyDescent="0.25">
      <c r="A470">
        <v>1228580791</v>
      </c>
      <c r="B470" t="s">
        <v>294</v>
      </c>
      <c r="C470">
        <v>12</v>
      </c>
      <c r="D470" s="1">
        <v>5.73</v>
      </c>
      <c r="E470" s="10" t="s">
        <v>975</v>
      </c>
      <c r="F470" s="10" t="s">
        <v>961</v>
      </c>
      <c r="G470" s="10" t="s">
        <v>11</v>
      </c>
      <c r="H470" t="s">
        <v>12</v>
      </c>
    </row>
    <row r="471" spans="1:8" x14ac:dyDescent="0.25">
      <c r="A471">
        <v>1228559054</v>
      </c>
      <c r="B471" t="s">
        <v>978</v>
      </c>
      <c r="C471">
        <v>15</v>
      </c>
      <c r="D471" s="1">
        <v>37.229999999999997</v>
      </c>
      <c r="E471" s="10" t="s">
        <v>975</v>
      </c>
      <c r="F471" s="10" t="s">
        <v>979</v>
      </c>
      <c r="G471" s="10" t="s">
        <v>11</v>
      </c>
      <c r="H471" t="s">
        <v>12</v>
      </c>
    </row>
    <row r="472" spans="1:8" x14ac:dyDescent="0.25">
      <c r="A472">
        <v>1227787917</v>
      </c>
      <c r="B472" t="s">
        <v>980</v>
      </c>
      <c r="C472">
        <v>1</v>
      </c>
      <c r="D472" s="1">
        <v>1.83</v>
      </c>
      <c r="E472" s="10" t="s">
        <v>981</v>
      </c>
      <c r="F472" s="10" t="s">
        <v>982</v>
      </c>
      <c r="G472" s="10" t="s">
        <v>38</v>
      </c>
      <c r="H472" t="s">
        <v>12</v>
      </c>
    </row>
    <row r="473" spans="1:8" x14ac:dyDescent="0.25">
      <c r="A473">
        <v>1227787907</v>
      </c>
      <c r="B473" t="s">
        <v>983</v>
      </c>
      <c r="C473">
        <v>2</v>
      </c>
      <c r="D473" s="1">
        <v>2.63</v>
      </c>
      <c r="E473" s="10" t="s">
        <v>981</v>
      </c>
      <c r="F473" s="10" t="s">
        <v>984</v>
      </c>
      <c r="G473" s="10" t="s">
        <v>11</v>
      </c>
      <c r="H473" t="s">
        <v>12</v>
      </c>
    </row>
    <row r="474" spans="1:8" ht="30" x14ac:dyDescent="0.25">
      <c r="A474">
        <v>1226549900</v>
      </c>
      <c r="B474" t="s">
        <v>8</v>
      </c>
      <c r="C474">
        <v>1</v>
      </c>
      <c r="D474" s="1">
        <v>5.8</v>
      </c>
      <c r="E474" s="10" t="s">
        <v>985</v>
      </c>
      <c r="F474" s="10" t="s">
        <v>799</v>
      </c>
      <c r="G474" s="10" t="s">
        <v>38</v>
      </c>
      <c r="H474" t="s">
        <v>12</v>
      </c>
    </row>
    <row r="475" spans="1:8" x14ac:dyDescent="0.25">
      <c r="A475">
        <v>1226424166</v>
      </c>
      <c r="B475" t="s">
        <v>986</v>
      </c>
      <c r="C475">
        <v>2</v>
      </c>
      <c r="D475" s="1">
        <v>13.23</v>
      </c>
      <c r="E475" s="10" t="s">
        <v>987</v>
      </c>
      <c r="F475" s="10" t="s">
        <v>988</v>
      </c>
      <c r="G475" s="10" t="s">
        <v>48</v>
      </c>
      <c r="H475" t="s">
        <v>12</v>
      </c>
    </row>
    <row r="476" spans="1:8" x14ac:dyDescent="0.25">
      <c r="A476">
        <v>1225544837</v>
      </c>
      <c r="B476" t="s">
        <v>989</v>
      </c>
      <c r="C476">
        <v>4</v>
      </c>
      <c r="D476" s="1">
        <v>2.5299999999999998</v>
      </c>
      <c r="E476" s="10" t="s">
        <v>990</v>
      </c>
      <c r="F476" s="10" t="s">
        <v>991</v>
      </c>
      <c r="G476" s="10" t="s">
        <v>11</v>
      </c>
      <c r="H476" t="s">
        <v>12</v>
      </c>
    </row>
    <row r="477" spans="1:8" x14ac:dyDescent="0.25">
      <c r="A477">
        <v>1225438468</v>
      </c>
      <c r="B477" t="s">
        <v>992</v>
      </c>
      <c r="C477">
        <v>2</v>
      </c>
      <c r="D477" s="1">
        <v>5.31</v>
      </c>
      <c r="E477" s="10" t="s">
        <v>990</v>
      </c>
      <c r="F477" s="10" t="s">
        <v>993</v>
      </c>
      <c r="G477" s="10" t="s">
        <v>11</v>
      </c>
      <c r="H477" t="s">
        <v>12</v>
      </c>
    </row>
    <row r="478" spans="1:8" x14ac:dyDescent="0.25">
      <c r="A478">
        <v>1225438461</v>
      </c>
      <c r="B478" t="s">
        <v>994</v>
      </c>
      <c r="C478">
        <v>2</v>
      </c>
      <c r="D478" s="1">
        <v>5.09</v>
      </c>
      <c r="E478" s="10" t="s">
        <v>990</v>
      </c>
      <c r="F478" s="10" t="s">
        <v>995</v>
      </c>
      <c r="G478" s="10" t="s">
        <v>11</v>
      </c>
      <c r="H478" t="s">
        <v>12</v>
      </c>
    </row>
    <row r="479" spans="1:8" x14ac:dyDescent="0.25">
      <c r="A479">
        <v>1224814437</v>
      </c>
      <c r="B479" t="s">
        <v>996</v>
      </c>
      <c r="C479">
        <v>24</v>
      </c>
      <c r="D479" s="1">
        <v>42.68</v>
      </c>
      <c r="E479" s="10" t="s">
        <v>997</v>
      </c>
      <c r="F479" s="10" t="s">
        <v>998</v>
      </c>
      <c r="G479" s="10" t="s">
        <v>11</v>
      </c>
      <c r="H479" t="s">
        <v>12</v>
      </c>
    </row>
    <row r="480" spans="1:8" ht="30" x14ac:dyDescent="0.25">
      <c r="A480">
        <v>1224775193</v>
      </c>
      <c r="B480" t="s">
        <v>8</v>
      </c>
      <c r="C480">
        <v>5</v>
      </c>
      <c r="D480" s="1">
        <v>1.65</v>
      </c>
      <c r="E480" s="10" t="s">
        <v>997</v>
      </c>
      <c r="F480" s="10" t="s">
        <v>799</v>
      </c>
      <c r="G480" s="10" t="s">
        <v>38</v>
      </c>
      <c r="H480" t="s">
        <v>12</v>
      </c>
    </row>
    <row r="481" spans="1:8" x14ac:dyDescent="0.25">
      <c r="A481">
        <v>1224715307</v>
      </c>
      <c r="B481" t="s">
        <v>882</v>
      </c>
      <c r="C481">
        <v>3</v>
      </c>
      <c r="D481" s="1">
        <v>2.23</v>
      </c>
      <c r="E481" s="10" t="s">
        <v>999</v>
      </c>
      <c r="F481" s="10" t="s">
        <v>1000</v>
      </c>
      <c r="G481" s="10" t="s">
        <v>38</v>
      </c>
      <c r="H481" t="s">
        <v>12</v>
      </c>
    </row>
    <row r="482" spans="1:8" x14ac:dyDescent="0.25">
      <c r="A482">
        <v>1224658889</v>
      </c>
      <c r="B482" t="s">
        <v>35</v>
      </c>
      <c r="C482">
        <v>23</v>
      </c>
      <c r="D482" s="1">
        <v>10.17</v>
      </c>
      <c r="E482" s="10" t="s">
        <v>999</v>
      </c>
      <c r="F482" s="10" t="s">
        <v>1001</v>
      </c>
      <c r="G482" s="10" t="s">
        <v>11</v>
      </c>
      <c r="H482" t="s">
        <v>12</v>
      </c>
    </row>
    <row r="483" spans="1:8" x14ac:dyDescent="0.25">
      <c r="A483">
        <v>1224460562</v>
      </c>
      <c r="B483" t="s">
        <v>1002</v>
      </c>
      <c r="C483">
        <v>1</v>
      </c>
      <c r="D483" s="1">
        <v>18.28</v>
      </c>
      <c r="E483" s="10" t="s">
        <v>1003</v>
      </c>
      <c r="F483" s="10" t="s">
        <v>1004</v>
      </c>
      <c r="G483" s="10" t="s">
        <v>48</v>
      </c>
      <c r="H483" t="s">
        <v>12</v>
      </c>
    </row>
    <row r="484" spans="1:8" x14ac:dyDescent="0.25">
      <c r="A484">
        <v>1224420625</v>
      </c>
      <c r="B484" t="s">
        <v>1005</v>
      </c>
      <c r="C484">
        <v>1</v>
      </c>
      <c r="D484" s="1">
        <v>22.73</v>
      </c>
      <c r="E484" s="10" t="s">
        <v>1003</v>
      </c>
      <c r="F484" s="10" t="s">
        <v>1006</v>
      </c>
      <c r="G484" s="10" t="s">
        <v>11</v>
      </c>
      <c r="H484" t="s">
        <v>12</v>
      </c>
    </row>
    <row r="485" spans="1:8" x14ac:dyDescent="0.25">
      <c r="A485">
        <v>1224420611</v>
      </c>
      <c r="B485" t="s">
        <v>1007</v>
      </c>
      <c r="C485">
        <v>1</v>
      </c>
      <c r="D485" s="1">
        <v>22.23</v>
      </c>
      <c r="E485" s="10" t="s">
        <v>1003</v>
      </c>
      <c r="F485" s="10" t="s">
        <v>1008</v>
      </c>
      <c r="G485" s="10" t="s">
        <v>11</v>
      </c>
      <c r="H485" t="s">
        <v>12</v>
      </c>
    </row>
    <row r="486" spans="1:8" x14ac:dyDescent="0.25">
      <c r="A486">
        <v>1224420222</v>
      </c>
      <c r="B486" t="s">
        <v>1009</v>
      </c>
      <c r="C486">
        <v>1</v>
      </c>
      <c r="D486" s="1">
        <v>22.33</v>
      </c>
      <c r="E486" s="10" t="s">
        <v>1003</v>
      </c>
      <c r="F486" s="10" t="s">
        <v>1010</v>
      </c>
      <c r="G486" s="10" t="s">
        <v>11</v>
      </c>
      <c r="H486" t="s">
        <v>12</v>
      </c>
    </row>
    <row r="487" spans="1:8" x14ac:dyDescent="0.25">
      <c r="A487">
        <v>1224414109</v>
      </c>
      <c r="B487" t="s">
        <v>1011</v>
      </c>
      <c r="C487">
        <v>1</v>
      </c>
      <c r="D487" s="1">
        <v>21.01</v>
      </c>
      <c r="E487" s="10" t="s">
        <v>1012</v>
      </c>
      <c r="F487" s="10" t="s">
        <v>1013</v>
      </c>
      <c r="G487" s="10" t="s">
        <v>11</v>
      </c>
      <c r="H487" t="s">
        <v>12</v>
      </c>
    </row>
    <row r="488" spans="1:8" x14ac:dyDescent="0.25">
      <c r="A488">
        <v>1224093609</v>
      </c>
      <c r="B488" t="s">
        <v>1014</v>
      </c>
      <c r="C488">
        <v>1</v>
      </c>
      <c r="D488" s="1">
        <v>5.28</v>
      </c>
      <c r="E488" s="10" t="s">
        <v>1015</v>
      </c>
      <c r="F488" s="10" t="s">
        <v>1016</v>
      </c>
      <c r="G488" s="10" t="s">
        <v>48</v>
      </c>
      <c r="H488" t="s">
        <v>12</v>
      </c>
    </row>
    <row r="489" spans="1:8" x14ac:dyDescent="0.25">
      <c r="A489">
        <v>1224026796</v>
      </c>
      <c r="B489" t="s">
        <v>844</v>
      </c>
      <c r="C489">
        <v>2</v>
      </c>
      <c r="D489" s="1">
        <v>33.97</v>
      </c>
      <c r="E489" s="10" t="s">
        <v>1015</v>
      </c>
      <c r="F489" s="10" t="s">
        <v>1017</v>
      </c>
      <c r="G489" s="10" t="s">
        <v>38</v>
      </c>
      <c r="H489" t="s">
        <v>12</v>
      </c>
    </row>
    <row r="490" spans="1:8" x14ac:dyDescent="0.25">
      <c r="A490">
        <v>1223874918</v>
      </c>
      <c r="B490" t="s">
        <v>1018</v>
      </c>
      <c r="C490">
        <v>1</v>
      </c>
      <c r="D490" s="1">
        <v>1.73</v>
      </c>
      <c r="E490" s="10" t="s">
        <v>1019</v>
      </c>
      <c r="F490" s="10" t="s">
        <v>1020</v>
      </c>
      <c r="G490" s="10" t="s">
        <v>11</v>
      </c>
      <c r="H490" t="s">
        <v>12</v>
      </c>
    </row>
    <row r="491" spans="1:8" x14ac:dyDescent="0.25">
      <c r="A491">
        <v>1223874905</v>
      </c>
      <c r="B491" t="s">
        <v>970</v>
      </c>
      <c r="C491">
        <v>10</v>
      </c>
      <c r="D491" s="1">
        <v>5.93</v>
      </c>
      <c r="E491" s="10" t="s">
        <v>1019</v>
      </c>
      <c r="F491" s="10" t="s">
        <v>971</v>
      </c>
      <c r="G491" s="10" t="s">
        <v>11</v>
      </c>
      <c r="H491" t="s">
        <v>12</v>
      </c>
    </row>
    <row r="492" spans="1:8" x14ac:dyDescent="0.25">
      <c r="A492">
        <v>1223874829</v>
      </c>
      <c r="B492" t="s">
        <v>1021</v>
      </c>
      <c r="C492">
        <v>2</v>
      </c>
      <c r="D492" s="1">
        <v>1.93</v>
      </c>
      <c r="E492" s="10" t="s">
        <v>1019</v>
      </c>
      <c r="F492" s="10" t="s">
        <v>1022</v>
      </c>
      <c r="G492" s="10" t="s">
        <v>11</v>
      </c>
      <c r="H492" t="s">
        <v>12</v>
      </c>
    </row>
    <row r="493" spans="1:8" ht="30" x14ac:dyDescent="0.25">
      <c r="A493">
        <v>1223874592</v>
      </c>
      <c r="B493" t="s">
        <v>61</v>
      </c>
      <c r="C493">
        <v>2</v>
      </c>
      <c r="D493" s="1">
        <v>0.5</v>
      </c>
      <c r="E493" s="10" t="s">
        <v>1019</v>
      </c>
      <c r="F493" s="10" t="s">
        <v>1023</v>
      </c>
      <c r="G493" s="10" t="s">
        <v>38</v>
      </c>
      <c r="H493" t="s">
        <v>12</v>
      </c>
    </row>
    <row r="494" spans="1:8" x14ac:dyDescent="0.25">
      <c r="A494">
        <v>1223745664</v>
      </c>
      <c r="B494" t="s">
        <v>1024</v>
      </c>
      <c r="C494">
        <v>1</v>
      </c>
      <c r="D494" s="1">
        <v>15.23</v>
      </c>
      <c r="E494" s="10" t="s">
        <v>1025</v>
      </c>
      <c r="F494" s="10" t="s">
        <v>1026</v>
      </c>
      <c r="G494" s="10" t="s">
        <v>48</v>
      </c>
      <c r="H494" t="s">
        <v>12</v>
      </c>
    </row>
    <row r="495" spans="1:8" x14ac:dyDescent="0.25">
      <c r="A495">
        <v>1223440654</v>
      </c>
      <c r="B495" t="s">
        <v>1027</v>
      </c>
      <c r="C495">
        <v>1</v>
      </c>
      <c r="D495" s="1">
        <v>15.23</v>
      </c>
      <c r="E495" s="10" t="s">
        <v>1028</v>
      </c>
      <c r="F495" s="10" t="s">
        <v>1029</v>
      </c>
      <c r="G495" s="10" t="s">
        <v>48</v>
      </c>
      <c r="H495" t="s">
        <v>12</v>
      </c>
    </row>
    <row r="496" spans="1:8" x14ac:dyDescent="0.25">
      <c r="A496">
        <v>1223417082</v>
      </c>
      <c r="B496" t="s">
        <v>294</v>
      </c>
      <c r="C496">
        <v>4</v>
      </c>
      <c r="D496" s="1">
        <v>24.93</v>
      </c>
      <c r="E496" s="10" t="s">
        <v>1028</v>
      </c>
      <c r="F496" s="10" t="s">
        <v>961</v>
      </c>
      <c r="G496" s="10" t="s">
        <v>11</v>
      </c>
      <c r="H496" t="s">
        <v>12</v>
      </c>
    </row>
    <row r="497" spans="1:8" x14ac:dyDescent="0.25">
      <c r="A497">
        <v>1223357546</v>
      </c>
      <c r="B497" t="s">
        <v>35</v>
      </c>
      <c r="C497">
        <v>4</v>
      </c>
      <c r="D497" s="1">
        <v>25.25</v>
      </c>
      <c r="E497" s="10" t="s">
        <v>1028</v>
      </c>
      <c r="F497" s="10" t="s">
        <v>1030</v>
      </c>
      <c r="G497" s="10" t="s">
        <v>11</v>
      </c>
      <c r="H497" t="s">
        <v>12</v>
      </c>
    </row>
    <row r="498" spans="1:8" ht="30" x14ac:dyDescent="0.25">
      <c r="A498">
        <v>1223170918</v>
      </c>
      <c r="B498" t="s">
        <v>8</v>
      </c>
      <c r="C498">
        <v>1</v>
      </c>
      <c r="D498" s="1">
        <v>10.58</v>
      </c>
      <c r="E498" s="10" t="s">
        <v>1031</v>
      </c>
      <c r="F498" s="10" t="s">
        <v>799</v>
      </c>
      <c r="G498" s="10" t="s">
        <v>38</v>
      </c>
      <c r="H498" t="s">
        <v>12</v>
      </c>
    </row>
    <row r="499" spans="1:8" x14ac:dyDescent="0.25">
      <c r="A499">
        <v>1223156230</v>
      </c>
      <c r="B499" t="s">
        <v>1032</v>
      </c>
      <c r="C499">
        <v>20</v>
      </c>
      <c r="D499" s="1">
        <v>59.43</v>
      </c>
      <c r="E499" s="10" t="s">
        <v>1031</v>
      </c>
      <c r="F499" s="10" t="s">
        <v>1033</v>
      </c>
      <c r="G499" s="10" t="s">
        <v>11</v>
      </c>
      <c r="H499" t="s">
        <v>12</v>
      </c>
    </row>
    <row r="500" spans="1:8" x14ac:dyDescent="0.25">
      <c r="A500">
        <v>1223081321</v>
      </c>
      <c r="B500" t="s">
        <v>237</v>
      </c>
      <c r="C500">
        <v>2</v>
      </c>
      <c r="D500" s="1">
        <v>38.32</v>
      </c>
      <c r="E500" s="10" t="s">
        <v>1034</v>
      </c>
      <c r="F500" s="10" t="s">
        <v>239</v>
      </c>
      <c r="G500" s="10" t="s">
        <v>11</v>
      </c>
      <c r="H500" t="s">
        <v>12</v>
      </c>
    </row>
    <row r="501" spans="1:8" x14ac:dyDescent="0.25">
      <c r="A501">
        <v>1222728043</v>
      </c>
      <c r="B501" t="s">
        <v>1035</v>
      </c>
      <c r="C501">
        <v>2</v>
      </c>
      <c r="D501" s="1">
        <v>5.33</v>
      </c>
      <c r="E501" s="10" t="s">
        <v>1036</v>
      </c>
      <c r="F501" s="10" t="s">
        <v>1037</v>
      </c>
      <c r="G501" s="10" t="s">
        <v>48</v>
      </c>
      <c r="H501" t="s">
        <v>12</v>
      </c>
    </row>
    <row r="502" spans="1:8" x14ac:dyDescent="0.25">
      <c r="A502">
        <v>1222402773</v>
      </c>
      <c r="B502" t="s">
        <v>51</v>
      </c>
      <c r="C502">
        <v>1</v>
      </c>
      <c r="D502" s="1">
        <v>9.6300000000000008</v>
      </c>
      <c r="E502" s="10" t="s">
        <v>1038</v>
      </c>
      <c r="F502" s="10" t="s">
        <v>1039</v>
      </c>
      <c r="G502" s="10" t="s">
        <v>11</v>
      </c>
      <c r="H502" t="s">
        <v>12</v>
      </c>
    </row>
    <row r="503" spans="1:8" x14ac:dyDescent="0.25">
      <c r="A503">
        <v>1222402771</v>
      </c>
      <c r="B503" t="s">
        <v>1040</v>
      </c>
      <c r="C503">
        <v>1</v>
      </c>
      <c r="D503" s="1">
        <v>8.33</v>
      </c>
      <c r="E503" s="10" t="s">
        <v>1038</v>
      </c>
      <c r="F503" s="10" t="s">
        <v>1041</v>
      </c>
      <c r="G503" s="10" t="s">
        <v>11</v>
      </c>
      <c r="H503" t="s">
        <v>12</v>
      </c>
    </row>
    <row r="504" spans="1:8" x14ac:dyDescent="0.25">
      <c r="A504">
        <v>1222402756</v>
      </c>
      <c r="B504" t="s">
        <v>1042</v>
      </c>
      <c r="C504">
        <v>2</v>
      </c>
      <c r="D504" s="1">
        <v>19.29</v>
      </c>
      <c r="E504" s="10" t="s">
        <v>1038</v>
      </c>
      <c r="F504" s="10" t="s">
        <v>1043</v>
      </c>
      <c r="G504" s="10" t="s">
        <v>11</v>
      </c>
      <c r="H504" t="s">
        <v>12</v>
      </c>
    </row>
    <row r="505" spans="1:8" x14ac:dyDescent="0.25">
      <c r="A505">
        <v>1222199396</v>
      </c>
      <c r="B505" t="s">
        <v>51</v>
      </c>
      <c r="C505">
        <v>2</v>
      </c>
      <c r="D505" s="1">
        <v>23.53</v>
      </c>
      <c r="E505" s="10" t="s">
        <v>1044</v>
      </c>
      <c r="F505" s="10" t="s">
        <v>1039</v>
      </c>
      <c r="G505" s="10" t="s">
        <v>11</v>
      </c>
      <c r="H505" t="s">
        <v>12</v>
      </c>
    </row>
    <row r="506" spans="1:8" x14ac:dyDescent="0.25">
      <c r="A506">
        <v>1222084678</v>
      </c>
      <c r="B506" t="s">
        <v>1045</v>
      </c>
      <c r="C506">
        <v>1</v>
      </c>
      <c r="D506" s="1">
        <v>3.4</v>
      </c>
      <c r="E506" s="10" t="s">
        <v>1046</v>
      </c>
      <c r="F506" s="10" t="s">
        <v>1047</v>
      </c>
      <c r="G506" s="10" t="s">
        <v>48</v>
      </c>
      <c r="H506" t="s">
        <v>12</v>
      </c>
    </row>
    <row r="507" spans="1:8" ht="30" x14ac:dyDescent="0.25">
      <c r="A507">
        <v>1222074392</v>
      </c>
      <c r="B507" t="s">
        <v>8</v>
      </c>
      <c r="C507">
        <v>8</v>
      </c>
      <c r="D507" s="1">
        <v>8.9</v>
      </c>
      <c r="E507" s="10" t="s">
        <v>1046</v>
      </c>
      <c r="F507" s="10" t="s">
        <v>37</v>
      </c>
      <c r="G507" s="10" t="s">
        <v>38</v>
      </c>
      <c r="H507" t="s">
        <v>12</v>
      </c>
    </row>
    <row r="508" spans="1:8" ht="30" x14ac:dyDescent="0.25">
      <c r="A508">
        <v>1222016830</v>
      </c>
      <c r="B508" t="s">
        <v>61</v>
      </c>
      <c r="C508">
        <v>3</v>
      </c>
      <c r="D508" s="1">
        <v>1.22</v>
      </c>
      <c r="E508" s="10" t="s">
        <v>1046</v>
      </c>
      <c r="F508" s="10" t="s">
        <v>1023</v>
      </c>
      <c r="G508" s="10" t="s">
        <v>38</v>
      </c>
      <c r="H508" t="s">
        <v>12</v>
      </c>
    </row>
    <row r="509" spans="1:8" x14ac:dyDescent="0.25">
      <c r="A509">
        <v>1221866548</v>
      </c>
      <c r="B509" t="s">
        <v>1048</v>
      </c>
      <c r="C509">
        <v>6</v>
      </c>
      <c r="D509" s="1">
        <v>5.73</v>
      </c>
      <c r="E509" s="10" t="s">
        <v>1049</v>
      </c>
      <c r="F509" s="10" t="s">
        <v>1050</v>
      </c>
      <c r="G509" s="10" t="s">
        <v>11</v>
      </c>
      <c r="H509" t="s">
        <v>12</v>
      </c>
    </row>
    <row r="510" spans="1:8" x14ac:dyDescent="0.25">
      <c r="A510">
        <v>1221866513</v>
      </c>
      <c r="B510" t="s">
        <v>469</v>
      </c>
      <c r="C510">
        <v>4</v>
      </c>
      <c r="D510" s="1">
        <v>20.13</v>
      </c>
      <c r="E510" s="10" t="s">
        <v>1049</v>
      </c>
      <c r="F510" s="10" t="s">
        <v>709</v>
      </c>
      <c r="G510" s="10" t="s">
        <v>11</v>
      </c>
      <c r="H510" t="s">
        <v>12</v>
      </c>
    </row>
    <row r="511" spans="1:8" x14ac:dyDescent="0.25">
      <c r="A511">
        <v>1221500324</v>
      </c>
      <c r="B511" t="s">
        <v>1051</v>
      </c>
      <c r="C511">
        <v>1</v>
      </c>
      <c r="D511" s="1">
        <v>10.83</v>
      </c>
      <c r="E511" s="10" t="s">
        <v>1052</v>
      </c>
      <c r="F511" s="10" t="s">
        <v>1053</v>
      </c>
      <c r="G511" s="10" t="s">
        <v>48</v>
      </c>
      <c r="H511" t="s">
        <v>12</v>
      </c>
    </row>
    <row r="512" spans="1:8" x14ac:dyDescent="0.25">
      <c r="A512">
        <v>1220891108</v>
      </c>
      <c r="B512" t="s">
        <v>1054</v>
      </c>
      <c r="C512">
        <v>4</v>
      </c>
      <c r="D512" s="1">
        <v>7.33</v>
      </c>
      <c r="E512" s="10" t="s">
        <v>1055</v>
      </c>
      <c r="F512" s="10" t="s">
        <v>1056</v>
      </c>
      <c r="G512" s="10" t="s">
        <v>48</v>
      </c>
      <c r="H512" t="s">
        <v>12</v>
      </c>
    </row>
    <row r="513" spans="1:8" x14ac:dyDescent="0.25">
      <c r="A513">
        <v>1220383457</v>
      </c>
      <c r="B513" t="s">
        <v>1057</v>
      </c>
      <c r="C513">
        <v>1</v>
      </c>
      <c r="D513" s="1">
        <v>40.270000000000003</v>
      </c>
      <c r="E513" s="10" t="s">
        <v>1058</v>
      </c>
      <c r="F513" s="10" t="s">
        <v>1059</v>
      </c>
      <c r="G513" s="10" t="s">
        <v>11</v>
      </c>
      <c r="H513" t="s">
        <v>12</v>
      </c>
    </row>
    <row r="514" spans="1:8" x14ac:dyDescent="0.25">
      <c r="A514">
        <v>1220228340</v>
      </c>
      <c r="B514" t="s">
        <v>1060</v>
      </c>
      <c r="C514">
        <v>1</v>
      </c>
      <c r="D514" s="1">
        <v>3.83</v>
      </c>
      <c r="E514" s="10" t="s">
        <v>1061</v>
      </c>
      <c r="F514" s="10" t="s">
        <v>1062</v>
      </c>
      <c r="G514" s="10" t="s">
        <v>11</v>
      </c>
      <c r="H514" t="s">
        <v>12</v>
      </c>
    </row>
    <row r="515" spans="1:8" x14ac:dyDescent="0.25">
      <c r="A515">
        <v>1220181697</v>
      </c>
      <c r="B515" t="s">
        <v>1063</v>
      </c>
      <c r="C515">
        <v>2</v>
      </c>
      <c r="D515" s="1">
        <v>34.049999999999997</v>
      </c>
      <c r="E515" s="10" t="s">
        <v>1061</v>
      </c>
      <c r="F515" s="10" t="s">
        <v>1064</v>
      </c>
      <c r="G515" s="10" t="s">
        <v>11</v>
      </c>
      <c r="H515" t="s">
        <v>12</v>
      </c>
    </row>
    <row r="516" spans="1:8" x14ac:dyDescent="0.25">
      <c r="A516">
        <v>1220180784</v>
      </c>
      <c r="B516" t="s">
        <v>758</v>
      </c>
      <c r="C516">
        <v>2</v>
      </c>
      <c r="D516" s="1">
        <v>9.31</v>
      </c>
      <c r="E516" s="10" t="s">
        <v>1061</v>
      </c>
      <c r="F516" s="10" t="s">
        <v>759</v>
      </c>
      <c r="G516" s="10" t="s">
        <v>11</v>
      </c>
      <c r="H516" t="s">
        <v>12</v>
      </c>
    </row>
    <row r="517" spans="1:8" x14ac:dyDescent="0.25">
      <c r="A517" t="s">
        <v>1065</v>
      </c>
      <c r="B517" t="s">
        <v>1066</v>
      </c>
      <c r="C517">
        <v>1</v>
      </c>
      <c r="D517" s="1">
        <v>85</v>
      </c>
      <c r="E517" s="10" t="s">
        <v>1067</v>
      </c>
      <c r="F517" s="10" t="s">
        <v>548</v>
      </c>
      <c r="G517" s="10" t="s">
        <v>11</v>
      </c>
      <c r="H517" t="s">
        <v>12</v>
      </c>
    </row>
    <row r="518" spans="1:8" x14ac:dyDescent="0.25">
      <c r="A518" t="s">
        <v>1068</v>
      </c>
      <c r="B518" t="s">
        <v>1069</v>
      </c>
      <c r="C518">
        <v>16</v>
      </c>
      <c r="D518" s="1">
        <v>127.5</v>
      </c>
      <c r="E518" s="10" t="s">
        <v>1067</v>
      </c>
      <c r="F518" s="10" t="s">
        <v>1070</v>
      </c>
      <c r="G518" s="10" t="s">
        <v>48</v>
      </c>
      <c r="H518" t="s">
        <v>12</v>
      </c>
    </row>
    <row r="519" spans="1:8" x14ac:dyDescent="0.25">
      <c r="A519">
        <v>1219880469</v>
      </c>
      <c r="B519" t="s">
        <v>1048</v>
      </c>
      <c r="C519">
        <v>2</v>
      </c>
      <c r="D519" s="1">
        <v>39.83</v>
      </c>
      <c r="E519" s="10" t="s">
        <v>1067</v>
      </c>
      <c r="F519" s="10" t="s">
        <v>1071</v>
      </c>
      <c r="G519" s="10" t="s">
        <v>48</v>
      </c>
      <c r="H519" t="s">
        <v>12</v>
      </c>
    </row>
    <row r="520" spans="1:8" x14ac:dyDescent="0.25">
      <c r="A520">
        <v>1219822855</v>
      </c>
      <c r="B520" t="s">
        <v>994</v>
      </c>
      <c r="C520">
        <v>1</v>
      </c>
      <c r="D520" s="1">
        <v>8.32</v>
      </c>
      <c r="E520" s="10" t="s">
        <v>1067</v>
      </c>
      <c r="F520" s="10" t="s">
        <v>1072</v>
      </c>
      <c r="G520" s="10" t="s">
        <v>48</v>
      </c>
      <c r="H520" t="s">
        <v>12</v>
      </c>
    </row>
    <row r="521" spans="1:8" x14ac:dyDescent="0.25">
      <c r="A521">
        <v>1219818110</v>
      </c>
      <c r="B521" t="s">
        <v>994</v>
      </c>
      <c r="C521">
        <v>2</v>
      </c>
      <c r="D521" s="1">
        <v>15.31</v>
      </c>
      <c r="E521" s="10" t="s">
        <v>1067</v>
      </c>
      <c r="F521" s="10" t="s">
        <v>1072</v>
      </c>
      <c r="G521" s="10" t="s">
        <v>48</v>
      </c>
      <c r="H521" t="s">
        <v>12</v>
      </c>
    </row>
    <row r="522" spans="1:8" x14ac:dyDescent="0.25">
      <c r="A522">
        <v>1219230739</v>
      </c>
      <c r="B522" t="s">
        <v>1073</v>
      </c>
      <c r="C522">
        <v>1</v>
      </c>
      <c r="D522" s="1">
        <v>3.48</v>
      </c>
      <c r="E522" s="10" t="s">
        <v>1074</v>
      </c>
      <c r="F522" s="10" t="s">
        <v>1075</v>
      </c>
      <c r="G522" s="10" t="s">
        <v>11</v>
      </c>
      <c r="H522" t="s">
        <v>12</v>
      </c>
    </row>
    <row r="523" spans="1:8" x14ac:dyDescent="0.25">
      <c r="A523">
        <v>1219230717</v>
      </c>
      <c r="B523" t="s">
        <v>294</v>
      </c>
      <c r="C523">
        <v>3</v>
      </c>
      <c r="D523" s="1">
        <v>13.18</v>
      </c>
      <c r="E523" s="10" t="s">
        <v>1074</v>
      </c>
      <c r="F523" s="10" t="s">
        <v>961</v>
      </c>
      <c r="G523" s="10" t="s">
        <v>11</v>
      </c>
      <c r="H523" t="s">
        <v>12</v>
      </c>
    </row>
    <row r="524" spans="1:8" x14ac:dyDescent="0.25">
      <c r="A524">
        <v>1219222787</v>
      </c>
      <c r="B524" t="s">
        <v>237</v>
      </c>
      <c r="C524">
        <v>6</v>
      </c>
      <c r="D524" s="1">
        <v>22.03</v>
      </c>
      <c r="E524" s="10" t="s">
        <v>1074</v>
      </c>
      <c r="F524" s="10" t="s">
        <v>767</v>
      </c>
      <c r="G524" s="10" t="s">
        <v>11</v>
      </c>
      <c r="H524" t="s">
        <v>12</v>
      </c>
    </row>
    <row r="525" spans="1:8" x14ac:dyDescent="0.25">
      <c r="A525">
        <v>1219056744</v>
      </c>
      <c r="B525" t="s">
        <v>1076</v>
      </c>
      <c r="C525">
        <v>1</v>
      </c>
      <c r="D525" s="1">
        <v>8.2799999999999994</v>
      </c>
      <c r="E525" s="10" t="s">
        <v>1077</v>
      </c>
      <c r="F525" s="10" t="s">
        <v>1078</v>
      </c>
      <c r="G525" s="10" t="s">
        <v>48</v>
      </c>
      <c r="H525" t="s">
        <v>12</v>
      </c>
    </row>
    <row r="526" spans="1:8" x14ac:dyDescent="0.25">
      <c r="A526">
        <v>1219054032</v>
      </c>
      <c r="B526" t="s">
        <v>1079</v>
      </c>
      <c r="C526">
        <v>4</v>
      </c>
      <c r="D526" s="1">
        <v>31.86</v>
      </c>
      <c r="E526" s="10" t="s">
        <v>1077</v>
      </c>
      <c r="F526" s="10" t="s">
        <v>1080</v>
      </c>
      <c r="G526" s="10" t="s">
        <v>11</v>
      </c>
      <c r="H526" t="s">
        <v>12</v>
      </c>
    </row>
    <row r="527" spans="1:8" x14ac:dyDescent="0.25">
      <c r="A527">
        <v>1219053120</v>
      </c>
      <c r="B527" t="s">
        <v>882</v>
      </c>
      <c r="C527">
        <v>4</v>
      </c>
      <c r="D527" s="1">
        <v>32.06</v>
      </c>
      <c r="E527" s="10" t="s">
        <v>1077</v>
      </c>
      <c r="F527" s="10" t="s">
        <v>1081</v>
      </c>
      <c r="G527" s="10" t="s">
        <v>11</v>
      </c>
      <c r="H527" t="s">
        <v>12</v>
      </c>
    </row>
    <row r="528" spans="1:8" x14ac:dyDescent="0.25">
      <c r="A528">
        <v>1219048667</v>
      </c>
      <c r="B528" t="s">
        <v>469</v>
      </c>
      <c r="C528">
        <v>2</v>
      </c>
      <c r="D528" s="1">
        <v>18.309999999999999</v>
      </c>
      <c r="E528" s="10" t="s">
        <v>1077</v>
      </c>
      <c r="F528" s="10" t="s">
        <v>709</v>
      </c>
      <c r="G528" s="10" t="s">
        <v>11</v>
      </c>
      <c r="H528" t="s">
        <v>12</v>
      </c>
    </row>
    <row r="529" spans="1:8" x14ac:dyDescent="0.25">
      <c r="A529">
        <v>1219047398</v>
      </c>
      <c r="B529" t="s">
        <v>1082</v>
      </c>
      <c r="C529">
        <v>1</v>
      </c>
      <c r="D529" s="1">
        <v>16.329999999999998</v>
      </c>
      <c r="E529" s="10" t="s">
        <v>1077</v>
      </c>
      <c r="F529" s="10" t="s">
        <v>1083</v>
      </c>
      <c r="G529" s="10" t="s">
        <v>11</v>
      </c>
      <c r="H529" t="s">
        <v>12</v>
      </c>
    </row>
    <row r="530" spans="1:8" x14ac:dyDescent="0.25">
      <c r="A530">
        <v>1219047393</v>
      </c>
      <c r="B530" t="s">
        <v>1084</v>
      </c>
      <c r="C530">
        <v>1</v>
      </c>
      <c r="D530" s="1">
        <v>15.26</v>
      </c>
      <c r="E530" s="10" t="s">
        <v>1077</v>
      </c>
      <c r="F530" s="10" t="s">
        <v>1085</v>
      </c>
      <c r="G530" s="10" t="s">
        <v>11</v>
      </c>
      <c r="H530" t="s">
        <v>12</v>
      </c>
    </row>
    <row r="531" spans="1:8" x14ac:dyDescent="0.25">
      <c r="A531">
        <v>1219045366</v>
      </c>
      <c r="B531" t="s">
        <v>1086</v>
      </c>
      <c r="C531">
        <v>2</v>
      </c>
      <c r="D531" s="1">
        <v>16.329999999999998</v>
      </c>
      <c r="E531" s="10" t="s">
        <v>1077</v>
      </c>
      <c r="F531" s="10" t="s">
        <v>1087</v>
      </c>
      <c r="G531" s="10" t="s">
        <v>11</v>
      </c>
      <c r="H531" t="s">
        <v>12</v>
      </c>
    </row>
    <row r="532" spans="1:8" x14ac:dyDescent="0.25">
      <c r="A532">
        <v>1219042917</v>
      </c>
      <c r="B532" t="s">
        <v>181</v>
      </c>
      <c r="C532">
        <v>9</v>
      </c>
      <c r="D532" s="1">
        <v>47.26</v>
      </c>
      <c r="E532" s="10" t="s">
        <v>1077</v>
      </c>
      <c r="F532" s="10" t="s">
        <v>1088</v>
      </c>
      <c r="G532" s="10" t="s">
        <v>11</v>
      </c>
      <c r="H532" t="s">
        <v>12</v>
      </c>
    </row>
    <row r="533" spans="1:8" x14ac:dyDescent="0.25">
      <c r="A533">
        <v>1219042809</v>
      </c>
      <c r="B533" t="s">
        <v>1089</v>
      </c>
      <c r="C533">
        <v>4</v>
      </c>
      <c r="D533" s="1">
        <v>19.13</v>
      </c>
      <c r="E533" s="10" t="s">
        <v>1077</v>
      </c>
      <c r="F533" s="10" t="s">
        <v>1090</v>
      </c>
      <c r="G533" s="10" t="s">
        <v>11</v>
      </c>
      <c r="H533" t="s">
        <v>12</v>
      </c>
    </row>
    <row r="534" spans="1:8" x14ac:dyDescent="0.25">
      <c r="A534">
        <v>1218844710</v>
      </c>
      <c r="B534" t="s">
        <v>1091</v>
      </c>
      <c r="C534">
        <v>4</v>
      </c>
      <c r="D534" s="1">
        <v>12.79</v>
      </c>
      <c r="E534" s="10" t="s">
        <v>1092</v>
      </c>
      <c r="F534" s="10" t="s">
        <v>1093</v>
      </c>
      <c r="G534" s="10" t="s">
        <v>11</v>
      </c>
      <c r="H534" t="s">
        <v>12</v>
      </c>
    </row>
    <row r="535" spans="1:8" x14ac:dyDescent="0.25">
      <c r="A535">
        <v>1218844466</v>
      </c>
      <c r="B535" t="s">
        <v>1094</v>
      </c>
      <c r="C535">
        <v>4</v>
      </c>
      <c r="D535" s="1">
        <v>3.13</v>
      </c>
      <c r="E535" s="10" t="s">
        <v>1092</v>
      </c>
      <c r="F535" s="10" t="s">
        <v>1095</v>
      </c>
      <c r="G535" s="10" t="s">
        <v>11</v>
      </c>
      <c r="H535" t="s">
        <v>12</v>
      </c>
    </row>
    <row r="536" spans="1:8" x14ac:dyDescent="0.25">
      <c r="A536">
        <v>1218815371</v>
      </c>
      <c r="B536" t="s">
        <v>978</v>
      </c>
      <c r="C536">
        <v>18</v>
      </c>
      <c r="D536" s="1">
        <v>8.1</v>
      </c>
      <c r="E536" s="10" t="s">
        <v>1092</v>
      </c>
      <c r="F536" s="10" t="s">
        <v>1096</v>
      </c>
      <c r="G536" s="10" t="s">
        <v>11</v>
      </c>
      <c r="H536" t="s">
        <v>12</v>
      </c>
    </row>
    <row r="537" spans="1:8" ht="30" x14ac:dyDescent="0.25">
      <c r="A537">
        <v>1218815145</v>
      </c>
      <c r="B537" t="s">
        <v>8</v>
      </c>
      <c r="C537">
        <v>23</v>
      </c>
      <c r="D537" s="1">
        <v>3.86</v>
      </c>
      <c r="E537" s="10" t="s">
        <v>1092</v>
      </c>
      <c r="F537" s="10" t="s">
        <v>1097</v>
      </c>
      <c r="G537" s="10" t="s">
        <v>38</v>
      </c>
      <c r="H537" t="s">
        <v>12</v>
      </c>
    </row>
    <row r="538" spans="1:8" x14ac:dyDescent="0.25">
      <c r="A538">
        <v>1218814990</v>
      </c>
      <c r="B538" t="s">
        <v>1098</v>
      </c>
      <c r="C538">
        <v>4</v>
      </c>
      <c r="D538" s="1">
        <v>6.93</v>
      </c>
      <c r="E538" s="10" t="s">
        <v>1092</v>
      </c>
      <c r="F538" s="10" t="s">
        <v>1099</v>
      </c>
      <c r="G538" s="10" t="s">
        <v>38</v>
      </c>
      <c r="H538" t="s">
        <v>12</v>
      </c>
    </row>
    <row r="539" spans="1:8" x14ac:dyDescent="0.25">
      <c r="A539">
        <v>1218759313</v>
      </c>
      <c r="B539" t="s">
        <v>1100</v>
      </c>
      <c r="C539">
        <v>1</v>
      </c>
      <c r="D539" s="1">
        <v>8.2799999999999994</v>
      </c>
      <c r="E539" s="10" t="s">
        <v>1101</v>
      </c>
      <c r="F539" s="10" t="s">
        <v>1102</v>
      </c>
      <c r="G539" s="10" t="s">
        <v>48</v>
      </c>
      <c r="H539" t="s">
        <v>12</v>
      </c>
    </row>
    <row r="540" spans="1:8" x14ac:dyDescent="0.25">
      <c r="A540">
        <v>1218676014</v>
      </c>
      <c r="B540" t="s">
        <v>1103</v>
      </c>
      <c r="C540">
        <v>1</v>
      </c>
      <c r="D540" s="1">
        <v>3.83</v>
      </c>
      <c r="E540" s="10" t="s">
        <v>1101</v>
      </c>
      <c r="F540" s="10" t="s">
        <v>1104</v>
      </c>
      <c r="G540" s="10" t="s">
        <v>11</v>
      </c>
      <c r="H540" t="s">
        <v>12</v>
      </c>
    </row>
    <row r="541" spans="1:8" x14ac:dyDescent="0.25">
      <c r="A541">
        <v>1218675019</v>
      </c>
      <c r="B541" t="s">
        <v>1105</v>
      </c>
      <c r="C541">
        <v>3</v>
      </c>
      <c r="D541" s="1">
        <v>14.08</v>
      </c>
      <c r="E541" s="10" t="s">
        <v>1101</v>
      </c>
      <c r="F541" s="10" t="s">
        <v>1106</v>
      </c>
      <c r="G541" s="10" t="s">
        <v>11</v>
      </c>
      <c r="H541" t="s">
        <v>12</v>
      </c>
    </row>
    <row r="542" spans="1:8" ht="30" x14ac:dyDescent="0.25">
      <c r="A542">
        <v>1218530330</v>
      </c>
      <c r="B542" t="s">
        <v>8</v>
      </c>
      <c r="C542">
        <v>3</v>
      </c>
      <c r="D542" s="1">
        <v>8.14</v>
      </c>
      <c r="E542" s="10" t="s">
        <v>1107</v>
      </c>
      <c r="F542" s="10" t="s">
        <v>799</v>
      </c>
      <c r="G542" s="10" t="s">
        <v>38</v>
      </c>
      <c r="H542" t="s">
        <v>12</v>
      </c>
    </row>
    <row r="543" spans="1:8" x14ac:dyDescent="0.25">
      <c r="A543">
        <v>1218020364</v>
      </c>
      <c r="B543" t="s">
        <v>1108</v>
      </c>
      <c r="C543">
        <v>1</v>
      </c>
      <c r="D543" s="1">
        <v>7.28</v>
      </c>
      <c r="E543" s="10" t="s">
        <v>1109</v>
      </c>
      <c r="F543" s="10" t="s">
        <v>1110</v>
      </c>
      <c r="G543" s="10" t="s">
        <v>48</v>
      </c>
      <c r="H543" t="s">
        <v>12</v>
      </c>
    </row>
    <row r="544" spans="1:8" x14ac:dyDescent="0.25">
      <c r="A544">
        <v>1217486033</v>
      </c>
      <c r="B544" t="s">
        <v>1111</v>
      </c>
      <c r="C544">
        <v>3</v>
      </c>
      <c r="D544" s="1">
        <v>21.58</v>
      </c>
      <c r="E544" s="10" t="s">
        <v>1112</v>
      </c>
      <c r="F544" s="10" t="s">
        <v>1113</v>
      </c>
      <c r="G544" s="10" t="s">
        <v>11</v>
      </c>
      <c r="H544" t="s">
        <v>12</v>
      </c>
    </row>
    <row r="545" spans="1:8" x14ac:dyDescent="0.25">
      <c r="A545">
        <v>1217485669</v>
      </c>
      <c r="B545" t="s">
        <v>882</v>
      </c>
      <c r="C545">
        <v>3</v>
      </c>
      <c r="D545" s="1">
        <v>22.18</v>
      </c>
      <c r="E545" s="10" t="s">
        <v>1112</v>
      </c>
      <c r="F545" s="10" t="s">
        <v>1114</v>
      </c>
      <c r="G545" s="10" t="s">
        <v>48</v>
      </c>
      <c r="H545" t="s">
        <v>12</v>
      </c>
    </row>
    <row r="546" spans="1:8" x14ac:dyDescent="0.25">
      <c r="A546">
        <v>1217261413</v>
      </c>
      <c r="B546" t="s">
        <v>1115</v>
      </c>
      <c r="C546">
        <v>4</v>
      </c>
      <c r="D546" s="1">
        <v>13.13</v>
      </c>
      <c r="E546" s="10" t="s">
        <v>1116</v>
      </c>
      <c r="F546" s="10" t="s">
        <v>1117</v>
      </c>
      <c r="G546" s="10" t="s">
        <v>48</v>
      </c>
      <c r="H546" t="s">
        <v>12</v>
      </c>
    </row>
    <row r="547" spans="1:8" x14ac:dyDescent="0.25">
      <c r="A547">
        <v>1216737518</v>
      </c>
      <c r="B547" t="s">
        <v>1118</v>
      </c>
      <c r="C547">
        <v>1</v>
      </c>
      <c r="D547" s="1">
        <v>88.75</v>
      </c>
      <c r="E547" s="10" t="s">
        <v>1119</v>
      </c>
      <c r="F547" s="10" t="s">
        <v>1120</v>
      </c>
      <c r="G547" s="10" t="s">
        <v>11</v>
      </c>
      <c r="H547" t="s">
        <v>12</v>
      </c>
    </row>
    <row r="548" spans="1:8" x14ac:dyDescent="0.25">
      <c r="A548">
        <v>1216632811</v>
      </c>
      <c r="B548" t="s">
        <v>1121</v>
      </c>
      <c r="C548">
        <v>7</v>
      </c>
      <c r="D548" s="1">
        <v>46.73</v>
      </c>
      <c r="E548" s="10" t="s">
        <v>1122</v>
      </c>
      <c r="F548" s="10" t="s">
        <v>1123</v>
      </c>
      <c r="G548" s="10" t="s">
        <v>48</v>
      </c>
      <c r="H548" t="s">
        <v>12</v>
      </c>
    </row>
    <row r="549" spans="1:8" x14ac:dyDescent="0.25">
      <c r="A549">
        <v>1215825924</v>
      </c>
      <c r="B549" t="s">
        <v>237</v>
      </c>
      <c r="C549">
        <v>2</v>
      </c>
      <c r="D549" s="1">
        <v>56.41</v>
      </c>
      <c r="E549" s="10" t="s">
        <v>1124</v>
      </c>
      <c r="F549" s="10" t="s">
        <v>239</v>
      </c>
      <c r="G549" s="10" t="s">
        <v>11</v>
      </c>
      <c r="H549" t="s">
        <v>12</v>
      </c>
    </row>
    <row r="550" spans="1:8" x14ac:dyDescent="0.25">
      <c r="A550">
        <v>1215806617</v>
      </c>
      <c r="B550" t="s">
        <v>1125</v>
      </c>
      <c r="C550">
        <v>3</v>
      </c>
      <c r="D550" s="1">
        <v>8.3000000000000007</v>
      </c>
      <c r="E550" s="10" t="s">
        <v>1124</v>
      </c>
      <c r="F550" s="10" t="s">
        <v>1126</v>
      </c>
      <c r="G550" s="10" t="s">
        <v>48</v>
      </c>
      <c r="H550" t="s">
        <v>12</v>
      </c>
    </row>
    <row r="551" spans="1:8" x14ac:dyDescent="0.25">
      <c r="A551">
        <v>1215739166</v>
      </c>
      <c r="B551" t="s">
        <v>318</v>
      </c>
      <c r="C551">
        <v>16</v>
      </c>
      <c r="D551" s="1">
        <v>51.86</v>
      </c>
      <c r="E551" s="10" t="s">
        <v>1124</v>
      </c>
      <c r="F551" s="10" t="s">
        <v>1127</v>
      </c>
      <c r="G551" s="10" t="s">
        <v>11</v>
      </c>
      <c r="H551" t="s">
        <v>12</v>
      </c>
    </row>
    <row r="552" spans="1:8" x14ac:dyDescent="0.25">
      <c r="A552" t="s">
        <v>1128</v>
      </c>
      <c r="B552" t="s">
        <v>1129</v>
      </c>
      <c r="C552">
        <v>1</v>
      </c>
      <c r="D552" s="1">
        <v>15</v>
      </c>
      <c r="E552" s="10" t="s">
        <v>1130</v>
      </c>
      <c r="F552" s="10" t="s">
        <v>548</v>
      </c>
      <c r="G552" s="10" t="s">
        <v>48</v>
      </c>
      <c r="H552" t="s">
        <v>12</v>
      </c>
    </row>
    <row r="553" spans="1:8" x14ac:dyDescent="0.25">
      <c r="A553" t="s">
        <v>1131</v>
      </c>
      <c r="B553" t="s">
        <v>1132</v>
      </c>
      <c r="C553">
        <v>8</v>
      </c>
      <c r="D553" s="1">
        <v>10</v>
      </c>
      <c r="E553" s="10" t="s">
        <v>1130</v>
      </c>
      <c r="F553" s="10" t="s">
        <v>551</v>
      </c>
      <c r="G553" s="10" t="s">
        <v>48</v>
      </c>
      <c r="H553" t="s">
        <v>12</v>
      </c>
    </row>
    <row r="554" spans="1:8" x14ac:dyDescent="0.25">
      <c r="A554">
        <v>1215625358</v>
      </c>
      <c r="B554" t="s">
        <v>1133</v>
      </c>
      <c r="C554">
        <v>1</v>
      </c>
      <c r="D554" s="1">
        <v>76.61</v>
      </c>
      <c r="E554" s="10" t="s">
        <v>1130</v>
      </c>
      <c r="F554" s="10" t="s">
        <v>1134</v>
      </c>
      <c r="G554" s="10" t="s">
        <v>11</v>
      </c>
      <c r="H554" t="s">
        <v>12</v>
      </c>
    </row>
    <row r="555" spans="1:8" x14ac:dyDescent="0.25">
      <c r="A555">
        <v>1215625346</v>
      </c>
      <c r="B555" t="s">
        <v>1135</v>
      </c>
      <c r="C555">
        <v>1</v>
      </c>
      <c r="D555" s="1">
        <v>71.58</v>
      </c>
      <c r="E555" s="10" t="s">
        <v>1130</v>
      </c>
      <c r="F555" s="10" t="s">
        <v>1136</v>
      </c>
      <c r="G555" s="10" t="s">
        <v>11</v>
      </c>
      <c r="H555" t="s">
        <v>12</v>
      </c>
    </row>
    <row r="556" spans="1:8" x14ac:dyDescent="0.25">
      <c r="A556">
        <v>1215579303</v>
      </c>
      <c r="B556" t="s">
        <v>978</v>
      </c>
      <c r="C556">
        <v>4</v>
      </c>
      <c r="D556" s="1">
        <v>4.33</v>
      </c>
      <c r="E556" s="10" t="s">
        <v>1130</v>
      </c>
      <c r="F556" s="10" t="s">
        <v>1137</v>
      </c>
      <c r="G556" s="10" t="s">
        <v>11</v>
      </c>
      <c r="H556" t="s">
        <v>12</v>
      </c>
    </row>
    <row r="557" spans="1:8" x14ac:dyDescent="0.25">
      <c r="A557">
        <v>1215578294</v>
      </c>
      <c r="B557" t="s">
        <v>223</v>
      </c>
      <c r="C557">
        <v>20</v>
      </c>
      <c r="D557" s="1">
        <v>9.3800000000000008</v>
      </c>
      <c r="E557" s="10" t="s">
        <v>1130</v>
      </c>
      <c r="F557" s="10" t="s">
        <v>1138</v>
      </c>
      <c r="G557" s="10" t="s">
        <v>11</v>
      </c>
      <c r="H557" t="s">
        <v>12</v>
      </c>
    </row>
    <row r="558" spans="1:8" x14ac:dyDescent="0.25">
      <c r="A558">
        <v>1215387351</v>
      </c>
      <c r="B558" t="s">
        <v>1139</v>
      </c>
      <c r="C558">
        <v>1</v>
      </c>
      <c r="D558" s="1">
        <v>17.28</v>
      </c>
      <c r="E558" s="10" t="s">
        <v>1140</v>
      </c>
      <c r="F558" s="10" t="s">
        <v>1141</v>
      </c>
      <c r="G558" s="10" t="s">
        <v>48</v>
      </c>
      <c r="H558" t="s">
        <v>12</v>
      </c>
    </row>
    <row r="559" spans="1:8" x14ac:dyDescent="0.25">
      <c r="A559">
        <v>1215184874</v>
      </c>
      <c r="B559" t="s">
        <v>303</v>
      </c>
      <c r="C559">
        <v>2</v>
      </c>
      <c r="D559" s="1">
        <v>2.33</v>
      </c>
      <c r="E559" s="10" t="s">
        <v>1140</v>
      </c>
      <c r="F559" s="10" t="s">
        <v>1142</v>
      </c>
      <c r="G559" s="10" t="s">
        <v>11</v>
      </c>
      <c r="H559" t="s">
        <v>12</v>
      </c>
    </row>
    <row r="560" spans="1:8" x14ac:dyDescent="0.25">
      <c r="A560">
        <v>1215183701</v>
      </c>
      <c r="B560" t="s">
        <v>469</v>
      </c>
      <c r="C560">
        <v>5</v>
      </c>
      <c r="D560" s="1">
        <v>42.06</v>
      </c>
      <c r="E560" s="10" t="s">
        <v>1140</v>
      </c>
      <c r="F560" s="10" t="s">
        <v>1143</v>
      </c>
      <c r="G560" s="10" t="s">
        <v>11</v>
      </c>
      <c r="H560" t="s">
        <v>12</v>
      </c>
    </row>
    <row r="561" spans="1:8" x14ac:dyDescent="0.25">
      <c r="A561">
        <v>1215026902</v>
      </c>
      <c r="B561" t="s">
        <v>1073</v>
      </c>
      <c r="C561">
        <v>1</v>
      </c>
      <c r="D561" s="1">
        <v>76.63</v>
      </c>
      <c r="E561" s="10" t="s">
        <v>1144</v>
      </c>
      <c r="F561" s="10" t="s">
        <v>1145</v>
      </c>
      <c r="G561" s="10" t="s">
        <v>11</v>
      </c>
      <c r="H561" t="s">
        <v>12</v>
      </c>
    </row>
    <row r="562" spans="1:8" x14ac:dyDescent="0.25">
      <c r="A562">
        <v>1214932427</v>
      </c>
      <c r="B562" t="s">
        <v>1146</v>
      </c>
      <c r="C562">
        <v>1</v>
      </c>
      <c r="D562" s="1">
        <v>76.63</v>
      </c>
      <c r="E562" s="10" t="s">
        <v>1144</v>
      </c>
      <c r="F562" s="10" t="s">
        <v>1147</v>
      </c>
      <c r="G562" s="10" t="s">
        <v>11</v>
      </c>
      <c r="H562" t="s">
        <v>12</v>
      </c>
    </row>
    <row r="563" spans="1:8" x14ac:dyDescent="0.25">
      <c r="A563">
        <v>1214667069</v>
      </c>
      <c r="B563" t="s">
        <v>1148</v>
      </c>
      <c r="C563">
        <v>8</v>
      </c>
      <c r="D563" s="1">
        <v>19.09</v>
      </c>
      <c r="E563" s="10" t="s">
        <v>1149</v>
      </c>
      <c r="F563" s="10" t="s">
        <v>1150</v>
      </c>
      <c r="G563" s="10" t="s">
        <v>11</v>
      </c>
      <c r="H563" t="s">
        <v>12</v>
      </c>
    </row>
    <row r="564" spans="1:8" x14ac:dyDescent="0.25">
      <c r="A564">
        <v>1214237000</v>
      </c>
      <c r="B564" t="s">
        <v>1151</v>
      </c>
      <c r="C564">
        <v>2</v>
      </c>
      <c r="D564" s="1">
        <v>19.989999999999998</v>
      </c>
      <c r="E564" s="10" t="s">
        <v>1152</v>
      </c>
      <c r="F564" s="10" t="s">
        <v>1153</v>
      </c>
      <c r="G564" s="10" t="s">
        <v>11</v>
      </c>
      <c r="H564" t="s">
        <v>12</v>
      </c>
    </row>
    <row r="565" spans="1:8" x14ac:dyDescent="0.25">
      <c r="A565">
        <v>1214178445</v>
      </c>
      <c r="B565" t="s">
        <v>469</v>
      </c>
      <c r="C565">
        <v>7</v>
      </c>
      <c r="D565" s="1">
        <v>74.42</v>
      </c>
      <c r="E565" s="10" t="s">
        <v>1152</v>
      </c>
      <c r="F565" s="10" t="s">
        <v>1143</v>
      </c>
      <c r="G565" s="10" t="s">
        <v>11</v>
      </c>
      <c r="H565" t="s">
        <v>12</v>
      </c>
    </row>
    <row r="566" spans="1:8" ht="30" x14ac:dyDescent="0.25">
      <c r="A566">
        <v>1213661322</v>
      </c>
      <c r="B566" t="s">
        <v>8</v>
      </c>
      <c r="C566">
        <v>4</v>
      </c>
      <c r="D566" s="1">
        <v>0.5</v>
      </c>
      <c r="E566" s="10" t="s">
        <v>1154</v>
      </c>
      <c r="F566" s="10" t="s">
        <v>799</v>
      </c>
      <c r="G566" s="10" t="s">
        <v>38</v>
      </c>
      <c r="H566" t="s">
        <v>12</v>
      </c>
    </row>
    <row r="567" spans="1:8" x14ac:dyDescent="0.25">
      <c r="A567">
        <v>1213661182</v>
      </c>
      <c r="B567" t="s">
        <v>1155</v>
      </c>
      <c r="C567">
        <v>4</v>
      </c>
      <c r="D567" s="1">
        <v>16.13</v>
      </c>
      <c r="E567" s="10" t="s">
        <v>1154</v>
      </c>
      <c r="F567" s="10" t="s">
        <v>1156</v>
      </c>
      <c r="G567" s="10" t="s">
        <v>11</v>
      </c>
      <c r="H567" t="s">
        <v>12</v>
      </c>
    </row>
    <row r="568" spans="1:8" x14ac:dyDescent="0.25">
      <c r="A568">
        <v>1213603268</v>
      </c>
      <c r="B568" t="s">
        <v>1157</v>
      </c>
      <c r="C568">
        <v>1</v>
      </c>
      <c r="D568" s="1">
        <v>4.13</v>
      </c>
      <c r="E568" s="10" t="s">
        <v>1154</v>
      </c>
      <c r="F568" s="10" t="s">
        <v>1158</v>
      </c>
      <c r="G568" s="10" t="s">
        <v>11</v>
      </c>
      <c r="H568" t="s">
        <v>12</v>
      </c>
    </row>
    <row r="569" spans="1:8" x14ac:dyDescent="0.25">
      <c r="A569">
        <v>1213603229</v>
      </c>
      <c r="B569" t="s">
        <v>1159</v>
      </c>
      <c r="C569">
        <v>3</v>
      </c>
      <c r="D569" s="1">
        <v>5.83</v>
      </c>
      <c r="E569" s="10" t="s">
        <v>1154</v>
      </c>
      <c r="F569" s="10" t="s">
        <v>1160</v>
      </c>
      <c r="G569" s="10" t="s">
        <v>11</v>
      </c>
      <c r="H569" t="s">
        <v>12</v>
      </c>
    </row>
    <row r="570" spans="1:8" x14ac:dyDescent="0.25">
      <c r="A570">
        <v>1213603056</v>
      </c>
      <c r="B570" t="s">
        <v>1161</v>
      </c>
      <c r="C570">
        <v>1</v>
      </c>
      <c r="D570" s="1">
        <v>8.2799999999999994</v>
      </c>
      <c r="E570" s="10" t="s">
        <v>1154</v>
      </c>
      <c r="F570" s="10" t="s">
        <v>1162</v>
      </c>
      <c r="G570" s="10" t="s">
        <v>11</v>
      </c>
      <c r="H570" t="s">
        <v>12</v>
      </c>
    </row>
    <row r="571" spans="1:8" x14ac:dyDescent="0.25">
      <c r="A571">
        <v>1213603046</v>
      </c>
      <c r="B571" t="s">
        <v>965</v>
      </c>
      <c r="C571">
        <v>3</v>
      </c>
      <c r="D571" s="1">
        <v>22.18</v>
      </c>
      <c r="E571" s="10" t="s">
        <v>1154</v>
      </c>
      <c r="F571" s="10" t="s">
        <v>966</v>
      </c>
      <c r="G571" s="10" t="s">
        <v>11</v>
      </c>
      <c r="H571" t="s">
        <v>12</v>
      </c>
    </row>
    <row r="572" spans="1:8" x14ac:dyDescent="0.25">
      <c r="A572">
        <v>1213602454</v>
      </c>
      <c r="B572" t="s">
        <v>469</v>
      </c>
      <c r="C572">
        <v>8</v>
      </c>
      <c r="D572" s="1">
        <v>33.99</v>
      </c>
      <c r="E572" s="10" t="s">
        <v>1154</v>
      </c>
      <c r="F572" s="10" t="s">
        <v>1143</v>
      </c>
      <c r="G572" s="10" t="s">
        <v>11</v>
      </c>
      <c r="H572" t="s">
        <v>12</v>
      </c>
    </row>
    <row r="573" spans="1:8" x14ac:dyDescent="0.25">
      <c r="A573">
        <v>1213602383</v>
      </c>
      <c r="B573" t="s">
        <v>1163</v>
      </c>
      <c r="C573">
        <v>6</v>
      </c>
      <c r="D573" s="1">
        <v>4.75</v>
      </c>
      <c r="E573" s="10" t="s">
        <v>1154</v>
      </c>
      <c r="F573" s="10" t="s">
        <v>1164</v>
      </c>
      <c r="G573" s="10" t="s">
        <v>11</v>
      </c>
      <c r="H573" t="s">
        <v>12</v>
      </c>
    </row>
    <row r="574" spans="1:8" x14ac:dyDescent="0.25">
      <c r="A574">
        <v>1213602303</v>
      </c>
      <c r="B574" t="s">
        <v>294</v>
      </c>
      <c r="C574">
        <v>4</v>
      </c>
      <c r="D574" s="1">
        <v>6.13</v>
      </c>
      <c r="E574" s="10" t="s">
        <v>1154</v>
      </c>
      <c r="F574" s="10" t="s">
        <v>961</v>
      </c>
      <c r="G574" s="10" t="s">
        <v>11</v>
      </c>
      <c r="H574" t="s">
        <v>12</v>
      </c>
    </row>
    <row r="575" spans="1:8" x14ac:dyDescent="0.25">
      <c r="A575">
        <v>1213602114</v>
      </c>
      <c r="B575" t="s">
        <v>35</v>
      </c>
      <c r="C575">
        <v>9</v>
      </c>
      <c r="D575" s="1">
        <v>19.600000000000001</v>
      </c>
      <c r="E575" s="10" t="s">
        <v>1154</v>
      </c>
      <c r="F575" s="10" t="s">
        <v>1030</v>
      </c>
      <c r="G575" s="10" t="s">
        <v>11</v>
      </c>
      <c r="H575" t="s">
        <v>12</v>
      </c>
    </row>
    <row r="576" spans="1:8" x14ac:dyDescent="0.25">
      <c r="A576">
        <v>1213506976</v>
      </c>
      <c r="B576" t="s">
        <v>1165</v>
      </c>
      <c r="C576">
        <v>1</v>
      </c>
      <c r="D576" s="1">
        <v>18.399999999999999</v>
      </c>
      <c r="E576" s="10" t="s">
        <v>1166</v>
      </c>
      <c r="F576" s="10" t="s">
        <v>1167</v>
      </c>
      <c r="G576" s="10" t="s">
        <v>48</v>
      </c>
      <c r="H576" t="s">
        <v>12</v>
      </c>
    </row>
    <row r="577" spans="1:8" x14ac:dyDescent="0.25">
      <c r="A577">
        <v>1213306033</v>
      </c>
      <c r="B577" t="s">
        <v>414</v>
      </c>
      <c r="C577">
        <v>5</v>
      </c>
      <c r="D577" s="1">
        <v>76.08</v>
      </c>
      <c r="E577" s="10" t="s">
        <v>1168</v>
      </c>
      <c r="F577" s="10" t="s">
        <v>1169</v>
      </c>
      <c r="G577" s="10" t="s">
        <v>11</v>
      </c>
      <c r="H577" t="s">
        <v>12</v>
      </c>
    </row>
    <row r="578" spans="1:8" x14ac:dyDescent="0.25">
      <c r="A578">
        <v>1213285311</v>
      </c>
      <c r="B578" t="s">
        <v>1170</v>
      </c>
      <c r="C578">
        <v>1</v>
      </c>
      <c r="D578" s="1">
        <v>17.28</v>
      </c>
      <c r="E578" s="10" t="s">
        <v>1168</v>
      </c>
      <c r="F578" s="10" t="s">
        <v>1171</v>
      </c>
      <c r="G578" s="10" t="s">
        <v>48</v>
      </c>
      <c r="H578" t="s">
        <v>12</v>
      </c>
    </row>
    <row r="579" spans="1:8" x14ac:dyDescent="0.25">
      <c r="A579">
        <v>1213092096</v>
      </c>
      <c r="B579" t="s">
        <v>1172</v>
      </c>
      <c r="C579">
        <v>1</v>
      </c>
      <c r="D579" s="1">
        <v>17.28</v>
      </c>
      <c r="E579" s="10" t="s">
        <v>1173</v>
      </c>
      <c r="F579" s="10" t="s">
        <v>1174</v>
      </c>
      <c r="G579" s="10" t="s">
        <v>48</v>
      </c>
      <c r="H579" t="s">
        <v>12</v>
      </c>
    </row>
    <row r="580" spans="1:8" x14ac:dyDescent="0.25">
      <c r="A580">
        <v>1211962734</v>
      </c>
      <c r="B580" t="s">
        <v>1175</v>
      </c>
      <c r="C580">
        <v>1</v>
      </c>
      <c r="D580" s="1">
        <v>7.35</v>
      </c>
      <c r="E580" s="10" t="s">
        <v>1176</v>
      </c>
      <c r="F580" s="10" t="s">
        <v>1177</v>
      </c>
      <c r="G580" s="10" t="s">
        <v>48</v>
      </c>
      <c r="H580" t="s">
        <v>12</v>
      </c>
    </row>
    <row r="581" spans="1:8" x14ac:dyDescent="0.25">
      <c r="A581">
        <v>1211774266</v>
      </c>
      <c r="B581" t="s">
        <v>1178</v>
      </c>
      <c r="C581">
        <v>3</v>
      </c>
      <c r="D581" s="1">
        <v>33.450000000000003</v>
      </c>
      <c r="E581" s="10" t="s">
        <v>1179</v>
      </c>
      <c r="F581" s="10" t="s">
        <v>1180</v>
      </c>
      <c r="G581" s="10" t="s">
        <v>11</v>
      </c>
      <c r="H581" t="s">
        <v>12</v>
      </c>
    </row>
    <row r="582" spans="1:8" x14ac:dyDescent="0.25">
      <c r="A582">
        <v>1211773233</v>
      </c>
      <c r="B582" t="s">
        <v>1181</v>
      </c>
      <c r="C582">
        <v>1</v>
      </c>
      <c r="D582" s="1">
        <v>19.829999999999998</v>
      </c>
      <c r="E582" s="10" t="s">
        <v>1179</v>
      </c>
      <c r="F582" s="10" t="s">
        <v>1182</v>
      </c>
      <c r="G582" s="10" t="s">
        <v>11</v>
      </c>
      <c r="H582" t="s">
        <v>12</v>
      </c>
    </row>
    <row r="583" spans="1:8" x14ac:dyDescent="0.25">
      <c r="A583">
        <v>1211773018</v>
      </c>
      <c r="B583" t="s">
        <v>35</v>
      </c>
      <c r="C583">
        <v>6</v>
      </c>
      <c r="D583" s="1">
        <v>75.459999999999994</v>
      </c>
      <c r="E583" s="10" t="s">
        <v>1179</v>
      </c>
      <c r="F583" s="10" t="s">
        <v>1183</v>
      </c>
      <c r="G583" s="10" t="s">
        <v>11</v>
      </c>
      <c r="H583" t="s">
        <v>12</v>
      </c>
    </row>
    <row r="584" spans="1:8" x14ac:dyDescent="0.25">
      <c r="A584">
        <v>1211757537</v>
      </c>
      <c r="B584" t="s">
        <v>92</v>
      </c>
      <c r="C584">
        <v>6</v>
      </c>
      <c r="D584" s="1">
        <v>24.83</v>
      </c>
      <c r="E584" s="10" t="s">
        <v>1179</v>
      </c>
      <c r="F584" s="10" t="s">
        <v>1184</v>
      </c>
      <c r="G584" s="10" t="s">
        <v>48</v>
      </c>
      <c r="H584" t="s">
        <v>12</v>
      </c>
    </row>
    <row r="585" spans="1:8" x14ac:dyDescent="0.25">
      <c r="A585">
        <v>1211690069</v>
      </c>
      <c r="B585" t="s">
        <v>1185</v>
      </c>
      <c r="C585">
        <v>3</v>
      </c>
      <c r="D585" s="1">
        <v>18.22</v>
      </c>
      <c r="E585" s="10" t="s">
        <v>1179</v>
      </c>
      <c r="F585" s="10" t="s">
        <v>1186</v>
      </c>
      <c r="G585" s="10" t="s">
        <v>48</v>
      </c>
      <c r="H585" t="s">
        <v>12</v>
      </c>
    </row>
    <row r="586" spans="1:8" x14ac:dyDescent="0.25">
      <c r="A586">
        <v>1211370924</v>
      </c>
      <c r="B586" t="s">
        <v>1187</v>
      </c>
      <c r="C586">
        <v>1</v>
      </c>
      <c r="D586" s="1">
        <v>4.66</v>
      </c>
      <c r="E586" s="10" t="s">
        <v>1188</v>
      </c>
      <c r="F586" s="10" t="s">
        <v>1189</v>
      </c>
      <c r="G586" s="10" t="s">
        <v>11</v>
      </c>
      <c r="H586" t="s">
        <v>12</v>
      </c>
    </row>
    <row r="587" spans="1:8" x14ac:dyDescent="0.25">
      <c r="A587">
        <v>1211352216</v>
      </c>
      <c r="B587" t="s">
        <v>294</v>
      </c>
      <c r="C587">
        <v>4</v>
      </c>
      <c r="D587" s="1">
        <v>7.13</v>
      </c>
      <c r="E587" s="10" t="s">
        <v>1188</v>
      </c>
      <c r="F587" s="10" t="s">
        <v>961</v>
      </c>
      <c r="G587" s="10" t="s">
        <v>11</v>
      </c>
      <c r="H587" t="s">
        <v>12</v>
      </c>
    </row>
    <row r="588" spans="1:8" x14ac:dyDescent="0.25">
      <c r="A588">
        <v>1211187803</v>
      </c>
      <c r="B588" t="s">
        <v>1190</v>
      </c>
      <c r="C588">
        <v>1</v>
      </c>
      <c r="D588" s="1">
        <v>7.83</v>
      </c>
      <c r="E588" s="10" t="s">
        <v>1191</v>
      </c>
      <c r="F588" s="10" t="s">
        <v>1192</v>
      </c>
      <c r="G588" s="10" t="s">
        <v>11</v>
      </c>
      <c r="H588" t="s">
        <v>12</v>
      </c>
    </row>
    <row r="589" spans="1:8" x14ac:dyDescent="0.25">
      <c r="A589">
        <v>1211187793</v>
      </c>
      <c r="B589" t="s">
        <v>1193</v>
      </c>
      <c r="C589">
        <v>1</v>
      </c>
      <c r="D589" s="1">
        <v>7.31</v>
      </c>
      <c r="E589" s="10" t="s">
        <v>1191</v>
      </c>
      <c r="F589" s="10" t="s">
        <v>1194</v>
      </c>
      <c r="G589" s="10" t="s">
        <v>11</v>
      </c>
      <c r="H589" t="s">
        <v>12</v>
      </c>
    </row>
    <row r="590" spans="1:8" x14ac:dyDescent="0.25">
      <c r="A590">
        <v>1211187774</v>
      </c>
      <c r="B590" t="s">
        <v>1195</v>
      </c>
      <c r="C590">
        <v>2</v>
      </c>
      <c r="D590" s="1">
        <v>15.98</v>
      </c>
      <c r="E590" s="10" t="s">
        <v>1191</v>
      </c>
      <c r="F590" s="10" t="s">
        <v>1196</v>
      </c>
      <c r="G590" s="10" t="s">
        <v>11</v>
      </c>
      <c r="H590" t="s">
        <v>12</v>
      </c>
    </row>
    <row r="591" spans="1:8" x14ac:dyDescent="0.25">
      <c r="A591">
        <v>1211013934</v>
      </c>
      <c r="B591" t="s">
        <v>647</v>
      </c>
      <c r="C591">
        <v>4</v>
      </c>
      <c r="D591" s="1">
        <v>6.93</v>
      </c>
      <c r="E591" s="10" t="s">
        <v>1197</v>
      </c>
      <c r="F591" s="10" t="s">
        <v>649</v>
      </c>
      <c r="G591" s="10" t="s">
        <v>48</v>
      </c>
      <c r="H591" t="s">
        <v>12</v>
      </c>
    </row>
    <row r="592" spans="1:8" x14ac:dyDescent="0.25">
      <c r="A592">
        <v>1210865600</v>
      </c>
      <c r="B592" t="s">
        <v>1198</v>
      </c>
      <c r="C592">
        <v>1</v>
      </c>
      <c r="D592" s="1">
        <v>3.8</v>
      </c>
      <c r="E592" s="10" t="s">
        <v>1197</v>
      </c>
      <c r="F592" s="10" t="s">
        <v>1199</v>
      </c>
      <c r="G592" s="10" t="s">
        <v>38</v>
      </c>
      <c r="H592" t="s">
        <v>12</v>
      </c>
    </row>
    <row r="593" spans="1:8" x14ac:dyDescent="0.25">
      <c r="A593">
        <v>1210865447</v>
      </c>
      <c r="B593" t="s">
        <v>1200</v>
      </c>
      <c r="C593">
        <v>4</v>
      </c>
      <c r="D593" s="1">
        <v>11.92</v>
      </c>
      <c r="E593" s="10" t="s">
        <v>1197</v>
      </c>
      <c r="F593" s="10" t="s">
        <v>1201</v>
      </c>
      <c r="G593" s="10" t="s">
        <v>11</v>
      </c>
      <c r="H593" t="s">
        <v>12</v>
      </c>
    </row>
    <row r="594" spans="1:8" x14ac:dyDescent="0.25">
      <c r="A594">
        <v>1210865028</v>
      </c>
      <c r="B594" t="s">
        <v>1202</v>
      </c>
      <c r="C594">
        <v>2</v>
      </c>
      <c r="D594" s="1">
        <v>2.83</v>
      </c>
      <c r="E594" s="10" t="s">
        <v>1197</v>
      </c>
      <c r="F594" s="10" t="s">
        <v>1203</v>
      </c>
      <c r="G594" s="10" t="s">
        <v>11</v>
      </c>
      <c r="H594" t="s">
        <v>12</v>
      </c>
    </row>
    <row r="595" spans="1:8" x14ac:dyDescent="0.25">
      <c r="A595">
        <v>1210865024</v>
      </c>
      <c r="B595" t="s">
        <v>1204</v>
      </c>
      <c r="C595">
        <v>1</v>
      </c>
      <c r="D595" s="1">
        <v>1.83</v>
      </c>
      <c r="E595" s="10" t="s">
        <v>1197</v>
      </c>
      <c r="F595" s="10" t="s">
        <v>1205</v>
      </c>
      <c r="G595" s="10" t="s">
        <v>11</v>
      </c>
      <c r="H595" t="s">
        <v>12</v>
      </c>
    </row>
    <row r="596" spans="1:8" x14ac:dyDescent="0.25">
      <c r="A596">
        <v>1210865021</v>
      </c>
      <c r="B596" t="s">
        <v>1148</v>
      </c>
      <c r="C596">
        <v>2</v>
      </c>
      <c r="D596" s="1">
        <v>3.31</v>
      </c>
      <c r="E596" s="10" t="s">
        <v>1197</v>
      </c>
      <c r="F596" s="10" t="s">
        <v>1150</v>
      </c>
      <c r="G596" s="10" t="s">
        <v>11</v>
      </c>
      <c r="H596" t="s">
        <v>12</v>
      </c>
    </row>
    <row r="597" spans="1:8" x14ac:dyDescent="0.25">
      <c r="A597">
        <v>1210864771</v>
      </c>
      <c r="B597" t="s">
        <v>1206</v>
      </c>
      <c r="C597">
        <v>4</v>
      </c>
      <c r="D597" s="1">
        <v>9.2899999999999991</v>
      </c>
      <c r="E597" s="10" t="s">
        <v>1197</v>
      </c>
      <c r="F597" s="10" t="s">
        <v>1207</v>
      </c>
      <c r="G597" s="10" t="s">
        <v>11</v>
      </c>
      <c r="H597" t="s">
        <v>12</v>
      </c>
    </row>
    <row r="598" spans="1:8" x14ac:dyDescent="0.25">
      <c r="A598">
        <v>1210864766</v>
      </c>
      <c r="B598" t="s">
        <v>1208</v>
      </c>
      <c r="C598">
        <v>11</v>
      </c>
      <c r="D598" s="1">
        <v>11.92</v>
      </c>
      <c r="E598" s="10" t="s">
        <v>1197</v>
      </c>
      <c r="F598" s="10" t="s">
        <v>1209</v>
      </c>
      <c r="G598" s="10" t="s">
        <v>11</v>
      </c>
      <c r="H598" t="s">
        <v>12</v>
      </c>
    </row>
    <row r="599" spans="1:8" x14ac:dyDescent="0.25">
      <c r="A599">
        <v>1210864749</v>
      </c>
      <c r="B599" t="s">
        <v>1210</v>
      </c>
      <c r="C599">
        <v>4</v>
      </c>
      <c r="D599" s="1">
        <v>3.29</v>
      </c>
      <c r="E599" s="10" t="s">
        <v>1197</v>
      </c>
      <c r="F599" s="10" t="s">
        <v>1211</v>
      </c>
      <c r="G599" s="10" t="s">
        <v>11</v>
      </c>
      <c r="H599" t="s">
        <v>12</v>
      </c>
    </row>
    <row r="600" spans="1:8" x14ac:dyDescent="0.25">
      <c r="A600">
        <v>1210864745</v>
      </c>
      <c r="B600" t="s">
        <v>1212</v>
      </c>
      <c r="C600">
        <v>1</v>
      </c>
      <c r="D600" s="1">
        <v>2.82</v>
      </c>
      <c r="E600" s="10" t="s">
        <v>1197</v>
      </c>
      <c r="F600" s="10" t="s">
        <v>1213</v>
      </c>
      <c r="G600" s="10" t="s">
        <v>11</v>
      </c>
      <c r="H600" t="s">
        <v>12</v>
      </c>
    </row>
    <row r="601" spans="1:8" x14ac:dyDescent="0.25">
      <c r="A601">
        <v>1210863081</v>
      </c>
      <c r="B601" t="s">
        <v>414</v>
      </c>
      <c r="C601">
        <v>10</v>
      </c>
      <c r="D601" s="1">
        <v>10.23</v>
      </c>
      <c r="E601" s="10" t="s">
        <v>1197</v>
      </c>
      <c r="F601" s="10" t="s">
        <v>787</v>
      </c>
      <c r="G601" s="10" t="s">
        <v>11</v>
      </c>
      <c r="H601" t="s">
        <v>12</v>
      </c>
    </row>
    <row r="602" spans="1:8" x14ac:dyDescent="0.25">
      <c r="A602">
        <v>1210825468</v>
      </c>
      <c r="B602" t="s">
        <v>499</v>
      </c>
      <c r="C602">
        <v>3</v>
      </c>
      <c r="D602" s="1">
        <v>25.75</v>
      </c>
      <c r="E602" s="10" t="s">
        <v>1214</v>
      </c>
      <c r="F602" s="10" t="s">
        <v>1215</v>
      </c>
      <c r="G602" s="10" t="s">
        <v>11</v>
      </c>
      <c r="H602" t="s">
        <v>12</v>
      </c>
    </row>
    <row r="603" spans="1:8" x14ac:dyDescent="0.25">
      <c r="A603">
        <v>1210630550</v>
      </c>
      <c r="B603" t="s">
        <v>1216</v>
      </c>
      <c r="C603">
        <v>1</v>
      </c>
      <c r="D603" s="1">
        <v>10.28</v>
      </c>
      <c r="E603" s="10" t="s">
        <v>1217</v>
      </c>
      <c r="F603" s="10" t="s">
        <v>1218</v>
      </c>
      <c r="G603" s="10" t="s">
        <v>48</v>
      </c>
      <c r="H603" t="s">
        <v>12</v>
      </c>
    </row>
    <row r="604" spans="1:8" x14ac:dyDescent="0.25">
      <c r="A604">
        <v>1209926605</v>
      </c>
      <c r="B604" t="s">
        <v>35</v>
      </c>
      <c r="C604">
        <v>4</v>
      </c>
      <c r="D604" s="1">
        <v>13.09</v>
      </c>
      <c r="E604" s="10" t="s">
        <v>1219</v>
      </c>
      <c r="F604" s="10" t="s">
        <v>1030</v>
      </c>
      <c r="G604" s="10" t="s">
        <v>11</v>
      </c>
      <c r="H604" t="s">
        <v>12</v>
      </c>
    </row>
    <row r="605" spans="1:8" x14ac:dyDescent="0.25">
      <c r="A605">
        <v>1209644453</v>
      </c>
      <c r="B605" t="s">
        <v>1220</v>
      </c>
      <c r="C605">
        <v>4</v>
      </c>
      <c r="D605" s="1">
        <v>5.33</v>
      </c>
      <c r="E605" s="10" t="s">
        <v>1221</v>
      </c>
      <c r="F605" s="10" t="s">
        <v>1222</v>
      </c>
      <c r="G605" s="10" t="s">
        <v>11</v>
      </c>
      <c r="H605" t="s">
        <v>12</v>
      </c>
    </row>
    <row r="606" spans="1:8" x14ac:dyDescent="0.25">
      <c r="A606">
        <v>1209583219</v>
      </c>
      <c r="B606" t="s">
        <v>35</v>
      </c>
      <c r="C606">
        <v>10</v>
      </c>
      <c r="D606" s="1">
        <v>19.71</v>
      </c>
      <c r="E606" s="10" t="s">
        <v>1221</v>
      </c>
      <c r="F606" s="10" t="s">
        <v>1030</v>
      </c>
      <c r="G606" s="10" t="s">
        <v>11</v>
      </c>
      <c r="H606" t="s">
        <v>12</v>
      </c>
    </row>
    <row r="607" spans="1:8" x14ac:dyDescent="0.25">
      <c r="A607">
        <v>1209236015</v>
      </c>
      <c r="B607" t="s">
        <v>1223</v>
      </c>
      <c r="C607">
        <v>4</v>
      </c>
      <c r="D607" s="1">
        <v>22.25</v>
      </c>
      <c r="E607" s="10" t="s">
        <v>1224</v>
      </c>
      <c r="F607" s="10" t="s">
        <v>1225</v>
      </c>
      <c r="G607" s="10" t="s">
        <v>48</v>
      </c>
      <c r="H607" t="s">
        <v>12</v>
      </c>
    </row>
    <row r="608" spans="1:8" x14ac:dyDescent="0.25">
      <c r="A608" t="s">
        <v>1226</v>
      </c>
      <c r="B608" t="s">
        <v>1227</v>
      </c>
      <c r="C608">
        <v>2</v>
      </c>
      <c r="D608" s="1">
        <v>130</v>
      </c>
      <c r="E608" s="10" t="s">
        <v>1228</v>
      </c>
      <c r="F608" s="10" t="s">
        <v>551</v>
      </c>
      <c r="G608" s="10" t="s">
        <v>11</v>
      </c>
      <c r="H608" t="s">
        <v>12</v>
      </c>
    </row>
    <row r="609" spans="1:8" x14ac:dyDescent="0.25">
      <c r="A609">
        <v>1209191236</v>
      </c>
      <c r="B609" t="s">
        <v>208</v>
      </c>
      <c r="C609">
        <v>4</v>
      </c>
      <c r="D609" s="1">
        <v>5.13</v>
      </c>
      <c r="E609" s="10" t="s">
        <v>1228</v>
      </c>
      <c r="F609" s="10" t="s">
        <v>1229</v>
      </c>
      <c r="G609" s="10" t="s">
        <v>48</v>
      </c>
      <c r="H609" t="s">
        <v>12</v>
      </c>
    </row>
    <row r="610" spans="1:8" x14ac:dyDescent="0.25">
      <c r="A610">
        <v>1208867327</v>
      </c>
      <c r="B610" t="s">
        <v>1230</v>
      </c>
      <c r="C610">
        <v>4</v>
      </c>
      <c r="D610" s="1">
        <v>119.4</v>
      </c>
      <c r="E610" s="10" t="s">
        <v>1231</v>
      </c>
      <c r="F610" s="10" t="s">
        <v>1232</v>
      </c>
      <c r="G610" s="10" t="s">
        <v>48</v>
      </c>
      <c r="H610" t="s">
        <v>12</v>
      </c>
    </row>
    <row r="611" spans="1:8" x14ac:dyDescent="0.25">
      <c r="A611">
        <v>1208850807</v>
      </c>
      <c r="B611" t="s">
        <v>965</v>
      </c>
      <c r="C611">
        <v>2</v>
      </c>
      <c r="D611" s="1">
        <v>4.03</v>
      </c>
      <c r="E611" s="10" t="s">
        <v>1231</v>
      </c>
      <c r="F611" s="10" t="s">
        <v>966</v>
      </c>
      <c r="G611" s="10" t="s">
        <v>11</v>
      </c>
      <c r="H611" t="s">
        <v>12</v>
      </c>
    </row>
    <row r="612" spans="1:8" x14ac:dyDescent="0.25">
      <c r="A612">
        <v>1208850772</v>
      </c>
      <c r="B612" t="s">
        <v>1233</v>
      </c>
      <c r="C612">
        <v>1</v>
      </c>
      <c r="D612" s="1">
        <v>2.1800000000000002</v>
      </c>
      <c r="E612" s="10" t="s">
        <v>1231</v>
      </c>
      <c r="F612" s="10" t="s">
        <v>1234</v>
      </c>
      <c r="G612" s="10" t="s">
        <v>11</v>
      </c>
      <c r="H612" t="s">
        <v>12</v>
      </c>
    </row>
    <row r="613" spans="1:8" x14ac:dyDescent="0.25">
      <c r="A613">
        <v>1208850769</v>
      </c>
      <c r="B613" t="s">
        <v>1235</v>
      </c>
      <c r="C613">
        <v>1</v>
      </c>
      <c r="D613" s="1">
        <v>2.0699999999999998</v>
      </c>
      <c r="E613" s="10" t="s">
        <v>1231</v>
      </c>
      <c r="F613" s="10" t="s">
        <v>1236</v>
      </c>
      <c r="G613" s="10" t="s">
        <v>11</v>
      </c>
      <c r="H613" t="s">
        <v>12</v>
      </c>
    </row>
    <row r="614" spans="1:8" x14ac:dyDescent="0.25">
      <c r="A614">
        <v>1208848274</v>
      </c>
      <c r="B614" t="s">
        <v>1237</v>
      </c>
      <c r="C614">
        <v>6</v>
      </c>
      <c r="D614" s="1">
        <v>7.59</v>
      </c>
      <c r="E614" s="10" t="s">
        <v>1231</v>
      </c>
      <c r="F614" s="10" t="s">
        <v>1238</v>
      </c>
      <c r="G614" s="10" t="s">
        <v>11</v>
      </c>
      <c r="H614" t="s">
        <v>12</v>
      </c>
    </row>
    <row r="615" spans="1:8" x14ac:dyDescent="0.25">
      <c r="A615">
        <v>1208671570</v>
      </c>
      <c r="B615" t="s">
        <v>1239</v>
      </c>
      <c r="C615">
        <v>1</v>
      </c>
      <c r="D615" s="1">
        <v>2.08</v>
      </c>
      <c r="E615" s="10" t="s">
        <v>1240</v>
      </c>
      <c r="F615" s="10" t="s">
        <v>1241</v>
      </c>
      <c r="G615" s="10" t="s">
        <v>48</v>
      </c>
      <c r="H615" t="s">
        <v>12</v>
      </c>
    </row>
    <row r="616" spans="1:8" x14ac:dyDescent="0.25">
      <c r="A616">
        <v>1208569533</v>
      </c>
      <c r="B616" t="s">
        <v>1242</v>
      </c>
      <c r="C616">
        <v>3</v>
      </c>
      <c r="D616" s="1">
        <v>7.78</v>
      </c>
      <c r="E616" s="10" t="s">
        <v>1240</v>
      </c>
      <c r="F616" s="10" t="s">
        <v>1243</v>
      </c>
      <c r="G616" s="10" t="s">
        <v>11</v>
      </c>
      <c r="H616" t="s">
        <v>12</v>
      </c>
    </row>
    <row r="617" spans="1:8" x14ac:dyDescent="0.25">
      <c r="A617">
        <v>1208569500</v>
      </c>
      <c r="B617" t="s">
        <v>192</v>
      </c>
      <c r="C617">
        <v>2</v>
      </c>
      <c r="D617" s="1">
        <v>4.6900000000000004</v>
      </c>
      <c r="E617" s="10" t="s">
        <v>1240</v>
      </c>
      <c r="F617" s="10" t="s">
        <v>1244</v>
      </c>
      <c r="G617" s="10" t="s">
        <v>38</v>
      </c>
      <c r="H617" t="s">
        <v>12</v>
      </c>
    </row>
    <row r="618" spans="1:8" x14ac:dyDescent="0.25">
      <c r="A618">
        <v>1208522671</v>
      </c>
      <c r="B618" t="s">
        <v>294</v>
      </c>
      <c r="C618">
        <v>4</v>
      </c>
      <c r="D618" s="1">
        <v>4.33</v>
      </c>
      <c r="E618" s="10" t="s">
        <v>1240</v>
      </c>
      <c r="F618" s="10" t="s">
        <v>961</v>
      </c>
      <c r="G618" s="10" t="s">
        <v>11</v>
      </c>
      <c r="H618" t="s">
        <v>12</v>
      </c>
    </row>
    <row r="619" spans="1:8" x14ac:dyDescent="0.25">
      <c r="A619">
        <v>1208359683</v>
      </c>
      <c r="B619" t="s">
        <v>1245</v>
      </c>
      <c r="C619">
        <v>1</v>
      </c>
      <c r="D619" s="1">
        <v>1.83</v>
      </c>
      <c r="E619" s="10" t="s">
        <v>1246</v>
      </c>
      <c r="F619" s="10" t="s">
        <v>1247</v>
      </c>
      <c r="G619" s="10" t="s">
        <v>48</v>
      </c>
      <c r="H619" t="s">
        <v>12</v>
      </c>
    </row>
    <row r="620" spans="1:8" x14ac:dyDescent="0.25">
      <c r="A620">
        <v>1208259330</v>
      </c>
      <c r="B620" t="s">
        <v>294</v>
      </c>
      <c r="C620">
        <v>14</v>
      </c>
      <c r="D620" s="1">
        <v>8.31</v>
      </c>
      <c r="E620" s="10" t="s">
        <v>1246</v>
      </c>
      <c r="F620" s="10" t="s">
        <v>961</v>
      </c>
      <c r="G620" s="10" t="s">
        <v>11</v>
      </c>
      <c r="H620" t="s">
        <v>12</v>
      </c>
    </row>
    <row r="621" spans="1:8" x14ac:dyDescent="0.25">
      <c r="A621">
        <v>1208203916</v>
      </c>
      <c r="B621" t="s">
        <v>1248</v>
      </c>
      <c r="C621">
        <v>7</v>
      </c>
      <c r="D621" s="1">
        <v>48.58</v>
      </c>
      <c r="E621" s="10" t="s">
        <v>1249</v>
      </c>
      <c r="F621" s="10" t="s">
        <v>1250</v>
      </c>
      <c r="G621" s="10" t="s">
        <v>38</v>
      </c>
      <c r="H621" t="s">
        <v>12</v>
      </c>
    </row>
    <row r="622" spans="1:8" x14ac:dyDescent="0.25">
      <c r="A622">
        <v>1208194604</v>
      </c>
      <c r="B622" t="s">
        <v>1251</v>
      </c>
      <c r="C622">
        <v>1</v>
      </c>
      <c r="D622" s="1">
        <v>7.28</v>
      </c>
      <c r="E622" s="10" t="s">
        <v>1249</v>
      </c>
      <c r="F622" s="10" t="s">
        <v>1252</v>
      </c>
      <c r="G622" s="10" t="s">
        <v>48</v>
      </c>
      <c r="H622" t="s">
        <v>12</v>
      </c>
    </row>
    <row r="623" spans="1:8" x14ac:dyDescent="0.25">
      <c r="A623">
        <v>1208128891</v>
      </c>
      <c r="B623" t="s">
        <v>1048</v>
      </c>
      <c r="C623">
        <v>2</v>
      </c>
      <c r="D623" s="1">
        <v>13.33</v>
      </c>
      <c r="E623" s="10" t="s">
        <v>1249</v>
      </c>
      <c r="F623" s="10" t="s">
        <v>1050</v>
      </c>
      <c r="G623" s="10" t="s">
        <v>11</v>
      </c>
      <c r="H623" t="s">
        <v>12</v>
      </c>
    </row>
    <row r="624" spans="1:8" x14ac:dyDescent="0.25">
      <c r="A624">
        <v>1208128457</v>
      </c>
      <c r="B624" t="s">
        <v>1253</v>
      </c>
      <c r="C624">
        <v>1</v>
      </c>
      <c r="D624" s="1">
        <v>35.33</v>
      </c>
      <c r="E624" s="10" t="s">
        <v>1249</v>
      </c>
      <c r="F624" s="10" t="s">
        <v>1254</v>
      </c>
      <c r="G624" s="10" t="s">
        <v>11</v>
      </c>
      <c r="H624" t="s">
        <v>12</v>
      </c>
    </row>
    <row r="625" spans="1:8" x14ac:dyDescent="0.25">
      <c r="A625">
        <v>1208125479</v>
      </c>
      <c r="B625" t="s">
        <v>1255</v>
      </c>
      <c r="C625">
        <v>2</v>
      </c>
      <c r="D625" s="1">
        <v>67.760000000000005</v>
      </c>
      <c r="E625" s="10" t="s">
        <v>1249</v>
      </c>
      <c r="F625" s="10" t="s">
        <v>1256</v>
      </c>
      <c r="G625" s="10" t="s">
        <v>11</v>
      </c>
      <c r="H625" t="s">
        <v>12</v>
      </c>
    </row>
    <row r="626" spans="1:8" x14ac:dyDescent="0.25">
      <c r="A626">
        <v>1208093671</v>
      </c>
      <c r="B626" t="s">
        <v>1257</v>
      </c>
      <c r="C626">
        <v>1</v>
      </c>
      <c r="D626" s="1">
        <v>7.33</v>
      </c>
      <c r="E626" s="10" t="s">
        <v>1249</v>
      </c>
      <c r="F626" s="10" t="s">
        <v>1258</v>
      </c>
      <c r="G626" s="10" t="s">
        <v>11</v>
      </c>
      <c r="H626" t="s">
        <v>12</v>
      </c>
    </row>
    <row r="627" spans="1:8" x14ac:dyDescent="0.25">
      <c r="A627">
        <v>1208017294</v>
      </c>
      <c r="B627" t="s">
        <v>414</v>
      </c>
      <c r="C627">
        <v>3</v>
      </c>
      <c r="D627" s="1">
        <v>16.3</v>
      </c>
      <c r="E627" s="10" t="s">
        <v>1259</v>
      </c>
      <c r="F627" s="10" t="s">
        <v>787</v>
      </c>
      <c r="G627" s="10" t="s">
        <v>11</v>
      </c>
      <c r="H627" t="s">
        <v>12</v>
      </c>
    </row>
    <row r="628" spans="1:8" x14ac:dyDescent="0.25">
      <c r="A628">
        <v>1207830871</v>
      </c>
      <c r="B628" t="s">
        <v>1260</v>
      </c>
      <c r="C628">
        <v>3</v>
      </c>
      <c r="D628" s="1">
        <v>4.33</v>
      </c>
      <c r="E628" s="10" t="s">
        <v>1261</v>
      </c>
      <c r="F628" s="10" t="s">
        <v>1262</v>
      </c>
      <c r="G628" s="10" t="s">
        <v>48</v>
      </c>
      <c r="H628" t="s">
        <v>12</v>
      </c>
    </row>
    <row r="629" spans="1:8" x14ac:dyDescent="0.25">
      <c r="A629">
        <v>1207689655</v>
      </c>
      <c r="B629" t="s">
        <v>1263</v>
      </c>
      <c r="C629">
        <v>4</v>
      </c>
      <c r="D629" s="1">
        <v>11.25</v>
      </c>
      <c r="E629" s="10" t="s">
        <v>1264</v>
      </c>
      <c r="F629" s="10" t="s">
        <v>1265</v>
      </c>
      <c r="G629" s="10" t="s">
        <v>11</v>
      </c>
      <c r="H629" t="s">
        <v>12</v>
      </c>
    </row>
    <row r="630" spans="1:8" x14ac:dyDescent="0.25">
      <c r="A630">
        <v>1207683216</v>
      </c>
      <c r="B630" t="s">
        <v>1266</v>
      </c>
      <c r="C630">
        <v>1</v>
      </c>
      <c r="D630" s="1">
        <v>9.33</v>
      </c>
      <c r="E630" s="10" t="s">
        <v>1264</v>
      </c>
      <c r="F630" s="10" t="s">
        <v>1267</v>
      </c>
      <c r="G630" s="10" t="s">
        <v>11</v>
      </c>
      <c r="H630" t="s">
        <v>12</v>
      </c>
    </row>
    <row r="631" spans="1:8" x14ac:dyDescent="0.25">
      <c r="A631">
        <v>1207683186</v>
      </c>
      <c r="B631" t="s">
        <v>1268</v>
      </c>
      <c r="C631">
        <v>3</v>
      </c>
      <c r="D631" s="1">
        <v>25.33</v>
      </c>
      <c r="E631" s="10" t="s">
        <v>1264</v>
      </c>
      <c r="F631" s="10" t="s">
        <v>1269</v>
      </c>
      <c r="G631" s="10" t="s">
        <v>11</v>
      </c>
      <c r="H631" t="s">
        <v>12</v>
      </c>
    </row>
    <row r="632" spans="1:8" x14ac:dyDescent="0.25">
      <c r="A632">
        <v>1207654644</v>
      </c>
      <c r="B632" t="s">
        <v>919</v>
      </c>
      <c r="C632">
        <v>1</v>
      </c>
      <c r="D632" s="1">
        <v>6.28</v>
      </c>
      <c r="E632" s="10" t="s">
        <v>1264</v>
      </c>
      <c r="F632" s="10" t="s">
        <v>1270</v>
      </c>
      <c r="G632" s="10" t="s">
        <v>48</v>
      </c>
      <c r="H632" t="s">
        <v>12</v>
      </c>
    </row>
    <row r="633" spans="1:8" x14ac:dyDescent="0.25">
      <c r="A633">
        <v>1207580959</v>
      </c>
      <c r="B633" t="s">
        <v>1271</v>
      </c>
      <c r="C633">
        <v>4</v>
      </c>
      <c r="D633" s="1">
        <v>1.89</v>
      </c>
      <c r="E633" s="10" t="s">
        <v>1264</v>
      </c>
      <c r="F633" s="10" t="s">
        <v>1272</v>
      </c>
      <c r="G633" s="10" t="s">
        <v>11</v>
      </c>
      <c r="H633" t="s">
        <v>12</v>
      </c>
    </row>
    <row r="634" spans="1:8" x14ac:dyDescent="0.25">
      <c r="A634">
        <v>1207579453</v>
      </c>
      <c r="B634" t="s">
        <v>1273</v>
      </c>
      <c r="C634">
        <v>4</v>
      </c>
      <c r="D634" s="1">
        <v>2.33</v>
      </c>
      <c r="E634" s="10" t="s">
        <v>1264</v>
      </c>
      <c r="F634" s="10" t="s">
        <v>1274</v>
      </c>
      <c r="G634" s="10" t="s">
        <v>11</v>
      </c>
      <c r="H634" t="s">
        <v>12</v>
      </c>
    </row>
    <row r="635" spans="1:8" x14ac:dyDescent="0.25">
      <c r="A635">
        <v>1207462104</v>
      </c>
      <c r="B635" t="s">
        <v>414</v>
      </c>
      <c r="C635">
        <v>6</v>
      </c>
      <c r="D635" s="1">
        <v>19.27</v>
      </c>
      <c r="E635" s="10" t="s">
        <v>1275</v>
      </c>
      <c r="F635" s="10" t="s">
        <v>787</v>
      </c>
      <c r="G635" s="10" t="s">
        <v>11</v>
      </c>
      <c r="H635" t="s">
        <v>12</v>
      </c>
    </row>
    <row r="636" spans="1:8" x14ac:dyDescent="0.25">
      <c r="A636">
        <v>1207437403</v>
      </c>
      <c r="B636" t="s">
        <v>414</v>
      </c>
      <c r="C636">
        <v>2</v>
      </c>
      <c r="D636" s="1">
        <v>42.27</v>
      </c>
      <c r="E636" s="10" t="s">
        <v>1275</v>
      </c>
      <c r="F636" s="10" t="s">
        <v>1169</v>
      </c>
      <c r="G636" s="10" t="s">
        <v>11</v>
      </c>
      <c r="H636" t="s">
        <v>12</v>
      </c>
    </row>
    <row r="637" spans="1:8" x14ac:dyDescent="0.25">
      <c r="A637">
        <v>1207430842</v>
      </c>
      <c r="B637" t="s">
        <v>1276</v>
      </c>
      <c r="C637">
        <v>1</v>
      </c>
      <c r="D637" s="1">
        <v>8.33</v>
      </c>
      <c r="E637" s="10" t="s">
        <v>1275</v>
      </c>
      <c r="F637" s="10" t="s">
        <v>1277</v>
      </c>
      <c r="G637" s="10" t="s">
        <v>11</v>
      </c>
      <c r="H637" t="s">
        <v>12</v>
      </c>
    </row>
    <row r="638" spans="1:8" x14ac:dyDescent="0.25">
      <c r="A638">
        <v>1207430826</v>
      </c>
      <c r="B638" t="s">
        <v>760</v>
      </c>
      <c r="C638">
        <v>4</v>
      </c>
      <c r="D638" s="1">
        <v>2.5299999999999998</v>
      </c>
      <c r="E638" s="10" t="s">
        <v>1275</v>
      </c>
      <c r="F638" s="10" t="s">
        <v>761</v>
      </c>
      <c r="G638" s="10" t="s">
        <v>11</v>
      </c>
      <c r="H638" t="s">
        <v>12</v>
      </c>
    </row>
    <row r="639" spans="1:8" x14ac:dyDescent="0.25">
      <c r="A639">
        <v>1206762007</v>
      </c>
      <c r="B639" t="s">
        <v>1278</v>
      </c>
      <c r="C639">
        <v>4</v>
      </c>
      <c r="D639" s="1">
        <v>4.33</v>
      </c>
      <c r="E639" s="10" t="s">
        <v>1279</v>
      </c>
      <c r="F639" s="10" t="s">
        <v>1280</v>
      </c>
      <c r="G639" s="10" t="s">
        <v>11</v>
      </c>
      <c r="H639" t="s">
        <v>12</v>
      </c>
    </row>
    <row r="640" spans="1:8" x14ac:dyDescent="0.25">
      <c r="A640">
        <v>1206761112</v>
      </c>
      <c r="B640" t="s">
        <v>35</v>
      </c>
      <c r="C640">
        <v>23</v>
      </c>
      <c r="D640" s="1">
        <v>20.88</v>
      </c>
      <c r="E640" s="10" t="s">
        <v>1279</v>
      </c>
      <c r="F640" s="10" t="s">
        <v>1001</v>
      </c>
      <c r="G640" s="10" t="s">
        <v>11</v>
      </c>
      <c r="H640" t="s">
        <v>12</v>
      </c>
    </row>
    <row r="641" spans="1:8" ht="30" x14ac:dyDescent="0.25">
      <c r="A641" t="s">
        <v>1281</v>
      </c>
      <c r="B641" t="s">
        <v>1282</v>
      </c>
      <c r="C641">
        <v>3</v>
      </c>
      <c r="D641" s="1">
        <v>71.181818181818187</v>
      </c>
      <c r="E641" s="10" t="s">
        <v>1283</v>
      </c>
      <c r="F641" s="10" t="s">
        <v>1284</v>
      </c>
      <c r="G641" s="10" t="s">
        <v>11</v>
      </c>
      <c r="H641" t="s">
        <v>12</v>
      </c>
    </row>
    <row r="642" spans="1:8" ht="30" x14ac:dyDescent="0.25">
      <c r="A642" t="s">
        <v>1285</v>
      </c>
      <c r="B642" t="s">
        <v>1282</v>
      </c>
      <c r="C642">
        <v>2</v>
      </c>
      <c r="D642" s="1">
        <v>6.5454545454545459</v>
      </c>
      <c r="E642" s="10" t="s">
        <v>1286</v>
      </c>
      <c r="F642" s="10" t="s">
        <v>1287</v>
      </c>
      <c r="G642" s="10" t="s">
        <v>11</v>
      </c>
      <c r="H642" t="s">
        <v>12</v>
      </c>
    </row>
    <row r="643" spans="1:8" x14ac:dyDescent="0.25">
      <c r="A643">
        <v>1206370849</v>
      </c>
      <c r="B643" t="s">
        <v>1288</v>
      </c>
      <c r="C643">
        <v>4</v>
      </c>
      <c r="D643" s="1">
        <v>10.33</v>
      </c>
      <c r="E643" s="10" t="s">
        <v>1289</v>
      </c>
      <c r="F643" s="10" t="s">
        <v>1290</v>
      </c>
      <c r="G643" s="10" t="s">
        <v>11</v>
      </c>
      <c r="H643" t="s">
        <v>12</v>
      </c>
    </row>
    <row r="644" spans="1:8" x14ac:dyDescent="0.25">
      <c r="A644">
        <v>1206370752</v>
      </c>
      <c r="B644" t="s">
        <v>1291</v>
      </c>
      <c r="C644">
        <v>4</v>
      </c>
      <c r="D644" s="1">
        <v>7.09</v>
      </c>
      <c r="E644" s="10" t="s">
        <v>1289</v>
      </c>
      <c r="F644" s="10" t="s">
        <v>1292</v>
      </c>
      <c r="G644" s="10" t="s">
        <v>11</v>
      </c>
      <c r="H644" t="s">
        <v>12</v>
      </c>
    </row>
    <row r="645" spans="1:8" x14ac:dyDescent="0.25">
      <c r="A645">
        <v>1206370248</v>
      </c>
      <c r="B645" t="s">
        <v>1293</v>
      </c>
      <c r="C645">
        <v>4</v>
      </c>
      <c r="D645" s="1">
        <v>23.93</v>
      </c>
      <c r="E645" s="10" t="s">
        <v>1289</v>
      </c>
      <c r="F645" s="10" t="s">
        <v>1294</v>
      </c>
      <c r="G645" s="10" t="s">
        <v>11</v>
      </c>
      <c r="H645" t="s">
        <v>12</v>
      </c>
    </row>
    <row r="646" spans="1:8" x14ac:dyDescent="0.25">
      <c r="A646">
        <v>1206370243</v>
      </c>
      <c r="B646" t="s">
        <v>1295</v>
      </c>
      <c r="C646">
        <v>2</v>
      </c>
      <c r="D646" s="1">
        <v>23.33</v>
      </c>
      <c r="E646" s="10" t="s">
        <v>1289</v>
      </c>
      <c r="F646" s="10" t="s">
        <v>1296</v>
      </c>
      <c r="G646" s="10" t="s">
        <v>11</v>
      </c>
      <c r="H646" t="s">
        <v>12</v>
      </c>
    </row>
    <row r="647" spans="1:8" x14ac:dyDescent="0.25">
      <c r="A647">
        <v>1206225580</v>
      </c>
      <c r="B647" t="s">
        <v>1297</v>
      </c>
      <c r="C647">
        <v>2</v>
      </c>
      <c r="D647" s="1">
        <v>25.03</v>
      </c>
      <c r="E647" s="10" t="s">
        <v>1289</v>
      </c>
      <c r="F647" s="10" t="s">
        <v>1298</v>
      </c>
      <c r="G647" s="10" t="s">
        <v>11</v>
      </c>
      <c r="H647" t="s">
        <v>12</v>
      </c>
    </row>
    <row r="648" spans="1:8" x14ac:dyDescent="0.25">
      <c r="A648">
        <v>1206225558</v>
      </c>
      <c r="B648" t="s">
        <v>1082</v>
      </c>
      <c r="C648">
        <v>1</v>
      </c>
      <c r="D648" s="1">
        <v>14.33</v>
      </c>
      <c r="E648" s="10" t="s">
        <v>1289</v>
      </c>
      <c r="F648" s="10" t="s">
        <v>1083</v>
      </c>
      <c r="G648" s="10" t="s">
        <v>11</v>
      </c>
      <c r="H648" t="s">
        <v>12</v>
      </c>
    </row>
    <row r="649" spans="1:8" x14ac:dyDescent="0.25">
      <c r="A649">
        <v>1206225438</v>
      </c>
      <c r="B649" t="s">
        <v>1299</v>
      </c>
      <c r="C649">
        <v>5</v>
      </c>
      <c r="D649" s="1">
        <v>68.55</v>
      </c>
      <c r="E649" s="10" t="s">
        <v>1289</v>
      </c>
      <c r="F649" s="10" t="s">
        <v>1300</v>
      </c>
      <c r="G649" s="10" t="s">
        <v>11</v>
      </c>
      <c r="H649" t="s">
        <v>12</v>
      </c>
    </row>
    <row r="650" spans="1:8" ht="30" x14ac:dyDescent="0.25">
      <c r="A650" t="s">
        <v>1301</v>
      </c>
      <c r="B650" t="s">
        <v>1282</v>
      </c>
      <c r="C650">
        <v>8</v>
      </c>
      <c r="D650" s="1">
        <v>5.454545454545455</v>
      </c>
      <c r="E650" s="10" t="s">
        <v>1289</v>
      </c>
      <c r="F650" s="10" t="s">
        <v>1302</v>
      </c>
      <c r="G650" s="10" t="s">
        <v>11</v>
      </c>
      <c r="H650" t="s">
        <v>12</v>
      </c>
    </row>
    <row r="651" spans="1:8" ht="30" x14ac:dyDescent="0.25">
      <c r="A651" t="s">
        <v>1303</v>
      </c>
      <c r="B651" t="s">
        <v>1282</v>
      </c>
      <c r="C651">
        <v>8</v>
      </c>
      <c r="D651" s="1">
        <v>322.90909090909088</v>
      </c>
      <c r="E651" s="10" t="s">
        <v>1289</v>
      </c>
      <c r="F651" s="10" t="s">
        <v>1304</v>
      </c>
      <c r="G651" s="10" t="s">
        <v>11</v>
      </c>
      <c r="H651" t="s">
        <v>12</v>
      </c>
    </row>
    <row r="652" spans="1:8" ht="30" x14ac:dyDescent="0.25">
      <c r="A652" t="s">
        <v>1305</v>
      </c>
      <c r="B652" t="s">
        <v>1282</v>
      </c>
      <c r="C652">
        <v>14</v>
      </c>
      <c r="D652" s="1">
        <v>59.45454545454546</v>
      </c>
      <c r="E652" s="10" t="s">
        <v>1306</v>
      </c>
      <c r="F652" s="10" t="s">
        <v>1307</v>
      </c>
      <c r="G652" s="10" t="s">
        <v>11</v>
      </c>
      <c r="H652" t="s">
        <v>12</v>
      </c>
    </row>
    <row r="653" spans="1:8" ht="30" x14ac:dyDescent="0.25">
      <c r="A653" t="s">
        <v>1308</v>
      </c>
      <c r="B653" t="s">
        <v>1282</v>
      </c>
      <c r="C653">
        <v>1</v>
      </c>
      <c r="D653" s="1">
        <v>2.1818181818181821</v>
      </c>
      <c r="E653" s="10" t="s">
        <v>1306</v>
      </c>
      <c r="F653" s="10" t="s">
        <v>1309</v>
      </c>
      <c r="G653" s="10" t="s">
        <v>11</v>
      </c>
      <c r="H653" t="s">
        <v>12</v>
      </c>
    </row>
    <row r="654" spans="1:8" ht="30" x14ac:dyDescent="0.25">
      <c r="A654" t="s">
        <v>1310</v>
      </c>
      <c r="B654" t="s">
        <v>1282</v>
      </c>
      <c r="C654">
        <v>36</v>
      </c>
      <c r="D654" s="1">
        <v>247.52727272727279</v>
      </c>
      <c r="E654" s="10" t="s">
        <v>1311</v>
      </c>
      <c r="F654" s="10" t="s">
        <v>1312</v>
      </c>
      <c r="G654" s="10" t="s">
        <v>11</v>
      </c>
      <c r="H654" t="s">
        <v>12</v>
      </c>
    </row>
    <row r="655" spans="1:8" x14ac:dyDescent="0.25">
      <c r="A655">
        <v>1205717316</v>
      </c>
      <c r="B655" t="s">
        <v>1313</v>
      </c>
      <c r="C655">
        <v>6</v>
      </c>
      <c r="D655" s="1">
        <v>23.65</v>
      </c>
      <c r="E655" s="10" t="s">
        <v>1314</v>
      </c>
      <c r="F655" s="10" t="s">
        <v>1315</v>
      </c>
      <c r="G655" s="10" t="s">
        <v>11</v>
      </c>
      <c r="H655" t="s">
        <v>12</v>
      </c>
    </row>
    <row r="656" spans="1:8" ht="30" x14ac:dyDescent="0.25">
      <c r="A656" t="s">
        <v>1316</v>
      </c>
      <c r="B656" t="s">
        <v>1282</v>
      </c>
      <c r="C656">
        <v>2</v>
      </c>
      <c r="D656" s="1">
        <v>54.545454545454547</v>
      </c>
      <c r="E656" s="10" t="s">
        <v>1314</v>
      </c>
      <c r="F656" s="10" t="s">
        <v>1317</v>
      </c>
      <c r="G656" s="10" t="s">
        <v>11</v>
      </c>
      <c r="H656" t="s">
        <v>12</v>
      </c>
    </row>
    <row r="657" spans="1:8" ht="30" x14ac:dyDescent="0.25">
      <c r="A657" t="s">
        <v>1318</v>
      </c>
      <c r="B657" t="s">
        <v>1282</v>
      </c>
      <c r="C657">
        <v>8</v>
      </c>
      <c r="D657" s="1">
        <v>17.45454545454546</v>
      </c>
      <c r="E657" s="10" t="s">
        <v>1314</v>
      </c>
      <c r="F657" s="10" t="s">
        <v>1319</v>
      </c>
      <c r="G657" s="10" t="s">
        <v>11</v>
      </c>
      <c r="H657" t="s">
        <v>12</v>
      </c>
    </row>
    <row r="658" spans="1:8" ht="30" x14ac:dyDescent="0.25">
      <c r="A658" t="s">
        <v>1320</v>
      </c>
      <c r="B658" t="s">
        <v>1282</v>
      </c>
      <c r="C658">
        <v>2</v>
      </c>
      <c r="D658" s="1">
        <v>67.63636363636364</v>
      </c>
      <c r="E658" s="10" t="s">
        <v>1314</v>
      </c>
      <c r="F658" s="10" t="s">
        <v>1321</v>
      </c>
      <c r="G658" s="10" t="s">
        <v>11</v>
      </c>
      <c r="H658" t="s">
        <v>12</v>
      </c>
    </row>
    <row r="659" spans="1:8" ht="30" x14ac:dyDescent="0.25">
      <c r="A659" t="s">
        <v>1322</v>
      </c>
      <c r="B659" t="s">
        <v>1282</v>
      </c>
      <c r="C659">
        <v>1</v>
      </c>
      <c r="D659" s="1">
        <v>2.1818181818181821</v>
      </c>
      <c r="E659" s="10" t="s">
        <v>1314</v>
      </c>
      <c r="F659" s="10" t="s">
        <v>1309</v>
      </c>
      <c r="G659" s="10" t="s">
        <v>11</v>
      </c>
      <c r="H659" t="s">
        <v>12</v>
      </c>
    </row>
    <row r="660" spans="1:8" ht="30" x14ac:dyDescent="0.25">
      <c r="A660" t="s">
        <v>1323</v>
      </c>
      <c r="B660" t="s">
        <v>1282</v>
      </c>
      <c r="C660">
        <v>3</v>
      </c>
      <c r="D660" s="1">
        <v>16.36363636363636</v>
      </c>
      <c r="E660" s="10" t="s">
        <v>1314</v>
      </c>
      <c r="F660" s="10" t="s">
        <v>1324</v>
      </c>
      <c r="G660" s="10" t="s">
        <v>11</v>
      </c>
      <c r="H660" t="s">
        <v>12</v>
      </c>
    </row>
    <row r="661" spans="1:8" ht="30" x14ac:dyDescent="0.25">
      <c r="A661" t="s">
        <v>1325</v>
      </c>
      <c r="B661" t="s">
        <v>1282</v>
      </c>
      <c r="C661">
        <v>3</v>
      </c>
      <c r="D661" s="1">
        <v>41.890909090909091</v>
      </c>
      <c r="E661" s="10" t="s">
        <v>1326</v>
      </c>
      <c r="F661" s="10" t="s">
        <v>1327</v>
      </c>
      <c r="G661" s="10" t="s">
        <v>11</v>
      </c>
      <c r="H661" t="s">
        <v>12</v>
      </c>
    </row>
    <row r="662" spans="1:8" ht="30" x14ac:dyDescent="0.25">
      <c r="A662" t="s">
        <v>1328</v>
      </c>
      <c r="B662" t="s">
        <v>1282</v>
      </c>
      <c r="C662">
        <v>5</v>
      </c>
      <c r="D662" s="1">
        <v>16.963636363636361</v>
      </c>
      <c r="E662" s="10" t="s">
        <v>1326</v>
      </c>
      <c r="F662" s="10" t="s">
        <v>1329</v>
      </c>
      <c r="G662" s="10" t="s">
        <v>11</v>
      </c>
      <c r="H662" t="s">
        <v>12</v>
      </c>
    </row>
    <row r="663" spans="1:8" ht="30" x14ac:dyDescent="0.25">
      <c r="A663" t="s">
        <v>1330</v>
      </c>
      <c r="B663" t="s">
        <v>1282</v>
      </c>
      <c r="C663">
        <v>30</v>
      </c>
      <c r="D663" s="1">
        <v>166.90909090909091</v>
      </c>
      <c r="E663" s="10" t="s">
        <v>1326</v>
      </c>
      <c r="F663" s="10" t="s">
        <v>1331</v>
      </c>
      <c r="G663" s="10" t="s">
        <v>11</v>
      </c>
      <c r="H663" t="s">
        <v>12</v>
      </c>
    </row>
    <row r="664" spans="1:8" ht="30" x14ac:dyDescent="0.25">
      <c r="A664" t="s">
        <v>1332</v>
      </c>
      <c r="B664" t="s">
        <v>1282</v>
      </c>
      <c r="C664">
        <v>67</v>
      </c>
      <c r="D664" s="1">
        <v>167.0181818181818</v>
      </c>
      <c r="E664" s="10" t="s">
        <v>1333</v>
      </c>
      <c r="F664" s="10" t="s">
        <v>1334</v>
      </c>
      <c r="G664" s="10" t="s">
        <v>11</v>
      </c>
      <c r="H664" t="s">
        <v>12</v>
      </c>
    </row>
    <row r="665" spans="1:8" ht="30" x14ac:dyDescent="0.25">
      <c r="A665" t="s">
        <v>1335</v>
      </c>
      <c r="B665" t="s">
        <v>1282</v>
      </c>
      <c r="C665">
        <v>71</v>
      </c>
      <c r="D665" s="1">
        <v>117.76363636363639</v>
      </c>
      <c r="E665" s="10" t="s">
        <v>1336</v>
      </c>
      <c r="F665" s="10" t="s">
        <v>1337</v>
      </c>
      <c r="G665" s="10" t="s">
        <v>11</v>
      </c>
      <c r="H665" t="s">
        <v>12</v>
      </c>
    </row>
    <row r="666" spans="1:8" ht="30" x14ac:dyDescent="0.25">
      <c r="A666" t="s">
        <v>1338</v>
      </c>
      <c r="B666" t="s">
        <v>1282</v>
      </c>
      <c r="C666">
        <v>10</v>
      </c>
      <c r="D666" s="1">
        <v>51.545454545454547</v>
      </c>
      <c r="E666" s="10" t="s">
        <v>1339</v>
      </c>
      <c r="F666" s="10" t="s">
        <v>1340</v>
      </c>
      <c r="G666" s="10" t="s">
        <v>11</v>
      </c>
      <c r="H666" t="s">
        <v>12</v>
      </c>
    </row>
    <row r="667" spans="1:8" ht="30" x14ac:dyDescent="0.25">
      <c r="A667" t="s">
        <v>1341</v>
      </c>
      <c r="B667" t="s">
        <v>1282</v>
      </c>
      <c r="C667">
        <v>36</v>
      </c>
      <c r="D667" s="1">
        <v>249.27272727272731</v>
      </c>
      <c r="E667" s="10" t="s">
        <v>1342</v>
      </c>
      <c r="F667" s="10" t="s">
        <v>1343</v>
      </c>
      <c r="G667" s="10" t="s">
        <v>11</v>
      </c>
      <c r="H667" t="s">
        <v>12</v>
      </c>
    </row>
    <row r="668" spans="1:8" ht="30" x14ac:dyDescent="0.25">
      <c r="A668" t="s">
        <v>1344</v>
      </c>
      <c r="B668" t="s">
        <v>1282</v>
      </c>
      <c r="C668">
        <v>31</v>
      </c>
      <c r="D668" s="1">
        <v>190.3636363636364</v>
      </c>
      <c r="E668" s="10" t="s">
        <v>1345</v>
      </c>
      <c r="F668" s="10" t="s">
        <v>1346</v>
      </c>
      <c r="G668" s="10" t="s">
        <v>11</v>
      </c>
      <c r="H668" t="s">
        <v>12</v>
      </c>
    </row>
    <row r="669" spans="1:8" ht="30" x14ac:dyDescent="0.25">
      <c r="A669" t="s">
        <v>1347</v>
      </c>
      <c r="B669" t="s">
        <v>1282</v>
      </c>
      <c r="C669">
        <v>4</v>
      </c>
      <c r="D669" s="1">
        <v>114.3272727272727</v>
      </c>
      <c r="E669" s="10" t="s">
        <v>1348</v>
      </c>
      <c r="F669" s="10" t="s">
        <v>1349</v>
      </c>
      <c r="G669" s="10" t="s">
        <v>11</v>
      </c>
      <c r="H669" t="s">
        <v>12</v>
      </c>
    </row>
    <row r="670" spans="1:8" ht="30" x14ac:dyDescent="0.25">
      <c r="A670" t="s">
        <v>1350</v>
      </c>
      <c r="B670" t="s">
        <v>1282</v>
      </c>
      <c r="C670">
        <v>20</v>
      </c>
      <c r="D670" s="1">
        <v>83.127272727272739</v>
      </c>
      <c r="E670" s="10" t="s">
        <v>1348</v>
      </c>
      <c r="F670" s="10" t="s">
        <v>1351</v>
      </c>
      <c r="G670" s="10" t="s">
        <v>11</v>
      </c>
      <c r="H670" t="s">
        <v>12</v>
      </c>
    </row>
    <row r="671" spans="1:8" ht="30" x14ac:dyDescent="0.25">
      <c r="A671" t="s">
        <v>1352</v>
      </c>
      <c r="B671" t="s">
        <v>1282</v>
      </c>
      <c r="C671">
        <v>3</v>
      </c>
      <c r="D671" s="1">
        <v>38.181818181818187</v>
      </c>
      <c r="E671" s="10" t="s">
        <v>1348</v>
      </c>
      <c r="F671" s="10" t="s">
        <v>1353</v>
      </c>
      <c r="G671" s="10" t="s">
        <v>11</v>
      </c>
      <c r="H671" t="s">
        <v>12</v>
      </c>
    </row>
    <row r="672" spans="1:8" ht="30" x14ac:dyDescent="0.25">
      <c r="A672" t="s">
        <v>1354</v>
      </c>
      <c r="B672" t="s">
        <v>1282</v>
      </c>
      <c r="C672">
        <v>28</v>
      </c>
      <c r="D672" s="1">
        <v>32.509090909090922</v>
      </c>
      <c r="E672" s="10" t="s">
        <v>1355</v>
      </c>
      <c r="F672" s="10" t="s">
        <v>1356</v>
      </c>
      <c r="G672" s="10" t="s">
        <v>11</v>
      </c>
      <c r="H672" t="s">
        <v>12</v>
      </c>
    </row>
    <row r="673" spans="1:8" ht="30" x14ac:dyDescent="0.25">
      <c r="A673" t="s">
        <v>1357</v>
      </c>
      <c r="B673" t="s">
        <v>1282</v>
      </c>
      <c r="C673">
        <v>91</v>
      </c>
      <c r="D673" s="1">
        <v>133.8545454545455</v>
      </c>
      <c r="E673" s="10" t="s">
        <v>1355</v>
      </c>
      <c r="F673" s="10" t="s">
        <v>1358</v>
      </c>
      <c r="G673" s="10" t="s">
        <v>11</v>
      </c>
      <c r="H673" t="s">
        <v>12</v>
      </c>
    </row>
    <row r="674" spans="1:8" ht="30" x14ac:dyDescent="0.25">
      <c r="A674" t="s">
        <v>1359</v>
      </c>
      <c r="B674" t="s">
        <v>1282</v>
      </c>
      <c r="C674">
        <v>136</v>
      </c>
      <c r="D674" s="1">
        <v>341.12727272727278</v>
      </c>
      <c r="E674" s="10" t="s">
        <v>1360</v>
      </c>
      <c r="F674" s="10" t="s">
        <v>1361</v>
      </c>
      <c r="G674" s="10" t="s">
        <v>11</v>
      </c>
      <c r="H674" t="s">
        <v>12</v>
      </c>
    </row>
    <row r="675" spans="1:8" x14ac:dyDescent="0.25">
      <c r="A675">
        <v>1202420858</v>
      </c>
      <c r="B675" t="s">
        <v>1362</v>
      </c>
      <c r="C675">
        <v>4</v>
      </c>
      <c r="D675" s="1">
        <v>38.25</v>
      </c>
      <c r="E675" s="10" t="s">
        <v>1363</v>
      </c>
      <c r="F675" s="10" t="s">
        <v>1364</v>
      </c>
      <c r="G675" s="10" t="s">
        <v>38</v>
      </c>
      <c r="H675" t="s">
        <v>12</v>
      </c>
    </row>
    <row r="676" spans="1:8" x14ac:dyDescent="0.25">
      <c r="A676">
        <v>1202034396</v>
      </c>
      <c r="B676" t="s">
        <v>1365</v>
      </c>
      <c r="C676">
        <v>1</v>
      </c>
      <c r="D676" s="1">
        <v>7.32</v>
      </c>
      <c r="E676" s="10" t="s">
        <v>1366</v>
      </c>
      <c r="F676" s="10" t="s">
        <v>1367</v>
      </c>
      <c r="G676" s="10" t="s">
        <v>48</v>
      </c>
      <c r="H676" t="s">
        <v>12</v>
      </c>
    </row>
    <row r="677" spans="1:8" ht="30" x14ac:dyDescent="0.25">
      <c r="A677">
        <v>1201280345</v>
      </c>
      <c r="B677" t="s">
        <v>8</v>
      </c>
      <c r="C677">
        <v>4</v>
      </c>
      <c r="D677" s="1">
        <v>0.15</v>
      </c>
      <c r="E677" s="10" t="s">
        <v>1368</v>
      </c>
      <c r="F677" s="10" t="s">
        <v>799</v>
      </c>
      <c r="G677" s="10" t="s">
        <v>38</v>
      </c>
      <c r="H677" t="s">
        <v>12</v>
      </c>
    </row>
    <row r="678" spans="1:8" x14ac:dyDescent="0.25">
      <c r="A678">
        <v>1201256238</v>
      </c>
      <c r="B678" t="s">
        <v>1369</v>
      </c>
      <c r="C678">
        <v>1</v>
      </c>
      <c r="D678" s="1">
        <v>10.4</v>
      </c>
      <c r="E678" s="10" t="s">
        <v>1368</v>
      </c>
      <c r="F678" s="10" t="s">
        <v>1370</v>
      </c>
      <c r="G678" s="10" t="s">
        <v>48</v>
      </c>
      <c r="H678" t="s">
        <v>12</v>
      </c>
    </row>
    <row r="679" spans="1:8" x14ac:dyDescent="0.25">
      <c r="A679" t="s">
        <v>1371</v>
      </c>
      <c r="B679" t="s">
        <v>1372</v>
      </c>
      <c r="C679">
        <v>1</v>
      </c>
      <c r="D679" s="1">
        <v>220</v>
      </c>
      <c r="E679" s="10" t="s">
        <v>1373</v>
      </c>
      <c r="F679" s="10" t="s">
        <v>548</v>
      </c>
      <c r="G679" s="10" t="s">
        <v>11</v>
      </c>
      <c r="H679" t="s">
        <v>12</v>
      </c>
    </row>
    <row r="680" spans="1:8" x14ac:dyDescent="0.25">
      <c r="A680" t="s">
        <v>1374</v>
      </c>
      <c r="B680" t="s">
        <v>1375</v>
      </c>
      <c r="C680">
        <v>1</v>
      </c>
      <c r="D680" s="1">
        <v>205</v>
      </c>
      <c r="E680" s="10" t="s">
        <v>1373</v>
      </c>
      <c r="F680" s="10" t="s">
        <v>548</v>
      </c>
      <c r="G680" s="10" t="s">
        <v>11</v>
      </c>
      <c r="H680" t="s">
        <v>12</v>
      </c>
    </row>
    <row r="681" spans="1:8" x14ac:dyDescent="0.25">
      <c r="A681" t="s">
        <v>1376</v>
      </c>
      <c r="B681" t="s">
        <v>1377</v>
      </c>
      <c r="C681">
        <v>12</v>
      </c>
      <c r="D681" s="1">
        <v>104.5</v>
      </c>
      <c r="E681" s="10" t="s">
        <v>1373</v>
      </c>
      <c r="F681" s="10" t="s">
        <v>1378</v>
      </c>
      <c r="G681" s="10" t="s">
        <v>11</v>
      </c>
      <c r="H681" t="s">
        <v>12</v>
      </c>
    </row>
    <row r="682" spans="1:8" x14ac:dyDescent="0.25">
      <c r="A682">
        <v>1200766984</v>
      </c>
      <c r="B682" t="s">
        <v>1379</v>
      </c>
      <c r="C682">
        <v>2</v>
      </c>
      <c r="D682" s="1">
        <v>8.33</v>
      </c>
      <c r="E682" s="10" t="s">
        <v>1373</v>
      </c>
      <c r="F682" s="10" t="s">
        <v>1380</v>
      </c>
      <c r="G682" s="10" t="s">
        <v>11</v>
      </c>
      <c r="H682" t="s">
        <v>12</v>
      </c>
    </row>
    <row r="683" spans="1:8" ht="30" x14ac:dyDescent="0.25">
      <c r="A683" t="s">
        <v>1381</v>
      </c>
      <c r="B683" t="s">
        <v>1282</v>
      </c>
      <c r="C683">
        <v>50</v>
      </c>
      <c r="D683" s="1">
        <v>297.27272727272731</v>
      </c>
      <c r="E683" s="10" t="s">
        <v>1382</v>
      </c>
      <c r="F683" s="10" t="s">
        <v>1383</v>
      </c>
      <c r="G683" s="10" t="s">
        <v>38</v>
      </c>
      <c r="H683" t="s">
        <v>12</v>
      </c>
    </row>
    <row r="684" spans="1:8" x14ac:dyDescent="0.25">
      <c r="A684">
        <v>1200449065</v>
      </c>
      <c r="B684" t="s">
        <v>469</v>
      </c>
      <c r="C684">
        <v>6</v>
      </c>
      <c r="D684" s="1">
        <v>3.63</v>
      </c>
      <c r="E684" s="10" t="s">
        <v>1384</v>
      </c>
      <c r="F684" s="10" t="s">
        <v>709</v>
      </c>
      <c r="G684" s="10" t="s">
        <v>11</v>
      </c>
      <c r="H684" t="s">
        <v>12</v>
      </c>
    </row>
    <row r="685" spans="1:8" x14ac:dyDescent="0.25">
      <c r="A685">
        <v>1200448424</v>
      </c>
      <c r="B685" t="s">
        <v>469</v>
      </c>
      <c r="C685">
        <v>4</v>
      </c>
      <c r="D685" s="1">
        <v>70.37</v>
      </c>
      <c r="E685" s="10" t="s">
        <v>1384</v>
      </c>
      <c r="F685" s="10" t="s">
        <v>1143</v>
      </c>
      <c r="G685" s="10" t="s">
        <v>11</v>
      </c>
      <c r="H685" t="s">
        <v>12</v>
      </c>
    </row>
    <row r="686" spans="1:8" x14ac:dyDescent="0.25">
      <c r="A686">
        <v>1200448095</v>
      </c>
      <c r="B686" t="s">
        <v>1385</v>
      </c>
      <c r="C686">
        <v>2</v>
      </c>
      <c r="D686" s="1">
        <v>19.190000000000001</v>
      </c>
      <c r="E686" s="10" t="s">
        <v>1384</v>
      </c>
      <c r="F686" s="10" t="s">
        <v>1386</v>
      </c>
      <c r="G686" s="10" t="s">
        <v>48</v>
      </c>
      <c r="H686" t="s">
        <v>12</v>
      </c>
    </row>
    <row r="687" spans="1:8" x14ac:dyDescent="0.25">
      <c r="A687">
        <v>1200447336</v>
      </c>
      <c r="B687" t="s">
        <v>1387</v>
      </c>
      <c r="C687">
        <v>4</v>
      </c>
      <c r="D687" s="1">
        <v>41.73</v>
      </c>
      <c r="E687" s="10" t="s">
        <v>1384</v>
      </c>
      <c r="F687" s="10" t="s">
        <v>1388</v>
      </c>
      <c r="G687" s="10" t="s">
        <v>48</v>
      </c>
      <c r="H687" t="s">
        <v>12</v>
      </c>
    </row>
    <row r="688" spans="1:8" ht="30" x14ac:dyDescent="0.25">
      <c r="A688" t="s">
        <v>1389</v>
      </c>
      <c r="B688" t="s">
        <v>1282</v>
      </c>
      <c r="C688">
        <v>4</v>
      </c>
      <c r="D688" s="1">
        <v>36.654545454545463</v>
      </c>
      <c r="E688" s="10" t="s">
        <v>1384</v>
      </c>
      <c r="F688" s="10" t="s">
        <v>1390</v>
      </c>
      <c r="G688" s="10" t="s">
        <v>38</v>
      </c>
      <c r="H688" t="s">
        <v>12</v>
      </c>
    </row>
    <row r="689" spans="1:8" x14ac:dyDescent="0.25">
      <c r="A689" t="s">
        <v>1391</v>
      </c>
      <c r="B689" t="s">
        <v>494</v>
      </c>
      <c r="C689">
        <v>33</v>
      </c>
      <c r="D689" s="1">
        <v>328</v>
      </c>
      <c r="E689" s="10" t="s">
        <v>1392</v>
      </c>
      <c r="F689" s="10" t="s">
        <v>1393</v>
      </c>
      <c r="G689" s="10" t="s">
        <v>11</v>
      </c>
      <c r="H689" t="s">
        <v>12</v>
      </c>
    </row>
    <row r="690" spans="1:8" x14ac:dyDescent="0.25">
      <c r="A690" t="s">
        <v>1394</v>
      </c>
      <c r="B690" t="s">
        <v>1395</v>
      </c>
      <c r="C690">
        <v>9</v>
      </c>
      <c r="D690" s="1">
        <v>74.41</v>
      </c>
      <c r="E690" s="10" t="s">
        <v>1392</v>
      </c>
      <c r="F690" s="10" t="s">
        <v>1396</v>
      </c>
      <c r="G690" s="10" t="s">
        <v>11</v>
      </c>
      <c r="H690" t="s">
        <v>12</v>
      </c>
    </row>
    <row r="691" spans="1:8" x14ac:dyDescent="0.25">
      <c r="A691" t="s">
        <v>1397</v>
      </c>
      <c r="B691" t="s">
        <v>1398</v>
      </c>
      <c r="C691">
        <v>4</v>
      </c>
      <c r="D691" s="1">
        <v>32</v>
      </c>
      <c r="E691" s="10" t="s">
        <v>1392</v>
      </c>
      <c r="F691" s="10" t="s">
        <v>548</v>
      </c>
      <c r="G691" s="10" t="s">
        <v>11</v>
      </c>
      <c r="H691" t="s">
        <v>12</v>
      </c>
    </row>
    <row r="692" spans="1:8" x14ac:dyDescent="0.25">
      <c r="A692">
        <v>1200252455</v>
      </c>
      <c r="B692" t="s">
        <v>501</v>
      </c>
      <c r="C692">
        <v>1</v>
      </c>
      <c r="D692" s="1">
        <v>49.31</v>
      </c>
      <c r="E692" s="10" t="s">
        <v>1392</v>
      </c>
      <c r="F692" s="10" t="s">
        <v>1399</v>
      </c>
      <c r="G692" s="10" t="s">
        <v>11</v>
      </c>
      <c r="H692" t="s">
        <v>12</v>
      </c>
    </row>
    <row r="693" spans="1:8" x14ac:dyDescent="0.25">
      <c r="A693">
        <v>1200219864</v>
      </c>
      <c r="B693" t="s">
        <v>1400</v>
      </c>
      <c r="C693">
        <v>1</v>
      </c>
      <c r="D693" s="1">
        <v>51.38</v>
      </c>
      <c r="E693" s="10" t="s">
        <v>1392</v>
      </c>
      <c r="F693" s="10" t="s">
        <v>1401</v>
      </c>
      <c r="G693" s="10" t="s">
        <v>11</v>
      </c>
      <c r="H693" t="s">
        <v>12</v>
      </c>
    </row>
    <row r="694" spans="1:8" x14ac:dyDescent="0.25">
      <c r="A694">
        <v>1200167959</v>
      </c>
      <c r="B694" t="s">
        <v>414</v>
      </c>
      <c r="C694">
        <v>2</v>
      </c>
      <c r="D694" s="1">
        <v>106.91</v>
      </c>
      <c r="E694" s="10" t="s">
        <v>1392</v>
      </c>
      <c r="F694" s="10" t="s">
        <v>1169</v>
      </c>
      <c r="G694" s="10" t="s">
        <v>11</v>
      </c>
      <c r="H694" t="s">
        <v>12</v>
      </c>
    </row>
    <row r="695" spans="1:8" x14ac:dyDescent="0.25">
      <c r="A695">
        <v>1199908282</v>
      </c>
      <c r="B695" t="s">
        <v>414</v>
      </c>
      <c r="C695">
        <v>2</v>
      </c>
      <c r="D695" s="1">
        <v>7.31</v>
      </c>
      <c r="E695" s="10" t="s">
        <v>1402</v>
      </c>
      <c r="F695" s="10" t="s">
        <v>787</v>
      </c>
      <c r="G695" s="10" t="s">
        <v>11</v>
      </c>
      <c r="H695" t="s">
        <v>12</v>
      </c>
    </row>
    <row r="696" spans="1:8" x14ac:dyDescent="0.25">
      <c r="A696">
        <v>1199908252</v>
      </c>
      <c r="B696" t="s">
        <v>469</v>
      </c>
      <c r="C696">
        <v>2</v>
      </c>
      <c r="D696" s="1">
        <v>3.71</v>
      </c>
      <c r="E696" s="10" t="s">
        <v>1402</v>
      </c>
      <c r="F696" s="10" t="s">
        <v>709</v>
      </c>
      <c r="G696" s="10" t="s">
        <v>11</v>
      </c>
      <c r="H696" t="s">
        <v>12</v>
      </c>
    </row>
    <row r="697" spans="1:8" x14ac:dyDescent="0.25">
      <c r="A697">
        <v>1199881376</v>
      </c>
      <c r="B697" t="s">
        <v>35</v>
      </c>
      <c r="C697">
        <v>4</v>
      </c>
      <c r="D697" s="1">
        <v>5.29</v>
      </c>
      <c r="E697" s="10" t="s">
        <v>1402</v>
      </c>
      <c r="F697" s="10" t="s">
        <v>1030</v>
      </c>
      <c r="G697" s="10" t="s">
        <v>11</v>
      </c>
      <c r="H697" t="s">
        <v>12</v>
      </c>
    </row>
    <row r="698" spans="1:8" x14ac:dyDescent="0.25">
      <c r="A698">
        <v>1199482485</v>
      </c>
      <c r="B698" t="s">
        <v>1403</v>
      </c>
      <c r="C698">
        <v>1</v>
      </c>
      <c r="D698" s="1">
        <v>5.28</v>
      </c>
      <c r="E698" s="10" t="s">
        <v>1404</v>
      </c>
      <c r="F698" s="10" t="s">
        <v>1405</v>
      </c>
      <c r="G698" s="10" t="s">
        <v>11</v>
      </c>
      <c r="H698" t="s">
        <v>12</v>
      </c>
    </row>
    <row r="699" spans="1:8" x14ac:dyDescent="0.25">
      <c r="A699">
        <v>1199242999</v>
      </c>
      <c r="B699" t="s">
        <v>434</v>
      </c>
      <c r="C699">
        <v>1</v>
      </c>
      <c r="D699" s="1">
        <v>10.28</v>
      </c>
      <c r="E699" s="10" t="s">
        <v>1406</v>
      </c>
      <c r="F699" s="10" t="s">
        <v>1407</v>
      </c>
      <c r="G699" s="10" t="s">
        <v>48</v>
      </c>
      <c r="H699" t="s">
        <v>12</v>
      </c>
    </row>
    <row r="700" spans="1:8" x14ac:dyDescent="0.25">
      <c r="A700">
        <v>1199135567</v>
      </c>
      <c r="B700" t="s">
        <v>1408</v>
      </c>
      <c r="C700">
        <v>1</v>
      </c>
      <c r="D700" s="1">
        <v>18.399999999999999</v>
      </c>
      <c r="E700" s="10" t="s">
        <v>1409</v>
      </c>
      <c r="F700" s="10" t="s">
        <v>1410</v>
      </c>
      <c r="G700" s="10" t="s">
        <v>48</v>
      </c>
      <c r="H700" t="s">
        <v>12</v>
      </c>
    </row>
    <row r="701" spans="1:8" x14ac:dyDescent="0.25">
      <c r="A701">
        <v>1199075481</v>
      </c>
      <c r="B701" t="s">
        <v>1411</v>
      </c>
      <c r="C701">
        <v>3</v>
      </c>
      <c r="D701" s="1">
        <v>11.3</v>
      </c>
      <c r="E701" s="10" t="s">
        <v>1409</v>
      </c>
      <c r="F701" s="10" t="s">
        <v>1412</v>
      </c>
      <c r="G701" s="10" t="s">
        <v>48</v>
      </c>
      <c r="H701" t="s">
        <v>12</v>
      </c>
    </row>
    <row r="702" spans="1:8" x14ac:dyDescent="0.25">
      <c r="A702">
        <v>1198849030</v>
      </c>
      <c r="B702" t="s">
        <v>1413</v>
      </c>
      <c r="C702">
        <v>4</v>
      </c>
      <c r="D702" s="1">
        <v>62.28</v>
      </c>
      <c r="E702" s="10" t="s">
        <v>1414</v>
      </c>
      <c r="F702" s="10" t="s">
        <v>1415</v>
      </c>
      <c r="G702" s="10" t="s">
        <v>11</v>
      </c>
      <c r="H702" t="s">
        <v>12</v>
      </c>
    </row>
    <row r="703" spans="1:8" x14ac:dyDescent="0.25">
      <c r="A703">
        <v>1198819400</v>
      </c>
      <c r="B703" t="s">
        <v>910</v>
      </c>
      <c r="C703">
        <v>6</v>
      </c>
      <c r="D703" s="1">
        <v>7.07</v>
      </c>
      <c r="E703" s="10" t="s">
        <v>1416</v>
      </c>
      <c r="F703" s="10" t="s">
        <v>911</v>
      </c>
      <c r="G703" s="10" t="s">
        <v>11</v>
      </c>
      <c r="H703" t="s">
        <v>12</v>
      </c>
    </row>
    <row r="704" spans="1:8" x14ac:dyDescent="0.25">
      <c r="A704">
        <v>1198818969</v>
      </c>
      <c r="B704" t="s">
        <v>1417</v>
      </c>
      <c r="C704">
        <v>2</v>
      </c>
      <c r="D704" s="1">
        <v>34.78</v>
      </c>
      <c r="E704" s="10" t="s">
        <v>1416</v>
      </c>
      <c r="F704" s="10" t="s">
        <v>1418</v>
      </c>
      <c r="G704" s="10" t="s">
        <v>11</v>
      </c>
      <c r="H704" t="s">
        <v>12</v>
      </c>
    </row>
    <row r="705" spans="1:8" ht="30" x14ac:dyDescent="0.25">
      <c r="A705">
        <v>1198731774</v>
      </c>
      <c r="B705" t="s">
        <v>8</v>
      </c>
      <c r="C705">
        <v>8</v>
      </c>
      <c r="D705" s="1">
        <v>0.55000000000000004</v>
      </c>
      <c r="E705" s="10" t="s">
        <v>1416</v>
      </c>
      <c r="F705" s="10" t="s">
        <v>799</v>
      </c>
      <c r="G705" s="10" t="s">
        <v>38</v>
      </c>
      <c r="H705" t="s">
        <v>12</v>
      </c>
    </row>
    <row r="706" spans="1:8" x14ac:dyDescent="0.25">
      <c r="A706">
        <v>1198703619</v>
      </c>
      <c r="B706" t="s">
        <v>1419</v>
      </c>
      <c r="C706">
        <v>1</v>
      </c>
      <c r="D706" s="1">
        <v>8.33</v>
      </c>
      <c r="E706" s="10" t="s">
        <v>1416</v>
      </c>
      <c r="F706" s="10" t="s">
        <v>1420</v>
      </c>
      <c r="G706" s="10" t="s">
        <v>11</v>
      </c>
      <c r="H706" t="s">
        <v>12</v>
      </c>
    </row>
    <row r="707" spans="1:8" x14ac:dyDescent="0.25">
      <c r="A707">
        <v>1198652187</v>
      </c>
      <c r="B707" t="s">
        <v>1421</v>
      </c>
      <c r="C707">
        <v>5</v>
      </c>
      <c r="D707" s="1">
        <v>17.18</v>
      </c>
      <c r="E707" s="10" t="s">
        <v>1422</v>
      </c>
      <c r="F707" s="10" t="s">
        <v>1423</v>
      </c>
      <c r="G707" s="10" t="s">
        <v>48</v>
      </c>
      <c r="H707" t="s">
        <v>12</v>
      </c>
    </row>
    <row r="708" spans="1:8" x14ac:dyDescent="0.25">
      <c r="A708">
        <v>1198557853</v>
      </c>
      <c r="B708" t="s">
        <v>181</v>
      </c>
      <c r="C708">
        <v>4</v>
      </c>
      <c r="D708" s="1">
        <v>21.25</v>
      </c>
      <c r="E708" s="10" t="s">
        <v>1422</v>
      </c>
      <c r="F708" s="10" t="s">
        <v>599</v>
      </c>
      <c r="G708" s="10" t="s">
        <v>11</v>
      </c>
      <c r="H708" t="s">
        <v>12</v>
      </c>
    </row>
    <row r="709" spans="1:8" x14ac:dyDescent="0.25">
      <c r="A709">
        <v>1198557498</v>
      </c>
      <c r="B709" t="s">
        <v>35</v>
      </c>
      <c r="C709">
        <v>4</v>
      </c>
      <c r="D709" s="1">
        <v>8.2899999999999991</v>
      </c>
      <c r="E709" s="10" t="s">
        <v>1422</v>
      </c>
      <c r="F709" s="10" t="s">
        <v>1030</v>
      </c>
      <c r="G709" s="10" t="s">
        <v>11</v>
      </c>
      <c r="H709" t="s">
        <v>12</v>
      </c>
    </row>
    <row r="710" spans="1:8" ht="30" x14ac:dyDescent="0.25">
      <c r="A710">
        <v>1198405778</v>
      </c>
      <c r="B710" t="s">
        <v>8</v>
      </c>
      <c r="C710">
        <v>2</v>
      </c>
      <c r="D710" s="1">
        <v>0.25</v>
      </c>
      <c r="E710" s="10" t="s">
        <v>1424</v>
      </c>
      <c r="F710" s="10" t="s">
        <v>799</v>
      </c>
      <c r="G710" s="10" t="s">
        <v>38</v>
      </c>
      <c r="H710" t="s">
        <v>12</v>
      </c>
    </row>
    <row r="711" spans="1:8" ht="30" x14ac:dyDescent="0.25">
      <c r="A711">
        <v>1198404884</v>
      </c>
      <c r="B711" t="s">
        <v>8</v>
      </c>
      <c r="C711">
        <v>4</v>
      </c>
      <c r="D711" s="1">
        <v>8.5</v>
      </c>
      <c r="E711" s="10" t="s">
        <v>1424</v>
      </c>
      <c r="F711" s="10" t="s">
        <v>37</v>
      </c>
      <c r="G711" s="10" t="s">
        <v>38</v>
      </c>
      <c r="H711" t="s">
        <v>12</v>
      </c>
    </row>
    <row r="712" spans="1:8" x14ac:dyDescent="0.25">
      <c r="A712">
        <v>1198404656</v>
      </c>
      <c r="B712" t="s">
        <v>1425</v>
      </c>
      <c r="C712">
        <v>2</v>
      </c>
      <c r="D712" s="1">
        <v>15.53</v>
      </c>
      <c r="E712" s="10" t="s">
        <v>1424</v>
      </c>
      <c r="F712" s="10" t="s">
        <v>1426</v>
      </c>
      <c r="G712" s="10" t="s">
        <v>11</v>
      </c>
      <c r="H712" t="s">
        <v>12</v>
      </c>
    </row>
    <row r="713" spans="1:8" x14ac:dyDescent="0.25">
      <c r="A713">
        <v>1198292265</v>
      </c>
      <c r="B713" t="s">
        <v>1427</v>
      </c>
      <c r="C713">
        <v>4</v>
      </c>
      <c r="D713" s="1">
        <v>65.53</v>
      </c>
      <c r="E713" s="10" t="s">
        <v>1428</v>
      </c>
      <c r="F713" s="10" t="s">
        <v>1429</v>
      </c>
      <c r="G713" s="10" t="s">
        <v>48</v>
      </c>
      <c r="H713" t="s">
        <v>12</v>
      </c>
    </row>
    <row r="714" spans="1:8" x14ac:dyDescent="0.25">
      <c r="A714">
        <v>1197895608</v>
      </c>
      <c r="B714" t="s">
        <v>1430</v>
      </c>
      <c r="C714">
        <v>1</v>
      </c>
      <c r="D714" s="1">
        <v>18.489999999999998</v>
      </c>
      <c r="E714" s="10" t="s">
        <v>1431</v>
      </c>
      <c r="F714" s="10" t="s">
        <v>1432</v>
      </c>
      <c r="G714" s="10" t="s">
        <v>11</v>
      </c>
      <c r="H714" t="s">
        <v>12</v>
      </c>
    </row>
    <row r="715" spans="1:8" x14ac:dyDescent="0.25">
      <c r="A715">
        <v>1197519258</v>
      </c>
      <c r="B715" t="s">
        <v>1433</v>
      </c>
      <c r="C715">
        <v>2</v>
      </c>
      <c r="D715" s="1">
        <v>25.83</v>
      </c>
      <c r="E715" s="10" t="s">
        <v>1434</v>
      </c>
      <c r="F715" s="10" t="s">
        <v>1435</v>
      </c>
      <c r="G715" s="10" t="s">
        <v>11</v>
      </c>
      <c r="H715" t="s">
        <v>12</v>
      </c>
    </row>
    <row r="716" spans="1:8" x14ac:dyDescent="0.25">
      <c r="A716">
        <v>1197512959</v>
      </c>
      <c r="B716" t="s">
        <v>1436</v>
      </c>
      <c r="C716">
        <v>3</v>
      </c>
      <c r="D716" s="1">
        <v>26.3</v>
      </c>
      <c r="E716" s="10" t="s">
        <v>1434</v>
      </c>
      <c r="F716" s="10" t="s">
        <v>1437</v>
      </c>
      <c r="G716" s="10" t="s">
        <v>48</v>
      </c>
      <c r="H716" t="s">
        <v>12</v>
      </c>
    </row>
    <row r="717" spans="1:8" x14ac:dyDescent="0.25">
      <c r="A717">
        <v>1197472994</v>
      </c>
      <c r="B717" t="s">
        <v>1438</v>
      </c>
      <c r="C717">
        <v>1</v>
      </c>
      <c r="D717" s="1">
        <v>2.0299999999999998</v>
      </c>
      <c r="E717" s="10" t="s">
        <v>1439</v>
      </c>
      <c r="F717" s="10" t="s">
        <v>1440</v>
      </c>
      <c r="G717" s="10" t="s">
        <v>11</v>
      </c>
      <c r="H717" t="s">
        <v>12</v>
      </c>
    </row>
    <row r="718" spans="1:8" x14ac:dyDescent="0.25">
      <c r="A718">
        <v>1197466660</v>
      </c>
      <c r="B718" t="s">
        <v>1441</v>
      </c>
      <c r="C718">
        <v>1</v>
      </c>
      <c r="D718" s="1">
        <v>2.0099999999999998</v>
      </c>
      <c r="E718" s="10" t="s">
        <v>1439</v>
      </c>
      <c r="F718" s="10" t="s">
        <v>1442</v>
      </c>
      <c r="G718" s="10" t="s">
        <v>38</v>
      </c>
      <c r="H718" t="s">
        <v>12</v>
      </c>
    </row>
    <row r="719" spans="1:8" x14ac:dyDescent="0.25">
      <c r="A719">
        <v>1197466655</v>
      </c>
      <c r="B719" t="s">
        <v>1443</v>
      </c>
      <c r="C719">
        <v>3</v>
      </c>
      <c r="D719" s="1">
        <v>5.17</v>
      </c>
      <c r="E719" s="10" t="s">
        <v>1439</v>
      </c>
      <c r="F719" s="10" t="s">
        <v>1444</v>
      </c>
      <c r="G719" s="10" t="s">
        <v>11</v>
      </c>
      <c r="H719" t="s">
        <v>12</v>
      </c>
    </row>
    <row r="720" spans="1:8" x14ac:dyDescent="0.25">
      <c r="A720">
        <v>1197466620</v>
      </c>
      <c r="B720" t="s">
        <v>35</v>
      </c>
      <c r="C720">
        <v>52</v>
      </c>
      <c r="D720" s="1">
        <v>17.600000000000001</v>
      </c>
      <c r="E720" s="10" t="s">
        <v>1439</v>
      </c>
      <c r="F720" s="10" t="s">
        <v>1445</v>
      </c>
      <c r="G720" s="10" t="s">
        <v>11</v>
      </c>
      <c r="H720" t="s">
        <v>12</v>
      </c>
    </row>
    <row r="721" spans="1:8" x14ac:dyDescent="0.25">
      <c r="A721">
        <v>1197377255</v>
      </c>
      <c r="B721" t="s">
        <v>469</v>
      </c>
      <c r="C721">
        <v>2</v>
      </c>
      <c r="D721" s="1">
        <v>116.93</v>
      </c>
      <c r="E721" s="10" t="s">
        <v>1439</v>
      </c>
      <c r="F721" s="10" t="s">
        <v>1143</v>
      </c>
      <c r="G721" s="10" t="s">
        <v>11</v>
      </c>
      <c r="H721" t="s">
        <v>12</v>
      </c>
    </row>
    <row r="722" spans="1:8" x14ac:dyDescent="0.25">
      <c r="A722">
        <v>1197371737</v>
      </c>
      <c r="B722" t="s">
        <v>1446</v>
      </c>
      <c r="C722">
        <v>6</v>
      </c>
      <c r="D722" s="1">
        <v>211.23</v>
      </c>
      <c r="E722" s="10" t="s">
        <v>1439</v>
      </c>
      <c r="F722" s="10" t="s">
        <v>1447</v>
      </c>
      <c r="G722" s="10" t="s">
        <v>11</v>
      </c>
      <c r="H722" t="s">
        <v>12</v>
      </c>
    </row>
    <row r="723" spans="1:8" x14ac:dyDescent="0.25">
      <c r="A723">
        <v>1197262980</v>
      </c>
      <c r="B723" t="s">
        <v>469</v>
      </c>
      <c r="C723">
        <v>12</v>
      </c>
      <c r="D723" s="1">
        <v>51.1</v>
      </c>
      <c r="E723" s="10" t="s">
        <v>1448</v>
      </c>
      <c r="F723" s="10" t="s">
        <v>1143</v>
      </c>
      <c r="G723" s="10" t="s">
        <v>11</v>
      </c>
      <c r="H723" t="s">
        <v>12</v>
      </c>
    </row>
    <row r="724" spans="1:8" x14ac:dyDescent="0.25">
      <c r="A724">
        <v>1196948257</v>
      </c>
      <c r="B724" t="s">
        <v>1449</v>
      </c>
      <c r="C724">
        <v>1</v>
      </c>
      <c r="D724" s="1">
        <v>3.28</v>
      </c>
      <c r="E724" s="10" t="s">
        <v>1450</v>
      </c>
      <c r="F724" s="10" t="s">
        <v>1451</v>
      </c>
      <c r="G724" s="10" t="s">
        <v>48</v>
      </c>
      <c r="H724" t="s">
        <v>12</v>
      </c>
    </row>
    <row r="725" spans="1:8" x14ac:dyDescent="0.25">
      <c r="A725">
        <v>1196694107</v>
      </c>
      <c r="B725" t="s">
        <v>877</v>
      </c>
      <c r="C725">
        <v>5</v>
      </c>
      <c r="D725" s="1">
        <v>7.83</v>
      </c>
      <c r="E725" s="10" t="s">
        <v>1452</v>
      </c>
      <c r="F725" s="10" t="s">
        <v>1453</v>
      </c>
      <c r="G725" s="10" t="s">
        <v>11</v>
      </c>
      <c r="H725" t="s">
        <v>12</v>
      </c>
    </row>
    <row r="726" spans="1:8" ht="30" x14ac:dyDescent="0.25">
      <c r="A726">
        <v>1195930029</v>
      </c>
      <c r="B726" t="s">
        <v>61</v>
      </c>
      <c r="C726">
        <v>2</v>
      </c>
      <c r="D726" s="1">
        <v>1.4</v>
      </c>
      <c r="E726" s="10" t="s">
        <v>1454</v>
      </c>
      <c r="F726" s="10" t="s">
        <v>1023</v>
      </c>
      <c r="G726" s="10" t="s">
        <v>38</v>
      </c>
      <c r="H726" t="s">
        <v>12</v>
      </c>
    </row>
    <row r="727" spans="1:8" x14ac:dyDescent="0.25">
      <c r="A727">
        <v>1195814832</v>
      </c>
      <c r="B727" t="s">
        <v>1455</v>
      </c>
      <c r="C727">
        <v>4</v>
      </c>
      <c r="D727" s="1">
        <v>9.2899999999999991</v>
      </c>
      <c r="E727" s="10" t="s">
        <v>1454</v>
      </c>
      <c r="F727" s="10" t="s">
        <v>1456</v>
      </c>
      <c r="G727" s="10" t="s">
        <v>11</v>
      </c>
      <c r="H727" t="s">
        <v>12</v>
      </c>
    </row>
    <row r="728" spans="1:8" x14ac:dyDescent="0.25">
      <c r="A728">
        <v>1195810272</v>
      </c>
      <c r="B728" t="s">
        <v>1457</v>
      </c>
      <c r="C728">
        <v>1</v>
      </c>
      <c r="D728" s="1">
        <v>11.33</v>
      </c>
      <c r="E728" s="10" t="s">
        <v>1454</v>
      </c>
      <c r="F728" s="10" t="s">
        <v>1458</v>
      </c>
      <c r="G728" s="10" t="s">
        <v>11</v>
      </c>
      <c r="H728" t="s">
        <v>12</v>
      </c>
    </row>
    <row r="729" spans="1:8" x14ac:dyDescent="0.25">
      <c r="A729">
        <v>1195771934</v>
      </c>
      <c r="B729" t="s">
        <v>1459</v>
      </c>
      <c r="C729">
        <v>4</v>
      </c>
      <c r="D729" s="1">
        <v>8.81</v>
      </c>
      <c r="E729" s="10" t="s">
        <v>1454</v>
      </c>
      <c r="F729" s="10" t="s">
        <v>1460</v>
      </c>
      <c r="G729" s="10" t="s">
        <v>11</v>
      </c>
      <c r="H729" t="s">
        <v>12</v>
      </c>
    </row>
    <row r="730" spans="1:8" x14ac:dyDescent="0.25">
      <c r="A730">
        <v>1195771378</v>
      </c>
      <c r="B730" t="s">
        <v>1461</v>
      </c>
      <c r="C730">
        <v>1</v>
      </c>
      <c r="D730" s="1">
        <v>3.33</v>
      </c>
      <c r="E730" s="10" t="s">
        <v>1454</v>
      </c>
      <c r="F730" s="10" t="s">
        <v>1462</v>
      </c>
      <c r="G730" s="10" t="s">
        <v>11</v>
      </c>
      <c r="H730" t="s">
        <v>12</v>
      </c>
    </row>
    <row r="731" spans="1:8" x14ac:dyDescent="0.25">
      <c r="A731">
        <v>1195771366</v>
      </c>
      <c r="B731" t="s">
        <v>1463</v>
      </c>
      <c r="C731">
        <v>1</v>
      </c>
      <c r="D731" s="1">
        <v>3.33</v>
      </c>
      <c r="E731" s="10" t="s">
        <v>1454</v>
      </c>
      <c r="F731" s="10" t="s">
        <v>1464</v>
      </c>
      <c r="G731" s="10" t="s">
        <v>11</v>
      </c>
      <c r="H731" t="s">
        <v>12</v>
      </c>
    </row>
    <row r="732" spans="1:8" x14ac:dyDescent="0.25">
      <c r="A732">
        <v>1195771354</v>
      </c>
      <c r="B732" t="s">
        <v>1465</v>
      </c>
      <c r="C732">
        <v>1</v>
      </c>
      <c r="D732" s="1">
        <v>3.33</v>
      </c>
      <c r="E732" s="10" t="s">
        <v>1454</v>
      </c>
      <c r="F732" s="10" t="s">
        <v>1466</v>
      </c>
      <c r="G732" s="10" t="s">
        <v>11</v>
      </c>
      <c r="H732" t="s">
        <v>12</v>
      </c>
    </row>
    <row r="733" spans="1:8" x14ac:dyDescent="0.25">
      <c r="A733">
        <v>1195771347</v>
      </c>
      <c r="B733" t="s">
        <v>1467</v>
      </c>
      <c r="C733">
        <v>1</v>
      </c>
      <c r="D733" s="1">
        <v>3.33</v>
      </c>
      <c r="E733" s="10" t="s">
        <v>1454</v>
      </c>
      <c r="F733" s="10" t="s">
        <v>1468</v>
      </c>
      <c r="G733" s="10" t="s">
        <v>11</v>
      </c>
      <c r="H733" t="s">
        <v>12</v>
      </c>
    </row>
    <row r="734" spans="1:8" x14ac:dyDescent="0.25">
      <c r="A734">
        <v>1195629059</v>
      </c>
      <c r="B734" t="s">
        <v>1457</v>
      </c>
      <c r="C734">
        <v>1</v>
      </c>
      <c r="D734" s="1">
        <v>9.2799999999999994</v>
      </c>
      <c r="E734" s="10" t="s">
        <v>1469</v>
      </c>
      <c r="F734" s="10" t="s">
        <v>1470</v>
      </c>
      <c r="G734" s="10" t="s">
        <v>48</v>
      </c>
      <c r="H734" t="s">
        <v>12</v>
      </c>
    </row>
    <row r="735" spans="1:8" x14ac:dyDescent="0.25">
      <c r="A735">
        <v>1195434572</v>
      </c>
      <c r="B735" t="s">
        <v>1471</v>
      </c>
      <c r="C735">
        <v>1</v>
      </c>
      <c r="D735" s="1">
        <v>7.28</v>
      </c>
      <c r="E735" s="10" t="s">
        <v>1472</v>
      </c>
      <c r="F735" s="10" t="s">
        <v>1473</v>
      </c>
      <c r="G735" s="10" t="s">
        <v>38</v>
      </c>
      <c r="H735" t="s">
        <v>12</v>
      </c>
    </row>
    <row r="736" spans="1:8" ht="30" x14ac:dyDescent="0.25">
      <c r="A736">
        <v>1195374485</v>
      </c>
      <c r="B736" t="s">
        <v>8</v>
      </c>
      <c r="C736">
        <v>1</v>
      </c>
      <c r="D736" s="1">
        <v>19.3</v>
      </c>
      <c r="E736" s="10" t="s">
        <v>1472</v>
      </c>
      <c r="F736" s="10" t="s">
        <v>799</v>
      </c>
      <c r="G736" s="10" t="s">
        <v>38</v>
      </c>
      <c r="H736" t="s">
        <v>12</v>
      </c>
    </row>
    <row r="737" spans="1:8" ht="30" x14ac:dyDescent="0.25">
      <c r="A737">
        <v>1195354710</v>
      </c>
      <c r="B737" t="s">
        <v>8</v>
      </c>
      <c r="C737">
        <v>4</v>
      </c>
      <c r="D737" s="1">
        <v>36</v>
      </c>
      <c r="E737" s="10" t="s">
        <v>1472</v>
      </c>
      <c r="F737" s="10" t="s">
        <v>37</v>
      </c>
      <c r="G737" s="10" t="s">
        <v>38</v>
      </c>
      <c r="H737" t="s">
        <v>12</v>
      </c>
    </row>
    <row r="738" spans="1:8" x14ac:dyDescent="0.25">
      <c r="A738">
        <v>1195175019</v>
      </c>
      <c r="B738" t="s">
        <v>1474</v>
      </c>
      <c r="C738">
        <v>1</v>
      </c>
      <c r="D738" s="1">
        <v>15.28</v>
      </c>
      <c r="E738" s="10" t="s">
        <v>1475</v>
      </c>
      <c r="F738" s="10" t="s">
        <v>1476</v>
      </c>
      <c r="G738" s="10" t="s">
        <v>48</v>
      </c>
      <c r="H738" t="s">
        <v>12</v>
      </c>
    </row>
    <row r="739" spans="1:8" x14ac:dyDescent="0.25">
      <c r="A739">
        <v>1195169549</v>
      </c>
      <c r="B739" t="s">
        <v>70</v>
      </c>
      <c r="C739">
        <v>1</v>
      </c>
      <c r="D739" s="1">
        <v>8.83</v>
      </c>
      <c r="E739" s="10" t="s">
        <v>1475</v>
      </c>
      <c r="F739" s="10" t="s">
        <v>1477</v>
      </c>
      <c r="G739" s="10" t="s">
        <v>11</v>
      </c>
      <c r="H739" t="s">
        <v>12</v>
      </c>
    </row>
    <row r="740" spans="1:8" x14ac:dyDescent="0.25">
      <c r="A740">
        <v>1195169543</v>
      </c>
      <c r="B740" t="s">
        <v>1478</v>
      </c>
      <c r="C740">
        <v>1</v>
      </c>
      <c r="D740" s="1">
        <v>5.78</v>
      </c>
      <c r="E740" s="10" t="s">
        <v>1475</v>
      </c>
      <c r="F740" s="10" t="s">
        <v>1479</v>
      </c>
      <c r="G740" s="10" t="s">
        <v>11</v>
      </c>
      <c r="H740" t="s">
        <v>12</v>
      </c>
    </row>
    <row r="741" spans="1:8" x14ac:dyDescent="0.25">
      <c r="A741">
        <v>1195169517</v>
      </c>
      <c r="B741" t="s">
        <v>442</v>
      </c>
      <c r="C741">
        <v>1</v>
      </c>
      <c r="D741" s="1">
        <v>7.27</v>
      </c>
      <c r="E741" s="10" t="s">
        <v>1475</v>
      </c>
      <c r="F741" s="10" t="s">
        <v>1480</v>
      </c>
      <c r="G741" s="10" t="s">
        <v>11</v>
      </c>
      <c r="H741" t="s">
        <v>12</v>
      </c>
    </row>
    <row r="742" spans="1:8" x14ac:dyDescent="0.25">
      <c r="A742">
        <v>1195169424</v>
      </c>
      <c r="B742" t="s">
        <v>1481</v>
      </c>
      <c r="C742">
        <v>1</v>
      </c>
      <c r="D742" s="1">
        <v>16.329999999999998</v>
      </c>
      <c r="E742" s="10" t="s">
        <v>1475</v>
      </c>
      <c r="F742" s="10" t="s">
        <v>1482</v>
      </c>
      <c r="G742" s="10" t="s">
        <v>11</v>
      </c>
      <c r="H742" t="s">
        <v>12</v>
      </c>
    </row>
    <row r="743" spans="1:8" x14ac:dyDescent="0.25">
      <c r="A743">
        <v>1195049267</v>
      </c>
      <c r="B743" t="s">
        <v>1483</v>
      </c>
      <c r="C743">
        <v>1</v>
      </c>
      <c r="D743" s="1">
        <v>7.58</v>
      </c>
      <c r="E743" s="10" t="s">
        <v>1484</v>
      </c>
      <c r="F743" s="10" t="s">
        <v>1485</v>
      </c>
      <c r="G743" s="10" t="s">
        <v>11</v>
      </c>
      <c r="H743" t="s">
        <v>12</v>
      </c>
    </row>
    <row r="744" spans="1:8" x14ac:dyDescent="0.25">
      <c r="A744">
        <v>1194954076</v>
      </c>
      <c r="B744" t="s">
        <v>1486</v>
      </c>
      <c r="C744">
        <v>4</v>
      </c>
      <c r="D744" s="1">
        <v>14.68</v>
      </c>
      <c r="E744" s="10" t="s">
        <v>1487</v>
      </c>
      <c r="F744" s="10" t="s">
        <v>1488</v>
      </c>
      <c r="G744" s="10" t="s">
        <v>48</v>
      </c>
      <c r="H744" t="s">
        <v>12</v>
      </c>
    </row>
    <row r="745" spans="1:8" x14ac:dyDescent="0.25">
      <c r="A745">
        <v>1194915006</v>
      </c>
      <c r="B745" t="s">
        <v>1489</v>
      </c>
      <c r="C745">
        <v>1</v>
      </c>
      <c r="D745" s="1">
        <v>36.08</v>
      </c>
      <c r="E745" s="10" t="s">
        <v>1487</v>
      </c>
      <c r="F745" s="10" t="s">
        <v>1490</v>
      </c>
      <c r="G745" s="10" t="s">
        <v>11</v>
      </c>
      <c r="H745" t="s">
        <v>12</v>
      </c>
    </row>
    <row r="746" spans="1:8" x14ac:dyDescent="0.25">
      <c r="A746">
        <v>1194648590</v>
      </c>
      <c r="B746" t="s">
        <v>1486</v>
      </c>
      <c r="C746">
        <v>3</v>
      </c>
      <c r="D746" s="1">
        <v>25.18</v>
      </c>
      <c r="E746" s="10" t="s">
        <v>1491</v>
      </c>
      <c r="F746" s="10" t="s">
        <v>1492</v>
      </c>
      <c r="G746" s="10" t="s">
        <v>48</v>
      </c>
      <c r="H746" t="s">
        <v>12</v>
      </c>
    </row>
    <row r="747" spans="1:8" x14ac:dyDescent="0.25">
      <c r="A747">
        <v>1194632647</v>
      </c>
      <c r="B747" t="s">
        <v>1493</v>
      </c>
      <c r="C747">
        <v>7</v>
      </c>
      <c r="D747" s="1">
        <v>6.73</v>
      </c>
      <c r="E747" s="10" t="s">
        <v>1491</v>
      </c>
      <c r="F747" s="10" t="s">
        <v>1494</v>
      </c>
      <c r="G747" s="10" t="s">
        <v>48</v>
      </c>
      <c r="H747" t="s">
        <v>12</v>
      </c>
    </row>
    <row r="748" spans="1:8" x14ac:dyDescent="0.25">
      <c r="A748">
        <v>1194449724</v>
      </c>
      <c r="B748" t="s">
        <v>1495</v>
      </c>
      <c r="C748">
        <v>1</v>
      </c>
      <c r="D748" s="1">
        <v>3.33</v>
      </c>
      <c r="E748" s="10" t="s">
        <v>1496</v>
      </c>
      <c r="F748" s="10" t="s">
        <v>1497</v>
      </c>
      <c r="G748" s="10" t="s">
        <v>48</v>
      </c>
      <c r="H748" t="s">
        <v>12</v>
      </c>
    </row>
    <row r="749" spans="1:8" x14ac:dyDescent="0.25">
      <c r="A749">
        <v>1194307080</v>
      </c>
      <c r="B749" t="s">
        <v>1498</v>
      </c>
      <c r="C749">
        <v>1</v>
      </c>
      <c r="D749" s="1">
        <v>42.55</v>
      </c>
      <c r="E749" s="10" t="s">
        <v>1499</v>
      </c>
      <c r="F749" s="10" t="s">
        <v>1500</v>
      </c>
      <c r="G749" s="10" t="s">
        <v>48</v>
      </c>
      <c r="H749" t="s">
        <v>12</v>
      </c>
    </row>
    <row r="750" spans="1:8" x14ac:dyDescent="0.25">
      <c r="A750">
        <v>1194109006</v>
      </c>
      <c r="B750" t="s">
        <v>760</v>
      </c>
      <c r="C750">
        <v>4</v>
      </c>
      <c r="D750" s="1">
        <v>5.29</v>
      </c>
      <c r="E750" s="10" t="s">
        <v>1501</v>
      </c>
      <c r="F750" s="10" t="s">
        <v>761</v>
      </c>
      <c r="G750" s="10" t="s">
        <v>11</v>
      </c>
      <c r="H750" t="s">
        <v>12</v>
      </c>
    </row>
    <row r="751" spans="1:8" x14ac:dyDescent="0.25">
      <c r="A751">
        <v>1194037612</v>
      </c>
      <c r="B751" t="s">
        <v>1210</v>
      </c>
      <c r="C751">
        <v>9</v>
      </c>
      <c r="D751" s="1">
        <v>10.24</v>
      </c>
      <c r="E751" s="10" t="s">
        <v>1502</v>
      </c>
      <c r="F751" s="10" t="s">
        <v>1211</v>
      </c>
      <c r="G751" s="10" t="s">
        <v>11</v>
      </c>
      <c r="H751" t="s">
        <v>12</v>
      </c>
    </row>
    <row r="752" spans="1:8" x14ac:dyDescent="0.25">
      <c r="A752">
        <v>1193948773</v>
      </c>
      <c r="B752" t="s">
        <v>1503</v>
      </c>
      <c r="C752">
        <v>4</v>
      </c>
      <c r="D752" s="1">
        <v>1.93</v>
      </c>
      <c r="E752" s="10" t="s">
        <v>1502</v>
      </c>
      <c r="F752" s="10" t="s">
        <v>1504</v>
      </c>
      <c r="G752" s="10" t="s">
        <v>11</v>
      </c>
      <c r="H752" t="s">
        <v>12</v>
      </c>
    </row>
    <row r="753" spans="1:8" x14ac:dyDescent="0.25">
      <c r="A753">
        <v>1193948333</v>
      </c>
      <c r="B753" t="s">
        <v>187</v>
      </c>
      <c r="C753">
        <v>2</v>
      </c>
      <c r="D753" s="1">
        <v>12.13</v>
      </c>
      <c r="E753" s="10" t="s">
        <v>1502</v>
      </c>
      <c r="F753" s="10" t="s">
        <v>1505</v>
      </c>
      <c r="G753" s="10" t="s">
        <v>11</v>
      </c>
      <c r="H753" t="s">
        <v>12</v>
      </c>
    </row>
    <row r="754" spans="1:8" x14ac:dyDescent="0.25">
      <c r="A754">
        <v>1193948201</v>
      </c>
      <c r="B754" t="s">
        <v>1506</v>
      </c>
      <c r="C754">
        <v>1</v>
      </c>
      <c r="D754" s="1">
        <v>5.32</v>
      </c>
      <c r="E754" s="10" t="s">
        <v>1502</v>
      </c>
      <c r="F754" s="10" t="s">
        <v>1507</v>
      </c>
      <c r="G754" s="10" t="s">
        <v>11</v>
      </c>
      <c r="H754" t="s">
        <v>12</v>
      </c>
    </row>
    <row r="755" spans="1:8" x14ac:dyDescent="0.25">
      <c r="A755">
        <v>1193948195</v>
      </c>
      <c r="B755" t="s">
        <v>1508</v>
      </c>
      <c r="C755">
        <v>1</v>
      </c>
      <c r="D755" s="1">
        <v>4.33</v>
      </c>
      <c r="E755" s="10" t="s">
        <v>1502</v>
      </c>
      <c r="F755" s="10" t="s">
        <v>1509</v>
      </c>
      <c r="G755" s="10" t="s">
        <v>11</v>
      </c>
      <c r="H755" t="s">
        <v>12</v>
      </c>
    </row>
    <row r="756" spans="1:8" x14ac:dyDescent="0.25">
      <c r="A756">
        <v>1193419516</v>
      </c>
      <c r="B756" t="s">
        <v>1510</v>
      </c>
      <c r="C756">
        <v>2</v>
      </c>
      <c r="D756" s="1">
        <v>9.5299999999999994</v>
      </c>
      <c r="E756" s="10" t="s">
        <v>1511</v>
      </c>
      <c r="F756" s="10" t="s">
        <v>1512</v>
      </c>
      <c r="G756" s="10" t="s">
        <v>11</v>
      </c>
      <c r="H756" t="s">
        <v>12</v>
      </c>
    </row>
    <row r="757" spans="1:8" x14ac:dyDescent="0.25">
      <c r="A757">
        <v>1193417651</v>
      </c>
      <c r="B757" t="s">
        <v>1513</v>
      </c>
      <c r="C757">
        <v>2</v>
      </c>
      <c r="D757" s="1">
        <v>9.06</v>
      </c>
      <c r="E757" s="10" t="s">
        <v>1511</v>
      </c>
      <c r="F757" s="10" t="s">
        <v>1514</v>
      </c>
      <c r="G757" s="10" t="s">
        <v>11</v>
      </c>
      <c r="H757" t="s">
        <v>12</v>
      </c>
    </row>
    <row r="758" spans="1:8" x14ac:dyDescent="0.25">
      <c r="A758">
        <v>1193417631</v>
      </c>
      <c r="B758" t="s">
        <v>1515</v>
      </c>
      <c r="C758">
        <v>2</v>
      </c>
      <c r="D758" s="1">
        <v>6.2</v>
      </c>
      <c r="E758" s="10" t="s">
        <v>1511</v>
      </c>
      <c r="F758" s="10" t="s">
        <v>1516</v>
      </c>
      <c r="G758" s="10" t="s">
        <v>11</v>
      </c>
      <c r="H758" t="s">
        <v>12</v>
      </c>
    </row>
    <row r="759" spans="1:8" x14ac:dyDescent="0.25">
      <c r="A759">
        <v>1193402417</v>
      </c>
      <c r="B759" t="s">
        <v>1159</v>
      </c>
      <c r="C759">
        <v>1</v>
      </c>
      <c r="D759" s="1">
        <v>33.020000000000003</v>
      </c>
      <c r="E759" s="10" t="s">
        <v>1511</v>
      </c>
      <c r="F759" s="10" t="s">
        <v>1517</v>
      </c>
      <c r="G759" s="10" t="s">
        <v>11</v>
      </c>
      <c r="H759" t="s">
        <v>12</v>
      </c>
    </row>
    <row r="760" spans="1:8" x14ac:dyDescent="0.25">
      <c r="A760">
        <v>1193402396</v>
      </c>
      <c r="B760" t="s">
        <v>847</v>
      </c>
      <c r="C760">
        <v>2</v>
      </c>
      <c r="D760" s="1">
        <v>62.29</v>
      </c>
      <c r="E760" s="10" t="s">
        <v>1511</v>
      </c>
      <c r="F760" s="10" t="s">
        <v>1518</v>
      </c>
      <c r="G760" s="10" t="s">
        <v>11</v>
      </c>
      <c r="H760" t="s">
        <v>12</v>
      </c>
    </row>
    <row r="761" spans="1:8" x14ac:dyDescent="0.25">
      <c r="A761">
        <v>1193206309</v>
      </c>
      <c r="B761" t="s">
        <v>223</v>
      </c>
      <c r="C761">
        <v>5</v>
      </c>
      <c r="D761" s="1">
        <v>9.23</v>
      </c>
      <c r="E761" s="10" t="s">
        <v>1519</v>
      </c>
      <c r="F761" s="10" t="s">
        <v>813</v>
      </c>
      <c r="G761" s="10" t="s">
        <v>11</v>
      </c>
      <c r="H761" t="s">
        <v>12</v>
      </c>
    </row>
    <row r="762" spans="1:8" x14ac:dyDescent="0.25">
      <c r="A762">
        <v>1193092740</v>
      </c>
      <c r="B762" t="s">
        <v>1520</v>
      </c>
      <c r="C762">
        <v>4</v>
      </c>
      <c r="D762" s="1">
        <v>41.73</v>
      </c>
      <c r="E762" s="10" t="s">
        <v>1521</v>
      </c>
      <c r="F762" s="10" t="s">
        <v>1522</v>
      </c>
      <c r="G762" s="10" t="s">
        <v>48</v>
      </c>
      <c r="H762" t="s">
        <v>12</v>
      </c>
    </row>
    <row r="763" spans="1:8" x14ac:dyDescent="0.25">
      <c r="A763">
        <v>1192929609</v>
      </c>
      <c r="B763" t="s">
        <v>1523</v>
      </c>
      <c r="C763">
        <v>10</v>
      </c>
      <c r="D763" s="1">
        <v>12.74</v>
      </c>
      <c r="E763" s="10" t="s">
        <v>1524</v>
      </c>
      <c r="F763" s="10" t="s">
        <v>1525</v>
      </c>
      <c r="G763" s="10" t="s">
        <v>48</v>
      </c>
      <c r="H763" t="s">
        <v>12</v>
      </c>
    </row>
    <row r="764" spans="1:8" x14ac:dyDescent="0.25">
      <c r="A764">
        <v>1192922162</v>
      </c>
      <c r="B764" t="s">
        <v>1526</v>
      </c>
      <c r="C764">
        <v>1</v>
      </c>
      <c r="D764" s="1">
        <v>3.83</v>
      </c>
      <c r="E764" s="10" t="s">
        <v>1524</v>
      </c>
      <c r="F764" s="10" t="s">
        <v>1527</v>
      </c>
      <c r="G764" s="10" t="s">
        <v>11</v>
      </c>
      <c r="H764" t="s">
        <v>12</v>
      </c>
    </row>
    <row r="765" spans="1:8" x14ac:dyDescent="0.25">
      <c r="A765">
        <v>1192922149</v>
      </c>
      <c r="B765" t="s">
        <v>1528</v>
      </c>
      <c r="C765">
        <v>1</v>
      </c>
      <c r="D765" s="1">
        <v>3.83</v>
      </c>
      <c r="E765" s="10" t="s">
        <v>1524</v>
      </c>
      <c r="F765" s="10" t="s">
        <v>1529</v>
      </c>
      <c r="G765" s="10" t="s">
        <v>11</v>
      </c>
      <c r="H765" t="s">
        <v>12</v>
      </c>
    </row>
    <row r="766" spans="1:8" x14ac:dyDescent="0.25">
      <c r="A766">
        <v>1192922140</v>
      </c>
      <c r="B766" t="s">
        <v>1530</v>
      </c>
      <c r="C766">
        <v>1</v>
      </c>
      <c r="D766" s="1">
        <v>3.63</v>
      </c>
      <c r="E766" s="10" t="s">
        <v>1524</v>
      </c>
      <c r="F766" s="10" t="s">
        <v>1531</v>
      </c>
      <c r="G766" s="10" t="s">
        <v>11</v>
      </c>
      <c r="H766" t="s">
        <v>12</v>
      </c>
    </row>
    <row r="767" spans="1:8" x14ac:dyDescent="0.25">
      <c r="A767">
        <v>1192851623</v>
      </c>
      <c r="B767" t="s">
        <v>318</v>
      </c>
      <c r="C767">
        <v>9</v>
      </c>
      <c r="D767" s="1">
        <v>10.19</v>
      </c>
      <c r="E767" s="10" t="s">
        <v>1532</v>
      </c>
      <c r="F767" s="10" t="s">
        <v>800</v>
      </c>
      <c r="G767" s="10" t="s">
        <v>11</v>
      </c>
      <c r="H767" t="s">
        <v>12</v>
      </c>
    </row>
    <row r="768" spans="1:8" x14ac:dyDescent="0.25">
      <c r="A768">
        <v>1192836908</v>
      </c>
      <c r="B768" t="s">
        <v>1533</v>
      </c>
      <c r="C768">
        <v>2</v>
      </c>
      <c r="D768" s="1">
        <v>21.33</v>
      </c>
      <c r="E768" s="10" t="s">
        <v>1532</v>
      </c>
      <c r="F768" s="10" t="s">
        <v>1534</v>
      </c>
      <c r="G768" s="10" t="s">
        <v>11</v>
      </c>
      <c r="H768" t="s">
        <v>12</v>
      </c>
    </row>
    <row r="769" spans="1:8" x14ac:dyDescent="0.25">
      <c r="A769">
        <v>1192612735</v>
      </c>
      <c r="B769" t="s">
        <v>318</v>
      </c>
      <c r="C769">
        <v>6</v>
      </c>
      <c r="D769" s="1">
        <v>19.23</v>
      </c>
      <c r="E769" s="10" t="s">
        <v>1535</v>
      </c>
      <c r="F769" s="10" t="s">
        <v>718</v>
      </c>
      <c r="G769" s="10" t="s">
        <v>48</v>
      </c>
      <c r="H769" t="s">
        <v>12</v>
      </c>
    </row>
    <row r="770" spans="1:8" x14ac:dyDescent="0.25">
      <c r="A770">
        <v>1192398485</v>
      </c>
      <c r="B770" t="s">
        <v>1536</v>
      </c>
      <c r="C770">
        <v>2</v>
      </c>
      <c r="D770" s="1">
        <v>2.33</v>
      </c>
      <c r="E770" s="10" t="s">
        <v>1537</v>
      </c>
      <c r="F770" s="10" t="s">
        <v>1538</v>
      </c>
      <c r="G770" s="10" t="s">
        <v>11</v>
      </c>
      <c r="H770" t="s">
        <v>12</v>
      </c>
    </row>
    <row r="771" spans="1:8" x14ac:dyDescent="0.25">
      <c r="A771">
        <v>1192281332</v>
      </c>
      <c r="B771" t="s">
        <v>1539</v>
      </c>
      <c r="C771">
        <v>1</v>
      </c>
      <c r="D771" s="1">
        <v>2.23</v>
      </c>
      <c r="E771" s="10" t="s">
        <v>1537</v>
      </c>
      <c r="F771" s="10" t="s">
        <v>1540</v>
      </c>
      <c r="G771" s="10" t="s">
        <v>48</v>
      </c>
      <c r="H771" t="s">
        <v>12</v>
      </c>
    </row>
    <row r="772" spans="1:8" x14ac:dyDescent="0.25">
      <c r="A772">
        <v>1192106339</v>
      </c>
      <c r="B772" t="s">
        <v>1541</v>
      </c>
      <c r="C772">
        <v>1</v>
      </c>
      <c r="D772" s="1">
        <v>3.43</v>
      </c>
      <c r="E772" s="10" t="s">
        <v>1542</v>
      </c>
      <c r="F772" s="10" t="s">
        <v>1543</v>
      </c>
      <c r="G772" s="10" t="s">
        <v>38</v>
      </c>
      <c r="H772" t="s">
        <v>12</v>
      </c>
    </row>
    <row r="773" spans="1:8" x14ac:dyDescent="0.25">
      <c r="A773">
        <v>1192106338</v>
      </c>
      <c r="B773" t="s">
        <v>1544</v>
      </c>
      <c r="C773">
        <v>1</v>
      </c>
      <c r="D773" s="1">
        <v>3.33</v>
      </c>
      <c r="E773" s="10" t="s">
        <v>1542</v>
      </c>
      <c r="F773" s="10" t="s">
        <v>1545</v>
      </c>
      <c r="G773" s="10" t="s">
        <v>11</v>
      </c>
      <c r="H773" t="s">
        <v>12</v>
      </c>
    </row>
    <row r="774" spans="1:8" x14ac:dyDescent="0.25">
      <c r="A774">
        <v>1192106329</v>
      </c>
      <c r="B774" t="s">
        <v>1546</v>
      </c>
      <c r="C774">
        <v>1</v>
      </c>
      <c r="D774" s="1">
        <v>3.33</v>
      </c>
      <c r="E774" s="10" t="s">
        <v>1542</v>
      </c>
      <c r="F774" s="10" t="s">
        <v>1547</v>
      </c>
      <c r="G774" s="10" t="s">
        <v>11</v>
      </c>
      <c r="H774" t="s">
        <v>12</v>
      </c>
    </row>
    <row r="775" spans="1:8" x14ac:dyDescent="0.25">
      <c r="A775">
        <v>1192106327</v>
      </c>
      <c r="B775" t="s">
        <v>1548</v>
      </c>
      <c r="C775">
        <v>1</v>
      </c>
      <c r="D775" s="1">
        <v>3.22</v>
      </c>
      <c r="E775" s="10" t="s">
        <v>1542</v>
      </c>
      <c r="F775" s="10" t="s">
        <v>1549</v>
      </c>
      <c r="G775" s="10" t="s">
        <v>11</v>
      </c>
      <c r="H775" t="s">
        <v>12</v>
      </c>
    </row>
    <row r="776" spans="1:8" x14ac:dyDescent="0.25">
      <c r="A776">
        <v>1192004724</v>
      </c>
      <c r="B776" t="s">
        <v>35</v>
      </c>
      <c r="C776">
        <v>2</v>
      </c>
      <c r="D776" s="1">
        <v>5.81</v>
      </c>
      <c r="E776" s="10" t="s">
        <v>1550</v>
      </c>
      <c r="F776" s="10" t="s">
        <v>1030</v>
      </c>
      <c r="G776" s="10" t="s">
        <v>11</v>
      </c>
      <c r="H776" t="s">
        <v>12</v>
      </c>
    </row>
    <row r="777" spans="1:8" x14ac:dyDescent="0.25">
      <c r="A777">
        <v>1192004406</v>
      </c>
      <c r="B777" t="s">
        <v>181</v>
      </c>
      <c r="C777">
        <v>1</v>
      </c>
      <c r="D777" s="1">
        <v>5.78</v>
      </c>
      <c r="E777" s="10" t="s">
        <v>1550</v>
      </c>
      <c r="F777" s="10" t="s">
        <v>599</v>
      </c>
      <c r="G777" s="10" t="s">
        <v>11</v>
      </c>
      <c r="H777" t="s">
        <v>12</v>
      </c>
    </row>
    <row r="778" spans="1:8" x14ac:dyDescent="0.25">
      <c r="A778">
        <v>1191996305</v>
      </c>
      <c r="B778" t="s">
        <v>1551</v>
      </c>
      <c r="C778">
        <v>4</v>
      </c>
      <c r="D778" s="1">
        <v>33.729999999999997</v>
      </c>
      <c r="E778" s="10" t="s">
        <v>1550</v>
      </c>
      <c r="F778" s="10" t="s">
        <v>1552</v>
      </c>
      <c r="G778" s="10" t="s">
        <v>48</v>
      </c>
      <c r="H778" t="s">
        <v>12</v>
      </c>
    </row>
    <row r="779" spans="1:8" x14ac:dyDescent="0.25">
      <c r="A779">
        <v>1191950168</v>
      </c>
      <c r="B779" t="s">
        <v>1553</v>
      </c>
      <c r="C779">
        <v>4</v>
      </c>
      <c r="D779" s="1">
        <v>9.1300000000000008</v>
      </c>
      <c r="E779" s="10" t="s">
        <v>1550</v>
      </c>
      <c r="F779" s="10" t="s">
        <v>1554</v>
      </c>
      <c r="G779" s="10" t="s">
        <v>48</v>
      </c>
      <c r="H779" t="s">
        <v>12</v>
      </c>
    </row>
    <row r="780" spans="1:8" x14ac:dyDescent="0.25">
      <c r="A780">
        <v>1191918896</v>
      </c>
      <c r="B780" t="s">
        <v>1555</v>
      </c>
      <c r="C780">
        <v>1</v>
      </c>
      <c r="D780" s="1">
        <v>6.32</v>
      </c>
      <c r="E780" s="10" t="s">
        <v>1550</v>
      </c>
      <c r="F780" s="10" t="s">
        <v>1556</v>
      </c>
      <c r="G780" s="10" t="s">
        <v>48</v>
      </c>
      <c r="H780" t="s">
        <v>12</v>
      </c>
    </row>
    <row r="781" spans="1:8" x14ac:dyDescent="0.25">
      <c r="A781">
        <v>1191858521</v>
      </c>
      <c r="B781" t="s">
        <v>1557</v>
      </c>
      <c r="C781">
        <v>9</v>
      </c>
      <c r="D781" s="1">
        <v>18.38</v>
      </c>
      <c r="E781" s="10" t="s">
        <v>1558</v>
      </c>
      <c r="F781" s="10" t="s">
        <v>1559</v>
      </c>
      <c r="G781" s="10" t="s">
        <v>48</v>
      </c>
      <c r="H781" t="s">
        <v>12</v>
      </c>
    </row>
    <row r="782" spans="1:8" x14ac:dyDescent="0.25">
      <c r="A782">
        <v>1191707488</v>
      </c>
      <c r="B782" t="s">
        <v>965</v>
      </c>
      <c r="C782">
        <v>4</v>
      </c>
      <c r="D782" s="1">
        <v>46</v>
      </c>
      <c r="E782" s="10" t="s">
        <v>1560</v>
      </c>
      <c r="F782" s="10" t="s">
        <v>1561</v>
      </c>
      <c r="G782" s="10" t="s">
        <v>11</v>
      </c>
      <c r="H782" t="s">
        <v>12</v>
      </c>
    </row>
    <row r="783" spans="1:8" x14ac:dyDescent="0.25">
      <c r="A783">
        <v>1191705587</v>
      </c>
      <c r="B783" t="s">
        <v>469</v>
      </c>
      <c r="C783">
        <v>4</v>
      </c>
      <c r="D783" s="1">
        <v>10.33</v>
      </c>
      <c r="E783" s="10" t="s">
        <v>1560</v>
      </c>
      <c r="F783" s="10" t="s">
        <v>709</v>
      </c>
      <c r="G783" s="10" t="s">
        <v>11</v>
      </c>
      <c r="H783" t="s">
        <v>12</v>
      </c>
    </row>
    <row r="784" spans="1:8" x14ac:dyDescent="0.25">
      <c r="A784">
        <v>1191700127</v>
      </c>
      <c r="B784" t="s">
        <v>1562</v>
      </c>
      <c r="C784">
        <v>1</v>
      </c>
      <c r="D784" s="1">
        <v>7.33</v>
      </c>
      <c r="E784" s="10" t="s">
        <v>1560</v>
      </c>
      <c r="F784" s="10" t="s">
        <v>1563</v>
      </c>
      <c r="G784" s="10" t="s">
        <v>11</v>
      </c>
      <c r="H784" t="s">
        <v>12</v>
      </c>
    </row>
    <row r="785" spans="1:8" x14ac:dyDescent="0.25">
      <c r="A785">
        <v>1191700121</v>
      </c>
      <c r="B785" t="s">
        <v>1564</v>
      </c>
      <c r="C785">
        <v>1</v>
      </c>
      <c r="D785" s="1">
        <v>7.83</v>
      </c>
      <c r="E785" s="10" t="s">
        <v>1560</v>
      </c>
      <c r="F785" s="10" t="s">
        <v>1565</v>
      </c>
      <c r="G785" s="10" t="s">
        <v>11</v>
      </c>
      <c r="H785" t="s">
        <v>12</v>
      </c>
    </row>
    <row r="786" spans="1:8" x14ac:dyDescent="0.25">
      <c r="A786">
        <v>1191700111</v>
      </c>
      <c r="B786" t="s">
        <v>1566</v>
      </c>
      <c r="C786">
        <v>2</v>
      </c>
      <c r="D786" s="1">
        <v>16.329999999999998</v>
      </c>
      <c r="E786" s="10" t="s">
        <v>1560</v>
      </c>
      <c r="F786" s="10" t="s">
        <v>1567</v>
      </c>
      <c r="G786" s="10" t="s">
        <v>11</v>
      </c>
      <c r="H786" t="s">
        <v>12</v>
      </c>
    </row>
    <row r="787" spans="1:8" ht="30" x14ac:dyDescent="0.25">
      <c r="A787">
        <v>1191698809</v>
      </c>
      <c r="B787" t="s">
        <v>8</v>
      </c>
      <c r="C787">
        <v>1</v>
      </c>
      <c r="D787" s="1">
        <v>0.25</v>
      </c>
      <c r="E787" s="10" t="s">
        <v>1560</v>
      </c>
      <c r="F787" s="10" t="s">
        <v>799</v>
      </c>
      <c r="G787" s="10" t="s">
        <v>38</v>
      </c>
      <c r="H787" t="s">
        <v>12</v>
      </c>
    </row>
    <row r="788" spans="1:8" x14ac:dyDescent="0.25">
      <c r="A788">
        <v>1191672454</v>
      </c>
      <c r="B788" t="s">
        <v>1568</v>
      </c>
      <c r="C788">
        <v>4</v>
      </c>
      <c r="D788" s="1">
        <v>88.03</v>
      </c>
      <c r="E788" s="10" t="s">
        <v>1560</v>
      </c>
      <c r="F788" s="10" t="s">
        <v>1569</v>
      </c>
      <c r="G788" s="10" t="s">
        <v>11</v>
      </c>
      <c r="H788" t="s">
        <v>12</v>
      </c>
    </row>
    <row r="789" spans="1:8" x14ac:dyDescent="0.25">
      <c r="A789">
        <v>1191648783</v>
      </c>
      <c r="B789" t="s">
        <v>1570</v>
      </c>
      <c r="C789">
        <v>1</v>
      </c>
      <c r="D789" s="1">
        <v>2.3199999999999998</v>
      </c>
      <c r="E789" s="10" t="s">
        <v>1560</v>
      </c>
      <c r="F789" s="10" t="s">
        <v>1571</v>
      </c>
      <c r="G789" s="10" t="s">
        <v>48</v>
      </c>
      <c r="H789" t="s">
        <v>12</v>
      </c>
    </row>
    <row r="790" spans="1:8" x14ac:dyDescent="0.25">
      <c r="A790">
        <v>1191552997</v>
      </c>
      <c r="B790" t="s">
        <v>1572</v>
      </c>
      <c r="C790">
        <v>3</v>
      </c>
      <c r="D790" s="1">
        <v>7.18</v>
      </c>
      <c r="E790" s="10" t="s">
        <v>1573</v>
      </c>
      <c r="F790" s="10" t="s">
        <v>1574</v>
      </c>
      <c r="G790" s="10" t="s">
        <v>48</v>
      </c>
      <c r="H790" t="s">
        <v>12</v>
      </c>
    </row>
    <row r="791" spans="1:8" x14ac:dyDescent="0.25">
      <c r="A791">
        <v>1191518152</v>
      </c>
      <c r="B791" t="s">
        <v>1575</v>
      </c>
      <c r="C791">
        <v>1</v>
      </c>
      <c r="D791" s="1">
        <v>4.33</v>
      </c>
      <c r="E791" s="10" t="s">
        <v>1573</v>
      </c>
      <c r="F791" s="10" t="s">
        <v>1576</v>
      </c>
      <c r="G791" s="10" t="s">
        <v>11</v>
      </c>
      <c r="H791" t="s">
        <v>12</v>
      </c>
    </row>
    <row r="792" spans="1:8" x14ac:dyDescent="0.25">
      <c r="A792">
        <v>1191518142</v>
      </c>
      <c r="B792" t="s">
        <v>303</v>
      </c>
      <c r="C792">
        <v>2</v>
      </c>
      <c r="D792" s="1">
        <v>6.31</v>
      </c>
      <c r="E792" s="10" t="s">
        <v>1573</v>
      </c>
      <c r="F792" s="10" t="s">
        <v>1142</v>
      </c>
      <c r="G792" s="10" t="s">
        <v>11</v>
      </c>
      <c r="H792" t="s">
        <v>12</v>
      </c>
    </row>
    <row r="793" spans="1:8" x14ac:dyDescent="0.25">
      <c r="A793">
        <v>1191518134</v>
      </c>
      <c r="B793" t="s">
        <v>1577</v>
      </c>
      <c r="C793">
        <v>2</v>
      </c>
      <c r="D793" s="1">
        <v>9.31</v>
      </c>
      <c r="E793" s="10" t="s">
        <v>1573</v>
      </c>
      <c r="F793" s="10" t="s">
        <v>1578</v>
      </c>
      <c r="G793" s="10" t="s">
        <v>11</v>
      </c>
      <c r="H793" t="s">
        <v>12</v>
      </c>
    </row>
    <row r="794" spans="1:8" x14ac:dyDescent="0.25">
      <c r="A794">
        <v>1191517582</v>
      </c>
      <c r="B794" t="s">
        <v>35</v>
      </c>
      <c r="C794">
        <v>4</v>
      </c>
      <c r="D794" s="1">
        <v>10.050000000000001</v>
      </c>
      <c r="E794" s="10" t="s">
        <v>1573</v>
      </c>
      <c r="F794" s="10" t="s">
        <v>1030</v>
      </c>
      <c r="G794" s="10" t="s">
        <v>11</v>
      </c>
      <c r="H794" t="s">
        <v>12</v>
      </c>
    </row>
    <row r="795" spans="1:8" x14ac:dyDescent="0.25">
      <c r="A795">
        <v>1191509329</v>
      </c>
      <c r="B795" t="s">
        <v>1579</v>
      </c>
      <c r="C795">
        <v>2</v>
      </c>
      <c r="D795" s="1">
        <v>13.23</v>
      </c>
      <c r="E795" s="10" t="s">
        <v>1573</v>
      </c>
      <c r="F795" s="10" t="s">
        <v>1580</v>
      </c>
      <c r="G795" s="10" t="s">
        <v>48</v>
      </c>
      <c r="H795" t="s">
        <v>12</v>
      </c>
    </row>
    <row r="796" spans="1:8" x14ac:dyDescent="0.25">
      <c r="A796">
        <v>1191506313</v>
      </c>
      <c r="B796" t="s">
        <v>1581</v>
      </c>
      <c r="C796">
        <v>1</v>
      </c>
      <c r="D796" s="1">
        <v>12.32</v>
      </c>
      <c r="E796" s="10" t="s">
        <v>1573</v>
      </c>
      <c r="F796" s="10" t="s">
        <v>1582</v>
      </c>
      <c r="G796" s="10" t="s">
        <v>11</v>
      </c>
      <c r="H796" t="s">
        <v>12</v>
      </c>
    </row>
    <row r="797" spans="1:8" x14ac:dyDescent="0.25">
      <c r="A797">
        <v>1190728790</v>
      </c>
      <c r="B797" t="s">
        <v>978</v>
      </c>
      <c r="C797">
        <v>15</v>
      </c>
      <c r="D797" s="1">
        <v>34.299999999999997</v>
      </c>
      <c r="E797" s="10" t="s">
        <v>1583</v>
      </c>
      <c r="F797" s="10" t="s">
        <v>1584</v>
      </c>
      <c r="G797" s="10" t="s">
        <v>11</v>
      </c>
      <c r="H797" t="s">
        <v>12</v>
      </c>
    </row>
    <row r="798" spans="1:8" x14ac:dyDescent="0.25">
      <c r="A798">
        <v>1190720765</v>
      </c>
      <c r="B798" t="s">
        <v>294</v>
      </c>
      <c r="C798">
        <v>13</v>
      </c>
      <c r="D798" s="1">
        <v>39.72</v>
      </c>
      <c r="E798" s="10" t="s">
        <v>1583</v>
      </c>
      <c r="F798" s="10" t="s">
        <v>1585</v>
      </c>
      <c r="G798" s="10" t="s">
        <v>11</v>
      </c>
      <c r="H798" t="s">
        <v>12</v>
      </c>
    </row>
    <row r="799" spans="1:8" ht="30" x14ac:dyDescent="0.25">
      <c r="A799">
        <v>1190070315</v>
      </c>
      <c r="B799" t="s">
        <v>8</v>
      </c>
      <c r="C799">
        <v>9</v>
      </c>
      <c r="D799" s="1">
        <v>8.1999999999999993</v>
      </c>
      <c r="E799" s="10" t="s">
        <v>1586</v>
      </c>
      <c r="F799" s="10" t="s">
        <v>799</v>
      </c>
      <c r="G799" s="10" t="s">
        <v>38</v>
      </c>
      <c r="H799" t="s">
        <v>12</v>
      </c>
    </row>
    <row r="800" spans="1:8" x14ac:dyDescent="0.25">
      <c r="A800">
        <v>1190040779</v>
      </c>
      <c r="B800" t="s">
        <v>1587</v>
      </c>
      <c r="C800">
        <v>1</v>
      </c>
      <c r="D800" s="1">
        <v>12.4</v>
      </c>
      <c r="E800" s="10" t="s">
        <v>1588</v>
      </c>
      <c r="F800" s="10" t="s">
        <v>1589</v>
      </c>
      <c r="G800" s="10" t="s">
        <v>48</v>
      </c>
      <c r="H800" t="s">
        <v>12</v>
      </c>
    </row>
    <row r="801" spans="1:8" x14ac:dyDescent="0.25">
      <c r="A801">
        <v>1190024451</v>
      </c>
      <c r="B801" t="s">
        <v>1590</v>
      </c>
      <c r="C801">
        <v>2</v>
      </c>
      <c r="D801" s="1">
        <v>22.35</v>
      </c>
      <c r="E801" s="10" t="s">
        <v>1588</v>
      </c>
      <c r="F801" s="10" t="s">
        <v>1591</v>
      </c>
      <c r="G801" s="10" t="s">
        <v>48</v>
      </c>
      <c r="H801" t="s">
        <v>12</v>
      </c>
    </row>
    <row r="802" spans="1:8" x14ac:dyDescent="0.25">
      <c r="A802">
        <v>1189946352</v>
      </c>
      <c r="B802" t="s">
        <v>1592</v>
      </c>
      <c r="C802">
        <v>1</v>
      </c>
      <c r="D802" s="1">
        <v>4.88</v>
      </c>
      <c r="E802" s="10" t="s">
        <v>1593</v>
      </c>
      <c r="F802" s="10" t="s">
        <v>1594</v>
      </c>
      <c r="G802" s="10" t="s">
        <v>11</v>
      </c>
      <c r="H802" t="s">
        <v>12</v>
      </c>
    </row>
    <row r="803" spans="1:8" x14ac:dyDescent="0.25">
      <c r="A803">
        <v>1189912274</v>
      </c>
      <c r="B803" t="s">
        <v>1595</v>
      </c>
      <c r="C803">
        <v>4</v>
      </c>
      <c r="D803" s="1">
        <v>13.29</v>
      </c>
      <c r="E803" s="10" t="s">
        <v>1593</v>
      </c>
      <c r="F803" s="10" t="s">
        <v>1596</v>
      </c>
      <c r="G803" s="10" t="s">
        <v>48</v>
      </c>
      <c r="H803" t="s">
        <v>12</v>
      </c>
    </row>
    <row r="804" spans="1:8" x14ac:dyDescent="0.25">
      <c r="A804" t="s">
        <v>1597</v>
      </c>
      <c r="B804" t="s">
        <v>1598</v>
      </c>
      <c r="C804">
        <v>1</v>
      </c>
      <c r="D804" s="1">
        <v>22</v>
      </c>
      <c r="E804" s="10" t="s">
        <v>1599</v>
      </c>
      <c r="F804" s="10" t="s">
        <v>548</v>
      </c>
      <c r="G804" s="10" t="s">
        <v>11</v>
      </c>
      <c r="H804" t="s">
        <v>12</v>
      </c>
    </row>
    <row r="805" spans="1:8" x14ac:dyDescent="0.25">
      <c r="A805">
        <v>1189233462</v>
      </c>
      <c r="B805" t="s">
        <v>1600</v>
      </c>
      <c r="C805">
        <v>1</v>
      </c>
      <c r="D805" s="1">
        <v>1.53</v>
      </c>
      <c r="E805" s="10" t="s">
        <v>1601</v>
      </c>
      <c r="F805" s="10" t="s">
        <v>1602</v>
      </c>
      <c r="G805" s="10" t="s">
        <v>48</v>
      </c>
      <c r="H805" t="s">
        <v>12</v>
      </c>
    </row>
    <row r="806" spans="1:8" ht="30" x14ac:dyDescent="0.25">
      <c r="A806">
        <v>1188691279</v>
      </c>
      <c r="B806" t="s">
        <v>8</v>
      </c>
      <c r="C806">
        <v>2</v>
      </c>
      <c r="D806" s="1">
        <v>5</v>
      </c>
      <c r="E806" s="10" t="s">
        <v>1603</v>
      </c>
      <c r="F806" s="10" t="s">
        <v>1604</v>
      </c>
      <c r="G806" s="10" t="s">
        <v>38</v>
      </c>
      <c r="H806" t="s">
        <v>12</v>
      </c>
    </row>
    <row r="807" spans="1:8" x14ac:dyDescent="0.25">
      <c r="A807">
        <v>1188681463</v>
      </c>
      <c r="B807" t="s">
        <v>469</v>
      </c>
      <c r="C807">
        <v>12</v>
      </c>
      <c r="D807" s="1">
        <v>10.98</v>
      </c>
      <c r="E807" s="10" t="s">
        <v>1603</v>
      </c>
      <c r="F807" s="10" t="s">
        <v>1605</v>
      </c>
      <c r="G807" s="10" t="s">
        <v>11</v>
      </c>
      <c r="H807" t="s">
        <v>12</v>
      </c>
    </row>
    <row r="808" spans="1:8" x14ac:dyDescent="0.25">
      <c r="A808">
        <v>1188504446</v>
      </c>
      <c r="B808" t="s">
        <v>1606</v>
      </c>
      <c r="C808">
        <v>8</v>
      </c>
      <c r="D808" s="1">
        <v>34.619999999999997</v>
      </c>
      <c r="E808" s="10" t="s">
        <v>1607</v>
      </c>
      <c r="F808" s="10" t="s">
        <v>1608</v>
      </c>
      <c r="G808" s="10" t="s">
        <v>11</v>
      </c>
      <c r="H808" t="s">
        <v>12</v>
      </c>
    </row>
    <row r="809" spans="1:8" x14ac:dyDescent="0.25">
      <c r="A809">
        <v>1188500052</v>
      </c>
      <c r="B809" t="s">
        <v>1609</v>
      </c>
      <c r="C809">
        <v>5</v>
      </c>
      <c r="D809" s="1">
        <v>56.36</v>
      </c>
      <c r="E809" s="10" t="s">
        <v>1607</v>
      </c>
      <c r="F809" s="10" t="s">
        <v>1610</v>
      </c>
      <c r="G809" s="10" t="s">
        <v>48</v>
      </c>
      <c r="H809" t="s">
        <v>12</v>
      </c>
    </row>
    <row r="810" spans="1:8" x14ac:dyDescent="0.25">
      <c r="A810">
        <v>1188496519</v>
      </c>
      <c r="B810" t="s">
        <v>1611</v>
      </c>
      <c r="C810">
        <v>1</v>
      </c>
      <c r="D810" s="1">
        <v>4.22</v>
      </c>
      <c r="E810" s="10" t="s">
        <v>1607</v>
      </c>
      <c r="F810" s="10" t="s">
        <v>1612</v>
      </c>
      <c r="G810" s="10" t="s">
        <v>38</v>
      </c>
      <c r="H810" t="s">
        <v>12</v>
      </c>
    </row>
    <row r="811" spans="1:8" x14ac:dyDescent="0.25">
      <c r="A811">
        <v>1188496516</v>
      </c>
      <c r="B811" t="s">
        <v>1613</v>
      </c>
      <c r="C811">
        <v>1</v>
      </c>
      <c r="D811" s="1">
        <v>4.22</v>
      </c>
      <c r="E811" s="10" t="s">
        <v>1607</v>
      </c>
      <c r="F811" s="10" t="s">
        <v>1614</v>
      </c>
      <c r="G811" s="10" t="s">
        <v>11</v>
      </c>
      <c r="H811" t="s">
        <v>12</v>
      </c>
    </row>
    <row r="812" spans="1:8" x14ac:dyDescent="0.25">
      <c r="A812">
        <v>1188496514</v>
      </c>
      <c r="B812" t="s">
        <v>1615</v>
      </c>
      <c r="C812">
        <v>1</v>
      </c>
      <c r="D812" s="1">
        <v>4.22</v>
      </c>
      <c r="E812" s="10" t="s">
        <v>1607</v>
      </c>
      <c r="F812" s="10" t="s">
        <v>1616</v>
      </c>
      <c r="G812" s="10" t="s">
        <v>11</v>
      </c>
      <c r="H812" t="s">
        <v>12</v>
      </c>
    </row>
    <row r="813" spans="1:8" x14ac:dyDescent="0.25">
      <c r="A813">
        <v>1188496512</v>
      </c>
      <c r="B813" t="s">
        <v>1617</v>
      </c>
      <c r="C813">
        <v>1</v>
      </c>
      <c r="D813" s="1">
        <v>4.22</v>
      </c>
      <c r="E813" s="10" t="s">
        <v>1607</v>
      </c>
      <c r="F813" s="10" t="s">
        <v>1618</v>
      </c>
      <c r="G813" s="10" t="s">
        <v>11</v>
      </c>
      <c r="H813" t="s">
        <v>12</v>
      </c>
    </row>
    <row r="814" spans="1:8" x14ac:dyDescent="0.25">
      <c r="A814">
        <v>1188494512</v>
      </c>
      <c r="B814" t="s">
        <v>469</v>
      </c>
      <c r="C814">
        <v>7</v>
      </c>
      <c r="D814" s="1">
        <v>46.4</v>
      </c>
      <c r="E814" s="10" t="s">
        <v>1607</v>
      </c>
      <c r="F814" s="10" t="s">
        <v>1619</v>
      </c>
      <c r="G814" s="10" t="s">
        <v>11</v>
      </c>
      <c r="H814" t="s">
        <v>12</v>
      </c>
    </row>
    <row r="815" spans="1:8" x14ac:dyDescent="0.25">
      <c r="A815">
        <v>1188486169</v>
      </c>
      <c r="B815" t="s">
        <v>1620</v>
      </c>
      <c r="C815">
        <v>4</v>
      </c>
      <c r="D815" s="1">
        <v>25.22</v>
      </c>
      <c r="E815" s="10" t="s">
        <v>1607</v>
      </c>
      <c r="F815" s="10" t="s">
        <v>1621</v>
      </c>
      <c r="G815" s="10" t="s">
        <v>11</v>
      </c>
      <c r="H815" t="s">
        <v>12</v>
      </c>
    </row>
    <row r="816" spans="1:8" x14ac:dyDescent="0.25">
      <c r="A816">
        <v>1188485592</v>
      </c>
      <c r="B816" t="s">
        <v>1622</v>
      </c>
      <c r="C816">
        <v>4</v>
      </c>
      <c r="D816" s="1">
        <v>21.02</v>
      </c>
      <c r="E816" s="10" t="s">
        <v>1607</v>
      </c>
      <c r="F816" s="10" t="s">
        <v>1623</v>
      </c>
      <c r="G816" s="10" t="s">
        <v>48</v>
      </c>
      <c r="H816" t="s">
        <v>12</v>
      </c>
    </row>
    <row r="817" spans="1:8" ht="30" x14ac:dyDescent="0.25">
      <c r="A817">
        <v>1188355939</v>
      </c>
      <c r="B817" t="s">
        <v>61</v>
      </c>
      <c r="C817">
        <v>1</v>
      </c>
      <c r="D817" s="1">
        <v>1.95</v>
      </c>
      <c r="E817" s="10" t="s">
        <v>1624</v>
      </c>
      <c r="F817" s="10" t="s">
        <v>1625</v>
      </c>
      <c r="G817" s="10" t="s">
        <v>38</v>
      </c>
      <c r="H817" t="s">
        <v>12</v>
      </c>
    </row>
    <row r="818" spans="1:8" x14ac:dyDescent="0.25">
      <c r="A818">
        <v>1188344242</v>
      </c>
      <c r="B818" t="s">
        <v>762</v>
      </c>
      <c r="C818">
        <v>5</v>
      </c>
      <c r="D818" s="1">
        <v>44.01</v>
      </c>
      <c r="E818" s="10" t="s">
        <v>1624</v>
      </c>
      <c r="F818" s="10" t="s">
        <v>1626</v>
      </c>
      <c r="G818" s="10" t="s">
        <v>11</v>
      </c>
      <c r="H818" t="s">
        <v>12</v>
      </c>
    </row>
    <row r="819" spans="1:8" x14ac:dyDescent="0.25">
      <c r="A819">
        <v>1188177427</v>
      </c>
      <c r="B819" t="s">
        <v>1627</v>
      </c>
      <c r="C819">
        <v>3</v>
      </c>
      <c r="D819" s="1">
        <v>17.8</v>
      </c>
      <c r="E819" s="10" t="s">
        <v>1628</v>
      </c>
      <c r="F819" s="10" t="s">
        <v>1629</v>
      </c>
      <c r="G819" s="10" t="s">
        <v>11</v>
      </c>
      <c r="H819" t="s">
        <v>12</v>
      </c>
    </row>
    <row r="820" spans="1:8" x14ac:dyDescent="0.25">
      <c r="A820">
        <v>1188056180</v>
      </c>
      <c r="B820" t="s">
        <v>1630</v>
      </c>
      <c r="C820">
        <v>3</v>
      </c>
      <c r="D820" s="1">
        <v>36.229999999999997</v>
      </c>
      <c r="E820" s="10" t="s">
        <v>1631</v>
      </c>
      <c r="F820" s="10" t="s">
        <v>1632</v>
      </c>
      <c r="G820" s="10" t="s">
        <v>11</v>
      </c>
      <c r="H820" t="s">
        <v>12</v>
      </c>
    </row>
    <row r="821" spans="1:8" x14ac:dyDescent="0.25">
      <c r="A821">
        <v>1188047728</v>
      </c>
      <c r="B821" t="s">
        <v>1633</v>
      </c>
      <c r="C821">
        <v>13</v>
      </c>
      <c r="D821" s="1">
        <v>82.78</v>
      </c>
      <c r="E821" s="10" t="s">
        <v>1631</v>
      </c>
      <c r="F821" s="10" t="s">
        <v>1634</v>
      </c>
      <c r="G821" s="10" t="s">
        <v>11</v>
      </c>
      <c r="H821" t="s">
        <v>12</v>
      </c>
    </row>
    <row r="822" spans="1:8" x14ac:dyDescent="0.25">
      <c r="A822">
        <v>1187963406</v>
      </c>
      <c r="B822" t="s">
        <v>1635</v>
      </c>
      <c r="C822">
        <v>4</v>
      </c>
      <c r="D822" s="1">
        <v>16.82</v>
      </c>
      <c r="E822" s="10" t="s">
        <v>1636</v>
      </c>
      <c r="F822" s="10" t="s">
        <v>1637</v>
      </c>
      <c r="G822" s="10" t="s">
        <v>48</v>
      </c>
      <c r="H822" t="s">
        <v>12</v>
      </c>
    </row>
    <row r="823" spans="1:8" x14ac:dyDescent="0.25">
      <c r="A823">
        <v>1187904430</v>
      </c>
      <c r="B823" t="s">
        <v>1638</v>
      </c>
      <c r="C823">
        <v>2</v>
      </c>
      <c r="D823" s="1">
        <v>11.37</v>
      </c>
      <c r="E823" s="10" t="s">
        <v>1639</v>
      </c>
      <c r="F823" s="10" t="s">
        <v>1640</v>
      </c>
      <c r="G823" s="10" t="s">
        <v>11</v>
      </c>
      <c r="H823" t="s">
        <v>12</v>
      </c>
    </row>
    <row r="824" spans="1:8" x14ac:dyDescent="0.25">
      <c r="A824">
        <v>1187823895</v>
      </c>
      <c r="B824" t="s">
        <v>1641</v>
      </c>
      <c r="C824">
        <v>1</v>
      </c>
      <c r="D824" s="1">
        <v>12.17</v>
      </c>
      <c r="E824" s="10" t="s">
        <v>1639</v>
      </c>
      <c r="F824" s="10" t="s">
        <v>1642</v>
      </c>
      <c r="G824" s="10" t="s">
        <v>48</v>
      </c>
      <c r="H824" t="s">
        <v>12</v>
      </c>
    </row>
    <row r="825" spans="1:8" x14ac:dyDescent="0.25">
      <c r="A825">
        <v>1187557684</v>
      </c>
      <c r="B825" t="s">
        <v>1643</v>
      </c>
      <c r="C825">
        <v>4</v>
      </c>
      <c r="D825" s="1">
        <v>5.22</v>
      </c>
      <c r="E825" s="10" t="s">
        <v>1644</v>
      </c>
      <c r="F825" s="10" t="s">
        <v>1645</v>
      </c>
      <c r="G825" s="10" t="s">
        <v>11</v>
      </c>
      <c r="H825" t="s">
        <v>12</v>
      </c>
    </row>
    <row r="826" spans="1:8" x14ac:dyDescent="0.25">
      <c r="A826">
        <v>1187633318</v>
      </c>
      <c r="B826" t="s">
        <v>1646</v>
      </c>
      <c r="C826">
        <v>4</v>
      </c>
      <c r="D826" s="1">
        <v>5.22</v>
      </c>
      <c r="E826" s="10" t="s">
        <v>1647</v>
      </c>
      <c r="F826" s="10" t="s">
        <v>1648</v>
      </c>
      <c r="G826" s="10" t="s">
        <v>11</v>
      </c>
      <c r="H826" t="s">
        <v>12</v>
      </c>
    </row>
    <row r="827" spans="1:8" ht="30" x14ac:dyDescent="0.25">
      <c r="A827">
        <v>1187561567</v>
      </c>
      <c r="B827" t="s">
        <v>8</v>
      </c>
      <c r="C827">
        <v>4</v>
      </c>
      <c r="D827" s="1">
        <v>1.95</v>
      </c>
      <c r="E827" s="10" t="s">
        <v>1647</v>
      </c>
      <c r="F827" s="10" t="s">
        <v>1604</v>
      </c>
      <c r="G827" s="10" t="s">
        <v>38</v>
      </c>
      <c r="H827" t="s">
        <v>12</v>
      </c>
    </row>
    <row r="828" spans="1:8" x14ac:dyDescent="0.25">
      <c r="A828">
        <v>1187539495</v>
      </c>
      <c r="B828" t="s">
        <v>1649</v>
      </c>
      <c r="C828">
        <v>1</v>
      </c>
      <c r="D828" s="1">
        <v>12.17</v>
      </c>
      <c r="E828" s="10" t="s">
        <v>1647</v>
      </c>
      <c r="F828" s="10" t="s">
        <v>1650</v>
      </c>
      <c r="G828" s="10" t="s">
        <v>48</v>
      </c>
      <c r="H828" t="s">
        <v>12</v>
      </c>
    </row>
    <row r="829" spans="1:8" x14ac:dyDescent="0.25">
      <c r="A829">
        <v>1187507001</v>
      </c>
      <c r="B829" t="s">
        <v>1651</v>
      </c>
      <c r="C829">
        <v>4</v>
      </c>
      <c r="D829" s="1">
        <v>3.22</v>
      </c>
      <c r="E829" s="10" t="s">
        <v>1652</v>
      </c>
      <c r="F829" s="10" t="s">
        <v>1653</v>
      </c>
      <c r="G829" s="10" t="s">
        <v>48</v>
      </c>
      <c r="H829" t="s">
        <v>12</v>
      </c>
    </row>
    <row r="830" spans="1:8" x14ac:dyDescent="0.25">
      <c r="A830">
        <v>1187376953</v>
      </c>
      <c r="B830" t="s">
        <v>414</v>
      </c>
      <c r="C830">
        <v>6</v>
      </c>
      <c r="D830" s="1">
        <v>18.16</v>
      </c>
      <c r="E830" s="10" t="s">
        <v>1652</v>
      </c>
      <c r="F830" s="10" t="s">
        <v>1654</v>
      </c>
      <c r="G830" s="10" t="s">
        <v>11</v>
      </c>
      <c r="H830" t="s">
        <v>12</v>
      </c>
    </row>
    <row r="831" spans="1:8" x14ac:dyDescent="0.25">
      <c r="A831">
        <v>1187376512</v>
      </c>
      <c r="B831" t="s">
        <v>1655</v>
      </c>
      <c r="C831">
        <v>4</v>
      </c>
      <c r="D831" s="1">
        <v>33.61</v>
      </c>
      <c r="E831" s="10" t="s">
        <v>1652</v>
      </c>
      <c r="F831" s="10" t="s">
        <v>1656</v>
      </c>
      <c r="G831" s="10" t="s">
        <v>11</v>
      </c>
      <c r="H831" t="s">
        <v>12</v>
      </c>
    </row>
    <row r="832" spans="1:8" x14ac:dyDescent="0.25">
      <c r="A832">
        <v>1187307706</v>
      </c>
      <c r="B832" t="s">
        <v>1657</v>
      </c>
      <c r="C832">
        <v>2</v>
      </c>
      <c r="D832" s="1">
        <v>20.72</v>
      </c>
      <c r="E832" s="10" t="s">
        <v>1658</v>
      </c>
      <c r="F832" s="10" t="s">
        <v>1659</v>
      </c>
      <c r="G832" s="10" t="s">
        <v>11</v>
      </c>
      <c r="H832" t="s">
        <v>12</v>
      </c>
    </row>
    <row r="833" spans="1:8" x14ac:dyDescent="0.25">
      <c r="A833">
        <v>1187301326</v>
      </c>
      <c r="B833" t="s">
        <v>1660</v>
      </c>
      <c r="C833">
        <v>4</v>
      </c>
      <c r="D833" s="1">
        <v>15.32</v>
      </c>
      <c r="E833" s="10" t="s">
        <v>1658</v>
      </c>
      <c r="F833" s="10" t="s">
        <v>1661</v>
      </c>
      <c r="G833" s="10" t="s">
        <v>11</v>
      </c>
      <c r="H833" t="s">
        <v>12</v>
      </c>
    </row>
    <row r="834" spans="1:8" x14ac:dyDescent="0.25">
      <c r="A834">
        <v>1187236864</v>
      </c>
      <c r="B834" t="s">
        <v>1662</v>
      </c>
      <c r="C834">
        <v>2</v>
      </c>
      <c r="D834" s="1">
        <v>23.12</v>
      </c>
      <c r="E834" s="10" t="s">
        <v>1658</v>
      </c>
      <c r="F834" s="10" t="s">
        <v>1663</v>
      </c>
      <c r="G834" s="10" t="s">
        <v>48</v>
      </c>
      <c r="H834" t="s">
        <v>12</v>
      </c>
    </row>
    <row r="835" spans="1:8" x14ac:dyDescent="0.25">
      <c r="A835">
        <v>1187231107</v>
      </c>
      <c r="B835" t="s">
        <v>294</v>
      </c>
      <c r="C835">
        <v>7</v>
      </c>
      <c r="D835" s="1">
        <v>111.17</v>
      </c>
      <c r="E835" s="10" t="s">
        <v>1658</v>
      </c>
      <c r="F835" s="10" t="s">
        <v>1664</v>
      </c>
      <c r="G835" s="10" t="s">
        <v>11</v>
      </c>
      <c r="H835" t="s">
        <v>12</v>
      </c>
    </row>
    <row r="836" spans="1:8" x14ac:dyDescent="0.25">
      <c r="A836">
        <v>1187045270</v>
      </c>
      <c r="B836" t="s">
        <v>1665</v>
      </c>
      <c r="C836">
        <v>3</v>
      </c>
      <c r="D836" s="1">
        <v>14.87</v>
      </c>
      <c r="E836" s="10" t="s">
        <v>1658</v>
      </c>
      <c r="F836" s="10" t="s">
        <v>1666</v>
      </c>
      <c r="G836" s="10" t="s">
        <v>11</v>
      </c>
      <c r="H836" t="s">
        <v>12</v>
      </c>
    </row>
    <row r="837" spans="1:8" x14ac:dyDescent="0.25">
      <c r="A837">
        <v>1186578021</v>
      </c>
      <c r="B837" t="s">
        <v>8</v>
      </c>
      <c r="C837">
        <v>1</v>
      </c>
      <c r="D837" s="1">
        <v>19.87</v>
      </c>
      <c r="E837" s="10" t="s">
        <v>1667</v>
      </c>
      <c r="F837" s="10" t="s">
        <v>1668</v>
      </c>
      <c r="G837" s="10" t="s">
        <v>11</v>
      </c>
      <c r="H837" t="s">
        <v>12</v>
      </c>
    </row>
    <row r="838" spans="1:8" x14ac:dyDescent="0.25">
      <c r="A838">
        <v>1186398324</v>
      </c>
      <c r="B838" t="s">
        <v>1669</v>
      </c>
      <c r="C838">
        <v>2</v>
      </c>
      <c r="D838" s="1">
        <v>13.22</v>
      </c>
      <c r="E838" s="10" t="s">
        <v>1670</v>
      </c>
      <c r="F838" s="10" t="s">
        <v>1671</v>
      </c>
      <c r="G838" s="10" t="s">
        <v>11</v>
      </c>
      <c r="H838" t="s">
        <v>12</v>
      </c>
    </row>
    <row r="839" spans="1:8" x14ac:dyDescent="0.25">
      <c r="A839">
        <v>1186396722</v>
      </c>
      <c r="B839" t="s">
        <v>1672</v>
      </c>
      <c r="C839">
        <v>2</v>
      </c>
      <c r="D839" s="1">
        <v>2.92</v>
      </c>
      <c r="E839" s="10" t="s">
        <v>1670</v>
      </c>
      <c r="F839" s="10" t="s">
        <v>1673</v>
      </c>
      <c r="G839" s="10" t="s">
        <v>11</v>
      </c>
      <c r="H839" t="s">
        <v>12</v>
      </c>
    </row>
    <row r="840" spans="1:8" x14ac:dyDescent="0.25">
      <c r="A840">
        <v>1186395521</v>
      </c>
      <c r="B840" t="s">
        <v>1674</v>
      </c>
      <c r="C840">
        <v>2</v>
      </c>
      <c r="D840" s="1">
        <v>5.22</v>
      </c>
      <c r="E840" s="10" t="s">
        <v>1670</v>
      </c>
      <c r="F840" s="10" t="s">
        <v>1675</v>
      </c>
      <c r="G840" s="10" t="s">
        <v>11</v>
      </c>
      <c r="H840" t="s">
        <v>12</v>
      </c>
    </row>
    <row r="841" spans="1:8" x14ac:dyDescent="0.25">
      <c r="A841">
        <v>1186395377</v>
      </c>
      <c r="B841" t="s">
        <v>965</v>
      </c>
      <c r="C841">
        <v>8</v>
      </c>
      <c r="D841" s="1">
        <v>9.42</v>
      </c>
      <c r="E841" s="10" t="s">
        <v>1670</v>
      </c>
      <c r="F841" s="10" t="s">
        <v>1676</v>
      </c>
      <c r="G841" s="10" t="s">
        <v>11</v>
      </c>
      <c r="H841" t="s">
        <v>12</v>
      </c>
    </row>
    <row r="842" spans="1:8" x14ac:dyDescent="0.25">
      <c r="A842">
        <v>1186394921</v>
      </c>
      <c r="B842" t="s">
        <v>1677</v>
      </c>
      <c r="C842">
        <v>3</v>
      </c>
      <c r="D842" s="1">
        <v>3.62</v>
      </c>
      <c r="E842" s="10" t="s">
        <v>1670</v>
      </c>
      <c r="F842" s="10" t="s">
        <v>1678</v>
      </c>
      <c r="G842" s="10" t="s">
        <v>11</v>
      </c>
      <c r="H842" t="s">
        <v>12</v>
      </c>
    </row>
    <row r="843" spans="1:8" x14ac:dyDescent="0.25">
      <c r="A843">
        <v>1186393498</v>
      </c>
      <c r="B843" t="s">
        <v>1679</v>
      </c>
      <c r="C843">
        <v>4</v>
      </c>
      <c r="D843" s="1">
        <v>2.58</v>
      </c>
      <c r="E843" s="10" t="s">
        <v>1670</v>
      </c>
      <c r="F843" s="10" t="s">
        <v>1680</v>
      </c>
      <c r="G843" s="10" t="s">
        <v>11</v>
      </c>
      <c r="H843" t="s">
        <v>12</v>
      </c>
    </row>
    <row r="844" spans="1:8" x14ac:dyDescent="0.25">
      <c r="A844">
        <v>1186393412</v>
      </c>
      <c r="B844" t="s">
        <v>1546</v>
      </c>
      <c r="C844">
        <v>4</v>
      </c>
      <c r="D844" s="1">
        <v>17.22</v>
      </c>
      <c r="E844" s="10" t="s">
        <v>1670</v>
      </c>
      <c r="F844" s="10" t="s">
        <v>1681</v>
      </c>
      <c r="G844" s="10" t="s">
        <v>11</v>
      </c>
      <c r="H844" t="s">
        <v>12</v>
      </c>
    </row>
    <row r="845" spans="1:8" x14ac:dyDescent="0.25">
      <c r="A845">
        <v>1186392523</v>
      </c>
      <c r="B845" t="s">
        <v>1682</v>
      </c>
      <c r="C845">
        <v>3</v>
      </c>
      <c r="D845" s="1">
        <v>3.92</v>
      </c>
      <c r="E845" s="10" t="s">
        <v>1670</v>
      </c>
      <c r="F845" s="10" t="s">
        <v>1683</v>
      </c>
      <c r="G845" s="10" t="s">
        <v>11</v>
      </c>
      <c r="H845" t="s">
        <v>12</v>
      </c>
    </row>
    <row r="846" spans="1:8" x14ac:dyDescent="0.25">
      <c r="A846">
        <v>1186392516</v>
      </c>
      <c r="B846" t="s">
        <v>1684</v>
      </c>
      <c r="C846">
        <v>2</v>
      </c>
      <c r="D846" s="1">
        <v>2.2200000000000002</v>
      </c>
      <c r="E846" s="10" t="s">
        <v>1670</v>
      </c>
      <c r="F846" s="10" t="s">
        <v>1685</v>
      </c>
      <c r="G846" s="10" t="s">
        <v>11</v>
      </c>
      <c r="H846" t="s">
        <v>12</v>
      </c>
    </row>
    <row r="847" spans="1:8" x14ac:dyDescent="0.25">
      <c r="A847">
        <v>1186392450</v>
      </c>
      <c r="B847" t="s">
        <v>35</v>
      </c>
      <c r="C847">
        <v>24</v>
      </c>
      <c r="D847" s="1">
        <v>12.73</v>
      </c>
      <c r="E847" s="10" t="s">
        <v>1670</v>
      </c>
      <c r="F847" s="10" t="s">
        <v>1686</v>
      </c>
      <c r="G847" s="10" t="s">
        <v>11</v>
      </c>
      <c r="H847" t="s">
        <v>12</v>
      </c>
    </row>
    <row r="848" spans="1:8" x14ac:dyDescent="0.25">
      <c r="A848">
        <v>1185932378</v>
      </c>
      <c r="B848" t="s">
        <v>1687</v>
      </c>
      <c r="C848">
        <v>1</v>
      </c>
      <c r="D848" s="1">
        <v>3.47</v>
      </c>
      <c r="E848" s="10" t="s">
        <v>1688</v>
      </c>
      <c r="F848" s="10" t="s">
        <v>1689</v>
      </c>
      <c r="G848" s="10" t="s">
        <v>11</v>
      </c>
      <c r="H848" t="s">
        <v>12</v>
      </c>
    </row>
    <row r="849" spans="1:8" x14ac:dyDescent="0.25">
      <c r="A849">
        <v>1185932217</v>
      </c>
      <c r="B849" t="s">
        <v>181</v>
      </c>
      <c r="C849">
        <v>8</v>
      </c>
      <c r="D849" s="1">
        <v>35.36</v>
      </c>
      <c r="E849" s="10" t="s">
        <v>1688</v>
      </c>
      <c r="F849" s="10" t="s">
        <v>1088</v>
      </c>
      <c r="G849" s="10" t="s">
        <v>11</v>
      </c>
      <c r="H849" t="s">
        <v>12</v>
      </c>
    </row>
    <row r="850" spans="1:8" x14ac:dyDescent="0.25">
      <c r="A850">
        <v>1185900927</v>
      </c>
      <c r="B850" t="s">
        <v>1690</v>
      </c>
      <c r="C850">
        <v>8</v>
      </c>
      <c r="D850" s="1">
        <v>2.52</v>
      </c>
      <c r="E850" s="10" t="s">
        <v>1688</v>
      </c>
      <c r="F850" s="10" t="s">
        <v>1691</v>
      </c>
      <c r="G850" s="10" t="s">
        <v>11</v>
      </c>
      <c r="H850" t="s">
        <v>12</v>
      </c>
    </row>
    <row r="851" spans="1:8" x14ac:dyDescent="0.25">
      <c r="A851">
        <v>1185865223</v>
      </c>
      <c r="B851" t="s">
        <v>1692</v>
      </c>
      <c r="C851">
        <v>4</v>
      </c>
      <c r="D851" s="1">
        <v>35.1</v>
      </c>
      <c r="E851" s="10" t="s">
        <v>1693</v>
      </c>
      <c r="F851" s="10" t="s">
        <v>1694</v>
      </c>
      <c r="G851" s="10" t="s">
        <v>48</v>
      </c>
      <c r="H851" t="s">
        <v>12</v>
      </c>
    </row>
    <row r="852" spans="1:8" x14ac:dyDescent="0.25">
      <c r="A852">
        <v>1185794477</v>
      </c>
      <c r="B852" t="s">
        <v>1695</v>
      </c>
      <c r="C852">
        <v>1</v>
      </c>
      <c r="D852" s="1">
        <v>21.17</v>
      </c>
      <c r="E852" s="10" t="s">
        <v>1693</v>
      </c>
      <c r="F852" s="10" t="s">
        <v>1696</v>
      </c>
      <c r="G852" s="10" t="s">
        <v>48</v>
      </c>
      <c r="H852" t="s">
        <v>12</v>
      </c>
    </row>
    <row r="853" spans="1:8" x14ac:dyDescent="0.25">
      <c r="A853">
        <v>1185772848</v>
      </c>
      <c r="B853" t="s">
        <v>1697</v>
      </c>
      <c r="C853">
        <v>1</v>
      </c>
      <c r="D853" s="1">
        <v>1.72</v>
      </c>
      <c r="E853" s="10" t="s">
        <v>1693</v>
      </c>
      <c r="F853" s="10" t="s">
        <v>1698</v>
      </c>
      <c r="G853" s="10" t="s">
        <v>48</v>
      </c>
      <c r="H853" t="s">
        <v>12</v>
      </c>
    </row>
    <row r="854" spans="1:8" x14ac:dyDescent="0.25">
      <c r="A854">
        <v>1185682918</v>
      </c>
      <c r="B854" t="s">
        <v>1699</v>
      </c>
      <c r="C854">
        <v>1</v>
      </c>
      <c r="D854" s="1">
        <v>30.6</v>
      </c>
      <c r="E854" s="10" t="s">
        <v>1700</v>
      </c>
      <c r="F854" s="10" t="s">
        <v>1701</v>
      </c>
      <c r="G854" s="10" t="s">
        <v>11</v>
      </c>
      <c r="H854" t="s">
        <v>12</v>
      </c>
    </row>
    <row r="855" spans="1:8" x14ac:dyDescent="0.25">
      <c r="A855">
        <v>1185656708</v>
      </c>
      <c r="B855" t="s">
        <v>965</v>
      </c>
      <c r="C855">
        <v>5</v>
      </c>
      <c r="D855" s="1">
        <v>12.07</v>
      </c>
      <c r="E855" s="10" t="s">
        <v>1700</v>
      </c>
      <c r="F855" s="10" t="s">
        <v>1676</v>
      </c>
      <c r="G855" s="10" t="s">
        <v>11</v>
      </c>
      <c r="H855" t="s">
        <v>12</v>
      </c>
    </row>
    <row r="856" spans="1:8" ht="30" x14ac:dyDescent="0.25">
      <c r="A856">
        <v>1185656668</v>
      </c>
      <c r="B856" t="s">
        <v>8</v>
      </c>
      <c r="C856">
        <v>1</v>
      </c>
      <c r="D856" s="1">
        <v>6.44</v>
      </c>
      <c r="E856" s="10" t="s">
        <v>1700</v>
      </c>
      <c r="F856" s="10" t="s">
        <v>1604</v>
      </c>
      <c r="G856" s="10" t="s">
        <v>38</v>
      </c>
      <c r="H856" t="s">
        <v>12</v>
      </c>
    </row>
    <row r="857" spans="1:8" x14ac:dyDescent="0.25">
      <c r="A857">
        <v>1185364801</v>
      </c>
      <c r="B857" t="s">
        <v>231</v>
      </c>
      <c r="C857">
        <v>4</v>
      </c>
      <c r="D857" s="1">
        <v>37.270000000000003</v>
      </c>
      <c r="E857" s="10" t="s">
        <v>1702</v>
      </c>
      <c r="F857" s="10" t="s">
        <v>1703</v>
      </c>
      <c r="G857" s="10" t="s">
        <v>48</v>
      </c>
      <c r="H857" t="s">
        <v>12</v>
      </c>
    </row>
    <row r="858" spans="1:8" ht="30" x14ac:dyDescent="0.25">
      <c r="A858">
        <v>1185364560</v>
      </c>
      <c r="B858" t="s">
        <v>8</v>
      </c>
      <c r="C858">
        <v>1</v>
      </c>
      <c r="D858" s="1">
        <v>26.25</v>
      </c>
      <c r="E858" s="10" t="s">
        <v>1702</v>
      </c>
      <c r="F858" s="10" t="s">
        <v>1704</v>
      </c>
      <c r="G858" s="10" t="s">
        <v>38</v>
      </c>
      <c r="H858" t="s">
        <v>12</v>
      </c>
    </row>
    <row r="859" spans="1:8" x14ac:dyDescent="0.25">
      <c r="A859">
        <v>1185221604</v>
      </c>
      <c r="B859" t="s">
        <v>1705</v>
      </c>
      <c r="C859">
        <v>2</v>
      </c>
      <c r="D859" s="1">
        <v>80.11</v>
      </c>
      <c r="E859" s="10" t="s">
        <v>1706</v>
      </c>
      <c r="F859" s="10" t="s">
        <v>1707</v>
      </c>
      <c r="G859" s="10" t="s">
        <v>11</v>
      </c>
      <c r="H859" t="s">
        <v>12</v>
      </c>
    </row>
    <row r="860" spans="1:8" x14ac:dyDescent="0.25">
      <c r="A860">
        <v>1185052001</v>
      </c>
      <c r="B860" t="s">
        <v>294</v>
      </c>
      <c r="C860">
        <v>3</v>
      </c>
      <c r="D860" s="1">
        <v>21.92</v>
      </c>
      <c r="E860" s="10" t="s">
        <v>1708</v>
      </c>
      <c r="F860" s="10" t="s">
        <v>1709</v>
      </c>
      <c r="G860" s="10" t="s">
        <v>11</v>
      </c>
      <c r="H860" t="s">
        <v>12</v>
      </c>
    </row>
    <row r="861" spans="1:8" x14ac:dyDescent="0.25">
      <c r="A861">
        <v>1185046727</v>
      </c>
      <c r="B861" t="s">
        <v>294</v>
      </c>
      <c r="C861">
        <v>4</v>
      </c>
      <c r="D861" s="1">
        <v>16.22</v>
      </c>
      <c r="E861" s="10" t="s">
        <v>1708</v>
      </c>
      <c r="F861" s="10" t="s">
        <v>1709</v>
      </c>
      <c r="G861" s="10" t="s">
        <v>11</v>
      </c>
      <c r="H861" t="s">
        <v>12</v>
      </c>
    </row>
    <row r="862" spans="1:8" x14ac:dyDescent="0.25">
      <c r="A862">
        <v>1185017848</v>
      </c>
      <c r="B862" t="s">
        <v>187</v>
      </c>
      <c r="C862">
        <v>2</v>
      </c>
      <c r="D862" s="1">
        <v>7.02</v>
      </c>
      <c r="E862" s="10" t="s">
        <v>1708</v>
      </c>
      <c r="F862" s="10" t="s">
        <v>1710</v>
      </c>
      <c r="G862" s="10" t="s">
        <v>11</v>
      </c>
      <c r="H862" t="s">
        <v>12</v>
      </c>
    </row>
    <row r="863" spans="1:8" x14ac:dyDescent="0.25">
      <c r="A863">
        <v>1184996827</v>
      </c>
      <c r="B863" t="s">
        <v>1278</v>
      </c>
      <c r="C863">
        <v>5</v>
      </c>
      <c r="D863" s="1">
        <v>2.52</v>
      </c>
      <c r="E863" s="10" t="s">
        <v>1711</v>
      </c>
      <c r="F863" s="10" t="s">
        <v>1712</v>
      </c>
      <c r="G863" s="10" t="s">
        <v>11</v>
      </c>
      <c r="H863" t="s">
        <v>12</v>
      </c>
    </row>
    <row r="864" spans="1:8" x14ac:dyDescent="0.25">
      <c r="A864">
        <v>1184996784</v>
      </c>
      <c r="B864" t="s">
        <v>434</v>
      </c>
      <c r="C864">
        <v>4</v>
      </c>
      <c r="D864" s="1">
        <v>5.0999999999999996</v>
      </c>
      <c r="E864" s="10" t="s">
        <v>1711</v>
      </c>
      <c r="F864" s="10" t="s">
        <v>1713</v>
      </c>
      <c r="G864" s="10" t="s">
        <v>11</v>
      </c>
      <c r="H864" t="s">
        <v>12</v>
      </c>
    </row>
    <row r="865" spans="1:8" x14ac:dyDescent="0.25">
      <c r="A865">
        <v>1184623875</v>
      </c>
      <c r="B865" t="s">
        <v>35</v>
      </c>
      <c r="C865">
        <v>6</v>
      </c>
      <c r="D865" s="1">
        <v>11.66</v>
      </c>
      <c r="E865" s="10" t="s">
        <v>1714</v>
      </c>
      <c r="F865" s="10" t="s">
        <v>1715</v>
      </c>
      <c r="G865" s="10" t="s">
        <v>11</v>
      </c>
      <c r="H865" t="s">
        <v>12</v>
      </c>
    </row>
    <row r="866" spans="1:8" x14ac:dyDescent="0.25">
      <c r="A866">
        <v>1184518858</v>
      </c>
      <c r="B866" t="s">
        <v>1716</v>
      </c>
      <c r="C866">
        <v>16</v>
      </c>
      <c r="D866" s="1">
        <v>6.02</v>
      </c>
      <c r="E866" s="10" t="s">
        <v>1717</v>
      </c>
      <c r="F866" s="10" t="s">
        <v>1718</v>
      </c>
      <c r="G866" s="10" t="s">
        <v>11</v>
      </c>
      <c r="H866" t="s">
        <v>12</v>
      </c>
    </row>
    <row r="867" spans="1:8" x14ac:dyDescent="0.25">
      <c r="A867">
        <v>1184160765</v>
      </c>
      <c r="B867" t="s">
        <v>181</v>
      </c>
      <c r="C867">
        <v>5</v>
      </c>
      <c r="D867" s="1">
        <v>21.21</v>
      </c>
      <c r="E867" s="10" t="s">
        <v>1719</v>
      </c>
      <c r="F867" s="10" t="s">
        <v>1720</v>
      </c>
      <c r="G867" s="10" t="s">
        <v>11</v>
      </c>
      <c r="H867" t="s">
        <v>12</v>
      </c>
    </row>
    <row r="868" spans="1:8" x14ac:dyDescent="0.25">
      <c r="A868">
        <v>1183940508</v>
      </c>
      <c r="B868" t="s">
        <v>1721</v>
      </c>
      <c r="C868">
        <v>1</v>
      </c>
      <c r="D868" s="1">
        <v>7.25</v>
      </c>
      <c r="E868" s="10" t="s">
        <v>1722</v>
      </c>
      <c r="F868" s="10" t="s">
        <v>1723</v>
      </c>
      <c r="G868" s="10" t="s">
        <v>48</v>
      </c>
      <c r="H868" t="s">
        <v>12</v>
      </c>
    </row>
    <row r="869" spans="1:8" x14ac:dyDescent="0.25">
      <c r="A869">
        <v>1183899080</v>
      </c>
      <c r="B869" t="s">
        <v>1032</v>
      </c>
      <c r="C869">
        <v>7</v>
      </c>
      <c r="D869" s="1">
        <v>22.96</v>
      </c>
      <c r="E869" s="10" t="s">
        <v>1722</v>
      </c>
      <c r="F869" s="10" t="s">
        <v>1724</v>
      </c>
      <c r="G869" s="10" t="s">
        <v>11</v>
      </c>
      <c r="H869" t="s">
        <v>12</v>
      </c>
    </row>
    <row r="870" spans="1:8" x14ac:dyDescent="0.25">
      <c r="A870">
        <v>1183898242</v>
      </c>
      <c r="B870" t="s">
        <v>294</v>
      </c>
      <c r="C870">
        <v>32</v>
      </c>
      <c r="D870" s="1">
        <v>183.53</v>
      </c>
      <c r="E870" s="10" t="s">
        <v>1722</v>
      </c>
      <c r="F870" s="10" t="s">
        <v>1725</v>
      </c>
      <c r="G870" s="10" t="s">
        <v>11</v>
      </c>
      <c r="H870" t="s">
        <v>12</v>
      </c>
    </row>
    <row r="871" spans="1:8" x14ac:dyDescent="0.25">
      <c r="A871">
        <v>1183897966</v>
      </c>
      <c r="B871" t="s">
        <v>1726</v>
      </c>
      <c r="C871">
        <v>3</v>
      </c>
      <c r="D871" s="1">
        <v>23.56</v>
      </c>
      <c r="E871" s="10" t="s">
        <v>1722</v>
      </c>
      <c r="F871" s="10" t="s">
        <v>1727</v>
      </c>
      <c r="G871" s="10" t="s">
        <v>11</v>
      </c>
      <c r="H871" t="s">
        <v>12</v>
      </c>
    </row>
    <row r="872" spans="1:8" x14ac:dyDescent="0.25">
      <c r="A872">
        <v>1183692211</v>
      </c>
      <c r="B872" t="s">
        <v>1728</v>
      </c>
      <c r="C872">
        <v>1</v>
      </c>
      <c r="D872" s="1">
        <v>4.17</v>
      </c>
      <c r="E872" s="10" t="s">
        <v>1729</v>
      </c>
      <c r="F872" s="10" t="s">
        <v>1730</v>
      </c>
      <c r="G872" s="10" t="s">
        <v>48</v>
      </c>
      <c r="H872" t="s">
        <v>12</v>
      </c>
    </row>
    <row r="873" spans="1:8" x14ac:dyDescent="0.25">
      <c r="A873">
        <v>1183648151</v>
      </c>
      <c r="B873" t="s">
        <v>1731</v>
      </c>
      <c r="C873">
        <v>3</v>
      </c>
      <c r="D873" s="1">
        <v>13.07</v>
      </c>
      <c r="E873" s="10" t="s">
        <v>1729</v>
      </c>
      <c r="F873" s="10" t="s">
        <v>1732</v>
      </c>
      <c r="G873" s="10" t="s">
        <v>48</v>
      </c>
      <c r="H873" t="s">
        <v>12</v>
      </c>
    </row>
    <row r="874" spans="1:8" x14ac:dyDescent="0.25">
      <c r="A874">
        <v>1182455939</v>
      </c>
      <c r="B874" t="s">
        <v>1733</v>
      </c>
      <c r="C874">
        <v>1</v>
      </c>
      <c r="D874" s="1">
        <v>26.17</v>
      </c>
      <c r="E874" s="10" t="s">
        <v>1734</v>
      </c>
      <c r="F874" s="10" t="s">
        <v>1735</v>
      </c>
      <c r="G874" s="10" t="s">
        <v>11</v>
      </c>
      <c r="H874" t="s">
        <v>12</v>
      </c>
    </row>
    <row r="875" spans="1:8" x14ac:dyDescent="0.25">
      <c r="A875">
        <v>1182408312</v>
      </c>
      <c r="B875" t="s">
        <v>1736</v>
      </c>
      <c r="C875">
        <v>1</v>
      </c>
      <c r="D875" s="1">
        <v>37.159999999999997</v>
      </c>
      <c r="E875" s="10" t="s">
        <v>1734</v>
      </c>
      <c r="F875" s="10" t="s">
        <v>1737</v>
      </c>
      <c r="G875" s="10" t="s">
        <v>11</v>
      </c>
      <c r="H875" t="s">
        <v>12</v>
      </c>
    </row>
    <row r="876" spans="1:8" x14ac:dyDescent="0.25">
      <c r="A876">
        <v>1182408288</v>
      </c>
      <c r="B876" t="s">
        <v>1738</v>
      </c>
      <c r="C876">
        <v>1</v>
      </c>
      <c r="D876" s="1">
        <v>35.619999999999997</v>
      </c>
      <c r="E876" s="10" t="s">
        <v>1734</v>
      </c>
      <c r="F876" s="10" t="s">
        <v>1739</v>
      </c>
      <c r="G876" s="10" t="s">
        <v>11</v>
      </c>
      <c r="H876" t="s">
        <v>12</v>
      </c>
    </row>
    <row r="877" spans="1:8" x14ac:dyDescent="0.25">
      <c r="A877">
        <v>1182408279</v>
      </c>
      <c r="B877" t="s">
        <v>1740</v>
      </c>
      <c r="C877">
        <v>2</v>
      </c>
      <c r="D877" s="1">
        <v>50.42</v>
      </c>
      <c r="E877" s="10" t="s">
        <v>1734</v>
      </c>
      <c r="F877" s="10" t="s">
        <v>1741</v>
      </c>
      <c r="G877" s="10" t="s">
        <v>11</v>
      </c>
      <c r="H877" t="s">
        <v>12</v>
      </c>
    </row>
    <row r="878" spans="1:8" x14ac:dyDescent="0.25">
      <c r="A878">
        <v>1181893231</v>
      </c>
      <c r="B878" t="s">
        <v>1742</v>
      </c>
      <c r="C878">
        <v>6</v>
      </c>
      <c r="D878" s="1">
        <v>127.6</v>
      </c>
      <c r="E878" s="10" t="s">
        <v>1743</v>
      </c>
      <c r="F878" s="10" t="s">
        <v>1744</v>
      </c>
      <c r="G878" s="10" t="s">
        <v>48</v>
      </c>
      <c r="H878" t="s">
        <v>12</v>
      </c>
    </row>
    <row r="879" spans="1:8" x14ac:dyDescent="0.25">
      <c r="A879">
        <v>1181529179</v>
      </c>
      <c r="B879" t="s">
        <v>1745</v>
      </c>
      <c r="C879">
        <v>4</v>
      </c>
      <c r="D879" s="1">
        <v>126.27</v>
      </c>
      <c r="E879" s="10" t="s">
        <v>1746</v>
      </c>
      <c r="F879" s="10" t="s">
        <v>1747</v>
      </c>
      <c r="G879" s="10" t="s">
        <v>11</v>
      </c>
      <c r="H879" t="s">
        <v>12</v>
      </c>
    </row>
    <row r="880" spans="1:8" x14ac:dyDescent="0.25">
      <c r="A880">
        <v>1180954783</v>
      </c>
      <c r="B880" t="s">
        <v>1748</v>
      </c>
      <c r="C880">
        <v>4</v>
      </c>
      <c r="D880" s="1">
        <v>34.020000000000003</v>
      </c>
      <c r="E880" s="10" t="s">
        <v>1749</v>
      </c>
      <c r="F880" s="10" t="s">
        <v>1750</v>
      </c>
      <c r="G880" s="10" t="s">
        <v>11</v>
      </c>
      <c r="H880" t="s">
        <v>12</v>
      </c>
    </row>
    <row r="881" spans="1:8" ht="30" x14ac:dyDescent="0.25">
      <c r="A881">
        <v>1180487502</v>
      </c>
      <c r="B881" t="s">
        <v>8</v>
      </c>
      <c r="C881">
        <v>1</v>
      </c>
      <c r="D881" s="1">
        <v>34</v>
      </c>
      <c r="E881" s="10" t="s">
        <v>1751</v>
      </c>
      <c r="F881" s="10" t="s">
        <v>37</v>
      </c>
      <c r="G881" s="10" t="s">
        <v>38</v>
      </c>
      <c r="H881" t="s">
        <v>12</v>
      </c>
    </row>
    <row r="882" spans="1:8" ht="30" x14ac:dyDescent="0.25">
      <c r="A882">
        <v>1180379545</v>
      </c>
      <c r="B882" t="s">
        <v>8</v>
      </c>
      <c r="C882">
        <v>9</v>
      </c>
      <c r="D882" s="1">
        <v>0.7</v>
      </c>
      <c r="E882" s="10" t="s">
        <v>1752</v>
      </c>
      <c r="F882" s="10" t="s">
        <v>1604</v>
      </c>
      <c r="G882" s="10" t="s">
        <v>38</v>
      </c>
      <c r="H882" t="s">
        <v>12</v>
      </c>
    </row>
    <row r="883" spans="1:8" x14ac:dyDescent="0.25">
      <c r="A883">
        <v>1180335350</v>
      </c>
      <c r="B883" t="s">
        <v>1753</v>
      </c>
      <c r="C883">
        <v>1</v>
      </c>
      <c r="D883" s="1">
        <v>8.17</v>
      </c>
      <c r="E883" s="10" t="s">
        <v>1752</v>
      </c>
      <c r="F883" s="10" t="s">
        <v>1754</v>
      </c>
      <c r="G883" s="10" t="s">
        <v>48</v>
      </c>
      <c r="H883" t="s">
        <v>12</v>
      </c>
    </row>
    <row r="884" spans="1:8" x14ac:dyDescent="0.25">
      <c r="A884">
        <v>1179957064</v>
      </c>
      <c r="B884" t="s">
        <v>1755</v>
      </c>
      <c r="C884">
        <v>3</v>
      </c>
      <c r="D884" s="1">
        <v>110.77</v>
      </c>
      <c r="E884" s="10" t="s">
        <v>1756</v>
      </c>
      <c r="F884" s="10" t="s">
        <v>1757</v>
      </c>
      <c r="G884" s="10" t="s">
        <v>38</v>
      </c>
      <c r="H884" t="s">
        <v>12</v>
      </c>
    </row>
    <row r="885" spans="1:8" x14ac:dyDescent="0.25">
      <c r="A885">
        <v>1179942773</v>
      </c>
      <c r="B885" t="s">
        <v>1758</v>
      </c>
      <c r="C885">
        <v>4</v>
      </c>
      <c r="D885" s="1">
        <v>33.409999999999997</v>
      </c>
      <c r="E885" s="10" t="s">
        <v>1756</v>
      </c>
      <c r="F885" s="10" t="s">
        <v>1759</v>
      </c>
      <c r="G885" s="10" t="s">
        <v>11</v>
      </c>
      <c r="H885" t="s">
        <v>12</v>
      </c>
    </row>
    <row r="886" spans="1:8" x14ac:dyDescent="0.25">
      <c r="A886">
        <v>1179920868</v>
      </c>
      <c r="B886" t="s">
        <v>788</v>
      </c>
      <c r="C886">
        <v>1</v>
      </c>
      <c r="D886" s="1">
        <v>17.12</v>
      </c>
      <c r="E886" s="10" t="s">
        <v>1756</v>
      </c>
      <c r="F886" s="10" t="s">
        <v>1760</v>
      </c>
      <c r="G886" s="10" t="s">
        <v>11</v>
      </c>
      <c r="H886" t="s">
        <v>12</v>
      </c>
    </row>
    <row r="887" spans="1:8" x14ac:dyDescent="0.25">
      <c r="A887">
        <v>1179893768</v>
      </c>
      <c r="B887" t="s">
        <v>1761</v>
      </c>
      <c r="C887">
        <v>4</v>
      </c>
      <c r="D887" s="1">
        <v>89.27</v>
      </c>
      <c r="E887" s="10" t="s">
        <v>1762</v>
      </c>
      <c r="F887" s="10" t="s">
        <v>1763</v>
      </c>
      <c r="G887" s="10" t="s">
        <v>48</v>
      </c>
      <c r="H887" t="s">
        <v>12</v>
      </c>
    </row>
    <row r="888" spans="1:8" x14ac:dyDescent="0.25">
      <c r="A888">
        <v>1179590060</v>
      </c>
      <c r="B888" t="s">
        <v>237</v>
      </c>
      <c r="C888">
        <v>1</v>
      </c>
      <c r="D888" s="1">
        <v>14</v>
      </c>
      <c r="E888" s="10" t="s">
        <v>1764</v>
      </c>
      <c r="F888" s="10" t="s">
        <v>1765</v>
      </c>
      <c r="G888" s="10" t="s">
        <v>11</v>
      </c>
      <c r="H888" t="s">
        <v>12</v>
      </c>
    </row>
    <row r="889" spans="1:8" x14ac:dyDescent="0.25">
      <c r="A889">
        <v>1179426802</v>
      </c>
      <c r="B889" t="s">
        <v>1766</v>
      </c>
      <c r="C889">
        <v>4</v>
      </c>
      <c r="D889" s="1">
        <v>143.27000000000001</v>
      </c>
      <c r="E889" s="10" t="s">
        <v>1767</v>
      </c>
      <c r="F889" s="10" t="s">
        <v>1768</v>
      </c>
      <c r="G889" s="10" t="s">
        <v>38</v>
      </c>
      <c r="H889" t="s">
        <v>12</v>
      </c>
    </row>
    <row r="890" spans="1:8" x14ac:dyDescent="0.25">
      <c r="A890">
        <v>1179331382</v>
      </c>
      <c r="B890" t="s">
        <v>1769</v>
      </c>
      <c r="C890">
        <v>2</v>
      </c>
      <c r="D890" s="1">
        <v>53.95</v>
      </c>
      <c r="E890" s="10" t="s">
        <v>1770</v>
      </c>
      <c r="F890" s="10" t="s">
        <v>1771</v>
      </c>
      <c r="G890" s="10" t="s">
        <v>11</v>
      </c>
      <c r="H890" t="s">
        <v>12</v>
      </c>
    </row>
    <row r="891" spans="1:8" x14ac:dyDescent="0.25">
      <c r="A891">
        <v>1179052157</v>
      </c>
      <c r="B891" t="s">
        <v>1172</v>
      </c>
      <c r="C891">
        <v>1</v>
      </c>
      <c r="D891" s="1">
        <v>12.17</v>
      </c>
      <c r="E891" s="10" t="s">
        <v>1772</v>
      </c>
      <c r="F891" s="10" t="s">
        <v>1773</v>
      </c>
      <c r="G891" s="10" t="s">
        <v>48</v>
      </c>
      <c r="H891" t="s">
        <v>12</v>
      </c>
    </row>
    <row r="892" spans="1:8" x14ac:dyDescent="0.25">
      <c r="A892">
        <v>1178944065</v>
      </c>
      <c r="B892" t="s">
        <v>1774</v>
      </c>
      <c r="C892">
        <v>4</v>
      </c>
      <c r="D892" s="1">
        <v>4.42</v>
      </c>
      <c r="E892" s="10" t="s">
        <v>1775</v>
      </c>
      <c r="F892" s="10" t="s">
        <v>1776</v>
      </c>
      <c r="G892" s="10" t="s">
        <v>11</v>
      </c>
      <c r="H892" t="s">
        <v>12</v>
      </c>
    </row>
    <row r="893" spans="1:8" x14ac:dyDescent="0.25">
      <c r="A893">
        <v>1178792652</v>
      </c>
      <c r="B893" t="s">
        <v>1777</v>
      </c>
      <c r="C893">
        <v>2</v>
      </c>
      <c r="D893" s="1">
        <v>60.85</v>
      </c>
      <c r="E893" s="10" t="s">
        <v>1778</v>
      </c>
      <c r="F893" s="10" t="s">
        <v>1779</v>
      </c>
      <c r="G893" s="10" t="s">
        <v>38</v>
      </c>
      <c r="H893" t="s">
        <v>12</v>
      </c>
    </row>
    <row r="894" spans="1:8" x14ac:dyDescent="0.25">
      <c r="A894">
        <v>1178792635</v>
      </c>
      <c r="B894" t="s">
        <v>1780</v>
      </c>
      <c r="C894">
        <v>2</v>
      </c>
      <c r="D894" s="1">
        <v>49.87</v>
      </c>
      <c r="E894" s="10" t="s">
        <v>1778</v>
      </c>
      <c r="F894" s="10" t="s">
        <v>1781</v>
      </c>
      <c r="G894" s="10" t="s">
        <v>11</v>
      </c>
      <c r="H894" t="s">
        <v>12</v>
      </c>
    </row>
    <row r="895" spans="1:8" x14ac:dyDescent="0.25">
      <c r="A895">
        <v>1178792325</v>
      </c>
      <c r="B895" t="s">
        <v>1782</v>
      </c>
      <c r="C895">
        <v>4</v>
      </c>
      <c r="D895" s="1">
        <v>69.27</v>
      </c>
      <c r="E895" s="10" t="s">
        <v>1778</v>
      </c>
      <c r="F895" s="10" t="s">
        <v>1783</v>
      </c>
      <c r="G895" s="10" t="s">
        <v>48</v>
      </c>
      <c r="H895" t="s">
        <v>12</v>
      </c>
    </row>
    <row r="896" spans="1:8" x14ac:dyDescent="0.25">
      <c r="A896">
        <v>1178747825</v>
      </c>
      <c r="B896" t="s">
        <v>294</v>
      </c>
      <c r="C896">
        <v>6</v>
      </c>
      <c r="D896" s="1">
        <v>26.02</v>
      </c>
      <c r="E896" s="10" t="s">
        <v>1778</v>
      </c>
      <c r="F896" s="10" t="s">
        <v>1784</v>
      </c>
      <c r="G896" s="10" t="s">
        <v>48</v>
      </c>
      <c r="H896" t="s">
        <v>12</v>
      </c>
    </row>
    <row r="897" spans="1:8" x14ac:dyDescent="0.25">
      <c r="A897">
        <v>1178657863</v>
      </c>
      <c r="B897" t="s">
        <v>303</v>
      </c>
      <c r="C897">
        <v>4</v>
      </c>
      <c r="D897" s="1">
        <v>60.49</v>
      </c>
      <c r="E897" s="10" t="s">
        <v>1785</v>
      </c>
      <c r="F897" s="10" t="s">
        <v>1786</v>
      </c>
      <c r="G897" s="10" t="s">
        <v>11</v>
      </c>
      <c r="H897" t="s">
        <v>12</v>
      </c>
    </row>
    <row r="898" spans="1:8" x14ac:dyDescent="0.25">
      <c r="A898">
        <v>1178657400</v>
      </c>
      <c r="B898" t="s">
        <v>1787</v>
      </c>
      <c r="C898">
        <v>4</v>
      </c>
      <c r="D898" s="1">
        <v>39.1</v>
      </c>
      <c r="E898" s="10" t="s">
        <v>1785</v>
      </c>
      <c r="F898" s="10" t="s">
        <v>1788</v>
      </c>
      <c r="G898" s="10" t="s">
        <v>48</v>
      </c>
      <c r="H898" t="s">
        <v>12</v>
      </c>
    </row>
    <row r="899" spans="1:8" x14ac:dyDescent="0.25">
      <c r="A899">
        <v>1178602338</v>
      </c>
      <c r="B899" t="s">
        <v>1789</v>
      </c>
      <c r="C899">
        <v>1</v>
      </c>
      <c r="D899" s="1">
        <v>38.799999999999997</v>
      </c>
      <c r="E899" s="10" t="s">
        <v>1785</v>
      </c>
      <c r="F899" s="10" t="s">
        <v>1790</v>
      </c>
      <c r="G899" s="10" t="s">
        <v>11</v>
      </c>
      <c r="H899" t="s">
        <v>12</v>
      </c>
    </row>
    <row r="900" spans="1:8" x14ac:dyDescent="0.25">
      <c r="A900">
        <v>1178326480</v>
      </c>
      <c r="B900" t="s">
        <v>1791</v>
      </c>
      <c r="C900">
        <v>1</v>
      </c>
      <c r="D900" s="1">
        <v>1.72</v>
      </c>
      <c r="E900" s="10" t="s">
        <v>1792</v>
      </c>
      <c r="F900" s="10" t="s">
        <v>1793</v>
      </c>
      <c r="G900" s="10" t="s">
        <v>48</v>
      </c>
      <c r="H900" t="s">
        <v>12</v>
      </c>
    </row>
    <row r="901" spans="1:8" x14ac:dyDescent="0.25">
      <c r="A901">
        <v>1178227175</v>
      </c>
      <c r="B901" t="s">
        <v>294</v>
      </c>
      <c r="C901">
        <v>20</v>
      </c>
      <c r="D901" s="1">
        <v>12.67</v>
      </c>
      <c r="E901" s="10" t="s">
        <v>1794</v>
      </c>
      <c r="F901" s="10" t="s">
        <v>1795</v>
      </c>
      <c r="G901" s="10" t="s">
        <v>11</v>
      </c>
      <c r="H901" t="s">
        <v>12</v>
      </c>
    </row>
    <row r="902" spans="1:8" x14ac:dyDescent="0.25">
      <c r="A902">
        <v>1178209541</v>
      </c>
      <c r="B902" t="s">
        <v>1796</v>
      </c>
      <c r="C902">
        <v>2</v>
      </c>
      <c r="D902" s="1">
        <v>4.22</v>
      </c>
      <c r="E902" s="10" t="s">
        <v>1794</v>
      </c>
      <c r="F902" s="10" t="s">
        <v>1797</v>
      </c>
      <c r="G902" s="10" t="s">
        <v>11</v>
      </c>
      <c r="H902" t="s">
        <v>12</v>
      </c>
    </row>
    <row r="903" spans="1:8" x14ac:dyDescent="0.25">
      <c r="A903">
        <v>1178208447</v>
      </c>
      <c r="B903" t="s">
        <v>1798</v>
      </c>
      <c r="C903">
        <v>12</v>
      </c>
      <c r="D903" s="1">
        <v>6.02</v>
      </c>
      <c r="E903" s="10" t="s">
        <v>1794</v>
      </c>
      <c r="F903" s="10" t="s">
        <v>1799</v>
      </c>
      <c r="G903" s="10" t="s">
        <v>11</v>
      </c>
      <c r="H903" t="s">
        <v>12</v>
      </c>
    </row>
    <row r="904" spans="1:8" x14ac:dyDescent="0.25">
      <c r="A904">
        <v>1178206014</v>
      </c>
      <c r="B904" t="s">
        <v>1800</v>
      </c>
      <c r="C904">
        <v>8</v>
      </c>
      <c r="D904" s="1">
        <v>14.82</v>
      </c>
      <c r="E904" s="10" t="s">
        <v>1794</v>
      </c>
      <c r="F904" s="10" t="s">
        <v>1801</v>
      </c>
      <c r="G904" s="10" t="s">
        <v>11</v>
      </c>
      <c r="H904" t="s">
        <v>12</v>
      </c>
    </row>
    <row r="905" spans="1:8" x14ac:dyDescent="0.25">
      <c r="A905">
        <v>1178155822</v>
      </c>
      <c r="B905" t="s">
        <v>1802</v>
      </c>
      <c r="C905">
        <v>2</v>
      </c>
      <c r="D905" s="1">
        <v>14.72</v>
      </c>
      <c r="E905" s="10" t="s">
        <v>1794</v>
      </c>
      <c r="F905" s="10" t="s">
        <v>1803</v>
      </c>
      <c r="G905" s="10" t="s">
        <v>11</v>
      </c>
      <c r="H905" t="s">
        <v>12</v>
      </c>
    </row>
    <row r="906" spans="1:8" x14ac:dyDescent="0.25">
      <c r="A906">
        <v>1178144974</v>
      </c>
      <c r="B906" t="s">
        <v>965</v>
      </c>
      <c r="C906">
        <v>4</v>
      </c>
      <c r="D906" s="1">
        <v>24.82</v>
      </c>
      <c r="E906" s="10" t="s">
        <v>1794</v>
      </c>
      <c r="F906" s="10" t="s">
        <v>1804</v>
      </c>
      <c r="G906" s="10" t="s">
        <v>11</v>
      </c>
      <c r="H906" t="s">
        <v>12</v>
      </c>
    </row>
    <row r="907" spans="1:8" x14ac:dyDescent="0.25">
      <c r="A907">
        <v>1178100465</v>
      </c>
      <c r="B907" t="s">
        <v>1805</v>
      </c>
      <c r="C907">
        <v>4</v>
      </c>
      <c r="D907" s="1">
        <v>11.22</v>
      </c>
      <c r="E907" s="10" t="s">
        <v>1806</v>
      </c>
      <c r="F907" s="10" t="s">
        <v>1807</v>
      </c>
      <c r="G907" s="10" t="s">
        <v>11</v>
      </c>
      <c r="H907" t="s">
        <v>12</v>
      </c>
    </row>
    <row r="908" spans="1:8" x14ac:dyDescent="0.25">
      <c r="A908">
        <v>1178100353</v>
      </c>
      <c r="B908" t="s">
        <v>1808</v>
      </c>
      <c r="C908">
        <v>1</v>
      </c>
      <c r="D908" s="1">
        <v>36.590000000000003</v>
      </c>
      <c r="E908" s="10" t="s">
        <v>1806</v>
      </c>
      <c r="F908" s="10" t="s">
        <v>1809</v>
      </c>
      <c r="G908" s="10" t="s">
        <v>11</v>
      </c>
      <c r="H908" t="s">
        <v>12</v>
      </c>
    </row>
    <row r="909" spans="1:8" x14ac:dyDescent="0.25">
      <c r="A909">
        <v>1178096154</v>
      </c>
      <c r="B909" t="s">
        <v>1810</v>
      </c>
      <c r="C909">
        <v>6</v>
      </c>
      <c r="D909" s="1">
        <v>67.849999999999994</v>
      </c>
      <c r="E909" s="10" t="s">
        <v>1806</v>
      </c>
      <c r="F909" s="10" t="s">
        <v>1811</v>
      </c>
      <c r="G909" s="10" t="s">
        <v>11</v>
      </c>
      <c r="H909" t="s">
        <v>12</v>
      </c>
    </row>
    <row r="910" spans="1:8" x14ac:dyDescent="0.25">
      <c r="A910">
        <v>1177911137</v>
      </c>
      <c r="B910" t="s">
        <v>1812</v>
      </c>
      <c r="C910">
        <v>3</v>
      </c>
      <c r="D910" s="1">
        <v>6.06</v>
      </c>
      <c r="E910" s="10" t="s">
        <v>1813</v>
      </c>
      <c r="F910" s="10" t="s">
        <v>1814</v>
      </c>
      <c r="G910" s="10" t="s">
        <v>48</v>
      </c>
      <c r="H910" t="s">
        <v>12</v>
      </c>
    </row>
    <row r="911" spans="1:8" x14ac:dyDescent="0.25">
      <c r="A911">
        <v>1177755570</v>
      </c>
      <c r="B911" t="s">
        <v>1815</v>
      </c>
      <c r="C911">
        <v>4</v>
      </c>
      <c r="D911" s="1">
        <v>5.22</v>
      </c>
      <c r="E911" s="10" t="s">
        <v>1816</v>
      </c>
      <c r="F911" s="10" t="s">
        <v>1817</v>
      </c>
      <c r="G911" s="10" t="s">
        <v>11</v>
      </c>
      <c r="H911" t="s">
        <v>12</v>
      </c>
    </row>
    <row r="912" spans="1:8" x14ac:dyDescent="0.25">
      <c r="A912">
        <v>1177755491</v>
      </c>
      <c r="B912" t="s">
        <v>318</v>
      </c>
      <c r="C912">
        <v>32</v>
      </c>
      <c r="D912" s="1">
        <v>22.63</v>
      </c>
      <c r="E912" s="10" t="s">
        <v>1816</v>
      </c>
      <c r="F912" s="10" t="s">
        <v>1818</v>
      </c>
      <c r="G912" s="10" t="s">
        <v>11</v>
      </c>
      <c r="H912" t="s">
        <v>12</v>
      </c>
    </row>
    <row r="913" spans="1:8" x14ac:dyDescent="0.25">
      <c r="A913">
        <v>1177698001</v>
      </c>
      <c r="B913" t="s">
        <v>414</v>
      </c>
      <c r="C913">
        <v>6</v>
      </c>
      <c r="D913" s="1">
        <v>17.16</v>
      </c>
      <c r="E913" s="10" t="s">
        <v>1819</v>
      </c>
      <c r="F913" s="10" t="s">
        <v>1654</v>
      </c>
      <c r="G913" s="10" t="s">
        <v>11</v>
      </c>
      <c r="H913" t="s">
        <v>12</v>
      </c>
    </row>
    <row r="914" spans="1:8" ht="30" x14ac:dyDescent="0.25">
      <c r="A914">
        <v>1177465113</v>
      </c>
      <c r="B914" t="s">
        <v>8</v>
      </c>
      <c r="C914">
        <v>4</v>
      </c>
      <c r="D914" s="1">
        <v>7.85</v>
      </c>
      <c r="E914" s="10" t="s">
        <v>1820</v>
      </c>
      <c r="F914" s="10" t="s">
        <v>37</v>
      </c>
      <c r="G914" s="10" t="s">
        <v>38</v>
      </c>
      <c r="H914" t="s">
        <v>12</v>
      </c>
    </row>
    <row r="915" spans="1:8" x14ac:dyDescent="0.25">
      <c r="A915">
        <v>1177333406</v>
      </c>
      <c r="B915" t="s">
        <v>1821</v>
      </c>
      <c r="C915">
        <v>1</v>
      </c>
      <c r="D915" s="1">
        <v>3.17</v>
      </c>
      <c r="E915" s="10" t="s">
        <v>1822</v>
      </c>
      <c r="F915" s="10" t="s">
        <v>1823</v>
      </c>
      <c r="G915" s="10" t="s">
        <v>48</v>
      </c>
      <c r="H915" t="s">
        <v>12</v>
      </c>
    </row>
    <row r="916" spans="1:8" x14ac:dyDescent="0.25">
      <c r="A916">
        <v>1177000590</v>
      </c>
      <c r="B916" t="s">
        <v>1163</v>
      </c>
      <c r="C916">
        <v>1</v>
      </c>
      <c r="D916" s="1">
        <v>18.07</v>
      </c>
      <c r="E916" s="10" t="s">
        <v>1824</v>
      </c>
      <c r="F916" s="10" t="s">
        <v>1825</v>
      </c>
      <c r="G916" s="10" t="s">
        <v>11</v>
      </c>
      <c r="H916" t="s">
        <v>12</v>
      </c>
    </row>
    <row r="917" spans="1:8" ht="30" x14ac:dyDescent="0.25">
      <c r="A917">
        <v>1176992416</v>
      </c>
      <c r="B917" t="s">
        <v>8</v>
      </c>
      <c r="C917">
        <v>4</v>
      </c>
      <c r="D917" s="1">
        <v>9.75</v>
      </c>
      <c r="E917" s="10" t="s">
        <v>1824</v>
      </c>
      <c r="F917" s="10" t="s">
        <v>37</v>
      </c>
      <c r="G917" s="10" t="s">
        <v>38</v>
      </c>
      <c r="H917" t="s">
        <v>12</v>
      </c>
    </row>
    <row r="918" spans="1:8" x14ac:dyDescent="0.25">
      <c r="A918">
        <v>1176843944</v>
      </c>
      <c r="B918" t="s">
        <v>1826</v>
      </c>
      <c r="C918">
        <v>1</v>
      </c>
      <c r="D918" s="1">
        <v>50.92</v>
      </c>
      <c r="E918" s="10" t="s">
        <v>1827</v>
      </c>
      <c r="F918" s="10" t="s">
        <v>1828</v>
      </c>
      <c r="G918" s="10" t="s">
        <v>11</v>
      </c>
      <c r="H918" t="s">
        <v>12</v>
      </c>
    </row>
    <row r="919" spans="1:8" x14ac:dyDescent="0.25">
      <c r="A919">
        <v>1176843547</v>
      </c>
      <c r="B919" t="s">
        <v>1829</v>
      </c>
      <c r="C919">
        <v>1</v>
      </c>
      <c r="D919" s="1">
        <v>52.25</v>
      </c>
      <c r="E919" s="10" t="s">
        <v>1827</v>
      </c>
      <c r="F919" s="10" t="s">
        <v>1830</v>
      </c>
      <c r="G919" s="10" t="s">
        <v>48</v>
      </c>
      <c r="H919" t="s">
        <v>12</v>
      </c>
    </row>
    <row r="920" spans="1:8" x14ac:dyDescent="0.25">
      <c r="A920">
        <v>1176841022</v>
      </c>
      <c r="B920" t="s">
        <v>1831</v>
      </c>
      <c r="C920">
        <v>2</v>
      </c>
      <c r="D920" s="1">
        <v>8.02</v>
      </c>
      <c r="E920" s="10" t="s">
        <v>1827</v>
      </c>
      <c r="F920" s="10" t="s">
        <v>1832</v>
      </c>
      <c r="G920" s="10" t="s">
        <v>11</v>
      </c>
      <c r="H920" t="s">
        <v>12</v>
      </c>
    </row>
    <row r="921" spans="1:8" x14ac:dyDescent="0.25">
      <c r="A921">
        <v>1176840647</v>
      </c>
      <c r="B921" t="s">
        <v>1833</v>
      </c>
      <c r="C921">
        <v>1</v>
      </c>
      <c r="D921" s="1">
        <v>18.72</v>
      </c>
      <c r="E921" s="10" t="s">
        <v>1827</v>
      </c>
      <c r="F921" s="10" t="s">
        <v>1834</v>
      </c>
      <c r="G921" s="10" t="s">
        <v>11</v>
      </c>
      <c r="H921" t="s">
        <v>12</v>
      </c>
    </row>
    <row r="922" spans="1:8" x14ac:dyDescent="0.25">
      <c r="A922">
        <v>1176840646</v>
      </c>
      <c r="B922" t="s">
        <v>1835</v>
      </c>
      <c r="C922">
        <v>1</v>
      </c>
      <c r="D922" s="1">
        <v>18.72</v>
      </c>
      <c r="E922" s="10" t="s">
        <v>1827</v>
      </c>
      <c r="F922" s="10" t="s">
        <v>1836</v>
      </c>
      <c r="G922" s="10" t="s">
        <v>11</v>
      </c>
      <c r="H922" t="s">
        <v>12</v>
      </c>
    </row>
    <row r="923" spans="1:8" x14ac:dyDescent="0.25">
      <c r="A923">
        <v>1176840322</v>
      </c>
      <c r="B923" t="s">
        <v>1837</v>
      </c>
      <c r="C923">
        <v>1</v>
      </c>
      <c r="D923" s="1">
        <v>15.72</v>
      </c>
      <c r="E923" s="10" t="s">
        <v>1827</v>
      </c>
      <c r="F923" s="10" t="s">
        <v>1838</v>
      </c>
      <c r="G923" s="10" t="s">
        <v>11</v>
      </c>
      <c r="H923" t="s">
        <v>12</v>
      </c>
    </row>
    <row r="924" spans="1:8" x14ac:dyDescent="0.25">
      <c r="A924">
        <v>1176840190</v>
      </c>
      <c r="B924" t="s">
        <v>1839</v>
      </c>
      <c r="C924">
        <v>2</v>
      </c>
      <c r="D924" s="1">
        <v>3.12</v>
      </c>
      <c r="E924" s="10" t="s">
        <v>1827</v>
      </c>
      <c r="F924" s="10" t="s">
        <v>1840</v>
      </c>
      <c r="G924" s="10" t="s">
        <v>11</v>
      </c>
      <c r="H924" t="s">
        <v>12</v>
      </c>
    </row>
    <row r="925" spans="1:8" x14ac:dyDescent="0.25">
      <c r="A925">
        <v>1176840147</v>
      </c>
      <c r="B925" t="s">
        <v>1841</v>
      </c>
      <c r="C925">
        <v>2</v>
      </c>
      <c r="D925" s="1">
        <v>15.82</v>
      </c>
      <c r="E925" s="10" t="s">
        <v>1827</v>
      </c>
      <c r="F925" s="10" t="s">
        <v>1842</v>
      </c>
      <c r="G925" s="10" t="s">
        <v>38</v>
      </c>
      <c r="H925" t="s">
        <v>12</v>
      </c>
    </row>
    <row r="926" spans="1:8" x14ac:dyDescent="0.25">
      <c r="A926">
        <v>1176839978</v>
      </c>
      <c r="B926" t="s">
        <v>1843</v>
      </c>
      <c r="C926">
        <v>1</v>
      </c>
      <c r="D926" s="1">
        <v>17.22</v>
      </c>
      <c r="E926" s="10" t="s">
        <v>1827</v>
      </c>
      <c r="F926" s="10" t="s">
        <v>1844</v>
      </c>
      <c r="G926" s="10" t="s">
        <v>38</v>
      </c>
      <c r="H926" t="s">
        <v>12</v>
      </c>
    </row>
    <row r="927" spans="1:8" ht="30" x14ac:dyDescent="0.25">
      <c r="A927">
        <v>1176837643</v>
      </c>
      <c r="B927" t="s">
        <v>61</v>
      </c>
      <c r="C927">
        <v>4</v>
      </c>
      <c r="D927" s="1">
        <v>5.99</v>
      </c>
      <c r="E927" s="10" t="s">
        <v>1827</v>
      </c>
      <c r="F927" s="10" t="s">
        <v>1625</v>
      </c>
      <c r="G927" s="10" t="s">
        <v>38</v>
      </c>
      <c r="H927" t="s">
        <v>12</v>
      </c>
    </row>
    <row r="928" spans="1:8" x14ac:dyDescent="0.25">
      <c r="A928">
        <v>1176837004</v>
      </c>
      <c r="B928" t="s">
        <v>414</v>
      </c>
      <c r="C928">
        <v>4</v>
      </c>
      <c r="D928" s="1">
        <v>2.2200000000000002</v>
      </c>
      <c r="E928" s="10" t="s">
        <v>1827</v>
      </c>
      <c r="F928" s="10" t="s">
        <v>1654</v>
      </c>
      <c r="G928" s="10" t="s">
        <v>11</v>
      </c>
      <c r="H928" t="s">
        <v>12</v>
      </c>
    </row>
    <row r="929" spans="1:8" x14ac:dyDescent="0.25">
      <c r="A929">
        <v>1176836891</v>
      </c>
      <c r="B929" t="s">
        <v>1845</v>
      </c>
      <c r="C929">
        <v>10</v>
      </c>
      <c r="D929" s="1">
        <v>6.42</v>
      </c>
      <c r="E929" s="10" t="s">
        <v>1827</v>
      </c>
      <c r="F929" s="10" t="s">
        <v>1846</v>
      </c>
      <c r="G929" s="10" t="s">
        <v>11</v>
      </c>
      <c r="H929" t="s">
        <v>12</v>
      </c>
    </row>
    <row r="930" spans="1:8" x14ac:dyDescent="0.25">
      <c r="A930">
        <v>1176534065</v>
      </c>
      <c r="B930" t="s">
        <v>181</v>
      </c>
      <c r="C930">
        <v>8</v>
      </c>
      <c r="D930" s="1">
        <v>9.94</v>
      </c>
      <c r="E930" s="10" t="s">
        <v>1847</v>
      </c>
      <c r="F930" s="10" t="s">
        <v>1720</v>
      </c>
      <c r="G930" s="10" t="s">
        <v>11</v>
      </c>
      <c r="H930" t="s">
        <v>12</v>
      </c>
    </row>
    <row r="931" spans="1:8" x14ac:dyDescent="0.25">
      <c r="A931" t="s">
        <v>1848</v>
      </c>
      <c r="B931" t="s">
        <v>1849</v>
      </c>
      <c r="C931">
        <v>1</v>
      </c>
      <c r="D931" s="1">
        <v>12</v>
      </c>
      <c r="E931" s="10" t="s">
        <v>1850</v>
      </c>
      <c r="F931" s="10" t="s">
        <v>548</v>
      </c>
      <c r="G931" s="10" t="s">
        <v>11</v>
      </c>
      <c r="H931" t="s">
        <v>12</v>
      </c>
    </row>
    <row r="932" spans="1:8" x14ac:dyDescent="0.25">
      <c r="A932" t="s">
        <v>1851</v>
      </c>
      <c r="B932" t="s">
        <v>1852</v>
      </c>
      <c r="C932">
        <v>4</v>
      </c>
      <c r="D932" s="1">
        <v>143.27000000000001</v>
      </c>
      <c r="E932" s="10" t="s">
        <v>1850</v>
      </c>
      <c r="F932" s="10" t="s">
        <v>548</v>
      </c>
      <c r="G932" s="10" t="s">
        <v>48</v>
      </c>
      <c r="H932" t="s">
        <v>12</v>
      </c>
    </row>
    <row r="933" spans="1:8" x14ac:dyDescent="0.25">
      <c r="A933">
        <v>1176471542</v>
      </c>
      <c r="B933" t="s">
        <v>1853</v>
      </c>
      <c r="C933">
        <v>1</v>
      </c>
      <c r="D933" s="1">
        <v>6.17</v>
      </c>
      <c r="E933" s="10" t="s">
        <v>1850</v>
      </c>
      <c r="F933" s="10" t="s">
        <v>1854</v>
      </c>
      <c r="G933" s="10" t="s">
        <v>48</v>
      </c>
      <c r="H933" t="s">
        <v>12</v>
      </c>
    </row>
    <row r="934" spans="1:8" x14ac:dyDescent="0.25">
      <c r="A934">
        <v>1176293751</v>
      </c>
      <c r="B934" t="s">
        <v>1855</v>
      </c>
      <c r="C934">
        <v>3</v>
      </c>
      <c r="D934" s="1">
        <v>5.15</v>
      </c>
      <c r="E934" s="10" t="s">
        <v>1856</v>
      </c>
      <c r="F934" s="10" t="s">
        <v>1857</v>
      </c>
      <c r="G934" s="10" t="s">
        <v>48</v>
      </c>
      <c r="H934" t="s">
        <v>12</v>
      </c>
    </row>
    <row r="935" spans="1:8" x14ac:dyDescent="0.25">
      <c r="A935">
        <v>1176289304</v>
      </c>
      <c r="B935" t="s">
        <v>1858</v>
      </c>
      <c r="C935">
        <v>4</v>
      </c>
      <c r="D935" s="1">
        <v>2.02</v>
      </c>
      <c r="E935" s="10" t="s">
        <v>1856</v>
      </c>
      <c r="F935" s="10" t="s">
        <v>1859</v>
      </c>
      <c r="G935" s="10" t="s">
        <v>11</v>
      </c>
      <c r="H935" t="s">
        <v>12</v>
      </c>
    </row>
    <row r="936" spans="1:8" x14ac:dyDescent="0.25">
      <c r="A936">
        <v>1176259465</v>
      </c>
      <c r="B936" t="s">
        <v>1860</v>
      </c>
      <c r="C936">
        <v>1</v>
      </c>
      <c r="D936" s="1">
        <v>6.17</v>
      </c>
      <c r="E936" s="10" t="s">
        <v>1856</v>
      </c>
      <c r="F936" s="10" t="s">
        <v>1861</v>
      </c>
      <c r="G936" s="10" t="s">
        <v>48</v>
      </c>
      <c r="H936" t="s">
        <v>12</v>
      </c>
    </row>
    <row r="937" spans="1:8" x14ac:dyDescent="0.25">
      <c r="A937">
        <v>1176221818</v>
      </c>
      <c r="B937" t="s">
        <v>1862</v>
      </c>
      <c r="C937">
        <v>1</v>
      </c>
      <c r="D937" s="1">
        <v>13.12</v>
      </c>
      <c r="E937" s="10" t="s">
        <v>1856</v>
      </c>
      <c r="F937" s="10" t="s">
        <v>1863</v>
      </c>
      <c r="G937" s="10" t="s">
        <v>48</v>
      </c>
      <c r="H937" t="s">
        <v>12</v>
      </c>
    </row>
    <row r="938" spans="1:8" x14ac:dyDescent="0.25">
      <c r="A938">
        <v>1176153622</v>
      </c>
      <c r="B938" t="s">
        <v>1864</v>
      </c>
      <c r="C938">
        <v>1</v>
      </c>
      <c r="D938" s="1">
        <v>11.17</v>
      </c>
      <c r="E938" s="10" t="s">
        <v>1865</v>
      </c>
      <c r="F938" s="10" t="s">
        <v>1866</v>
      </c>
      <c r="G938" s="10" t="s">
        <v>48</v>
      </c>
      <c r="H938" t="s">
        <v>12</v>
      </c>
    </row>
    <row r="939" spans="1:8" x14ac:dyDescent="0.25">
      <c r="A939">
        <v>1176049465</v>
      </c>
      <c r="B939" t="s">
        <v>847</v>
      </c>
      <c r="C939">
        <v>2</v>
      </c>
      <c r="D939" s="1">
        <v>35.42</v>
      </c>
      <c r="E939" s="10" t="s">
        <v>1865</v>
      </c>
      <c r="F939" s="10" t="s">
        <v>1867</v>
      </c>
      <c r="G939" s="10" t="s">
        <v>11</v>
      </c>
      <c r="H939" t="s">
        <v>12</v>
      </c>
    </row>
    <row r="940" spans="1:8" ht="30" x14ac:dyDescent="0.25">
      <c r="A940">
        <v>1176049435</v>
      </c>
      <c r="B940" t="s">
        <v>8</v>
      </c>
      <c r="C940">
        <v>6</v>
      </c>
      <c r="D940" s="1">
        <v>30.05</v>
      </c>
      <c r="E940" s="10" t="s">
        <v>1865</v>
      </c>
      <c r="F940" s="10" t="s">
        <v>37</v>
      </c>
      <c r="G940" s="10" t="s">
        <v>38</v>
      </c>
      <c r="H940" t="s">
        <v>12</v>
      </c>
    </row>
    <row r="941" spans="1:8" x14ac:dyDescent="0.25">
      <c r="A941">
        <v>1176022114</v>
      </c>
      <c r="B941" t="s">
        <v>1032</v>
      </c>
      <c r="C941">
        <v>18</v>
      </c>
      <c r="D941" s="1">
        <v>22.65</v>
      </c>
      <c r="E941" s="10" t="s">
        <v>1868</v>
      </c>
      <c r="F941" s="10" t="s">
        <v>1869</v>
      </c>
      <c r="G941" s="10" t="s">
        <v>11</v>
      </c>
      <c r="H941" t="s">
        <v>12</v>
      </c>
    </row>
    <row r="942" spans="1:8" x14ac:dyDescent="0.25">
      <c r="A942">
        <v>1176021831</v>
      </c>
      <c r="B942" t="s">
        <v>1870</v>
      </c>
      <c r="C942">
        <v>1</v>
      </c>
      <c r="D942" s="1">
        <v>4.21</v>
      </c>
      <c r="E942" s="10" t="s">
        <v>1868</v>
      </c>
      <c r="F942" s="10" t="s">
        <v>1871</v>
      </c>
      <c r="G942" s="10" t="s">
        <v>11</v>
      </c>
      <c r="H942" t="s">
        <v>12</v>
      </c>
    </row>
    <row r="943" spans="1:8" x14ac:dyDescent="0.25">
      <c r="A943">
        <v>1175934829</v>
      </c>
      <c r="B943" t="s">
        <v>1872</v>
      </c>
      <c r="C943">
        <v>1</v>
      </c>
      <c r="D943" s="1">
        <v>1.97</v>
      </c>
      <c r="E943" s="10" t="s">
        <v>1868</v>
      </c>
      <c r="F943" s="10" t="s">
        <v>1873</v>
      </c>
      <c r="G943" s="10" t="s">
        <v>38</v>
      </c>
      <c r="H943" t="s">
        <v>12</v>
      </c>
    </row>
    <row r="944" spans="1:8" x14ac:dyDescent="0.25">
      <c r="A944">
        <v>1175934516</v>
      </c>
      <c r="B944" t="s">
        <v>1874</v>
      </c>
      <c r="C944">
        <v>4</v>
      </c>
      <c r="D944" s="1">
        <v>6.02</v>
      </c>
      <c r="E944" s="10" t="s">
        <v>1868</v>
      </c>
      <c r="F944" s="10" t="s">
        <v>1875</v>
      </c>
      <c r="G944" s="10" t="s">
        <v>11</v>
      </c>
      <c r="H944" t="s">
        <v>12</v>
      </c>
    </row>
    <row r="945" spans="1:8" x14ac:dyDescent="0.25">
      <c r="A945">
        <v>1175934318</v>
      </c>
      <c r="B945" t="s">
        <v>1876</v>
      </c>
      <c r="C945">
        <v>4</v>
      </c>
      <c r="D945" s="1">
        <v>1.82</v>
      </c>
      <c r="E945" s="10" t="s">
        <v>1868</v>
      </c>
      <c r="F945" s="10" t="s">
        <v>1877</v>
      </c>
      <c r="G945" s="10" t="s">
        <v>11</v>
      </c>
      <c r="H945" t="s">
        <v>12</v>
      </c>
    </row>
    <row r="946" spans="1:8" x14ac:dyDescent="0.25">
      <c r="A946">
        <v>1175934010</v>
      </c>
      <c r="B946" t="s">
        <v>1878</v>
      </c>
      <c r="C946">
        <v>4</v>
      </c>
      <c r="D946" s="1">
        <v>6.82</v>
      </c>
      <c r="E946" s="10" t="s">
        <v>1868</v>
      </c>
      <c r="F946" s="10" t="s">
        <v>1879</v>
      </c>
      <c r="G946" s="10" t="s">
        <v>11</v>
      </c>
      <c r="H946" t="s">
        <v>12</v>
      </c>
    </row>
    <row r="947" spans="1:8" x14ac:dyDescent="0.25">
      <c r="A947">
        <v>1175703301</v>
      </c>
      <c r="B947" t="s">
        <v>1880</v>
      </c>
      <c r="C947">
        <v>2</v>
      </c>
      <c r="D947" s="1">
        <v>9.92</v>
      </c>
      <c r="E947" s="10" t="s">
        <v>1881</v>
      </c>
      <c r="F947" s="10" t="s">
        <v>1882</v>
      </c>
      <c r="G947" s="10" t="s">
        <v>11</v>
      </c>
      <c r="H947" t="s">
        <v>12</v>
      </c>
    </row>
    <row r="948" spans="1:8" x14ac:dyDescent="0.25">
      <c r="A948">
        <v>1175700549</v>
      </c>
      <c r="B948" t="s">
        <v>1883</v>
      </c>
      <c r="C948">
        <v>1</v>
      </c>
      <c r="D948" s="1">
        <v>4.72</v>
      </c>
      <c r="E948" s="10" t="s">
        <v>1881</v>
      </c>
      <c r="F948" s="10" t="s">
        <v>1884</v>
      </c>
      <c r="G948" s="10" t="s">
        <v>11</v>
      </c>
      <c r="H948" t="s">
        <v>12</v>
      </c>
    </row>
    <row r="949" spans="1:8" x14ac:dyDescent="0.25">
      <c r="A949">
        <v>1175691053</v>
      </c>
      <c r="B949" t="s">
        <v>1885</v>
      </c>
      <c r="C949">
        <v>3</v>
      </c>
      <c r="D949" s="1">
        <v>13.22</v>
      </c>
      <c r="E949" s="10" t="s">
        <v>1881</v>
      </c>
      <c r="F949" s="10" t="s">
        <v>1886</v>
      </c>
      <c r="G949" s="10" t="s">
        <v>38</v>
      </c>
      <c r="H949" t="s">
        <v>12</v>
      </c>
    </row>
    <row r="950" spans="1:8" x14ac:dyDescent="0.25">
      <c r="A950">
        <v>1175690940</v>
      </c>
      <c r="B950" t="s">
        <v>1887</v>
      </c>
      <c r="C950">
        <v>3</v>
      </c>
      <c r="D950" s="1">
        <v>13.19</v>
      </c>
      <c r="E950" s="10" t="s">
        <v>1881</v>
      </c>
      <c r="F950" s="10" t="s">
        <v>1888</v>
      </c>
      <c r="G950" s="10" t="s">
        <v>38</v>
      </c>
      <c r="H950" t="s">
        <v>12</v>
      </c>
    </row>
    <row r="951" spans="1:8" x14ac:dyDescent="0.25">
      <c r="A951">
        <v>1175688448</v>
      </c>
      <c r="B951" t="s">
        <v>1889</v>
      </c>
      <c r="C951">
        <v>1</v>
      </c>
      <c r="D951" s="1">
        <v>37.5</v>
      </c>
      <c r="E951" s="10" t="s">
        <v>1881</v>
      </c>
      <c r="F951" s="10" t="s">
        <v>1890</v>
      </c>
      <c r="G951" s="10" t="s">
        <v>48</v>
      </c>
      <c r="H951" t="s">
        <v>12</v>
      </c>
    </row>
    <row r="952" spans="1:8" x14ac:dyDescent="0.25">
      <c r="A952">
        <v>1175134827</v>
      </c>
      <c r="B952" t="s">
        <v>1891</v>
      </c>
      <c r="C952">
        <v>3</v>
      </c>
      <c r="D952" s="1">
        <v>39.770000000000003</v>
      </c>
      <c r="E952" s="10" t="s">
        <v>1892</v>
      </c>
      <c r="F952" s="10" t="s">
        <v>1893</v>
      </c>
      <c r="G952" s="10" t="s">
        <v>11</v>
      </c>
      <c r="H952" t="s">
        <v>12</v>
      </c>
    </row>
    <row r="953" spans="1:8" ht="30" x14ac:dyDescent="0.25">
      <c r="A953">
        <v>1174984890</v>
      </c>
      <c r="B953" t="s">
        <v>61</v>
      </c>
      <c r="C953">
        <v>4</v>
      </c>
      <c r="D953" s="1">
        <v>2.75</v>
      </c>
      <c r="E953" s="10" t="s">
        <v>1894</v>
      </c>
      <c r="F953" s="10" t="s">
        <v>216</v>
      </c>
      <c r="G953" s="10" t="s">
        <v>38</v>
      </c>
      <c r="H953" t="s">
        <v>12</v>
      </c>
    </row>
    <row r="954" spans="1:8" x14ac:dyDescent="0.25">
      <c r="A954">
        <v>1174534320</v>
      </c>
      <c r="B954" t="s">
        <v>1895</v>
      </c>
      <c r="C954">
        <v>2</v>
      </c>
      <c r="D954" s="1">
        <v>33.56</v>
      </c>
      <c r="E954" s="10" t="s">
        <v>1896</v>
      </c>
      <c r="F954" s="10" t="s">
        <v>1897</v>
      </c>
      <c r="G954" s="10" t="s">
        <v>11</v>
      </c>
      <c r="H954" t="s">
        <v>12</v>
      </c>
    </row>
    <row r="955" spans="1:8" x14ac:dyDescent="0.25">
      <c r="A955">
        <v>1174481100</v>
      </c>
      <c r="B955" t="s">
        <v>1898</v>
      </c>
      <c r="C955">
        <v>1</v>
      </c>
      <c r="D955" s="1">
        <v>15.72</v>
      </c>
      <c r="E955" s="10" t="s">
        <v>1899</v>
      </c>
      <c r="F955" s="10" t="s">
        <v>1900</v>
      </c>
      <c r="G955" s="10" t="s">
        <v>48</v>
      </c>
      <c r="H955" t="s">
        <v>12</v>
      </c>
    </row>
    <row r="956" spans="1:8" x14ac:dyDescent="0.25">
      <c r="A956">
        <v>1174423987</v>
      </c>
      <c r="B956" t="s">
        <v>1901</v>
      </c>
      <c r="C956">
        <v>3</v>
      </c>
      <c r="D956" s="1">
        <v>41.83</v>
      </c>
      <c r="E956" s="10" t="s">
        <v>1899</v>
      </c>
      <c r="F956" s="10" t="s">
        <v>1902</v>
      </c>
      <c r="G956" s="10" t="s">
        <v>11</v>
      </c>
      <c r="H956" t="s">
        <v>12</v>
      </c>
    </row>
    <row r="957" spans="1:8" x14ac:dyDescent="0.25">
      <c r="A957">
        <v>1174258194</v>
      </c>
      <c r="B957" t="s">
        <v>1155</v>
      </c>
      <c r="C957">
        <v>2</v>
      </c>
      <c r="D957" s="1">
        <v>37.590000000000003</v>
      </c>
      <c r="E957" s="10" t="s">
        <v>1903</v>
      </c>
      <c r="F957" s="10" t="s">
        <v>1904</v>
      </c>
      <c r="G957" s="10" t="s">
        <v>11</v>
      </c>
      <c r="H957" t="s">
        <v>12</v>
      </c>
    </row>
    <row r="958" spans="1:8" x14ac:dyDescent="0.25">
      <c r="A958">
        <v>1174064749</v>
      </c>
      <c r="B958" t="s">
        <v>1905</v>
      </c>
      <c r="C958">
        <v>1</v>
      </c>
      <c r="D958" s="1">
        <v>29.59</v>
      </c>
      <c r="E958" s="10" t="s">
        <v>1906</v>
      </c>
      <c r="F958" s="10" t="s">
        <v>1907</v>
      </c>
      <c r="G958" s="10" t="s">
        <v>11</v>
      </c>
      <c r="H958" t="s">
        <v>12</v>
      </c>
    </row>
    <row r="959" spans="1:8" x14ac:dyDescent="0.25">
      <c r="A959">
        <v>1173900340</v>
      </c>
      <c r="B959" t="s">
        <v>1908</v>
      </c>
      <c r="C959">
        <v>1</v>
      </c>
      <c r="D959" s="1">
        <v>13.72</v>
      </c>
      <c r="E959" s="10" t="s">
        <v>1909</v>
      </c>
      <c r="F959" s="10" t="s">
        <v>1910</v>
      </c>
      <c r="G959" s="10" t="s">
        <v>48</v>
      </c>
      <c r="H959" t="s">
        <v>12</v>
      </c>
    </row>
    <row r="960" spans="1:8" x14ac:dyDescent="0.25">
      <c r="A960">
        <v>1173741458</v>
      </c>
      <c r="B960" t="s">
        <v>1911</v>
      </c>
      <c r="C960">
        <v>1</v>
      </c>
      <c r="D960" s="1">
        <v>8.2100000000000009</v>
      </c>
      <c r="E960" s="10" t="s">
        <v>1912</v>
      </c>
      <c r="F960" s="10" t="s">
        <v>1913</v>
      </c>
      <c r="G960" s="10" t="s">
        <v>11</v>
      </c>
      <c r="H960" t="s">
        <v>12</v>
      </c>
    </row>
    <row r="961" spans="1:8" x14ac:dyDescent="0.25">
      <c r="A961">
        <v>1173739647</v>
      </c>
      <c r="B961" t="s">
        <v>1914</v>
      </c>
      <c r="C961">
        <v>1</v>
      </c>
      <c r="D961" s="1">
        <v>6.22</v>
      </c>
      <c r="E961" s="10" t="s">
        <v>1912</v>
      </c>
      <c r="F961" s="10" t="s">
        <v>1915</v>
      </c>
      <c r="G961" s="10" t="s">
        <v>11</v>
      </c>
      <c r="H961" t="s">
        <v>12</v>
      </c>
    </row>
    <row r="962" spans="1:8" x14ac:dyDescent="0.25">
      <c r="A962">
        <v>1173731751</v>
      </c>
      <c r="B962" t="s">
        <v>1916</v>
      </c>
      <c r="C962">
        <v>6</v>
      </c>
      <c r="D962" s="1">
        <v>61.99</v>
      </c>
      <c r="E962" s="10" t="s">
        <v>1912</v>
      </c>
      <c r="F962" s="10" t="s">
        <v>1917</v>
      </c>
      <c r="G962" s="10" t="s">
        <v>38</v>
      </c>
      <c r="H962" t="s">
        <v>12</v>
      </c>
    </row>
    <row r="963" spans="1:8" x14ac:dyDescent="0.25">
      <c r="A963">
        <v>1173594517</v>
      </c>
      <c r="B963" t="s">
        <v>1918</v>
      </c>
      <c r="C963">
        <v>4</v>
      </c>
      <c r="D963" s="1">
        <v>1.82</v>
      </c>
      <c r="E963" s="10" t="s">
        <v>1919</v>
      </c>
      <c r="F963" s="10" t="s">
        <v>1920</v>
      </c>
      <c r="G963" s="10" t="s">
        <v>11</v>
      </c>
      <c r="H963" t="s">
        <v>12</v>
      </c>
    </row>
    <row r="964" spans="1:8" x14ac:dyDescent="0.25">
      <c r="A964">
        <v>1173351087</v>
      </c>
      <c r="B964" t="s">
        <v>294</v>
      </c>
      <c r="C964">
        <v>10</v>
      </c>
      <c r="D964" s="1">
        <v>4.9000000000000004</v>
      </c>
      <c r="E964" s="10" t="s">
        <v>1921</v>
      </c>
      <c r="F964" s="10" t="s">
        <v>1709</v>
      </c>
      <c r="G964" s="10" t="s">
        <v>11</v>
      </c>
      <c r="H964" t="s">
        <v>12</v>
      </c>
    </row>
    <row r="965" spans="1:8" ht="30" x14ac:dyDescent="0.25">
      <c r="A965">
        <v>1173346568</v>
      </c>
      <c r="B965" t="s">
        <v>64</v>
      </c>
      <c r="C965">
        <v>2</v>
      </c>
      <c r="D965" s="1">
        <v>2.94</v>
      </c>
      <c r="E965" s="10" t="s">
        <v>1921</v>
      </c>
      <c r="F965" s="10" t="s">
        <v>1922</v>
      </c>
      <c r="G965" s="10" t="s">
        <v>38</v>
      </c>
      <c r="H965" t="s">
        <v>12</v>
      </c>
    </row>
    <row r="966" spans="1:8" x14ac:dyDescent="0.25">
      <c r="A966">
        <v>1173345511</v>
      </c>
      <c r="B966" t="s">
        <v>1923</v>
      </c>
      <c r="C966">
        <v>4</v>
      </c>
      <c r="D966" s="1">
        <v>1.82</v>
      </c>
      <c r="E966" s="10" t="s">
        <v>1921</v>
      </c>
      <c r="F966" s="10" t="s">
        <v>1924</v>
      </c>
      <c r="G966" s="10" t="s">
        <v>38</v>
      </c>
      <c r="H966" t="s">
        <v>12</v>
      </c>
    </row>
    <row r="967" spans="1:8" x14ac:dyDescent="0.25">
      <c r="A967">
        <v>1173284999</v>
      </c>
      <c r="B967" t="s">
        <v>1925</v>
      </c>
      <c r="C967">
        <v>1</v>
      </c>
      <c r="D967" s="1">
        <v>7.22</v>
      </c>
      <c r="E967" s="10" t="s">
        <v>1926</v>
      </c>
      <c r="F967" s="10" t="s">
        <v>1927</v>
      </c>
      <c r="G967" s="10" t="s">
        <v>11</v>
      </c>
      <c r="H967" t="s">
        <v>12</v>
      </c>
    </row>
    <row r="968" spans="1:8" x14ac:dyDescent="0.25">
      <c r="A968">
        <v>1173284146</v>
      </c>
      <c r="B968" t="s">
        <v>1568</v>
      </c>
      <c r="C968">
        <v>2</v>
      </c>
      <c r="D968" s="1">
        <v>12.08</v>
      </c>
      <c r="E968" s="10" t="s">
        <v>1926</v>
      </c>
      <c r="F968" s="10" t="s">
        <v>1928</v>
      </c>
      <c r="G968" s="10" t="s">
        <v>11</v>
      </c>
      <c r="H968" t="s">
        <v>12</v>
      </c>
    </row>
    <row r="969" spans="1:8" x14ac:dyDescent="0.25">
      <c r="A969">
        <v>1173259750</v>
      </c>
      <c r="B969" t="s">
        <v>1929</v>
      </c>
      <c r="C969">
        <v>1</v>
      </c>
      <c r="D969" s="1">
        <v>33.61</v>
      </c>
      <c r="E969" s="10" t="s">
        <v>1926</v>
      </c>
      <c r="F969" s="10" t="s">
        <v>1930</v>
      </c>
      <c r="G969" s="10" t="s">
        <v>11</v>
      </c>
      <c r="H969" t="s">
        <v>12</v>
      </c>
    </row>
    <row r="970" spans="1:8" x14ac:dyDescent="0.25">
      <c r="A970">
        <v>1173252295</v>
      </c>
      <c r="B970" t="s">
        <v>1931</v>
      </c>
      <c r="C970">
        <v>1</v>
      </c>
      <c r="D970" s="1">
        <v>5.22</v>
      </c>
      <c r="E970" s="10" t="s">
        <v>1926</v>
      </c>
      <c r="F970" s="10" t="s">
        <v>1932</v>
      </c>
      <c r="G970" s="10" t="s">
        <v>11</v>
      </c>
      <c r="H970" t="s">
        <v>12</v>
      </c>
    </row>
    <row r="971" spans="1:8" x14ac:dyDescent="0.25">
      <c r="A971">
        <v>1173249016</v>
      </c>
      <c r="B971" t="s">
        <v>1933</v>
      </c>
      <c r="C971">
        <v>1</v>
      </c>
      <c r="D971" s="1">
        <v>6.21</v>
      </c>
      <c r="E971" s="10" t="s">
        <v>1926</v>
      </c>
      <c r="F971" s="10" t="s">
        <v>1934</v>
      </c>
      <c r="G971" s="10" t="s">
        <v>11</v>
      </c>
      <c r="H971" t="s">
        <v>12</v>
      </c>
    </row>
    <row r="972" spans="1:8" x14ac:dyDescent="0.25">
      <c r="A972">
        <v>1173248929</v>
      </c>
      <c r="B972" t="s">
        <v>1206</v>
      </c>
      <c r="C972">
        <v>2</v>
      </c>
      <c r="D972" s="1">
        <v>19.920000000000002</v>
      </c>
      <c r="E972" s="10" t="s">
        <v>1926</v>
      </c>
      <c r="F972" s="10" t="s">
        <v>1935</v>
      </c>
      <c r="G972" s="10" t="s">
        <v>11</v>
      </c>
      <c r="H972" t="s">
        <v>12</v>
      </c>
    </row>
    <row r="973" spans="1:8" x14ac:dyDescent="0.25">
      <c r="A973">
        <v>1173248401</v>
      </c>
      <c r="B973" t="s">
        <v>1936</v>
      </c>
      <c r="C973">
        <v>4</v>
      </c>
      <c r="D973" s="1">
        <v>6.62</v>
      </c>
      <c r="E973" s="10" t="s">
        <v>1926</v>
      </c>
      <c r="F973" s="10" t="s">
        <v>1937</v>
      </c>
      <c r="G973" s="10" t="s">
        <v>11</v>
      </c>
      <c r="H973" t="s">
        <v>12</v>
      </c>
    </row>
    <row r="974" spans="1:8" x14ac:dyDescent="0.25">
      <c r="A974">
        <v>1173156218</v>
      </c>
      <c r="B974" t="s">
        <v>1938</v>
      </c>
      <c r="C974">
        <v>1</v>
      </c>
      <c r="D974" s="1">
        <v>1.72</v>
      </c>
      <c r="E974" s="10" t="s">
        <v>1939</v>
      </c>
      <c r="F974" s="10" t="s">
        <v>1940</v>
      </c>
      <c r="G974" s="10" t="s">
        <v>11</v>
      </c>
      <c r="H974" t="s">
        <v>12</v>
      </c>
    </row>
    <row r="975" spans="1:8" x14ac:dyDescent="0.25">
      <c r="A975">
        <v>1173150463</v>
      </c>
      <c r="B975" t="s">
        <v>1568</v>
      </c>
      <c r="C975">
        <v>5</v>
      </c>
      <c r="D975" s="1">
        <v>20.45</v>
      </c>
      <c r="E975" s="10" t="s">
        <v>1939</v>
      </c>
      <c r="F975" s="10" t="s">
        <v>1928</v>
      </c>
      <c r="G975" s="10" t="s">
        <v>11</v>
      </c>
      <c r="H975" t="s">
        <v>12</v>
      </c>
    </row>
    <row r="976" spans="1:8" x14ac:dyDescent="0.25">
      <c r="A976">
        <v>1172662590</v>
      </c>
      <c r="B976" t="s">
        <v>1941</v>
      </c>
      <c r="C976">
        <v>1</v>
      </c>
      <c r="D976" s="1">
        <v>7.17</v>
      </c>
      <c r="E976" s="10" t="s">
        <v>1942</v>
      </c>
      <c r="F976" s="10" t="s">
        <v>1943</v>
      </c>
      <c r="G976" s="10" t="s">
        <v>48</v>
      </c>
      <c r="H976" t="s">
        <v>12</v>
      </c>
    </row>
    <row r="977" spans="1:8" x14ac:dyDescent="0.25">
      <c r="A977">
        <v>1172362217</v>
      </c>
      <c r="B977" t="s">
        <v>1944</v>
      </c>
      <c r="C977">
        <v>1</v>
      </c>
      <c r="D977" s="1">
        <v>9.17</v>
      </c>
      <c r="E977" s="10" t="s">
        <v>1945</v>
      </c>
      <c r="F977" s="10" t="s">
        <v>1946</v>
      </c>
      <c r="G977" s="10" t="s">
        <v>48</v>
      </c>
      <c r="H977" t="s">
        <v>12</v>
      </c>
    </row>
    <row r="978" spans="1:8" x14ac:dyDescent="0.25">
      <c r="A978">
        <v>1172043482</v>
      </c>
      <c r="B978" t="s">
        <v>1947</v>
      </c>
      <c r="C978">
        <v>1</v>
      </c>
      <c r="D978" s="1">
        <v>2.97</v>
      </c>
      <c r="E978" s="10" t="s">
        <v>1948</v>
      </c>
      <c r="F978" s="10" t="s">
        <v>1949</v>
      </c>
      <c r="G978" s="10" t="s">
        <v>48</v>
      </c>
      <c r="H978" t="s">
        <v>12</v>
      </c>
    </row>
    <row r="979" spans="1:8" x14ac:dyDescent="0.25">
      <c r="A979">
        <v>1171971359</v>
      </c>
      <c r="B979" t="s">
        <v>1950</v>
      </c>
      <c r="C979">
        <v>1</v>
      </c>
      <c r="D979" s="1">
        <v>38.799999999999997</v>
      </c>
      <c r="E979" s="10" t="s">
        <v>1948</v>
      </c>
      <c r="F979" s="10" t="s">
        <v>1951</v>
      </c>
      <c r="G979" s="10" t="s">
        <v>11</v>
      </c>
      <c r="H979" t="s">
        <v>12</v>
      </c>
    </row>
    <row r="980" spans="1:8" x14ac:dyDescent="0.25">
      <c r="A980">
        <v>1171928903</v>
      </c>
      <c r="B980" t="s">
        <v>1901</v>
      </c>
      <c r="C980">
        <v>3</v>
      </c>
      <c r="D980" s="1">
        <v>60.01</v>
      </c>
      <c r="E980" s="10" t="s">
        <v>1952</v>
      </c>
      <c r="F980" s="10" t="s">
        <v>1953</v>
      </c>
      <c r="G980" s="10" t="s">
        <v>38</v>
      </c>
      <c r="H980" t="s">
        <v>12</v>
      </c>
    </row>
    <row r="981" spans="1:8" x14ac:dyDescent="0.25">
      <c r="A981">
        <v>1171928390</v>
      </c>
      <c r="B981" t="s">
        <v>1954</v>
      </c>
      <c r="C981">
        <v>3</v>
      </c>
      <c r="D981" s="1">
        <v>85.43</v>
      </c>
      <c r="E981" s="10" t="s">
        <v>1952</v>
      </c>
      <c r="F981" s="10" t="s">
        <v>1955</v>
      </c>
      <c r="G981" s="10" t="s">
        <v>11</v>
      </c>
      <c r="H981" t="s">
        <v>12</v>
      </c>
    </row>
    <row r="982" spans="1:8" x14ac:dyDescent="0.25">
      <c r="A982">
        <v>1171928259</v>
      </c>
      <c r="B982" t="s">
        <v>1956</v>
      </c>
      <c r="C982">
        <v>2</v>
      </c>
      <c r="D982" s="1">
        <v>6.02</v>
      </c>
      <c r="E982" s="10" t="s">
        <v>1952</v>
      </c>
      <c r="F982" s="10" t="s">
        <v>1957</v>
      </c>
      <c r="G982" s="10" t="s">
        <v>11</v>
      </c>
      <c r="H982" t="s">
        <v>12</v>
      </c>
    </row>
    <row r="983" spans="1:8" x14ac:dyDescent="0.25">
      <c r="A983">
        <v>1171926985</v>
      </c>
      <c r="B983" t="s">
        <v>1958</v>
      </c>
      <c r="C983">
        <v>2</v>
      </c>
      <c r="D983" s="1">
        <v>5.97</v>
      </c>
      <c r="E983" s="10" t="s">
        <v>1952</v>
      </c>
      <c r="F983" s="10" t="s">
        <v>1959</v>
      </c>
      <c r="G983" s="10" t="s">
        <v>11</v>
      </c>
      <c r="H983" t="s">
        <v>12</v>
      </c>
    </row>
    <row r="984" spans="1:8" x14ac:dyDescent="0.25">
      <c r="A984">
        <v>1171926980</v>
      </c>
      <c r="B984" t="s">
        <v>1705</v>
      </c>
      <c r="C984">
        <v>1</v>
      </c>
      <c r="D984" s="1">
        <v>6.17</v>
      </c>
      <c r="E984" s="10" t="s">
        <v>1952</v>
      </c>
      <c r="F984" s="10" t="s">
        <v>1960</v>
      </c>
      <c r="G984" s="10" t="s">
        <v>11</v>
      </c>
      <c r="H984" t="s">
        <v>12</v>
      </c>
    </row>
    <row r="985" spans="1:8" x14ac:dyDescent="0.25">
      <c r="A985">
        <v>1171926979</v>
      </c>
      <c r="B985" t="s">
        <v>1961</v>
      </c>
      <c r="C985">
        <v>1</v>
      </c>
      <c r="D985" s="1">
        <v>6.22</v>
      </c>
      <c r="E985" s="10" t="s">
        <v>1952</v>
      </c>
      <c r="F985" s="10" t="s">
        <v>1962</v>
      </c>
      <c r="G985" s="10" t="s">
        <v>11</v>
      </c>
      <c r="H985" t="s">
        <v>12</v>
      </c>
    </row>
    <row r="986" spans="1:8" x14ac:dyDescent="0.25">
      <c r="A986">
        <v>1171926516</v>
      </c>
      <c r="B986" t="s">
        <v>414</v>
      </c>
      <c r="C986">
        <v>11</v>
      </c>
      <c r="D986" s="1">
        <v>37.68</v>
      </c>
      <c r="E986" s="10" t="s">
        <v>1952</v>
      </c>
      <c r="F986" s="10" t="s">
        <v>1963</v>
      </c>
      <c r="G986" s="10" t="s">
        <v>11</v>
      </c>
      <c r="H986" t="s">
        <v>12</v>
      </c>
    </row>
    <row r="987" spans="1:8" x14ac:dyDescent="0.25">
      <c r="A987">
        <v>1171925815</v>
      </c>
      <c r="B987" t="s">
        <v>1964</v>
      </c>
      <c r="C987">
        <v>2</v>
      </c>
      <c r="D987" s="1">
        <v>12.22</v>
      </c>
      <c r="E987" s="10" t="s">
        <v>1952</v>
      </c>
      <c r="F987" s="10" t="s">
        <v>1965</v>
      </c>
      <c r="G987" s="10" t="s">
        <v>11</v>
      </c>
      <c r="H987" t="s">
        <v>12</v>
      </c>
    </row>
    <row r="988" spans="1:8" x14ac:dyDescent="0.25">
      <c r="A988">
        <v>1171925783</v>
      </c>
      <c r="B988" t="s">
        <v>434</v>
      </c>
      <c r="C988">
        <v>1</v>
      </c>
      <c r="D988" s="1">
        <v>3.12</v>
      </c>
      <c r="E988" s="10" t="s">
        <v>1952</v>
      </c>
      <c r="F988" s="10" t="s">
        <v>1713</v>
      </c>
      <c r="G988" s="10" t="s">
        <v>11</v>
      </c>
      <c r="H988" t="s">
        <v>12</v>
      </c>
    </row>
    <row r="989" spans="1:8" x14ac:dyDescent="0.25">
      <c r="A989">
        <v>1171925262</v>
      </c>
      <c r="B989" t="s">
        <v>1966</v>
      </c>
      <c r="C989">
        <v>1</v>
      </c>
      <c r="D989" s="1">
        <v>5.72</v>
      </c>
      <c r="E989" s="10" t="s">
        <v>1952</v>
      </c>
      <c r="F989" s="10" t="s">
        <v>1967</v>
      </c>
      <c r="G989" s="10" t="s">
        <v>11</v>
      </c>
      <c r="H989" t="s">
        <v>12</v>
      </c>
    </row>
    <row r="990" spans="1:8" ht="30" x14ac:dyDescent="0.25">
      <c r="A990">
        <v>1171656482</v>
      </c>
      <c r="B990" t="s">
        <v>61</v>
      </c>
      <c r="C990">
        <v>2</v>
      </c>
      <c r="D990" s="1">
        <v>2.95</v>
      </c>
      <c r="E990" s="10" t="s">
        <v>1968</v>
      </c>
      <c r="F990" s="10" t="s">
        <v>1625</v>
      </c>
      <c r="G990" s="10" t="s">
        <v>38</v>
      </c>
      <c r="H990" t="s">
        <v>12</v>
      </c>
    </row>
    <row r="991" spans="1:8" x14ac:dyDescent="0.25">
      <c r="A991">
        <v>1171563893</v>
      </c>
      <c r="B991" t="s">
        <v>1969</v>
      </c>
      <c r="C991">
        <v>2</v>
      </c>
      <c r="D991" s="1">
        <v>1.78</v>
      </c>
      <c r="E991" s="10" t="s">
        <v>1968</v>
      </c>
      <c r="F991" s="10" t="s">
        <v>1970</v>
      </c>
      <c r="G991" s="10" t="s">
        <v>11</v>
      </c>
      <c r="H991" t="s">
        <v>12</v>
      </c>
    </row>
    <row r="992" spans="1:8" x14ac:dyDescent="0.25">
      <c r="A992">
        <v>1171552559</v>
      </c>
      <c r="B992" t="s">
        <v>1971</v>
      </c>
      <c r="C992">
        <v>1</v>
      </c>
      <c r="D992" s="1">
        <v>12.17</v>
      </c>
      <c r="E992" s="10" t="s">
        <v>1968</v>
      </c>
      <c r="F992" s="10" t="s">
        <v>1972</v>
      </c>
      <c r="G992" s="10" t="s">
        <v>48</v>
      </c>
      <c r="H992" t="s">
        <v>12</v>
      </c>
    </row>
    <row r="993" spans="1:8" x14ac:dyDescent="0.25">
      <c r="A993">
        <v>1171549482</v>
      </c>
      <c r="B993" t="s">
        <v>1973</v>
      </c>
      <c r="C993">
        <v>1</v>
      </c>
      <c r="D993" s="1">
        <v>12.17</v>
      </c>
      <c r="E993" s="10" t="s">
        <v>1968</v>
      </c>
      <c r="F993" s="10" t="s">
        <v>1974</v>
      </c>
      <c r="G993" s="10" t="s">
        <v>48</v>
      </c>
      <c r="H993" t="s">
        <v>12</v>
      </c>
    </row>
    <row r="994" spans="1:8" x14ac:dyDescent="0.25">
      <c r="A994">
        <v>1171530906</v>
      </c>
      <c r="B994" t="s">
        <v>1975</v>
      </c>
      <c r="C994">
        <v>1</v>
      </c>
      <c r="D994" s="1">
        <v>24.25</v>
      </c>
      <c r="E994" s="10" t="s">
        <v>1968</v>
      </c>
      <c r="F994" s="10" t="s">
        <v>1976</v>
      </c>
      <c r="G994" s="10" t="s">
        <v>48</v>
      </c>
      <c r="H994" t="s">
        <v>12</v>
      </c>
    </row>
    <row r="995" spans="1:8" x14ac:dyDescent="0.25">
      <c r="A995">
        <v>1171355286</v>
      </c>
      <c r="B995" t="s">
        <v>469</v>
      </c>
      <c r="C995">
        <v>4</v>
      </c>
      <c r="D995" s="1">
        <v>11.18</v>
      </c>
      <c r="E995" s="10" t="s">
        <v>1977</v>
      </c>
      <c r="F995" s="10" t="s">
        <v>1605</v>
      </c>
      <c r="G995" s="10" t="s">
        <v>11</v>
      </c>
      <c r="H995" t="s">
        <v>12</v>
      </c>
    </row>
    <row r="996" spans="1:8" x14ac:dyDescent="0.25">
      <c r="A996">
        <v>1171320551</v>
      </c>
      <c r="B996" t="s">
        <v>1978</v>
      </c>
      <c r="C996">
        <v>1</v>
      </c>
      <c r="D996" s="1">
        <v>41.83</v>
      </c>
      <c r="E996" s="10" t="s">
        <v>1977</v>
      </c>
      <c r="F996" s="10" t="s">
        <v>1979</v>
      </c>
      <c r="G996" s="10" t="s">
        <v>11</v>
      </c>
      <c r="H996" t="s">
        <v>12</v>
      </c>
    </row>
    <row r="997" spans="1:8" x14ac:dyDescent="0.25">
      <c r="A997">
        <v>1171320546</v>
      </c>
      <c r="B997" t="s">
        <v>1980</v>
      </c>
      <c r="C997">
        <v>1</v>
      </c>
      <c r="D997" s="1">
        <v>41.81</v>
      </c>
      <c r="E997" s="10" t="s">
        <v>1977</v>
      </c>
      <c r="F997" s="10" t="s">
        <v>1981</v>
      </c>
      <c r="G997" s="10" t="s">
        <v>11</v>
      </c>
      <c r="H997" t="s">
        <v>12</v>
      </c>
    </row>
    <row r="998" spans="1:8" x14ac:dyDescent="0.25">
      <c r="A998">
        <v>1171301838</v>
      </c>
      <c r="B998" t="s">
        <v>1982</v>
      </c>
      <c r="C998">
        <v>1</v>
      </c>
      <c r="D998" s="1">
        <v>6.17</v>
      </c>
      <c r="E998" s="10" t="s">
        <v>1977</v>
      </c>
      <c r="F998" s="10" t="s">
        <v>1983</v>
      </c>
      <c r="G998" s="10" t="s">
        <v>38</v>
      </c>
      <c r="H998" t="s">
        <v>12</v>
      </c>
    </row>
    <row r="999" spans="1:8" x14ac:dyDescent="0.25">
      <c r="A999">
        <v>1171287033</v>
      </c>
      <c r="B999" t="s">
        <v>1984</v>
      </c>
      <c r="C999">
        <v>1</v>
      </c>
      <c r="D999" s="1">
        <v>5.72</v>
      </c>
      <c r="E999" s="10" t="s">
        <v>1977</v>
      </c>
      <c r="F999" s="10" t="s">
        <v>1985</v>
      </c>
      <c r="G999" s="10" t="s">
        <v>48</v>
      </c>
      <c r="H999" t="s">
        <v>12</v>
      </c>
    </row>
    <row r="1000" spans="1:8" x14ac:dyDescent="0.25">
      <c r="A1000">
        <v>1170938490</v>
      </c>
      <c r="B1000" t="s">
        <v>414</v>
      </c>
      <c r="C1000">
        <v>4</v>
      </c>
      <c r="D1000" s="1">
        <v>15.18</v>
      </c>
      <c r="E1000" s="10" t="s">
        <v>1986</v>
      </c>
      <c r="F1000" s="10" t="s">
        <v>1654</v>
      </c>
      <c r="G1000" s="10" t="s">
        <v>11</v>
      </c>
      <c r="H1000" t="s">
        <v>12</v>
      </c>
    </row>
    <row r="1001" spans="1:8" x14ac:dyDescent="0.25">
      <c r="A1001">
        <v>1170905751</v>
      </c>
      <c r="B1001" t="s">
        <v>1987</v>
      </c>
      <c r="C1001">
        <v>1</v>
      </c>
      <c r="D1001" s="1">
        <v>4.22</v>
      </c>
      <c r="E1001" s="10" t="s">
        <v>1986</v>
      </c>
      <c r="F1001" s="10" t="s">
        <v>1988</v>
      </c>
      <c r="G1001" s="10" t="s">
        <v>11</v>
      </c>
      <c r="H1001" t="s">
        <v>12</v>
      </c>
    </row>
    <row r="1002" spans="1:8" x14ac:dyDescent="0.25">
      <c r="A1002">
        <v>1170905060</v>
      </c>
      <c r="B1002" t="s">
        <v>276</v>
      </c>
      <c r="C1002">
        <v>1</v>
      </c>
      <c r="D1002" s="1">
        <v>35.619999999999997</v>
      </c>
      <c r="E1002" s="10" t="s">
        <v>1986</v>
      </c>
      <c r="F1002" s="10" t="s">
        <v>1989</v>
      </c>
      <c r="G1002" s="10" t="s">
        <v>11</v>
      </c>
      <c r="H1002" t="s">
        <v>12</v>
      </c>
    </row>
    <row r="1003" spans="1:8" x14ac:dyDescent="0.25">
      <c r="A1003">
        <v>1170904876</v>
      </c>
      <c r="B1003" t="s">
        <v>1271</v>
      </c>
      <c r="C1003">
        <v>3</v>
      </c>
      <c r="D1003" s="1">
        <v>22.07</v>
      </c>
      <c r="E1003" s="10" t="s">
        <v>1986</v>
      </c>
      <c r="F1003" s="10" t="s">
        <v>1990</v>
      </c>
      <c r="G1003" s="10" t="s">
        <v>11</v>
      </c>
      <c r="H1003" t="s">
        <v>12</v>
      </c>
    </row>
    <row r="1004" spans="1:8" x14ac:dyDescent="0.25">
      <c r="A1004">
        <v>1170904508</v>
      </c>
      <c r="B1004" t="s">
        <v>294</v>
      </c>
      <c r="C1004">
        <v>4</v>
      </c>
      <c r="D1004" s="1">
        <v>13.02</v>
      </c>
      <c r="E1004" s="10" t="s">
        <v>1986</v>
      </c>
      <c r="F1004" s="10" t="s">
        <v>1709</v>
      </c>
      <c r="G1004" s="10" t="s">
        <v>11</v>
      </c>
      <c r="H1004" t="s">
        <v>12</v>
      </c>
    </row>
    <row r="1005" spans="1:8" x14ac:dyDescent="0.25">
      <c r="A1005">
        <v>1170903505</v>
      </c>
      <c r="B1005" t="s">
        <v>950</v>
      </c>
      <c r="C1005">
        <v>4</v>
      </c>
      <c r="D1005" s="1">
        <v>26.8</v>
      </c>
      <c r="E1005" s="10" t="s">
        <v>1986</v>
      </c>
      <c r="F1005" s="10" t="s">
        <v>1991</v>
      </c>
      <c r="G1005" s="10" t="s">
        <v>11</v>
      </c>
      <c r="H1005" t="s">
        <v>12</v>
      </c>
    </row>
    <row r="1006" spans="1:8" x14ac:dyDescent="0.25">
      <c r="A1006">
        <v>1170903073</v>
      </c>
      <c r="B1006" t="s">
        <v>1992</v>
      </c>
      <c r="C1006">
        <v>3</v>
      </c>
      <c r="D1006" s="1">
        <v>11.22</v>
      </c>
      <c r="E1006" s="10" t="s">
        <v>1986</v>
      </c>
      <c r="F1006" s="10" t="s">
        <v>1993</v>
      </c>
      <c r="G1006" s="10" t="s">
        <v>11</v>
      </c>
      <c r="H1006" t="s">
        <v>12</v>
      </c>
    </row>
    <row r="1007" spans="1:8" ht="30" x14ac:dyDescent="0.25">
      <c r="A1007">
        <v>1170801773</v>
      </c>
      <c r="B1007" t="s">
        <v>8</v>
      </c>
      <c r="C1007">
        <v>4</v>
      </c>
      <c r="D1007" s="1">
        <v>4.9800000000000004</v>
      </c>
      <c r="E1007" s="10" t="s">
        <v>1994</v>
      </c>
      <c r="F1007" s="10" t="s">
        <v>1604</v>
      </c>
      <c r="G1007" s="10" t="s">
        <v>38</v>
      </c>
      <c r="H1007" t="s">
        <v>12</v>
      </c>
    </row>
    <row r="1008" spans="1:8" x14ac:dyDescent="0.25">
      <c r="A1008">
        <v>1170382684</v>
      </c>
      <c r="B1008" t="s">
        <v>294</v>
      </c>
      <c r="C1008">
        <v>12</v>
      </c>
      <c r="D1008" s="1">
        <v>23.74</v>
      </c>
      <c r="E1008" s="10" t="s">
        <v>1995</v>
      </c>
      <c r="F1008" s="10" t="s">
        <v>1709</v>
      </c>
      <c r="G1008" s="10" t="s">
        <v>11</v>
      </c>
      <c r="H1008" t="s">
        <v>12</v>
      </c>
    </row>
    <row r="1009" spans="1:8" x14ac:dyDescent="0.25">
      <c r="A1009">
        <v>1170246592</v>
      </c>
      <c r="B1009" t="s">
        <v>1996</v>
      </c>
      <c r="C1009">
        <v>2</v>
      </c>
      <c r="D1009" s="1">
        <v>11.12</v>
      </c>
      <c r="E1009" s="10" t="s">
        <v>1997</v>
      </c>
      <c r="F1009" s="10" t="s">
        <v>1998</v>
      </c>
      <c r="G1009" s="10" t="s">
        <v>48</v>
      </c>
      <c r="H1009" t="s">
        <v>12</v>
      </c>
    </row>
    <row r="1010" spans="1:8" x14ac:dyDescent="0.25">
      <c r="A1010">
        <v>1169997844</v>
      </c>
      <c r="B1010" t="s">
        <v>1999</v>
      </c>
      <c r="C1010">
        <v>2</v>
      </c>
      <c r="D1010" s="1">
        <v>49.41</v>
      </c>
      <c r="E1010" s="10" t="s">
        <v>2000</v>
      </c>
      <c r="F1010" s="10" t="s">
        <v>2001</v>
      </c>
      <c r="G1010" s="10" t="s">
        <v>11</v>
      </c>
      <c r="H1010" t="s">
        <v>12</v>
      </c>
    </row>
    <row r="1011" spans="1:8" x14ac:dyDescent="0.25">
      <c r="A1011">
        <v>1169967614</v>
      </c>
      <c r="B1011" t="s">
        <v>2002</v>
      </c>
      <c r="C1011">
        <v>2</v>
      </c>
      <c r="D1011" s="1">
        <v>24.2</v>
      </c>
      <c r="E1011" s="10" t="s">
        <v>2000</v>
      </c>
      <c r="F1011" s="10" t="s">
        <v>2003</v>
      </c>
      <c r="G1011" s="10" t="s">
        <v>48</v>
      </c>
      <c r="H1011" t="s">
        <v>12</v>
      </c>
    </row>
    <row r="1012" spans="1:8" x14ac:dyDescent="0.25">
      <c r="A1012">
        <v>1169903783</v>
      </c>
      <c r="B1012" t="s">
        <v>902</v>
      </c>
      <c r="C1012">
        <v>1</v>
      </c>
      <c r="D1012" s="1">
        <v>16.72</v>
      </c>
      <c r="E1012" s="10" t="s">
        <v>2004</v>
      </c>
      <c r="F1012" s="10" t="s">
        <v>2005</v>
      </c>
      <c r="G1012" s="10" t="s">
        <v>11</v>
      </c>
      <c r="H1012" t="s">
        <v>12</v>
      </c>
    </row>
    <row r="1013" spans="1:8" x14ac:dyDescent="0.25">
      <c r="A1013">
        <v>1169559768</v>
      </c>
      <c r="B1013" t="s">
        <v>2006</v>
      </c>
      <c r="C1013">
        <v>1</v>
      </c>
      <c r="D1013" s="1">
        <v>2.17</v>
      </c>
      <c r="E1013" s="10" t="s">
        <v>2007</v>
      </c>
      <c r="F1013" s="10" t="s">
        <v>2008</v>
      </c>
      <c r="G1013" s="10" t="s">
        <v>48</v>
      </c>
      <c r="H1013" t="s">
        <v>12</v>
      </c>
    </row>
    <row r="1014" spans="1:8" x14ac:dyDescent="0.25">
      <c r="A1014">
        <v>1169471800</v>
      </c>
      <c r="B1014" t="s">
        <v>2009</v>
      </c>
      <c r="C1014">
        <v>2</v>
      </c>
      <c r="D1014" s="1">
        <v>45.37</v>
      </c>
      <c r="E1014" s="10" t="s">
        <v>2010</v>
      </c>
      <c r="F1014" s="10" t="s">
        <v>2011</v>
      </c>
      <c r="G1014" s="10" t="s">
        <v>48</v>
      </c>
      <c r="H1014" t="s">
        <v>12</v>
      </c>
    </row>
    <row r="1015" spans="1:8" x14ac:dyDescent="0.25">
      <c r="A1015">
        <v>1169431348</v>
      </c>
      <c r="B1015" t="s">
        <v>2012</v>
      </c>
      <c r="C1015">
        <v>2</v>
      </c>
      <c r="D1015" s="1">
        <v>35.369999999999997</v>
      </c>
      <c r="E1015" s="10" t="s">
        <v>2010</v>
      </c>
      <c r="F1015" s="10" t="s">
        <v>2013</v>
      </c>
      <c r="G1015" s="10" t="s">
        <v>48</v>
      </c>
      <c r="H1015" t="s">
        <v>12</v>
      </c>
    </row>
    <row r="1016" spans="1:8" x14ac:dyDescent="0.25">
      <c r="A1016">
        <v>1168960482</v>
      </c>
      <c r="B1016" t="s">
        <v>2014</v>
      </c>
      <c r="C1016">
        <v>1</v>
      </c>
      <c r="D1016" s="1">
        <v>6.25</v>
      </c>
      <c r="E1016" s="10" t="s">
        <v>2015</v>
      </c>
      <c r="F1016" s="10" t="s">
        <v>2016</v>
      </c>
      <c r="G1016" s="10" t="s">
        <v>48</v>
      </c>
      <c r="H1016" t="s">
        <v>12</v>
      </c>
    </row>
    <row r="1017" spans="1:8" x14ac:dyDescent="0.25">
      <c r="A1017">
        <v>1168891735</v>
      </c>
      <c r="B1017" t="s">
        <v>2017</v>
      </c>
      <c r="C1017">
        <v>1</v>
      </c>
      <c r="D1017" s="1">
        <v>3.42</v>
      </c>
      <c r="E1017" s="10" t="s">
        <v>2018</v>
      </c>
      <c r="F1017" s="10" t="s">
        <v>2019</v>
      </c>
      <c r="G1017" s="10" t="s">
        <v>11</v>
      </c>
      <c r="H1017" t="s">
        <v>12</v>
      </c>
    </row>
    <row r="1018" spans="1:8" x14ac:dyDescent="0.25">
      <c r="A1018">
        <v>1168880691</v>
      </c>
      <c r="B1018" t="s">
        <v>1100</v>
      </c>
      <c r="C1018">
        <v>2</v>
      </c>
      <c r="D1018" s="1">
        <v>78.19</v>
      </c>
      <c r="E1018" s="10" t="s">
        <v>2018</v>
      </c>
      <c r="F1018" s="10" t="s">
        <v>2020</v>
      </c>
      <c r="G1018" s="10" t="s">
        <v>11</v>
      </c>
      <c r="H1018" t="s">
        <v>12</v>
      </c>
    </row>
    <row r="1019" spans="1:8" x14ac:dyDescent="0.25">
      <c r="A1019">
        <v>1168521847</v>
      </c>
      <c r="B1019" t="s">
        <v>2021</v>
      </c>
      <c r="C1019">
        <v>1</v>
      </c>
      <c r="D1019" s="1">
        <v>21.22</v>
      </c>
      <c r="E1019" s="10" t="s">
        <v>2022</v>
      </c>
      <c r="F1019" s="10" t="s">
        <v>2023</v>
      </c>
      <c r="G1019" s="10" t="s">
        <v>11</v>
      </c>
      <c r="H1019" t="s">
        <v>12</v>
      </c>
    </row>
    <row r="1020" spans="1:8" x14ac:dyDescent="0.25">
      <c r="A1020">
        <v>1168520702</v>
      </c>
      <c r="B1020" t="s">
        <v>1520</v>
      </c>
      <c r="C1020">
        <v>1</v>
      </c>
      <c r="D1020" s="1">
        <v>16.170000000000002</v>
      </c>
      <c r="E1020" s="10" t="s">
        <v>2022</v>
      </c>
      <c r="F1020" s="10" t="s">
        <v>2024</v>
      </c>
      <c r="G1020" s="10" t="s">
        <v>48</v>
      </c>
      <c r="H1020" t="s">
        <v>12</v>
      </c>
    </row>
    <row r="1021" spans="1:8" x14ac:dyDescent="0.25">
      <c r="A1021">
        <v>1168410856</v>
      </c>
      <c r="B1021" t="s">
        <v>469</v>
      </c>
      <c r="C1021">
        <v>5</v>
      </c>
      <c r="D1021" s="1">
        <v>24.97</v>
      </c>
      <c r="E1021" s="10" t="s">
        <v>2025</v>
      </c>
      <c r="F1021" s="10" t="s">
        <v>2026</v>
      </c>
      <c r="G1021" s="10" t="s">
        <v>38</v>
      </c>
      <c r="H1021" t="s">
        <v>12</v>
      </c>
    </row>
    <row r="1022" spans="1:8" ht="30" x14ac:dyDescent="0.25">
      <c r="A1022">
        <v>1167980364</v>
      </c>
      <c r="B1022" t="s">
        <v>61</v>
      </c>
      <c r="C1022">
        <v>1</v>
      </c>
      <c r="D1022" s="1">
        <v>6.4</v>
      </c>
      <c r="E1022" s="10" t="s">
        <v>2027</v>
      </c>
      <c r="F1022" s="10" t="s">
        <v>1625</v>
      </c>
      <c r="G1022" s="10" t="s">
        <v>38</v>
      </c>
      <c r="H1022" t="s">
        <v>12</v>
      </c>
    </row>
    <row r="1023" spans="1:8" ht="30" x14ac:dyDescent="0.25">
      <c r="A1023">
        <v>1167980357</v>
      </c>
      <c r="B1023" t="s">
        <v>8</v>
      </c>
      <c r="C1023">
        <v>3</v>
      </c>
      <c r="D1023" s="1">
        <v>6.84</v>
      </c>
      <c r="E1023" s="10" t="s">
        <v>2027</v>
      </c>
      <c r="F1023" s="10" t="s">
        <v>1604</v>
      </c>
      <c r="G1023" s="10" t="s">
        <v>38</v>
      </c>
      <c r="H1023" t="s">
        <v>12</v>
      </c>
    </row>
    <row r="1024" spans="1:8" x14ac:dyDescent="0.25">
      <c r="A1024">
        <v>1167771228</v>
      </c>
      <c r="B1024" t="s">
        <v>2028</v>
      </c>
      <c r="C1024">
        <v>1</v>
      </c>
      <c r="D1024" s="1">
        <v>17.170000000000002</v>
      </c>
      <c r="E1024" s="10" t="s">
        <v>2029</v>
      </c>
      <c r="F1024" s="10" t="s">
        <v>2030</v>
      </c>
      <c r="G1024" s="10" t="s">
        <v>38</v>
      </c>
      <c r="H1024" t="s">
        <v>12</v>
      </c>
    </row>
    <row r="1025" spans="1:8" x14ac:dyDescent="0.25">
      <c r="A1025">
        <v>1167770577</v>
      </c>
      <c r="B1025" t="s">
        <v>2028</v>
      </c>
      <c r="C1025">
        <v>1</v>
      </c>
      <c r="D1025" s="1">
        <v>17.170000000000002</v>
      </c>
      <c r="E1025" s="10" t="s">
        <v>2029</v>
      </c>
      <c r="F1025" s="10" t="s">
        <v>2031</v>
      </c>
      <c r="G1025" s="10" t="s">
        <v>48</v>
      </c>
      <c r="H1025" t="s">
        <v>12</v>
      </c>
    </row>
    <row r="1026" spans="1:8" ht="30" x14ac:dyDescent="0.25">
      <c r="A1026">
        <v>1167698291</v>
      </c>
      <c r="B1026" t="s">
        <v>8</v>
      </c>
      <c r="C1026">
        <v>1</v>
      </c>
      <c r="D1026" s="1">
        <v>0.95</v>
      </c>
      <c r="E1026" s="10" t="s">
        <v>2029</v>
      </c>
      <c r="F1026" s="10" t="s">
        <v>1604</v>
      </c>
      <c r="G1026" s="10" t="s">
        <v>38</v>
      </c>
      <c r="H1026" t="s">
        <v>12</v>
      </c>
    </row>
    <row r="1027" spans="1:8" x14ac:dyDescent="0.25">
      <c r="A1027">
        <v>1167681209</v>
      </c>
      <c r="B1027" t="s">
        <v>2032</v>
      </c>
      <c r="C1027">
        <v>1</v>
      </c>
      <c r="D1027" s="1">
        <v>5.17</v>
      </c>
      <c r="E1027" s="10" t="s">
        <v>2029</v>
      </c>
      <c r="F1027" s="10" t="s">
        <v>2033</v>
      </c>
      <c r="G1027" s="10" t="s">
        <v>48</v>
      </c>
      <c r="H1027" t="s">
        <v>12</v>
      </c>
    </row>
    <row r="1028" spans="1:8" x14ac:dyDescent="0.25">
      <c r="A1028">
        <v>1167649874</v>
      </c>
      <c r="B1028" t="s">
        <v>2034</v>
      </c>
      <c r="C1028">
        <v>2</v>
      </c>
      <c r="D1028" s="1">
        <v>17.22</v>
      </c>
      <c r="E1028" s="10" t="s">
        <v>2029</v>
      </c>
      <c r="F1028" s="10" t="s">
        <v>2035</v>
      </c>
      <c r="G1028" s="10" t="s">
        <v>11</v>
      </c>
      <c r="H1028" t="s">
        <v>12</v>
      </c>
    </row>
    <row r="1029" spans="1:8" x14ac:dyDescent="0.25">
      <c r="A1029">
        <v>1167579643</v>
      </c>
      <c r="B1029" t="s">
        <v>2036</v>
      </c>
      <c r="C1029">
        <v>1</v>
      </c>
      <c r="D1029" s="1">
        <v>8.7200000000000006</v>
      </c>
      <c r="E1029" s="10" t="s">
        <v>2037</v>
      </c>
      <c r="F1029" s="10" t="s">
        <v>2038</v>
      </c>
      <c r="G1029" s="10" t="s">
        <v>11</v>
      </c>
      <c r="H1029" t="s">
        <v>12</v>
      </c>
    </row>
    <row r="1030" spans="1:8" x14ac:dyDescent="0.25">
      <c r="A1030">
        <v>1167544009</v>
      </c>
      <c r="B1030" t="s">
        <v>2039</v>
      </c>
      <c r="C1030">
        <v>4</v>
      </c>
      <c r="D1030" s="1">
        <v>7.22</v>
      </c>
      <c r="E1030" s="10" t="s">
        <v>2037</v>
      </c>
      <c r="F1030" s="10" t="s">
        <v>2040</v>
      </c>
      <c r="G1030" s="10" t="s">
        <v>11</v>
      </c>
      <c r="H1030" t="s">
        <v>12</v>
      </c>
    </row>
    <row r="1031" spans="1:8" x14ac:dyDescent="0.25">
      <c r="A1031">
        <v>1167529843</v>
      </c>
      <c r="B1031" t="s">
        <v>1210</v>
      </c>
      <c r="C1031">
        <v>7</v>
      </c>
      <c r="D1031" s="1">
        <v>113.23</v>
      </c>
      <c r="E1031" s="10" t="s">
        <v>2037</v>
      </c>
      <c r="F1031" s="10" t="s">
        <v>2041</v>
      </c>
      <c r="G1031" s="10" t="s">
        <v>11</v>
      </c>
      <c r="H1031" t="s">
        <v>12</v>
      </c>
    </row>
    <row r="1032" spans="1:8" x14ac:dyDescent="0.25">
      <c r="A1032">
        <v>1167473026</v>
      </c>
      <c r="B1032" t="s">
        <v>2042</v>
      </c>
      <c r="C1032">
        <v>2</v>
      </c>
      <c r="D1032" s="1">
        <v>21.12</v>
      </c>
      <c r="E1032" s="10" t="s">
        <v>2043</v>
      </c>
      <c r="F1032" s="10" t="s">
        <v>2044</v>
      </c>
      <c r="G1032" s="10" t="s">
        <v>48</v>
      </c>
      <c r="H1032" t="s">
        <v>12</v>
      </c>
    </row>
    <row r="1033" spans="1:8" x14ac:dyDescent="0.25">
      <c r="A1033">
        <v>1167431558</v>
      </c>
      <c r="B1033" t="s">
        <v>2045</v>
      </c>
      <c r="C1033">
        <v>1</v>
      </c>
      <c r="D1033" s="1">
        <v>5.17</v>
      </c>
      <c r="E1033" s="10" t="s">
        <v>2043</v>
      </c>
      <c r="F1033" s="10" t="s">
        <v>2046</v>
      </c>
      <c r="G1033" s="10" t="s">
        <v>48</v>
      </c>
      <c r="H1033" t="s">
        <v>12</v>
      </c>
    </row>
    <row r="1034" spans="1:8" x14ac:dyDescent="0.25">
      <c r="A1034">
        <v>1167365531</v>
      </c>
      <c r="B1034" t="s">
        <v>2047</v>
      </c>
      <c r="C1034">
        <v>1</v>
      </c>
      <c r="D1034" s="1">
        <v>9.17</v>
      </c>
      <c r="E1034" s="10" t="s">
        <v>2043</v>
      </c>
      <c r="F1034" s="10" t="s">
        <v>2048</v>
      </c>
      <c r="G1034" s="10" t="s">
        <v>48</v>
      </c>
      <c r="H1034" t="s">
        <v>12</v>
      </c>
    </row>
    <row r="1035" spans="1:8" x14ac:dyDescent="0.25">
      <c r="A1035">
        <v>1167191090</v>
      </c>
      <c r="B1035" t="s">
        <v>2049</v>
      </c>
      <c r="C1035">
        <v>1</v>
      </c>
      <c r="D1035" s="1">
        <v>9.25</v>
      </c>
      <c r="E1035" s="10" t="s">
        <v>2050</v>
      </c>
      <c r="F1035" s="10" t="s">
        <v>2051</v>
      </c>
      <c r="G1035" s="10" t="s">
        <v>48</v>
      </c>
      <c r="H1035" t="s">
        <v>12</v>
      </c>
    </row>
    <row r="1036" spans="1:8" x14ac:dyDescent="0.25">
      <c r="A1036">
        <v>1166882284</v>
      </c>
      <c r="B1036" t="s">
        <v>2052</v>
      </c>
      <c r="C1036">
        <v>1</v>
      </c>
      <c r="D1036" s="1">
        <v>4.22</v>
      </c>
      <c r="E1036" s="10" t="s">
        <v>2053</v>
      </c>
      <c r="F1036" s="10" t="s">
        <v>2054</v>
      </c>
      <c r="G1036" s="10" t="s">
        <v>11</v>
      </c>
      <c r="H1036" t="s">
        <v>12</v>
      </c>
    </row>
    <row r="1037" spans="1:8" x14ac:dyDescent="0.25">
      <c r="A1037">
        <v>1166882070</v>
      </c>
      <c r="B1037" t="s">
        <v>2055</v>
      </c>
      <c r="C1037">
        <v>2</v>
      </c>
      <c r="D1037" s="1">
        <v>74.05</v>
      </c>
      <c r="E1037" s="10" t="s">
        <v>2053</v>
      </c>
      <c r="F1037" s="10" t="s">
        <v>2056</v>
      </c>
      <c r="G1037" s="10" t="s">
        <v>38</v>
      </c>
      <c r="H1037" t="s">
        <v>12</v>
      </c>
    </row>
    <row r="1038" spans="1:8" x14ac:dyDescent="0.25">
      <c r="A1038">
        <v>1166866080</v>
      </c>
      <c r="B1038" t="s">
        <v>2057</v>
      </c>
      <c r="C1038">
        <v>3</v>
      </c>
      <c r="D1038" s="1">
        <v>23.15</v>
      </c>
      <c r="E1038" s="10" t="s">
        <v>2058</v>
      </c>
      <c r="F1038" s="10" t="s">
        <v>2059</v>
      </c>
      <c r="G1038" s="10" t="s">
        <v>48</v>
      </c>
      <c r="H1038" t="s">
        <v>12</v>
      </c>
    </row>
    <row r="1039" spans="1:8" x14ac:dyDescent="0.25">
      <c r="A1039">
        <v>1166850977</v>
      </c>
      <c r="B1039" t="s">
        <v>2060</v>
      </c>
      <c r="C1039">
        <v>1</v>
      </c>
      <c r="D1039" s="1">
        <v>4.25</v>
      </c>
      <c r="E1039" s="10" t="s">
        <v>2058</v>
      </c>
      <c r="F1039" s="10" t="s">
        <v>2061</v>
      </c>
      <c r="G1039" s="10" t="s">
        <v>48</v>
      </c>
      <c r="H1039" t="s">
        <v>12</v>
      </c>
    </row>
    <row r="1040" spans="1:8" x14ac:dyDescent="0.25">
      <c r="A1040">
        <v>1166841038</v>
      </c>
      <c r="B1040" t="s">
        <v>2062</v>
      </c>
      <c r="C1040">
        <v>4</v>
      </c>
      <c r="D1040" s="1">
        <v>1.3</v>
      </c>
      <c r="E1040" s="10" t="s">
        <v>2058</v>
      </c>
      <c r="F1040" s="10" t="s">
        <v>2063</v>
      </c>
      <c r="G1040" s="10" t="s">
        <v>11</v>
      </c>
      <c r="H1040" t="s">
        <v>12</v>
      </c>
    </row>
    <row r="1041" spans="1:8" x14ac:dyDescent="0.25">
      <c r="A1041">
        <v>1166600625</v>
      </c>
      <c r="B1041" t="s">
        <v>2064</v>
      </c>
      <c r="C1041">
        <v>2</v>
      </c>
      <c r="D1041" s="1">
        <v>15.2</v>
      </c>
      <c r="E1041" s="10" t="s">
        <v>2065</v>
      </c>
      <c r="F1041" s="10" t="s">
        <v>2066</v>
      </c>
      <c r="G1041" s="10" t="s">
        <v>48</v>
      </c>
      <c r="H1041" t="s">
        <v>12</v>
      </c>
    </row>
    <row r="1042" spans="1:8" x14ac:dyDescent="0.25">
      <c r="A1042">
        <v>1166571421</v>
      </c>
      <c r="B1042" t="s">
        <v>1635</v>
      </c>
      <c r="C1042">
        <v>2</v>
      </c>
      <c r="D1042" s="1">
        <v>7.12</v>
      </c>
      <c r="E1042" s="10" t="s">
        <v>2067</v>
      </c>
      <c r="F1042" s="10" t="s">
        <v>1637</v>
      </c>
      <c r="G1042" s="10" t="s">
        <v>48</v>
      </c>
      <c r="H1042" t="s">
        <v>12</v>
      </c>
    </row>
    <row r="1043" spans="1:8" x14ac:dyDescent="0.25">
      <c r="A1043">
        <v>1166492703</v>
      </c>
      <c r="B1043" t="s">
        <v>2068</v>
      </c>
      <c r="C1043">
        <v>5</v>
      </c>
      <c r="D1043" s="1">
        <v>100.77</v>
      </c>
      <c r="E1043" s="10" t="s">
        <v>2067</v>
      </c>
      <c r="F1043" s="10" t="s">
        <v>2069</v>
      </c>
      <c r="G1043" s="10" t="s">
        <v>48</v>
      </c>
      <c r="H1043" t="s">
        <v>12</v>
      </c>
    </row>
    <row r="1044" spans="1:8" x14ac:dyDescent="0.25">
      <c r="A1044">
        <v>1166475023</v>
      </c>
      <c r="B1044" t="s">
        <v>2070</v>
      </c>
      <c r="C1044">
        <v>5</v>
      </c>
      <c r="D1044" s="1">
        <v>20.72</v>
      </c>
      <c r="E1044" s="10" t="s">
        <v>2067</v>
      </c>
      <c r="F1044" s="10" t="s">
        <v>2071</v>
      </c>
      <c r="G1044" s="10" t="s">
        <v>11</v>
      </c>
      <c r="H1044" t="s">
        <v>12</v>
      </c>
    </row>
    <row r="1045" spans="1:8" x14ac:dyDescent="0.25">
      <c r="A1045">
        <v>1166414310</v>
      </c>
      <c r="B1045" t="s">
        <v>2072</v>
      </c>
      <c r="C1045">
        <v>4</v>
      </c>
      <c r="D1045" s="1">
        <v>10.18</v>
      </c>
      <c r="E1045" s="10" t="s">
        <v>2073</v>
      </c>
      <c r="F1045" s="10" t="s">
        <v>2074</v>
      </c>
      <c r="G1045" s="10" t="s">
        <v>48</v>
      </c>
      <c r="H1045" t="s">
        <v>12</v>
      </c>
    </row>
    <row r="1046" spans="1:8" x14ac:dyDescent="0.25">
      <c r="A1046">
        <v>1166294148</v>
      </c>
      <c r="B1046" t="s">
        <v>2075</v>
      </c>
      <c r="C1046">
        <v>9</v>
      </c>
      <c r="D1046" s="1">
        <v>136.22</v>
      </c>
      <c r="E1046" s="10" t="s">
        <v>2076</v>
      </c>
      <c r="F1046" s="10" t="s">
        <v>2077</v>
      </c>
      <c r="G1046" s="10" t="s">
        <v>48</v>
      </c>
      <c r="H1046" t="s">
        <v>12</v>
      </c>
    </row>
    <row r="1047" spans="1:8" x14ac:dyDescent="0.25">
      <c r="A1047">
        <v>1166167134</v>
      </c>
      <c r="B1047" t="s">
        <v>237</v>
      </c>
      <c r="C1047">
        <v>8</v>
      </c>
      <c r="D1047" s="1">
        <v>111.08</v>
      </c>
      <c r="E1047" s="10" t="s">
        <v>2078</v>
      </c>
      <c r="F1047" s="10" t="s">
        <v>1765</v>
      </c>
      <c r="G1047" s="10" t="s">
        <v>11</v>
      </c>
      <c r="H1047" t="s">
        <v>12</v>
      </c>
    </row>
    <row r="1048" spans="1:8" x14ac:dyDescent="0.25">
      <c r="A1048">
        <v>1166160488</v>
      </c>
      <c r="B1048" t="s">
        <v>2079</v>
      </c>
      <c r="C1048">
        <v>1</v>
      </c>
      <c r="D1048" s="1">
        <v>15.25</v>
      </c>
      <c r="E1048" s="10" t="s">
        <v>2078</v>
      </c>
      <c r="F1048" s="10" t="s">
        <v>2080</v>
      </c>
      <c r="G1048" s="10" t="s">
        <v>48</v>
      </c>
      <c r="H1048" t="s">
        <v>12</v>
      </c>
    </row>
    <row r="1049" spans="1:8" x14ac:dyDescent="0.25">
      <c r="A1049">
        <v>1166072731</v>
      </c>
      <c r="B1049" t="s">
        <v>2081</v>
      </c>
      <c r="C1049">
        <v>2</v>
      </c>
      <c r="D1049" s="1">
        <v>9.1199999999999992</v>
      </c>
      <c r="E1049" s="10" t="s">
        <v>2082</v>
      </c>
      <c r="F1049" s="10" t="s">
        <v>2083</v>
      </c>
      <c r="G1049" s="10" t="s">
        <v>11</v>
      </c>
      <c r="H1049" t="s">
        <v>12</v>
      </c>
    </row>
    <row r="1050" spans="1:8" x14ac:dyDescent="0.25">
      <c r="A1050">
        <v>1166072591</v>
      </c>
      <c r="B1050" t="s">
        <v>35</v>
      </c>
      <c r="C1050">
        <v>9</v>
      </c>
      <c r="D1050" s="1">
        <v>8.58</v>
      </c>
      <c r="E1050" s="10" t="s">
        <v>2082</v>
      </c>
      <c r="F1050" s="10" t="s">
        <v>1715</v>
      </c>
      <c r="G1050" s="10" t="s">
        <v>11</v>
      </c>
      <c r="H1050" t="s">
        <v>12</v>
      </c>
    </row>
    <row r="1051" spans="1:8" x14ac:dyDescent="0.25">
      <c r="A1051">
        <v>1166028671</v>
      </c>
      <c r="B1051" t="s">
        <v>2084</v>
      </c>
      <c r="C1051">
        <v>1</v>
      </c>
      <c r="D1051" s="1">
        <v>16.25</v>
      </c>
      <c r="E1051" s="10" t="s">
        <v>2082</v>
      </c>
      <c r="F1051" s="10" t="s">
        <v>2085</v>
      </c>
      <c r="G1051" s="10" t="s">
        <v>48</v>
      </c>
      <c r="H1051" t="s">
        <v>12</v>
      </c>
    </row>
    <row r="1052" spans="1:8" ht="30" x14ac:dyDescent="0.25">
      <c r="A1052">
        <v>1166002807</v>
      </c>
      <c r="B1052" t="s">
        <v>8</v>
      </c>
      <c r="C1052">
        <v>1</v>
      </c>
      <c r="D1052" s="1">
        <v>19.940000000000001</v>
      </c>
      <c r="E1052" s="10" t="s">
        <v>2082</v>
      </c>
      <c r="F1052" s="10" t="s">
        <v>1604</v>
      </c>
      <c r="G1052" s="10" t="s">
        <v>38</v>
      </c>
      <c r="H1052" t="s">
        <v>12</v>
      </c>
    </row>
    <row r="1053" spans="1:8" x14ac:dyDescent="0.25">
      <c r="A1053">
        <v>1166002534</v>
      </c>
      <c r="B1053" t="s">
        <v>1159</v>
      </c>
      <c r="C1053">
        <v>1</v>
      </c>
      <c r="D1053" s="1">
        <v>13.72</v>
      </c>
      <c r="E1053" s="10" t="s">
        <v>2082</v>
      </c>
      <c r="F1053" s="10" t="s">
        <v>2086</v>
      </c>
      <c r="G1053" s="10" t="s">
        <v>11</v>
      </c>
      <c r="H1053" t="s">
        <v>12</v>
      </c>
    </row>
    <row r="1054" spans="1:8" x14ac:dyDescent="0.25">
      <c r="A1054">
        <v>1165991753</v>
      </c>
      <c r="B1054" t="s">
        <v>2087</v>
      </c>
      <c r="C1054">
        <v>1</v>
      </c>
      <c r="D1054" s="1">
        <v>10.17</v>
      </c>
      <c r="E1054" s="10" t="s">
        <v>2082</v>
      </c>
      <c r="F1054" s="10" t="s">
        <v>2088</v>
      </c>
      <c r="G1054" s="10" t="s">
        <v>48</v>
      </c>
      <c r="H1054" t="s">
        <v>12</v>
      </c>
    </row>
    <row r="1055" spans="1:8" x14ac:dyDescent="0.25">
      <c r="A1055">
        <v>1165912914</v>
      </c>
      <c r="B1055" t="s">
        <v>2089</v>
      </c>
      <c r="C1055">
        <v>2</v>
      </c>
      <c r="D1055" s="1">
        <v>19.12</v>
      </c>
      <c r="E1055" s="10" t="s">
        <v>2090</v>
      </c>
      <c r="F1055" s="10" t="s">
        <v>2091</v>
      </c>
      <c r="G1055" s="10" t="s">
        <v>48</v>
      </c>
      <c r="H1055" t="s">
        <v>12</v>
      </c>
    </row>
    <row r="1056" spans="1:8" x14ac:dyDescent="0.25">
      <c r="A1056">
        <v>1165910337</v>
      </c>
      <c r="B1056" t="s">
        <v>2092</v>
      </c>
      <c r="C1056">
        <v>1</v>
      </c>
      <c r="D1056" s="1">
        <v>16.25</v>
      </c>
      <c r="E1056" s="10" t="s">
        <v>2090</v>
      </c>
      <c r="F1056" s="10" t="s">
        <v>2093</v>
      </c>
      <c r="G1056" s="10" t="s">
        <v>48</v>
      </c>
      <c r="H1056" t="s">
        <v>12</v>
      </c>
    </row>
    <row r="1057" spans="1:8" x14ac:dyDescent="0.25">
      <c r="A1057">
        <v>1165909026</v>
      </c>
      <c r="B1057" t="s">
        <v>2094</v>
      </c>
      <c r="C1057">
        <v>32</v>
      </c>
      <c r="D1057" s="1">
        <v>666.36</v>
      </c>
      <c r="E1057" s="10" t="s">
        <v>2090</v>
      </c>
      <c r="F1057" s="10" t="s">
        <v>2095</v>
      </c>
      <c r="G1057" s="10" t="s">
        <v>38</v>
      </c>
      <c r="H1057" t="s">
        <v>12</v>
      </c>
    </row>
    <row r="1058" spans="1:8" x14ac:dyDescent="0.25">
      <c r="A1058">
        <v>1165908000</v>
      </c>
      <c r="B1058" t="s">
        <v>2096</v>
      </c>
      <c r="C1058">
        <v>2</v>
      </c>
      <c r="D1058" s="1">
        <v>84.12</v>
      </c>
      <c r="E1058" s="10" t="s">
        <v>2090</v>
      </c>
      <c r="F1058" s="10" t="s">
        <v>2097</v>
      </c>
      <c r="G1058" s="10" t="s">
        <v>11</v>
      </c>
      <c r="H1058" t="s">
        <v>12</v>
      </c>
    </row>
    <row r="1059" spans="1:8" x14ac:dyDescent="0.25">
      <c r="A1059">
        <v>1165907894</v>
      </c>
      <c r="B1059" t="s">
        <v>2098</v>
      </c>
      <c r="C1059">
        <v>1</v>
      </c>
      <c r="D1059" s="1">
        <v>39.31</v>
      </c>
      <c r="E1059" s="10" t="s">
        <v>2090</v>
      </c>
      <c r="F1059" s="10" t="s">
        <v>2099</v>
      </c>
      <c r="G1059" s="10" t="s">
        <v>38</v>
      </c>
      <c r="H1059" t="s">
        <v>12</v>
      </c>
    </row>
    <row r="1060" spans="1:8" x14ac:dyDescent="0.25">
      <c r="A1060">
        <v>1165907893</v>
      </c>
      <c r="B1060" t="s">
        <v>2100</v>
      </c>
      <c r="C1060">
        <v>1</v>
      </c>
      <c r="D1060" s="1">
        <v>39.81</v>
      </c>
      <c r="E1060" s="10" t="s">
        <v>2090</v>
      </c>
      <c r="F1060" s="10" t="s">
        <v>2101</v>
      </c>
      <c r="G1060" s="10" t="s">
        <v>38</v>
      </c>
      <c r="H1060" t="s">
        <v>12</v>
      </c>
    </row>
    <row r="1061" spans="1:8" x14ac:dyDescent="0.25">
      <c r="A1061">
        <v>1165849089</v>
      </c>
      <c r="B1061" t="s">
        <v>2102</v>
      </c>
      <c r="C1061">
        <v>1</v>
      </c>
      <c r="D1061" s="1">
        <v>12.17</v>
      </c>
      <c r="E1061" s="10" t="s">
        <v>2090</v>
      </c>
      <c r="F1061" s="10" t="s">
        <v>2103</v>
      </c>
      <c r="G1061" s="10" t="s">
        <v>48</v>
      </c>
      <c r="H1061" t="s">
        <v>12</v>
      </c>
    </row>
    <row r="1062" spans="1:8" x14ac:dyDescent="0.25">
      <c r="A1062">
        <v>1165702710</v>
      </c>
      <c r="B1062" t="s">
        <v>2104</v>
      </c>
      <c r="C1062">
        <v>2</v>
      </c>
      <c r="D1062" s="1">
        <v>16.22</v>
      </c>
      <c r="E1062" s="10" t="s">
        <v>2105</v>
      </c>
      <c r="F1062" s="10" t="s">
        <v>2106</v>
      </c>
      <c r="G1062" s="10" t="s">
        <v>11</v>
      </c>
      <c r="H1062" t="s">
        <v>12</v>
      </c>
    </row>
    <row r="1063" spans="1:8" x14ac:dyDescent="0.25">
      <c r="A1063">
        <v>1165707204</v>
      </c>
      <c r="B1063" t="s">
        <v>2107</v>
      </c>
      <c r="C1063">
        <v>1</v>
      </c>
      <c r="D1063" s="1">
        <v>7.02</v>
      </c>
      <c r="E1063" s="10" t="s">
        <v>2108</v>
      </c>
      <c r="F1063" s="10" t="s">
        <v>2109</v>
      </c>
      <c r="G1063" s="10" t="s">
        <v>48</v>
      </c>
      <c r="H1063" t="s">
        <v>12</v>
      </c>
    </row>
    <row r="1064" spans="1:8" x14ac:dyDescent="0.25">
      <c r="A1064">
        <v>1165706958</v>
      </c>
      <c r="B1064" t="s">
        <v>2110</v>
      </c>
      <c r="C1064">
        <v>3</v>
      </c>
      <c r="D1064" s="1">
        <v>70.150000000000006</v>
      </c>
      <c r="E1064" s="10" t="s">
        <v>2108</v>
      </c>
      <c r="F1064" s="10" t="s">
        <v>2111</v>
      </c>
      <c r="G1064" s="10" t="s">
        <v>48</v>
      </c>
      <c r="H1064" t="s">
        <v>12</v>
      </c>
    </row>
    <row r="1065" spans="1:8" x14ac:dyDescent="0.25">
      <c r="A1065">
        <v>1165660431</v>
      </c>
      <c r="B1065" t="s">
        <v>2112</v>
      </c>
      <c r="C1065">
        <v>1</v>
      </c>
      <c r="D1065" s="1">
        <v>47.42</v>
      </c>
      <c r="E1065" s="10" t="s">
        <v>2108</v>
      </c>
      <c r="F1065" s="10" t="s">
        <v>2113</v>
      </c>
      <c r="G1065" s="10" t="s">
        <v>48</v>
      </c>
      <c r="H1065" t="s">
        <v>12</v>
      </c>
    </row>
    <row r="1066" spans="1:8" x14ac:dyDescent="0.25">
      <c r="A1066">
        <v>1165316514</v>
      </c>
      <c r="B1066" t="s">
        <v>695</v>
      </c>
      <c r="C1066">
        <v>2</v>
      </c>
      <c r="D1066" s="1">
        <v>14.12</v>
      </c>
      <c r="E1066" s="10" t="s">
        <v>2114</v>
      </c>
      <c r="F1066" s="10" t="s">
        <v>2115</v>
      </c>
      <c r="G1066" s="10" t="s">
        <v>48</v>
      </c>
      <c r="H1066" t="s">
        <v>12</v>
      </c>
    </row>
    <row r="1067" spans="1:8" x14ac:dyDescent="0.25">
      <c r="A1067">
        <v>1165293123</v>
      </c>
      <c r="B1067" t="s">
        <v>2116</v>
      </c>
      <c r="C1067">
        <v>1</v>
      </c>
      <c r="D1067" s="1">
        <v>3.22</v>
      </c>
      <c r="E1067" s="10" t="s">
        <v>2114</v>
      </c>
      <c r="F1067" s="10" t="s">
        <v>2117</v>
      </c>
      <c r="G1067" s="10" t="s">
        <v>38</v>
      </c>
      <c r="H1067" t="s">
        <v>12</v>
      </c>
    </row>
    <row r="1068" spans="1:8" x14ac:dyDescent="0.25">
      <c r="A1068">
        <v>1165154888</v>
      </c>
      <c r="B1068" t="s">
        <v>2118</v>
      </c>
      <c r="C1068">
        <v>1</v>
      </c>
      <c r="D1068" s="1">
        <v>5.21</v>
      </c>
      <c r="E1068" s="10" t="s">
        <v>2119</v>
      </c>
      <c r="F1068" s="10" t="s">
        <v>2120</v>
      </c>
      <c r="G1068" s="10" t="s">
        <v>48</v>
      </c>
      <c r="H1068" t="s">
        <v>12</v>
      </c>
    </row>
    <row r="1069" spans="1:8" x14ac:dyDescent="0.25">
      <c r="A1069">
        <v>1165124290</v>
      </c>
      <c r="B1069" t="s">
        <v>2121</v>
      </c>
      <c r="C1069">
        <v>1</v>
      </c>
      <c r="D1069" s="1">
        <v>8.17</v>
      </c>
      <c r="E1069" s="10" t="s">
        <v>2119</v>
      </c>
      <c r="F1069" s="10" t="s">
        <v>2122</v>
      </c>
      <c r="G1069" s="10" t="s">
        <v>48</v>
      </c>
      <c r="H1069" t="s">
        <v>12</v>
      </c>
    </row>
    <row r="1070" spans="1:8" x14ac:dyDescent="0.25">
      <c r="A1070">
        <v>1164998584</v>
      </c>
      <c r="B1070" t="s">
        <v>2123</v>
      </c>
      <c r="C1070">
        <v>1</v>
      </c>
      <c r="D1070" s="1">
        <v>26.17</v>
      </c>
      <c r="E1070" s="10" t="s">
        <v>2124</v>
      </c>
      <c r="F1070" s="10" t="s">
        <v>2125</v>
      </c>
      <c r="G1070" s="10" t="s">
        <v>48</v>
      </c>
      <c r="H1070" t="s">
        <v>12</v>
      </c>
    </row>
    <row r="1071" spans="1:8" x14ac:dyDescent="0.25">
      <c r="A1071">
        <v>1164974962</v>
      </c>
      <c r="B1071" t="s">
        <v>2126</v>
      </c>
      <c r="C1071">
        <v>3</v>
      </c>
      <c r="D1071" s="1">
        <v>10.07</v>
      </c>
      <c r="E1071" s="10" t="s">
        <v>2124</v>
      </c>
      <c r="F1071" s="10" t="s">
        <v>2127</v>
      </c>
      <c r="G1071" s="10" t="s">
        <v>48</v>
      </c>
      <c r="H1071" t="s">
        <v>12</v>
      </c>
    </row>
    <row r="1072" spans="1:8" x14ac:dyDescent="0.25">
      <c r="A1072">
        <v>1164973766</v>
      </c>
      <c r="B1072" t="s">
        <v>695</v>
      </c>
      <c r="C1072">
        <v>1</v>
      </c>
      <c r="D1072" s="1">
        <v>55.42</v>
      </c>
      <c r="E1072" s="10" t="s">
        <v>2124</v>
      </c>
      <c r="F1072" s="10" t="s">
        <v>2128</v>
      </c>
      <c r="G1072" s="10" t="s">
        <v>48</v>
      </c>
      <c r="H1072" t="s">
        <v>12</v>
      </c>
    </row>
    <row r="1073" spans="1:8" x14ac:dyDescent="0.25">
      <c r="A1073">
        <v>1164742270</v>
      </c>
      <c r="B1073" t="s">
        <v>2129</v>
      </c>
      <c r="C1073">
        <v>3</v>
      </c>
      <c r="D1073" s="1">
        <v>155.32</v>
      </c>
      <c r="E1073" s="10" t="s">
        <v>2130</v>
      </c>
      <c r="F1073" s="10" t="s">
        <v>2131</v>
      </c>
      <c r="G1073" s="10" t="s">
        <v>48</v>
      </c>
      <c r="H1073" t="s">
        <v>12</v>
      </c>
    </row>
    <row r="1074" spans="1:8" x14ac:dyDescent="0.25">
      <c r="A1074">
        <v>1164665208</v>
      </c>
      <c r="B1074" t="s">
        <v>1413</v>
      </c>
      <c r="C1074">
        <v>2</v>
      </c>
      <c r="D1074" s="1">
        <v>98.82</v>
      </c>
      <c r="E1074" s="10" t="s">
        <v>2130</v>
      </c>
      <c r="F1074" s="10" t="s">
        <v>2132</v>
      </c>
      <c r="G1074" s="10" t="s">
        <v>11</v>
      </c>
      <c r="H1074" t="s">
        <v>12</v>
      </c>
    </row>
    <row r="1075" spans="1:8" x14ac:dyDescent="0.25">
      <c r="A1075">
        <v>1164662204</v>
      </c>
      <c r="B1075" t="s">
        <v>2133</v>
      </c>
      <c r="C1075">
        <v>1</v>
      </c>
      <c r="D1075" s="1">
        <v>55.96</v>
      </c>
      <c r="E1075" s="10" t="s">
        <v>2130</v>
      </c>
      <c r="F1075" s="10" t="s">
        <v>2134</v>
      </c>
      <c r="G1075" s="10" t="s">
        <v>11</v>
      </c>
      <c r="H1075" t="s">
        <v>12</v>
      </c>
    </row>
    <row r="1076" spans="1:8" x14ac:dyDescent="0.25">
      <c r="A1076">
        <v>1164662202</v>
      </c>
      <c r="B1076" t="s">
        <v>1736</v>
      </c>
      <c r="C1076">
        <v>1</v>
      </c>
      <c r="D1076" s="1">
        <v>55.25</v>
      </c>
      <c r="E1076" s="10" t="s">
        <v>2130</v>
      </c>
      <c r="F1076" s="10" t="s">
        <v>1737</v>
      </c>
      <c r="G1076" s="10" t="s">
        <v>11</v>
      </c>
      <c r="H1076" t="s">
        <v>12</v>
      </c>
    </row>
    <row r="1077" spans="1:8" x14ac:dyDescent="0.25">
      <c r="A1077">
        <v>1164617239</v>
      </c>
      <c r="B1077" t="s">
        <v>2135</v>
      </c>
      <c r="C1077">
        <v>6</v>
      </c>
      <c r="D1077" s="1">
        <v>129.52000000000001</v>
      </c>
      <c r="E1077" s="10" t="s">
        <v>2136</v>
      </c>
      <c r="F1077" s="10" t="s">
        <v>2137</v>
      </c>
      <c r="G1077" s="10" t="s">
        <v>48</v>
      </c>
      <c r="H1077" t="s">
        <v>12</v>
      </c>
    </row>
    <row r="1078" spans="1:8" x14ac:dyDescent="0.25">
      <c r="A1078">
        <v>1164434971</v>
      </c>
      <c r="B1078" t="s">
        <v>1210</v>
      </c>
      <c r="C1078">
        <v>2</v>
      </c>
      <c r="D1078" s="1">
        <v>66.05</v>
      </c>
      <c r="E1078" s="10" t="s">
        <v>2138</v>
      </c>
      <c r="F1078" s="10" t="s">
        <v>2041</v>
      </c>
      <c r="G1078" s="10" t="s">
        <v>11</v>
      </c>
      <c r="H1078" t="s">
        <v>12</v>
      </c>
    </row>
    <row r="1079" spans="1:8" x14ac:dyDescent="0.25">
      <c r="A1079">
        <v>1164395671</v>
      </c>
      <c r="B1079" t="s">
        <v>2139</v>
      </c>
      <c r="C1079">
        <v>1</v>
      </c>
      <c r="D1079" s="1">
        <v>8.17</v>
      </c>
      <c r="E1079" s="10" t="s">
        <v>2138</v>
      </c>
      <c r="F1079" s="10" t="s">
        <v>2140</v>
      </c>
      <c r="G1079" s="10" t="s">
        <v>48</v>
      </c>
      <c r="H1079" t="s">
        <v>12</v>
      </c>
    </row>
    <row r="1080" spans="1:8" x14ac:dyDescent="0.25">
      <c r="A1080">
        <v>1164362973</v>
      </c>
      <c r="B1080" t="s">
        <v>442</v>
      </c>
      <c r="C1080">
        <v>4</v>
      </c>
      <c r="D1080" s="1">
        <v>82.19</v>
      </c>
      <c r="E1080" s="10" t="s">
        <v>2141</v>
      </c>
      <c r="F1080" s="10" t="s">
        <v>2142</v>
      </c>
      <c r="G1080" s="10" t="s">
        <v>11</v>
      </c>
      <c r="H1080" t="s">
        <v>12</v>
      </c>
    </row>
    <row r="1081" spans="1:8" x14ac:dyDescent="0.25">
      <c r="A1081">
        <v>1164347983</v>
      </c>
      <c r="B1081" t="s">
        <v>2143</v>
      </c>
      <c r="C1081">
        <v>2</v>
      </c>
      <c r="D1081" s="1">
        <v>22.47</v>
      </c>
      <c r="E1081" s="10" t="s">
        <v>2141</v>
      </c>
      <c r="F1081" s="10" t="s">
        <v>2144</v>
      </c>
      <c r="G1081" s="10" t="s">
        <v>48</v>
      </c>
      <c r="H1081" t="s">
        <v>12</v>
      </c>
    </row>
    <row r="1082" spans="1:8" x14ac:dyDescent="0.25">
      <c r="A1082">
        <v>1164299472</v>
      </c>
      <c r="B1082" t="s">
        <v>2145</v>
      </c>
      <c r="C1082">
        <v>1</v>
      </c>
      <c r="D1082" s="1">
        <v>12.17</v>
      </c>
      <c r="E1082" s="10" t="s">
        <v>2141</v>
      </c>
      <c r="F1082" s="10" t="s">
        <v>2146</v>
      </c>
      <c r="G1082" s="10" t="s">
        <v>48</v>
      </c>
      <c r="H1082" t="s">
        <v>12</v>
      </c>
    </row>
    <row r="1083" spans="1:8" x14ac:dyDescent="0.25">
      <c r="A1083">
        <v>1164271884</v>
      </c>
      <c r="B1083" t="s">
        <v>2147</v>
      </c>
      <c r="C1083">
        <v>1</v>
      </c>
      <c r="D1083" s="1">
        <v>25.3</v>
      </c>
      <c r="E1083" s="10" t="s">
        <v>2141</v>
      </c>
      <c r="F1083" s="10" t="s">
        <v>2148</v>
      </c>
      <c r="G1083" s="10" t="s">
        <v>11</v>
      </c>
      <c r="H1083" t="s">
        <v>12</v>
      </c>
    </row>
    <row r="1084" spans="1:8" x14ac:dyDescent="0.25">
      <c r="A1084">
        <v>1164244310</v>
      </c>
      <c r="B1084" t="s">
        <v>2149</v>
      </c>
      <c r="C1084">
        <v>3</v>
      </c>
      <c r="D1084" s="1">
        <v>114.55</v>
      </c>
      <c r="E1084" s="10" t="s">
        <v>2150</v>
      </c>
      <c r="F1084" s="10" t="s">
        <v>2151</v>
      </c>
      <c r="G1084" s="10" t="s">
        <v>11</v>
      </c>
      <c r="H1084" t="s">
        <v>12</v>
      </c>
    </row>
    <row r="1085" spans="1:8" x14ac:dyDescent="0.25">
      <c r="A1085">
        <v>1164216706</v>
      </c>
      <c r="B1085" t="s">
        <v>2152</v>
      </c>
      <c r="C1085">
        <v>1</v>
      </c>
      <c r="D1085" s="1">
        <v>82.25</v>
      </c>
      <c r="E1085" s="10" t="s">
        <v>2150</v>
      </c>
      <c r="F1085" s="10" t="s">
        <v>2153</v>
      </c>
      <c r="G1085" s="10" t="s">
        <v>48</v>
      </c>
      <c r="H1085" t="s">
        <v>12</v>
      </c>
    </row>
    <row r="1086" spans="1:8" x14ac:dyDescent="0.25">
      <c r="A1086">
        <v>1164187939</v>
      </c>
      <c r="B1086" t="s">
        <v>2149</v>
      </c>
      <c r="C1086">
        <v>3</v>
      </c>
      <c r="D1086" s="1">
        <v>114.55</v>
      </c>
      <c r="E1086" s="10" t="s">
        <v>2150</v>
      </c>
      <c r="F1086" s="10" t="s">
        <v>2151</v>
      </c>
      <c r="G1086" s="10" t="s">
        <v>11</v>
      </c>
      <c r="H1086" t="s">
        <v>12</v>
      </c>
    </row>
    <row r="1087" spans="1:8" x14ac:dyDescent="0.25">
      <c r="A1087">
        <v>1164141957</v>
      </c>
      <c r="B1087" t="s">
        <v>2154</v>
      </c>
      <c r="C1087">
        <v>1</v>
      </c>
      <c r="D1087" s="1">
        <v>8.7200000000000006</v>
      </c>
      <c r="E1087" s="10" t="s">
        <v>2150</v>
      </c>
      <c r="F1087" s="10" t="s">
        <v>2155</v>
      </c>
      <c r="G1087" s="10" t="s">
        <v>11</v>
      </c>
      <c r="H1087" t="s">
        <v>12</v>
      </c>
    </row>
    <row r="1088" spans="1:8" x14ac:dyDescent="0.25">
      <c r="A1088">
        <v>1164123985</v>
      </c>
      <c r="B1088" t="s">
        <v>2156</v>
      </c>
      <c r="C1088">
        <v>4</v>
      </c>
      <c r="D1088" s="1">
        <v>86.23</v>
      </c>
      <c r="E1088" s="10" t="s">
        <v>2150</v>
      </c>
      <c r="F1088" s="10" t="s">
        <v>2157</v>
      </c>
      <c r="G1088" s="10" t="s">
        <v>11</v>
      </c>
      <c r="H1088" t="s">
        <v>12</v>
      </c>
    </row>
    <row r="1089" spans="1:8" x14ac:dyDescent="0.25">
      <c r="A1089">
        <v>1164108421</v>
      </c>
      <c r="B1089" t="s">
        <v>2158</v>
      </c>
      <c r="C1089">
        <v>2</v>
      </c>
      <c r="D1089" s="1">
        <v>100.37</v>
      </c>
      <c r="E1089" s="10" t="s">
        <v>2159</v>
      </c>
      <c r="F1089" s="10" t="s">
        <v>2160</v>
      </c>
      <c r="G1089" s="10" t="s">
        <v>48</v>
      </c>
      <c r="H1089" t="s">
        <v>12</v>
      </c>
    </row>
    <row r="1090" spans="1:8" x14ac:dyDescent="0.25">
      <c r="A1090">
        <v>1164096821</v>
      </c>
      <c r="B1090" t="s">
        <v>2161</v>
      </c>
      <c r="C1090">
        <v>1</v>
      </c>
      <c r="D1090" s="1">
        <v>2.72</v>
      </c>
      <c r="E1090" s="10" t="s">
        <v>2159</v>
      </c>
      <c r="F1090" s="10" t="s">
        <v>2162</v>
      </c>
      <c r="G1090" s="10" t="s">
        <v>48</v>
      </c>
      <c r="H1090" t="s">
        <v>12</v>
      </c>
    </row>
    <row r="1091" spans="1:8" x14ac:dyDescent="0.25">
      <c r="A1091">
        <v>1164075103</v>
      </c>
      <c r="B1091" t="s">
        <v>2163</v>
      </c>
      <c r="C1091">
        <v>5</v>
      </c>
      <c r="D1091" s="1">
        <v>106.94</v>
      </c>
      <c r="E1091" s="10" t="s">
        <v>2159</v>
      </c>
      <c r="F1091" s="10" t="s">
        <v>2164</v>
      </c>
      <c r="G1091" s="10" t="s">
        <v>48</v>
      </c>
      <c r="H1091" t="s">
        <v>12</v>
      </c>
    </row>
    <row r="1092" spans="1:8" x14ac:dyDescent="0.25">
      <c r="A1092">
        <v>1164060811</v>
      </c>
      <c r="B1092" t="s">
        <v>2165</v>
      </c>
      <c r="C1092">
        <v>1</v>
      </c>
      <c r="D1092" s="1">
        <v>2.72</v>
      </c>
      <c r="E1092" s="10" t="s">
        <v>2159</v>
      </c>
      <c r="F1092" s="10" t="s">
        <v>2166</v>
      </c>
      <c r="G1092" s="10" t="s">
        <v>48</v>
      </c>
      <c r="H1092" t="s">
        <v>12</v>
      </c>
    </row>
    <row r="1093" spans="1:8" x14ac:dyDescent="0.25">
      <c r="A1093">
        <v>1164023975</v>
      </c>
      <c r="B1093" t="s">
        <v>2167</v>
      </c>
      <c r="C1093">
        <v>1</v>
      </c>
      <c r="D1093" s="1">
        <v>12.17</v>
      </c>
      <c r="E1093" s="10" t="s">
        <v>2159</v>
      </c>
      <c r="F1093" s="10" t="s">
        <v>2168</v>
      </c>
      <c r="G1093" s="10" t="s">
        <v>48</v>
      </c>
      <c r="H1093" t="s">
        <v>12</v>
      </c>
    </row>
    <row r="1094" spans="1:8" x14ac:dyDescent="0.25">
      <c r="A1094">
        <v>1163978777</v>
      </c>
      <c r="B1094" t="s">
        <v>1210</v>
      </c>
      <c r="C1094">
        <v>4</v>
      </c>
      <c r="D1094" s="1">
        <v>98.35</v>
      </c>
      <c r="E1094" s="10" t="s">
        <v>2159</v>
      </c>
      <c r="F1094" s="10" t="s">
        <v>2041</v>
      </c>
      <c r="G1094" s="10" t="s">
        <v>11</v>
      </c>
      <c r="H1094" t="s">
        <v>12</v>
      </c>
    </row>
    <row r="1095" spans="1:8" x14ac:dyDescent="0.25">
      <c r="A1095">
        <v>1163978024</v>
      </c>
      <c r="B1095" t="s">
        <v>2169</v>
      </c>
      <c r="C1095">
        <v>1</v>
      </c>
      <c r="D1095" s="1">
        <v>65.42</v>
      </c>
      <c r="E1095" s="10" t="s">
        <v>2159</v>
      </c>
      <c r="F1095" s="10" t="s">
        <v>2170</v>
      </c>
      <c r="G1095" s="10" t="s">
        <v>48</v>
      </c>
      <c r="H1095" t="s">
        <v>12</v>
      </c>
    </row>
    <row r="1096" spans="1:8" x14ac:dyDescent="0.25">
      <c r="A1096">
        <v>1163909490</v>
      </c>
      <c r="B1096" t="s">
        <v>294</v>
      </c>
      <c r="C1096">
        <v>4</v>
      </c>
      <c r="D1096" s="1">
        <v>6.22</v>
      </c>
      <c r="E1096" s="10" t="s">
        <v>2171</v>
      </c>
      <c r="F1096" s="10" t="s">
        <v>1709</v>
      </c>
      <c r="G1096" s="10" t="s">
        <v>11</v>
      </c>
      <c r="H1096" t="s">
        <v>12</v>
      </c>
    </row>
    <row r="1097" spans="1:8" x14ac:dyDescent="0.25">
      <c r="A1097">
        <v>1163903842</v>
      </c>
      <c r="B1097" t="s">
        <v>1291</v>
      </c>
      <c r="C1097">
        <v>4</v>
      </c>
      <c r="D1097" s="1">
        <v>20.22</v>
      </c>
      <c r="E1097" s="10" t="s">
        <v>2171</v>
      </c>
      <c r="F1097" s="10" t="s">
        <v>2172</v>
      </c>
      <c r="G1097" s="10" t="s">
        <v>11</v>
      </c>
      <c r="H1097" t="s">
        <v>12</v>
      </c>
    </row>
    <row r="1098" spans="1:8" x14ac:dyDescent="0.25">
      <c r="A1098">
        <v>1163758975</v>
      </c>
      <c r="B1098" t="s">
        <v>2173</v>
      </c>
      <c r="C1098">
        <v>2</v>
      </c>
      <c r="D1098" s="1">
        <v>85.37</v>
      </c>
      <c r="E1098" s="10" t="s">
        <v>2174</v>
      </c>
      <c r="F1098" s="10" t="s">
        <v>2175</v>
      </c>
      <c r="G1098" s="10" t="s">
        <v>48</v>
      </c>
      <c r="H1098" t="s">
        <v>12</v>
      </c>
    </row>
    <row r="1099" spans="1:8" x14ac:dyDescent="0.25">
      <c r="A1099">
        <v>1163720071</v>
      </c>
      <c r="B1099" t="s">
        <v>2176</v>
      </c>
      <c r="C1099">
        <v>1</v>
      </c>
      <c r="D1099" s="1">
        <v>25.22</v>
      </c>
      <c r="E1099" s="10" t="s">
        <v>2174</v>
      </c>
      <c r="F1099" s="10" t="s">
        <v>2177</v>
      </c>
      <c r="G1099" s="10" t="s">
        <v>38</v>
      </c>
      <c r="H1099" t="s">
        <v>12</v>
      </c>
    </row>
    <row r="1100" spans="1:8" x14ac:dyDescent="0.25">
      <c r="A1100">
        <v>1163688955</v>
      </c>
      <c r="B1100" t="s">
        <v>318</v>
      </c>
      <c r="C1100">
        <v>1</v>
      </c>
      <c r="D1100" s="1">
        <v>55.42</v>
      </c>
      <c r="E1100" s="10" t="s">
        <v>2174</v>
      </c>
      <c r="F1100" s="10" t="s">
        <v>2178</v>
      </c>
      <c r="G1100" s="10" t="s">
        <v>48</v>
      </c>
      <c r="H1100" t="s">
        <v>12</v>
      </c>
    </row>
    <row r="1101" spans="1:8" x14ac:dyDescent="0.25">
      <c r="A1101">
        <v>1163680869</v>
      </c>
      <c r="B1101" t="s">
        <v>2179</v>
      </c>
      <c r="C1101">
        <v>1</v>
      </c>
      <c r="D1101" s="1">
        <v>23.17</v>
      </c>
      <c r="E1101" s="10" t="s">
        <v>2174</v>
      </c>
      <c r="F1101" s="10" t="s">
        <v>2180</v>
      </c>
      <c r="G1101" s="10" t="s">
        <v>11</v>
      </c>
      <c r="H1101" t="s">
        <v>12</v>
      </c>
    </row>
    <row r="1102" spans="1:8" x14ac:dyDescent="0.25">
      <c r="A1102">
        <v>1163680787</v>
      </c>
      <c r="B1102" t="s">
        <v>2181</v>
      </c>
      <c r="C1102">
        <v>10</v>
      </c>
      <c r="D1102" s="1">
        <v>59</v>
      </c>
      <c r="E1102" s="10" t="s">
        <v>2174</v>
      </c>
      <c r="F1102" s="10" t="s">
        <v>2182</v>
      </c>
      <c r="G1102" s="10" t="s">
        <v>11</v>
      </c>
      <c r="H1102" t="s">
        <v>12</v>
      </c>
    </row>
    <row r="1103" spans="1:8" x14ac:dyDescent="0.25">
      <c r="A1103">
        <v>1163627035</v>
      </c>
      <c r="B1103" t="s">
        <v>2183</v>
      </c>
      <c r="C1103">
        <v>1</v>
      </c>
      <c r="D1103" s="1">
        <v>6.17</v>
      </c>
      <c r="E1103" s="10" t="s">
        <v>2184</v>
      </c>
      <c r="F1103" s="10" t="s">
        <v>2185</v>
      </c>
      <c r="G1103" s="10" t="s">
        <v>48</v>
      </c>
      <c r="H1103" t="s">
        <v>12</v>
      </c>
    </row>
    <row r="1104" spans="1:8" x14ac:dyDescent="0.25">
      <c r="A1104">
        <v>1163566856</v>
      </c>
      <c r="B1104" t="s">
        <v>2186</v>
      </c>
      <c r="C1104">
        <v>4</v>
      </c>
      <c r="D1104" s="1">
        <v>25.02</v>
      </c>
      <c r="E1104" s="10" t="s">
        <v>2184</v>
      </c>
      <c r="F1104" s="10" t="s">
        <v>2187</v>
      </c>
      <c r="G1104" s="10" t="s">
        <v>48</v>
      </c>
      <c r="H1104" t="s">
        <v>12</v>
      </c>
    </row>
    <row r="1105" spans="1:8" x14ac:dyDescent="0.25">
      <c r="A1105">
        <v>1163540641</v>
      </c>
      <c r="B1105" t="s">
        <v>2188</v>
      </c>
      <c r="C1105">
        <v>3</v>
      </c>
      <c r="D1105" s="1">
        <v>3.92</v>
      </c>
      <c r="E1105" s="10" t="s">
        <v>2184</v>
      </c>
      <c r="F1105" s="10" t="s">
        <v>2189</v>
      </c>
      <c r="G1105" s="10" t="s">
        <v>11</v>
      </c>
      <c r="H1105" t="s">
        <v>12</v>
      </c>
    </row>
    <row r="1106" spans="1:8" x14ac:dyDescent="0.25">
      <c r="A1106">
        <v>1163540576</v>
      </c>
      <c r="B1106" t="s">
        <v>1032</v>
      </c>
      <c r="C1106">
        <v>7</v>
      </c>
      <c r="D1106" s="1">
        <v>3.84</v>
      </c>
      <c r="E1106" s="10" t="s">
        <v>2184</v>
      </c>
      <c r="F1106" s="10" t="s">
        <v>2190</v>
      </c>
      <c r="G1106" s="10" t="s">
        <v>11</v>
      </c>
      <c r="H1106" t="s">
        <v>12</v>
      </c>
    </row>
    <row r="1107" spans="1:8" ht="30" x14ac:dyDescent="0.25">
      <c r="A1107">
        <v>1163539941</v>
      </c>
      <c r="B1107" t="s">
        <v>8</v>
      </c>
      <c r="C1107">
        <v>2</v>
      </c>
      <c r="D1107" s="1">
        <v>8.9</v>
      </c>
      <c r="E1107" s="10" t="s">
        <v>2184</v>
      </c>
      <c r="F1107" s="10" t="s">
        <v>1604</v>
      </c>
      <c r="G1107" s="10" t="s">
        <v>38</v>
      </c>
      <c r="H1107" t="s">
        <v>12</v>
      </c>
    </row>
    <row r="1108" spans="1:8" x14ac:dyDescent="0.25">
      <c r="A1108">
        <v>1163420233</v>
      </c>
      <c r="B1108" t="s">
        <v>2191</v>
      </c>
      <c r="C1108">
        <v>3</v>
      </c>
      <c r="D1108" s="1">
        <v>19.739999999999998</v>
      </c>
      <c r="E1108" s="10" t="s">
        <v>2192</v>
      </c>
      <c r="F1108" s="10" t="s">
        <v>2193</v>
      </c>
      <c r="G1108" s="10" t="s">
        <v>11</v>
      </c>
      <c r="H1108" t="s">
        <v>12</v>
      </c>
    </row>
    <row r="1109" spans="1:8" x14ac:dyDescent="0.25">
      <c r="A1109">
        <v>1163394837</v>
      </c>
      <c r="B1109" t="s">
        <v>2194</v>
      </c>
      <c r="C1109">
        <v>3</v>
      </c>
      <c r="D1109" s="1">
        <v>6.02</v>
      </c>
      <c r="E1109" s="10" t="s">
        <v>2195</v>
      </c>
      <c r="F1109" s="10" t="s">
        <v>2196</v>
      </c>
      <c r="G1109" s="10" t="s">
        <v>11</v>
      </c>
      <c r="H1109" t="s">
        <v>12</v>
      </c>
    </row>
    <row r="1110" spans="1:8" x14ac:dyDescent="0.25">
      <c r="A1110">
        <v>1163389136</v>
      </c>
      <c r="B1110" t="s">
        <v>2197</v>
      </c>
      <c r="C1110">
        <v>1</v>
      </c>
      <c r="D1110" s="1">
        <v>4.72</v>
      </c>
      <c r="E1110" s="10" t="s">
        <v>2195</v>
      </c>
      <c r="F1110" s="10" t="s">
        <v>2198</v>
      </c>
      <c r="G1110" s="10" t="s">
        <v>11</v>
      </c>
      <c r="H1110" t="s">
        <v>12</v>
      </c>
    </row>
    <row r="1111" spans="1:8" ht="30" x14ac:dyDescent="0.25">
      <c r="A1111">
        <v>1163362391</v>
      </c>
      <c r="B1111" t="s">
        <v>8</v>
      </c>
      <c r="C1111">
        <v>4</v>
      </c>
      <c r="D1111" s="1">
        <v>5.75</v>
      </c>
      <c r="E1111" s="10" t="s">
        <v>2195</v>
      </c>
      <c r="F1111" s="10" t="s">
        <v>1604</v>
      </c>
      <c r="G1111" s="10" t="s">
        <v>38</v>
      </c>
      <c r="H1111" t="s">
        <v>12</v>
      </c>
    </row>
    <row r="1112" spans="1:8" x14ac:dyDescent="0.25">
      <c r="A1112">
        <v>1163359815</v>
      </c>
      <c r="B1112" t="s">
        <v>318</v>
      </c>
      <c r="C1112">
        <v>16</v>
      </c>
      <c r="D1112" s="1">
        <v>33.49</v>
      </c>
      <c r="E1112" s="10" t="s">
        <v>2195</v>
      </c>
      <c r="F1112" s="10" t="s">
        <v>2199</v>
      </c>
      <c r="G1112" s="10" t="s">
        <v>11</v>
      </c>
      <c r="H1112" t="s">
        <v>12</v>
      </c>
    </row>
    <row r="1113" spans="1:8" x14ac:dyDescent="0.25">
      <c r="A1113">
        <v>1163347613</v>
      </c>
      <c r="B1113" t="s">
        <v>1858</v>
      </c>
      <c r="C1113">
        <v>4</v>
      </c>
      <c r="D1113" s="1">
        <v>2.62</v>
      </c>
      <c r="E1113" s="10" t="s">
        <v>2195</v>
      </c>
      <c r="F1113" s="10" t="s">
        <v>1859</v>
      </c>
      <c r="G1113" s="10" t="s">
        <v>11</v>
      </c>
      <c r="H1113" t="s">
        <v>12</v>
      </c>
    </row>
    <row r="1114" spans="1:8" x14ac:dyDescent="0.25">
      <c r="A1114">
        <v>1163303172</v>
      </c>
      <c r="B1114" t="s">
        <v>2200</v>
      </c>
      <c r="C1114">
        <v>1</v>
      </c>
      <c r="D1114" s="1">
        <v>15.22</v>
      </c>
      <c r="E1114" s="10" t="s">
        <v>2195</v>
      </c>
      <c r="F1114" s="10" t="s">
        <v>2201</v>
      </c>
      <c r="G1114" s="10" t="s">
        <v>11</v>
      </c>
      <c r="H1114" t="s">
        <v>12</v>
      </c>
    </row>
    <row r="1115" spans="1:8" x14ac:dyDescent="0.25">
      <c r="A1115">
        <v>1163282779</v>
      </c>
      <c r="B1115" t="s">
        <v>1459</v>
      </c>
      <c r="C1115">
        <v>4</v>
      </c>
      <c r="D1115" s="1">
        <v>6.18</v>
      </c>
      <c r="E1115" s="10" t="s">
        <v>2195</v>
      </c>
      <c r="F1115" s="10" t="s">
        <v>2202</v>
      </c>
      <c r="G1115" s="10" t="s">
        <v>11</v>
      </c>
      <c r="H1115" t="s">
        <v>12</v>
      </c>
    </row>
    <row r="1116" spans="1:8" x14ac:dyDescent="0.25">
      <c r="A1116">
        <v>1163113103</v>
      </c>
      <c r="B1116" t="s">
        <v>2203</v>
      </c>
      <c r="C1116">
        <v>8</v>
      </c>
      <c r="D1116" s="1">
        <v>1.7</v>
      </c>
      <c r="E1116" s="10" t="s">
        <v>2204</v>
      </c>
      <c r="F1116" s="10" t="s">
        <v>2205</v>
      </c>
      <c r="G1116" s="10" t="s">
        <v>11</v>
      </c>
      <c r="H1116" t="s">
        <v>12</v>
      </c>
    </row>
    <row r="1117" spans="1:8" x14ac:dyDescent="0.25">
      <c r="A1117">
        <v>1163104506</v>
      </c>
      <c r="B1117" t="s">
        <v>35</v>
      </c>
      <c r="C1117">
        <v>4</v>
      </c>
      <c r="D1117" s="1">
        <v>69.67</v>
      </c>
      <c r="E1117" s="10" t="s">
        <v>2204</v>
      </c>
      <c r="F1117" s="10" t="s">
        <v>2206</v>
      </c>
      <c r="G1117" s="10" t="s">
        <v>11</v>
      </c>
      <c r="H1117" t="s">
        <v>12</v>
      </c>
    </row>
    <row r="1118" spans="1:8" x14ac:dyDescent="0.25">
      <c r="A1118">
        <v>1162882339</v>
      </c>
      <c r="B1118" t="s">
        <v>1841</v>
      </c>
      <c r="C1118">
        <v>1</v>
      </c>
      <c r="D1118" s="1">
        <v>10.17</v>
      </c>
      <c r="E1118" s="10" t="s">
        <v>2207</v>
      </c>
      <c r="F1118" s="10" t="s">
        <v>2208</v>
      </c>
      <c r="G1118" s="10" t="s">
        <v>11</v>
      </c>
      <c r="H1118" t="s">
        <v>12</v>
      </c>
    </row>
    <row r="1119" spans="1:8" x14ac:dyDescent="0.25">
      <c r="A1119">
        <v>1162882335</v>
      </c>
      <c r="B1119" t="s">
        <v>2209</v>
      </c>
      <c r="C1119">
        <v>1</v>
      </c>
      <c r="D1119" s="1">
        <v>10.17</v>
      </c>
      <c r="E1119" s="10" t="s">
        <v>2207</v>
      </c>
      <c r="F1119" s="10" t="s">
        <v>2210</v>
      </c>
      <c r="G1119" s="10" t="s">
        <v>11</v>
      </c>
      <c r="H1119" t="s">
        <v>12</v>
      </c>
    </row>
    <row r="1120" spans="1:8" x14ac:dyDescent="0.25">
      <c r="A1120">
        <v>1162882331</v>
      </c>
      <c r="B1120" t="s">
        <v>2211</v>
      </c>
      <c r="C1120">
        <v>2</v>
      </c>
      <c r="D1120" s="1">
        <v>12.12</v>
      </c>
      <c r="E1120" s="10" t="s">
        <v>2207</v>
      </c>
      <c r="F1120" s="10" t="s">
        <v>2212</v>
      </c>
      <c r="G1120" s="10" t="s">
        <v>11</v>
      </c>
      <c r="H1120" t="s">
        <v>12</v>
      </c>
    </row>
    <row r="1121" spans="1:8" x14ac:dyDescent="0.25">
      <c r="A1121">
        <v>1162881731</v>
      </c>
      <c r="B1121" t="s">
        <v>2213</v>
      </c>
      <c r="C1121">
        <v>4</v>
      </c>
      <c r="D1121" s="1">
        <v>9</v>
      </c>
      <c r="E1121" s="10" t="s">
        <v>2207</v>
      </c>
      <c r="F1121" s="10" t="s">
        <v>2214</v>
      </c>
      <c r="G1121" s="10" t="s">
        <v>38</v>
      </c>
      <c r="H1121" t="s">
        <v>12</v>
      </c>
    </row>
    <row r="1122" spans="1:8" x14ac:dyDescent="0.25">
      <c r="A1122">
        <v>1162835755</v>
      </c>
      <c r="B1122" t="s">
        <v>2215</v>
      </c>
      <c r="C1122">
        <v>4</v>
      </c>
      <c r="D1122" s="1">
        <v>65.27</v>
      </c>
      <c r="E1122" s="10" t="s">
        <v>2216</v>
      </c>
      <c r="F1122" s="10" t="s">
        <v>2217</v>
      </c>
      <c r="G1122" s="10" t="s">
        <v>48</v>
      </c>
      <c r="H1122" t="s">
        <v>12</v>
      </c>
    </row>
    <row r="1123" spans="1:8" x14ac:dyDescent="0.25">
      <c r="A1123">
        <v>1162831676</v>
      </c>
      <c r="B1123" t="s">
        <v>2218</v>
      </c>
      <c r="C1123">
        <v>1</v>
      </c>
      <c r="D1123" s="1">
        <v>12.17</v>
      </c>
      <c r="E1123" s="10" t="s">
        <v>2216</v>
      </c>
      <c r="F1123" s="10" t="s">
        <v>2219</v>
      </c>
      <c r="G1123" s="10" t="s">
        <v>48</v>
      </c>
      <c r="H1123" t="s">
        <v>12</v>
      </c>
    </row>
    <row r="1124" spans="1:8" x14ac:dyDescent="0.25">
      <c r="A1124">
        <v>1162368044</v>
      </c>
      <c r="B1124" t="s">
        <v>2220</v>
      </c>
      <c r="C1124">
        <v>6</v>
      </c>
      <c r="D1124" s="1">
        <v>5.42</v>
      </c>
      <c r="E1124" s="10" t="s">
        <v>2221</v>
      </c>
      <c r="F1124" s="10" t="s">
        <v>2222</v>
      </c>
      <c r="G1124" s="10" t="s">
        <v>11</v>
      </c>
      <c r="H1124" t="s">
        <v>12</v>
      </c>
    </row>
    <row r="1125" spans="1:8" x14ac:dyDescent="0.25">
      <c r="A1125">
        <v>1162230542</v>
      </c>
      <c r="B1125" t="s">
        <v>2223</v>
      </c>
      <c r="C1125">
        <v>1</v>
      </c>
      <c r="D1125" s="1">
        <v>14.17</v>
      </c>
      <c r="E1125" s="10" t="s">
        <v>2224</v>
      </c>
      <c r="F1125" s="10" t="s">
        <v>2225</v>
      </c>
      <c r="G1125" s="10" t="s">
        <v>48</v>
      </c>
      <c r="H1125" t="s">
        <v>12</v>
      </c>
    </row>
    <row r="1126" spans="1:8" x14ac:dyDescent="0.25">
      <c r="A1126">
        <v>1162179856</v>
      </c>
      <c r="B1126" t="s">
        <v>2226</v>
      </c>
      <c r="C1126">
        <v>1</v>
      </c>
      <c r="D1126" s="1">
        <v>4.21</v>
      </c>
      <c r="E1126" s="10" t="s">
        <v>2227</v>
      </c>
      <c r="F1126" s="10" t="s">
        <v>2228</v>
      </c>
      <c r="G1126" s="10" t="s">
        <v>48</v>
      </c>
      <c r="H1126" t="s">
        <v>12</v>
      </c>
    </row>
    <row r="1127" spans="1:8" x14ac:dyDescent="0.25">
      <c r="A1127">
        <v>1161961034</v>
      </c>
      <c r="B1127" t="s">
        <v>2229</v>
      </c>
      <c r="C1127">
        <v>1</v>
      </c>
      <c r="D1127" s="1">
        <v>48.9</v>
      </c>
      <c r="E1127" s="10" t="s">
        <v>2230</v>
      </c>
      <c r="F1127" s="10" t="s">
        <v>2231</v>
      </c>
      <c r="G1127" s="10" t="s">
        <v>11</v>
      </c>
      <c r="H1127" t="s">
        <v>12</v>
      </c>
    </row>
    <row r="1128" spans="1:8" x14ac:dyDescent="0.25">
      <c r="A1128">
        <v>1161946216</v>
      </c>
      <c r="B1128" t="s">
        <v>212</v>
      </c>
      <c r="C1128">
        <v>4</v>
      </c>
      <c r="D1128" s="1">
        <v>2.62</v>
      </c>
      <c r="E1128" s="10" t="s">
        <v>2230</v>
      </c>
      <c r="F1128" s="10" t="s">
        <v>2232</v>
      </c>
      <c r="G1128" s="10" t="s">
        <v>11</v>
      </c>
      <c r="H1128" t="s">
        <v>12</v>
      </c>
    </row>
    <row r="1129" spans="1:8" x14ac:dyDescent="0.25">
      <c r="A1129">
        <v>1161902630</v>
      </c>
      <c r="B1129" t="s">
        <v>2233</v>
      </c>
      <c r="C1129">
        <v>1</v>
      </c>
      <c r="D1129" s="1">
        <v>8.02</v>
      </c>
      <c r="E1129" s="10" t="s">
        <v>2230</v>
      </c>
      <c r="F1129" s="10" t="s">
        <v>2234</v>
      </c>
      <c r="G1129" s="10" t="s">
        <v>11</v>
      </c>
      <c r="H1129" t="s">
        <v>12</v>
      </c>
    </row>
    <row r="1130" spans="1:8" x14ac:dyDescent="0.25">
      <c r="A1130">
        <v>1161899774</v>
      </c>
      <c r="B1130" t="s">
        <v>294</v>
      </c>
      <c r="C1130">
        <v>9</v>
      </c>
      <c r="D1130" s="1">
        <v>5.77</v>
      </c>
      <c r="E1130" s="10" t="s">
        <v>2230</v>
      </c>
      <c r="F1130" s="10" t="s">
        <v>1709</v>
      </c>
      <c r="G1130" s="10" t="s">
        <v>11</v>
      </c>
      <c r="H1130" t="s">
        <v>12</v>
      </c>
    </row>
    <row r="1131" spans="1:8" x14ac:dyDescent="0.25">
      <c r="A1131">
        <v>1161876654</v>
      </c>
      <c r="B1131" t="s">
        <v>2235</v>
      </c>
      <c r="C1131">
        <v>1</v>
      </c>
      <c r="D1131" s="1">
        <v>20.170000000000002</v>
      </c>
      <c r="E1131" s="10" t="s">
        <v>2230</v>
      </c>
      <c r="F1131" s="10" t="s">
        <v>2236</v>
      </c>
      <c r="G1131" s="10" t="s">
        <v>48</v>
      </c>
      <c r="H1131" t="s">
        <v>12</v>
      </c>
    </row>
    <row r="1132" spans="1:8" x14ac:dyDescent="0.25">
      <c r="A1132">
        <v>1161780833</v>
      </c>
      <c r="B1132" t="s">
        <v>414</v>
      </c>
      <c r="C1132">
        <v>2</v>
      </c>
      <c r="D1132" s="1">
        <v>15.2</v>
      </c>
      <c r="E1132" s="10" t="s">
        <v>2237</v>
      </c>
      <c r="F1132" s="10" t="s">
        <v>1654</v>
      </c>
      <c r="G1132" s="10" t="s">
        <v>11</v>
      </c>
      <c r="H1132" t="s">
        <v>12</v>
      </c>
    </row>
    <row r="1133" spans="1:8" x14ac:dyDescent="0.25">
      <c r="A1133">
        <v>1161770456</v>
      </c>
      <c r="B1133" t="s">
        <v>1278</v>
      </c>
      <c r="C1133">
        <v>4</v>
      </c>
      <c r="D1133" s="1">
        <v>80.010000000000005</v>
      </c>
      <c r="E1133" s="10" t="s">
        <v>2237</v>
      </c>
      <c r="F1133" s="10" t="s">
        <v>2238</v>
      </c>
      <c r="G1133" s="10" t="s">
        <v>11</v>
      </c>
      <c r="H1133" t="s">
        <v>12</v>
      </c>
    </row>
    <row r="1134" spans="1:8" x14ac:dyDescent="0.25">
      <c r="A1134">
        <v>1161654652</v>
      </c>
      <c r="B1134" t="s">
        <v>303</v>
      </c>
      <c r="C1134">
        <v>4</v>
      </c>
      <c r="D1134" s="1">
        <v>23.02</v>
      </c>
      <c r="E1134" s="10" t="s">
        <v>2239</v>
      </c>
      <c r="F1134" s="10" t="s">
        <v>2240</v>
      </c>
      <c r="G1134" s="10" t="s">
        <v>11</v>
      </c>
      <c r="H1134" t="s">
        <v>12</v>
      </c>
    </row>
    <row r="1135" spans="1:8" x14ac:dyDescent="0.25">
      <c r="A1135">
        <v>1161652151</v>
      </c>
      <c r="B1135" t="s">
        <v>303</v>
      </c>
      <c r="C1135">
        <v>4</v>
      </c>
      <c r="D1135" s="1">
        <v>25.18</v>
      </c>
      <c r="E1135" s="10" t="s">
        <v>2239</v>
      </c>
      <c r="F1135" s="10" t="s">
        <v>2240</v>
      </c>
      <c r="G1135" s="10" t="s">
        <v>11</v>
      </c>
      <c r="H1135" t="s">
        <v>12</v>
      </c>
    </row>
    <row r="1136" spans="1:8" ht="30" x14ac:dyDescent="0.25">
      <c r="A1136">
        <v>1161599605</v>
      </c>
      <c r="B1136" t="s">
        <v>8</v>
      </c>
      <c r="C1136">
        <v>4</v>
      </c>
      <c r="D1136" s="1">
        <v>0.8</v>
      </c>
      <c r="E1136" s="10" t="s">
        <v>2239</v>
      </c>
      <c r="F1136" s="10" t="s">
        <v>1604</v>
      </c>
      <c r="G1136" s="10" t="s">
        <v>38</v>
      </c>
      <c r="H1136" t="s">
        <v>12</v>
      </c>
    </row>
    <row r="1137" spans="1:8" x14ac:dyDescent="0.25">
      <c r="A1137">
        <v>1161597251</v>
      </c>
      <c r="B1137" t="s">
        <v>2241</v>
      </c>
      <c r="C1137">
        <v>4</v>
      </c>
      <c r="D1137" s="1">
        <v>8.94</v>
      </c>
      <c r="E1137" s="10" t="s">
        <v>2239</v>
      </c>
      <c r="F1137" s="10" t="s">
        <v>2242</v>
      </c>
      <c r="G1137" s="10" t="s">
        <v>11</v>
      </c>
      <c r="H1137" t="s">
        <v>12</v>
      </c>
    </row>
    <row r="1138" spans="1:8" x14ac:dyDescent="0.25">
      <c r="A1138">
        <v>1161596697</v>
      </c>
      <c r="B1138" t="s">
        <v>2243</v>
      </c>
      <c r="C1138">
        <v>24</v>
      </c>
      <c r="D1138" s="1">
        <v>9.51</v>
      </c>
      <c r="E1138" s="10" t="s">
        <v>2239</v>
      </c>
      <c r="F1138" s="10" t="s">
        <v>2244</v>
      </c>
      <c r="G1138" s="10" t="s">
        <v>11</v>
      </c>
      <c r="H1138" t="s">
        <v>12</v>
      </c>
    </row>
    <row r="1139" spans="1:8" x14ac:dyDescent="0.25">
      <c r="A1139">
        <v>1161471470</v>
      </c>
      <c r="B1139" t="s">
        <v>2245</v>
      </c>
      <c r="C1139">
        <v>4</v>
      </c>
      <c r="D1139" s="1">
        <v>7.1</v>
      </c>
      <c r="E1139" s="10" t="s">
        <v>2246</v>
      </c>
      <c r="F1139" s="10" t="s">
        <v>2247</v>
      </c>
      <c r="G1139" s="10" t="s">
        <v>48</v>
      </c>
      <c r="H1139" t="s">
        <v>12</v>
      </c>
    </row>
    <row r="1140" spans="1:8" x14ac:dyDescent="0.25">
      <c r="A1140">
        <v>1161423616</v>
      </c>
      <c r="B1140" t="s">
        <v>2248</v>
      </c>
      <c r="C1140">
        <v>1</v>
      </c>
      <c r="D1140" s="1">
        <v>7.17</v>
      </c>
      <c r="E1140" s="10" t="s">
        <v>2249</v>
      </c>
      <c r="F1140" s="10" t="s">
        <v>2250</v>
      </c>
      <c r="G1140" s="10" t="s">
        <v>48</v>
      </c>
      <c r="H1140" t="s">
        <v>12</v>
      </c>
    </row>
    <row r="1141" spans="1:8" x14ac:dyDescent="0.25">
      <c r="A1141">
        <v>1161381058</v>
      </c>
      <c r="B1141" t="s">
        <v>2251</v>
      </c>
      <c r="C1141">
        <v>2</v>
      </c>
      <c r="D1141" s="1">
        <v>3.12</v>
      </c>
      <c r="E1141" s="10" t="s">
        <v>2249</v>
      </c>
      <c r="F1141" s="10" t="s">
        <v>2252</v>
      </c>
      <c r="G1141" s="10" t="s">
        <v>48</v>
      </c>
      <c r="H1141" t="s">
        <v>12</v>
      </c>
    </row>
    <row r="1142" spans="1:8" x14ac:dyDescent="0.25">
      <c r="A1142">
        <v>1161346361</v>
      </c>
      <c r="B1142" t="s">
        <v>2253</v>
      </c>
      <c r="C1142">
        <v>2</v>
      </c>
      <c r="D1142" s="1">
        <v>41.83</v>
      </c>
      <c r="E1142" s="10" t="s">
        <v>2249</v>
      </c>
      <c r="F1142" s="10" t="s">
        <v>2254</v>
      </c>
      <c r="G1142" s="10" t="s">
        <v>11</v>
      </c>
      <c r="H1142" t="s">
        <v>12</v>
      </c>
    </row>
    <row r="1143" spans="1:8" x14ac:dyDescent="0.25">
      <c r="A1143">
        <v>1161289000</v>
      </c>
      <c r="B1143" t="s">
        <v>2255</v>
      </c>
      <c r="C1143">
        <v>2</v>
      </c>
      <c r="D1143" s="1">
        <v>37.6</v>
      </c>
      <c r="E1143" s="10" t="s">
        <v>2256</v>
      </c>
      <c r="F1143" s="10" t="s">
        <v>2257</v>
      </c>
      <c r="G1143" s="10" t="s">
        <v>11</v>
      </c>
      <c r="H1143" t="s">
        <v>12</v>
      </c>
    </row>
    <row r="1144" spans="1:8" x14ac:dyDescent="0.25">
      <c r="A1144">
        <v>1161278899</v>
      </c>
      <c r="B1144" t="s">
        <v>2258</v>
      </c>
      <c r="C1144">
        <v>3</v>
      </c>
      <c r="D1144" s="1">
        <v>4.07</v>
      </c>
      <c r="E1144" s="10" t="s">
        <v>2256</v>
      </c>
      <c r="F1144" s="10" t="s">
        <v>2259</v>
      </c>
      <c r="G1144" s="10" t="s">
        <v>48</v>
      </c>
      <c r="H1144" t="s">
        <v>12</v>
      </c>
    </row>
    <row r="1145" spans="1:8" x14ac:dyDescent="0.25">
      <c r="A1145">
        <v>1161274299</v>
      </c>
      <c r="B1145" t="s">
        <v>242</v>
      </c>
      <c r="C1145">
        <v>2</v>
      </c>
      <c r="D1145" s="1">
        <v>1.94</v>
      </c>
      <c r="E1145" s="10" t="s">
        <v>2256</v>
      </c>
      <c r="F1145" s="10" t="s">
        <v>2260</v>
      </c>
      <c r="G1145" s="10" t="s">
        <v>11</v>
      </c>
      <c r="H1145" t="s">
        <v>12</v>
      </c>
    </row>
    <row r="1146" spans="1:8" x14ac:dyDescent="0.25">
      <c r="A1146">
        <v>1161245596</v>
      </c>
      <c r="B1146" t="s">
        <v>237</v>
      </c>
      <c r="C1146">
        <v>10</v>
      </c>
      <c r="D1146" s="1">
        <v>11.22</v>
      </c>
      <c r="E1146" s="10" t="s">
        <v>2256</v>
      </c>
      <c r="F1146" s="10" t="s">
        <v>2261</v>
      </c>
      <c r="G1146" s="10" t="s">
        <v>11</v>
      </c>
      <c r="H1146" t="s">
        <v>12</v>
      </c>
    </row>
    <row r="1147" spans="1:8" x14ac:dyDescent="0.25">
      <c r="A1147">
        <v>1161228140</v>
      </c>
      <c r="B1147" t="s">
        <v>414</v>
      </c>
      <c r="C1147">
        <v>12</v>
      </c>
      <c r="D1147" s="1">
        <v>12.78</v>
      </c>
      <c r="E1147" s="10" t="s">
        <v>2256</v>
      </c>
      <c r="F1147" s="10" t="s">
        <v>1654</v>
      </c>
      <c r="G1147" s="10" t="s">
        <v>11</v>
      </c>
      <c r="H1147" t="s">
        <v>12</v>
      </c>
    </row>
    <row r="1148" spans="1:8" x14ac:dyDescent="0.25">
      <c r="A1148">
        <v>1161221042</v>
      </c>
      <c r="B1148" t="s">
        <v>414</v>
      </c>
      <c r="C1148">
        <v>1</v>
      </c>
      <c r="D1148" s="1">
        <v>12.21</v>
      </c>
      <c r="E1148" s="10" t="s">
        <v>2256</v>
      </c>
      <c r="F1148" s="10" t="s">
        <v>1654</v>
      </c>
      <c r="G1148" s="10" t="s">
        <v>11</v>
      </c>
      <c r="H1148" t="s">
        <v>12</v>
      </c>
    </row>
    <row r="1149" spans="1:8" ht="30" x14ac:dyDescent="0.25">
      <c r="A1149">
        <v>1161161813</v>
      </c>
      <c r="B1149" t="s">
        <v>8</v>
      </c>
      <c r="C1149">
        <v>8</v>
      </c>
      <c r="D1149" s="1">
        <v>46.9</v>
      </c>
      <c r="E1149" s="10" t="s">
        <v>2256</v>
      </c>
      <c r="F1149" s="10" t="s">
        <v>37</v>
      </c>
      <c r="G1149" s="10" t="s">
        <v>38</v>
      </c>
      <c r="H1149" t="s">
        <v>12</v>
      </c>
    </row>
    <row r="1150" spans="1:8" x14ac:dyDescent="0.25">
      <c r="A1150">
        <v>1161157793</v>
      </c>
      <c r="B1150" t="s">
        <v>2262</v>
      </c>
      <c r="C1150">
        <v>1</v>
      </c>
      <c r="D1150" s="1">
        <v>20.170000000000002</v>
      </c>
      <c r="E1150" s="10" t="s">
        <v>2256</v>
      </c>
      <c r="F1150" s="10" t="s">
        <v>2263</v>
      </c>
      <c r="G1150" s="10" t="s">
        <v>48</v>
      </c>
      <c r="H1150" t="s">
        <v>12</v>
      </c>
    </row>
    <row r="1151" spans="1:8" x14ac:dyDescent="0.25">
      <c r="A1151">
        <v>1161156796</v>
      </c>
      <c r="B1151" t="s">
        <v>303</v>
      </c>
      <c r="C1151">
        <v>4</v>
      </c>
      <c r="D1151" s="1">
        <v>17.62</v>
      </c>
      <c r="E1151" s="10" t="s">
        <v>2256</v>
      </c>
      <c r="F1151" s="10" t="s">
        <v>2240</v>
      </c>
      <c r="G1151" s="10" t="s">
        <v>11</v>
      </c>
      <c r="H1151" t="s">
        <v>12</v>
      </c>
    </row>
    <row r="1152" spans="1:8" x14ac:dyDescent="0.25">
      <c r="A1152">
        <v>1161091922</v>
      </c>
      <c r="B1152" t="s">
        <v>501</v>
      </c>
      <c r="C1152">
        <v>1</v>
      </c>
      <c r="D1152" s="1">
        <v>17.22</v>
      </c>
      <c r="E1152" s="10" t="s">
        <v>2264</v>
      </c>
      <c r="F1152" s="10" t="s">
        <v>2265</v>
      </c>
      <c r="G1152" s="10" t="s">
        <v>11</v>
      </c>
      <c r="H1152" t="s">
        <v>12</v>
      </c>
    </row>
    <row r="1153" spans="1:8" x14ac:dyDescent="0.25">
      <c r="A1153">
        <v>1161017542</v>
      </c>
      <c r="B1153" t="s">
        <v>2266</v>
      </c>
      <c r="C1153">
        <v>1</v>
      </c>
      <c r="D1153" s="1">
        <v>15.22</v>
      </c>
      <c r="E1153" s="10" t="s">
        <v>2264</v>
      </c>
      <c r="F1153" s="10" t="s">
        <v>2267</v>
      </c>
      <c r="G1153" s="10" t="s">
        <v>38</v>
      </c>
      <c r="H1153" t="s">
        <v>12</v>
      </c>
    </row>
    <row r="1154" spans="1:8" x14ac:dyDescent="0.25">
      <c r="A1154">
        <v>1160995310</v>
      </c>
      <c r="B1154" t="s">
        <v>2268</v>
      </c>
      <c r="C1154">
        <v>2</v>
      </c>
      <c r="D1154" s="1">
        <v>35.369999999999997</v>
      </c>
      <c r="E1154" s="10" t="s">
        <v>2264</v>
      </c>
      <c r="F1154" s="10" t="s">
        <v>2269</v>
      </c>
      <c r="G1154" s="10" t="s">
        <v>48</v>
      </c>
      <c r="H1154" t="s">
        <v>12</v>
      </c>
    </row>
    <row r="1155" spans="1:8" x14ac:dyDescent="0.25">
      <c r="A1155">
        <v>1160991440</v>
      </c>
      <c r="B1155" t="s">
        <v>294</v>
      </c>
      <c r="C1155">
        <v>12</v>
      </c>
      <c r="D1155" s="1">
        <v>70.84</v>
      </c>
      <c r="E1155" s="10" t="s">
        <v>2264</v>
      </c>
      <c r="F1155" s="10" t="s">
        <v>1664</v>
      </c>
      <c r="G1155" s="10" t="s">
        <v>11</v>
      </c>
      <c r="H1155" t="s">
        <v>12</v>
      </c>
    </row>
    <row r="1156" spans="1:8" ht="30" x14ac:dyDescent="0.25">
      <c r="A1156">
        <v>1160989782</v>
      </c>
      <c r="B1156" t="s">
        <v>8</v>
      </c>
      <c r="C1156">
        <v>2</v>
      </c>
      <c r="D1156" s="1">
        <v>4.25</v>
      </c>
      <c r="E1156" s="10" t="s">
        <v>2264</v>
      </c>
      <c r="F1156" s="10" t="s">
        <v>1604</v>
      </c>
      <c r="G1156" s="10" t="s">
        <v>38</v>
      </c>
      <c r="H1156" t="s">
        <v>12</v>
      </c>
    </row>
    <row r="1157" spans="1:8" x14ac:dyDescent="0.25">
      <c r="A1157">
        <v>1160988571</v>
      </c>
      <c r="B1157" t="s">
        <v>181</v>
      </c>
      <c r="C1157">
        <v>4</v>
      </c>
      <c r="D1157" s="1">
        <v>15.14</v>
      </c>
      <c r="E1157" s="10" t="s">
        <v>2264</v>
      </c>
      <c r="F1157" s="10" t="s">
        <v>1720</v>
      </c>
      <c r="G1157" s="10" t="s">
        <v>11</v>
      </c>
      <c r="H1157" t="s">
        <v>12</v>
      </c>
    </row>
    <row r="1158" spans="1:8" x14ac:dyDescent="0.25">
      <c r="A1158">
        <v>1160988456</v>
      </c>
      <c r="B1158" t="s">
        <v>242</v>
      </c>
      <c r="C1158">
        <v>2</v>
      </c>
      <c r="D1158" s="1">
        <v>25.22</v>
      </c>
      <c r="E1158" s="10" t="s">
        <v>2264</v>
      </c>
      <c r="F1158" s="10" t="s">
        <v>2260</v>
      </c>
      <c r="G1158" s="10" t="s">
        <v>11</v>
      </c>
      <c r="H1158" t="s">
        <v>12</v>
      </c>
    </row>
    <row r="1159" spans="1:8" x14ac:dyDescent="0.25">
      <c r="A1159">
        <v>1160987946</v>
      </c>
      <c r="B1159" t="s">
        <v>303</v>
      </c>
      <c r="C1159">
        <v>8</v>
      </c>
      <c r="D1159" s="1">
        <v>22.78</v>
      </c>
      <c r="E1159" s="10" t="s">
        <v>2264</v>
      </c>
      <c r="F1159" s="10" t="s">
        <v>2240</v>
      </c>
      <c r="G1159" s="10" t="s">
        <v>11</v>
      </c>
      <c r="H1159" t="s">
        <v>12</v>
      </c>
    </row>
    <row r="1160" spans="1:8" x14ac:dyDescent="0.25">
      <c r="A1160">
        <v>1160979596</v>
      </c>
      <c r="B1160" t="s">
        <v>181</v>
      </c>
      <c r="C1160">
        <v>4</v>
      </c>
      <c r="D1160" s="1">
        <v>56.83</v>
      </c>
      <c r="E1160" s="10" t="s">
        <v>2264</v>
      </c>
      <c r="F1160" s="10" t="s">
        <v>2270</v>
      </c>
      <c r="G1160" s="10" t="s">
        <v>11</v>
      </c>
      <c r="H1160" t="s">
        <v>12</v>
      </c>
    </row>
    <row r="1161" spans="1:8" x14ac:dyDescent="0.25">
      <c r="A1161">
        <v>1160823851</v>
      </c>
      <c r="B1161" t="s">
        <v>237</v>
      </c>
      <c r="C1161">
        <v>22</v>
      </c>
      <c r="D1161" s="1">
        <v>57.82</v>
      </c>
      <c r="E1161" s="10" t="s">
        <v>2271</v>
      </c>
      <c r="F1161" s="10" t="s">
        <v>1765</v>
      </c>
      <c r="G1161" s="10" t="s">
        <v>11</v>
      </c>
      <c r="H1161" t="s">
        <v>12</v>
      </c>
    </row>
    <row r="1162" spans="1:8" x14ac:dyDescent="0.25">
      <c r="A1162">
        <v>1160773693</v>
      </c>
      <c r="B1162" t="s">
        <v>2272</v>
      </c>
      <c r="C1162">
        <v>4</v>
      </c>
      <c r="D1162" s="1">
        <v>17.57</v>
      </c>
      <c r="E1162" s="10" t="s">
        <v>2273</v>
      </c>
      <c r="F1162" s="10" t="s">
        <v>2274</v>
      </c>
      <c r="G1162" s="10" t="s">
        <v>48</v>
      </c>
      <c r="H1162" t="s">
        <v>12</v>
      </c>
    </row>
    <row r="1163" spans="1:8" x14ac:dyDescent="0.25">
      <c r="A1163">
        <v>1160762405</v>
      </c>
      <c r="B1163" t="s">
        <v>1151</v>
      </c>
      <c r="C1163">
        <v>2</v>
      </c>
      <c r="D1163" s="1">
        <v>14.2</v>
      </c>
      <c r="E1163" s="10" t="s">
        <v>2273</v>
      </c>
      <c r="F1163" s="10" t="s">
        <v>2275</v>
      </c>
      <c r="G1163" s="10" t="s">
        <v>11</v>
      </c>
      <c r="H1163" t="s">
        <v>12</v>
      </c>
    </row>
    <row r="1164" spans="1:8" x14ac:dyDescent="0.25">
      <c r="A1164">
        <v>1160761957</v>
      </c>
      <c r="B1164" t="s">
        <v>1503</v>
      </c>
      <c r="C1164">
        <v>4</v>
      </c>
      <c r="D1164" s="1">
        <v>23.22</v>
      </c>
      <c r="E1164" s="10" t="s">
        <v>2273</v>
      </c>
      <c r="F1164" s="10" t="s">
        <v>2276</v>
      </c>
      <c r="G1164" s="10" t="s">
        <v>11</v>
      </c>
      <c r="H1164" t="s">
        <v>12</v>
      </c>
    </row>
    <row r="1165" spans="1:8" x14ac:dyDescent="0.25">
      <c r="A1165">
        <v>1160747266</v>
      </c>
      <c r="B1165" t="s">
        <v>2277</v>
      </c>
      <c r="C1165">
        <v>1</v>
      </c>
      <c r="D1165" s="1">
        <v>8.17</v>
      </c>
      <c r="E1165" s="10" t="s">
        <v>2273</v>
      </c>
      <c r="F1165" s="10" t="s">
        <v>2278</v>
      </c>
      <c r="G1165" s="10" t="s">
        <v>11</v>
      </c>
      <c r="H1165" t="s">
        <v>12</v>
      </c>
    </row>
    <row r="1166" spans="1:8" x14ac:dyDescent="0.25">
      <c r="A1166">
        <v>1160744986</v>
      </c>
      <c r="B1166" t="s">
        <v>237</v>
      </c>
      <c r="C1166">
        <v>7</v>
      </c>
      <c r="D1166" s="1">
        <v>46.81</v>
      </c>
      <c r="E1166" s="10" t="s">
        <v>2273</v>
      </c>
      <c r="F1166" s="10" t="s">
        <v>1765</v>
      </c>
      <c r="G1166" s="10" t="s">
        <v>11</v>
      </c>
      <c r="H1166" t="s">
        <v>12</v>
      </c>
    </row>
    <row r="1167" spans="1:8" x14ac:dyDescent="0.25">
      <c r="A1167">
        <v>1160737769</v>
      </c>
      <c r="B1167" t="s">
        <v>442</v>
      </c>
      <c r="C1167">
        <v>4</v>
      </c>
      <c r="D1167" s="1">
        <v>6.58</v>
      </c>
      <c r="E1167" s="10" t="s">
        <v>2273</v>
      </c>
      <c r="F1167" s="10" t="s">
        <v>2279</v>
      </c>
      <c r="G1167" s="10" t="s">
        <v>11</v>
      </c>
      <c r="H1167" t="s">
        <v>12</v>
      </c>
    </row>
    <row r="1168" spans="1:8" x14ac:dyDescent="0.25">
      <c r="A1168">
        <v>1160670118</v>
      </c>
      <c r="B1168" t="s">
        <v>2280</v>
      </c>
      <c r="C1168">
        <v>1</v>
      </c>
      <c r="D1168" s="1">
        <v>7.17</v>
      </c>
      <c r="E1168" s="10" t="s">
        <v>2273</v>
      </c>
      <c r="F1168" s="10" t="s">
        <v>2281</v>
      </c>
      <c r="G1168" s="10" t="s">
        <v>48</v>
      </c>
      <c r="H1168" t="s">
        <v>12</v>
      </c>
    </row>
    <row r="1169" spans="1:8" x14ac:dyDescent="0.25">
      <c r="A1169">
        <v>1160540590</v>
      </c>
      <c r="B1169" t="s">
        <v>2282</v>
      </c>
      <c r="C1169">
        <v>19</v>
      </c>
      <c r="D1169" s="1">
        <v>137.86000000000001</v>
      </c>
      <c r="E1169" s="10" t="s">
        <v>2283</v>
      </c>
      <c r="F1169" s="10" t="s">
        <v>2284</v>
      </c>
      <c r="G1169" s="10" t="s">
        <v>11</v>
      </c>
      <c r="H1169" t="s">
        <v>12</v>
      </c>
    </row>
    <row r="1170" spans="1:8" x14ac:dyDescent="0.25">
      <c r="A1170">
        <v>1160526134</v>
      </c>
      <c r="B1170" t="s">
        <v>2285</v>
      </c>
      <c r="C1170">
        <v>1</v>
      </c>
      <c r="D1170" s="1">
        <v>31.1</v>
      </c>
      <c r="E1170" s="10" t="s">
        <v>2283</v>
      </c>
      <c r="F1170" s="10" t="s">
        <v>2286</v>
      </c>
      <c r="G1170" s="10" t="s">
        <v>11</v>
      </c>
      <c r="H1170" t="s">
        <v>12</v>
      </c>
    </row>
    <row r="1171" spans="1:8" x14ac:dyDescent="0.25">
      <c r="A1171">
        <v>1160514968</v>
      </c>
      <c r="B1171" t="s">
        <v>181</v>
      </c>
      <c r="C1171">
        <v>4</v>
      </c>
      <c r="D1171" s="1">
        <v>23.18</v>
      </c>
      <c r="E1171" s="10" t="s">
        <v>2283</v>
      </c>
      <c r="F1171" s="10" t="s">
        <v>1720</v>
      </c>
      <c r="G1171" s="10" t="s">
        <v>11</v>
      </c>
      <c r="H1171" t="s">
        <v>12</v>
      </c>
    </row>
    <row r="1172" spans="1:8" x14ac:dyDescent="0.25">
      <c r="A1172">
        <v>1160423959</v>
      </c>
      <c r="B1172" t="s">
        <v>2287</v>
      </c>
      <c r="C1172">
        <v>4</v>
      </c>
      <c r="D1172" s="1">
        <v>37.79</v>
      </c>
      <c r="E1172" s="10" t="s">
        <v>2288</v>
      </c>
      <c r="F1172" s="10" t="s">
        <v>2289</v>
      </c>
      <c r="G1172" s="10" t="s">
        <v>11</v>
      </c>
      <c r="H1172" t="s">
        <v>12</v>
      </c>
    </row>
    <row r="1173" spans="1:8" ht="30" x14ac:dyDescent="0.25">
      <c r="A1173">
        <v>1160401710</v>
      </c>
      <c r="B1173" t="s">
        <v>8</v>
      </c>
      <c r="C1173">
        <v>8</v>
      </c>
      <c r="D1173" s="1">
        <v>25.8</v>
      </c>
      <c r="E1173" s="10" t="s">
        <v>2288</v>
      </c>
      <c r="F1173" s="10" t="s">
        <v>37</v>
      </c>
      <c r="G1173" s="10" t="s">
        <v>38</v>
      </c>
      <c r="H1173" t="s">
        <v>12</v>
      </c>
    </row>
    <row r="1174" spans="1:8" x14ac:dyDescent="0.25">
      <c r="A1174">
        <v>1160375090</v>
      </c>
      <c r="B1174" t="s">
        <v>2290</v>
      </c>
      <c r="C1174">
        <v>1</v>
      </c>
      <c r="D1174" s="1">
        <v>31.99</v>
      </c>
      <c r="E1174" s="10" t="s">
        <v>2291</v>
      </c>
      <c r="F1174" s="10" t="s">
        <v>2292</v>
      </c>
      <c r="G1174" s="10" t="s">
        <v>11</v>
      </c>
      <c r="H1174" t="s">
        <v>12</v>
      </c>
    </row>
    <row r="1175" spans="1:8" ht="30" x14ac:dyDescent="0.25">
      <c r="A1175">
        <v>1160352791</v>
      </c>
      <c r="B1175" t="s">
        <v>8</v>
      </c>
      <c r="C1175">
        <v>2</v>
      </c>
      <c r="D1175" s="1">
        <v>25.9</v>
      </c>
      <c r="E1175" s="10" t="s">
        <v>2291</v>
      </c>
      <c r="F1175" s="10" t="s">
        <v>37</v>
      </c>
      <c r="G1175" s="10" t="s">
        <v>38</v>
      </c>
      <c r="H1175" t="s">
        <v>12</v>
      </c>
    </row>
    <row r="1176" spans="1:8" x14ac:dyDescent="0.25">
      <c r="A1176">
        <v>1160350314</v>
      </c>
      <c r="B1176" t="s">
        <v>2293</v>
      </c>
      <c r="C1176">
        <v>1</v>
      </c>
      <c r="D1176" s="1">
        <v>24.22</v>
      </c>
      <c r="E1176" s="10" t="s">
        <v>2291</v>
      </c>
      <c r="F1176" s="10" t="s">
        <v>2294</v>
      </c>
      <c r="G1176" s="10" t="s">
        <v>11</v>
      </c>
      <c r="H1176" t="s">
        <v>12</v>
      </c>
    </row>
    <row r="1177" spans="1:8" ht="30" x14ac:dyDescent="0.25">
      <c r="A1177">
        <v>1160347346</v>
      </c>
      <c r="B1177" t="s">
        <v>8</v>
      </c>
      <c r="C1177">
        <v>1</v>
      </c>
      <c r="D1177" s="1">
        <v>18.95</v>
      </c>
      <c r="E1177" s="10" t="s">
        <v>2291</v>
      </c>
      <c r="F1177" s="10" t="s">
        <v>1604</v>
      </c>
      <c r="G1177" s="10" t="s">
        <v>38</v>
      </c>
      <c r="H1177" t="s">
        <v>12</v>
      </c>
    </row>
    <row r="1178" spans="1:8" ht="30" x14ac:dyDescent="0.25">
      <c r="A1178">
        <v>1160342829</v>
      </c>
      <c r="B1178" t="s">
        <v>8</v>
      </c>
      <c r="C1178">
        <v>4</v>
      </c>
      <c r="D1178" s="1">
        <v>14.85</v>
      </c>
      <c r="E1178" s="10" t="s">
        <v>2291</v>
      </c>
      <c r="F1178" s="10" t="s">
        <v>37</v>
      </c>
      <c r="G1178" s="10" t="s">
        <v>38</v>
      </c>
      <c r="H1178" t="s">
        <v>12</v>
      </c>
    </row>
    <row r="1179" spans="1:8" ht="30" x14ac:dyDescent="0.25">
      <c r="A1179">
        <v>1160341417</v>
      </c>
      <c r="B1179" t="s">
        <v>8</v>
      </c>
      <c r="C1179">
        <v>6</v>
      </c>
      <c r="D1179" s="1">
        <v>30.5</v>
      </c>
      <c r="E1179" s="10" t="s">
        <v>2291</v>
      </c>
      <c r="F1179" s="10" t="s">
        <v>37</v>
      </c>
      <c r="G1179" s="10" t="s">
        <v>38</v>
      </c>
      <c r="H1179" t="s">
        <v>12</v>
      </c>
    </row>
    <row r="1180" spans="1:8" x14ac:dyDescent="0.25">
      <c r="A1180">
        <v>1160321444</v>
      </c>
      <c r="B1180" t="s">
        <v>2295</v>
      </c>
      <c r="C1180">
        <v>1</v>
      </c>
      <c r="D1180" s="1">
        <v>12.17</v>
      </c>
      <c r="E1180" s="10" t="s">
        <v>2291</v>
      </c>
      <c r="F1180" s="10" t="s">
        <v>2296</v>
      </c>
      <c r="G1180" s="10" t="s">
        <v>48</v>
      </c>
      <c r="H1180" t="s">
        <v>12</v>
      </c>
    </row>
    <row r="1181" spans="1:8" x14ac:dyDescent="0.25">
      <c r="A1181">
        <v>1160267539</v>
      </c>
      <c r="B1181" t="s">
        <v>2297</v>
      </c>
      <c r="C1181">
        <v>1</v>
      </c>
      <c r="D1181" s="1">
        <v>12.17</v>
      </c>
      <c r="E1181" s="10" t="s">
        <v>2291</v>
      </c>
      <c r="F1181" s="10" t="s">
        <v>2298</v>
      </c>
      <c r="G1181" s="10" t="s">
        <v>48</v>
      </c>
      <c r="H1181" t="s">
        <v>12</v>
      </c>
    </row>
    <row r="1182" spans="1:8" x14ac:dyDescent="0.25">
      <c r="A1182">
        <v>1160216115</v>
      </c>
      <c r="B1182" t="s">
        <v>2299</v>
      </c>
      <c r="C1182">
        <v>28</v>
      </c>
      <c r="D1182" s="1">
        <v>113.23</v>
      </c>
      <c r="E1182" s="10" t="s">
        <v>2300</v>
      </c>
      <c r="F1182" s="10" t="s">
        <v>2301</v>
      </c>
      <c r="G1182" s="10" t="s">
        <v>11</v>
      </c>
      <c r="H1182" t="s">
        <v>12</v>
      </c>
    </row>
    <row r="1183" spans="1:8" x14ac:dyDescent="0.25">
      <c r="A1183">
        <v>1160048543</v>
      </c>
      <c r="B1183" t="s">
        <v>1400</v>
      </c>
      <c r="C1183">
        <v>4</v>
      </c>
      <c r="D1183" s="1">
        <v>12.62</v>
      </c>
      <c r="E1183" s="10" t="s">
        <v>2302</v>
      </c>
      <c r="F1183" s="10" t="s">
        <v>2303</v>
      </c>
      <c r="G1183" s="10" t="s">
        <v>11</v>
      </c>
      <c r="H1183" t="s">
        <v>12</v>
      </c>
    </row>
    <row r="1184" spans="1:8" x14ac:dyDescent="0.25">
      <c r="A1184">
        <v>1160029000</v>
      </c>
      <c r="B1184" t="s">
        <v>1377</v>
      </c>
      <c r="C1184">
        <v>5</v>
      </c>
      <c r="D1184" s="1">
        <v>9.02</v>
      </c>
      <c r="E1184" s="10" t="s">
        <v>2302</v>
      </c>
      <c r="F1184" s="10" t="s">
        <v>2304</v>
      </c>
      <c r="G1184" s="10" t="s">
        <v>11</v>
      </c>
      <c r="H1184" t="s">
        <v>12</v>
      </c>
    </row>
    <row r="1185" spans="1:8" x14ac:dyDescent="0.25">
      <c r="A1185">
        <v>1159870119</v>
      </c>
      <c r="B1185" t="s">
        <v>2305</v>
      </c>
      <c r="C1185">
        <v>2</v>
      </c>
      <c r="D1185" s="1">
        <v>19.37</v>
      </c>
      <c r="E1185" s="10" t="s">
        <v>2306</v>
      </c>
      <c r="F1185" s="10" t="s">
        <v>2307</v>
      </c>
      <c r="G1185" s="10" t="s">
        <v>48</v>
      </c>
      <c r="H1185" t="s">
        <v>12</v>
      </c>
    </row>
    <row r="1186" spans="1:8" x14ac:dyDescent="0.25">
      <c r="A1186">
        <v>1159830538</v>
      </c>
      <c r="B1186" t="s">
        <v>2308</v>
      </c>
      <c r="C1186">
        <v>1</v>
      </c>
      <c r="D1186" s="1">
        <v>6.29</v>
      </c>
      <c r="E1186" s="10" t="s">
        <v>2309</v>
      </c>
      <c r="F1186" s="10" t="s">
        <v>2310</v>
      </c>
      <c r="G1186" s="10" t="s">
        <v>48</v>
      </c>
      <c r="H1186" t="s">
        <v>12</v>
      </c>
    </row>
    <row r="1187" spans="1:8" x14ac:dyDescent="0.25">
      <c r="A1187">
        <v>1159507786</v>
      </c>
      <c r="B1187" t="s">
        <v>294</v>
      </c>
      <c r="C1187">
        <v>3</v>
      </c>
      <c r="D1187" s="1">
        <v>3.17</v>
      </c>
      <c r="E1187" s="10" t="s">
        <v>2311</v>
      </c>
      <c r="F1187" s="10" t="s">
        <v>1709</v>
      </c>
      <c r="G1187" s="10" t="s">
        <v>11</v>
      </c>
      <c r="H1187" t="s">
        <v>12</v>
      </c>
    </row>
    <row r="1188" spans="1:8" x14ac:dyDescent="0.25">
      <c r="A1188">
        <v>1159494258</v>
      </c>
      <c r="B1188" t="s">
        <v>2312</v>
      </c>
      <c r="C1188">
        <v>2</v>
      </c>
      <c r="D1188" s="1">
        <v>3.02</v>
      </c>
      <c r="E1188" s="10" t="s">
        <v>2311</v>
      </c>
      <c r="F1188" s="10" t="s">
        <v>2313</v>
      </c>
      <c r="G1188" s="10" t="s">
        <v>11</v>
      </c>
      <c r="H1188" t="s">
        <v>2314</v>
      </c>
    </row>
    <row r="1189" spans="1:8" x14ac:dyDescent="0.25">
      <c r="A1189">
        <v>1159437793</v>
      </c>
      <c r="B1189" t="s">
        <v>2315</v>
      </c>
      <c r="C1189">
        <v>1</v>
      </c>
      <c r="D1189" s="1">
        <v>24.25</v>
      </c>
      <c r="E1189" s="10" t="s">
        <v>2316</v>
      </c>
      <c r="F1189" s="10" t="s">
        <v>2317</v>
      </c>
      <c r="G1189" s="10" t="s">
        <v>48</v>
      </c>
      <c r="H1189" t="s">
        <v>12</v>
      </c>
    </row>
    <row r="1190" spans="1:8" x14ac:dyDescent="0.25">
      <c r="A1190">
        <v>1159317207</v>
      </c>
      <c r="B1190" t="s">
        <v>2318</v>
      </c>
      <c r="C1190">
        <v>3</v>
      </c>
      <c r="D1190" s="1">
        <v>156.94</v>
      </c>
      <c r="E1190" s="10" t="s">
        <v>2316</v>
      </c>
      <c r="F1190" s="10" t="s">
        <v>2319</v>
      </c>
      <c r="G1190" s="10" t="s">
        <v>11</v>
      </c>
      <c r="H1190" t="s">
        <v>12</v>
      </c>
    </row>
    <row r="1191" spans="1:8" x14ac:dyDescent="0.25">
      <c r="A1191">
        <v>1159309865</v>
      </c>
      <c r="B1191" t="s">
        <v>2320</v>
      </c>
      <c r="C1191">
        <v>1</v>
      </c>
      <c r="D1191" s="1">
        <v>57.99</v>
      </c>
      <c r="E1191" s="10" t="s">
        <v>2316</v>
      </c>
      <c r="F1191" s="10" t="s">
        <v>2321</v>
      </c>
      <c r="G1191" s="10" t="s">
        <v>11</v>
      </c>
      <c r="H1191" t="s">
        <v>12</v>
      </c>
    </row>
    <row r="1192" spans="1:8" x14ac:dyDescent="0.25">
      <c r="A1192">
        <v>1159274341</v>
      </c>
      <c r="B1192" t="s">
        <v>2322</v>
      </c>
      <c r="C1192">
        <v>1</v>
      </c>
      <c r="D1192" s="1">
        <v>3.72</v>
      </c>
      <c r="E1192" s="10" t="s">
        <v>2323</v>
      </c>
      <c r="F1192" s="10" t="s">
        <v>2324</v>
      </c>
      <c r="G1192" s="10" t="s">
        <v>48</v>
      </c>
      <c r="H1192" t="s">
        <v>12</v>
      </c>
    </row>
    <row r="1193" spans="1:8" x14ac:dyDescent="0.25">
      <c r="A1193">
        <v>1159099762</v>
      </c>
      <c r="B1193" t="s">
        <v>294</v>
      </c>
      <c r="C1193">
        <v>6</v>
      </c>
      <c r="D1193" s="1">
        <v>21.02</v>
      </c>
      <c r="E1193" s="10" t="s">
        <v>2325</v>
      </c>
      <c r="F1193" s="10" t="s">
        <v>2326</v>
      </c>
      <c r="G1193" s="10" t="s">
        <v>38</v>
      </c>
      <c r="H1193" t="s">
        <v>12</v>
      </c>
    </row>
    <row r="1194" spans="1:8" x14ac:dyDescent="0.25">
      <c r="A1194">
        <v>1159094593</v>
      </c>
      <c r="B1194" t="s">
        <v>2327</v>
      </c>
      <c r="C1194">
        <v>6</v>
      </c>
      <c r="D1194" s="1">
        <v>20.420000000000002</v>
      </c>
      <c r="E1194" s="10" t="s">
        <v>2325</v>
      </c>
      <c r="F1194" s="10" t="s">
        <v>2328</v>
      </c>
      <c r="G1194" s="10" t="s">
        <v>11</v>
      </c>
      <c r="H1194" t="s">
        <v>12</v>
      </c>
    </row>
    <row r="1195" spans="1:8" x14ac:dyDescent="0.25">
      <c r="A1195">
        <v>1158896043</v>
      </c>
      <c r="B1195" t="s">
        <v>2329</v>
      </c>
      <c r="C1195">
        <v>1</v>
      </c>
      <c r="D1195" s="1">
        <v>13.17</v>
      </c>
      <c r="E1195" s="10" t="s">
        <v>2330</v>
      </c>
      <c r="F1195" s="10" t="s">
        <v>2331</v>
      </c>
      <c r="G1195" s="10" t="s">
        <v>48</v>
      </c>
      <c r="H1195" t="s">
        <v>12</v>
      </c>
    </row>
    <row r="1196" spans="1:8" x14ac:dyDescent="0.25">
      <c r="A1196">
        <v>1158744775</v>
      </c>
      <c r="B1196" t="s">
        <v>2332</v>
      </c>
      <c r="C1196">
        <v>1</v>
      </c>
      <c r="D1196" s="1">
        <v>14.25</v>
      </c>
      <c r="E1196" s="10" t="s">
        <v>2333</v>
      </c>
      <c r="F1196" s="10" t="s">
        <v>2334</v>
      </c>
      <c r="G1196" s="10" t="s">
        <v>48</v>
      </c>
      <c r="H1196" t="s">
        <v>12</v>
      </c>
    </row>
    <row r="1197" spans="1:8" x14ac:dyDescent="0.25">
      <c r="A1197">
        <v>1158670738</v>
      </c>
      <c r="B1197" t="s">
        <v>2335</v>
      </c>
      <c r="C1197">
        <v>4</v>
      </c>
      <c r="D1197" s="1">
        <v>26.1</v>
      </c>
      <c r="E1197" s="10" t="s">
        <v>2333</v>
      </c>
      <c r="F1197" s="10" t="s">
        <v>2336</v>
      </c>
      <c r="G1197" s="10" t="s">
        <v>48</v>
      </c>
      <c r="H1197" t="s">
        <v>12</v>
      </c>
    </row>
    <row r="1198" spans="1:8" x14ac:dyDescent="0.25">
      <c r="A1198">
        <v>1158592978</v>
      </c>
      <c r="B1198" t="s">
        <v>2337</v>
      </c>
      <c r="C1198">
        <v>1</v>
      </c>
      <c r="D1198" s="1">
        <v>13.17</v>
      </c>
      <c r="E1198" s="10" t="s">
        <v>2338</v>
      </c>
      <c r="F1198" s="10" t="s">
        <v>2339</v>
      </c>
      <c r="G1198" s="10" t="s">
        <v>48</v>
      </c>
      <c r="H1198" t="s">
        <v>12</v>
      </c>
    </row>
    <row r="1199" spans="1:8" x14ac:dyDescent="0.25">
      <c r="A1199">
        <v>1158084187</v>
      </c>
      <c r="B1199" t="s">
        <v>2340</v>
      </c>
      <c r="C1199">
        <v>8</v>
      </c>
      <c r="D1199" s="1">
        <v>7.12</v>
      </c>
      <c r="E1199" s="10" t="s">
        <v>2341</v>
      </c>
      <c r="F1199" s="10" t="s">
        <v>2342</v>
      </c>
      <c r="G1199" s="10" t="s">
        <v>48</v>
      </c>
      <c r="H1199" t="s">
        <v>12</v>
      </c>
    </row>
    <row r="1200" spans="1:8" x14ac:dyDescent="0.25">
      <c r="A1200">
        <v>1158035070</v>
      </c>
      <c r="B1200" t="s">
        <v>755</v>
      </c>
      <c r="C1200">
        <v>2</v>
      </c>
      <c r="D1200" s="1">
        <v>7.22</v>
      </c>
      <c r="E1200" s="10" t="s">
        <v>2341</v>
      </c>
      <c r="F1200" s="10" t="s">
        <v>2343</v>
      </c>
      <c r="G1200" s="10" t="s">
        <v>11</v>
      </c>
      <c r="H1200" t="s">
        <v>12</v>
      </c>
    </row>
    <row r="1201" spans="1:8" x14ac:dyDescent="0.25">
      <c r="A1201">
        <v>1157957477</v>
      </c>
      <c r="B1201" t="s">
        <v>2344</v>
      </c>
      <c r="C1201">
        <v>1</v>
      </c>
      <c r="D1201" s="1">
        <v>65.06</v>
      </c>
      <c r="E1201" s="10" t="s">
        <v>2345</v>
      </c>
      <c r="F1201" s="10" t="s">
        <v>2346</v>
      </c>
      <c r="G1201" s="10" t="s">
        <v>11</v>
      </c>
      <c r="H1201" t="s">
        <v>12</v>
      </c>
    </row>
    <row r="1202" spans="1:8" x14ac:dyDescent="0.25">
      <c r="A1202">
        <v>1157804109</v>
      </c>
      <c r="B1202" t="s">
        <v>2347</v>
      </c>
      <c r="C1202">
        <v>2</v>
      </c>
      <c r="D1202" s="1">
        <v>5.12</v>
      </c>
      <c r="E1202" s="10" t="s">
        <v>2348</v>
      </c>
      <c r="F1202" s="10" t="s">
        <v>2349</v>
      </c>
      <c r="G1202" s="10" t="s">
        <v>48</v>
      </c>
      <c r="H1202" t="s">
        <v>12</v>
      </c>
    </row>
    <row r="1203" spans="1:8" x14ac:dyDescent="0.25">
      <c r="A1203">
        <v>1157754564</v>
      </c>
      <c r="B1203" t="s">
        <v>2350</v>
      </c>
      <c r="C1203">
        <v>1</v>
      </c>
      <c r="D1203" s="1">
        <v>7.17</v>
      </c>
      <c r="E1203" s="10" t="s">
        <v>2348</v>
      </c>
      <c r="F1203" s="10" t="s">
        <v>2351</v>
      </c>
      <c r="G1203" s="10" t="s">
        <v>48</v>
      </c>
      <c r="H1203" t="s">
        <v>12</v>
      </c>
    </row>
    <row r="1204" spans="1:8" x14ac:dyDescent="0.25">
      <c r="A1204">
        <v>1157730166</v>
      </c>
      <c r="B1204" t="s">
        <v>762</v>
      </c>
      <c r="C1204">
        <v>2</v>
      </c>
      <c r="D1204" s="1">
        <v>136.77000000000001</v>
      </c>
      <c r="E1204" s="10" t="s">
        <v>2352</v>
      </c>
      <c r="F1204" s="10" t="s">
        <v>1626</v>
      </c>
      <c r="G1204" s="10" t="s">
        <v>11</v>
      </c>
      <c r="H1204" t="s">
        <v>12</v>
      </c>
    </row>
    <row r="1205" spans="1:8" x14ac:dyDescent="0.25">
      <c r="A1205">
        <v>1157730107</v>
      </c>
      <c r="B1205" t="s">
        <v>762</v>
      </c>
      <c r="C1205">
        <v>2</v>
      </c>
      <c r="D1205" s="1">
        <v>136.77000000000001</v>
      </c>
      <c r="E1205" s="10" t="s">
        <v>2352</v>
      </c>
      <c r="F1205" s="10" t="s">
        <v>1626</v>
      </c>
      <c r="G1205" s="10" t="s">
        <v>11</v>
      </c>
      <c r="H1205" t="s">
        <v>12</v>
      </c>
    </row>
    <row r="1206" spans="1:8" x14ac:dyDescent="0.25">
      <c r="A1206">
        <v>1157729481</v>
      </c>
      <c r="B1206" t="s">
        <v>2353</v>
      </c>
      <c r="C1206">
        <v>2</v>
      </c>
      <c r="D1206" s="1">
        <v>110.51</v>
      </c>
      <c r="E1206" s="10" t="s">
        <v>2352</v>
      </c>
      <c r="F1206" s="10" t="s">
        <v>2354</v>
      </c>
      <c r="G1206" s="10" t="s">
        <v>11</v>
      </c>
      <c r="H1206" t="s">
        <v>12</v>
      </c>
    </row>
    <row r="1207" spans="1:8" x14ac:dyDescent="0.25">
      <c r="A1207">
        <v>1157729479</v>
      </c>
      <c r="B1207" t="s">
        <v>2355</v>
      </c>
      <c r="C1207">
        <v>1</v>
      </c>
      <c r="D1207" s="1">
        <v>48.9</v>
      </c>
      <c r="E1207" s="10" t="s">
        <v>2352</v>
      </c>
      <c r="F1207" s="10" t="s">
        <v>2356</v>
      </c>
      <c r="G1207" s="10" t="s">
        <v>11</v>
      </c>
      <c r="H1207" t="s">
        <v>12</v>
      </c>
    </row>
    <row r="1208" spans="1:8" x14ac:dyDescent="0.25">
      <c r="A1208">
        <v>1157729478</v>
      </c>
      <c r="B1208" t="s">
        <v>2357</v>
      </c>
      <c r="C1208">
        <v>1</v>
      </c>
      <c r="D1208" s="1">
        <v>58.49</v>
      </c>
      <c r="E1208" s="10" t="s">
        <v>2352</v>
      </c>
      <c r="F1208" s="10" t="s">
        <v>2358</v>
      </c>
      <c r="G1208" s="10" t="s">
        <v>11</v>
      </c>
      <c r="H1208" t="s">
        <v>12</v>
      </c>
    </row>
    <row r="1209" spans="1:8" x14ac:dyDescent="0.25">
      <c r="A1209">
        <v>1157718280</v>
      </c>
      <c r="B1209" t="s">
        <v>2359</v>
      </c>
      <c r="C1209">
        <v>2</v>
      </c>
      <c r="D1209" s="1">
        <v>121.62</v>
      </c>
      <c r="E1209" s="10" t="s">
        <v>2352</v>
      </c>
      <c r="F1209" s="10" t="s">
        <v>2360</v>
      </c>
      <c r="G1209" s="10" t="s">
        <v>11</v>
      </c>
      <c r="H1209" t="s">
        <v>12</v>
      </c>
    </row>
    <row r="1210" spans="1:8" x14ac:dyDescent="0.25">
      <c r="A1210">
        <v>1157718189</v>
      </c>
      <c r="B1210" t="s">
        <v>2359</v>
      </c>
      <c r="C1210">
        <v>2</v>
      </c>
      <c r="D1210" s="1">
        <v>121.62</v>
      </c>
      <c r="E1210" s="10" t="s">
        <v>2352</v>
      </c>
      <c r="F1210" s="10" t="s">
        <v>2360</v>
      </c>
      <c r="G1210" s="10" t="s">
        <v>11</v>
      </c>
      <c r="H1210" t="s">
        <v>12</v>
      </c>
    </row>
    <row r="1211" spans="1:8" x14ac:dyDescent="0.25">
      <c r="A1211">
        <v>1157693233</v>
      </c>
      <c r="B1211" t="s">
        <v>2361</v>
      </c>
      <c r="C1211">
        <v>1</v>
      </c>
      <c r="D1211" s="1">
        <v>146.87</v>
      </c>
      <c r="E1211" s="10" t="s">
        <v>2352</v>
      </c>
      <c r="F1211" s="10" t="s">
        <v>2362</v>
      </c>
      <c r="G1211" s="10" t="s">
        <v>11</v>
      </c>
      <c r="H1211" t="s">
        <v>12</v>
      </c>
    </row>
    <row r="1212" spans="1:8" x14ac:dyDescent="0.25">
      <c r="A1212">
        <v>1157668500</v>
      </c>
      <c r="B1212" t="s">
        <v>2363</v>
      </c>
      <c r="C1212">
        <v>6</v>
      </c>
      <c r="D1212" s="1">
        <v>21.25</v>
      </c>
      <c r="E1212" s="10" t="s">
        <v>2352</v>
      </c>
      <c r="F1212" s="10" t="s">
        <v>2364</v>
      </c>
      <c r="G1212" s="10" t="s">
        <v>48</v>
      </c>
      <c r="H1212" t="s">
        <v>12</v>
      </c>
    </row>
    <row r="1213" spans="1:8" x14ac:dyDescent="0.25">
      <c r="A1213">
        <v>1157623372</v>
      </c>
      <c r="B1213" t="s">
        <v>2365</v>
      </c>
      <c r="C1213">
        <v>3</v>
      </c>
      <c r="D1213" s="1">
        <v>8.7200000000000006</v>
      </c>
      <c r="E1213" s="10" t="s">
        <v>2366</v>
      </c>
      <c r="F1213" s="10" t="s">
        <v>2367</v>
      </c>
      <c r="G1213" s="10" t="s">
        <v>11</v>
      </c>
      <c r="H1213" t="s">
        <v>12</v>
      </c>
    </row>
    <row r="1214" spans="1:8" x14ac:dyDescent="0.25">
      <c r="A1214">
        <v>1157618950</v>
      </c>
      <c r="B1214" t="s">
        <v>414</v>
      </c>
      <c r="C1214">
        <v>2</v>
      </c>
      <c r="D1214" s="1">
        <v>8.1999999999999993</v>
      </c>
      <c r="E1214" s="10" t="s">
        <v>2366</v>
      </c>
      <c r="F1214" s="10" t="s">
        <v>1654</v>
      </c>
      <c r="G1214" s="10" t="s">
        <v>11</v>
      </c>
      <c r="H1214" t="s">
        <v>12</v>
      </c>
    </row>
    <row r="1215" spans="1:8" x14ac:dyDescent="0.25">
      <c r="A1215">
        <v>1157618832</v>
      </c>
      <c r="B1215" t="s">
        <v>2368</v>
      </c>
      <c r="C1215">
        <v>3</v>
      </c>
      <c r="D1215" s="1">
        <v>5.4</v>
      </c>
      <c r="E1215" s="10" t="s">
        <v>2366</v>
      </c>
      <c r="F1215" s="10" t="s">
        <v>2369</v>
      </c>
      <c r="G1215" s="10" t="s">
        <v>11</v>
      </c>
      <c r="H1215" t="s">
        <v>12</v>
      </c>
    </row>
    <row r="1216" spans="1:8" x14ac:dyDescent="0.25">
      <c r="A1216">
        <v>1157563794</v>
      </c>
      <c r="B1216" t="s">
        <v>494</v>
      </c>
      <c r="C1216">
        <v>7</v>
      </c>
      <c r="D1216" s="1">
        <v>11.22</v>
      </c>
      <c r="E1216" s="10" t="s">
        <v>2366</v>
      </c>
      <c r="F1216" s="10" t="s">
        <v>2370</v>
      </c>
      <c r="G1216" s="10" t="s">
        <v>11</v>
      </c>
      <c r="H1216" t="s">
        <v>12</v>
      </c>
    </row>
    <row r="1217" spans="1:8" x14ac:dyDescent="0.25">
      <c r="A1217">
        <v>1157532571</v>
      </c>
      <c r="B1217" t="s">
        <v>2371</v>
      </c>
      <c r="C1217">
        <v>3</v>
      </c>
      <c r="D1217" s="1">
        <v>10.17</v>
      </c>
      <c r="E1217" s="10" t="s">
        <v>2366</v>
      </c>
      <c r="F1217" s="10" t="s">
        <v>2372</v>
      </c>
      <c r="G1217" s="10" t="s">
        <v>11</v>
      </c>
      <c r="H1217" t="s">
        <v>12</v>
      </c>
    </row>
    <row r="1218" spans="1:8" x14ac:dyDescent="0.25">
      <c r="A1218">
        <v>1157531990</v>
      </c>
      <c r="B1218" t="s">
        <v>1400</v>
      </c>
      <c r="C1218">
        <v>7</v>
      </c>
      <c r="D1218" s="1">
        <v>23.02</v>
      </c>
      <c r="E1218" s="10" t="s">
        <v>2366</v>
      </c>
      <c r="F1218" s="10" t="s">
        <v>2303</v>
      </c>
      <c r="G1218" s="10" t="s">
        <v>11</v>
      </c>
      <c r="H1218" t="s">
        <v>12</v>
      </c>
    </row>
    <row r="1219" spans="1:8" x14ac:dyDescent="0.25">
      <c r="A1219">
        <v>1157350742</v>
      </c>
      <c r="B1219" t="s">
        <v>2373</v>
      </c>
      <c r="C1219">
        <v>2</v>
      </c>
      <c r="D1219" s="1">
        <v>21.12</v>
      </c>
      <c r="E1219" s="10" t="s">
        <v>2374</v>
      </c>
      <c r="F1219" s="10" t="s">
        <v>2375</v>
      </c>
      <c r="G1219" s="10" t="s">
        <v>48</v>
      </c>
      <c r="H1219" t="s">
        <v>12</v>
      </c>
    </row>
    <row r="1220" spans="1:8" x14ac:dyDescent="0.25">
      <c r="A1220">
        <v>1157345821</v>
      </c>
      <c r="B1220" t="s">
        <v>237</v>
      </c>
      <c r="C1220">
        <v>3</v>
      </c>
      <c r="D1220" s="1">
        <v>1.97</v>
      </c>
      <c r="E1220" s="10" t="s">
        <v>2374</v>
      </c>
      <c r="F1220" s="10" t="s">
        <v>2376</v>
      </c>
      <c r="G1220" s="10" t="s">
        <v>38</v>
      </c>
      <c r="H1220" t="s">
        <v>12</v>
      </c>
    </row>
    <row r="1221" spans="1:8" x14ac:dyDescent="0.25">
      <c r="A1221">
        <v>1157337467</v>
      </c>
      <c r="B1221" t="s">
        <v>469</v>
      </c>
      <c r="C1221">
        <v>13</v>
      </c>
      <c r="D1221" s="1">
        <v>21.11</v>
      </c>
      <c r="E1221" s="10" t="s">
        <v>2374</v>
      </c>
      <c r="F1221" s="10" t="s">
        <v>1605</v>
      </c>
      <c r="G1221" s="10" t="s">
        <v>11</v>
      </c>
      <c r="H1221" t="s">
        <v>12</v>
      </c>
    </row>
    <row r="1222" spans="1:8" x14ac:dyDescent="0.25">
      <c r="A1222">
        <v>1157257374</v>
      </c>
      <c r="B1222" t="s">
        <v>2377</v>
      </c>
      <c r="C1222">
        <v>1</v>
      </c>
      <c r="D1222" s="1">
        <v>45.42</v>
      </c>
      <c r="E1222" s="10" t="s">
        <v>2378</v>
      </c>
      <c r="F1222" s="10" t="s">
        <v>2379</v>
      </c>
      <c r="G1222" s="10" t="s">
        <v>48</v>
      </c>
      <c r="H1222" t="s">
        <v>12</v>
      </c>
    </row>
    <row r="1223" spans="1:8" x14ac:dyDescent="0.25">
      <c r="A1223">
        <v>1157160996</v>
      </c>
      <c r="B1223" t="s">
        <v>2380</v>
      </c>
      <c r="C1223">
        <v>1</v>
      </c>
      <c r="D1223" s="1">
        <v>35.42</v>
      </c>
      <c r="E1223" s="10" t="s">
        <v>2378</v>
      </c>
      <c r="F1223" s="10" t="s">
        <v>2381</v>
      </c>
      <c r="G1223" s="10" t="s">
        <v>38</v>
      </c>
      <c r="H1223" t="s">
        <v>12</v>
      </c>
    </row>
    <row r="1224" spans="1:8" x14ac:dyDescent="0.25">
      <c r="A1224">
        <v>1157075496</v>
      </c>
      <c r="B1224" t="s">
        <v>2382</v>
      </c>
      <c r="C1224">
        <v>5</v>
      </c>
      <c r="D1224" s="1">
        <v>17.22</v>
      </c>
      <c r="E1224" s="10" t="s">
        <v>2383</v>
      </c>
      <c r="F1224" s="10" t="s">
        <v>2384</v>
      </c>
      <c r="G1224" s="10" t="s">
        <v>48</v>
      </c>
      <c r="H1224" t="s">
        <v>12</v>
      </c>
    </row>
    <row r="1225" spans="1:8" x14ac:dyDescent="0.25">
      <c r="A1225">
        <v>1157044005</v>
      </c>
      <c r="B1225" t="s">
        <v>2385</v>
      </c>
      <c r="C1225">
        <v>4</v>
      </c>
      <c r="D1225" s="1">
        <v>21.36</v>
      </c>
      <c r="E1225" s="10" t="s">
        <v>2383</v>
      </c>
      <c r="F1225" s="10" t="s">
        <v>2386</v>
      </c>
      <c r="G1225" s="10" t="s">
        <v>11</v>
      </c>
      <c r="H1225" t="s">
        <v>12</v>
      </c>
    </row>
    <row r="1226" spans="1:8" x14ac:dyDescent="0.25">
      <c r="A1226">
        <v>1156983464</v>
      </c>
      <c r="B1226" t="s">
        <v>2387</v>
      </c>
      <c r="C1226">
        <v>4</v>
      </c>
      <c r="D1226" s="1">
        <v>9.18</v>
      </c>
      <c r="E1226" s="10" t="s">
        <v>2388</v>
      </c>
      <c r="F1226" s="10" t="s">
        <v>2389</v>
      </c>
      <c r="G1226" s="10" t="s">
        <v>11</v>
      </c>
      <c r="H1226" t="s">
        <v>12</v>
      </c>
    </row>
    <row r="1227" spans="1:8" x14ac:dyDescent="0.25">
      <c r="A1227">
        <v>1156914225</v>
      </c>
      <c r="B1227" t="s">
        <v>2390</v>
      </c>
      <c r="C1227">
        <v>4</v>
      </c>
      <c r="D1227" s="1">
        <v>7.06</v>
      </c>
      <c r="E1227" s="10" t="s">
        <v>2388</v>
      </c>
      <c r="F1227" s="10" t="s">
        <v>2391</v>
      </c>
      <c r="G1227" s="10" t="s">
        <v>11</v>
      </c>
      <c r="H1227" t="s">
        <v>12</v>
      </c>
    </row>
    <row r="1228" spans="1:8" x14ac:dyDescent="0.25">
      <c r="A1228">
        <v>1156901210</v>
      </c>
      <c r="B1228" t="s">
        <v>2392</v>
      </c>
      <c r="C1228">
        <v>1</v>
      </c>
      <c r="D1228" s="1">
        <v>7.17</v>
      </c>
      <c r="E1228" s="10" t="s">
        <v>2388</v>
      </c>
      <c r="F1228" s="10" t="s">
        <v>2393</v>
      </c>
      <c r="G1228" s="10" t="s">
        <v>48</v>
      </c>
      <c r="H1228" t="s">
        <v>12</v>
      </c>
    </row>
    <row r="1229" spans="1:8" x14ac:dyDescent="0.25">
      <c r="A1229">
        <v>1156898547</v>
      </c>
      <c r="B1229" t="s">
        <v>79</v>
      </c>
      <c r="C1229">
        <v>10</v>
      </c>
      <c r="D1229" s="1">
        <v>2.62</v>
      </c>
      <c r="E1229" s="10" t="s">
        <v>2388</v>
      </c>
      <c r="F1229" s="10" t="s">
        <v>2394</v>
      </c>
      <c r="G1229" s="10" t="s">
        <v>11</v>
      </c>
      <c r="H1229" t="s">
        <v>12</v>
      </c>
    </row>
    <row r="1230" spans="1:8" x14ac:dyDescent="0.25">
      <c r="A1230">
        <v>1156898505</v>
      </c>
      <c r="B1230" t="s">
        <v>2395</v>
      </c>
      <c r="C1230">
        <v>10</v>
      </c>
      <c r="D1230" s="1">
        <v>3.22</v>
      </c>
      <c r="E1230" s="10" t="s">
        <v>2388</v>
      </c>
      <c r="F1230" s="10" t="s">
        <v>2396</v>
      </c>
      <c r="G1230" s="10" t="s">
        <v>11</v>
      </c>
      <c r="H1230" t="s">
        <v>12</v>
      </c>
    </row>
    <row r="1231" spans="1:8" x14ac:dyDescent="0.25">
      <c r="A1231">
        <v>1156805109</v>
      </c>
      <c r="B1231" t="s">
        <v>2397</v>
      </c>
      <c r="C1231">
        <v>5</v>
      </c>
      <c r="D1231" s="1">
        <v>9.4600000000000009</v>
      </c>
      <c r="E1231" s="10" t="s">
        <v>2398</v>
      </c>
      <c r="F1231" s="10" t="s">
        <v>2399</v>
      </c>
      <c r="G1231" s="10" t="s">
        <v>11</v>
      </c>
      <c r="H1231" t="s">
        <v>12</v>
      </c>
    </row>
    <row r="1232" spans="1:8" x14ac:dyDescent="0.25">
      <c r="A1232">
        <v>1156788749</v>
      </c>
      <c r="B1232" t="s">
        <v>2400</v>
      </c>
      <c r="C1232">
        <v>1</v>
      </c>
      <c r="D1232" s="1">
        <v>10.17</v>
      </c>
      <c r="E1232" s="10" t="s">
        <v>2398</v>
      </c>
      <c r="F1232" s="10" t="s">
        <v>2401</v>
      </c>
      <c r="G1232" s="10" t="s">
        <v>48</v>
      </c>
      <c r="H1232" t="s">
        <v>12</v>
      </c>
    </row>
    <row r="1233" spans="1:8" x14ac:dyDescent="0.25">
      <c r="A1233">
        <v>1156729027</v>
      </c>
      <c r="B1233" t="s">
        <v>414</v>
      </c>
      <c r="C1233">
        <v>2</v>
      </c>
      <c r="D1233" s="1">
        <v>35.6</v>
      </c>
      <c r="E1233" s="10" t="s">
        <v>2402</v>
      </c>
      <c r="F1233" s="10" t="s">
        <v>1963</v>
      </c>
      <c r="G1233" s="10" t="s">
        <v>11</v>
      </c>
      <c r="H1233" t="s">
        <v>12</v>
      </c>
    </row>
    <row r="1234" spans="1:8" x14ac:dyDescent="0.25">
      <c r="A1234">
        <v>1156606050</v>
      </c>
      <c r="B1234" t="s">
        <v>2403</v>
      </c>
      <c r="C1234">
        <v>3</v>
      </c>
      <c r="D1234" s="1">
        <v>22.07</v>
      </c>
      <c r="E1234" s="10" t="s">
        <v>2404</v>
      </c>
      <c r="F1234" s="10" t="s">
        <v>2405</v>
      </c>
      <c r="G1234" s="10" t="s">
        <v>48</v>
      </c>
      <c r="H1234" t="s">
        <v>12</v>
      </c>
    </row>
    <row r="1235" spans="1:8" x14ac:dyDescent="0.25">
      <c r="A1235">
        <v>1156561537</v>
      </c>
      <c r="B1235" t="s">
        <v>2406</v>
      </c>
      <c r="C1235">
        <v>1</v>
      </c>
      <c r="D1235" s="1">
        <v>8.17</v>
      </c>
      <c r="E1235" s="10" t="s">
        <v>2404</v>
      </c>
      <c r="F1235" s="10" t="s">
        <v>2407</v>
      </c>
      <c r="G1235" s="10" t="s">
        <v>48</v>
      </c>
      <c r="H1235" t="s">
        <v>12</v>
      </c>
    </row>
    <row r="1236" spans="1:8" x14ac:dyDescent="0.25">
      <c r="A1236">
        <v>1156561021</v>
      </c>
      <c r="B1236" t="s">
        <v>2408</v>
      </c>
      <c r="C1236">
        <v>6</v>
      </c>
      <c r="D1236" s="1">
        <v>26</v>
      </c>
      <c r="E1236" s="10" t="s">
        <v>2404</v>
      </c>
      <c r="F1236" s="10" t="s">
        <v>2409</v>
      </c>
      <c r="G1236" s="10" t="s">
        <v>48</v>
      </c>
      <c r="H1236" t="s">
        <v>12</v>
      </c>
    </row>
    <row r="1237" spans="1:8" x14ac:dyDescent="0.25">
      <c r="A1237">
        <v>1156554839</v>
      </c>
      <c r="B1237" t="s">
        <v>469</v>
      </c>
      <c r="C1237">
        <v>12</v>
      </c>
      <c r="D1237" s="1">
        <v>78.849999999999994</v>
      </c>
      <c r="E1237" s="10" t="s">
        <v>2404</v>
      </c>
      <c r="F1237" s="10" t="s">
        <v>1619</v>
      </c>
      <c r="G1237" s="10" t="s">
        <v>11</v>
      </c>
      <c r="H1237" t="s">
        <v>12</v>
      </c>
    </row>
    <row r="1238" spans="1:8" x14ac:dyDescent="0.25">
      <c r="A1238">
        <v>1156387321</v>
      </c>
      <c r="B1238" t="s">
        <v>2410</v>
      </c>
      <c r="C1238">
        <v>1</v>
      </c>
      <c r="D1238" s="1">
        <v>6.17</v>
      </c>
      <c r="E1238" s="10" t="s">
        <v>2411</v>
      </c>
      <c r="F1238" s="10" t="s">
        <v>2412</v>
      </c>
      <c r="G1238" s="10" t="s">
        <v>48</v>
      </c>
      <c r="H1238" t="s">
        <v>12</v>
      </c>
    </row>
    <row r="1239" spans="1:8" x14ac:dyDescent="0.25">
      <c r="A1239">
        <v>1156295821</v>
      </c>
      <c r="B1239" t="s">
        <v>2413</v>
      </c>
      <c r="C1239">
        <v>4</v>
      </c>
      <c r="D1239" s="1">
        <v>9.98</v>
      </c>
      <c r="E1239" s="10" t="s">
        <v>2411</v>
      </c>
      <c r="F1239" s="10" t="s">
        <v>2414</v>
      </c>
      <c r="G1239" s="10" t="s">
        <v>48</v>
      </c>
      <c r="H1239" t="s">
        <v>12</v>
      </c>
    </row>
    <row r="1240" spans="1:8" x14ac:dyDescent="0.25">
      <c r="A1240">
        <v>1156205610</v>
      </c>
      <c r="B1240" t="s">
        <v>2415</v>
      </c>
      <c r="C1240">
        <v>1</v>
      </c>
      <c r="D1240" s="1">
        <v>7.17</v>
      </c>
      <c r="E1240" s="10" t="s">
        <v>2416</v>
      </c>
      <c r="F1240" s="10" t="s">
        <v>2417</v>
      </c>
      <c r="G1240" s="10" t="s">
        <v>48</v>
      </c>
      <c r="H1240" t="s">
        <v>12</v>
      </c>
    </row>
    <row r="1241" spans="1:8" x14ac:dyDescent="0.25">
      <c r="A1241">
        <v>1156003861</v>
      </c>
      <c r="B1241" t="s">
        <v>318</v>
      </c>
      <c r="C1241">
        <v>8</v>
      </c>
      <c r="D1241" s="1">
        <v>31.02</v>
      </c>
      <c r="E1241" s="10" t="s">
        <v>2418</v>
      </c>
      <c r="F1241" s="10" t="s">
        <v>2419</v>
      </c>
      <c r="G1241" s="10" t="s">
        <v>38</v>
      </c>
      <c r="H1241" t="s">
        <v>12</v>
      </c>
    </row>
    <row r="1242" spans="1:8" x14ac:dyDescent="0.25">
      <c r="A1242">
        <v>1155813980</v>
      </c>
      <c r="B1242" t="s">
        <v>2014</v>
      </c>
      <c r="C1242">
        <v>1</v>
      </c>
      <c r="D1242" s="1">
        <v>8.25</v>
      </c>
      <c r="E1242" s="10" t="s">
        <v>2420</v>
      </c>
      <c r="F1242" s="10" t="s">
        <v>2016</v>
      </c>
      <c r="G1242" s="10" t="s">
        <v>48</v>
      </c>
      <c r="H1242" t="s">
        <v>12</v>
      </c>
    </row>
    <row r="1243" spans="1:8" x14ac:dyDescent="0.25">
      <c r="A1243">
        <v>1155735990</v>
      </c>
      <c r="B1243" t="s">
        <v>469</v>
      </c>
      <c r="C1243">
        <v>6</v>
      </c>
      <c r="D1243" s="1">
        <v>21.16</v>
      </c>
      <c r="E1243" s="10" t="s">
        <v>2420</v>
      </c>
      <c r="F1243" s="10" t="s">
        <v>1605</v>
      </c>
      <c r="G1243" s="10" t="s">
        <v>11</v>
      </c>
      <c r="H1243" t="s">
        <v>12</v>
      </c>
    </row>
    <row r="1244" spans="1:8" x14ac:dyDescent="0.25">
      <c r="A1244">
        <v>1155735950</v>
      </c>
      <c r="B1244" t="s">
        <v>414</v>
      </c>
      <c r="C1244">
        <v>2</v>
      </c>
      <c r="D1244" s="1">
        <v>17.2</v>
      </c>
      <c r="E1244" s="10" t="s">
        <v>2420</v>
      </c>
      <c r="F1244" s="10" t="s">
        <v>1654</v>
      </c>
      <c r="G1244" s="10" t="s">
        <v>11</v>
      </c>
      <c r="H1244" t="s">
        <v>12</v>
      </c>
    </row>
    <row r="1245" spans="1:8" x14ac:dyDescent="0.25">
      <c r="A1245">
        <v>1155735787</v>
      </c>
      <c r="B1245" t="s">
        <v>2421</v>
      </c>
      <c r="C1245">
        <v>5</v>
      </c>
      <c r="D1245" s="1">
        <v>13.79</v>
      </c>
      <c r="E1245" s="10" t="s">
        <v>2420</v>
      </c>
      <c r="F1245" s="10" t="s">
        <v>2422</v>
      </c>
      <c r="G1245" s="10" t="s">
        <v>11</v>
      </c>
      <c r="H1245" t="s">
        <v>12</v>
      </c>
    </row>
    <row r="1246" spans="1:8" x14ac:dyDescent="0.25">
      <c r="A1246">
        <v>1155733905</v>
      </c>
      <c r="B1246" t="s">
        <v>2423</v>
      </c>
      <c r="C1246">
        <v>11</v>
      </c>
      <c r="D1246" s="1">
        <v>12.22</v>
      </c>
      <c r="E1246" s="10" t="s">
        <v>2420</v>
      </c>
      <c r="F1246" s="10" t="s">
        <v>2424</v>
      </c>
      <c r="G1246" s="10" t="s">
        <v>11</v>
      </c>
      <c r="H1246" t="s">
        <v>12</v>
      </c>
    </row>
    <row r="1247" spans="1:8" x14ac:dyDescent="0.25">
      <c r="A1247" t="s">
        <v>2425</v>
      </c>
      <c r="B1247" t="s">
        <v>2426</v>
      </c>
      <c r="C1247">
        <v>6</v>
      </c>
      <c r="D1247" s="1">
        <v>264.89999999999998</v>
      </c>
      <c r="E1247" s="10" t="s">
        <v>2427</v>
      </c>
      <c r="F1247" s="10" t="s">
        <v>1378</v>
      </c>
      <c r="G1247" s="10" t="s">
        <v>11</v>
      </c>
      <c r="H1247" t="s">
        <v>12</v>
      </c>
    </row>
    <row r="1248" spans="1:8" x14ac:dyDescent="0.25">
      <c r="A1248" t="s">
        <v>2428</v>
      </c>
      <c r="B1248" t="s">
        <v>2429</v>
      </c>
      <c r="C1248">
        <v>1</v>
      </c>
      <c r="D1248" s="1">
        <v>23</v>
      </c>
      <c r="E1248" s="10" t="s">
        <v>2427</v>
      </c>
      <c r="F1248" s="10" t="s">
        <v>548</v>
      </c>
      <c r="G1248" s="10" t="s">
        <v>11</v>
      </c>
      <c r="H1248" t="s">
        <v>12</v>
      </c>
    </row>
    <row r="1249" spans="1:8" x14ac:dyDescent="0.25">
      <c r="A1249" t="s">
        <v>2430</v>
      </c>
      <c r="B1249" t="s">
        <v>2431</v>
      </c>
      <c r="C1249">
        <v>1</v>
      </c>
      <c r="D1249" s="1">
        <v>145</v>
      </c>
      <c r="E1249" s="10" t="s">
        <v>2427</v>
      </c>
      <c r="F1249" s="10" t="s">
        <v>548</v>
      </c>
      <c r="G1249" s="10" t="s">
        <v>11</v>
      </c>
      <c r="H1249" t="s">
        <v>12</v>
      </c>
    </row>
    <row r="1250" spans="1:8" x14ac:dyDescent="0.25">
      <c r="A1250">
        <v>1155651751</v>
      </c>
      <c r="B1250" t="s">
        <v>2432</v>
      </c>
      <c r="C1250">
        <v>3</v>
      </c>
      <c r="D1250" s="1">
        <v>17.149999999999999</v>
      </c>
      <c r="E1250" s="10" t="s">
        <v>2427</v>
      </c>
      <c r="F1250" s="10" t="s">
        <v>2433</v>
      </c>
      <c r="G1250" s="10" t="s">
        <v>48</v>
      </c>
      <c r="H1250" t="s">
        <v>12</v>
      </c>
    </row>
    <row r="1251" spans="1:8" x14ac:dyDescent="0.25">
      <c r="A1251">
        <v>1155611364</v>
      </c>
      <c r="B1251" t="s">
        <v>2434</v>
      </c>
      <c r="C1251">
        <v>4</v>
      </c>
      <c r="D1251" s="1">
        <v>17.46</v>
      </c>
      <c r="E1251" s="10" t="s">
        <v>2427</v>
      </c>
      <c r="F1251" s="10" t="s">
        <v>2435</v>
      </c>
      <c r="G1251" s="10" t="s">
        <v>11</v>
      </c>
      <c r="H1251" t="s">
        <v>12</v>
      </c>
    </row>
    <row r="1252" spans="1:8" x14ac:dyDescent="0.25">
      <c r="A1252">
        <v>1155611356</v>
      </c>
      <c r="B1252" t="s">
        <v>2436</v>
      </c>
      <c r="C1252">
        <v>4</v>
      </c>
      <c r="D1252" s="1">
        <v>17.97</v>
      </c>
      <c r="E1252" s="10" t="s">
        <v>2427</v>
      </c>
      <c r="F1252" s="10" t="s">
        <v>2437</v>
      </c>
      <c r="G1252" s="10" t="s">
        <v>11</v>
      </c>
      <c r="H1252" t="s">
        <v>12</v>
      </c>
    </row>
    <row r="1253" spans="1:8" x14ac:dyDescent="0.25">
      <c r="A1253">
        <v>1155225390</v>
      </c>
      <c r="B1253" t="s">
        <v>2438</v>
      </c>
      <c r="C1253">
        <v>1</v>
      </c>
      <c r="D1253" s="1">
        <v>6.88</v>
      </c>
      <c r="E1253" s="10" t="s">
        <v>2439</v>
      </c>
      <c r="F1253" s="10" t="s">
        <v>2440</v>
      </c>
      <c r="G1253" s="10" t="s">
        <v>11</v>
      </c>
      <c r="H1253" t="s">
        <v>12</v>
      </c>
    </row>
    <row r="1254" spans="1:8" x14ac:dyDescent="0.25">
      <c r="A1254">
        <v>1155225373</v>
      </c>
      <c r="B1254" t="s">
        <v>2441</v>
      </c>
      <c r="C1254">
        <v>1</v>
      </c>
      <c r="D1254" s="1">
        <v>6.72</v>
      </c>
      <c r="E1254" s="10" t="s">
        <v>2439</v>
      </c>
      <c r="F1254" s="10" t="s">
        <v>2442</v>
      </c>
      <c r="G1254" s="10" t="s">
        <v>11</v>
      </c>
      <c r="H1254" t="s">
        <v>12</v>
      </c>
    </row>
    <row r="1255" spans="1:8" x14ac:dyDescent="0.25">
      <c r="A1255">
        <v>1155225368</v>
      </c>
      <c r="B1255" t="s">
        <v>2443</v>
      </c>
      <c r="C1255">
        <v>1</v>
      </c>
      <c r="D1255" s="1">
        <v>5.82</v>
      </c>
      <c r="E1255" s="10" t="s">
        <v>2439</v>
      </c>
      <c r="F1255" s="10" t="s">
        <v>2444</v>
      </c>
      <c r="G1255" s="10" t="s">
        <v>11</v>
      </c>
      <c r="H1255" t="s">
        <v>12</v>
      </c>
    </row>
    <row r="1256" spans="1:8" x14ac:dyDescent="0.25">
      <c r="A1256">
        <v>1155225363</v>
      </c>
      <c r="B1256" t="s">
        <v>2445</v>
      </c>
      <c r="C1256">
        <v>1</v>
      </c>
      <c r="D1256" s="1">
        <v>5.41</v>
      </c>
      <c r="E1256" s="10" t="s">
        <v>2439</v>
      </c>
      <c r="F1256" s="10" t="s">
        <v>2446</v>
      </c>
      <c r="G1256" s="10" t="s">
        <v>11</v>
      </c>
      <c r="H1256" t="s">
        <v>12</v>
      </c>
    </row>
    <row r="1257" spans="1:8" x14ac:dyDescent="0.25">
      <c r="A1257">
        <v>1155123219</v>
      </c>
      <c r="B1257" t="s">
        <v>2447</v>
      </c>
      <c r="C1257">
        <v>2</v>
      </c>
      <c r="D1257" s="1">
        <v>25.02</v>
      </c>
      <c r="E1257" s="10" t="s">
        <v>2448</v>
      </c>
      <c r="F1257" s="10" t="s">
        <v>2449</v>
      </c>
      <c r="G1257" s="10" t="s">
        <v>48</v>
      </c>
      <c r="H1257" t="s">
        <v>12</v>
      </c>
    </row>
    <row r="1258" spans="1:8" x14ac:dyDescent="0.25">
      <c r="A1258">
        <v>1155087691</v>
      </c>
      <c r="B1258" t="s">
        <v>2450</v>
      </c>
      <c r="C1258">
        <v>1</v>
      </c>
      <c r="D1258" s="1">
        <v>45.87</v>
      </c>
      <c r="E1258" s="10" t="s">
        <v>2448</v>
      </c>
      <c r="F1258" s="10" t="s">
        <v>2451</v>
      </c>
      <c r="G1258" s="10" t="s">
        <v>11</v>
      </c>
      <c r="H1258" t="s">
        <v>12</v>
      </c>
    </row>
    <row r="1259" spans="1:8" x14ac:dyDescent="0.25">
      <c r="A1259">
        <v>1155086705</v>
      </c>
      <c r="B1259" t="s">
        <v>2452</v>
      </c>
      <c r="C1259">
        <v>3</v>
      </c>
      <c r="D1259" s="1">
        <v>5.57</v>
      </c>
      <c r="E1259" s="10" t="s">
        <v>2448</v>
      </c>
      <c r="F1259" s="10" t="s">
        <v>2453</v>
      </c>
      <c r="G1259" s="10" t="s">
        <v>11</v>
      </c>
      <c r="H1259" t="s">
        <v>12</v>
      </c>
    </row>
    <row r="1260" spans="1:8" x14ac:dyDescent="0.25">
      <c r="A1260">
        <v>1155065370</v>
      </c>
      <c r="B1260" t="s">
        <v>1086</v>
      </c>
      <c r="C1260">
        <v>1</v>
      </c>
      <c r="D1260" s="1">
        <v>2.2200000000000002</v>
      </c>
      <c r="E1260" s="10" t="s">
        <v>2448</v>
      </c>
      <c r="F1260" s="10" t="s">
        <v>2454</v>
      </c>
      <c r="G1260" s="10" t="s">
        <v>11</v>
      </c>
      <c r="H1260" t="s">
        <v>12</v>
      </c>
    </row>
    <row r="1261" spans="1:8" x14ac:dyDescent="0.25">
      <c r="A1261">
        <v>1155065304</v>
      </c>
      <c r="B1261" t="s">
        <v>237</v>
      </c>
      <c r="C1261">
        <v>1</v>
      </c>
      <c r="D1261" s="1">
        <v>4.17</v>
      </c>
      <c r="E1261" s="10" t="s">
        <v>2448</v>
      </c>
      <c r="F1261" s="10" t="s">
        <v>2261</v>
      </c>
      <c r="G1261" s="10" t="s">
        <v>11</v>
      </c>
      <c r="H1261" t="s">
        <v>12</v>
      </c>
    </row>
    <row r="1262" spans="1:8" x14ac:dyDescent="0.25">
      <c r="A1262">
        <v>1155065283</v>
      </c>
      <c r="B1262" t="s">
        <v>2081</v>
      </c>
      <c r="C1262">
        <v>3</v>
      </c>
      <c r="D1262" s="1">
        <v>5.57</v>
      </c>
      <c r="E1262" s="10" t="s">
        <v>2448</v>
      </c>
      <c r="F1262" s="10" t="s">
        <v>2083</v>
      </c>
      <c r="G1262" s="10" t="s">
        <v>11</v>
      </c>
      <c r="H1262" t="s">
        <v>12</v>
      </c>
    </row>
    <row r="1263" spans="1:8" x14ac:dyDescent="0.25">
      <c r="A1263">
        <v>1155061188</v>
      </c>
      <c r="B1263" t="s">
        <v>2455</v>
      </c>
      <c r="C1263">
        <v>1</v>
      </c>
      <c r="D1263" s="1">
        <v>4.42</v>
      </c>
      <c r="E1263" s="10" t="s">
        <v>2448</v>
      </c>
      <c r="F1263" s="10" t="s">
        <v>2456</v>
      </c>
      <c r="G1263" s="10" t="s">
        <v>11</v>
      </c>
      <c r="H1263" t="s">
        <v>12</v>
      </c>
    </row>
    <row r="1264" spans="1:8" x14ac:dyDescent="0.25">
      <c r="A1264">
        <v>1154987230</v>
      </c>
      <c r="B1264" t="s">
        <v>2457</v>
      </c>
      <c r="C1264">
        <v>3</v>
      </c>
      <c r="D1264" s="1">
        <v>6.67</v>
      </c>
      <c r="E1264" s="10" t="s">
        <v>2458</v>
      </c>
      <c r="F1264" s="10" t="s">
        <v>2459</v>
      </c>
      <c r="G1264" s="10" t="s">
        <v>11</v>
      </c>
      <c r="H1264" t="s">
        <v>12</v>
      </c>
    </row>
    <row r="1265" spans="1:8" ht="30" x14ac:dyDescent="0.25">
      <c r="A1265">
        <v>1154966443</v>
      </c>
      <c r="B1265" t="s">
        <v>8</v>
      </c>
      <c r="C1265">
        <v>4</v>
      </c>
      <c r="D1265" s="1">
        <v>4.59</v>
      </c>
      <c r="E1265" s="10" t="s">
        <v>2458</v>
      </c>
      <c r="F1265" s="10" t="s">
        <v>1604</v>
      </c>
      <c r="G1265" s="10" t="s">
        <v>38</v>
      </c>
      <c r="H1265" t="s">
        <v>12</v>
      </c>
    </row>
    <row r="1266" spans="1:8" x14ac:dyDescent="0.25">
      <c r="A1266">
        <v>1154847328</v>
      </c>
      <c r="B1266" t="s">
        <v>1745</v>
      </c>
      <c r="C1266">
        <v>4</v>
      </c>
      <c r="D1266" s="1">
        <v>5.22</v>
      </c>
      <c r="E1266" s="10" t="s">
        <v>2460</v>
      </c>
      <c r="F1266" s="10" t="s">
        <v>2461</v>
      </c>
      <c r="G1266" s="10" t="s">
        <v>11</v>
      </c>
      <c r="H1266" t="s">
        <v>12</v>
      </c>
    </row>
    <row r="1267" spans="1:8" x14ac:dyDescent="0.25">
      <c r="A1267">
        <v>1154388616</v>
      </c>
      <c r="B1267" t="s">
        <v>2462</v>
      </c>
      <c r="C1267">
        <v>1</v>
      </c>
      <c r="D1267" s="1">
        <v>9.2100000000000009</v>
      </c>
      <c r="E1267" s="10" t="s">
        <v>2463</v>
      </c>
      <c r="F1267" s="10" t="s">
        <v>2464</v>
      </c>
      <c r="G1267" s="10" t="s">
        <v>48</v>
      </c>
      <c r="H1267" t="s">
        <v>12</v>
      </c>
    </row>
    <row r="1268" spans="1:8" x14ac:dyDescent="0.25">
      <c r="A1268">
        <v>1154101785</v>
      </c>
      <c r="B1268" t="s">
        <v>2290</v>
      </c>
      <c r="C1268">
        <v>20</v>
      </c>
      <c r="D1268" s="1">
        <v>5.83</v>
      </c>
      <c r="E1268" s="10" t="s">
        <v>2465</v>
      </c>
      <c r="F1268" s="10" t="s">
        <v>2466</v>
      </c>
      <c r="G1268" s="10" t="s">
        <v>11</v>
      </c>
      <c r="H1268" t="s">
        <v>12</v>
      </c>
    </row>
    <row r="1269" spans="1:8" x14ac:dyDescent="0.25">
      <c r="A1269">
        <v>1154093072</v>
      </c>
      <c r="B1269" t="s">
        <v>2467</v>
      </c>
      <c r="C1269">
        <v>1</v>
      </c>
      <c r="D1269" s="1">
        <v>1.76</v>
      </c>
      <c r="E1269" s="10" t="s">
        <v>2465</v>
      </c>
      <c r="F1269" s="10" t="s">
        <v>2468</v>
      </c>
      <c r="G1269" s="10" t="s">
        <v>11</v>
      </c>
      <c r="H1269" t="s">
        <v>12</v>
      </c>
    </row>
    <row r="1270" spans="1:8" x14ac:dyDescent="0.25">
      <c r="A1270">
        <v>1154092405</v>
      </c>
      <c r="B1270" t="s">
        <v>318</v>
      </c>
      <c r="C1270">
        <v>1</v>
      </c>
      <c r="D1270" s="1">
        <v>11.21</v>
      </c>
      <c r="E1270" s="10" t="s">
        <v>2465</v>
      </c>
      <c r="F1270" s="10" t="s">
        <v>2469</v>
      </c>
      <c r="G1270" s="10" t="s">
        <v>11</v>
      </c>
      <c r="H1270" t="s">
        <v>12</v>
      </c>
    </row>
    <row r="1271" spans="1:8" x14ac:dyDescent="0.25">
      <c r="A1271">
        <v>1154091419</v>
      </c>
      <c r="B1271" t="s">
        <v>2470</v>
      </c>
      <c r="C1271">
        <v>2</v>
      </c>
      <c r="D1271" s="1">
        <v>34.82</v>
      </c>
      <c r="E1271" s="10" t="s">
        <v>2465</v>
      </c>
      <c r="F1271" s="10" t="s">
        <v>2471</v>
      </c>
      <c r="G1271" s="10" t="s">
        <v>11</v>
      </c>
      <c r="H1271" t="s">
        <v>12</v>
      </c>
    </row>
    <row r="1272" spans="1:8" x14ac:dyDescent="0.25">
      <c r="A1272">
        <v>1154047676</v>
      </c>
      <c r="B1272" t="s">
        <v>2472</v>
      </c>
      <c r="C1272">
        <v>1</v>
      </c>
      <c r="D1272" s="1">
        <v>1.72</v>
      </c>
      <c r="E1272" s="10" t="s">
        <v>2473</v>
      </c>
      <c r="F1272" s="10" t="s">
        <v>2474</v>
      </c>
      <c r="G1272" s="10" t="s">
        <v>48</v>
      </c>
      <c r="H1272" t="s">
        <v>12</v>
      </c>
    </row>
    <row r="1273" spans="1:8" ht="30" x14ac:dyDescent="0.25">
      <c r="A1273">
        <v>1153778940</v>
      </c>
      <c r="B1273" t="s">
        <v>61</v>
      </c>
      <c r="C1273">
        <v>1</v>
      </c>
      <c r="D1273" s="1">
        <v>54.45</v>
      </c>
      <c r="E1273" s="10" t="s">
        <v>2475</v>
      </c>
      <c r="F1273" s="10" t="s">
        <v>216</v>
      </c>
      <c r="G1273" s="10" t="s">
        <v>38</v>
      </c>
      <c r="H1273" t="s">
        <v>12</v>
      </c>
    </row>
    <row r="1274" spans="1:8" x14ac:dyDescent="0.25">
      <c r="A1274">
        <v>1153711461</v>
      </c>
      <c r="B1274" t="s">
        <v>2476</v>
      </c>
      <c r="C1274">
        <v>3</v>
      </c>
      <c r="D1274" s="1">
        <v>9.32</v>
      </c>
      <c r="E1274" s="10" t="s">
        <v>2475</v>
      </c>
      <c r="F1274" s="10" t="s">
        <v>2477</v>
      </c>
      <c r="G1274" s="10" t="s">
        <v>11</v>
      </c>
      <c r="H1274" t="s">
        <v>12</v>
      </c>
    </row>
    <row r="1275" spans="1:8" ht="30" x14ac:dyDescent="0.25">
      <c r="A1275">
        <v>1153710881</v>
      </c>
      <c r="B1275" t="s">
        <v>8</v>
      </c>
      <c r="C1275">
        <v>4</v>
      </c>
      <c r="D1275" s="1">
        <v>7.5</v>
      </c>
      <c r="E1275" s="10" t="s">
        <v>2475</v>
      </c>
      <c r="F1275" s="10" t="s">
        <v>1704</v>
      </c>
      <c r="G1275" s="10" t="s">
        <v>38</v>
      </c>
      <c r="H1275" t="s">
        <v>12</v>
      </c>
    </row>
    <row r="1276" spans="1:8" x14ac:dyDescent="0.25">
      <c r="A1276">
        <v>1153705698</v>
      </c>
      <c r="B1276" t="s">
        <v>2478</v>
      </c>
      <c r="C1276">
        <v>1</v>
      </c>
      <c r="D1276" s="1">
        <v>4.21</v>
      </c>
      <c r="E1276" s="10" t="s">
        <v>2475</v>
      </c>
      <c r="F1276" s="10" t="s">
        <v>2479</v>
      </c>
      <c r="G1276" s="10" t="s">
        <v>11</v>
      </c>
      <c r="H1276" t="s">
        <v>12</v>
      </c>
    </row>
    <row r="1277" spans="1:8" x14ac:dyDescent="0.25">
      <c r="A1277">
        <v>1153702681</v>
      </c>
      <c r="B1277" t="s">
        <v>2480</v>
      </c>
      <c r="C1277">
        <v>2</v>
      </c>
      <c r="D1277" s="1">
        <v>11.8</v>
      </c>
      <c r="E1277" s="10" t="s">
        <v>2475</v>
      </c>
      <c r="F1277" s="10" t="s">
        <v>2481</v>
      </c>
      <c r="G1277" s="10" t="s">
        <v>11</v>
      </c>
      <c r="H1277" t="s">
        <v>12</v>
      </c>
    </row>
    <row r="1278" spans="1:8" x14ac:dyDescent="0.25">
      <c r="A1278">
        <v>1153359054</v>
      </c>
      <c r="B1278" t="s">
        <v>1082</v>
      </c>
      <c r="C1278">
        <v>2</v>
      </c>
      <c r="D1278" s="1">
        <v>6.02</v>
      </c>
      <c r="E1278" s="10" t="s">
        <v>2482</v>
      </c>
      <c r="F1278" s="10" t="s">
        <v>2483</v>
      </c>
      <c r="G1278" s="10" t="s">
        <v>11</v>
      </c>
      <c r="H1278" t="s">
        <v>12</v>
      </c>
    </row>
    <row r="1279" spans="1:8" x14ac:dyDescent="0.25">
      <c r="A1279">
        <v>1153278715</v>
      </c>
      <c r="B1279" t="s">
        <v>2484</v>
      </c>
      <c r="C1279">
        <v>4</v>
      </c>
      <c r="D1279" s="1">
        <v>71.12</v>
      </c>
      <c r="E1279" s="10" t="s">
        <v>2482</v>
      </c>
      <c r="F1279" s="10" t="s">
        <v>2485</v>
      </c>
      <c r="G1279" s="10" t="s">
        <v>11</v>
      </c>
      <c r="H1279" t="s">
        <v>12</v>
      </c>
    </row>
    <row r="1280" spans="1:8" x14ac:dyDescent="0.25">
      <c r="A1280">
        <v>1153133381</v>
      </c>
      <c r="B1280" t="s">
        <v>2486</v>
      </c>
      <c r="C1280">
        <v>1</v>
      </c>
      <c r="D1280" s="1">
        <v>35.619999999999997</v>
      </c>
      <c r="E1280" s="10" t="s">
        <v>2487</v>
      </c>
      <c r="F1280" s="10" t="s">
        <v>2488</v>
      </c>
      <c r="G1280" s="10" t="s">
        <v>11</v>
      </c>
      <c r="H1280" t="s">
        <v>12</v>
      </c>
    </row>
    <row r="1281" spans="1:8" x14ac:dyDescent="0.25">
      <c r="A1281">
        <v>1153090236</v>
      </c>
      <c r="B1281" t="s">
        <v>294</v>
      </c>
      <c r="C1281">
        <v>4</v>
      </c>
      <c r="D1281" s="1">
        <v>1.78</v>
      </c>
      <c r="E1281" s="10" t="s">
        <v>2487</v>
      </c>
      <c r="F1281" s="10" t="s">
        <v>1709</v>
      </c>
      <c r="G1281" s="10" t="s">
        <v>11</v>
      </c>
      <c r="H1281" t="s">
        <v>12</v>
      </c>
    </row>
    <row r="1282" spans="1:8" x14ac:dyDescent="0.25">
      <c r="A1282">
        <v>1153016592</v>
      </c>
      <c r="B1282" t="s">
        <v>2489</v>
      </c>
      <c r="C1282">
        <v>1</v>
      </c>
      <c r="D1282" s="1">
        <v>16.21</v>
      </c>
      <c r="E1282" s="10" t="s">
        <v>2490</v>
      </c>
      <c r="F1282" s="10" t="s">
        <v>2491</v>
      </c>
      <c r="G1282" s="10" t="s">
        <v>48</v>
      </c>
      <c r="H1282" t="s">
        <v>12</v>
      </c>
    </row>
    <row r="1283" spans="1:8" x14ac:dyDescent="0.25">
      <c r="A1283">
        <v>1152844092</v>
      </c>
      <c r="B1283" t="s">
        <v>1433</v>
      </c>
      <c r="C1283">
        <v>1</v>
      </c>
      <c r="D1283" s="1">
        <v>5.22</v>
      </c>
      <c r="E1283" s="10" t="s">
        <v>2492</v>
      </c>
      <c r="F1283" s="10" t="s">
        <v>2493</v>
      </c>
      <c r="G1283" s="10" t="s">
        <v>11</v>
      </c>
      <c r="H1283" t="s">
        <v>12</v>
      </c>
    </row>
    <row r="1284" spans="1:8" x14ac:dyDescent="0.25">
      <c r="A1284">
        <v>1152843689</v>
      </c>
      <c r="B1284" t="s">
        <v>2494</v>
      </c>
      <c r="C1284">
        <v>3</v>
      </c>
      <c r="D1284" s="1">
        <v>17.72</v>
      </c>
      <c r="E1284" s="10" t="s">
        <v>2492</v>
      </c>
      <c r="F1284" s="10" t="s">
        <v>2495</v>
      </c>
      <c r="G1284" s="10" t="s">
        <v>11</v>
      </c>
      <c r="H1284" t="s">
        <v>12</v>
      </c>
    </row>
    <row r="1285" spans="1:8" x14ac:dyDescent="0.25">
      <c r="A1285">
        <v>1152711332</v>
      </c>
      <c r="B1285" t="s">
        <v>2496</v>
      </c>
      <c r="C1285">
        <v>4</v>
      </c>
      <c r="D1285" s="1">
        <v>20.95</v>
      </c>
      <c r="E1285" s="10" t="s">
        <v>2497</v>
      </c>
      <c r="F1285" s="10" t="s">
        <v>2498</v>
      </c>
      <c r="G1285" s="10" t="s">
        <v>11</v>
      </c>
      <c r="H1285" t="s">
        <v>2314</v>
      </c>
    </row>
    <row r="1286" spans="1:8" x14ac:dyDescent="0.25">
      <c r="A1286">
        <v>1152686423</v>
      </c>
      <c r="B1286" t="s">
        <v>2499</v>
      </c>
      <c r="C1286">
        <v>1</v>
      </c>
      <c r="D1286" s="1">
        <v>9.2200000000000006</v>
      </c>
      <c r="E1286" s="10" t="s">
        <v>2497</v>
      </c>
      <c r="F1286" s="10" t="s">
        <v>2500</v>
      </c>
      <c r="G1286" s="10" t="s">
        <v>11</v>
      </c>
      <c r="H1286" t="s">
        <v>2314</v>
      </c>
    </row>
    <row r="1287" spans="1:8" x14ac:dyDescent="0.25">
      <c r="A1287">
        <v>1152686420</v>
      </c>
      <c r="B1287" t="s">
        <v>2501</v>
      </c>
      <c r="C1287">
        <v>2</v>
      </c>
      <c r="D1287" s="1">
        <v>4.5999999999999996</v>
      </c>
      <c r="E1287" s="10" t="s">
        <v>2497</v>
      </c>
      <c r="F1287" s="10" t="s">
        <v>2502</v>
      </c>
      <c r="G1287" s="10" t="s">
        <v>11</v>
      </c>
      <c r="H1287" t="s">
        <v>2314</v>
      </c>
    </row>
    <row r="1288" spans="1:8" x14ac:dyDescent="0.25">
      <c r="A1288">
        <v>1152124223</v>
      </c>
      <c r="B1288" t="s">
        <v>2503</v>
      </c>
      <c r="C1288">
        <v>1</v>
      </c>
      <c r="D1288" s="1">
        <v>5.21</v>
      </c>
      <c r="E1288" s="10" t="s">
        <v>2504</v>
      </c>
      <c r="F1288" s="10" t="s">
        <v>2505</v>
      </c>
      <c r="G1288" s="10" t="s">
        <v>48</v>
      </c>
      <c r="H1288" t="s">
        <v>12</v>
      </c>
    </row>
    <row r="1289" spans="1:8" x14ac:dyDescent="0.25">
      <c r="A1289">
        <v>1152048190</v>
      </c>
      <c r="B1289" t="s">
        <v>2506</v>
      </c>
      <c r="C1289">
        <v>4</v>
      </c>
      <c r="D1289" s="1">
        <v>7.76</v>
      </c>
      <c r="E1289" s="10" t="s">
        <v>2507</v>
      </c>
      <c r="F1289" s="10" t="s">
        <v>2508</v>
      </c>
      <c r="G1289" s="10" t="s">
        <v>11</v>
      </c>
      <c r="H1289" t="s">
        <v>12</v>
      </c>
    </row>
    <row r="1290" spans="1:8" x14ac:dyDescent="0.25">
      <c r="A1290">
        <v>1152040638</v>
      </c>
      <c r="B1290" t="s">
        <v>2509</v>
      </c>
      <c r="C1290">
        <v>1</v>
      </c>
      <c r="D1290" s="1">
        <v>7.21</v>
      </c>
      <c r="E1290" s="10" t="s">
        <v>2507</v>
      </c>
      <c r="F1290" s="10" t="s">
        <v>2510</v>
      </c>
      <c r="G1290" s="10" t="s">
        <v>48</v>
      </c>
      <c r="H1290" t="s">
        <v>12</v>
      </c>
    </row>
    <row r="1291" spans="1:8" x14ac:dyDescent="0.25">
      <c r="A1291">
        <v>1151861739</v>
      </c>
      <c r="B1291" t="s">
        <v>2511</v>
      </c>
      <c r="C1291">
        <v>3</v>
      </c>
      <c r="D1291" s="1">
        <v>10.220000000000001</v>
      </c>
      <c r="E1291" s="10" t="s">
        <v>2512</v>
      </c>
      <c r="F1291" s="10" t="s">
        <v>2513</v>
      </c>
      <c r="G1291" s="10" t="s">
        <v>11</v>
      </c>
      <c r="H1291" t="s">
        <v>12</v>
      </c>
    </row>
    <row r="1292" spans="1:8" x14ac:dyDescent="0.25">
      <c r="A1292">
        <v>1151786987</v>
      </c>
      <c r="B1292" t="s">
        <v>2514</v>
      </c>
      <c r="C1292">
        <v>2</v>
      </c>
      <c r="D1292" s="1">
        <v>7.2</v>
      </c>
      <c r="E1292" s="10" t="s">
        <v>2515</v>
      </c>
      <c r="F1292" s="10" t="s">
        <v>2516</v>
      </c>
      <c r="G1292" s="10" t="s">
        <v>11</v>
      </c>
      <c r="H1292" t="s">
        <v>12</v>
      </c>
    </row>
    <row r="1293" spans="1:8" x14ac:dyDescent="0.25">
      <c r="A1293">
        <v>1151713514</v>
      </c>
      <c r="B1293" t="s">
        <v>2517</v>
      </c>
      <c r="C1293">
        <v>1</v>
      </c>
      <c r="D1293" s="1">
        <v>7.22</v>
      </c>
      <c r="E1293" s="10" t="s">
        <v>2515</v>
      </c>
      <c r="F1293" s="10" t="s">
        <v>2518</v>
      </c>
      <c r="G1293" s="10" t="s">
        <v>11</v>
      </c>
      <c r="H1293" t="s">
        <v>12</v>
      </c>
    </row>
    <row r="1294" spans="1:8" x14ac:dyDescent="0.25">
      <c r="A1294">
        <v>1151712585</v>
      </c>
      <c r="B1294" t="s">
        <v>2514</v>
      </c>
      <c r="C1294">
        <v>1</v>
      </c>
      <c r="D1294" s="1">
        <v>21.21</v>
      </c>
      <c r="E1294" s="10" t="s">
        <v>2515</v>
      </c>
      <c r="F1294" s="10" t="s">
        <v>2516</v>
      </c>
      <c r="G1294" s="10" t="s">
        <v>11</v>
      </c>
      <c r="H1294" t="s">
        <v>12</v>
      </c>
    </row>
    <row r="1295" spans="1:8" x14ac:dyDescent="0.25">
      <c r="A1295">
        <v>1151601829</v>
      </c>
      <c r="B1295" t="s">
        <v>450</v>
      </c>
      <c r="C1295">
        <v>3</v>
      </c>
      <c r="D1295" s="1">
        <v>13.19</v>
      </c>
      <c r="E1295" s="10" t="s">
        <v>2519</v>
      </c>
      <c r="F1295" s="10" t="s">
        <v>2520</v>
      </c>
      <c r="G1295" s="10" t="s">
        <v>48</v>
      </c>
      <c r="H1295" t="s">
        <v>12</v>
      </c>
    </row>
    <row r="1296" spans="1:8" x14ac:dyDescent="0.25">
      <c r="A1296">
        <v>1151358701</v>
      </c>
      <c r="B1296" t="s">
        <v>1933</v>
      </c>
      <c r="C1296">
        <v>2</v>
      </c>
      <c r="D1296" s="1">
        <v>21.2</v>
      </c>
      <c r="E1296" s="10" t="s">
        <v>2521</v>
      </c>
      <c r="F1296" s="10" t="s">
        <v>1934</v>
      </c>
      <c r="G1296" s="10" t="s">
        <v>11</v>
      </c>
      <c r="H1296" t="s">
        <v>12</v>
      </c>
    </row>
    <row r="1297" spans="1:8" x14ac:dyDescent="0.25">
      <c r="A1297">
        <v>1151160283</v>
      </c>
      <c r="B1297" t="s">
        <v>2522</v>
      </c>
      <c r="C1297">
        <v>2</v>
      </c>
      <c r="D1297" s="1">
        <v>15.12</v>
      </c>
      <c r="E1297" s="10" t="s">
        <v>2523</v>
      </c>
      <c r="F1297" s="10" t="s">
        <v>2524</v>
      </c>
      <c r="G1297" s="10" t="s">
        <v>11</v>
      </c>
      <c r="H1297" t="s">
        <v>12</v>
      </c>
    </row>
    <row r="1298" spans="1:8" x14ac:dyDescent="0.25">
      <c r="A1298">
        <v>1151119690</v>
      </c>
      <c r="B1298" t="s">
        <v>2525</v>
      </c>
      <c r="C1298">
        <v>1</v>
      </c>
      <c r="D1298" s="1">
        <v>11.22</v>
      </c>
      <c r="E1298" s="10" t="s">
        <v>2523</v>
      </c>
      <c r="F1298" s="10" t="s">
        <v>2526</v>
      </c>
      <c r="G1298" s="10" t="s">
        <v>38</v>
      </c>
      <c r="H1298" t="s">
        <v>12</v>
      </c>
    </row>
    <row r="1299" spans="1:8" x14ac:dyDescent="0.25">
      <c r="A1299">
        <v>1151119688</v>
      </c>
      <c r="B1299" t="s">
        <v>2527</v>
      </c>
      <c r="C1299">
        <v>1</v>
      </c>
      <c r="D1299" s="1">
        <v>10.71</v>
      </c>
      <c r="E1299" s="10" t="s">
        <v>2523</v>
      </c>
      <c r="F1299" s="10" t="s">
        <v>2528</v>
      </c>
      <c r="G1299" s="10" t="s">
        <v>11</v>
      </c>
      <c r="H1299" t="s">
        <v>12</v>
      </c>
    </row>
    <row r="1300" spans="1:8" x14ac:dyDescent="0.25">
      <c r="A1300">
        <v>1151054219</v>
      </c>
      <c r="B1300" t="s">
        <v>965</v>
      </c>
      <c r="C1300">
        <v>4</v>
      </c>
      <c r="D1300" s="1">
        <v>2.2200000000000002</v>
      </c>
      <c r="E1300" s="10" t="s">
        <v>2523</v>
      </c>
      <c r="F1300" s="10" t="s">
        <v>1804</v>
      </c>
      <c r="G1300" s="10" t="s">
        <v>11</v>
      </c>
      <c r="H1300" t="s">
        <v>12</v>
      </c>
    </row>
    <row r="1301" spans="1:8" x14ac:dyDescent="0.25">
      <c r="A1301">
        <v>1151054214</v>
      </c>
      <c r="B1301" t="s">
        <v>303</v>
      </c>
      <c r="C1301">
        <v>4</v>
      </c>
      <c r="D1301" s="1">
        <v>2.2200000000000002</v>
      </c>
      <c r="E1301" s="10" t="s">
        <v>2523</v>
      </c>
      <c r="F1301" s="10" t="s">
        <v>2240</v>
      </c>
      <c r="G1301" s="10" t="s">
        <v>11</v>
      </c>
      <c r="H1301" t="s">
        <v>12</v>
      </c>
    </row>
    <row r="1302" spans="1:8" x14ac:dyDescent="0.25">
      <c r="A1302">
        <v>1151054068</v>
      </c>
      <c r="B1302" t="s">
        <v>910</v>
      </c>
      <c r="C1302">
        <v>4</v>
      </c>
      <c r="D1302" s="1">
        <v>2.1</v>
      </c>
      <c r="E1302" s="10" t="s">
        <v>2523</v>
      </c>
      <c r="F1302" s="10" t="s">
        <v>2529</v>
      </c>
      <c r="G1302" s="10" t="s">
        <v>11</v>
      </c>
      <c r="H1302" t="s">
        <v>12</v>
      </c>
    </row>
    <row r="1303" spans="1:8" x14ac:dyDescent="0.25">
      <c r="A1303">
        <v>1151054061</v>
      </c>
      <c r="B1303" t="s">
        <v>223</v>
      </c>
      <c r="C1303">
        <v>4</v>
      </c>
      <c r="D1303" s="1">
        <v>2.1</v>
      </c>
      <c r="E1303" s="10" t="s">
        <v>2523</v>
      </c>
      <c r="F1303" s="10" t="s">
        <v>2530</v>
      </c>
      <c r="G1303" s="10" t="s">
        <v>11</v>
      </c>
      <c r="H1303" t="s">
        <v>12</v>
      </c>
    </row>
    <row r="1304" spans="1:8" x14ac:dyDescent="0.25">
      <c r="A1304">
        <v>1151054044</v>
      </c>
      <c r="B1304" t="s">
        <v>35</v>
      </c>
      <c r="C1304">
        <v>4</v>
      </c>
      <c r="D1304" s="1">
        <v>2.58</v>
      </c>
      <c r="E1304" s="10" t="s">
        <v>2523</v>
      </c>
      <c r="F1304" s="10" t="s">
        <v>1715</v>
      </c>
      <c r="G1304" s="10" t="s">
        <v>11</v>
      </c>
      <c r="H1304" t="s">
        <v>12</v>
      </c>
    </row>
    <row r="1305" spans="1:8" ht="30" x14ac:dyDescent="0.25">
      <c r="A1305">
        <v>1151053911</v>
      </c>
      <c r="B1305" t="s">
        <v>8</v>
      </c>
      <c r="C1305">
        <v>8</v>
      </c>
      <c r="D1305" s="1">
        <v>0.5</v>
      </c>
      <c r="E1305" s="10" t="s">
        <v>2523</v>
      </c>
      <c r="F1305" s="10" t="s">
        <v>1604</v>
      </c>
      <c r="G1305" s="10" t="s">
        <v>38</v>
      </c>
      <c r="H1305" t="s">
        <v>12</v>
      </c>
    </row>
    <row r="1306" spans="1:8" x14ac:dyDescent="0.25">
      <c r="A1306">
        <v>1151053830</v>
      </c>
      <c r="B1306" t="s">
        <v>2531</v>
      </c>
      <c r="C1306">
        <v>2</v>
      </c>
      <c r="D1306" s="1">
        <v>1.62</v>
      </c>
      <c r="E1306" s="10" t="s">
        <v>2523</v>
      </c>
      <c r="F1306" s="10" t="s">
        <v>2532</v>
      </c>
      <c r="G1306" s="10" t="s">
        <v>11</v>
      </c>
      <c r="H1306" t="s">
        <v>12</v>
      </c>
    </row>
    <row r="1307" spans="1:8" x14ac:dyDescent="0.25">
      <c r="A1307">
        <v>1151053810</v>
      </c>
      <c r="B1307" t="s">
        <v>187</v>
      </c>
      <c r="C1307">
        <v>5</v>
      </c>
      <c r="D1307" s="1">
        <v>2.2200000000000002</v>
      </c>
      <c r="E1307" s="10" t="s">
        <v>2523</v>
      </c>
      <c r="F1307" s="10" t="s">
        <v>1710</v>
      </c>
      <c r="G1307" s="10" t="s">
        <v>11</v>
      </c>
      <c r="H1307" t="s">
        <v>12</v>
      </c>
    </row>
    <row r="1308" spans="1:8" x14ac:dyDescent="0.25">
      <c r="A1308">
        <v>1151053743</v>
      </c>
      <c r="B1308" t="s">
        <v>2533</v>
      </c>
      <c r="C1308">
        <v>6</v>
      </c>
      <c r="D1308" s="1">
        <v>2.42</v>
      </c>
      <c r="E1308" s="10" t="s">
        <v>2523</v>
      </c>
      <c r="F1308" s="10" t="s">
        <v>2534</v>
      </c>
      <c r="G1308" s="10" t="s">
        <v>11</v>
      </c>
      <c r="H1308" t="s">
        <v>12</v>
      </c>
    </row>
    <row r="1309" spans="1:8" x14ac:dyDescent="0.25">
      <c r="A1309">
        <v>1151053470</v>
      </c>
      <c r="B1309" t="s">
        <v>2535</v>
      </c>
      <c r="C1309">
        <v>4</v>
      </c>
      <c r="D1309" s="1">
        <v>2.02</v>
      </c>
      <c r="E1309" s="10" t="s">
        <v>2523</v>
      </c>
      <c r="F1309" s="10" t="s">
        <v>2536</v>
      </c>
      <c r="G1309" s="10" t="s">
        <v>11</v>
      </c>
      <c r="H1309" t="s">
        <v>12</v>
      </c>
    </row>
    <row r="1310" spans="1:8" x14ac:dyDescent="0.25">
      <c r="A1310">
        <v>1151053461</v>
      </c>
      <c r="B1310" t="s">
        <v>2537</v>
      </c>
      <c r="C1310">
        <v>4</v>
      </c>
      <c r="D1310" s="1">
        <v>2.02</v>
      </c>
      <c r="E1310" s="10" t="s">
        <v>2523</v>
      </c>
      <c r="F1310" s="10" t="s">
        <v>2538</v>
      </c>
      <c r="G1310" s="10" t="s">
        <v>11</v>
      </c>
      <c r="H1310" t="s">
        <v>12</v>
      </c>
    </row>
    <row r="1311" spans="1:8" x14ac:dyDescent="0.25">
      <c r="A1311">
        <v>1150911053</v>
      </c>
      <c r="B1311" t="s">
        <v>2539</v>
      </c>
      <c r="C1311">
        <v>1</v>
      </c>
      <c r="D1311" s="1">
        <v>1.72</v>
      </c>
      <c r="E1311" s="10" t="s">
        <v>2540</v>
      </c>
      <c r="F1311" s="10" t="s">
        <v>2541</v>
      </c>
      <c r="G1311" s="10" t="s">
        <v>48</v>
      </c>
      <c r="H1311" t="s">
        <v>12</v>
      </c>
    </row>
    <row r="1312" spans="1:8" x14ac:dyDescent="0.25">
      <c r="A1312">
        <v>1150796374</v>
      </c>
      <c r="B1312" t="s">
        <v>2542</v>
      </c>
      <c r="C1312">
        <v>1</v>
      </c>
      <c r="D1312" s="1">
        <v>21.55</v>
      </c>
      <c r="E1312" s="10" t="s">
        <v>2543</v>
      </c>
      <c r="F1312" s="10" t="s">
        <v>2544</v>
      </c>
      <c r="G1312" s="10" t="s">
        <v>11</v>
      </c>
      <c r="H1312" t="s">
        <v>12</v>
      </c>
    </row>
    <row r="1313" spans="1:8" x14ac:dyDescent="0.25">
      <c r="A1313">
        <v>1150754452</v>
      </c>
      <c r="B1313" t="s">
        <v>1433</v>
      </c>
      <c r="C1313">
        <v>1</v>
      </c>
      <c r="D1313" s="1">
        <v>35.619999999999997</v>
      </c>
      <c r="E1313" s="10" t="s">
        <v>2543</v>
      </c>
      <c r="F1313" s="10" t="s">
        <v>2545</v>
      </c>
      <c r="G1313" s="10" t="s">
        <v>11</v>
      </c>
      <c r="H1313" t="s">
        <v>12</v>
      </c>
    </row>
    <row r="1314" spans="1:8" x14ac:dyDescent="0.25">
      <c r="A1314">
        <v>1150722256</v>
      </c>
      <c r="B1314" t="s">
        <v>2546</v>
      </c>
      <c r="C1314">
        <v>3</v>
      </c>
      <c r="D1314" s="1">
        <v>43.94</v>
      </c>
      <c r="E1314" s="10" t="s">
        <v>2547</v>
      </c>
      <c r="F1314" s="10" t="s">
        <v>2548</v>
      </c>
      <c r="G1314" s="10" t="s">
        <v>11</v>
      </c>
      <c r="H1314" t="s">
        <v>12</v>
      </c>
    </row>
    <row r="1315" spans="1:8" x14ac:dyDescent="0.25">
      <c r="A1315">
        <v>1150721908</v>
      </c>
      <c r="B1315" t="s">
        <v>469</v>
      </c>
      <c r="C1315">
        <v>11</v>
      </c>
      <c r="D1315" s="1">
        <v>14.87</v>
      </c>
      <c r="E1315" s="10" t="s">
        <v>2547</v>
      </c>
      <c r="F1315" s="10" t="s">
        <v>1605</v>
      </c>
      <c r="G1315" s="10" t="s">
        <v>11</v>
      </c>
      <c r="H1315" t="s">
        <v>12</v>
      </c>
    </row>
    <row r="1316" spans="1:8" x14ac:dyDescent="0.25">
      <c r="A1316">
        <v>1150694432</v>
      </c>
      <c r="B1316" t="s">
        <v>2139</v>
      </c>
      <c r="C1316">
        <v>2</v>
      </c>
      <c r="D1316" s="1">
        <v>2.77</v>
      </c>
      <c r="E1316" s="10" t="s">
        <v>2547</v>
      </c>
      <c r="F1316" s="10" t="s">
        <v>2549</v>
      </c>
      <c r="G1316" s="10" t="s">
        <v>11</v>
      </c>
      <c r="H1316" t="s">
        <v>12</v>
      </c>
    </row>
    <row r="1317" spans="1:8" x14ac:dyDescent="0.25">
      <c r="A1317">
        <v>1150553105</v>
      </c>
      <c r="B1317" t="s">
        <v>2550</v>
      </c>
      <c r="C1317">
        <v>2</v>
      </c>
      <c r="D1317" s="1">
        <v>25.12</v>
      </c>
      <c r="E1317" s="10" t="s">
        <v>2551</v>
      </c>
      <c r="F1317" s="10" t="s">
        <v>2552</v>
      </c>
      <c r="G1317" s="10" t="s">
        <v>38</v>
      </c>
      <c r="H1317" t="s">
        <v>12</v>
      </c>
    </row>
    <row r="1318" spans="1:8" x14ac:dyDescent="0.25">
      <c r="A1318">
        <v>1149817880</v>
      </c>
      <c r="B1318" t="s">
        <v>2553</v>
      </c>
      <c r="C1318">
        <v>1</v>
      </c>
      <c r="D1318" s="1">
        <v>19.170000000000002</v>
      </c>
      <c r="E1318" s="10" t="s">
        <v>2554</v>
      </c>
      <c r="F1318" s="10" t="s">
        <v>2555</v>
      </c>
      <c r="G1318" s="10" t="s">
        <v>48</v>
      </c>
      <c r="H1318" t="s">
        <v>12</v>
      </c>
    </row>
    <row r="1319" spans="1:8" x14ac:dyDescent="0.25">
      <c r="A1319">
        <v>1149756834</v>
      </c>
      <c r="B1319" t="s">
        <v>2556</v>
      </c>
      <c r="C1319">
        <v>4</v>
      </c>
      <c r="D1319" s="1">
        <v>154.75</v>
      </c>
      <c r="E1319" s="10" t="s">
        <v>2554</v>
      </c>
      <c r="F1319" s="10" t="s">
        <v>2557</v>
      </c>
      <c r="G1319" s="10" t="s">
        <v>11</v>
      </c>
      <c r="H1319" t="s">
        <v>12</v>
      </c>
    </row>
    <row r="1320" spans="1:8" x14ac:dyDescent="0.25">
      <c r="A1320">
        <v>1149672466</v>
      </c>
      <c r="B1320" t="s">
        <v>2558</v>
      </c>
      <c r="C1320">
        <v>2</v>
      </c>
      <c r="D1320" s="1">
        <v>7.12</v>
      </c>
      <c r="E1320" s="10" t="s">
        <v>2559</v>
      </c>
      <c r="F1320" s="10" t="s">
        <v>2560</v>
      </c>
      <c r="G1320" s="10" t="s">
        <v>48</v>
      </c>
      <c r="H1320" t="s">
        <v>12</v>
      </c>
    </row>
    <row r="1321" spans="1:8" x14ac:dyDescent="0.25">
      <c r="A1321">
        <v>1149346155</v>
      </c>
      <c r="B1321" t="s">
        <v>1805</v>
      </c>
      <c r="C1321">
        <v>1</v>
      </c>
      <c r="D1321" s="1">
        <v>10.210000000000001</v>
      </c>
      <c r="E1321" s="10" t="s">
        <v>2561</v>
      </c>
      <c r="F1321" s="10" t="s">
        <v>2562</v>
      </c>
      <c r="G1321" s="10" t="s">
        <v>48</v>
      </c>
      <c r="H1321" t="s">
        <v>12</v>
      </c>
    </row>
    <row r="1322" spans="1:8" x14ac:dyDescent="0.25">
      <c r="A1322">
        <v>1149178291</v>
      </c>
      <c r="B1322" t="s">
        <v>2563</v>
      </c>
      <c r="C1322">
        <v>3</v>
      </c>
      <c r="D1322" s="1">
        <v>3.52</v>
      </c>
      <c r="E1322" s="10" t="s">
        <v>2564</v>
      </c>
      <c r="F1322" s="10" t="s">
        <v>2565</v>
      </c>
      <c r="G1322" s="10" t="s">
        <v>11</v>
      </c>
      <c r="H1322" t="s">
        <v>12</v>
      </c>
    </row>
    <row r="1323" spans="1:8" x14ac:dyDescent="0.25">
      <c r="A1323">
        <v>1149176168</v>
      </c>
      <c r="B1323" t="s">
        <v>2566</v>
      </c>
      <c r="C1323">
        <v>1</v>
      </c>
      <c r="D1323" s="1">
        <v>6.21</v>
      </c>
      <c r="E1323" s="10" t="s">
        <v>2564</v>
      </c>
      <c r="F1323" s="10" t="s">
        <v>2567</v>
      </c>
      <c r="G1323" s="10" t="s">
        <v>48</v>
      </c>
      <c r="H1323" t="s">
        <v>12</v>
      </c>
    </row>
    <row r="1324" spans="1:8" x14ac:dyDescent="0.25">
      <c r="A1324">
        <v>1149149024</v>
      </c>
      <c r="B1324" t="s">
        <v>2568</v>
      </c>
      <c r="C1324">
        <v>3</v>
      </c>
      <c r="D1324" s="1">
        <v>14.72</v>
      </c>
      <c r="E1324" s="10" t="s">
        <v>2564</v>
      </c>
      <c r="F1324" s="10" t="s">
        <v>2569</v>
      </c>
      <c r="G1324" s="10" t="s">
        <v>11</v>
      </c>
      <c r="H1324" t="s">
        <v>12</v>
      </c>
    </row>
    <row r="1325" spans="1:8" x14ac:dyDescent="0.25">
      <c r="A1325">
        <v>1149148310</v>
      </c>
      <c r="B1325" t="s">
        <v>2570</v>
      </c>
      <c r="C1325">
        <v>2</v>
      </c>
      <c r="D1325" s="1">
        <v>7.22</v>
      </c>
      <c r="E1325" s="10" t="s">
        <v>2564</v>
      </c>
      <c r="F1325" s="10" t="s">
        <v>2571</v>
      </c>
      <c r="G1325" s="10" t="s">
        <v>11</v>
      </c>
      <c r="H1325" t="s">
        <v>12</v>
      </c>
    </row>
    <row r="1326" spans="1:8" x14ac:dyDescent="0.25">
      <c r="A1326">
        <v>1149091921</v>
      </c>
      <c r="B1326" t="s">
        <v>2572</v>
      </c>
      <c r="C1326">
        <v>2</v>
      </c>
      <c r="D1326" s="1">
        <v>24.2</v>
      </c>
      <c r="E1326" s="10" t="s">
        <v>2573</v>
      </c>
      <c r="F1326" s="10" t="s">
        <v>2574</v>
      </c>
      <c r="G1326" s="10" t="s">
        <v>48</v>
      </c>
      <c r="H1326" t="s">
        <v>12</v>
      </c>
    </row>
    <row r="1327" spans="1:8" x14ac:dyDescent="0.25">
      <c r="A1327">
        <v>1148950698</v>
      </c>
      <c r="B1327" t="s">
        <v>2575</v>
      </c>
      <c r="C1327">
        <v>2</v>
      </c>
      <c r="D1327" s="1">
        <v>15.22</v>
      </c>
      <c r="E1327" s="10" t="s">
        <v>2576</v>
      </c>
      <c r="F1327" s="10" t="s">
        <v>2577</v>
      </c>
      <c r="G1327" s="10" t="s">
        <v>11</v>
      </c>
      <c r="H1327" t="s">
        <v>12</v>
      </c>
    </row>
    <row r="1328" spans="1:8" x14ac:dyDescent="0.25">
      <c r="A1328">
        <v>1148950653</v>
      </c>
      <c r="B1328" t="s">
        <v>2578</v>
      </c>
      <c r="C1328">
        <v>2</v>
      </c>
      <c r="D1328" s="1">
        <v>14.22</v>
      </c>
      <c r="E1328" s="10" t="s">
        <v>2576</v>
      </c>
      <c r="F1328" s="10" t="s">
        <v>2579</v>
      </c>
      <c r="G1328" s="10" t="s">
        <v>11</v>
      </c>
      <c r="H1328" t="s">
        <v>12</v>
      </c>
    </row>
    <row r="1329" spans="1:8" ht="30" x14ac:dyDescent="0.25">
      <c r="A1329">
        <v>1148768637</v>
      </c>
      <c r="B1329" t="s">
        <v>8</v>
      </c>
      <c r="C1329">
        <v>4</v>
      </c>
      <c r="D1329" s="1">
        <v>5.95</v>
      </c>
      <c r="E1329" s="10" t="s">
        <v>2580</v>
      </c>
      <c r="F1329" s="10" t="s">
        <v>1604</v>
      </c>
      <c r="G1329" s="10" t="s">
        <v>38</v>
      </c>
      <c r="H1329" t="s">
        <v>12</v>
      </c>
    </row>
    <row r="1330" spans="1:8" x14ac:dyDescent="0.25">
      <c r="A1330">
        <v>1148670200</v>
      </c>
      <c r="B1330" t="s">
        <v>2581</v>
      </c>
      <c r="C1330">
        <v>1</v>
      </c>
      <c r="D1330" s="1">
        <v>18.29</v>
      </c>
      <c r="E1330" s="10" t="s">
        <v>2582</v>
      </c>
      <c r="F1330" s="10" t="s">
        <v>2583</v>
      </c>
      <c r="G1330" s="10" t="s">
        <v>48</v>
      </c>
      <c r="H1330" t="s">
        <v>12</v>
      </c>
    </row>
    <row r="1331" spans="1:8" x14ac:dyDescent="0.25">
      <c r="A1331">
        <v>1148609174</v>
      </c>
      <c r="B1331" t="s">
        <v>442</v>
      </c>
      <c r="C1331">
        <v>10</v>
      </c>
      <c r="D1331" s="1">
        <v>7.87</v>
      </c>
      <c r="E1331" s="10" t="s">
        <v>2582</v>
      </c>
      <c r="F1331" s="10" t="s">
        <v>2279</v>
      </c>
      <c r="G1331" s="10" t="s">
        <v>11</v>
      </c>
      <c r="H1331" t="s">
        <v>12</v>
      </c>
    </row>
    <row r="1332" spans="1:8" x14ac:dyDescent="0.25">
      <c r="A1332">
        <v>1148522844</v>
      </c>
      <c r="B1332" t="s">
        <v>2584</v>
      </c>
      <c r="C1332">
        <v>7</v>
      </c>
      <c r="D1332" s="1">
        <v>100.57</v>
      </c>
      <c r="E1332" s="10" t="s">
        <v>2585</v>
      </c>
      <c r="F1332" s="10" t="s">
        <v>2586</v>
      </c>
      <c r="G1332" s="10" t="s">
        <v>11</v>
      </c>
      <c r="H1332" t="s">
        <v>12</v>
      </c>
    </row>
    <row r="1333" spans="1:8" x14ac:dyDescent="0.25">
      <c r="A1333">
        <v>1147741632</v>
      </c>
      <c r="B1333" t="s">
        <v>2587</v>
      </c>
      <c r="C1333">
        <v>1</v>
      </c>
      <c r="D1333" s="1">
        <v>16.170000000000002</v>
      </c>
      <c r="E1333" s="10" t="s">
        <v>2588</v>
      </c>
      <c r="F1333" s="10" t="s">
        <v>2589</v>
      </c>
      <c r="G1333" s="10" t="s">
        <v>48</v>
      </c>
      <c r="H1333" t="s">
        <v>12</v>
      </c>
    </row>
    <row r="1334" spans="1:8" x14ac:dyDescent="0.25">
      <c r="A1334">
        <v>1147461534</v>
      </c>
      <c r="B1334" t="s">
        <v>2590</v>
      </c>
      <c r="C1334">
        <v>1</v>
      </c>
      <c r="D1334" s="1">
        <v>13.21</v>
      </c>
      <c r="E1334" s="10" t="s">
        <v>2591</v>
      </c>
      <c r="F1334" s="10" t="s">
        <v>2592</v>
      </c>
      <c r="G1334" s="10" t="s">
        <v>48</v>
      </c>
      <c r="H1334" t="s">
        <v>12</v>
      </c>
    </row>
    <row r="1335" spans="1:8" x14ac:dyDescent="0.25">
      <c r="A1335">
        <v>1147461254</v>
      </c>
      <c r="B1335" t="s">
        <v>2593</v>
      </c>
      <c r="C1335">
        <v>1</v>
      </c>
      <c r="D1335" s="1">
        <v>2.02</v>
      </c>
      <c r="E1335" s="10" t="s">
        <v>2591</v>
      </c>
      <c r="F1335" s="10" t="s">
        <v>2594</v>
      </c>
      <c r="G1335" s="10" t="s">
        <v>48</v>
      </c>
      <c r="H1335" t="s">
        <v>12</v>
      </c>
    </row>
    <row r="1336" spans="1:8" x14ac:dyDescent="0.25">
      <c r="A1336">
        <v>1147434480</v>
      </c>
      <c r="B1336" t="s">
        <v>2595</v>
      </c>
      <c r="C1336">
        <v>1</v>
      </c>
      <c r="D1336" s="1">
        <v>27.25</v>
      </c>
      <c r="E1336" s="10" t="s">
        <v>2596</v>
      </c>
      <c r="F1336" s="10" t="s">
        <v>2597</v>
      </c>
      <c r="G1336" s="10" t="s">
        <v>38</v>
      </c>
      <c r="H1336" t="s">
        <v>12</v>
      </c>
    </row>
    <row r="1337" spans="1:8" x14ac:dyDescent="0.25">
      <c r="A1337">
        <v>1147368579</v>
      </c>
      <c r="B1337" t="s">
        <v>2598</v>
      </c>
      <c r="C1337">
        <v>1</v>
      </c>
      <c r="D1337" s="1">
        <v>27.64</v>
      </c>
      <c r="E1337" s="10" t="s">
        <v>2596</v>
      </c>
      <c r="F1337" s="10" t="s">
        <v>2599</v>
      </c>
      <c r="G1337" s="10" t="s">
        <v>38</v>
      </c>
      <c r="H1337" t="s">
        <v>12</v>
      </c>
    </row>
    <row r="1338" spans="1:8" x14ac:dyDescent="0.25">
      <c r="A1338">
        <v>1147185687</v>
      </c>
      <c r="B1338" t="s">
        <v>2600</v>
      </c>
      <c r="C1338">
        <v>2</v>
      </c>
      <c r="D1338" s="1">
        <v>7.62</v>
      </c>
      <c r="E1338" s="10" t="s">
        <v>2601</v>
      </c>
      <c r="F1338" s="10" t="s">
        <v>2602</v>
      </c>
      <c r="G1338" s="10" t="s">
        <v>11</v>
      </c>
      <c r="H1338" t="s">
        <v>12</v>
      </c>
    </row>
    <row r="1339" spans="1:8" x14ac:dyDescent="0.25">
      <c r="A1339">
        <v>1147180690</v>
      </c>
      <c r="B1339" t="s">
        <v>2603</v>
      </c>
      <c r="C1339">
        <v>1</v>
      </c>
      <c r="D1339" s="1">
        <v>6.22</v>
      </c>
      <c r="E1339" s="10" t="s">
        <v>2601</v>
      </c>
      <c r="F1339" s="10" t="s">
        <v>2604</v>
      </c>
      <c r="G1339" s="10" t="s">
        <v>11</v>
      </c>
      <c r="H1339" t="s">
        <v>12</v>
      </c>
    </row>
    <row r="1340" spans="1:8" x14ac:dyDescent="0.25">
      <c r="A1340">
        <v>1147180671</v>
      </c>
      <c r="B1340" t="s">
        <v>2605</v>
      </c>
      <c r="C1340">
        <v>2</v>
      </c>
      <c r="D1340" s="1">
        <v>8.27</v>
      </c>
      <c r="E1340" s="10" t="s">
        <v>2601</v>
      </c>
      <c r="F1340" s="10" t="s">
        <v>2606</v>
      </c>
      <c r="G1340" s="10" t="s">
        <v>11</v>
      </c>
      <c r="H1340" t="s">
        <v>12</v>
      </c>
    </row>
    <row r="1341" spans="1:8" x14ac:dyDescent="0.25">
      <c r="A1341">
        <v>1147134772</v>
      </c>
      <c r="B1341" t="s">
        <v>294</v>
      </c>
      <c r="C1341">
        <v>40</v>
      </c>
      <c r="D1341" s="1">
        <v>14.78</v>
      </c>
      <c r="E1341" s="10" t="s">
        <v>2601</v>
      </c>
      <c r="F1341" s="10" t="s">
        <v>1795</v>
      </c>
      <c r="G1341" s="10" t="s">
        <v>11</v>
      </c>
      <c r="H1341" t="s">
        <v>12</v>
      </c>
    </row>
    <row r="1342" spans="1:8" x14ac:dyDescent="0.25">
      <c r="A1342">
        <v>1146944509</v>
      </c>
      <c r="B1342" t="s">
        <v>2539</v>
      </c>
      <c r="C1342">
        <v>1</v>
      </c>
      <c r="D1342" s="1">
        <v>11.71</v>
      </c>
      <c r="E1342" s="10" t="s">
        <v>2607</v>
      </c>
      <c r="F1342" s="10" t="s">
        <v>2541</v>
      </c>
      <c r="G1342" s="10" t="s">
        <v>48</v>
      </c>
      <c r="H1342" t="s">
        <v>12</v>
      </c>
    </row>
    <row r="1343" spans="1:8" x14ac:dyDescent="0.25">
      <c r="A1343">
        <v>1146357444</v>
      </c>
      <c r="B1343" t="s">
        <v>2608</v>
      </c>
      <c r="C1343">
        <v>2</v>
      </c>
      <c r="D1343" s="1">
        <v>89.37</v>
      </c>
      <c r="E1343" s="10" t="s">
        <v>2609</v>
      </c>
      <c r="F1343" s="10" t="s">
        <v>2610</v>
      </c>
      <c r="G1343" s="10" t="s">
        <v>48</v>
      </c>
      <c r="H1343" t="s">
        <v>12</v>
      </c>
    </row>
    <row r="1344" spans="1:8" x14ac:dyDescent="0.25">
      <c r="A1344">
        <v>1146356065</v>
      </c>
      <c r="B1344" t="s">
        <v>2608</v>
      </c>
      <c r="C1344">
        <v>2</v>
      </c>
      <c r="D1344" s="1">
        <v>90.47</v>
      </c>
      <c r="E1344" s="10" t="s">
        <v>2609</v>
      </c>
      <c r="F1344" s="10" t="s">
        <v>2610</v>
      </c>
      <c r="G1344" s="10" t="s">
        <v>48</v>
      </c>
      <c r="H1344" t="s">
        <v>12</v>
      </c>
    </row>
    <row r="1345" spans="1:8" x14ac:dyDescent="0.25">
      <c r="A1345">
        <v>1146353591</v>
      </c>
      <c r="B1345" t="s">
        <v>2537</v>
      </c>
      <c r="C1345">
        <v>11</v>
      </c>
      <c r="D1345" s="1">
        <v>18.37</v>
      </c>
      <c r="E1345" s="10" t="s">
        <v>2609</v>
      </c>
      <c r="F1345" s="10" t="s">
        <v>2538</v>
      </c>
      <c r="G1345" s="10" t="s">
        <v>11</v>
      </c>
      <c r="H1345" t="s">
        <v>12</v>
      </c>
    </row>
    <row r="1346" spans="1:8" x14ac:dyDescent="0.25">
      <c r="A1346">
        <v>1146304491</v>
      </c>
      <c r="B1346" t="s">
        <v>1057</v>
      </c>
      <c r="C1346">
        <v>1</v>
      </c>
      <c r="D1346" s="1">
        <v>15.21</v>
      </c>
      <c r="E1346" s="10" t="s">
        <v>2611</v>
      </c>
      <c r="F1346" s="10" t="s">
        <v>2612</v>
      </c>
      <c r="G1346" s="10" t="s">
        <v>48</v>
      </c>
      <c r="H1346" t="s">
        <v>12</v>
      </c>
    </row>
    <row r="1347" spans="1:8" x14ac:dyDescent="0.25">
      <c r="A1347">
        <v>1146287863</v>
      </c>
      <c r="B1347" t="s">
        <v>2613</v>
      </c>
      <c r="C1347">
        <v>1</v>
      </c>
      <c r="D1347" s="1">
        <v>80.42</v>
      </c>
      <c r="E1347" s="10" t="s">
        <v>2611</v>
      </c>
      <c r="F1347" s="10" t="s">
        <v>2614</v>
      </c>
      <c r="G1347" s="10" t="s">
        <v>48</v>
      </c>
      <c r="H1347" t="s">
        <v>12</v>
      </c>
    </row>
    <row r="1348" spans="1:8" x14ac:dyDescent="0.25">
      <c r="A1348">
        <v>1146083641</v>
      </c>
      <c r="B1348" t="s">
        <v>2615</v>
      </c>
      <c r="C1348">
        <v>3</v>
      </c>
      <c r="D1348" s="1">
        <v>17.27</v>
      </c>
      <c r="E1348" s="10" t="s">
        <v>2616</v>
      </c>
      <c r="F1348" s="10" t="s">
        <v>2617</v>
      </c>
      <c r="G1348" s="10" t="s">
        <v>48</v>
      </c>
      <c r="H1348" t="s">
        <v>12</v>
      </c>
    </row>
    <row r="1349" spans="1:8" x14ac:dyDescent="0.25">
      <c r="A1349">
        <v>1146009928</v>
      </c>
      <c r="B1349" t="s">
        <v>294</v>
      </c>
      <c r="C1349">
        <v>58</v>
      </c>
      <c r="D1349" s="1">
        <v>27.38</v>
      </c>
      <c r="E1349" s="10" t="s">
        <v>2616</v>
      </c>
      <c r="F1349" s="10" t="s">
        <v>2618</v>
      </c>
      <c r="G1349" s="10" t="s">
        <v>11</v>
      </c>
      <c r="H1349" t="s">
        <v>12</v>
      </c>
    </row>
    <row r="1350" spans="1:8" x14ac:dyDescent="0.25">
      <c r="A1350">
        <v>1145804280</v>
      </c>
      <c r="B1350" t="s">
        <v>2619</v>
      </c>
      <c r="C1350">
        <v>1</v>
      </c>
      <c r="D1350" s="1">
        <v>1.72</v>
      </c>
      <c r="E1350" s="10" t="s">
        <v>2620</v>
      </c>
      <c r="F1350" s="10" t="s">
        <v>2621</v>
      </c>
      <c r="G1350" s="10" t="s">
        <v>48</v>
      </c>
      <c r="H1350" t="s">
        <v>12</v>
      </c>
    </row>
    <row r="1351" spans="1:8" x14ac:dyDescent="0.25">
      <c r="A1351">
        <v>1145617307</v>
      </c>
      <c r="B1351" t="s">
        <v>2622</v>
      </c>
      <c r="C1351">
        <v>1</v>
      </c>
      <c r="D1351" s="1">
        <v>1.72</v>
      </c>
      <c r="E1351" s="10" t="s">
        <v>2623</v>
      </c>
      <c r="F1351" s="10" t="s">
        <v>2624</v>
      </c>
      <c r="G1351" s="10" t="s">
        <v>11</v>
      </c>
      <c r="H1351" t="s">
        <v>12</v>
      </c>
    </row>
    <row r="1352" spans="1:8" x14ac:dyDescent="0.25">
      <c r="A1352">
        <v>1145617302</v>
      </c>
      <c r="B1352" t="s">
        <v>2625</v>
      </c>
      <c r="C1352">
        <v>1</v>
      </c>
      <c r="D1352" s="1">
        <v>1.72</v>
      </c>
      <c r="E1352" s="10" t="s">
        <v>2623</v>
      </c>
      <c r="F1352" s="10" t="s">
        <v>2626</v>
      </c>
      <c r="G1352" s="10" t="s">
        <v>11</v>
      </c>
      <c r="H1352" t="s">
        <v>12</v>
      </c>
    </row>
    <row r="1353" spans="1:8" x14ac:dyDescent="0.25">
      <c r="A1353">
        <v>1145607221</v>
      </c>
      <c r="B1353" t="s">
        <v>2627</v>
      </c>
      <c r="C1353">
        <v>2</v>
      </c>
      <c r="D1353" s="1">
        <v>3.02</v>
      </c>
      <c r="E1353" s="10" t="s">
        <v>2623</v>
      </c>
      <c r="F1353" s="10" t="s">
        <v>2628</v>
      </c>
      <c r="G1353" s="10" t="s">
        <v>11</v>
      </c>
      <c r="H1353" t="s">
        <v>12</v>
      </c>
    </row>
    <row r="1354" spans="1:8" x14ac:dyDescent="0.25">
      <c r="A1354">
        <v>1145591681</v>
      </c>
      <c r="B1354" t="s">
        <v>2629</v>
      </c>
      <c r="C1354">
        <v>4</v>
      </c>
      <c r="D1354" s="1">
        <v>16.75</v>
      </c>
      <c r="E1354" s="10" t="s">
        <v>2623</v>
      </c>
      <c r="F1354" s="10" t="s">
        <v>2630</v>
      </c>
      <c r="G1354" s="10" t="s">
        <v>11</v>
      </c>
      <c r="H1354" t="s">
        <v>12</v>
      </c>
    </row>
    <row r="1355" spans="1:8" x14ac:dyDescent="0.25">
      <c r="A1355">
        <v>1145280982</v>
      </c>
      <c r="B1355" t="s">
        <v>2631</v>
      </c>
      <c r="C1355">
        <v>1</v>
      </c>
      <c r="D1355" s="1">
        <v>12.21</v>
      </c>
      <c r="E1355" s="10" t="s">
        <v>2632</v>
      </c>
      <c r="F1355" s="10" t="s">
        <v>2633</v>
      </c>
      <c r="G1355" s="10" t="s">
        <v>48</v>
      </c>
      <c r="H1355" t="s">
        <v>12</v>
      </c>
    </row>
    <row r="1356" spans="1:8" x14ac:dyDescent="0.25">
      <c r="A1356">
        <v>1145276964</v>
      </c>
      <c r="B1356" t="s">
        <v>2634</v>
      </c>
      <c r="C1356">
        <v>1</v>
      </c>
      <c r="D1356" s="1">
        <v>4.21</v>
      </c>
      <c r="E1356" s="10" t="s">
        <v>2632</v>
      </c>
      <c r="F1356" s="10" t="s">
        <v>2635</v>
      </c>
      <c r="G1356" s="10" t="s">
        <v>48</v>
      </c>
      <c r="H1356" t="s">
        <v>12</v>
      </c>
    </row>
    <row r="1357" spans="1:8" x14ac:dyDescent="0.25">
      <c r="A1357">
        <v>1145214768</v>
      </c>
      <c r="B1357" t="s">
        <v>1705</v>
      </c>
      <c r="C1357">
        <v>1</v>
      </c>
      <c r="D1357" s="1">
        <v>16.170000000000002</v>
      </c>
      <c r="E1357" s="10" t="s">
        <v>2632</v>
      </c>
      <c r="F1357" s="10" t="s">
        <v>1960</v>
      </c>
      <c r="G1357" s="10" t="s">
        <v>11</v>
      </c>
      <c r="H1357" t="s">
        <v>12</v>
      </c>
    </row>
    <row r="1358" spans="1:8" x14ac:dyDescent="0.25">
      <c r="A1358">
        <v>1145208580</v>
      </c>
      <c r="B1358" t="s">
        <v>2636</v>
      </c>
      <c r="C1358">
        <v>1</v>
      </c>
      <c r="D1358" s="1">
        <v>15.12</v>
      </c>
      <c r="E1358" s="10" t="s">
        <v>2632</v>
      </c>
      <c r="F1358" s="10" t="s">
        <v>2637</v>
      </c>
      <c r="G1358" s="10" t="s">
        <v>48</v>
      </c>
      <c r="H1358" t="s">
        <v>12</v>
      </c>
    </row>
    <row r="1359" spans="1:8" ht="30" x14ac:dyDescent="0.25">
      <c r="A1359">
        <v>1145048347</v>
      </c>
      <c r="B1359" t="s">
        <v>8</v>
      </c>
      <c r="C1359">
        <v>4</v>
      </c>
      <c r="D1359" s="1">
        <v>9.5</v>
      </c>
      <c r="E1359" s="10" t="s">
        <v>2638</v>
      </c>
      <c r="F1359" s="10" t="s">
        <v>37</v>
      </c>
      <c r="G1359" s="10" t="s">
        <v>38</v>
      </c>
      <c r="H1359" t="s">
        <v>12</v>
      </c>
    </row>
    <row r="1360" spans="1:8" x14ac:dyDescent="0.25">
      <c r="A1360">
        <v>1145002820</v>
      </c>
      <c r="B1360" t="s">
        <v>2639</v>
      </c>
      <c r="C1360">
        <v>1</v>
      </c>
      <c r="D1360" s="1">
        <v>209.48</v>
      </c>
      <c r="E1360" s="10" t="s">
        <v>2640</v>
      </c>
      <c r="F1360" s="10" t="s">
        <v>2641</v>
      </c>
      <c r="G1360" s="10" t="s">
        <v>11</v>
      </c>
      <c r="H1360" t="s">
        <v>12</v>
      </c>
    </row>
    <row r="1361" spans="1:8" x14ac:dyDescent="0.25">
      <c r="A1361">
        <v>1144957029</v>
      </c>
      <c r="B1361" t="s">
        <v>2642</v>
      </c>
      <c r="C1361">
        <v>1</v>
      </c>
      <c r="D1361" s="1">
        <v>5.29</v>
      </c>
      <c r="E1361" s="10" t="s">
        <v>2640</v>
      </c>
      <c r="F1361" s="10" t="s">
        <v>2643</v>
      </c>
      <c r="G1361" s="10" t="s">
        <v>48</v>
      </c>
      <c r="H1361" t="s">
        <v>12</v>
      </c>
    </row>
    <row r="1362" spans="1:8" x14ac:dyDescent="0.25">
      <c r="A1362">
        <v>1144875150</v>
      </c>
      <c r="B1362" t="s">
        <v>2644</v>
      </c>
      <c r="C1362">
        <v>2</v>
      </c>
      <c r="D1362" s="1">
        <v>37.450000000000003</v>
      </c>
      <c r="E1362" s="10" t="s">
        <v>2645</v>
      </c>
      <c r="F1362" s="10" t="s">
        <v>2646</v>
      </c>
      <c r="G1362" s="10" t="s">
        <v>48</v>
      </c>
      <c r="H1362" t="s">
        <v>12</v>
      </c>
    </row>
    <row r="1363" spans="1:8" x14ac:dyDescent="0.25">
      <c r="A1363">
        <v>1144834395</v>
      </c>
      <c r="B1363" t="s">
        <v>2647</v>
      </c>
      <c r="C1363">
        <v>1</v>
      </c>
      <c r="D1363" s="1">
        <v>9.2100000000000009</v>
      </c>
      <c r="E1363" s="10" t="s">
        <v>2645</v>
      </c>
      <c r="F1363" s="10" t="s">
        <v>2648</v>
      </c>
      <c r="G1363" s="10" t="s">
        <v>48</v>
      </c>
      <c r="H1363" t="s">
        <v>12</v>
      </c>
    </row>
    <row r="1364" spans="1:8" x14ac:dyDescent="0.25">
      <c r="A1364">
        <v>1144803180</v>
      </c>
      <c r="B1364" t="s">
        <v>2649</v>
      </c>
      <c r="C1364">
        <v>10</v>
      </c>
      <c r="D1364" s="1">
        <v>46.64</v>
      </c>
      <c r="E1364" s="10" t="s">
        <v>2645</v>
      </c>
      <c r="F1364" s="10" t="s">
        <v>2650</v>
      </c>
      <c r="G1364" s="10" t="s">
        <v>11</v>
      </c>
      <c r="H1364" t="s">
        <v>12</v>
      </c>
    </row>
    <row r="1365" spans="1:8" x14ac:dyDescent="0.25">
      <c r="A1365">
        <v>1144802587</v>
      </c>
      <c r="B1365" t="s">
        <v>2651</v>
      </c>
      <c r="C1365">
        <v>1</v>
      </c>
      <c r="D1365" s="1">
        <v>17.21</v>
      </c>
      <c r="E1365" s="10" t="s">
        <v>2645</v>
      </c>
      <c r="F1365" s="10" t="s">
        <v>2652</v>
      </c>
      <c r="G1365" s="10" t="s">
        <v>48</v>
      </c>
      <c r="H1365" t="s">
        <v>12</v>
      </c>
    </row>
    <row r="1366" spans="1:8" x14ac:dyDescent="0.25">
      <c r="A1366">
        <v>1144413764</v>
      </c>
      <c r="B1366" t="s">
        <v>318</v>
      </c>
      <c r="C1366">
        <v>12</v>
      </c>
      <c r="D1366" s="1">
        <v>21.1</v>
      </c>
      <c r="E1366" s="10" t="s">
        <v>2653</v>
      </c>
      <c r="F1366" s="10" t="s">
        <v>2469</v>
      </c>
      <c r="G1366" s="10" t="s">
        <v>11</v>
      </c>
      <c r="H1366" t="s">
        <v>12</v>
      </c>
    </row>
    <row r="1367" spans="1:8" x14ac:dyDescent="0.25">
      <c r="A1367">
        <v>1144313528</v>
      </c>
      <c r="B1367" t="s">
        <v>2654</v>
      </c>
      <c r="C1367">
        <v>1</v>
      </c>
      <c r="D1367" s="1">
        <v>12.29</v>
      </c>
      <c r="E1367" s="10" t="s">
        <v>2653</v>
      </c>
      <c r="F1367" s="10" t="s">
        <v>2655</v>
      </c>
      <c r="G1367" s="10" t="s">
        <v>48</v>
      </c>
      <c r="H1367" t="s">
        <v>12</v>
      </c>
    </row>
    <row r="1368" spans="1:8" x14ac:dyDescent="0.25">
      <c r="A1368">
        <v>1144228930</v>
      </c>
      <c r="B1368" t="s">
        <v>2656</v>
      </c>
      <c r="C1368">
        <v>1</v>
      </c>
      <c r="D1368" s="1">
        <v>9.2100000000000009</v>
      </c>
      <c r="E1368" s="10" t="s">
        <v>2657</v>
      </c>
      <c r="F1368" s="10" t="s">
        <v>2658</v>
      </c>
      <c r="G1368" s="10" t="s">
        <v>48</v>
      </c>
      <c r="H1368" t="s">
        <v>12</v>
      </c>
    </row>
    <row r="1369" spans="1:8" x14ac:dyDescent="0.25">
      <c r="A1369">
        <v>1143914908</v>
      </c>
      <c r="B1369" t="s">
        <v>340</v>
      </c>
      <c r="C1369">
        <v>5</v>
      </c>
      <c r="D1369" s="1">
        <v>46.33</v>
      </c>
      <c r="E1369" s="10" t="s">
        <v>2659</v>
      </c>
      <c r="F1369" s="10" t="s">
        <v>2660</v>
      </c>
      <c r="G1369" s="10" t="s">
        <v>11</v>
      </c>
      <c r="H1369" t="s">
        <v>12</v>
      </c>
    </row>
    <row r="1370" spans="1:8" x14ac:dyDescent="0.25">
      <c r="A1370">
        <v>1143910475</v>
      </c>
      <c r="B1370" t="s">
        <v>294</v>
      </c>
      <c r="C1370">
        <v>37</v>
      </c>
      <c r="D1370" s="1">
        <v>15.21</v>
      </c>
      <c r="E1370" s="10" t="s">
        <v>2659</v>
      </c>
      <c r="F1370" s="10" t="s">
        <v>1795</v>
      </c>
      <c r="G1370" s="10" t="s">
        <v>11</v>
      </c>
      <c r="H1370" t="s">
        <v>12</v>
      </c>
    </row>
    <row r="1371" spans="1:8" x14ac:dyDescent="0.25">
      <c r="A1371">
        <v>1143738321</v>
      </c>
      <c r="B1371" t="s">
        <v>469</v>
      </c>
      <c r="C1371">
        <v>5</v>
      </c>
      <c r="D1371" s="1">
        <v>14.17</v>
      </c>
      <c r="E1371" s="10" t="s">
        <v>2661</v>
      </c>
      <c r="F1371" s="10" t="s">
        <v>1605</v>
      </c>
      <c r="G1371" s="10" t="s">
        <v>11</v>
      </c>
      <c r="H1371" t="s">
        <v>12</v>
      </c>
    </row>
    <row r="1372" spans="1:8" x14ac:dyDescent="0.25">
      <c r="A1372">
        <v>1143729431</v>
      </c>
      <c r="B1372" t="s">
        <v>2470</v>
      </c>
      <c r="C1372">
        <v>2</v>
      </c>
      <c r="D1372" s="1">
        <v>46.88</v>
      </c>
      <c r="E1372" s="10" t="s">
        <v>2661</v>
      </c>
      <c r="F1372" s="10" t="s">
        <v>2471</v>
      </c>
      <c r="G1372" s="10" t="s">
        <v>11</v>
      </c>
      <c r="H1372" t="s">
        <v>12</v>
      </c>
    </row>
    <row r="1373" spans="1:8" x14ac:dyDescent="0.25">
      <c r="A1373">
        <v>1143673463</v>
      </c>
      <c r="B1373" t="s">
        <v>2662</v>
      </c>
      <c r="C1373">
        <v>2</v>
      </c>
      <c r="D1373" s="1">
        <v>21.5</v>
      </c>
      <c r="E1373" s="10" t="s">
        <v>2661</v>
      </c>
      <c r="F1373" s="10" t="s">
        <v>2663</v>
      </c>
      <c r="G1373" s="10" t="s">
        <v>48</v>
      </c>
      <c r="H1373" t="s">
        <v>12</v>
      </c>
    </row>
    <row r="1374" spans="1:8" x14ac:dyDescent="0.25">
      <c r="A1374">
        <v>1143489086</v>
      </c>
      <c r="B1374" t="s">
        <v>2664</v>
      </c>
      <c r="C1374">
        <v>2</v>
      </c>
      <c r="D1374" s="1">
        <v>21.22</v>
      </c>
      <c r="E1374" s="10" t="s">
        <v>2665</v>
      </c>
      <c r="F1374" s="10" t="s">
        <v>2666</v>
      </c>
      <c r="G1374" s="10" t="s">
        <v>11</v>
      </c>
      <c r="H1374" t="s">
        <v>12</v>
      </c>
    </row>
    <row r="1375" spans="1:8" x14ac:dyDescent="0.25">
      <c r="A1375">
        <v>1143393647</v>
      </c>
      <c r="B1375" t="s">
        <v>2667</v>
      </c>
      <c r="C1375">
        <v>7</v>
      </c>
      <c r="D1375" s="1">
        <v>44.86</v>
      </c>
      <c r="E1375" s="10" t="s">
        <v>2668</v>
      </c>
      <c r="F1375" s="10" t="s">
        <v>2669</v>
      </c>
      <c r="G1375" s="10" t="s">
        <v>11</v>
      </c>
      <c r="H1375" t="s">
        <v>12</v>
      </c>
    </row>
    <row r="1376" spans="1:8" x14ac:dyDescent="0.25">
      <c r="A1376">
        <v>1143358804</v>
      </c>
      <c r="B1376" t="s">
        <v>2670</v>
      </c>
      <c r="C1376">
        <v>1</v>
      </c>
      <c r="D1376" s="1">
        <v>13.21</v>
      </c>
      <c r="E1376" s="10" t="s">
        <v>2671</v>
      </c>
      <c r="F1376" s="10" t="s">
        <v>2672</v>
      </c>
      <c r="G1376" s="10" t="s">
        <v>48</v>
      </c>
      <c r="H1376" t="s">
        <v>12</v>
      </c>
    </row>
    <row r="1377" spans="1:8" x14ac:dyDescent="0.25">
      <c r="A1377">
        <v>1143352743</v>
      </c>
      <c r="B1377" t="s">
        <v>2673</v>
      </c>
      <c r="C1377">
        <v>2</v>
      </c>
      <c r="D1377" s="1">
        <v>1.4</v>
      </c>
      <c r="E1377" s="10" t="s">
        <v>2671</v>
      </c>
      <c r="F1377" s="10" t="s">
        <v>2674</v>
      </c>
      <c r="G1377" s="10" t="s">
        <v>48</v>
      </c>
      <c r="H1377" t="s">
        <v>2314</v>
      </c>
    </row>
    <row r="1378" spans="1:8" x14ac:dyDescent="0.25">
      <c r="A1378">
        <v>1143280006</v>
      </c>
      <c r="B1378" t="s">
        <v>2675</v>
      </c>
      <c r="C1378">
        <v>2</v>
      </c>
      <c r="D1378" s="1">
        <v>21.22</v>
      </c>
      <c r="E1378" s="10" t="s">
        <v>2671</v>
      </c>
      <c r="F1378" s="10" t="s">
        <v>2676</v>
      </c>
      <c r="G1378" s="10" t="s">
        <v>11</v>
      </c>
      <c r="H1378" t="s">
        <v>12</v>
      </c>
    </row>
    <row r="1379" spans="1:8" x14ac:dyDescent="0.25">
      <c r="A1379">
        <v>1142998778</v>
      </c>
      <c r="B1379" t="s">
        <v>2677</v>
      </c>
      <c r="C1379">
        <v>2</v>
      </c>
      <c r="D1379" s="1">
        <v>19.11</v>
      </c>
      <c r="E1379" s="10" t="s">
        <v>2678</v>
      </c>
      <c r="F1379" s="10" t="s">
        <v>2679</v>
      </c>
      <c r="G1379" s="10" t="s">
        <v>48</v>
      </c>
      <c r="H1379" t="s">
        <v>12</v>
      </c>
    </row>
    <row r="1380" spans="1:8" ht="30" x14ac:dyDescent="0.25">
      <c r="A1380">
        <v>1142970152</v>
      </c>
      <c r="B1380" t="s">
        <v>8</v>
      </c>
      <c r="C1380">
        <v>4</v>
      </c>
      <c r="D1380" s="1">
        <v>17.8</v>
      </c>
      <c r="E1380" s="10" t="s">
        <v>2678</v>
      </c>
      <c r="F1380" s="10" t="s">
        <v>37</v>
      </c>
      <c r="G1380" s="10" t="s">
        <v>38</v>
      </c>
      <c r="H1380" t="s">
        <v>12</v>
      </c>
    </row>
    <row r="1381" spans="1:8" x14ac:dyDescent="0.25">
      <c r="A1381">
        <v>1142934950</v>
      </c>
      <c r="B1381" t="s">
        <v>2680</v>
      </c>
      <c r="C1381">
        <v>1</v>
      </c>
      <c r="D1381" s="1">
        <v>15.22</v>
      </c>
      <c r="E1381" s="10" t="s">
        <v>2678</v>
      </c>
      <c r="F1381" s="10" t="s">
        <v>2681</v>
      </c>
      <c r="G1381" s="10" t="s">
        <v>11</v>
      </c>
      <c r="H1381" t="s">
        <v>12</v>
      </c>
    </row>
    <row r="1382" spans="1:8" x14ac:dyDescent="0.25">
      <c r="A1382">
        <v>1142836065</v>
      </c>
      <c r="B1382" t="s">
        <v>882</v>
      </c>
      <c r="C1382">
        <v>4</v>
      </c>
      <c r="D1382" s="1">
        <v>11.18</v>
      </c>
      <c r="E1382" s="10" t="s">
        <v>2682</v>
      </c>
      <c r="F1382" s="10" t="s">
        <v>2683</v>
      </c>
      <c r="G1382" s="10" t="s">
        <v>11</v>
      </c>
      <c r="H1382" t="s">
        <v>12</v>
      </c>
    </row>
    <row r="1383" spans="1:8" x14ac:dyDescent="0.25">
      <c r="A1383">
        <v>1142692836</v>
      </c>
      <c r="B1383" t="s">
        <v>469</v>
      </c>
      <c r="C1383">
        <v>14</v>
      </c>
      <c r="D1383" s="1">
        <v>17.690000000000001</v>
      </c>
      <c r="E1383" s="10" t="s">
        <v>2684</v>
      </c>
      <c r="F1383" s="10" t="s">
        <v>1605</v>
      </c>
      <c r="G1383" s="10" t="s">
        <v>11</v>
      </c>
      <c r="H1383" t="s">
        <v>12</v>
      </c>
    </row>
    <row r="1384" spans="1:8" x14ac:dyDescent="0.25">
      <c r="A1384">
        <v>1142560986</v>
      </c>
      <c r="B1384" t="s">
        <v>2685</v>
      </c>
      <c r="C1384">
        <v>2</v>
      </c>
      <c r="D1384" s="1">
        <v>33.61</v>
      </c>
      <c r="E1384" s="10" t="s">
        <v>2686</v>
      </c>
      <c r="F1384" s="10" t="s">
        <v>2687</v>
      </c>
      <c r="G1384" s="10" t="s">
        <v>11</v>
      </c>
      <c r="H1384" t="s">
        <v>12</v>
      </c>
    </row>
    <row r="1385" spans="1:8" x14ac:dyDescent="0.25">
      <c r="A1385">
        <v>1142556696</v>
      </c>
      <c r="B1385" t="s">
        <v>2688</v>
      </c>
      <c r="C1385">
        <v>5</v>
      </c>
      <c r="D1385" s="1">
        <v>106.14</v>
      </c>
      <c r="E1385" s="10" t="s">
        <v>2686</v>
      </c>
      <c r="F1385" s="10" t="s">
        <v>2689</v>
      </c>
      <c r="G1385" s="10" t="s">
        <v>11</v>
      </c>
      <c r="H1385" t="s">
        <v>12</v>
      </c>
    </row>
    <row r="1386" spans="1:8" x14ac:dyDescent="0.25">
      <c r="A1386">
        <v>1141726253</v>
      </c>
      <c r="B1386" t="s">
        <v>2690</v>
      </c>
      <c r="C1386">
        <v>1</v>
      </c>
      <c r="D1386" s="1">
        <v>2.46</v>
      </c>
      <c r="E1386" s="10" t="s">
        <v>2691</v>
      </c>
      <c r="F1386" s="10" t="s">
        <v>2692</v>
      </c>
      <c r="G1386" s="10" t="s">
        <v>48</v>
      </c>
      <c r="H1386" t="s">
        <v>2314</v>
      </c>
    </row>
    <row r="1387" spans="1:8" x14ac:dyDescent="0.25">
      <c r="A1387">
        <v>1141272630</v>
      </c>
      <c r="B1387" t="s">
        <v>2693</v>
      </c>
      <c r="C1387">
        <v>2</v>
      </c>
      <c r="D1387" s="1">
        <v>11.2</v>
      </c>
      <c r="E1387" s="10" t="s">
        <v>2694</v>
      </c>
      <c r="F1387" s="10" t="s">
        <v>2695</v>
      </c>
      <c r="G1387" s="10" t="s">
        <v>11</v>
      </c>
      <c r="H1387" t="s">
        <v>12</v>
      </c>
    </row>
    <row r="1388" spans="1:8" x14ac:dyDescent="0.25">
      <c r="A1388">
        <v>1141270423</v>
      </c>
      <c r="B1388" t="s">
        <v>2696</v>
      </c>
      <c r="C1388">
        <v>1</v>
      </c>
      <c r="D1388" s="1">
        <v>7.71</v>
      </c>
      <c r="E1388" s="10" t="s">
        <v>2694</v>
      </c>
      <c r="F1388" s="10" t="s">
        <v>2697</v>
      </c>
      <c r="G1388" s="10" t="s">
        <v>11</v>
      </c>
      <c r="H1388" t="s">
        <v>12</v>
      </c>
    </row>
    <row r="1389" spans="1:8" x14ac:dyDescent="0.25">
      <c r="A1389">
        <v>1141179035</v>
      </c>
      <c r="B1389" t="s">
        <v>1288</v>
      </c>
      <c r="C1389">
        <v>1</v>
      </c>
      <c r="D1389" s="1">
        <v>3.74</v>
      </c>
      <c r="E1389" s="10" t="s">
        <v>2694</v>
      </c>
      <c r="F1389" s="10" t="s">
        <v>2698</v>
      </c>
      <c r="G1389" s="10" t="s">
        <v>11</v>
      </c>
      <c r="H1389" t="s">
        <v>12</v>
      </c>
    </row>
    <row r="1390" spans="1:8" x14ac:dyDescent="0.25">
      <c r="A1390">
        <v>1141146578</v>
      </c>
      <c r="B1390" t="s">
        <v>1278</v>
      </c>
      <c r="C1390">
        <v>6</v>
      </c>
      <c r="D1390" s="1">
        <v>15.67</v>
      </c>
      <c r="E1390" s="10" t="s">
        <v>2694</v>
      </c>
      <c r="F1390" s="10" t="s">
        <v>1712</v>
      </c>
      <c r="G1390" s="10" t="s">
        <v>11</v>
      </c>
      <c r="H1390" t="s">
        <v>12</v>
      </c>
    </row>
    <row r="1391" spans="1:8" x14ac:dyDescent="0.25">
      <c r="A1391">
        <v>1141134230</v>
      </c>
      <c r="B1391" t="s">
        <v>2699</v>
      </c>
      <c r="C1391">
        <v>5</v>
      </c>
      <c r="D1391" s="1">
        <v>23.64</v>
      </c>
      <c r="E1391" s="10" t="s">
        <v>2700</v>
      </c>
      <c r="F1391" s="10" t="s">
        <v>2701</v>
      </c>
      <c r="G1391" s="10" t="s">
        <v>11</v>
      </c>
      <c r="H1391" t="s">
        <v>12</v>
      </c>
    </row>
    <row r="1392" spans="1:8" x14ac:dyDescent="0.25">
      <c r="A1392">
        <v>1140693847</v>
      </c>
      <c r="B1392" t="s">
        <v>2702</v>
      </c>
      <c r="C1392">
        <v>1</v>
      </c>
      <c r="D1392" s="1">
        <v>9.2200000000000006</v>
      </c>
      <c r="E1392" s="10" t="s">
        <v>2703</v>
      </c>
      <c r="F1392" s="10" t="s">
        <v>2704</v>
      </c>
      <c r="G1392" s="10" t="s">
        <v>11</v>
      </c>
      <c r="H1392" t="s">
        <v>12</v>
      </c>
    </row>
    <row r="1393" spans="1:8" x14ac:dyDescent="0.25">
      <c r="A1393">
        <v>1140693498</v>
      </c>
      <c r="B1393" t="s">
        <v>2705</v>
      </c>
      <c r="C1393">
        <v>1</v>
      </c>
      <c r="D1393" s="1">
        <v>13.71</v>
      </c>
      <c r="E1393" s="10" t="s">
        <v>2703</v>
      </c>
      <c r="F1393" s="10" t="s">
        <v>2706</v>
      </c>
      <c r="G1393" s="10" t="s">
        <v>11</v>
      </c>
      <c r="H1393" t="s">
        <v>12</v>
      </c>
    </row>
    <row r="1394" spans="1:8" x14ac:dyDescent="0.25">
      <c r="A1394">
        <v>1140644791</v>
      </c>
      <c r="B1394" t="s">
        <v>2707</v>
      </c>
      <c r="C1394">
        <v>1</v>
      </c>
      <c r="D1394" s="1">
        <v>48.85</v>
      </c>
      <c r="E1394" s="10" t="s">
        <v>2708</v>
      </c>
      <c r="F1394" s="10" t="s">
        <v>2709</v>
      </c>
      <c r="G1394" s="10" t="s">
        <v>11</v>
      </c>
      <c r="H1394" t="s">
        <v>12</v>
      </c>
    </row>
    <row r="1395" spans="1:8" x14ac:dyDescent="0.25">
      <c r="A1395">
        <v>1140297528</v>
      </c>
      <c r="B1395" t="s">
        <v>2710</v>
      </c>
      <c r="C1395">
        <v>4</v>
      </c>
      <c r="D1395" s="1">
        <v>1.42</v>
      </c>
      <c r="E1395" s="10" t="s">
        <v>2711</v>
      </c>
      <c r="F1395" s="10" t="s">
        <v>2712</v>
      </c>
      <c r="G1395" s="10" t="s">
        <v>48</v>
      </c>
      <c r="H1395" t="s">
        <v>2314</v>
      </c>
    </row>
    <row r="1396" spans="1:8" x14ac:dyDescent="0.25">
      <c r="A1396">
        <v>1139362216</v>
      </c>
      <c r="B1396" t="s">
        <v>294</v>
      </c>
      <c r="C1396">
        <v>10</v>
      </c>
      <c r="D1396" s="1">
        <v>7.82</v>
      </c>
      <c r="E1396" s="10" t="s">
        <v>2713</v>
      </c>
      <c r="F1396" s="10" t="s">
        <v>2714</v>
      </c>
      <c r="G1396" s="10" t="s">
        <v>11</v>
      </c>
      <c r="H1396" t="s">
        <v>12</v>
      </c>
    </row>
    <row r="1397" spans="1:8" x14ac:dyDescent="0.25">
      <c r="A1397">
        <v>1139327696</v>
      </c>
      <c r="B1397" t="s">
        <v>237</v>
      </c>
      <c r="C1397">
        <v>7</v>
      </c>
      <c r="D1397" s="1">
        <v>19.73</v>
      </c>
      <c r="E1397" s="10" t="s">
        <v>2713</v>
      </c>
      <c r="F1397" s="10" t="s">
        <v>2715</v>
      </c>
      <c r="G1397" s="10" t="s">
        <v>11</v>
      </c>
      <c r="H1397" t="s">
        <v>12</v>
      </c>
    </row>
    <row r="1398" spans="1:8" x14ac:dyDescent="0.25">
      <c r="A1398">
        <v>1139275440</v>
      </c>
      <c r="B1398" t="s">
        <v>1148</v>
      </c>
      <c r="C1398">
        <v>1</v>
      </c>
      <c r="D1398" s="1">
        <v>13.13</v>
      </c>
      <c r="E1398" s="10" t="s">
        <v>2716</v>
      </c>
      <c r="F1398" s="10" t="s">
        <v>2717</v>
      </c>
      <c r="G1398" s="10" t="s">
        <v>11</v>
      </c>
      <c r="H1398" t="s">
        <v>12</v>
      </c>
    </row>
    <row r="1399" spans="1:8" x14ac:dyDescent="0.25">
      <c r="A1399">
        <v>1139260024</v>
      </c>
      <c r="B1399" t="s">
        <v>318</v>
      </c>
      <c r="C1399">
        <v>16</v>
      </c>
      <c r="D1399" s="1">
        <v>35.93</v>
      </c>
      <c r="E1399" s="10" t="s">
        <v>2716</v>
      </c>
      <c r="F1399" s="10" t="s">
        <v>2718</v>
      </c>
      <c r="G1399" s="10" t="s">
        <v>11</v>
      </c>
      <c r="H1399" t="s">
        <v>12</v>
      </c>
    </row>
    <row r="1400" spans="1:8" x14ac:dyDescent="0.25">
      <c r="A1400">
        <v>1139244084</v>
      </c>
      <c r="B1400" t="s">
        <v>1745</v>
      </c>
      <c r="C1400">
        <v>2</v>
      </c>
      <c r="D1400" s="1">
        <v>29.4</v>
      </c>
      <c r="E1400" s="10" t="s">
        <v>2716</v>
      </c>
      <c r="F1400" s="10" t="s">
        <v>2719</v>
      </c>
      <c r="G1400" s="10" t="s">
        <v>11</v>
      </c>
      <c r="H1400" t="s">
        <v>12</v>
      </c>
    </row>
    <row r="1401" spans="1:8" x14ac:dyDescent="0.25">
      <c r="A1401">
        <v>1139241260</v>
      </c>
      <c r="B1401" t="s">
        <v>223</v>
      </c>
      <c r="C1401">
        <v>4</v>
      </c>
      <c r="D1401" s="1">
        <v>39.53</v>
      </c>
      <c r="E1401" s="10" t="s">
        <v>2716</v>
      </c>
      <c r="F1401" s="10" t="s">
        <v>2720</v>
      </c>
      <c r="G1401" s="10" t="s">
        <v>11</v>
      </c>
      <c r="H1401" t="s">
        <v>12</v>
      </c>
    </row>
    <row r="1402" spans="1:8" x14ac:dyDescent="0.25">
      <c r="A1402">
        <v>1139240939</v>
      </c>
      <c r="B1402" t="s">
        <v>882</v>
      </c>
      <c r="C1402">
        <v>4</v>
      </c>
      <c r="D1402" s="1">
        <v>82</v>
      </c>
      <c r="E1402" s="10" t="s">
        <v>2716</v>
      </c>
      <c r="F1402" s="10" t="s">
        <v>2721</v>
      </c>
      <c r="G1402" s="10" t="s">
        <v>11</v>
      </c>
      <c r="H1402" t="s">
        <v>12</v>
      </c>
    </row>
    <row r="1403" spans="1:8" x14ac:dyDescent="0.25">
      <c r="A1403">
        <v>1139234090</v>
      </c>
      <c r="B1403" t="s">
        <v>2722</v>
      </c>
      <c r="C1403">
        <v>9</v>
      </c>
      <c r="D1403" s="1">
        <v>91.84</v>
      </c>
      <c r="E1403" s="10" t="s">
        <v>2716</v>
      </c>
      <c r="F1403" s="10" t="s">
        <v>2723</v>
      </c>
      <c r="G1403" s="10" t="s">
        <v>11</v>
      </c>
      <c r="H1403" t="s">
        <v>12</v>
      </c>
    </row>
    <row r="1404" spans="1:8" x14ac:dyDescent="0.25">
      <c r="A1404">
        <v>1139146401</v>
      </c>
      <c r="B1404" t="s">
        <v>2724</v>
      </c>
      <c r="C1404">
        <v>2</v>
      </c>
      <c r="D1404" s="1">
        <v>25.89</v>
      </c>
      <c r="E1404" s="10" t="s">
        <v>2725</v>
      </c>
      <c r="F1404" s="10" t="s">
        <v>2726</v>
      </c>
      <c r="G1404" s="10" t="s">
        <v>11</v>
      </c>
      <c r="H1404" t="s">
        <v>2314</v>
      </c>
    </row>
    <row r="1405" spans="1:8" x14ac:dyDescent="0.25">
      <c r="A1405">
        <v>1139146022</v>
      </c>
      <c r="B1405" t="s">
        <v>2727</v>
      </c>
      <c r="C1405">
        <v>1</v>
      </c>
      <c r="D1405" s="1">
        <v>21.87</v>
      </c>
      <c r="E1405" s="10" t="s">
        <v>2725</v>
      </c>
      <c r="F1405" s="10" t="s">
        <v>2728</v>
      </c>
      <c r="G1405" s="10" t="s">
        <v>11</v>
      </c>
      <c r="H1405" t="s">
        <v>2314</v>
      </c>
    </row>
    <row r="1406" spans="1:8" x14ac:dyDescent="0.25">
      <c r="A1406">
        <v>1139144749</v>
      </c>
      <c r="B1406" t="s">
        <v>2729</v>
      </c>
      <c r="C1406">
        <v>4</v>
      </c>
      <c r="D1406" s="1">
        <v>5.78</v>
      </c>
      <c r="E1406" s="10" t="s">
        <v>2725</v>
      </c>
      <c r="F1406" s="10" t="s">
        <v>2730</v>
      </c>
      <c r="G1406" s="10" t="s">
        <v>11</v>
      </c>
      <c r="H1406" t="s">
        <v>2314</v>
      </c>
    </row>
    <row r="1407" spans="1:8" x14ac:dyDescent="0.25">
      <c r="A1407">
        <v>1139144443</v>
      </c>
      <c r="B1407" t="s">
        <v>2731</v>
      </c>
      <c r="C1407">
        <v>11</v>
      </c>
      <c r="D1407" s="1">
        <v>14.89</v>
      </c>
      <c r="E1407" s="10" t="s">
        <v>2725</v>
      </c>
      <c r="F1407" s="10" t="s">
        <v>2732</v>
      </c>
      <c r="G1407" s="10" t="s">
        <v>11</v>
      </c>
      <c r="H1407" t="s">
        <v>2314</v>
      </c>
    </row>
    <row r="1408" spans="1:8" x14ac:dyDescent="0.25">
      <c r="A1408">
        <v>1139144394</v>
      </c>
      <c r="B1408" t="s">
        <v>2733</v>
      </c>
      <c r="C1408">
        <v>102</v>
      </c>
      <c r="D1408" s="1">
        <v>27.74</v>
      </c>
      <c r="E1408" s="10" t="s">
        <v>2725</v>
      </c>
      <c r="F1408" s="10" t="s">
        <v>2734</v>
      </c>
      <c r="G1408" s="10" t="s">
        <v>11</v>
      </c>
      <c r="H1408" t="s">
        <v>266</v>
      </c>
    </row>
    <row r="1409" spans="1:8" x14ac:dyDescent="0.25">
      <c r="A1409">
        <v>1139143756</v>
      </c>
      <c r="B1409" t="s">
        <v>2735</v>
      </c>
      <c r="C1409">
        <v>13</v>
      </c>
      <c r="D1409" s="1">
        <v>63.72</v>
      </c>
      <c r="E1409" s="10" t="s">
        <v>2725</v>
      </c>
      <c r="F1409" s="10" t="s">
        <v>2736</v>
      </c>
      <c r="G1409" s="10" t="s">
        <v>11</v>
      </c>
      <c r="H1409" t="s">
        <v>2314</v>
      </c>
    </row>
    <row r="1410" spans="1:8" ht="30" x14ac:dyDescent="0.25">
      <c r="A1410">
        <v>1139136931</v>
      </c>
      <c r="B1410" t="s">
        <v>8</v>
      </c>
      <c r="C1410">
        <v>17</v>
      </c>
      <c r="D1410" s="1">
        <v>16.29</v>
      </c>
      <c r="E1410" s="10" t="s">
        <v>2725</v>
      </c>
      <c r="F1410" s="10" t="s">
        <v>37</v>
      </c>
      <c r="G1410" s="10" t="s">
        <v>38</v>
      </c>
      <c r="H1410" t="s">
        <v>12</v>
      </c>
    </row>
    <row r="1411" spans="1:8" x14ac:dyDescent="0.25">
      <c r="A1411">
        <v>1138956630</v>
      </c>
      <c r="B1411" t="s">
        <v>2737</v>
      </c>
      <c r="C1411">
        <v>6</v>
      </c>
      <c r="D1411" s="1">
        <v>1.98</v>
      </c>
      <c r="E1411" s="10" t="s">
        <v>2738</v>
      </c>
      <c r="F1411" s="10" t="s">
        <v>2739</v>
      </c>
      <c r="G1411" s="10" t="s">
        <v>48</v>
      </c>
      <c r="H1411" t="s">
        <v>2314</v>
      </c>
    </row>
    <row r="1412" spans="1:8" x14ac:dyDescent="0.25">
      <c r="A1412">
        <v>1138813801</v>
      </c>
      <c r="B1412" t="s">
        <v>1911</v>
      </c>
      <c r="C1412">
        <v>4</v>
      </c>
      <c r="D1412" s="1">
        <v>32.78</v>
      </c>
      <c r="E1412" s="10" t="s">
        <v>2740</v>
      </c>
      <c r="F1412" s="10" t="s">
        <v>2741</v>
      </c>
      <c r="G1412" s="10" t="s">
        <v>11</v>
      </c>
      <c r="H1412" t="s">
        <v>12</v>
      </c>
    </row>
    <row r="1413" spans="1:8" x14ac:dyDescent="0.25">
      <c r="A1413">
        <v>1138813507</v>
      </c>
      <c r="B1413" t="s">
        <v>1682</v>
      </c>
      <c r="C1413">
        <v>1</v>
      </c>
      <c r="D1413" s="1">
        <v>12.93</v>
      </c>
      <c r="E1413" s="10" t="s">
        <v>2740</v>
      </c>
      <c r="F1413" s="10" t="s">
        <v>2742</v>
      </c>
      <c r="G1413" s="10" t="s">
        <v>11</v>
      </c>
      <c r="H1413" t="s">
        <v>12</v>
      </c>
    </row>
    <row r="1414" spans="1:8" x14ac:dyDescent="0.25">
      <c r="A1414">
        <v>1138674465</v>
      </c>
      <c r="B1414" t="s">
        <v>2743</v>
      </c>
      <c r="C1414">
        <v>4</v>
      </c>
      <c r="D1414" s="1">
        <v>7.18</v>
      </c>
      <c r="E1414" s="10" t="s">
        <v>2744</v>
      </c>
      <c r="F1414" s="10" t="s">
        <v>2745</v>
      </c>
      <c r="G1414" s="10" t="s">
        <v>11</v>
      </c>
      <c r="H1414" t="s">
        <v>12</v>
      </c>
    </row>
    <row r="1415" spans="1:8" x14ac:dyDescent="0.25">
      <c r="A1415">
        <v>1138674136</v>
      </c>
      <c r="B1415" t="s">
        <v>1455</v>
      </c>
      <c r="C1415">
        <v>12</v>
      </c>
      <c r="D1415" s="1">
        <v>55.26</v>
      </c>
      <c r="E1415" s="10" t="s">
        <v>2744</v>
      </c>
      <c r="F1415" s="10" t="s">
        <v>2746</v>
      </c>
      <c r="G1415" s="10" t="s">
        <v>11</v>
      </c>
      <c r="H1415" t="s">
        <v>12</v>
      </c>
    </row>
    <row r="1416" spans="1:8" x14ac:dyDescent="0.25">
      <c r="A1416">
        <v>1138668475</v>
      </c>
      <c r="B1416" t="s">
        <v>2747</v>
      </c>
      <c r="C1416">
        <v>2</v>
      </c>
      <c r="D1416" s="1">
        <v>11.68</v>
      </c>
      <c r="E1416" s="10" t="s">
        <v>2744</v>
      </c>
      <c r="F1416" s="10" t="s">
        <v>2748</v>
      </c>
      <c r="G1416" s="10" t="s">
        <v>11</v>
      </c>
      <c r="H1416" t="s">
        <v>12</v>
      </c>
    </row>
    <row r="1417" spans="1:8" x14ac:dyDescent="0.25">
      <c r="A1417">
        <v>1138668474</v>
      </c>
      <c r="B1417" t="s">
        <v>2644</v>
      </c>
      <c r="C1417">
        <v>1</v>
      </c>
      <c r="D1417" s="1">
        <v>9.18</v>
      </c>
      <c r="E1417" s="10" t="s">
        <v>2744</v>
      </c>
      <c r="F1417" s="10" t="s">
        <v>2749</v>
      </c>
      <c r="G1417" s="10" t="s">
        <v>11</v>
      </c>
      <c r="H1417" t="s">
        <v>12</v>
      </c>
    </row>
    <row r="1418" spans="1:8" x14ac:dyDescent="0.25">
      <c r="A1418">
        <v>1138668473</v>
      </c>
      <c r="B1418" t="s">
        <v>2750</v>
      </c>
      <c r="C1418">
        <v>1</v>
      </c>
      <c r="D1418" s="1">
        <v>4.68</v>
      </c>
      <c r="E1418" s="10" t="s">
        <v>2744</v>
      </c>
      <c r="F1418" s="10" t="s">
        <v>2751</v>
      </c>
      <c r="G1418" s="10" t="s">
        <v>11</v>
      </c>
      <c r="H1418" t="s">
        <v>12</v>
      </c>
    </row>
    <row r="1419" spans="1:8" x14ac:dyDescent="0.25">
      <c r="A1419">
        <v>1138668463</v>
      </c>
      <c r="B1419" t="s">
        <v>2752</v>
      </c>
      <c r="C1419">
        <v>5</v>
      </c>
      <c r="D1419" s="1">
        <v>20.7</v>
      </c>
      <c r="E1419" s="10" t="s">
        <v>2744</v>
      </c>
      <c r="F1419" s="10" t="s">
        <v>2753</v>
      </c>
      <c r="G1419" s="10" t="s">
        <v>11</v>
      </c>
      <c r="H1419" t="s">
        <v>12</v>
      </c>
    </row>
    <row r="1420" spans="1:8" x14ac:dyDescent="0.25">
      <c r="A1420">
        <v>1138610285</v>
      </c>
      <c r="B1420" t="s">
        <v>35</v>
      </c>
      <c r="C1420">
        <v>1</v>
      </c>
      <c r="D1420" s="1">
        <v>23.3</v>
      </c>
      <c r="E1420" s="10" t="s">
        <v>2744</v>
      </c>
      <c r="F1420" s="10" t="s">
        <v>2754</v>
      </c>
      <c r="G1420" s="10" t="s">
        <v>11</v>
      </c>
      <c r="H1420" t="s">
        <v>12</v>
      </c>
    </row>
    <row r="1421" spans="1:8" x14ac:dyDescent="0.25">
      <c r="A1421">
        <v>1138593240</v>
      </c>
      <c r="B1421" t="s">
        <v>2755</v>
      </c>
      <c r="C1421">
        <v>1</v>
      </c>
      <c r="D1421" s="1">
        <v>70.930000000000007</v>
      </c>
      <c r="E1421" s="10" t="s">
        <v>2744</v>
      </c>
      <c r="F1421" s="10" t="s">
        <v>2756</v>
      </c>
      <c r="G1421" s="10" t="s">
        <v>11</v>
      </c>
      <c r="H1421" t="s">
        <v>12</v>
      </c>
    </row>
    <row r="1422" spans="1:8" x14ac:dyDescent="0.25">
      <c r="A1422">
        <v>1138582468</v>
      </c>
      <c r="B1422" t="s">
        <v>2757</v>
      </c>
      <c r="C1422">
        <v>7</v>
      </c>
      <c r="D1422" s="1">
        <v>127.13</v>
      </c>
      <c r="E1422" s="10" t="s">
        <v>2744</v>
      </c>
      <c r="F1422" s="10" t="s">
        <v>2758</v>
      </c>
      <c r="G1422" s="10" t="s">
        <v>11</v>
      </c>
      <c r="H1422" t="s">
        <v>12</v>
      </c>
    </row>
    <row r="1423" spans="1:8" x14ac:dyDescent="0.25">
      <c r="A1423">
        <v>1138571791</v>
      </c>
      <c r="B1423" t="s">
        <v>2759</v>
      </c>
      <c r="C1423">
        <v>1</v>
      </c>
      <c r="D1423" s="1">
        <v>70.88</v>
      </c>
      <c r="E1423" s="10" t="s">
        <v>2744</v>
      </c>
      <c r="F1423" s="10" t="s">
        <v>2760</v>
      </c>
      <c r="G1423" s="10" t="s">
        <v>38</v>
      </c>
      <c r="H1423" t="s">
        <v>12</v>
      </c>
    </row>
    <row r="1424" spans="1:8" x14ac:dyDescent="0.25">
      <c r="A1424">
        <v>1138167691</v>
      </c>
      <c r="B1424" t="s">
        <v>2761</v>
      </c>
      <c r="C1424">
        <v>1</v>
      </c>
      <c r="D1424" s="1">
        <v>175.84</v>
      </c>
      <c r="E1424" s="10" t="s">
        <v>2762</v>
      </c>
      <c r="F1424" s="10" t="s">
        <v>2763</v>
      </c>
      <c r="G1424" s="10" t="s">
        <v>11</v>
      </c>
      <c r="H1424" t="s">
        <v>12</v>
      </c>
    </row>
    <row r="1425" spans="1:8" x14ac:dyDescent="0.25">
      <c r="A1425">
        <v>1137933892</v>
      </c>
      <c r="B1425" t="s">
        <v>2764</v>
      </c>
      <c r="C1425">
        <v>2</v>
      </c>
      <c r="D1425" s="1">
        <v>1.28</v>
      </c>
      <c r="E1425" s="10" t="s">
        <v>2765</v>
      </c>
      <c r="F1425" s="10" t="s">
        <v>2766</v>
      </c>
      <c r="G1425" s="10" t="s">
        <v>48</v>
      </c>
      <c r="H1425" t="s">
        <v>2314</v>
      </c>
    </row>
    <row r="1426" spans="1:8" x14ac:dyDescent="0.25">
      <c r="A1426">
        <v>1137865781</v>
      </c>
      <c r="B1426" t="s">
        <v>294</v>
      </c>
      <c r="C1426">
        <v>6</v>
      </c>
      <c r="D1426" s="1">
        <v>8.2799999999999994</v>
      </c>
      <c r="E1426" s="10" t="s">
        <v>2767</v>
      </c>
      <c r="F1426" s="10" t="s">
        <v>2714</v>
      </c>
      <c r="G1426" s="10" t="s">
        <v>11</v>
      </c>
      <c r="H1426" t="s">
        <v>12</v>
      </c>
    </row>
    <row r="1427" spans="1:8" x14ac:dyDescent="0.25">
      <c r="A1427">
        <v>1137444373</v>
      </c>
      <c r="B1427" t="s">
        <v>902</v>
      </c>
      <c r="C1427">
        <v>4</v>
      </c>
      <c r="D1427" s="1">
        <v>3.18</v>
      </c>
      <c r="E1427" s="10" t="s">
        <v>2768</v>
      </c>
      <c r="F1427" s="10" t="s">
        <v>2769</v>
      </c>
      <c r="G1427" s="10" t="s">
        <v>11</v>
      </c>
      <c r="H1427" t="s">
        <v>12</v>
      </c>
    </row>
    <row r="1428" spans="1:8" x14ac:dyDescent="0.25">
      <c r="A1428">
        <v>1137320064</v>
      </c>
      <c r="B1428" t="s">
        <v>2770</v>
      </c>
      <c r="C1428">
        <v>5</v>
      </c>
      <c r="D1428" s="1">
        <v>1.7</v>
      </c>
      <c r="E1428" s="10" t="s">
        <v>2771</v>
      </c>
      <c r="F1428" s="10" t="s">
        <v>2772</v>
      </c>
      <c r="G1428" s="10" t="s">
        <v>48</v>
      </c>
      <c r="H1428" t="s">
        <v>2314</v>
      </c>
    </row>
    <row r="1429" spans="1:8" x14ac:dyDescent="0.25">
      <c r="A1429">
        <v>1137238654</v>
      </c>
      <c r="B1429" t="s">
        <v>2773</v>
      </c>
      <c r="C1429">
        <v>2</v>
      </c>
      <c r="D1429" s="1">
        <v>5.18</v>
      </c>
      <c r="E1429" s="10" t="s">
        <v>2771</v>
      </c>
      <c r="F1429" s="10" t="s">
        <v>2774</v>
      </c>
      <c r="G1429" s="10" t="s">
        <v>48</v>
      </c>
      <c r="H1429" t="s">
        <v>12</v>
      </c>
    </row>
    <row r="1430" spans="1:8" x14ac:dyDescent="0.25">
      <c r="A1430">
        <v>1136792833</v>
      </c>
      <c r="B1430" t="s">
        <v>2775</v>
      </c>
      <c r="C1430">
        <v>16</v>
      </c>
      <c r="D1430" s="1">
        <v>2.5099999999999998</v>
      </c>
      <c r="E1430" s="10" t="s">
        <v>2776</v>
      </c>
      <c r="F1430" s="10" t="s">
        <v>2777</v>
      </c>
      <c r="G1430" s="10" t="s">
        <v>48</v>
      </c>
      <c r="H1430" t="s">
        <v>2314</v>
      </c>
    </row>
    <row r="1431" spans="1:8" x14ac:dyDescent="0.25">
      <c r="A1431">
        <v>1136403616</v>
      </c>
      <c r="B1431" t="s">
        <v>1155</v>
      </c>
      <c r="C1431">
        <v>1</v>
      </c>
      <c r="D1431" s="1">
        <v>44.67</v>
      </c>
      <c r="E1431" s="10" t="s">
        <v>2778</v>
      </c>
      <c r="F1431" s="10" t="s">
        <v>2779</v>
      </c>
      <c r="G1431" s="10" t="s">
        <v>11</v>
      </c>
      <c r="H1431" t="s">
        <v>12</v>
      </c>
    </row>
    <row r="1432" spans="1:8" x14ac:dyDescent="0.25">
      <c r="A1432">
        <v>1136163732</v>
      </c>
      <c r="B1432" t="s">
        <v>2780</v>
      </c>
      <c r="C1432">
        <v>1</v>
      </c>
      <c r="D1432" s="1">
        <v>4.24</v>
      </c>
      <c r="E1432" s="10" t="s">
        <v>2781</v>
      </c>
      <c r="F1432" s="10" t="s">
        <v>2782</v>
      </c>
      <c r="G1432" s="10" t="s">
        <v>48</v>
      </c>
      <c r="H1432" t="s">
        <v>12</v>
      </c>
    </row>
    <row r="1433" spans="1:8" x14ac:dyDescent="0.25">
      <c r="A1433">
        <v>1135360376</v>
      </c>
      <c r="B1433" t="s">
        <v>2783</v>
      </c>
      <c r="C1433">
        <v>4</v>
      </c>
      <c r="D1433" s="1">
        <v>45.84</v>
      </c>
      <c r="E1433" s="10" t="s">
        <v>2784</v>
      </c>
      <c r="F1433" s="10" t="s">
        <v>2785</v>
      </c>
      <c r="G1433" s="10" t="s">
        <v>11</v>
      </c>
      <c r="H1433" t="s">
        <v>12</v>
      </c>
    </row>
    <row r="1434" spans="1:8" x14ac:dyDescent="0.25">
      <c r="A1434">
        <v>1135236814</v>
      </c>
      <c r="B1434" t="s">
        <v>2786</v>
      </c>
      <c r="C1434">
        <v>1</v>
      </c>
      <c r="D1434" s="1">
        <v>14.68</v>
      </c>
      <c r="E1434" s="10" t="s">
        <v>2787</v>
      </c>
      <c r="F1434" s="10" t="s">
        <v>2788</v>
      </c>
      <c r="G1434" s="10" t="s">
        <v>11</v>
      </c>
      <c r="H1434" t="s">
        <v>12</v>
      </c>
    </row>
    <row r="1435" spans="1:8" x14ac:dyDescent="0.25">
      <c r="A1435">
        <v>1135235966</v>
      </c>
      <c r="B1435" t="s">
        <v>2096</v>
      </c>
      <c r="C1435">
        <v>12</v>
      </c>
      <c r="D1435" s="1">
        <v>55.24</v>
      </c>
      <c r="E1435" s="10" t="s">
        <v>2787</v>
      </c>
      <c r="F1435" s="10" t="s">
        <v>2097</v>
      </c>
      <c r="G1435" s="10" t="s">
        <v>11</v>
      </c>
      <c r="H1435" t="s">
        <v>12</v>
      </c>
    </row>
    <row r="1436" spans="1:8" x14ac:dyDescent="0.25">
      <c r="A1436">
        <v>1135235427</v>
      </c>
      <c r="B1436" t="s">
        <v>2789</v>
      </c>
      <c r="C1436">
        <v>4</v>
      </c>
      <c r="D1436" s="1">
        <v>17.18</v>
      </c>
      <c r="E1436" s="10" t="s">
        <v>2787</v>
      </c>
      <c r="F1436" s="10" t="s">
        <v>2790</v>
      </c>
      <c r="G1436" s="10" t="s">
        <v>11</v>
      </c>
      <c r="H1436" t="s">
        <v>12</v>
      </c>
    </row>
    <row r="1437" spans="1:8" x14ac:dyDescent="0.25">
      <c r="A1437">
        <v>1135234620</v>
      </c>
      <c r="B1437" t="s">
        <v>2649</v>
      </c>
      <c r="C1437">
        <v>8</v>
      </c>
      <c r="D1437" s="1">
        <v>15.46</v>
      </c>
      <c r="E1437" s="10" t="s">
        <v>2787</v>
      </c>
      <c r="F1437" s="10" t="s">
        <v>2791</v>
      </c>
      <c r="G1437" s="10" t="s">
        <v>11</v>
      </c>
      <c r="H1437" t="s">
        <v>12</v>
      </c>
    </row>
    <row r="1438" spans="1:8" x14ac:dyDescent="0.25">
      <c r="A1438">
        <v>1134798910</v>
      </c>
      <c r="B1438" t="s">
        <v>318</v>
      </c>
      <c r="C1438">
        <v>8</v>
      </c>
      <c r="D1438" s="1">
        <v>12.1</v>
      </c>
      <c r="E1438" s="10" t="s">
        <v>2792</v>
      </c>
      <c r="F1438" s="10" t="s">
        <v>2793</v>
      </c>
      <c r="G1438" s="10" t="s">
        <v>11</v>
      </c>
      <c r="H1438" t="s">
        <v>12</v>
      </c>
    </row>
    <row r="1439" spans="1:8" x14ac:dyDescent="0.25">
      <c r="A1439">
        <v>1134536720</v>
      </c>
      <c r="B1439" t="s">
        <v>2794</v>
      </c>
      <c r="C1439">
        <v>1</v>
      </c>
      <c r="D1439" s="1">
        <v>41.63</v>
      </c>
      <c r="E1439" s="10" t="s">
        <v>2795</v>
      </c>
      <c r="F1439" s="10" t="s">
        <v>2796</v>
      </c>
      <c r="G1439" s="10" t="s">
        <v>11</v>
      </c>
      <c r="H1439" t="s">
        <v>12</v>
      </c>
    </row>
    <row r="1440" spans="1:8" x14ac:dyDescent="0.25">
      <c r="A1440">
        <v>1134532014</v>
      </c>
      <c r="B1440" t="s">
        <v>294</v>
      </c>
      <c r="C1440">
        <v>35</v>
      </c>
      <c r="D1440" s="1">
        <v>25.67</v>
      </c>
      <c r="E1440" s="10" t="s">
        <v>2795</v>
      </c>
      <c r="F1440" s="10" t="s">
        <v>2797</v>
      </c>
      <c r="G1440" s="10" t="s">
        <v>11</v>
      </c>
      <c r="H1440" t="s">
        <v>12</v>
      </c>
    </row>
    <row r="1441" spans="1:8" x14ac:dyDescent="0.25">
      <c r="A1441">
        <v>1134164877</v>
      </c>
      <c r="B1441" t="s">
        <v>2798</v>
      </c>
      <c r="C1441">
        <v>1</v>
      </c>
      <c r="D1441" s="1">
        <v>11.31</v>
      </c>
      <c r="E1441" s="10" t="s">
        <v>2799</v>
      </c>
      <c r="F1441" s="10" t="s">
        <v>2800</v>
      </c>
      <c r="G1441" s="10" t="s">
        <v>11</v>
      </c>
      <c r="H1441" t="s">
        <v>12</v>
      </c>
    </row>
    <row r="1442" spans="1:8" x14ac:dyDescent="0.25">
      <c r="A1442">
        <v>1134049704</v>
      </c>
      <c r="B1442" t="s">
        <v>2600</v>
      </c>
      <c r="C1442">
        <v>2</v>
      </c>
      <c r="D1442" s="1">
        <v>43.46</v>
      </c>
      <c r="E1442" s="10" t="s">
        <v>2801</v>
      </c>
      <c r="F1442" s="10" t="s">
        <v>2802</v>
      </c>
      <c r="G1442" s="10" t="s">
        <v>11</v>
      </c>
      <c r="H1442" t="s">
        <v>12</v>
      </c>
    </row>
    <row r="1443" spans="1:8" x14ac:dyDescent="0.25">
      <c r="A1443">
        <v>1133899735</v>
      </c>
      <c r="B1443" t="s">
        <v>1032</v>
      </c>
      <c r="C1443">
        <v>2</v>
      </c>
      <c r="D1443" s="1">
        <v>11.58</v>
      </c>
      <c r="E1443" s="10" t="s">
        <v>2803</v>
      </c>
      <c r="F1443" s="10" t="s">
        <v>2804</v>
      </c>
      <c r="G1443" s="10" t="s">
        <v>11</v>
      </c>
      <c r="H1443" t="s">
        <v>12</v>
      </c>
    </row>
    <row r="1444" spans="1:8" x14ac:dyDescent="0.25">
      <c r="A1444">
        <v>1133575080</v>
      </c>
      <c r="B1444" t="s">
        <v>2805</v>
      </c>
      <c r="C1444">
        <v>1</v>
      </c>
      <c r="D1444" s="1">
        <v>10.68</v>
      </c>
      <c r="E1444" s="10" t="s">
        <v>2806</v>
      </c>
      <c r="F1444" s="10" t="s">
        <v>2807</v>
      </c>
      <c r="G1444" s="10" t="s">
        <v>11</v>
      </c>
      <c r="H1444" t="s">
        <v>12</v>
      </c>
    </row>
    <row r="1445" spans="1:8" x14ac:dyDescent="0.25">
      <c r="A1445">
        <v>1133561839</v>
      </c>
      <c r="B1445" t="s">
        <v>2808</v>
      </c>
      <c r="C1445">
        <v>5</v>
      </c>
      <c r="D1445" s="1">
        <v>3.38</v>
      </c>
      <c r="E1445" s="10" t="s">
        <v>2806</v>
      </c>
      <c r="F1445" s="10" t="s">
        <v>2809</v>
      </c>
      <c r="G1445" s="10" t="s">
        <v>11</v>
      </c>
      <c r="H1445" t="s">
        <v>12</v>
      </c>
    </row>
    <row r="1446" spans="1:8" x14ac:dyDescent="0.25">
      <c r="A1446">
        <v>1133561482</v>
      </c>
      <c r="B1446" t="s">
        <v>2810</v>
      </c>
      <c r="C1446">
        <v>5</v>
      </c>
      <c r="D1446" s="1">
        <v>10.18</v>
      </c>
      <c r="E1446" s="10" t="s">
        <v>2806</v>
      </c>
      <c r="F1446" s="10" t="s">
        <v>2811</v>
      </c>
      <c r="G1446" s="10" t="s">
        <v>11</v>
      </c>
      <c r="H1446" t="s">
        <v>12</v>
      </c>
    </row>
    <row r="1447" spans="1:8" x14ac:dyDescent="0.25">
      <c r="A1447">
        <v>1132884708</v>
      </c>
      <c r="B1447" t="s">
        <v>2812</v>
      </c>
      <c r="C1447">
        <v>4</v>
      </c>
      <c r="D1447" s="1">
        <v>7.48</v>
      </c>
      <c r="E1447" s="10" t="s">
        <v>2813</v>
      </c>
      <c r="F1447" s="10" t="s">
        <v>2814</v>
      </c>
      <c r="G1447" s="10" t="s">
        <v>11</v>
      </c>
      <c r="H1447" t="s">
        <v>12</v>
      </c>
    </row>
    <row r="1448" spans="1:8" x14ac:dyDescent="0.25">
      <c r="A1448">
        <v>1132737205</v>
      </c>
      <c r="B1448" t="s">
        <v>2815</v>
      </c>
      <c r="C1448">
        <v>1</v>
      </c>
      <c r="D1448" s="1">
        <v>43.66</v>
      </c>
      <c r="E1448" s="10" t="s">
        <v>2816</v>
      </c>
      <c r="F1448" s="10" t="s">
        <v>2817</v>
      </c>
      <c r="G1448" s="10" t="s">
        <v>11</v>
      </c>
      <c r="H1448" t="s">
        <v>12</v>
      </c>
    </row>
    <row r="1449" spans="1:8" x14ac:dyDescent="0.25">
      <c r="A1449">
        <v>1132028696</v>
      </c>
      <c r="B1449" t="s">
        <v>2818</v>
      </c>
      <c r="C1449">
        <v>7</v>
      </c>
      <c r="D1449" s="1">
        <v>115.22</v>
      </c>
      <c r="E1449" s="10" t="s">
        <v>2819</v>
      </c>
      <c r="F1449" s="10" t="s">
        <v>2820</v>
      </c>
      <c r="G1449" s="10" t="s">
        <v>11</v>
      </c>
      <c r="H1449" t="s">
        <v>12</v>
      </c>
    </row>
    <row r="1450" spans="1:8" x14ac:dyDescent="0.25">
      <c r="A1450">
        <v>1131574286</v>
      </c>
      <c r="B1450" t="s">
        <v>2821</v>
      </c>
      <c r="C1450">
        <v>1</v>
      </c>
      <c r="D1450" s="1">
        <v>42.2</v>
      </c>
      <c r="E1450" s="10" t="s">
        <v>2822</v>
      </c>
      <c r="F1450" s="10" t="s">
        <v>2823</v>
      </c>
      <c r="G1450" s="10" t="s">
        <v>48</v>
      </c>
      <c r="H1450" t="s">
        <v>12</v>
      </c>
    </row>
    <row r="1451" spans="1:8" x14ac:dyDescent="0.25">
      <c r="A1451">
        <v>1131267164</v>
      </c>
      <c r="B1451" t="s">
        <v>2824</v>
      </c>
      <c r="C1451">
        <v>1</v>
      </c>
      <c r="D1451" s="1">
        <v>5.18</v>
      </c>
      <c r="E1451" s="10" t="s">
        <v>2825</v>
      </c>
      <c r="F1451" s="10" t="s">
        <v>2826</v>
      </c>
      <c r="G1451" s="10" t="s">
        <v>11</v>
      </c>
      <c r="H1451" t="s">
        <v>12</v>
      </c>
    </row>
    <row r="1452" spans="1:8" x14ac:dyDescent="0.25">
      <c r="A1452">
        <v>1131126689</v>
      </c>
      <c r="B1452" t="s">
        <v>2827</v>
      </c>
      <c r="C1452">
        <v>1</v>
      </c>
      <c r="D1452" s="1">
        <v>3.91</v>
      </c>
      <c r="E1452" s="10" t="s">
        <v>2828</v>
      </c>
      <c r="F1452" s="10" t="s">
        <v>2829</v>
      </c>
      <c r="G1452" s="10" t="s">
        <v>11</v>
      </c>
      <c r="H1452" t="s">
        <v>12</v>
      </c>
    </row>
    <row r="1453" spans="1:8" x14ac:dyDescent="0.25">
      <c r="A1453">
        <v>1131125971</v>
      </c>
      <c r="B1453" t="s">
        <v>2327</v>
      </c>
      <c r="C1453">
        <v>4</v>
      </c>
      <c r="D1453" s="1">
        <v>5.78</v>
      </c>
      <c r="E1453" s="10" t="s">
        <v>2828</v>
      </c>
      <c r="F1453" s="10" t="s">
        <v>2830</v>
      </c>
      <c r="G1453" s="10" t="s">
        <v>11</v>
      </c>
      <c r="H1453" t="s">
        <v>12</v>
      </c>
    </row>
    <row r="1454" spans="1:8" x14ac:dyDescent="0.25">
      <c r="A1454">
        <v>1131115415</v>
      </c>
      <c r="B1454" t="s">
        <v>294</v>
      </c>
      <c r="C1454">
        <v>4</v>
      </c>
      <c r="D1454" s="1">
        <v>24.98</v>
      </c>
      <c r="E1454" s="10" t="s">
        <v>2828</v>
      </c>
      <c r="F1454" s="10" t="s">
        <v>2714</v>
      </c>
      <c r="G1454" s="10" t="s">
        <v>11</v>
      </c>
      <c r="H1454" t="s">
        <v>12</v>
      </c>
    </row>
    <row r="1455" spans="1:8" x14ac:dyDescent="0.25">
      <c r="A1455">
        <v>1131038967</v>
      </c>
      <c r="B1455" t="s">
        <v>2831</v>
      </c>
      <c r="C1455">
        <v>1</v>
      </c>
      <c r="D1455" s="1">
        <v>8.75</v>
      </c>
      <c r="E1455" s="10" t="s">
        <v>2828</v>
      </c>
      <c r="F1455" s="10" t="s">
        <v>2832</v>
      </c>
      <c r="G1455" s="10" t="s">
        <v>48</v>
      </c>
      <c r="H1455" t="s">
        <v>12</v>
      </c>
    </row>
    <row r="1456" spans="1:8" x14ac:dyDescent="0.25">
      <c r="A1456">
        <v>1130613937</v>
      </c>
      <c r="B1456" t="s">
        <v>2833</v>
      </c>
      <c r="C1456">
        <v>1</v>
      </c>
      <c r="D1456" s="1">
        <v>23.18</v>
      </c>
      <c r="E1456" s="10" t="s">
        <v>2834</v>
      </c>
      <c r="F1456" s="10" t="s">
        <v>2835</v>
      </c>
      <c r="G1456" s="10" t="s">
        <v>11</v>
      </c>
      <c r="H1456" t="s">
        <v>12</v>
      </c>
    </row>
    <row r="1457" spans="1:8" ht="30" x14ac:dyDescent="0.25">
      <c r="A1457">
        <v>1130532057</v>
      </c>
      <c r="B1457" t="s">
        <v>8</v>
      </c>
      <c r="C1457">
        <v>27</v>
      </c>
      <c r="D1457" s="1">
        <v>1.5</v>
      </c>
      <c r="E1457" s="10" t="s">
        <v>2836</v>
      </c>
      <c r="F1457" s="10" t="s">
        <v>2837</v>
      </c>
      <c r="G1457" s="10" t="s">
        <v>38</v>
      </c>
      <c r="H1457" t="s">
        <v>12</v>
      </c>
    </row>
    <row r="1458" spans="1:8" x14ac:dyDescent="0.25">
      <c r="A1458">
        <v>1130520718</v>
      </c>
      <c r="B1458" t="s">
        <v>2838</v>
      </c>
      <c r="C1458">
        <v>2</v>
      </c>
      <c r="D1458" s="1">
        <v>32.65</v>
      </c>
      <c r="E1458" s="10" t="s">
        <v>2836</v>
      </c>
      <c r="F1458" s="10" t="s">
        <v>2839</v>
      </c>
      <c r="G1458" s="10" t="s">
        <v>11</v>
      </c>
      <c r="H1458" t="s">
        <v>12</v>
      </c>
    </row>
    <row r="1459" spans="1:8" x14ac:dyDescent="0.25">
      <c r="A1459">
        <v>1130520572</v>
      </c>
      <c r="B1459" t="s">
        <v>1858</v>
      </c>
      <c r="C1459">
        <v>4</v>
      </c>
      <c r="D1459" s="1">
        <v>14.31</v>
      </c>
      <c r="E1459" s="10" t="s">
        <v>2836</v>
      </c>
      <c r="F1459" s="10" t="s">
        <v>2840</v>
      </c>
      <c r="G1459" s="10" t="s">
        <v>11</v>
      </c>
      <c r="H1459" t="s">
        <v>12</v>
      </c>
    </row>
    <row r="1460" spans="1:8" x14ac:dyDescent="0.25">
      <c r="A1460">
        <v>1130405268</v>
      </c>
      <c r="B1460" t="s">
        <v>2841</v>
      </c>
      <c r="C1460">
        <v>13</v>
      </c>
      <c r="D1460" s="1">
        <v>5.33</v>
      </c>
      <c r="E1460" s="10" t="s">
        <v>2842</v>
      </c>
      <c r="F1460" s="10" t="s">
        <v>2843</v>
      </c>
      <c r="G1460" s="10" t="s">
        <v>11</v>
      </c>
      <c r="H1460" t="s">
        <v>2314</v>
      </c>
    </row>
    <row r="1461" spans="1:8" x14ac:dyDescent="0.25">
      <c r="A1461">
        <v>1130401284</v>
      </c>
      <c r="B1461" t="s">
        <v>2290</v>
      </c>
      <c r="C1461">
        <v>72</v>
      </c>
      <c r="D1461" s="1">
        <v>4.8899999999999997</v>
      </c>
      <c r="E1461" s="10" t="s">
        <v>2842</v>
      </c>
      <c r="F1461" s="10" t="s">
        <v>2844</v>
      </c>
      <c r="G1461" s="10" t="s">
        <v>11</v>
      </c>
      <c r="H1461" t="s">
        <v>266</v>
      </c>
    </row>
    <row r="1462" spans="1:8" x14ac:dyDescent="0.25">
      <c r="A1462">
        <v>1130277526</v>
      </c>
      <c r="B1462" t="s">
        <v>781</v>
      </c>
      <c r="C1462">
        <v>2</v>
      </c>
      <c r="D1462" s="1">
        <v>35.43</v>
      </c>
      <c r="E1462" s="10" t="s">
        <v>2845</v>
      </c>
      <c r="F1462" s="10" t="s">
        <v>2846</v>
      </c>
      <c r="G1462" s="10" t="s">
        <v>11</v>
      </c>
      <c r="H1462" t="s">
        <v>12</v>
      </c>
    </row>
    <row r="1463" spans="1:8" x14ac:dyDescent="0.25">
      <c r="A1463">
        <v>1130170394</v>
      </c>
      <c r="B1463" t="s">
        <v>2847</v>
      </c>
      <c r="C1463">
        <v>1</v>
      </c>
      <c r="D1463" s="1">
        <v>7.18</v>
      </c>
      <c r="E1463" s="10" t="s">
        <v>2848</v>
      </c>
      <c r="F1463" s="10" t="s">
        <v>2849</v>
      </c>
      <c r="G1463" s="10" t="s">
        <v>48</v>
      </c>
      <c r="H1463" t="s">
        <v>12</v>
      </c>
    </row>
    <row r="1464" spans="1:8" x14ac:dyDescent="0.25">
      <c r="A1464">
        <v>1130072252</v>
      </c>
      <c r="B1464" t="s">
        <v>2850</v>
      </c>
      <c r="C1464">
        <v>11</v>
      </c>
      <c r="D1464" s="1">
        <v>8.48</v>
      </c>
      <c r="E1464" s="10" t="s">
        <v>2848</v>
      </c>
      <c r="F1464" s="10" t="s">
        <v>2851</v>
      </c>
      <c r="G1464" s="10" t="s">
        <v>11</v>
      </c>
      <c r="H1464" t="s">
        <v>12</v>
      </c>
    </row>
    <row r="1465" spans="1:8" x14ac:dyDescent="0.25">
      <c r="A1465">
        <v>1130071687</v>
      </c>
      <c r="B1465" t="s">
        <v>1266</v>
      </c>
      <c r="C1465">
        <v>12</v>
      </c>
      <c r="D1465" s="1">
        <v>21.93</v>
      </c>
      <c r="E1465" s="10" t="s">
        <v>2848</v>
      </c>
      <c r="F1465" s="10" t="s">
        <v>2852</v>
      </c>
      <c r="G1465" s="10" t="s">
        <v>11</v>
      </c>
      <c r="H1465" t="s">
        <v>12</v>
      </c>
    </row>
    <row r="1466" spans="1:8" x14ac:dyDescent="0.25">
      <c r="A1466">
        <v>1130071642</v>
      </c>
      <c r="B1466" t="s">
        <v>2853</v>
      </c>
      <c r="C1466">
        <v>2</v>
      </c>
      <c r="D1466" s="1">
        <v>6.58</v>
      </c>
      <c r="E1466" s="10" t="s">
        <v>2848</v>
      </c>
      <c r="F1466" s="10" t="s">
        <v>2854</v>
      </c>
      <c r="G1466" s="10" t="s">
        <v>11</v>
      </c>
      <c r="H1466" t="s">
        <v>12</v>
      </c>
    </row>
    <row r="1467" spans="1:8" x14ac:dyDescent="0.25">
      <c r="A1467">
        <v>1130071338</v>
      </c>
      <c r="B1467" t="s">
        <v>1235</v>
      </c>
      <c r="C1467">
        <v>7</v>
      </c>
      <c r="D1467" s="1">
        <v>9.48</v>
      </c>
      <c r="E1467" s="10" t="s">
        <v>2848</v>
      </c>
      <c r="F1467" s="10" t="s">
        <v>2855</v>
      </c>
      <c r="G1467" s="10" t="s">
        <v>11</v>
      </c>
      <c r="H1467" t="s">
        <v>12</v>
      </c>
    </row>
    <row r="1468" spans="1:8" x14ac:dyDescent="0.25">
      <c r="A1468">
        <v>1130071335</v>
      </c>
      <c r="B1468" t="s">
        <v>2856</v>
      </c>
      <c r="C1468">
        <v>12</v>
      </c>
      <c r="D1468" s="1">
        <v>6.69</v>
      </c>
      <c r="E1468" s="10" t="s">
        <v>2848</v>
      </c>
      <c r="F1468" s="10" t="s">
        <v>2857</v>
      </c>
      <c r="G1468" s="10" t="s">
        <v>11</v>
      </c>
      <c r="H1468" t="s">
        <v>12</v>
      </c>
    </row>
    <row r="1469" spans="1:8" x14ac:dyDescent="0.25">
      <c r="A1469">
        <v>1130071334</v>
      </c>
      <c r="B1469" t="s">
        <v>79</v>
      </c>
      <c r="C1469">
        <v>12</v>
      </c>
      <c r="D1469" s="1">
        <v>10.48</v>
      </c>
      <c r="E1469" s="10" t="s">
        <v>2848</v>
      </c>
      <c r="F1469" s="10" t="s">
        <v>2858</v>
      </c>
      <c r="G1469" s="10" t="s">
        <v>11</v>
      </c>
      <c r="H1469" t="s">
        <v>12</v>
      </c>
    </row>
    <row r="1470" spans="1:8" ht="30" x14ac:dyDescent="0.25">
      <c r="A1470">
        <v>1130030239</v>
      </c>
      <c r="B1470" t="s">
        <v>61</v>
      </c>
      <c r="C1470">
        <v>4</v>
      </c>
      <c r="D1470" s="1">
        <v>3.95</v>
      </c>
      <c r="E1470" s="10" t="s">
        <v>2859</v>
      </c>
      <c r="F1470" s="10" t="s">
        <v>216</v>
      </c>
      <c r="G1470" s="10" t="s">
        <v>38</v>
      </c>
      <c r="H1470" t="s">
        <v>12</v>
      </c>
    </row>
    <row r="1471" spans="1:8" x14ac:dyDescent="0.25">
      <c r="A1471">
        <v>1129800564</v>
      </c>
      <c r="B1471" t="s">
        <v>2860</v>
      </c>
      <c r="C1471">
        <v>1</v>
      </c>
      <c r="D1471" s="1">
        <v>40.630000000000003</v>
      </c>
      <c r="E1471" s="10" t="s">
        <v>2861</v>
      </c>
      <c r="F1471" s="10" t="s">
        <v>2862</v>
      </c>
      <c r="G1471" s="10" t="s">
        <v>11</v>
      </c>
      <c r="H1471" t="s">
        <v>12</v>
      </c>
    </row>
    <row r="1472" spans="1:8" x14ac:dyDescent="0.25">
      <c r="A1472">
        <v>1129616515</v>
      </c>
      <c r="B1472" t="s">
        <v>2277</v>
      </c>
      <c r="C1472">
        <v>4</v>
      </c>
      <c r="D1472" s="1">
        <v>8.98</v>
      </c>
      <c r="E1472" s="10" t="s">
        <v>2863</v>
      </c>
      <c r="F1472" s="10" t="s">
        <v>2864</v>
      </c>
      <c r="G1472" s="10" t="s">
        <v>11</v>
      </c>
      <c r="H1472" t="s">
        <v>12</v>
      </c>
    </row>
    <row r="1473" spans="1:8" x14ac:dyDescent="0.25">
      <c r="A1473">
        <v>1129471035</v>
      </c>
      <c r="B1473" t="s">
        <v>2865</v>
      </c>
      <c r="C1473">
        <v>12</v>
      </c>
      <c r="D1473" s="1">
        <v>3.62</v>
      </c>
      <c r="E1473" s="10" t="s">
        <v>2866</v>
      </c>
      <c r="F1473" s="10" t="s">
        <v>2867</v>
      </c>
      <c r="G1473" s="10" t="s">
        <v>48</v>
      </c>
      <c r="H1473" t="s">
        <v>2314</v>
      </c>
    </row>
    <row r="1474" spans="1:8" x14ac:dyDescent="0.25">
      <c r="A1474">
        <v>1129354876</v>
      </c>
      <c r="B1474" t="s">
        <v>2868</v>
      </c>
      <c r="C1474">
        <v>2</v>
      </c>
      <c r="D1474" s="1">
        <v>31.41</v>
      </c>
      <c r="E1474" s="10" t="s">
        <v>2869</v>
      </c>
      <c r="F1474" s="10" t="s">
        <v>2870</v>
      </c>
      <c r="G1474" s="10" t="s">
        <v>11</v>
      </c>
      <c r="H1474" t="s">
        <v>12</v>
      </c>
    </row>
    <row r="1475" spans="1:8" x14ac:dyDescent="0.25">
      <c r="A1475">
        <v>1129168148</v>
      </c>
      <c r="B1475" t="s">
        <v>2871</v>
      </c>
      <c r="C1475">
        <v>2</v>
      </c>
      <c r="D1475" s="1">
        <v>25.68</v>
      </c>
      <c r="E1475" s="10" t="s">
        <v>2872</v>
      </c>
      <c r="F1475" s="10" t="s">
        <v>2873</v>
      </c>
      <c r="G1475" s="10" t="s">
        <v>38</v>
      </c>
      <c r="H1475" t="s">
        <v>12</v>
      </c>
    </row>
    <row r="1476" spans="1:8" x14ac:dyDescent="0.25">
      <c r="A1476">
        <v>1128847106</v>
      </c>
      <c r="B1476" t="s">
        <v>2874</v>
      </c>
      <c r="C1476">
        <v>3</v>
      </c>
      <c r="D1476" s="1">
        <v>37.25</v>
      </c>
      <c r="E1476" s="10" t="s">
        <v>2875</v>
      </c>
      <c r="F1476" s="10" t="s">
        <v>2876</v>
      </c>
      <c r="G1476" s="10" t="s">
        <v>11</v>
      </c>
      <c r="H1476" t="s">
        <v>12</v>
      </c>
    </row>
    <row r="1477" spans="1:8" x14ac:dyDescent="0.25">
      <c r="A1477">
        <v>1128492189</v>
      </c>
      <c r="B1477" t="s">
        <v>1291</v>
      </c>
      <c r="C1477">
        <v>2</v>
      </c>
      <c r="D1477" s="1">
        <v>31.37</v>
      </c>
      <c r="E1477" s="10" t="s">
        <v>2877</v>
      </c>
      <c r="F1477" s="10" t="s">
        <v>2878</v>
      </c>
      <c r="G1477" s="10" t="s">
        <v>11</v>
      </c>
      <c r="H1477" t="s">
        <v>12</v>
      </c>
    </row>
    <row r="1478" spans="1:8" x14ac:dyDescent="0.25">
      <c r="A1478">
        <v>1128490383</v>
      </c>
      <c r="B1478" t="s">
        <v>328</v>
      </c>
      <c r="C1478">
        <v>2</v>
      </c>
      <c r="D1478" s="1">
        <v>36.590000000000003</v>
      </c>
      <c r="E1478" s="10" t="s">
        <v>2877</v>
      </c>
      <c r="F1478" s="10" t="s">
        <v>2879</v>
      </c>
      <c r="G1478" s="10" t="s">
        <v>11</v>
      </c>
      <c r="H1478" t="s">
        <v>12</v>
      </c>
    </row>
    <row r="1479" spans="1:8" x14ac:dyDescent="0.25">
      <c r="A1479">
        <v>1128067790</v>
      </c>
      <c r="B1479" t="s">
        <v>2537</v>
      </c>
      <c r="C1479">
        <v>20</v>
      </c>
      <c r="D1479" s="1">
        <v>5.78</v>
      </c>
      <c r="E1479" s="10" t="s">
        <v>2880</v>
      </c>
      <c r="F1479" s="10" t="s">
        <v>2881</v>
      </c>
      <c r="G1479" s="10" t="s">
        <v>11</v>
      </c>
      <c r="H1479" t="s">
        <v>12</v>
      </c>
    </row>
    <row r="1480" spans="1:8" x14ac:dyDescent="0.25">
      <c r="A1480">
        <v>1128028592</v>
      </c>
      <c r="B1480" t="s">
        <v>442</v>
      </c>
      <c r="C1480">
        <v>2</v>
      </c>
      <c r="D1480" s="1">
        <v>13.67</v>
      </c>
      <c r="E1480" s="10" t="s">
        <v>2880</v>
      </c>
      <c r="F1480" s="10" t="s">
        <v>2882</v>
      </c>
      <c r="G1480" s="10" t="s">
        <v>11</v>
      </c>
      <c r="H1480" t="s">
        <v>12</v>
      </c>
    </row>
    <row r="1481" spans="1:8" x14ac:dyDescent="0.25">
      <c r="A1481">
        <v>1127401787</v>
      </c>
      <c r="B1481" t="s">
        <v>2883</v>
      </c>
      <c r="C1481">
        <v>1</v>
      </c>
      <c r="D1481" s="1">
        <v>12.18</v>
      </c>
      <c r="E1481" s="10" t="s">
        <v>2884</v>
      </c>
      <c r="F1481" s="10" t="s">
        <v>2885</v>
      </c>
      <c r="G1481" s="10" t="s">
        <v>11</v>
      </c>
      <c r="H1481" t="s">
        <v>12</v>
      </c>
    </row>
    <row r="1482" spans="1:8" x14ac:dyDescent="0.25">
      <c r="A1482">
        <v>1127400018</v>
      </c>
      <c r="B1482" t="s">
        <v>414</v>
      </c>
      <c r="C1482">
        <v>4</v>
      </c>
      <c r="D1482" s="1">
        <v>39.58</v>
      </c>
      <c r="E1482" s="10" t="s">
        <v>2884</v>
      </c>
      <c r="F1482" s="10" t="s">
        <v>2886</v>
      </c>
      <c r="G1482" s="10" t="s">
        <v>11</v>
      </c>
      <c r="H1482" t="s">
        <v>12</v>
      </c>
    </row>
    <row r="1483" spans="1:8" x14ac:dyDescent="0.25">
      <c r="A1483">
        <v>1127396003</v>
      </c>
      <c r="B1483" t="s">
        <v>760</v>
      </c>
      <c r="C1483">
        <v>4</v>
      </c>
      <c r="D1483" s="1">
        <v>7.18</v>
      </c>
      <c r="E1483" s="10" t="s">
        <v>2884</v>
      </c>
      <c r="F1483" s="10" t="s">
        <v>2887</v>
      </c>
      <c r="G1483" s="10" t="s">
        <v>11</v>
      </c>
      <c r="H1483" t="s">
        <v>12</v>
      </c>
    </row>
    <row r="1484" spans="1:8" x14ac:dyDescent="0.25">
      <c r="A1484">
        <v>1127344185</v>
      </c>
      <c r="B1484" t="s">
        <v>2888</v>
      </c>
      <c r="C1484">
        <v>4</v>
      </c>
      <c r="D1484" s="1">
        <v>41.54</v>
      </c>
      <c r="E1484" s="10" t="s">
        <v>2889</v>
      </c>
      <c r="F1484" s="10" t="s">
        <v>2890</v>
      </c>
      <c r="G1484" s="10" t="s">
        <v>11</v>
      </c>
      <c r="H1484" t="s">
        <v>12</v>
      </c>
    </row>
    <row r="1485" spans="1:8" x14ac:dyDescent="0.25">
      <c r="A1485">
        <v>1126975573</v>
      </c>
      <c r="B1485" t="s">
        <v>294</v>
      </c>
      <c r="C1485">
        <v>16</v>
      </c>
      <c r="D1485" s="1">
        <v>20.64</v>
      </c>
      <c r="E1485" s="10" t="s">
        <v>2891</v>
      </c>
      <c r="F1485" s="10" t="s">
        <v>2714</v>
      </c>
      <c r="G1485" s="10" t="s">
        <v>11</v>
      </c>
      <c r="H1485" t="s">
        <v>12</v>
      </c>
    </row>
    <row r="1486" spans="1:8" x14ac:dyDescent="0.25">
      <c r="A1486">
        <v>1126872692</v>
      </c>
      <c r="B1486" t="s">
        <v>2892</v>
      </c>
      <c r="C1486">
        <v>1</v>
      </c>
      <c r="D1486" s="1">
        <v>35.43</v>
      </c>
      <c r="E1486" s="10" t="s">
        <v>2891</v>
      </c>
      <c r="F1486" s="10" t="s">
        <v>2893</v>
      </c>
      <c r="G1486" s="10" t="s">
        <v>11</v>
      </c>
      <c r="H1486" t="s">
        <v>12</v>
      </c>
    </row>
    <row r="1487" spans="1:8" x14ac:dyDescent="0.25">
      <c r="A1487">
        <v>1126633628</v>
      </c>
      <c r="B1487" t="s">
        <v>2894</v>
      </c>
      <c r="C1487">
        <v>1</v>
      </c>
      <c r="D1487" s="1">
        <v>19.329999999999998</v>
      </c>
      <c r="E1487" s="10" t="s">
        <v>2895</v>
      </c>
      <c r="F1487" s="10" t="s">
        <v>2896</v>
      </c>
      <c r="G1487" s="10" t="s">
        <v>38</v>
      </c>
      <c r="H1487" t="s">
        <v>12</v>
      </c>
    </row>
    <row r="1488" spans="1:8" x14ac:dyDescent="0.25">
      <c r="A1488">
        <v>1126633415</v>
      </c>
      <c r="B1488" t="s">
        <v>2472</v>
      </c>
      <c r="C1488">
        <v>1</v>
      </c>
      <c r="D1488" s="1">
        <v>19.18</v>
      </c>
      <c r="E1488" s="10" t="s">
        <v>2895</v>
      </c>
      <c r="F1488" s="10" t="s">
        <v>2897</v>
      </c>
      <c r="G1488" s="10" t="s">
        <v>11</v>
      </c>
      <c r="H1488" t="s">
        <v>12</v>
      </c>
    </row>
    <row r="1489" spans="1:8" x14ac:dyDescent="0.25">
      <c r="A1489">
        <v>1126633361</v>
      </c>
      <c r="B1489" t="s">
        <v>2883</v>
      </c>
      <c r="C1489">
        <v>1</v>
      </c>
      <c r="D1489" s="1">
        <v>18.18</v>
      </c>
      <c r="E1489" s="10" t="s">
        <v>2895</v>
      </c>
      <c r="F1489" s="10" t="s">
        <v>2885</v>
      </c>
      <c r="G1489" s="10" t="s">
        <v>11</v>
      </c>
      <c r="H1489" t="s">
        <v>12</v>
      </c>
    </row>
    <row r="1490" spans="1:8" x14ac:dyDescent="0.25">
      <c r="A1490">
        <v>1126418687</v>
      </c>
      <c r="B1490" t="s">
        <v>1032</v>
      </c>
      <c r="C1490">
        <v>1</v>
      </c>
      <c r="D1490" s="1">
        <v>4.68</v>
      </c>
      <c r="E1490" s="10" t="s">
        <v>2898</v>
      </c>
      <c r="F1490" s="10" t="s">
        <v>2804</v>
      </c>
      <c r="G1490" s="10" t="s">
        <v>11</v>
      </c>
      <c r="H1490" t="s">
        <v>12</v>
      </c>
    </row>
    <row r="1491" spans="1:8" x14ac:dyDescent="0.25">
      <c r="A1491">
        <v>1126385737</v>
      </c>
      <c r="B1491" t="s">
        <v>1032</v>
      </c>
      <c r="C1491">
        <v>8</v>
      </c>
      <c r="D1491" s="1">
        <v>13.18</v>
      </c>
      <c r="E1491" s="10" t="s">
        <v>2898</v>
      </c>
      <c r="F1491" s="10" t="s">
        <v>2804</v>
      </c>
      <c r="G1491" s="10" t="s">
        <v>11</v>
      </c>
      <c r="H1491" t="s">
        <v>12</v>
      </c>
    </row>
    <row r="1492" spans="1:8" x14ac:dyDescent="0.25">
      <c r="A1492">
        <v>1126280095</v>
      </c>
      <c r="B1492" t="s">
        <v>294</v>
      </c>
      <c r="C1492">
        <v>26</v>
      </c>
      <c r="D1492" s="1">
        <v>26.88</v>
      </c>
      <c r="E1492" s="10" t="s">
        <v>2898</v>
      </c>
      <c r="F1492" s="10" t="s">
        <v>2797</v>
      </c>
      <c r="G1492" s="10" t="s">
        <v>11</v>
      </c>
      <c r="H1492" t="s">
        <v>12</v>
      </c>
    </row>
    <row r="1493" spans="1:8" x14ac:dyDescent="0.25">
      <c r="A1493">
        <v>1125859083</v>
      </c>
      <c r="B1493" t="s">
        <v>2537</v>
      </c>
      <c r="C1493">
        <v>4</v>
      </c>
      <c r="D1493" s="1">
        <v>5.0999999999999996</v>
      </c>
      <c r="E1493" s="10" t="s">
        <v>2899</v>
      </c>
      <c r="F1493" s="10" t="s">
        <v>2900</v>
      </c>
      <c r="G1493" s="10" t="s">
        <v>11</v>
      </c>
      <c r="H1493" t="s">
        <v>12</v>
      </c>
    </row>
    <row r="1494" spans="1:8" x14ac:dyDescent="0.25">
      <c r="A1494">
        <v>1125857031</v>
      </c>
      <c r="B1494" t="s">
        <v>2901</v>
      </c>
      <c r="C1494">
        <v>4</v>
      </c>
      <c r="D1494" s="1">
        <v>45.68</v>
      </c>
      <c r="E1494" s="10" t="s">
        <v>2899</v>
      </c>
      <c r="F1494" s="10" t="s">
        <v>2902</v>
      </c>
      <c r="G1494" s="10" t="s">
        <v>11</v>
      </c>
      <c r="H1494" t="s">
        <v>12</v>
      </c>
    </row>
    <row r="1495" spans="1:8" x14ac:dyDescent="0.25">
      <c r="A1495">
        <v>1125816326</v>
      </c>
      <c r="B1495" t="s">
        <v>2903</v>
      </c>
      <c r="C1495">
        <v>13</v>
      </c>
      <c r="D1495" s="1">
        <v>3.97</v>
      </c>
      <c r="E1495" s="10" t="s">
        <v>2899</v>
      </c>
      <c r="F1495" s="10" t="s">
        <v>2904</v>
      </c>
      <c r="G1495" s="10" t="s">
        <v>11</v>
      </c>
      <c r="H1495" t="s">
        <v>12</v>
      </c>
    </row>
    <row r="1496" spans="1:8" x14ac:dyDescent="0.25">
      <c r="A1496">
        <v>1125586771</v>
      </c>
      <c r="B1496" t="s">
        <v>2905</v>
      </c>
      <c r="C1496">
        <v>5</v>
      </c>
      <c r="D1496" s="1">
        <v>8.89</v>
      </c>
      <c r="E1496" s="10" t="s">
        <v>2906</v>
      </c>
      <c r="F1496" s="10" t="s">
        <v>2907</v>
      </c>
      <c r="G1496" s="10" t="s">
        <v>11</v>
      </c>
      <c r="H1496" t="s">
        <v>12</v>
      </c>
    </row>
    <row r="1497" spans="1:8" x14ac:dyDescent="0.25">
      <c r="A1497">
        <v>1124619405</v>
      </c>
      <c r="B1497" t="s">
        <v>2908</v>
      </c>
      <c r="C1497">
        <v>1</v>
      </c>
      <c r="D1497" s="1">
        <v>22.05</v>
      </c>
      <c r="E1497" s="10" t="s">
        <v>2909</v>
      </c>
      <c r="F1497" s="10" t="s">
        <v>2910</v>
      </c>
      <c r="G1497" s="10" t="s">
        <v>48</v>
      </c>
      <c r="H1497" t="s">
        <v>12</v>
      </c>
    </row>
    <row r="1498" spans="1:8" x14ac:dyDescent="0.25">
      <c r="A1498">
        <v>1124550278</v>
      </c>
      <c r="B1498" t="s">
        <v>2911</v>
      </c>
      <c r="C1498">
        <v>7</v>
      </c>
      <c r="D1498" s="1">
        <v>1.68</v>
      </c>
      <c r="E1498" s="10" t="s">
        <v>2909</v>
      </c>
      <c r="F1498" s="10" t="s">
        <v>2912</v>
      </c>
      <c r="G1498" s="10" t="s">
        <v>48</v>
      </c>
      <c r="H1498" t="s">
        <v>2314</v>
      </c>
    </row>
    <row r="1499" spans="1:8" x14ac:dyDescent="0.25">
      <c r="A1499">
        <v>1124481671</v>
      </c>
      <c r="B1499" t="s">
        <v>1032</v>
      </c>
      <c r="C1499">
        <v>8</v>
      </c>
      <c r="D1499" s="1">
        <v>8.18</v>
      </c>
      <c r="E1499" s="10" t="s">
        <v>2913</v>
      </c>
      <c r="F1499" s="10" t="s">
        <v>2804</v>
      </c>
      <c r="G1499" s="10" t="s">
        <v>11</v>
      </c>
      <c r="H1499" t="s">
        <v>12</v>
      </c>
    </row>
    <row r="1500" spans="1:8" x14ac:dyDescent="0.25">
      <c r="A1500">
        <v>1124087884</v>
      </c>
      <c r="B1500" t="s">
        <v>2707</v>
      </c>
      <c r="C1500">
        <v>3</v>
      </c>
      <c r="D1500" s="1">
        <v>61.34</v>
      </c>
      <c r="E1500" s="10" t="s">
        <v>2914</v>
      </c>
      <c r="F1500" s="10" t="s">
        <v>2915</v>
      </c>
      <c r="G1500" s="10" t="s">
        <v>11</v>
      </c>
      <c r="H1500" t="s">
        <v>12</v>
      </c>
    </row>
    <row r="1501" spans="1:8" x14ac:dyDescent="0.25">
      <c r="A1501">
        <v>1124032769</v>
      </c>
      <c r="B1501" t="s">
        <v>2916</v>
      </c>
      <c r="C1501">
        <v>2</v>
      </c>
      <c r="D1501" s="1">
        <v>15.89</v>
      </c>
      <c r="E1501" s="10" t="s">
        <v>2917</v>
      </c>
      <c r="F1501" s="10" t="s">
        <v>2918</v>
      </c>
      <c r="G1501" s="10" t="s">
        <v>11</v>
      </c>
      <c r="H1501" t="s">
        <v>12</v>
      </c>
    </row>
    <row r="1502" spans="1:8" x14ac:dyDescent="0.25">
      <c r="A1502">
        <v>1124032473</v>
      </c>
      <c r="B1502" t="s">
        <v>2919</v>
      </c>
      <c r="C1502">
        <v>21</v>
      </c>
      <c r="D1502" s="1">
        <v>18.829999999999998</v>
      </c>
      <c r="E1502" s="10" t="s">
        <v>2917</v>
      </c>
      <c r="F1502" s="10" t="s">
        <v>2920</v>
      </c>
      <c r="G1502" s="10" t="s">
        <v>11</v>
      </c>
      <c r="H1502" t="s">
        <v>12</v>
      </c>
    </row>
    <row r="1503" spans="1:8" x14ac:dyDescent="0.25">
      <c r="A1503">
        <v>1123516625</v>
      </c>
      <c r="B1503" t="s">
        <v>2921</v>
      </c>
      <c r="C1503">
        <v>3</v>
      </c>
      <c r="D1503" s="1">
        <v>1.42</v>
      </c>
      <c r="E1503" s="10" t="s">
        <v>2922</v>
      </c>
      <c r="F1503" s="10" t="s">
        <v>2923</v>
      </c>
      <c r="G1503" s="10" t="s">
        <v>48</v>
      </c>
      <c r="H1503" t="s">
        <v>2314</v>
      </c>
    </row>
    <row r="1504" spans="1:8" x14ac:dyDescent="0.25">
      <c r="A1504">
        <v>1122747495</v>
      </c>
      <c r="B1504" t="s">
        <v>1288</v>
      </c>
      <c r="C1504">
        <v>4</v>
      </c>
      <c r="D1504" s="1">
        <v>3.58</v>
      </c>
      <c r="E1504" s="10" t="s">
        <v>2924</v>
      </c>
      <c r="F1504" s="10" t="s">
        <v>2925</v>
      </c>
      <c r="G1504" s="10" t="s">
        <v>11</v>
      </c>
      <c r="H1504" t="s">
        <v>12</v>
      </c>
    </row>
    <row r="1505" spans="1:8" x14ac:dyDescent="0.25">
      <c r="A1505">
        <v>1122471058</v>
      </c>
      <c r="B1505" t="s">
        <v>2926</v>
      </c>
      <c r="C1505">
        <v>1</v>
      </c>
      <c r="D1505" s="1">
        <v>11.78</v>
      </c>
      <c r="E1505" s="10" t="s">
        <v>2927</v>
      </c>
      <c r="F1505" s="10" t="s">
        <v>2928</v>
      </c>
      <c r="G1505" s="10" t="s">
        <v>11</v>
      </c>
      <c r="H1505" t="s">
        <v>12</v>
      </c>
    </row>
    <row r="1506" spans="1:8" x14ac:dyDescent="0.25">
      <c r="A1506">
        <v>1122207247</v>
      </c>
      <c r="B1506" t="s">
        <v>2929</v>
      </c>
      <c r="C1506">
        <v>1</v>
      </c>
      <c r="D1506" s="1">
        <v>16.079999999999998</v>
      </c>
      <c r="E1506" s="10" t="s">
        <v>2930</v>
      </c>
      <c r="F1506" s="10" t="s">
        <v>2931</v>
      </c>
      <c r="G1506" s="10" t="s">
        <v>11</v>
      </c>
      <c r="H1506" t="s">
        <v>12</v>
      </c>
    </row>
    <row r="1507" spans="1:8" x14ac:dyDescent="0.25">
      <c r="A1507">
        <v>1121864735</v>
      </c>
      <c r="B1507" t="s">
        <v>2932</v>
      </c>
      <c r="C1507">
        <v>1</v>
      </c>
      <c r="D1507" s="1">
        <v>1.68</v>
      </c>
      <c r="E1507" s="10" t="s">
        <v>2933</v>
      </c>
      <c r="F1507" s="10" t="s">
        <v>2934</v>
      </c>
      <c r="G1507" s="10" t="s">
        <v>48</v>
      </c>
      <c r="H1507" t="s">
        <v>12</v>
      </c>
    </row>
    <row r="1508" spans="1:8" x14ac:dyDescent="0.25">
      <c r="A1508">
        <v>1121572848</v>
      </c>
      <c r="B1508" t="s">
        <v>2935</v>
      </c>
      <c r="C1508">
        <v>1</v>
      </c>
      <c r="D1508" s="1">
        <v>70.930000000000007</v>
      </c>
      <c r="E1508" s="10" t="s">
        <v>2936</v>
      </c>
      <c r="F1508" s="10" t="s">
        <v>2937</v>
      </c>
      <c r="G1508" s="10" t="s">
        <v>11</v>
      </c>
      <c r="H1508" t="s">
        <v>12</v>
      </c>
    </row>
    <row r="1509" spans="1:8" x14ac:dyDescent="0.25">
      <c r="A1509">
        <v>1121382086</v>
      </c>
      <c r="B1509" t="s">
        <v>2938</v>
      </c>
      <c r="C1509">
        <v>3</v>
      </c>
      <c r="D1509" s="1">
        <v>14.17</v>
      </c>
      <c r="E1509" s="10" t="s">
        <v>2939</v>
      </c>
      <c r="F1509" s="10" t="s">
        <v>2940</v>
      </c>
      <c r="G1509" s="10" t="s">
        <v>11</v>
      </c>
      <c r="H1509" t="s">
        <v>12</v>
      </c>
    </row>
    <row r="1510" spans="1:8" x14ac:dyDescent="0.25">
      <c r="A1510">
        <v>1121381944</v>
      </c>
      <c r="B1510" t="s">
        <v>2941</v>
      </c>
      <c r="C1510">
        <v>3</v>
      </c>
      <c r="D1510" s="1">
        <v>33.770000000000003</v>
      </c>
      <c r="E1510" s="10" t="s">
        <v>2939</v>
      </c>
      <c r="F1510" s="10" t="s">
        <v>2942</v>
      </c>
      <c r="G1510" s="10" t="s">
        <v>11</v>
      </c>
      <c r="H1510" t="s">
        <v>12</v>
      </c>
    </row>
    <row r="1511" spans="1:8" x14ac:dyDescent="0.25">
      <c r="A1511">
        <v>1121120101</v>
      </c>
      <c r="B1511" t="s">
        <v>499</v>
      </c>
      <c r="C1511">
        <v>5</v>
      </c>
      <c r="D1511" s="1">
        <v>214.25</v>
      </c>
      <c r="E1511" s="10" t="s">
        <v>2943</v>
      </c>
      <c r="F1511" s="10" t="s">
        <v>2944</v>
      </c>
      <c r="G1511" s="10" t="s">
        <v>11</v>
      </c>
      <c r="H1511" t="s">
        <v>12</v>
      </c>
    </row>
    <row r="1512" spans="1:8" x14ac:dyDescent="0.25">
      <c r="A1512">
        <v>1121120052</v>
      </c>
      <c r="B1512" t="s">
        <v>2945</v>
      </c>
      <c r="C1512">
        <v>11</v>
      </c>
      <c r="D1512" s="1">
        <v>104.51</v>
      </c>
      <c r="E1512" s="10" t="s">
        <v>2943</v>
      </c>
      <c r="F1512" s="10" t="s">
        <v>2946</v>
      </c>
      <c r="G1512" s="10" t="s">
        <v>11</v>
      </c>
      <c r="H1512" t="s">
        <v>12</v>
      </c>
    </row>
    <row r="1513" spans="1:8" x14ac:dyDescent="0.25">
      <c r="A1513">
        <v>1121072344</v>
      </c>
      <c r="B1513" t="s">
        <v>2947</v>
      </c>
      <c r="C1513">
        <v>1</v>
      </c>
      <c r="D1513" s="1">
        <v>224.75</v>
      </c>
      <c r="E1513" s="10" t="s">
        <v>2948</v>
      </c>
      <c r="F1513" s="10" t="s">
        <v>2949</v>
      </c>
      <c r="G1513" s="10" t="s">
        <v>11</v>
      </c>
      <c r="H1513" t="s">
        <v>12</v>
      </c>
    </row>
    <row r="1514" spans="1:8" x14ac:dyDescent="0.25">
      <c r="A1514">
        <v>1121025030</v>
      </c>
      <c r="B1514" t="s">
        <v>2950</v>
      </c>
      <c r="C1514">
        <v>2</v>
      </c>
      <c r="D1514" s="1">
        <v>17.18</v>
      </c>
      <c r="E1514" s="10" t="s">
        <v>2948</v>
      </c>
      <c r="F1514" s="10" t="s">
        <v>2951</v>
      </c>
      <c r="G1514" s="10" t="s">
        <v>38</v>
      </c>
      <c r="H1514" t="s">
        <v>12</v>
      </c>
    </row>
    <row r="1515" spans="1:8" x14ac:dyDescent="0.25">
      <c r="A1515">
        <v>1121025006</v>
      </c>
      <c r="B1515" t="s">
        <v>965</v>
      </c>
      <c r="C1515">
        <v>4</v>
      </c>
      <c r="D1515" s="1">
        <v>18.68</v>
      </c>
      <c r="E1515" s="10" t="s">
        <v>2948</v>
      </c>
      <c r="F1515" s="10" t="s">
        <v>2952</v>
      </c>
      <c r="G1515" s="10" t="s">
        <v>11</v>
      </c>
      <c r="H1515" t="s">
        <v>12</v>
      </c>
    </row>
    <row r="1516" spans="1:8" x14ac:dyDescent="0.25">
      <c r="A1516">
        <v>1120613080</v>
      </c>
      <c r="B1516" t="s">
        <v>2953</v>
      </c>
      <c r="C1516">
        <v>5</v>
      </c>
      <c r="D1516" s="1">
        <v>4.05</v>
      </c>
      <c r="E1516" s="10" t="s">
        <v>2954</v>
      </c>
      <c r="F1516" s="10" t="s">
        <v>2955</v>
      </c>
      <c r="G1516" s="10" t="s">
        <v>11</v>
      </c>
      <c r="H1516" t="s">
        <v>2314</v>
      </c>
    </row>
    <row r="1517" spans="1:8" x14ac:dyDescent="0.25">
      <c r="A1517">
        <v>1120371901</v>
      </c>
      <c r="B1517" t="s">
        <v>294</v>
      </c>
      <c r="C1517">
        <v>6</v>
      </c>
      <c r="D1517" s="1">
        <v>6.98</v>
      </c>
      <c r="E1517" s="10" t="s">
        <v>2956</v>
      </c>
      <c r="F1517" s="10" t="s">
        <v>2714</v>
      </c>
      <c r="G1517" s="10" t="s">
        <v>11</v>
      </c>
      <c r="H1517" t="s">
        <v>12</v>
      </c>
    </row>
    <row r="1518" spans="1:8" x14ac:dyDescent="0.25">
      <c r="A1518">
        <v>1120351102</v>
      </c>
      <c r="B1518" t="s">
        <v>2957</v>
      </c>
      <c r="C1518">
        <v>15</v>
      </c>
      <c r="D1518" s="1">
        <v>21.79</v>
      </c>
      <c r="E1518" s="10" t="s">
        <v>2958</v>
      </c>
      <c r="F1518" s="10" t="s">
        <v>2959</v>
      </c>
      <c r="G1518" s="10" t="s">
        <v>11</v>
      </c>
      <c r="H1518" t="s">
        <v>12</v>
      </c>
    </row>
    <row r="1519" spans="1:8" x14ac:dyDescent="0.25">
      <c r="A1519">
        <v>1120351080</v>
      </c>
      <c r="B1519" t="s">
        <v>2960</v>
      </c>
      <c r="C1519">
        <v>8</v>
      </c>
      <c r="D1519" s="1">
        <v>18.579999999999998</v>
      </c>
      <c r="E1519" s="10" t="s">
        <v>2958</v>
      </c>
      <c r="F1519" s="10" t="s">
        <v>2961</v>
      </c>
      <c r="G1519" s="10" t="s">
        <v>11</v>
      </c>
      <c r="H1519" t="s">
        <v>12</v>
      </c>
    </row>
    <row r="1520" spans="1:8" x14ac:dyDescent="0.25">
      <c r="A1520">
        <v>1120263509</v>
      </c>
      <c r="B1520" t="s">
        <v>2962</v>
      </c>
      <c r="C1520">
        <v>2</v>
      </c>
      <c r="D1520" s="1">
        <v>31.41</v>
      </c>
      <c r="E1520" s="10" t="s">
        <v>2958</v>
      </c>
      <c r="F1520" s="10" t="s">
        <v>2963</v>
      </c>
      <c r="G1520" s="10" t="s">
        <v>11</v>
      </c>
      <c r="H1520" t="s">
        <v>12</v>
      </c>
    </row>
    <row r="1521" spans="1:8" x14ac:dyDescent="0.25">
      <c r="A1521">
        <v>1120184240</v>
      </c>
      <c r="B1521" t="s">
        <v>2964</v>
      </c>
      <c r="C1521">
        <v>1</v>
      </c>
      <c r="D1521" s="1">
        <v>30.44</v>
      </c>
      <c r="E1521" s="10" t="s">
        <v>2965</v>
      </c>
      <c r="F1521" s="10" t="s">
        <v>2966</v>
      </c>
      <c r="G1521" s="10" t="s">
        <v>11</v>
      </c>
      <c r="H1521" t="s">
        <v>12</v>
      </c>
    </row>
    <row r="1522" spans="1:8" x14ac:dyDescent="0.25">
      <c r="A1522">
        <v>1120143415</v>
      </c>
      <c r="B1522" t="s">
        <v>1278</v>
      </c>
      <c r="C1522">
        <v>1</v>
      </c>
      <c r="D1522" s="1">
        <v>130.28</v>
      </c>
      <c r="E1522" s="10" t="s">
        <v>2965</v>
      </c>
      <c r="F1522" s="10" t="s">
        <v>2967</v>
      </c>
      <c r="G1522" s="10" t="s">
        <v>48</v>
      </c>
      <c r="H1522" t="s">
        <v>12</v>
      </c>
    </row>
    <row r="1523" spans="1:8" x14ac:dyDescent="0.25">
      <c r="A1523">
        <v>1119967728</v>
      </c>
      <c r="B1523" t="s">
        <v>2968</v>
      </c>
      <c r="C1523">
        <v>5</v>
      </c>
      <c r="D1523" s="1">
        <v>45.78</v>
      </c>
      <c r="E1523" s="10" t="s">
        <v>2969</v>
      </c>
      <c r="F1523" s="10" t="s">
        <v>2970</v>
      </c>
      <c r="G1523" s="10" t="s">
        <v>11</v>
      </c>
      <c r="H1523" t="s">
        <v>12</v>
      </c>
    </row>
    <row r="1524" spans="1:8" x14ac:dyDescent="0.25">
      <c r="A1524">
        <v>1119858259</v>
      </c>
      <c r="B1524" t="s">
        <v>2971</v>
      </c>
      <c r="C1524">
        <v>5</v>
      </c>
      <c r="D1524" s="1">
        <v>97.78</v>
      </c>
      <c r="E1524" s="10" t="s">
        <v>2972</v>
      </c>
      <c r="F1524" s="10" t="s">
        <v>2973</v>
      </c>
      <c r="G1524" s="10" t="s">
        <v>48</v>
      </c>
      <c r="H1524" t="s">
        <v>12</v>
      </c>
    </row>
    <row r="1525" spans="1:8" x14ac:dyDescent="0.25">
      <c r="A1525">
        <v>1119702784</v>
      </c>
      <c r="B1525" t="s">
        <v>2974</v>
      </c>
      <c r="C1525">
        <v>1</v>
      </c>
      <c r="D1525" s="1">
        <v>46.69</v>
      </c>
      <c r="E1525" s="10" t="s">
        <v>2975</v>
      </c>
      <c r="F1525" s="10" t="s">
        <v>2976</v>
      </c>
      <c r="G1525" s="10" t="s">
        <v>11</v>
      </c>
      <c r="H1525" t="s">
        <v>12</v>
      </c>
    </row>
    <row r="1526" spans="1:8" x14ac:dyDescent="0.25">
      <c r="A1526">
        <v>1119629203</v>
      </c>
      <c r="B1526" t="s">
        <v>2977</v>
      </c>
      <c r="C1526">
        <v>1</v>
      </c>
      <c r="D1526" s="1">
        <v>121.43</v>
      </c>
      <c r="E1526" s="10" t="s">
        <v>2975</v>
      </c>
      <c r="F1526" s="10" t="s">
        <v>2978</v>
      </c>
      <c r="G1526" s="10" t="s">
        <v>11</v>
      </c>
      <c r="H1526" t="s">
        <v>12</v>
      </c>
    </row>
    <row r="1527" spans="1:8" x14ac:dyDescent="0.25">
      <c r="A1527">
        <v>1119383595</v>
      </c>
      <c r="B1527" t="s">
        <v>2979</v>
      </c>
      <c r="C1527">
        <v>1</v>
      </c>
      <c r="D1527" s="1">
        <v>8.17</v>
      </c>
      <c r="E1527" s="10" t="s">
        <v>2980</v>
      </c>
      <c r="F1527" s="10" t="s">
        <v>2981</v>
      </c>
      <c r="G1527" s="10" t="s">
        <v>48</v>
      </c>
      <c r="H1527" t="s">
        <v>12</v>
      </c>
    </row>
    <row r="1528" spans="1:8" x14ac:dyDescent="0.25">
      <c r="A1528">
        <v>1119214426</v>
      </c>
      <c r="B1528" t="s">
        <v>2982</v>
      </c>
      <c r="C1528">
        <v>1</v>
      </c>
      <c r="D1528" s="1">
        <v>40.630000000000003</v>
      </c>
      <c r="E1528" s="10" t="s">
        <v>2983</v>
      </c>
      <c r="F1528" s="10" t="s">
        <v>2984</v>
      </c>
      <c r="G1528" s="10" t="s">
        <v>11</v>
      </c>
      <c r="H1528" t="s">
        <v>12</v>
      </c>
    </row>
    <row r="1529" spans="1:8" x14ac:dyDescent="0.25">
      <c r="A1529">
        <v>1119030892</v>
      </c>
      <c r="B1529" t="s">
        <v>2985</v>
      </c>
      <c r="C1529">
        <v>1</v>
      </c>
      <c r="D1529" s="1">
        <v>12.18</v>
      </c>
      <c r="E1529" s="10" t="s">
        <v>2986</v>
      </c>
      <c r="F1529" s="10" t="s">
        <v>2987</v>
      </c>
      <c r="G1529" s="10" t="s">
        <v>11</v>
      </c>
      <c r="H1529" t="s">
        <v>12</v>
      </c>
    </row>
    <row r="1530" spans="1:8" x14ac:dyDescent="0.25">
      <c r="A1530">
        <v>1119029045</v>
      </c>
      <c r="B1530" t="s">
        <v>1278</v>
      </c>
      <c r="C1530">
        <v>6</v>
      </c>
      <c r="D1530" s="1">
        <v>11.68</v>
      </c>
      <c r="E1530" s="10" t="s">
        <v>2986</v>
      </c>
      <c r="F1530" s="10" t="s">
        <v>2988</v>
      </c>
      <c r="G1530" s="10" t="s">
        <v>11</v>
      </c>
      <c r="H1530" t="s">
        <v>12</v>
      </c>
    </row>
    <row r="1531" spans="1:8" x14ac:dyDescent="0.25">
      <c r="A1531">
        <v>1119029040</v>
      </c>
      <c r="B1531" t="s">
        <v>237</v>
      </c>
      <c r="C1531">
        <v>40</v>
      </c>
      <c r="D1531" s="1">
        <v>34.15</v>
      </c>
      <c r="E1531" s="10" t="s">
        <v>2986</v>
      </c>
      <c r="F1531" s="10" t="s">
        <v>1765</v>
      </c>
      <c r="G1531" s="10" t="s">
        <v>11</v>
      </c>
      <c r="H1531" t="s">
        <v>12</v>
      </c>
    </row>
    <row r="1532" spans="1:8" x14ac:dyDescent="0.25">
      <c r="A1532">
        <v>1118973077</v>
      </c>
      <c r="B1532" t="s">
        <v>2989</v>
      </c>
      <c r="C1532">
        <v>5</v>
      </c>
      <c r="D1532" s="1">
        <v>8.8800000000000008</v>
      </c>
      <c r="E1532" s="10" t="s">
        <v>2986</v>
      </c>
      <c r="F1532" s="10" t="s">
        <v>2990</v>
      </c>
      <c r="G1532" s="10" t="s">
        <v>11</v>
      </c>
      <c r="H1532" t="s">
        <v>12</v>
      </c>
    </row>
    <row r="1533" spans="1:8" x14ac:dyDescent="0.25">
      <c r="A1533">
        <v>1118939896</v>
      </c>
      <c r="B1533" t="s">
        <v>2991</v>
      </c>
      <c r="C1533">
        <v>5</v>
      </c>
      <c r="D1533" s="1">
        <v>8.0299999999999994</v>
      </c>
      <c r="E1533" s="10" t="s">
        <v>2992</v>
      </c>
      <c r="F1533" s="10" t="s">
        <v>2993</v>
      </c>
      <c r="G1533" s="10" t="s">
        <v>11</v>
      </c>
      <c r="H1533" t="s">
        <v>12</v>
      </c>
    </row>
    <row r="1534" spans="1:8" x14ac:dyDescent="0.25">
      <c r="A1534">
        <v>1118900442</v>
      </c>
      <c r="B1534" t="s">
        <v>2994</v>
      </c>
      <c r="C1534">
        <v>9</v>
      </c>
      <c r="D1534" s="1">
        <v>10.56</v>
      </c>
      <c r="E1534" s="10" t="s">
        <v>2992</v>
      </c>
      <c r="F1534" s="10" t="s">
        <v>2995</v>
      </c>
      <c r="G1534" s="10" t="s">
        <v>11</v>
      </c>
      <c r="H1534" t="s">
        <v>2314</v>
      </c>
    </row>
    <row r="1535" spans="1:8" x14ac:dyDescent="0.25">
      <c r="A1535">
        <v>1118807588</v>
      </c>
      <c r="B1535" t="s">
        <v>2996</v>
      </c>
      <c r="C1535">
        <v>1</v>
      </c>
      <c r="D1535" s="1">
        <v>5.18</v>
      </c>
      <c r="E1535" s="10" t="s">
        <v>2997</v>
      </c>
      <c r="F1535" s="10" t="s">
        <v>2998</v>
      </c>
      <c r="G1535" s="10" t="s">
        <v>11</v>
      </c>
      <c r="H1535" t="s">
        <v>12</v>
      </c>
    </row>
    <row r="1536" spans="1:8" x14ac:dyDescent="0.25">
      <c r="A1536">
        <v>1118807160</v>
      </c>
      <c r="B1536" t="s">
        <v>2999</v>
      </c>
      <c r="C1536">
        <v>4</v>
      </c>
      <c r="D1536" s="1">
        <v>9.3800000000000008</v>
      </c>
      <c r="E1536" s="10" t="s">
        <v>2997</v>
      </c>
      <c r="F1536" s="10" t="s">
        <v>3000</v>
      </c>
      <c r="G1536" s="10" t="s">
        <v>11</v>
      </c>
      <c r="H1536" t="s">
        <v>12</v>
      </c>
    </row>
    <row r="1537" spans="1:8" x14ac:dyDescent="0.25">
      <c r="A1537">
        <v>1118805255</v>
      </c>
      <c r="B1537" t="s">
        <v>3001</v>
      </c>
      <c r="C1537">
        <v>3</v>
      </c>
      <c r="D1537" s="1">
        <v>8.8000000000000007</v>
      </c>
      <c r="E1537" s="10" t="s">
        <v>2997</v>
      </c>
      <c r="F1537" s="10" t="s">
        <v>3002</v>
      </c>
      <c r="G1537" s="10" t="s">
        <v>11</v>
      </c>
      <c r="H1537" t="s">
        <v>12</v>
      </c>
    </row>
    <row r="1538" spans="1:8" x14ac:dyDescent="0.25">
      <c r="A1538">
        <v>1118802905</v>
      </c>
      <c r="B1538" t="s">
        <v>294</v>
      </c>
      <c r="C1538">
        <v>10</v>
      </c>
      <c r="D1538" s="1">
        <v>7.46</v>
      </c>
      <c r="E1538" s="10" t="s">
        <v>2997</v>
      </c>
      <c r="F1538" s="10" t="s">
        <v>2714</v>
      </c>
      <c r="G1538" s="10" t="s">
        <v>11</v>
      </c>
      <c r="H1538" t="s">
        <v>12</v>
      </c>
    </row>
    <row r="1539" spans="1:8" x14ac:dyDescent="0.25">
      <c r="A1539">
        <v>1118802190</v>
      </c>
      <c r="B1539" t="s">
        <v>1105</v>
      </c>
      <c r="C1539">
        <v>14</v>
      </c>
      <c r="D1539" s="1">
        <v>23.29</v>
      </c>
      <c r="E1539" s="10" t="s">
        <v>2997</v>
      </c>
      <c r="F1539" s="10" t="s">
        <v>3003</v>
      </c>
      <c r="G1539" s="10" t="s">
        <v>11</v>
      </c>
      <c r="H1539" t="s">
        <v>12</v>
      </c>
    </row>
    <row r="1540" spans="1:8" x14ac:dyDescent="0.25">
      <c r="A1540">
        <v>1118790808</v>
      </c>
      <c r="B1540" t="s">
        <v>3004</v>
      </c>
      <c r="C1540">
        <v>1</v>
      </c>
      <c r="D1540" s="1">
        <v>3.18</v>
      </c>
      <c r="E1540" s="10" t="s">
        <v>2997</v>
      </c>
      <c r="F1540" s="10" t="s">
        <v>3005</v>
      </c>
      <c r="G1540" s="10" t="s">
        <v>48</v>
      </c>
      <c r="H1540" t="s">
        <v>12</v>
      </c>
    </row>
    <row r="1541" spans="1:8" x14ac:dyDescent="0.25">
      <c r="A1541">
        <v>1118682318</v>
      </c>
      <c r="B1541" t="s">
        <v>3006</v>
      </c>
      <c r="C1541">
        <v>1</v>
      </c>
      <c r="D1541" s="1">
        <v>33.93</v>
      </c>
      <c r="E1541" s="10" t="s">
        <v>3007</v>
      </c>
      <c r="F1541" s="10" t="s">
        <v>3008</v>
      </c>
      <c r="G1541" s="10" t="s">
        <v>11</v>
      </c>
      <c r="H1541" t="s">
        <v>12</v>
      </c>
    </row>
    <row r="1542" spans="1:8" x14ac:dyDescent="0.25">
      <c r="A1542">
        <v>1118605239</v>
      </c>
      <c r="B1542" t="s">
        <v>3009</v>
      </c>
      <c r="C1542">
        <v>1</v>
      </c>
      <c r="D1542" s="1">
        <v>30.41</v>
      </c>
      <c r="E1542" s="10" t="s">
        <v>3007</v>
      </c>
      <c r="F1542" s="10" t="s">
        <v>3010</v>
      </c>
      <c r="G1542" s="10" t="s">
        <v>11</v>
      </c>
      <c r="H1542" t="s">
        <v>12</v>
      </c>
    </row>
    <row r="1543" spans="1:8" x14ac:dyDescent="0.25">
      <c r="A1543">
        <v>1118576293</v>
      </c>
      <c r="B1543" t="s">
        <v>3011</v>
      </c>
      <c r="C1543">
        <v>1</v>
      </c>
      <c r="D1543" s="1">
        <v>29.2</v>
      </c>
      <c r="E1543" s="10" t="s">
        <v>3007</v>
      </c>
      <c r="F1543" s="10" t="s">
        <v>3012</v>
      </c>
      <c r="G1543" s="10" t="s">
        <v>38</v>
      </c>
      <c r="H1543" t="s">
        <v>12</v>
      </c>
    </row>
    <row r="1544" spans="1:8" x14ac:dyDescent="0.25">
      <c r="A1544">
        <v>1118441783</v>
      </c>
      <c r="B1544" t="s">
        <v>3013</v>
      </c>
      <c r="C1544">
        <v>1</v>
      </c>
      <c r="D1544" s="1">
        <v>37.6</v>
      </c>
      <c r="E1544" s="10" t="s">
        <v>3014</v>
      </c>
      <c r="F1544" s="10" t="s">
        <v>3015</v>
      </c>
      <c r="G1544" s="10" t="s">
        <v>11</v>
      </c>
      <c r="H1544" t="s">
        <v>12</v>
      </c>
    </row>
    <row r="1545" spans="1:8" x14ac:dyDescent="0.25">
      <c r="A1545">
        <v>1118440465</v>
      </c>
      <c r="B1545" t="s">
        <v>3016</v>
      </c>
      <c r="C1545">
        <v>1</v>
      </c>
      <c r="D1545" s="1">
        <v>34.43</v>
      </c>
      <c r="E1545" s="10" t="s">
        <v>3014</v>
      </c>
      <c r="F1545" s="10" t="s">
        <v>3017</v>
      </c>
      <c r="G1545" s="10" t="s">
        <v>11</v>
      </c>
      <c r="H1545" t="s">
        <v>12</v>
      </c>
    </row>
    <row r="1546" spans="1:8" x14ac:dyDescent="0.25">
      <c r="A1546">
        <v>1118027162</v>
      </c>
      <c r="B1546" t="s">
        <v>1105</v>
      </c>
      <c r="C1546">
        <v>7</v>
      </c>
      <c r="D1546" s="1">
        <v>50.06</v>
      </c>
      <c r="E1546" s="10" t="s">
        <v>3018</v>
      </c>
      <c r="F1546" s="10" t="s">
        <v>3019</v>
      </c>
      <c r="G1546" s="10" t="s">
        <v>11</v>
      </c>
      <c r="H1546" t="s">
        <v>12</v>
      </c>
    </row>
    <row r="1547" spans="1:8" x14ac:dyDescent="0.25">
      <c r="A1547">
        <v>1118026707</v>
      </c>
      <c r="B1547" t="s">
        <v>2537</v>
      </c>
      <c r="C1547">
        <v>1</v>
      </c>
      <c r="D1547" s="1">
        <v>20.170000000000002</v>
      </c>
      <c r="E1547" s="10" t="s">
        <v>3018</v>
      </c>
      <c r="F1547" s="10" t="s">
        <v>2900</v>
      </c>
      <c r="G1547" s="10" t="s">
        <v>11</v>
      </c>
      <c r="H1547" t="s">
        <v>12</v>
      </c>
    </row>
    <row r="1548" spans="1:8" x14ac:dyDescent="0.25">
      <c r="A1548">
        <v>1118025685</v>
      </c>
      <c r="B1548" t="s">
        <v>3020</v>
      </c>
      <c r="C1548">
        <v>2</v>
      </c>
      <c r="D1548" s="1">
        <v>25.87</v>
      </c>
      <c r="E1548" s="10" t="s">
        <v>3018</v>
      </c>
      <c r="F1548" s="10" t="s">
        <v>3021</v>
      </c>
      <c r="G1548" s="10" t="s">
        <v>11</v>
      </c>
      <c r="H1548" t="s">
        <v>12</v>
      </c>
    </row>
    <row r="1549" spans="1:8" x14ac:dyDescent="0.25">
      <c r="A1549">
        <v>1118014908</v>
      </c>
      <c r="B1549" t="s">
        <v>3022</v>
      </c>
      <c r="C1549">
        <v>1</v>
      </c>
      <c r="D1549" s="1">
        <v>32.75</v>
      </c>
      <c r="E1549" s="10" t="s">
        <v>3018</v>
      </c>
      <c r="F1549" s="10" t="s">
        <v>3023</v>
      </c>
      <c r="G1549" s="10" t="s">
        <v>48</v>
      </c>
      <c r="H1549" t="s">
        <v>12</v>
      </c>
    </row>
    <row r="1550" spans="1:8" x14ac:dyDescent="0.25">
      <c r="A1550">
        <v>1117936951</v>
      </c>
      <c r="B1550" t="s">
        <v>3024</v>
      </c>
      <c r="C1550">
        <v>8</v>
      </c>
      <c r="D1550" s="1">
        <v>1.68</v>
      </c>
      <c r="E1550" s="10" t="s">
        <v>3025</v>
      </c>
      <c r="F1550" s="10" t="s">
        <v>3026</v>
      </c>
      <c r="G1550" s="10" t="s">
        <v>11</v>
      </c>
      <c r="H1550" t="s">
        <v>12</v>
      </c>
    </row>
    <row r="1551" spans="1:8" x14ac:dyDescent="0.25">
      <c r="A1551">
        <v>1117930699</v>
      </c>
      <c r="B1551" t="s">
        <v>3027</v>
      </c>
      <c r="C1551">
        <v>4</v>
      </c>
      <c r="D1551" s="1">
        <v>17.98</v>
      </c>
      <c r="E1551" s="10" t="s">
        <v>3025</v>
      </c>
      <c r="F1551" s="10" t="s">
        <v>3028</v>
      </c>
      <c r="G1551" s="10" t="s">
        <v>11</v>
      </c>
      <c r="H1551" t="s">
        <v>12</v>
      </c>
    </row>
    <row r="1552" spans="1:8" x14ac:dyDescent="0.25">
      <c r="A1552">
        <v>1117791151</v>
      </c>
      <c r="B1552" t="s">
        <v>2290</v>
      </c>
      <c r="C1552">
        <v>123</v>
      </c>
      <c r="D1552" s="1">
        <v>30.7</v>
      </c>
      <c r="E1552" s="10" t="s">
        <v>3029</v>
      </c>
      <c r="F1552" s="10" t="s">
        <v>2292</v>
      </c>
      <c r="G1552" s="10" t="s">
        <v>11</v>
      </c>
      <c r="H1552" t="s">
        <v>266</v>
      </c>
    </row>
    <row r="1553" spans="1:8" x14ac:dyDescent="0.25">
      <c r="A1553">
        <v>1117728794</v>
      </c>
      <c r="B1553" t="s">
        <v>181</v>
      </c>
      <c r="C1553">
        <v>4</v>
      </c>
      <c r="D1553" s="1">
        <v>6.16</v>
      </c>
      <c r="E1553" s="10" t="s">
        <v>3030</v>
      </c>
      <c r="F1553" s="10" t="s">
        <v>3031</v>
      </c>
      <c r="G1553" s="10" t="s">
        <v>11</v>
      </c>
      <c r="H1553" t="s">
        <v>12</v>
      </c>
    </row>
    <row r="1554" spans="1:8" x14ac:dyDescent="0.25">
      <c r="A1554">
        <v>1117728792</v>
      </c>
      <c r="B1554" t="s">
        <v>3032</v>
      </c>
      <c r="C1554">
        <v>2</v>
      </c>
      <c r="D1554" s="1">
        <v>2.13</v>
      </c>
      <c r="E1554" s="10" t="s">
        <v>3030</v>
      </c>
      <c r="F1554" s="10" t="s">
        <v>3033</v>
      </c>
      <c r="G1554" s="10" t="s">
        <v>11</v>
      </c>
      <c r="H1554" t="s">
        <v>12</v>
      </c>
    </row>
    <row r="1555" spans="1:8" x14ac:dyDescent="0.25">
      <c r="A1555">
        <v>1117727666</v>
      </c>
      <c r="B1555" t="s">
        <v>3027</v>
      </c>
      <c r="C1555">
        <v>6</v>
      </c>
      <c r="D1555" s="1">
        <v>4.01</v>
      </c>
      <c r="E1555" s="10" t="s">
        <v>3030</v>
      </c>
      <c r="F1555" s="10" t="s">
        <v>3028</v>
      </c>
      <c r="G1555" s="10" t="s">
        <v>11</v>
      </c>
      <c r="H1555" t="s">
        <v>12</v>
      </c>
    </row>
    <row r="1556" spans="1:8" x14ac:dyDescent="0.25">
      <c r="A1556">
        <v>1117727435</v>
      </c>
      <c r="B1556" t="s">
        <v>3034</v>
      </c>
      <c r="C1556">
        <v>5</v>
      </c>
      <c r="D1556" s="1">
        <v>4.26</v>
      </c>
      <c r="E1556" s="10" t="s">
        <v>3030</v>
      </c>
      <c r="F1556" s="10" t="s">
        <v>3035</v>
      </c>
      <c r="G1556" s="10" t="s">
        <v>11</v>
      </c>
      <c r="H1556" t="s">
        <v>12</v>
      </c>
    </row>
    <row r="1557" spans="1:8" x14ac:dyDescent="0.25">
      <c r="A1557">
        <v>1117726524</v>
      </c>
      <c r="B1557" t="s">
        <v>3036</v>
      </c>
      <c r="C1557">
        <v>17</v>
      </c>
      <c r="D1557" s="1">
        <v>5.44</v>
      </c>
      <c r="E1557" s="10" t="s">
        <v>3030</v>
      </c>
      <c r="F1557" s="10" t="s">
        <v>3037</v>
      </c>
      <c r="G1557" s="10" t="s">
        <v>11</v>
      </c>
      <c r="H1557" t="s">
        <v>12</v>
      </c>
    </row>
    <row r="1558" spans="1:8" x14ac:dyDescent="0.25">
      <c r="A1558">
        <v>1117712995</v>
      </c>
      <c r="B1558" t="s">
        <v>3038</v>
      </c>
      <c r="C1558">
        <v>41</v>
      </c>
      <c r="D1558" s="1">
        <v>36.99</v>
      </c>
      <c r="E1558" s="10" t="s">
        <v>3030</v>
      </c>
      <c r="F1558" s="10" t="s">
        <v>3039</v>
      </c>
      <c r="G1558" s="10" t="s">
        <v>11</v>
      </c>
      <c r="H1558" t="s">
        <v>12</v>
      </c>
    </row>
    <row r="1559" spans="1:8" x14ac:dyDescent="0.25">
      <c r="A1559">
        <v>1116208559</v>
      </c>
      <c r="B1559" t="s">
        <v>3040</v>
      </c>
      <c r="C1559">
        <v>4</v>
      </c>
      <c r="D1559" s="1">
        <v>19.38</v>
      </c>
      <c r="E1559" s="10" t="s">
        <v>3041</v>
      </c>
      <c r="F1559" s="10" t="s">
        <v>3042</v>
      </c>
      <c r="G1559" s="10" t="s">
        <v>11</v>
      </c>
      <c r="H1559" t="s">
        <v>12</v>
      </c>
    </row>
    <row r="1560" spans="1:8" x14ac:dyDescent="0.25">
      <c r="A1560">
        <v>1115945555</v>
      </c>
      <c r="B1560" t="s">
        <v>3043</v>
      </c>
      <c r="C1560">
        <v>4</v>
      </c>
      <c r="D1560" s="1">
        <v>30.61</v>
      </c>
      <c r="E1560" s="10" t="s">
        <v>3044</v>
      </c>
      <c r="F1560" s="10" t="s">
        <v>3045</v>
      </c>
      <c r="G1560" s="10" t="s">
        <v>11</v>
      </c>
      <c r="H1560" t="s">
        <v>12</v>
      </c>
    </row>
    <row r="1561" spans="1:8" x14ac:dyDescent="0.25">
      <c r="A1561">
        <v>1115850700</v>
      </c>
      <c r="B1561" t="s">
        <v>3046</v>
      </c>
      <c r="C1561">
        <v>2</v>
      </c>
      <c r="D1561" s="1">
        <v>21.18</v>
      </c>
      <c r="E1561" s="10" t="s">
        <v>3047</v>
      </c>
      <c r="F1561" s="10" t="s">
        <v>3048</v>
      </c>
      <c r="G1561" s="10" t="s">
        <v>11</v>
      </c>
      <c r="H1561" t="s">
        <v>12</v>
      </c>
    </row>
    <row r="1562" spans="1:8" x14ac:dyDescent="0.25">
      <c r="A1562">
        <v>1115848817</v>
      </c>
      <c r="B1562" t="s">
        <v>3049</v>
      </c>
      <c r="C1562">
        <v>15</v>
      </c>
      <c r="D1562" s="1">
        <v>16.48</v>
      </c>
      <c r="E1562" s="10" t="s">
        <v>3047</v>
      </c>
      <c r="F1562" s="10" t="s">
        <v>3050</v>
      </c>
      <c r="G1562" s="10" t="s">
        <v>11</v>
      </c>
      <c r="H1562" t="s">
        <v>12</v>
      </c>
    </row>
    <row r="1563" spans="1:8" x14ac:dyDescent="0.25">
      <c r="A1563">
        <v>1115848816</v>
      </c>
      <c r="B1563" t="s">
        <v>3051</v>
      </c>
      <c r="C1563">
        <v>5</v>
      </c>
      <c r="D1563" s="1">
        <v>11.18</v>
      </c>
      <c r="E1563" s="10" t="s">
        <v>3047</v>
      </c>
      <c r="F1563" s="10" t="s">
        <v>3052</v>
      </c>
      <c r="G1563" s="10" t="s">
        <v>11</v>
      </c>
      <c r="H1563" t="s">
        <v>12</v>
      </c>
    </row>
    <row r="1564" spans="1:8" x14ac:dyDescent="0.25">
      <c r="A1564">
        <v>1115785176</v>
      </c>
      <c r="B1564" t="s">
        <v>3053</v>
      </c>
      <c r="C1564">
        <v>4</v>
      </c>
      <c r="D1564" s="1">
        <v>4.9800000000000004</v>
      </c>
      <c r="E1564" s="10" t="s">
        <v>3054</v>
      </c>
      <c r="F1564" s="10" t="s">
        <v>3055</v>
      </c>
      <c r="G1564" s="10" t="s">
        <v>11</v>
      </c>
      <c r="H1564" t="s">
        <v>12</v>
      </c>
    </row>
    <row r="1565" spans="1:8" x14ac:dyDescent="0.25">
      <c r="A1565">
        <v>1115784837</v>
      </c>
      <c r="B1565" t="s">
        <v>2722</v>
      </c>
      <c r="C1565">
        <v>2</v>
      </c>
      <c r="D1565" s="1">
        <v>2.91</v>
      </c>
      <c r="E1565" s="10" t="s">
        <v>3054</v>
      </c>
      <c r="F1565" s="10" t="s">
        <v>3056</v>
      </c>
      <c r="G1565" s="10" t="s">
        <v>11</v>
      </c>
      <c r="H1565" t="s">
        <v>12</v>
      </c>
    </row>
    <row r="1566" spans="1:8" x14ac:dyDescent="0.25">
      <c r="A1566">
        <v>1115781748</v>
      </c>
      <c r="B1566" t="s">
        <v>2542</v>
      </c>
      <c r="C1566">
        <v>10</v>
      </c>
      <c r="D1566" s="1">
        <v>23.59</v>
      </c>
      <c r="E1566" s="10" t="s">
        <v>3054</v>
      </c>
      <c r="F1566" s="10" t="s">
        <v>3057</v>
      </c>
      <c r="G1566" s="10" t="s">
        <v>11</v>
      </c>
      <c r="H1566" t="s">
        <v>12</v>
      </c>
    </row>
    <row r="1567" spans="1:8" x14ac:dyDescent="0.25">
      <c r="A1567">
        <v>1114864047</v>
      </c>
      <c r="B1567" t="s">
        <v>2163</v>
      </c>
      <c r="C1567">
        <v>2</v>
      </c>
      <c r="D1567" s="1">
        <v>7.18</v>
      </c>
      <c r="E1567" s="10" t="s">
        <v>3054</v>
      </c>
      <c r="F1567" s="10" t="s">
        <v>3058</v>
      </c>
      <c r="G1567" s="10" t="s">
        <v>38</v>
      </c>
      <c r="H1567" t="s">
        <v>12</v>
      </c>
    </row>
    <row r="1568" spans="1:8" x14ac:dyDescent="0.25">
      <c r="A1568">
        <v>1114545520</v>
      </c>
      <c r="B1568" t="s">
        <v>3059</v>
      </c>
      <c r="C1568">
        <v>1</v>
      </c>
      <c r="D1568" s="1">
        <v>2.17</v>
      </c>
      <c r="E1568" s="10" t="s">
        <v>3060</v>
      </c>
      <c r="F1568" s="10" t="s">
        <v>3061</v>
      </c>
      <c r="G1568" s="10" t="s">
        <v>48</v>
      </c>
      <c r="H1568" t="s">
        <v>12</v>
      </c>
    </row>
    <row r="1569" spans="1:8" x14ac:dyDescent="0.25">
      <c r="A1569">
        <v>1115028328</v>
      </c>
      <c r="B1569" t="s">
        <v>3062</v>
      </c>
      <c r="C1569">
        <v>5</v>
      </c>
      <c r="D1569" s="1">
        <v>37.85</v>
      </c>
      <c r="E1569" s="10" t="s">
        <v>3063</v>
      </c>
      <c r="F1569" s="10" t="s">
        <v>3064</v>
      </c>
      <c r="G1569" s="10" t="s">
        <v>11</v>
      </c>
      <c r="H1569" t="s">
        <v>12</v>
      </c>
    </row>
    <row r="1570" spans="1:8" x14ac:dyDescent="0.25">
      <c r="A1570">
        <v>1114867045</v>
      </c>
      <c r="B1570" t="s">
        <v>3065</v>
      </c>
      <c r="C1570">
        <v>1</v>
      </c>
      <c r="D1570" s="1">
        <v>37.090000000000003</v>
      </c>
      <c r="E1570" s="10" t="s">
        <v>3063</v>
      </c>
      <c r="F1570" s="10" t="s">
        <v>3066</v>
      </c>
      <c r="G1570" s="10" t="s">
        <v>11</v>
      </c>
      <c r="H1570" t="s">
        <v>12</v>
      </c>
    </row>
    <row r="1571" spans="1:8" x14ac:dyDescent="0.25">
      <c r="A1571">
        <v>1114864525</v>
      </c>
      <c r="B1571" t="s">
        <v>3067</v>
      </c>
      <c r="C1571">
        <v>1</v>
      </c>
      <c r="D1571" s="1">
        <v>88.1</v>
      </c>
      <c r="E1571" s="10" t="s">
        <v>3068</v>
      </c>
      <c r="F1571" s="10" t="s">
        <v>3069</v>
      </c>
      <c r="G1571" s="10" t="s">
        <v>11</v>
      </c>
      <c r="H1571" t="s">
        <v>12</v>
      </c>
    </row>
    <row r="1572" spans="1:8" x14ac:dyDescent="0.25">
      <c r="A1572">
        <v>1113861639</v>
      </c>
      <c r="B1572" t="s">
        <v>3070</v>
      </c>
      <c r="C1572">
        <v>1</v>
      </c>
      <c r="D1572" s="1">
        <v>38.06</v>
      </c>
      <c r="E1572" s="10" t="s">
        <v>3071</v>
      </c>
      <c r="F1572" s="10" t="s">
        <v>3072</v>
      </c>
      <c r="G1572" s="10" t="s">
        <v>11</v>
      </c>
      <c r="H1572" t="s">
        <v>12</v>
      </c>
    </row>
    <row r="1573" spans="1:8" x14ac:dyDescent="0.25">
      <c r="A1573">
        <v>1112996514</v>
      </c>
      <c r="B1573" t="s">
        <v>3073</v>
      </c>
      <c r="C1573">
        <v>2</v>
      </c>
      <c r="D1573" s="1">
        <v>5.18</v>
      </c>
      <c r="E1573" s="10" t="s">
        <v>3071</v>
      </c>
      <c r="F1573" s="10" t="s">
        <v>3074</v>
      </c>
      <c r="G1573" s="10" t="s">
        <v>48</v>
      </c>
      <c r="H1573" t="s">
        <v>12</v>
      </c>
    </row>
    <row r="1574" spans="1:8" x14ac:dyDescent="0.25">
      <c r="A1574">
        <v>1113339417</v>
      </c>
      <c r="B1574" t="s">
        <v>3075</v>
      </c>
      <c r="C1574">
        <v>1</v>
      </c>
      <c r="D1574" s="1">
        <v>5.43</v>
      </c>
      <c r="E1574" s="10" t="s">
        <v>3076</v>
      </c>
      <c r="F1574" s="10" t="s">
        <v>3077</v>
      </c>
      <c r="G1574" s="10" t="s">
        <v>11</v>
      </c>
      <c r="H1574" t="s">
        <v>12</v>
      </c>
    </row>
    <row r="1575" spans="1:8" x14ac:dyDescent="0.25">
      <c r="A1575">
        <v>1113722095</v>
      </c>
      <c r="B1575" t="s">
        <v>179</v>
      </c>
      <c r="C1575">
        <v>1</v>
      </c>
      <c r="D1575" s="1">
        <v>1.2</v>
      </c>
      <c r="E1575" s="10" t="s">
        <v>3078</v>
      </c>
      <c r="F1575" s="10" t="s">
        <v>3079</v>
      </c>
      <c r="G1575" s="10" t="s">
        <v>11</v>
      </c>
      <c r="H1575" t="s">
        <v>2314</v>
      </c>
    </row>
    <row r="1576" spans="1:8" x14ac:dyDescent="0.25">
      <c r="A1576">
        <v>1113720587</v>
      </c>
      <c r="B1576" t="s">
        <v>3080</v>
      </c>
      <c r="C1576">
        <v>20</v>
      </c>
      <c r="D1576" s="1">
        <v>49.14</v>
      </c>
      <c r="E1576" s="10" t="s">
        <v>3078</v>
      </c>
      <c r="F1576" s="10" t="s">
        <v>3081</v>
      </c>
      <c r="G1576" s="10" t="s">
        <v>11</v>
      </c>
      <c r="H1576" t="s">
        <v>2314</v>
      </c>
    </row>
    <row r="1577" spans="1:8" x14ac:dyDescent="0.25">
      <c r="A1577">
        <v>1113281012</v>
      </c>
      <c r="B1577" t="s">
        <v>3082</v>
      </c>
      <c r="C1577">
        <v>2</v>
      </c>
      <c r="D1577" s="1">
        <v>12.98</v>
      </c>
      <c r="E1577" s="10" t="s">
        <v>3078</v>
      </c>
      <c r="F1577" s="10" t="s">
        <v>3083</v>
      </c>
      <c r="G1577" s="10" t="s">
        <v>11</v>
      </c>
      <c r="H1577" t="s">
        <v>12</v>
      </c>
    </row>
    <row r="1578" spans="1:8" x14ac:dyDescent="0.25">
      <c r="A1578">
        <v>1112501434</v>
      </c>
      <c r="B1578" t="s">
        <v>3084</v>
      </c>
      <c r="C1578">
        <v>1</v>
      </c>
      <c r="D1578" s="1">
        <v>8.74</v>
      </c>
      <c r="E1578" s="10" t="s">
        <v>3085</v>
      </c>
      <c r="F1578" s="10" t="s">
        <v>3086</v>
      </c>
      <c r="G1578" s="10" t="s">
        <v>48</v>
      </c>
      <c r="H1578" t="s">
        <v>12</v>
      </c>
    </row>
    <row r="1579" spans="1:8" x14ac:dyDescent="0.25">
      <c r="A1579">
        <v>1112440108</v>
      </c>
      <c r="B1579" t="s">
        <v>3087</v>
      </c>
      <c r="C1579">
        <v>4</v>
      </c>
      <c r="D1579" s="1">
        <v>5.18</v>
      </c>
      <c r="E1579" s="10" t="s">
        <v>3085</v>
      </c>
      <c r="F1579" s="10" t="s">
        <v>3088</v>
      </c>
      <c r="G1579" s="10" t="s">
        <v>11</v>
      </c>
      <c r="H1579" t="s">
        <v>12</v>
      </c>
    </row>
    <row r="1580" spans="1:8" x14ac:dyDescent="0.25">
      <c r="A1580">
        <v>1112433260</v>
      </c>
      <c r="B1580" t="s">
        <v>3089</v>
      </c>
      <c r="C1580">
        <v>2</v>
      </c>
      <c r="D1580" s="1">
        <v>58.31</v>
      </c>
      <c r="E1580" s="10" t="s">
        <v>3085</v>
      </c>
      <c r="F1580" s="10" t="s">
        <v>3090</v>
      </c>
      <c r="G1580" s="10" t="s">
        <v>11</v>
      </c>
      <c r="H1580" t="s">
        <v>12</v>
      </c>
    </row>
    <row r="1581" spans="1:8" x14ac:dyDescent="0.25">
      <c r="A1581">
        <v>1112433245</v>
      </c>
      <c r="B1581" t="s">
        <v>3091</v>
      </c>
      <c r="C1581">
        <v>2</v>
      </c>
      <c r="D1581" s="1">
        <v>62.85</v>
      </c>
      <c r="E1581" s="10" t="s">
        <v>3085</v>
      </c>
      <c r="F1581" s="10" t="s">
        <v>3092</v>
      </c>
      <c r="G1581" s="10" t="s">
        <v>11</v>
      </c>
      <c r="H1581" t="s">
        <v>12</v>
      </c>
    </row>
    <row r="1582" spans="1:8" x14ac:dyDescent="0.25">
      <c r="A1582">
        <v>1112427213</v>
      </c>
      <c r="B1582" t="s">
        <v>2406</v>
      </c>
      <c r="C1582">
        <v>1</v>
      </c>
      <c r="D1582" s="1">
        <v>7.18</v>
      </c>
      <c r="E1582" s="10" t="s">
        <v>3085</v>
      </c>
      <c r="F1582" s="10" t="s">
        <v>3093</v>
      </c>
      <c r="G1582" s="10" t="s">
        <v>11</v>
      </c>
      <c r="H1582" t="s">
        <v>12</v>
      </c>
    </row>
    <row r="1583" spans="1:8" x14ac:dyDescent="0.25">
      <c r="A1583">
        <v>1112425772</v>
      </c>
      <c r="B1583" t="s">
        <v>3094</v>
      </c>
      <c r="C1583">
        <v>4</v>
      </c>
      <c r="D1583" s="1">
        <v>3.98</v>
      </c>
      <c r="E1583" s="10" t="s">
        <v>3085</v>
      </c>
      <c r="F1583" s="10" t="s">
        <v>3095</v>
      </c>
      <c r="G1583" s="10" t="s">
        <v>11</v>
      </c>
      <c r="H1583" t="s">
        <v>12</v>
      </c>
    </row>
    <row r="1584" spans="1:8" x14ac:dyDescent="0.25">
      <c r="A1584">
        <v>1112425769</v>
      </c>
      <c r="B1584" t="s">
        <v>3096</v>
      </c>
      <c r="C1584">
        <v>6</v>
      </c>
      <c r="D1584" s="1">
        <v>2.88</v>
      </c>
      <c r="E1584" s="10" t="s">
        <v>3085</v>
      </c>
      <c r="F1584" s="10" t="s">
        <v>3097</v>
      </c>
      <c r="G1584" s="10" t="s">
        <v>11</v>
      </c>
      <c r="H1584" t="s">
        <v>12</v>
      </c>
    </row>
    <row r="1585" spans="1:8" x14ac:dyDescent="0.25">
      <c r="A1585">
        <v>1112425765</v>
      </c>
      <c r="B1585" t="s">
        <v>3098</v>
      </c>
      <c r="C1585">
        <v>3</v>
      </c>
      <c r="D1585" s="1">
        <v>3.13</v>
      </c>
      <c r="E1585" s="10" t="s">
        <v>3085</v>
      </c>
      <c r="F1585" s="10" t="s">
        <v>3099</v>
      </c>
      <c r="G1585" s="10" t="s">
        <v>11</v>
      </c>
      <c r="H1585" t="s">
        <v>12</v>
      </c>
    </row>
    <row r="1586" spans="1:8" x14ac:dyDescent="0.25">
      <c r="A1586">
        <v>1112425763</v>
      </c>
      <c r="B1586" t="s">
        <v>3100</v>
      </c>
      <c r="C1586">
        <v>1</v>
      </c>
      <c r="D1586" s="1">
        <v>3.08</v>
      </c>
      <c r="E1586" s="10" t="s">
        <v>3085</v>
      </c>
      <c r="F1586" s="10" t="s">
        <v>3101</v>
      </c>
      <c r="G1586" s="10" t="s">
        <v>11</v>
      </c>
      <c r="H1586" t="s">
        <v>12</v>
      </c>
    </row>
    <row r="1587" spans="1:8" x14ac:dyDescent="0.25">
      <c r="A1587">
        <v>1112425760</v>
      </c>
      <c r="B1587" t="s">
        <v>294</v>
      </c>
      <c r="C1587">
        <v>24</v>
      </c>
      <c r="D1587" s="1">
        <v>17.66</v>
      </c>
      <c r="E1587" s="10" t="s">
        <v>3085</v>
      </c>
      <c r="F1587" s="10" t="s">
        <v>2797</v>
      </c>
      <c r="G1587" s="10" t="s">
        <v>11</v>
      </c>
      <c r="H1587" t="s">
        <v>12</v>
      </c>
    </row>
    <row r="1588" spans="1:8" x14ac:dyDescent="0.25">
      <c r="A1588">
        <v>1111582930</v>
      </c>
      <c r="B1588" t="s">
        <v>3102</v>
      </c>
      <c r="C1588">
        <v>1</v>
      </c>
      <c r="D1588" s="1">
        <v>34.270000000000003</v>
      </c>
      <c r="E1588" s="10" t="s">
        <v>3085</v>
      </c>
      <c r="F1588" s="10" t="s">
        <v>3103</v>
      </c>
      <c r="G1588" s="10" t="s">
        <v>48</v>
      </c>
      <c r="H1588" t="s">
        <v>12</v>
      </c>
    </row>
    <row r="1589" spans="1:8" x14ac:dyDescent="0.25">
      <c r="A1589">
        <v>1112195130</v>
      </c>
      <c r="B1589" t="s">
        <v>3104</v>
      </c>
      <c r="C1589">
        <v>4</v>
      </c>
      <c r="D1589" s="1">
        <v>76.989999999999995</v>
      </c>
      <c r="E1589" s="10" t="s">
        <v>3105</v>
      </c>
      <c r="F1589" s="10" t="s">
        <v>3106</v>
      </c>
      <c r="G1589" s="10" t="s">
        <v>11</v>
      </c>
      <c r="H1589" t="s">
        <v>12</v>
      </c>
    </row>
    <row r="1590" spans="1:8" x14ac:dyDescent="0.25">
      <c r="A1590">
        <v>1111756843</v>
      </c>
      <c r="B1590" t="s">
        <v>3107</v>
      </c>
      <c r="C1590">
        <v>1</v>
      </c>
      <c r="D1590" s="1">
        <v>55.77</v>
      </c>
      <c r="E1590" s="10" t="s">
        <v>3105</v>
      </c>
      <c r="F1590" s="10" t="s">
        <v>3108</v>
      </c>
      <c r="G1590" s="10" t="s">
        <v>11</v>
      </c>
      <c r="H1590" t="s">
        <v>12</v>
      </c>
    </row>
    <row r="1591" spans="1:8" x14ac:dyDescent="0.25">
      <c r="A1591">
        <v>1111754063</v>
      </c>
      <c r="B1591" t="s">
        <v>3020</v>
      </c>
      <c r="C1591">
        <v>1</v>
      </c>
      <c r="D1591" s="1">
        <v>54.26</v>
      </c>
      <c r="E1591" s="10" t="s">
        <v>3105</v>
      </c>
      <c r="F1591" s="10" t="s">
        <v>3021</v>
      </c>
      <c r="G1591" s="10" t="s">
        <v>11</v>
      </c>
      <c r="H1591" t="s">
        <v>12</v>
      </c>
    </row>
    <row r="1592" spans="1:8" x14ac:dyDescent="0.25">
      <c r="A1592">
        <v>1111649125</v>
      </c>
      <c r="B1592" t="s">
        <v>3109</v>
      </c>
      <c r="C1592">
        <v>1</v>
      </c>
      <c r="D1592" s="1">
        <v>5.24</v>
      </c>
      <c r="E1592" s="10" t="s">
        <v>3110</v>
      </c>
      <c r="F1592" s="10" t="s">
        <v>3111</v>
      </c>
      <c r="G1592" s="10" t="s">
        <v>48</v>
      </c>
      <c r="H1592" t="s">
        <v>12</v>
      </c>
    </row>
    <row r="1593" spans="1:8" x14ac:dyDescent="0.25">
      <c r="A1593">
        <v>1111494927</v>
      </c>
      <c r="B1593" t="s">
        <v>3112</v>
      </c>
      <c r="C1593">
        <v>3</v>
      </c>
      <c r="D1593" s="1">
        <v>2.38</v>
      </c>
      <c r="E1593" s="10" t="s">
        <v>3113</v>
      </c>
      <c r="F1593" s="10" t="s">
        <v>3114</v>
      </c>
      <c r="G1593" s="10" t="s">
        <v>48</v>
      </c>
      <c r="H1593" t="s">
        <v>12</v>
      </c>
    </row>
    <row r="1594" spans="1:8" x14ac:dyDescent="0.25">
      <c r="A1594">
        <v>1110944844</v>
      </c>
      <c r="B1594" t="s">
        <v>3115</v>
      </c>
      <c r="C1594">
        <v>1</v>
      </c>
      <c r="D1594" s="1">
        <v>6.18</v>
      </c>
      <c r="E1594" s="10" t="s">
        <v>3116</v>
      </c>
      <c r="F1594" s="10" t="s">
        <v>3117</v>
      </c>
      <c r="G1594" s="10" t="s">
        <v>48</v>
      </c>
      <c r="H1594" t="s">
        <v>12</v>
      </c>
    </row>
    <row r="1595" spans="1:8" x14ac:dyDescent="0.25">
      <c r="A1595">
        <v>1110921153</v>
      </c>
      <c r="B1595" t="s">
        <v>3118</v>
      </c>
      <c r="C1595">
        <v>4</v>
      </c>
      <c r="D1595" s="1">
        <v>99.82</v>
      </c>
      <c r="E1595" s="10" t="s">
        <v>3116</v>
      </c>
      <c r="F1595" s="10" t="s">
        <v>3119</v>
      </c>
      <c r="G1595" s="10" t="s">
        <v>11</v>
      </c>
      <c r="H1595" t="s">
        <v>12</v>
      </c>
    </row>
    <row r="1596" spans="1:8" x14ac:dyDescent="0.25">
      <c r="A1596">
        <v>1110841933</v>
      </c>
      <c r="B1596" t="s">
        <v>3120</v>
      </c>
      <c r="C1596">
        <v>2</v>
      </c>
      <c r="D1596" s="1">
        <v>6.36</v>
      </c>
      <c r="E1596" s="10" t="s">
        <v>3121</v>
      </c>
      <c r="F1596" s="10" t="s">
        <v>3122</v>
      </c>
      <c r="G1596" s="10" t="s">
        <v>11</v>
      </c>
      <c r="H1596" t="s">
        <v>12</v>
      </c>
    </row>
    <row r="1597" spans="1:8" x14ac:dyDescent="0.25">
      <c r="A1597">
        <v>1110841864</v>
      </c>
      <c r="B1597" t="s">
        <v>3123</v>
      </c>
      <c r="C1597">
        <v>4</v>
      </c>
      <c r="D1597" s="1">
        <v>2.1800000000000002</v>
      </c>
      <c r="E1597" s="10" t="s">
        <v>3121</v>
      </c>
      <c r="F1597" s="10" t="s">
        <v>3124</v>
      </c>
      <c r="G1597" s="10" t="s">
        <v>11</v>
      </c>
      <c r="H1597" t="s">
        <v>12</v>
      </c>
    </row>
    <row r="1598" spans="1:8" x14ac:dyDescent="0.25">
      <c r="A1598">
        <v>1110841494</v>
      </c>
      <c r="B1598" t="s">
        <v>3125</v>
      </c>
      <c r="C1598">
        <v>3</v>
      </c>
      <c r="D1598" s="1">
        <v>4.18</v>
      </c>
      <c r="E1598" s="10" t="s">
        <v>3121</v>
      </c>
      <c r="F1598" s="10" t="s">
        <v>3126</v>
      </c>
      <c r="G1598" s="10" t="s">
        <v>11</v>
      </c>
      <c r="H1598" t="s">
        <v>12</v>
      </c>
    </row>
    <row r="1599" spans="1:8" x14ac:dyDescent="0.25">
      <c r="A1599">
        <v>1110822404</v>
      </c>
      <c r="B1599" t="s">
        <v>294</v>
      </c>
      <c r="C1599">
        <v>37</v>
      </c>
      <c r="D1599" s="1">
        <v>19.559999999999999</v>
      </c>
      <c r="E1599" s="10" t="s">
        <v>3121</v>
      </c>
      <c r="F1599" s="10" t="s">
        <v>2797</v>
      </c>
      <c r="G1599" s="10" t="s">
        <v>11</v>
      </c>
      <c r="H1599" t="s">
        <v>12</v>
      </c>
    </row>
    <row r="1600" spans="1:8" x14ac:dyDescent="0.25">
      <c r="A1600">
        <v>1110534639</v>
      </c>
      <c r="B1600" t="s">
        <v>3127</v>
      </c>
      <c r="C1600">
        <v>1</v>
      </c>
      <c r="D1600" s="1">
        <v>14.17</v>
      </c>
      <c r="E1600" s="10" t="s">
        <v>3128</v>
      </c>
      <c r="F1600" s="10" t="s">
        <v>3129</v>
      </c>
      <c r="G1600" s="10" t="s">
        <v>11</v>
      </c>
      <c r="H1600" t="s">
        <v>12</v>
      </c>
    </row>
    <row r="1601" spans="1:8" x14ac:dyDescent="0.25">
      <c r="A1601">
        <v>1108985786</v>
      </c>
      <c r="B1601" t="s">
        <v>965</v>
      </c>
      <c r="C1601">
        <v>20</v>
      </c>
      <c r="D1601" s="1">
        <v>17.82</v>
      </c>
      <c r="E1601" s="10" t="s">
        <v>3130</v>
      </c>
      <c r="F1601" s="10" t="s">
        <v>3131</v>
      </c>
      <c r="G1601" s="10" t="s">
        <v>11</v>
      </c>
      <c r="H1601" t="s">
        <v>12</v>
      </c>
    </row>
    <row r="1602" spans="1:8" x14ac:dyDescent="0.25">
      <c r="A1602">
        <v>1108985783</v>
      </c>
      <c r="B1602" t="s">
        <v>3132</v>
      </c>
      <c r="C1602">
        <v>14</v>
      </c>
      <c r="D1602" s="1">
        <v>4.4800000000000004</v>
      </c>
      <c r="E1602" s="10" t="s">
        <v>3130</v>
      </c>
      <c r="F1602" s="10" t="s">
        <v>3133</v>
      </c>
      <c r="G1602" s="10" t="s">
        <v>11</v>
      </c>
      <c r="H1602" t="s">
        <v>12</v>
      </c>
    </row>
    <row r="1603" spans="1:8" x14ac:dyDescent="0.25">
      <c r="A1603">
        <v>1108985781</v>
      </c>
      <c r="B1603" t="s">
        <v>3134</v>
      </c>
      <c r="C1603">
        <v>8</v>
      </c>
      <c r="D1603" s="1">
        <v>5.13</v>
      </c>
      <c r="E1603" s="10" t="s">
        <v>3130</v>
      </c>
      <c r="F1603" s="10" t="s">
        <v>3135</v>
      </c>
      <c r="G1603" s="10" t="s">
        <v>11</v>
      </c>
      <c r="H1603" t="s">
        <v>12</v>
      </c>
    </row>
    <row r="1604" spans="1:8" x14ac:dyDescent="0.25">
      <c r="A1604">
        <v>1108985767</v>
      </c>
      <c r="B1604" t="s">
        <v>3136</v>
      </c>
      <c r="C1604">
        <v>2</v>
      </c>
      <c r="D1604" s="1">
        <v>3.88</v>
      </c>
      <c r="E1604" s="10" t="s">
        <v>3130</v>
      </c>
      <c r="F1604" s="10" t="s">
        <v>3137</v>
      </c>
      <c r="G1604" s="10" t="s">
        <v>11</v>
      </c>
      <c r="H1604" t="s">
        <v>12</v>
      </c>
    </row>
    <row r="1605" spans="1:8" x14ac:dyDescent="0.25">
      <c r="A1605">
        <v>1108866811</v>
      </c>
      <c r="B1605" t="s">
        <v>3138</v>
      </c>
      <c r="C1605">
        <v>2</v>
      </c>
      <c r="D1605" s="1">
        <v>35.85</v>
      </c>
      <c r="E1605" s="10" t="s">
        <v>3139</v>
      </c>
      <c r="F1605" s="10" t="s">
        <v>3140</v>
      </c>
      <c r="G1605" s="10" t="s">
        <v>11</v>
      </c>
      <c r="H1605" t="s">
        <v>2314</v>
      </c>
    </row>
    <row r="1606" spans="1:8" x14ac:dyDescent="0.25">
      <c r="A1606">
        <v>1108589248</v>
      </c>
      <c r="B1606" t="s">
        <v>3141</v>
      </c>
      <c r="C1606">
        <v>14</v>
      </c>
      <c r="D1606" s="1">
        <v>19.03</v>
      </c>
      <c r="E1606" s="10" t="s">
        <v>3142</v>
      </c>
      <c r="F1606" s="10" t="s">
        <v>3143</v>
      </c>
      <c r="G1606" s="10" t="s">
        <v>11</v>
      </c>
      <c r="H1606" t="s">
        <v>12</v>
      </c>
    </row>
    <row r="1607" spans="1:8" x14ac:dyDescent="0.25">
      <c r="A1607">
        <v>1108588513</v>
      </c>
      <c r="B1607" t="s">
        <v>3144</v>
      </c>
      <c r="C1607">
        <v>1</v>
      </c>
      <c r="D1607" s="1">
        <v>16.170000000000002</v>
      </c>
      <c r="E1607" s="10" t="s">
        <v>3142</v>
      </c>
      <c r="F1607" s="10" t="s">
        <v>3145</v>
      </c>
      <c r="G1607" s="10" t="s">
        <v>11</v>
      </c>
      <c r="H1607" t="s">
        <v>12</v>
      </c>
    </row>
    <row r="1608" spans="1:8" x14ac:dyDescent="0.25">
      <c r="A1608">
        <v>1108567857</v>
      </c>
      <c r="B1608" t="s">
        <v>3146</v>
      </c>
      <c r="C1608">
        <v>4</v>
      </c>
      <c r="D1608" s="1">
        <v>176.85</v>
      </c>
      <c r="E1608" s="10" t="s">
        <v>3142</v>
      </c>
      <c r="F1608" s="10" t="s">
        <v>3147</v>
      </c>
      <c r="G1608" s="10" t="s">
        <v>11</v>
      </c>
      <c r="H1608" t="s">
        <v>12</v>
      </c>
    </row>
    <row r="1609" spans="1:8" x14ac:dyDescent="0.25">
      <c r="A1609">
        <v>1107483796</v>
      </c>
      <c r="B1609" t="s">
        <v>294</v>
      </c>
      <c r="C1609">
        <v>47</v>
      </c>
      <c r="D1609" s="1">
        <v>27.18</v>
      </c>
      <c r="E1609" s="10" t="s">
        <v>3148</v>
      </c>
      <c r="F1609" s="10" t="s">
        <v>3149</v>
      </c>
      <c r="G1609" s="10" t="s">
        <v>11</v>
      </c>
      <c r="H1609" t="s">
        <v>12</v>
      </c>
    </row>
    <row r="1610" spans="1:8" x14ac:dyDescent="0.25">
      <c r="A1610">
        <v>1107353399</v>
      </c>
      <c r="B1610" t="s">
        <v>857</v>
      </c>
      <c r="C1610">
        <v>3</v>
      </c>
      <c r="D1610" s="1">
        <v>17.09</v>
      </c>
      <c r="E1610" s="10" t="s">
        <v>3150</v>
      </c>
      <c r="F1610" s="10" t="s">
        <v>3151</v>
      </c>
      <c r="G1610" s="10" t="s">
        <v>11</v>
      </c>
      <c r="H1610" t="s">
        <v>12</v>
      </c>
    </row>
    <row r="1611" spans="1:8" x14ac:dyDescent="0.25">
      <c r="A1611">
        <v>1107256823</v>
      </c>
      <c r="B1611" t="s">
        <v>3152</v>
      </c>
      <c r="C1611">
        <v>2</v>
      </c>
      <c r="D1611" s="1">
        <v>2.1</v>
      </c>
      <c r="E1611" s="10" t="s">
        <v>3153</v>
      </c>
      <c r="F1611" s="10" t="s">
        <v>3154</v>
      </c>
      <c r="G1611" s="10" t="s">
        <v>11</v>
      </c>
      <c r="H1611" t="s">
        <v>12</v>
      </c>
    </row>
    <row r="1612" spans="1:8" x14ac:dyDescent="0.25">
      <c r="A1612">
        <v>1107188713</v>
      </c>
      <c r="B1612" t="s">
        <v>3152</v>
      </c>
      <c r="C1612">
        <v>1</v>
      </c>
      <c r="D1612" s="1">
        <v>16.399999999999999</v>
      </c>
      <c r="E1612" s="10" t="s">
        <v>3155</v>
      </c>
      <c r="F1612" s="10" t="s">
        <v>3156</v>
      </c>
      <c r="G1612" s="10" t="s">
        <v>11</v>
      </c>
      <c r="H1612" t="s">
        <v>12</v>
      </c>
    </row>
    <row r="1613" spans="1:8" x14ac:dyDescent="0.25">
      <c r="A1613">
        <v>1107026406</v>
      </c>
      <c r="B1613" t="s">
        <v>3070</v>
      </c>
      <c r="C1613">
        <v>3</v>
      </c>
      <c r="D1613" s="1">
        <v>37.450000000000003</v>
      </c>
      <c r="E1613" s="10" t="s">
        <v>3157</v>
      </c>
      <c r="F1613" s="10" t="s">
        <v>3158</v>
      </c>
      <c r="G1613" s="10" t="s">
        <v>11</v>
      </c>
      <c r="H1613" t="s">
        <v>12</v>
      </c>
    </row>
    <row r="1614" spans="1:8" x14ac:dyDescent="0.25">
      <c r="A1614">
        <v>1105780129</v>
      </c>
      <c r="B1614" t="s">
        <v>3159</v>
      </c>
      <c r="C1614">
        <v>8</v>
      </c>
      <c r="D1614" s="1">
        <v>5.18</v>
      </c>
      <c r="E1614" s="10" t="s">
        <v>3160</v>
      </c>
      <c r="F1614" s="10" t="s">
        <v>3161</v>
      </c>
      <c r="G1614" s="10" t="s">
        <v>11</v>
      </c>
      <c r="H1614" t="s">
        <v>12</v>
      </c>
    </row>
    <row r="1615" spans="1:8" x14ac:dyDescent="0.25">
      <c r="A1615">
        <v>1105776290</v>
      </c>
      <c r="B1615" t="s">
        <v>3162</v>
      </c>
      <c r="C1615">
        <v>8</v>
      </c>
      <c r="D1615" s="1">
        <v>35.43</v>
      </c>
      <c r="E1615" s="10" t="s">
        <v>3160</v>
      </c>
      <c r="F1615" s="10" t="s">
        <v>3163</v>
      </c>
      <c r="G1615" s="10" t="s">
        <v>11</v>
      </c>
      <c r="H1615" t="s">
        <v>12</v>
      </c>
    </row>
    <row r="1616" spans="1:8" x14ac:dyDescent="0.25">
      <c r="A1616">
        <v>1105458937</v>
      </c>
      <c r="B1616" t="s">
        <v>294</v>
      </c>
      <c r="C1616">
        <v>15</v>
      </c>
      <c r="D1616" s="1">
        <v>51.96</v>
      </c>
      <c r="E1616" s="10" t="s">
        <v>3164</v>
      </c>
      <c r="F1616" s="10" t="s">
        <v>3165</v>
      </c>
      <c r="G1616" s="10" t="s">
        <v>11</v>
      </c>
      <c r="H1616" t="s">
        <v>12</v>
      </c>
    </row>
    <row r="1617" spans="1:8" x14ac:dyDescent="0.25">
      <c r="A1617">
        <v>1105452541</v>
      </c>
      <c r="B1617" t="s">
        <v>3166</v>
      </c>
      <c r="C1617">
        <v>1</v>
      </c>
      <c r="D1617" s="1">
        <v>26.18</v>
      </c>
      <c r="E1617" s="10" t="s">
        <v>3164</v>
      </c>
      <c r="F1617" s="10" t="s">
        <v>3167</v>
      </c>
      <c r="G1617" s="10" t="s">
        <v>11</v>
      </c>
      <c r="H1617" t="s">
        <v>12</v>
      </c>
    </row>
    <row r="1618" spans="1:8" x14ac:dyDescent="0.25">
      <c r="A1618">
        <v>1105374462</v>
      </c>
      <c r="B1618" t="s">
        <v>2752</v>
      </c>
      <c r="C1618">
        <v>3</v>
      </c>
      <c r="D1618" s="1">
        <v>24.68</v>
      </c>
      <c r="E1618" s="10" t="s">
        <v>3168</v>
      </c>
      <c r="F1618" s="10" t="s">
        <v>2753</v>
      </c>
      <c r="G1618" s="10" t="s">
        <v>11</v>
      </c>
      <c r="H1618" t="s">
        <v>12</v>
      </c>
    </row>
    <row r="1619" spans="1:8" x14ac:dyDescent="0.25">
      <c r="A1619">
        <v>1105196977</v>
      </c>
      <c r="B1619" t="s">
        <v>3169</v>
      </c>
      <c r="C1619">
        <v>2</v>
      </c>
      <c r="D1619" s="1">
        <v>32.17</v>
      </c>
      <c r="E1619" s="10" t="s">
        <v>3170</v>
      </c>
      <c r="F1619" s="10" t="s">
        <v>3171</v>
      </c>
      <c r="G1619" s="10" t="s">
        <v>11</v>
      </c>
      <c r="H1619" t="s">
        <v>12</v>
      </c>
    </row>
    <row r="1620" spans="1:8" x14ac:dyDescent="0.25">
      <c r="A1620">
        <v>1105156841</v>
      </c>
      <c r="B1620" t="s">
        <v>3172</v>
      </c>
      <c r="C1620">
        <v>2</v>
      </c>
      <c r="D1620" s="1">
        <v>13.18</v>
      </c>
      <c r="E1620" s="10" t="s">
        <v>3170</v>
      </c>
      <c r="F1620" s="10" t="s">
        <v>3173</v>
      </c>
      <c r="G1620" s="10" t="s">
        <v>11</v>
      </c>
      <c r="H1620" t="s">
        <v>12</v>
      </c>
    </row>
    <row r="1621" spans="1:8" x14ac:dyDescent="0.25">
      <c r="A1621">
        <v>1105096685</v>
      </c>
      <c r="B1621" t="s">
        <v>3174</v>
      </c>
      <c r="C1621">
        <v>2</v>
      </c>
      <c r="D1621" s="1">
        <v>39.450000000000003</v>
      </c>
      <c r="E1621" s="10" t="s">
        <v>3175</v>
      </c>
      <c r="F1621" s="10" t="s">
        <v>3176</v>
      </c>
      <c r="G1621" s="10" t="s">
        <v>11</v>
      </c>
      <c r="H1621" t="s">
        <v>12</v>
      </c>
    </row>
    <row r="1622" spans="1:8" x14ac:dyDescent="0.25">
      <c r="A1622">
        <v>1104633631</v>
      </c>
      <c r="B1622" t="s">
        <v>768</v>
      </c>
      <c r="C1622">
        <v>1</v>
      </c>
      <c r="D1622" s="1">
        <v>7.68</v>
      </c>
      <c r="E1622" s="10" t="s">
        <v>3177</v>
      </c>
      <c r="F1622" s="10" t="s">
        <v>3178</v>
      </c>
      <c r="G1622" s="10" t="s">
        <v>11</v>
      </c>
      <c r="H1622" t="s">
        <v>12</v>
      </c>
    </row>
    <row r="1623" spans="1:8" x14ac:dyDescent="0.25">
      <c r="A1623">
        <v>1104508425</v>
      </c>
      <c r="B1623" t="s">
        <v>3179</v>
      </c>
      <c r="C1623">
        <v>1</v>
      </c>
      <c r="D1623" s="1">
        <v>14.18</v>
      </c>
      <c r="E1623" s="10" t="s">
        <v>3180</v>
      </c>
      <c r="F1623" s="10" t="s">
        <v>3181</v>
      </c>
      <c r="G1623" s="10" t="s">
        <v>11</v>
      </c>
      <c r="H1623" t="s">
        <v>12</v>
      </c>
    </row>
    <row r="1624" spans="1:8" x14ac:dyDescent="0.25">
      <c r="A1624">
        <v>1103908217</v>
      </c>
      <c r="B1624" t="s">
        <v>2494</v>
      </c>
      <c r="C1624">
        <v>10</v>
      </c>
      <c r="D1624" s="1">
        <v>21.94</v>
      </c>
      <c r="E1624" s="10" t="s">
        <v>3182</v>
      </c>
      <c r="F1624" s="10" t="s">
        <v>3183</v>
      </c>
      <c r="G1624" s="10" t="s">
        <v>11</v>
      </c>
      <c r="H1624" t="s">
        <v>12</v>
      </c>
    </row>
    <row r="1625" spans="1:8" x14ac:dyDescent="0.25">
      <c r="A1625">
        <v>1103894430</v>
      </c>
      <c r="B1625" t="s">
        <v>3184</v>
      </c>
      <c r="C1625">
        <v>2</v>
      </c>
      <c r="D1625" s="1">
        <v>6.16</v>
      </c>
      <c r="E1625" s="10" t="s">
        <v>3182</v>
      </c>
      <c r="F1625" s="10" t="s">
        <v>3185</v>
      </c>
      <c r="G1625" s="10" t="s">
        <v>11</v>
      </c>
      <c r="H1625" t="s">
        <v>12</v>
      </c>
    </row>
    <row r="1626" spans="1:8" x14ac:dyDescent="0.25">
      <c r="A1626">
        <v>1103716418</v>
      </c>
      <c r="B1626" t="s">
        <v>3186</v>
      </c>
      <c r="C1626">
        <v>2</v>
      </c>
      <c r="D1626" s="1">
        <v>7.18</v>
      </c>
      <c r="E1626" s="10" t="s">
        <v>3187</v>
      </c>
      <c r="F1626" s="10" t="s">
        <v>3188</v>
      </c>
      <c r="G1626" s="10" t="s">
        <v>11</v>
      </c>
      <c r="H1626" t="s">
        <v>12</v>
      </c>
    </row>
    <row r="1627" spans="1:8" x14ac:dyDescent="0.25">
      <c r="A1627">
        <v>1103681173</v>
      </c>
      <c r="B1627" t="s">
        <v>3189</v>
      </c>
      <c r="C1627">
        <v>2</v>
      </c>
      <c r="D1627" s="1">
        <v>7.18</v>
      </c>
      <c r="E1627" s="10" t="s">
        <v>3190</v>
      </c>
      <c r="F1627" s="10" t="s">
        <v>3191</v>
      </c>
      <c r="G1627" s="10" t="s">
        <v>11</v>
      </c>
      <c r="H1627" t="s">
        <v>12</v>
      </c>
    </row>
    <row r="1628" spans="1:8" x14ac:dyDescent="0.25">
      <c r="A1628">
        <v>1103673852</v>
      </c>
      <c r="B1628" t="s">
        <v>768</v>
      </c>
      <c r="C1628">
        <v>2</v>
      </c>
      <c r="D1628" s="1">
        <v>19.18</v>
      </c>
      <c r="E1628" s="10" t="s">
        <v>3190</v>
      </c>
      <c r="F1628" s="10" t="s">
        <v>3192</v>
      </c>
      <c r="G1628" s="10" t="s">
        <v>11</v>
      </c>
      <c r="H1628" t="s">
        <v>12</v>
      </c>
    </row>
    <row r="1629" spans="1:8" x14ac:dyDescent="0.25">
      <c r="A1629">
        <v>1103068467</v>
      </c>
      <c r="B1629" t="s">
        <v>3193</v>
      </c>
      <c r="C1629">
        <v>26</v>
      </c>
      <c r="D1629" s="1">
        <v>17.059999999999999</v>
      </c>
      <c r="E1629" s="10" t="s">
        <v>3194</v>
      </c>
      <c r="F1629" s="10" t="s">
        <v>3195</v>
      </c>
      <c r="G1629" s="10" t="s">
        <v>11</v>
      </c>
      <c r="H1629" t="s">
        <v>12</v>
      </c>
    </row>
    <row r="1630" spans="1:8" x14ac:dyDescent="0.25">
      <c r="A1630">
        <v>1103068323</v>
      </c>
      <c r="B1630" t="s">
        <v>3196</v>
      </c>
      <c r="C1630">
        <v>4</v>
      </c>
      <c r="D1630" s="1">
        <v>2.1800000000000002</v>
      </c>
      <c r="E1630" s="10" t="s">
        <v>3194</v>
      </c>
      <c r="F1630" s="10" t="s">
        <v>3197</v>
      </c>
      <c r="G1630" s="10" t="s">
        <v>11</v>
      </c>
      <c r="H1630" t="s">
        <v>12</v>
      </c>
    </row>
    <row r="1631" spans="1:8" x14ac:dyDescent="0.25">
      <c r="A1631">
        <v>1103060612</v>
      </c>
      <c r="B1631" t="s">
        <v>3198</v>
      </c>
      <c r="C1631">
        <v>1</v>
      </c>
      <c r="D1631" s="1">
        <v>10.18</v>
      </c>
      <c r="E1631" s="10" t="s">
        <v>3194</v>
      </c>
      <c r="F1631" s="10" t="s">
        <v>3199</v>
      </c>
      <c r="G1631" s="10" t="s">
        <v>11</v>
      </c>
      <c r="H1631" t="s">
        <v>12</v>
      </c>
    </row>
    <row r="1632" spans="1:8" x14ac:dyDescent="0.25">
      <c r="A1632">
        <v>1102867184</v>
      </c>
      <c r="B1632" t="s">
        <v>3200</v>
      </c>
      <c r="C1632">
        <v>2</v>
      </c>
      <c r="D1632" s="1">
        <v>17.68</v>
      </c>
      <c r="E1632" s="10" t="s">
        <v>3194</v>
      </c>
      <c r="F1632" s="10" t="s">
        <v>3201</v>
      </c>
      <c r="G1632" s="10" t="s">
        <v>11</v>
      </c>
      <c r="H1632" t="s">
        <v>12</v>
      </c>
    </row>
    <row r="1633" spans="1:8" x14ac:dyDescent="0.25">
      <c r="A1633" t="s">
        <v>3202</v>
      </c>
      <c r="B1633" t="s">
        <v>3203</v>
      </c>
      <c r="C1633">
        <v>1</v>
      </c>
      <c r="D1633" s="1">
        <v>8.18</v>
      </c>
      <c r="E1633" s="10" t="s">
        <v>3204</v>
      </c>
      <c r="F1633" s="10"/>
      <c r="G1633" s="10" t="s">
        <v>11</v>
      </c>
      <c r="H1633" t="s">
        <v>12</v>
      </c>
    </row>
    <row r="1634" spans="1:8" x14ac:dyDescent="0.25">
      <c r="A1634">
        <v>1102500791</v>
      </c>
      <c r="B1634" t="s">
        <v>3205</v>
      </c>
      <c r="C1634">
        <v>15</v>
      </c>
      <c r="D1634" s="1">
        <v>18.97</v>
      </c>
      <c r="E1634" s="10" t="s">
        <v>3206</v>
      </c>
      <c r="F1634" s="10" t="s">
        <v>3207</v>
      </c>
      <c r="G1634" s="10" t="s">
        <v>11</v>
      </c>
      <c r="H1634" t="s">
        <v>12</v>
      </c>
    </row>
    <row r="1635" spans="1:8" x14ac:dyDescent="0.25">
      <c r="A1635">
        <v>1102239837</v>
      </c>
      <c r="B1635" t="s">
        <v>3208</v>
      </c>
      <c r="C1635">
        <v>2</v>
      </c>
      <c r="D1635" s="1">
        <v>12.18</v>
      </c>
      <c r="E1635" s="10" t="s">
        <v>3209</v>
      </c>
      <c r="F1635" s="10" t="s">
        <v>3210</v>
      </c>
      <c r="G1635" s="10" t="s">
        <v>11</v>
      </c>
      <c r="H1635" t="s">
        <v>12</v>
      </c>
    </row>
    <row r="1636" spans="1:8" x14ac:dyDescent="0.25">
      <c r="A1636">
        <v>1102230131</v>
      </c>
      <c r="B1636" t="s">
        <v>318</v>
      </c>
      <c r="C1636">
        <v>14</v>
      </c>
      <c r="D1636" s="1">
        <v>18.239999999999998</v>
      </c>
      <c r="E1636" s="10" t="s">
        <v>3209</v>
      </c>
      <c r="F1636" s="10" t="s">
        <v>2793</v>
      </c>
      <c r="G1636" s="10" t="s">
        <v>11</v>
      </c>
      <c r="H1636" t="s">
        <v>12</v>
      </c>
    </row>
    <row r="1637" spans="1:8" x14ac:dyDescent="0.25">
      <c r="A1637">
        <v>1101912517</v>
      </c>
      <c r="B1637" t="s">
        <v>3211</v>
      </c>
      <c r="C1637">
        <v>2</v>
      </c>
      <c r="D1637" s="1">
        <v>31.26</v>
      </c>
      <c r="E1637" s="10" t="s">
        <v>3212</v>
      </c>
      <c r="F1637" s="10" t="s">
        <v>3213</v>
      </c>
      <c r="G1637" s="10" t="s">
        <v>11</v>
      </c>
      <c r="H1637" t="s">
        <v>12</v>
      </c>
    </row>
    <row r="1638" spans="1:8" x14ac:dyDescent="0.25">
      <c r="A1638">
        <v>1101911975</v>
      </c>
      <c r="B1638" t="s">
        <v>3062</v>
      </c>
      <c r="C1638">
        <v>3</v>
      </c>
      <c r="D1638" s="1">
        <v>24.7</v>
      </c>
      <c r="E1638" s="10" t="s">
        <v>3212</v>
      </c>
      <c r="F1638" s="10" t="s">
        <v>3214</v>
      </c>
      <c r="G1638" s="10" t="s">
        <v>11</v>
      </c>
      <c r="H1638" t="s">
        <v>12</v>
      </c>
    </row>
    <row r="1639" spans="1:8" x14ac:dyDescent="0.25">
      <c r="A1639">
        <v>1101909534</v>
      </c>
      <c r="B1639" t="s">
        <v>3215</v>
      </c>
      <c r="C1639">
        <v>1</v>
      </c>
      <c r="D1639" s="1">
        <v>33.42</v>
      </c>
      <c r="E1639" s="10" t="s">
        <v>3212</v>
      </c>
      <c r="F1639" s="10" t="s">
        <v>3216</v>
      </c>
      <c r="G1639" s="10" t="s">
        <v>11</v>
      </c>
      <c r="H1639" t="s">
        <v>12</v>
      </c>
    </row>
    <row r="1640" spans="1:8" x14ac:dyDescent="0.25">
      <c r="A1640">
        <v>1101909422</v>
      </c>
      <c r="B1640" t="s">
        <v>3217</v>
      </c>
      <c r="C1640">
        <v>2</v>
      </c>
      <c r="D1640" s="1">
        <v>63.22</v>
      </c>
      <c r="E1640" s="10" t="s">
        <v>3212</v>
      </c>
      <c r="F1640" s="10" t="s">
        <v>3218</v>
      </c>
      <c r="G1640" s="10" t="s">
        <v>11</v>
      </c>
      <c r="H1640" t="s">
        <v>12</v>
      </c>
    </row>
    <row r="1641" spans="1:8" x14ac:dyDescent="0.25">
      <c r="A1641">
        <v>1101131183</v>
      </c>
      <c r="B1641" t="s">
        <v>414</v>
      </c>
      <c r="C1641">
        <v>4</v>
      </c>
      <c r="D1641" s="1">
        <v>37.4</v>
      </c>
      <c r="E1641" s="10" t="s">
        <v>3219</v>
      </c>
      <c r="F1641" s="10" t="s">
        <v>3220</v>
      </c>
      <c r="G1641" s="10" t="s">
        <v>11</v>
      </c>
      <c r="H1641" t="s">
        <v>12</v>
      </c>
    </row>
    <row r="1642" spans="1:8" x14ac:dyDescent="0.25">
      <c r="A1642">
        <v>1100966441</v>
      </c>
      <c r="B1642" t="s">
        <v>3221</v>
      </c>
      <c r="C1642">
        <v>1</v>
      </c>
      <c r="D1642" s="1">
        <v>6.17</v>
      </c>
      <c r="E1642" s="10" t="s">
        <v>3222</v>
      </c>
      <c r="F1642" s="10" t="s">
        <v>3223</v>
      </c>
      <c r="G1642" s="10" t="s">
        <v>11</v>
      </c>
      <c r="H1642" t="s">
        <v>12</v>
      </c>
    </row>
    <row r="1643" spans="1:8" x14ac:dyDescent="0.25">
      <c r="A1643">
        <v>1100958073</v>
      </c>
      <c r="B1643" t="s">
        <v>3169</v>
      </c>
      <c r="C1643">
        <v>1</v>
      </c>
      <c r="D1643" s="1">
        <v>16.18</v>
      </c>
      <c r="E1643" s="10" t="s">
        <v>3222</v>
      </c>
      <c r="F1643" s="10" t="s">
        <v>3224</v>
      </c>
      <c r="G1643" s="10" t="s">
        <v>11</v>
      </c>
      <c r="H1643" t="s">
        <v>12</v>
      </c>
    </row>
    <row r="1644" spans="1:8" x14ac:dyDescent="0.25">
      <c r="A1644">
        <v>1100957663</v>
      </c>
      <c r="B1644" t="s">
        <v>3100</v>
      </c>
      <c r="C1644">
        <v>4</v>
      </c>
      <c r="D1644" s="1">
        <v>45.48</v>
      </c>
      <c r="E1644" s="10" t="s">
        <v>3222</v>
      </c>
      <c r="F1644" s="10" t="s">
        <v>3225</v>
      </c>
      <c r="G1644" s="10" t="s">
        <v>11</v>
      </c>
      <c r="H1644" t="s">
        <v>12</v>
      </c>
    </row>
    <row r="1645" spans="1:8" x14ac:dyDescent="0.25">
      <c r="A1645">
        <v>1100955761</v>
      </c>
      <c r="B1645" t="s">
        <v>79</v>
      </c>
      <c r="C1645">
        <v>16</v>
      </c>
      <c r="D1645" s="1">
        <v>11.66</v>
      </c>
      <c r="E1645" s="10" t="s">
        <v>3222</v>
      </c>
      <c r="F1645" s="10" t="s">
        <v>3226</v>
      </c>
      <c r="G1645" s="10" t="s">
        <v>11</v>
      </c>
      <c r="H1645" t="s">
        <v>12</v>
      </c>
    </row>
    <row r="1646" spans="1:8" x14ac:dyDescent="0.25">
      <c r="A1646">
        <v>1100955760</v>
      </c>
      <c r="B1646" t="s">
        <v>414</v>
      </c>
      <c r="C1646">
        <v>42</v>
      </c>
      <c r="D1646" s="1">
        <v>43.03</v>
      </c>
      <c r="E1646" s="10" t="s">
        <v>3222</v>
      </c>
      <c r="F1646" s="10" t="s">
        <v>3227</v>
      </c>
      <c r="G1646" s="10" t="s">
        <v>11</v>
      </c>
      <c r="H1646" t="s">
        <v>12</v>
      </c>
    </row>
    <row r="1647" spans="1:8" x14ac:dyDescent="0.25">
      <c r="A1647">
        <v>1100879522</v>
      </c>
      <c r="B1647" t="s">
        <v>3228</v>
      </c>
      <c r="C1647">
        <v>2</v>
      </c>
      <c r="D1647" s="1">
        <v>22.18</v>
      </c>
      <c r="E1647" s="10" t="s">
        <v>3229</v>
      </c>
      <c r="F1647" s="10" t="s">
        <v>3230</v>
      </c>
      <c r="G1647" s="10" t="s">
        <v>11</v>
      </c>
      <c r="H1647" t="s">
        <v>12</v>
      </c>
    </row>
    <row r="1648" spans="1:8" x14ac:dyDescent="0.25">
      <c r="A1648">
        <v>1100426977</v>
      </c>
      <c r="B1648" t="s">
        <v>2081</v>
      </c>
      <c r="C1648">
        <v>3</v>
      </c>
      <c r="D1648" s="1">
        <v>16.03</v>
      </c>
      <c r="E1648" s="10" t="s">
        <v>3231</v>
      </c>
      <c r="F1648" s="10" t="s">
        <v>3232</v>
      </c>
      <c r="G1648" s="10" t="s">
        <v>11</v>
      </c>
      <c r="H1648" t="s">
        <v>12</v>
      </c>
    </row>
    <row r="1649" spans="1:8" x14ac:dyDescent="0.25">
      <c r="A1649">
        <v>1100426398</v>
      </c>
      <c r="B1649" t="s">
        <v>3233</v>
      </c>
      <c r="C1649">
        <v>2</v>
      </c>
      <c r="D1649" s="1">
        <v>19.18</v>
      </c>
      <c r="E1649" s="10" t="s">
        <v>3231</v>
      </c>
      <c r="F1649" s="10" t="s">
        <v>3234</v>
      </c>
      <c r="G1649" s="10" t="s">
        <v>11</v>
      </c>
      <c r="H1649" t="s">
        <v>12</v>
      </c>
    </row>
    <row r="1650" spans="1:8" x14ac:dyDescent="0.25">
      <c r="A1650">
        <v>1100382249</v>
      </c>
      <c r="B1650" t="s">
        <v>3235</v>
      </c>
      <c r="C1650">
        <v>5</v>
      </c>
      <c r="D1650" s="1">
        <v>25.38</v>
      </c>
      <c r="E1650" s="10" t="s">
        <v>3236</v>
      </c>
      <c r="F1650" s="10" t="s">
        <v>3237</v>
      </c>
      <c r="G1650" s="10" t="s">
        <v>11</v>
      </c>
      <c r="H1650" t="s">
        <v>12</v>
      </c>
    </row>
    <row r="1651" spans="1:8" x14ac:dyDescent="0.25">
      <c r="A1651">
        <v>1100375970</v>
      </c>
      <c r="B1651" t="s">
        <v>3238</v>
      </c>
      <c r="C1651">
        <v>1</v>
      </c>
      <c r="D1651" s="1">
        <v>51.74</v>
      </c>
      <c r="E1651" s="10" t="s">
        <v>3236</v>
      </c>
      <c r="F1651" s="10" t="s">
        <v>3239</v>
      </c>
      <c r="G1651" s="10" t="s">
        <v>11</v>
      </c>
      <c r="H1651" t="s">
        <v>12</v>
      </c>
    </row>
    <row r="1652" spans="1:8" x14ac:dyDescent="0.25">
      <c r="A1652">
        <v>1100375384</v>
      </c>
      <c r="B1652" t="s">
        <v>3240</v>
      </c>
      <c r="C1652">
        <v>4</v>
      </c>
      <c r="D1652" s="1">
        <v>24.18</v>
      </c>
      <c r="E1652" s="10" t="s">
        <v>3236</v>
      </c>
      <c r="F1652" s="10" t="s">
        <v>3241</v>
      </c>
      <c r="G1652" s="10" t="s">
        <v>11</v>
      </c>
      <c r="H1652" t="s">
        <v>12</v>
      </c>
    </row>
    <row r="1653" spans="1:8" x14ac:dyDescent="0.25">
      <c r="A1653">
        <v>1100375218</v>
      </c>
      <c r="B1653" t="s">
        <v>1105</v>
      </c>
      <c r="C1653">
        <v>4</v>
      </c>
      <c r="D1653" s="1">
        <v>10.14</v>
      </c>
      <c r="E1653" s="10" t="s">
        <v>3236</v>
      </c>
      <c r="F1653" s="10" t="s">
        <v>3003</v>
      </c>
      <c r="G1653" s="10" t="s">
        <v>11</v>
      </c>
      <c r="H1653" t="s">
        <v>12</v>
      </c>
    </row>
    <row r="1654" spans="1:8" x14ac:dyDescent="0.25">
      <c r="A1654">
        <v>1100374850</v>
      </c>
      <c r="B1654" t="s">
        <v>294</v>
      </c>
      <c r="C1654">
        <v>36</v>
      </c>
      <c r="D1654" s="1">
        <v>24.18</v>
      </c>
      <c r="E1654" s="10" t="s">
        <v>3236</v>
      </c>
      <c r="F1654" s="10" t="s">
        <v>2797</v>
      </c>
      <c r="G1654" s="10" t="s">
        <v>11</v>
      </c>
      <c r="H1654" t="s">
        <v>12</v>
      </c>
    </row>
    <row r="1655" spans="1:8" x14ac:dyDescent="0.25">
      <c r="A1655">
        <v>1099980474</v>
      </c>
      <c r="B1655" t="s">
        <v>3242</v>
      </c>
      <c r="C1655">
        <v>1</v>
      </c>
      <c r="D1655" s="1">
        <v>11.18</v>
      </c>
      <c r="E1655" s="10" t="s">
        <v>3243</v>
      </c>
      <c r="F1655" s="10" t="s">
        <v>3244</v>
      </c>
      <c r="G1655" s="10" t="s">
        <v>11</v>
      </c>
      <c r="H1655" t="s">
        <v>12</v>
      </c>
    </row>
    <row r="1656" spans="1:8" x14ac:dyDescent="0.25">
      <c r="A1656">
        <v>1099979167</v>
      </c>
      <c r="B1656" t="s">
        <v>3245</v>
      </c>
      <c r="C1656">
        <v>1</v>
      </c>
      <c r="D1656" s="1">
        <v>11.18</v>
      </c>
      <c r="E1656" s="10" t="s">
        <v>3243</v>
      </c>
      <c r="F1656" s="10" t="s">
        <v>3246</v>
      </c>
      <c r="G1656" s="10" t="s">
        <v>11</v>
      </c>
      <c r="H1656" t="s">
        <v>12</v>
      </c>
    </row>
    <row r="1657" spans="1:8" x14ac:dyDescent="0.25">
      <c r="A1657">
        <v>1099772885</v>
      </c>
      <c r="B1657" t="s">
        <v>3247</v>
      </c>
      <c r="C1657">
        <v>9</v>
      </c>
      <c r="D1657" s="1">
        <v>94</v>
      </c>
      <c r="E1657" s="10" t="s">
        <v>3243</v>
      </c>
      <c r="F1657" s="10" t="s">
        <v>3248</v>
      </c>
      <c r="G1657" s="10" t="s">
        <v>11</v>
      </c>
      <c r="H1657" t="s">
        <v>12</v>
      </c>
    </row>
    <row r="1658" spans="1:8" x14ac:dyDescent="0.25">
      <c r="A1658">
        <v>1099635627</v>
      </c>
      <c r="B1658" t="s">
        <v>2203</v>
      </c>
      <c r="C1658">
        <v>7</v>
      </c>
      <c r="D1658" s="1">
        <v>69.069999999999993</v>
      </c>
      <c r="E1658" s="10" t="s">
        <v>3249</v>
      </c>
      <c r="F1658" s="10" t="s">
        <v>3250</v>
      </c>
      <c r="G1658" s="10" t="s">
        <v>11</v>
      </c>
      <c r="H1658" t="s">
        <v>12</v>
      </c>
    </row>
    <row r="1659" spans="1:8" x14ac:dyDescent="0.25">
      <c r="A1659">
        <v>1099635323</v>
      </c>
      <c r="B1659" t="s">
        <v>21</v>
      </c>
      <c r="C1659">
        <v>4</v>
      </c>
      <c r="D1659" s="1">
        <v>24.28</v>
      </c>
      <c r="E1659" s="10" t="s">
        <v>3249</v>
      </c>
      <c r="F1659" s="10" t="s">
        <v>3251</v>
      </c>
      <c r="G1659" s="10" t="s">
        <v>11</v>
      </c>
      <c r="H1659" t="s">
        <v>12</v>
      </c>
    </row>
    <row r="1660" spans="1:8" x14ac:dyDescent="0.25">
      <c r="A1660">
        <v>1099624602</v>
      </c>
      <c r="B1660" t="s">
        <v>237</v>
      </c>
      <c r="C1660">
        <v>4</v>
      </c>
      <c r="D1660" s="1">
        <v>38.9</v>
      </c>
      <c r="E1660" s="10" t="s">
        <v>3252</v>
      </c>
      <c r="F1660" s="10" t="s">
        <v>1765</v>
      </c>
      <c r="G1660" s="10" t="s">
        <v>11</v>
      </c>
      <c r="H1660" t="s">
        <v>12</v>
      </c>
    </row>
    <row r="1661" spans="1:8" x14ac:dyDescent="0.25">
      <c r="A1661">
        <v>1099623764</v>
      </c>
      <c r="B1661" t="s">
        <v>3253</v>
      </c>
      <c r="C1661">
        <v>4</v>
      </c>
      <c r="D1661" s="1">
        <v>6.23</v>
      </c>
      <c r="E1661" s="10" t="s">
        <v>3252</v>
      </c>
      <c r="F1661" s="10" t="s">
        <v>3254</v>
      </c>
      <c r="G1661" s="10" t="s">
        <v>11</v>
      </c>
      <c r="H1661" t="s">
        <v>12</v>
      </c>
    </row>
    <row r="1662" spans="1:8" x14ac:dyDescent="0.25">
      <c r="A1662">
        <v>1099619167</v>
      </c>
      <c r="B1662" t="s">
        <v>35</v>
      </c>
      <c r="C1662">
        <v>28</v>
      </c>
      <c r="D1662" s="1">
        <v>45.33</v>
      </c>
      <c r="E1662" s="10" t="s">
        <v>3252</v>
      </c>
      <c r="F1662" s="10" t="s">
        <v>3255</v>
      </c>
      <c r="G1662" s="10" t="s">
        <v>11</v>
      </c>
      <c r="H1662" t="s">
        <v>12</v>
      </c>
    </row>
    <row r="1663" spans="1:8" x14ac:dyDescent="0.25">
      <c r="A1663">
        <v>1099616997</v>
      </c>
      <c r="B1663" t="s">
        <v>3256</v>
      </c>
      <c r="C1663">
        <v>1</v>
      </c>
      <c r="D1663" s="1">
        <v>65.88</v>
      </c>
      <c r="E1663" s="10" t="s">
        <v>3252</v>
      </c>
      <c r="F1663" s="10" t="s">
        <v>3257</v>
      </c>
      <c r="G1663" s="10" t="s">
        <v>11</v>
      </c>
      <c r="H1663" t="s">
        <v>12</v>
      </c>
    </row>
    <row r="1664" spans="1:8" x14ac:dyDescent="0.25">
      <c r="A1664">
        <v>1098788924</v>
      </c>
      <c r="B1664" t="s">
        <v>35</v>
      </c>
      <c r="C1664">
        <v>1</v>
      </c>
      <c r="D1664" s="1">
        <v>32.03</v>
      </c>
      <c r="E1664" s="10" t="s">
        <v>3258</v>
      </c>
      <c r="F1664" s="10" t="s">
        <v>3259</v>
      </c>
      <c r="G1664" s="10" t="s">
        <v>11</v>
      </c>
      <c r="H1664" t="s">
        <v>12</v>
      </c>
    </row>
    <row r="1665" spans="1:8" x14ac:dyDescent="0.25">
      <c r="A1665">
        <v>1098527767</v>
      </c>
      <c r="B1665" t="s">
        <v>755</v>
      </c>
      <c r="C1665">
        <v>1</v>
      </c>
      <c r="D1665" s="1">
        <v>17.149999999999999</v>
      </c>
      <c r="E1665" s="10" t="s">
        <v>3260</v>
      </c>
      <c r="F1665" s="10" t="s">
        <v>3261</v>
      </c>
      <c r="G1665" s="10" t="s">
        <v>11</v>
      </c>
      <c r="H1665" t="s">
        <v>12</v>
      </c>
    </row>
    <row r="1666" spans="1:8" x14ac:dyDescent="0.25">
      <c r="A1666">
        <v>1098527766</v>
      </c>
      <c r="B1666" t="s">
        <v>3262</v>
      </c>
      <c r="C1666">
        <v>1</v>
      </c>
      <c r="D1666" s="1">
        <v>18.04</v>
      </c>
      <c r="E1666" s="10" t="s">
        <v>3260</v>
      </c>
      <c r="F1666" s="10" t="s">
        <v>3263</v>
      </c>
      <c r="G1666" s="10" t="s">
        <v>11</v>
      </c>
      <c r="H1666" t="s">
        <v>12</v>
      </c>
    </row>
    <row r="1667" spans="1:8" x14ac:dyDescent="0.25">
      <c r="A1667">
        <v>1098527765</v>
      </c>
      <c r="B1667" t="s">
        <v>3264</v>
      </c>
      <c r="C1667">
        <v>1</v>
      </c>
      <c r="D1667" s="1">
        <v>17.14</v>
      </c>
      <c r="E1667" s="10" t="s">
        <v>3260</v>
      </c>
      <c r="F1667" s="10" t="s">
        <v>3265</v>
      </c>
      <c r="G1667" s="10" t="s">
        <v>11</v>
      </c>
      <c r="H1667" t="s">
        <v>12</v>
      </c>
    </row>
    <row r="1668" spans="1:8" x14ac:dyDescent="0.25">
      <c r="A1668">
        <v>1098450491</v>
      </c>
      <c r="B1668" t="s">
        <v>3266</v>
      </c>
      <c r="C1668">
        <v>1</v>
      </c>
      <c r="D1668" s="1">
        <v>4.4000000000000004</v>
      </c>
      <c r="E1668" s="10" t="s">
        <v>3267</v>
      </c>
      <c r="F1668" s="10" t="s">
        <v>3268</v>
      </c>
      <c r="G1668" s="10" t="s">
        <v>11</v>
      </c>
      <c r="H1668" t="s">
        <v>12</v>
      </c>
    </row>
    <row r="1669" spans="1:8" x14ac:dyDescent="0.25">
      <c r="A1669">
        <v>1098442875</v>
      </c>
      <c r="B1669" t="s">
        <v>1766</v>
      </c>
      <c r="C1669">
        <v>1</v>
      </c>
      <c r="D1669" s="1">
        <v>18.649999999999999</v>
      </c>
      <c r="E1669" s="10" t="s">
        <v>3267</v>
      </c>
      <c r="F1669" s="10" t="s">
        <v>3269</v>
      </c>
      <c r="G1669" s="10" t="s">
        <v>11</v>
      </c>
      <c r="H1669" t="s">
        <v>12</v>
      </c>
    </row>
    <row r="1670" spans="1:8" x14ac:dyDescent="0.25">
      <c r="A1670">
        <v>1098439072</v>
      </c>
      <c r="B1670" t="s">
        <v>3270</v>
      </c>
      <c r="C1670">
        <v>2</v>
      </c>
      <c r="D1670" s="1">
        <v>10.02</v>
      </c>
      <c r="E1670" s="10" t="s">
        <v>3267</v>
      </c>
      <c r="F1670" s="10" t="s">
        <v>3271</v>
      </c>
      <c r="G1670" s="10" t="s">
        <v>11</v>
      </c>
      <c r="H1670" t="s">
        <v>12</v>
      </c>
    </row>
    <row r="1671" spans="1:8" x14ac:dyDescent="0.25">
      <c r="A1671">
        <v>1098438292</v>
      </c>
      <c r="B1671" t="s">
        <v>303</v>
      </c>
      <c r="C1671">
        <v>2</v>
      </c>
      <c r="D1671" s="1">
        <v>9.1300000000000008</v>
      </c>
      <c r="E1671" s="10" t="s">
        <v>3267</v>
      </c>
      <c r="F1671" s="10" t="s">
        <v>3272</v>
      </c>
      <c r="G1671" s="10" t="s">
        <v>11</v>
      </c>
      <c r="H1671" t="s">
        <v>12</v>
      </c>
    </row>
    <row r="1672" spans="1:8" x14ac:dyDescent="0.25">
      <c r="A1672">
        <v>1098297896</v>
      </c>
      <c r="B1672" t="s">
        <v>294</v>
      </c>
      <c r="C1672">
        <v>62</v>
      </c>
      <c r="D1672" s="1">
        <v>17.77</v>
      </c>
      <c r="E1672" s="10" t="s">
        <v>3273</v>
      </c>
      <c r="F1672" s="10" t="s">
        <v>3274</v>
      </c>
      <c r="G1672" s="10" t="s">
        <v>11</v>
      </c>
      <c r="H1672" t="s">
        <v>12</v>
      </c>
    </row>
    <row r="1673" spans="1:8" x14ac:dyDescent="0.25">
      <c r="A1673">
        <v>1098221549</v>
      </c>
      <c r="B1673" t="s">
        <v>442</v>
      </c>
      <c r="C1673">
        <v>2</v>
      </c>
      <c r="D1673" s="1">
        <v>11.13</v>
      </c>
      <c r="E1673" s="10" t="s">
        <v>3275</v>
      </c>
      <c r="F1673" s="10" t="s">
        <v>3276</v>
      </c>
      <c r="G1673" s="10" t="s">
        <v>11</v>
      </c>
      <c r="H1673" t="s">
        <v>12</v>
      </c>
    </row>
    <row r="1674" spans="1:8" x14ac:dyDescent="0.25">
      <c r="A1674">
        <v>1098220638</v>
      </c>
      <c r="B1674" t="s">
        <v>3277</v>
      </c>
      <c r="C1674">
        <v>7</v>
      </c>
      <c r="D1674" s="1">
        <v>24.95</v>
      </c>
      <c r="E1674" s="10" t="s">
        <v>3275</v>
      </c>
      <c r="F1674" s="10" t="s">
        <v>3278</v>
      </c>
      <c r="G1674" s="10" t="s">
        <v>11</v>
      </c>
      <c r="H1674" t="s">
        <v>12</v>
      </c>
    </row>
    <row r="1675" spans="1:8" x14ac:dyDescent="0.25">
      <c r="A1675">
        <v>1098102519</v>
      </c>
      <c r="B1675" t="s">
        <v>3279</v>
      </c>
      <c r="C1675">
        <v>2</v>
      </c>
      <c r="D1675" s="1">
        <v>19.649999999999999</v>
      </c>
      <c r="E1675" s="10" t="s">
        <v>3280</v>
      </c>
      <c r="F1675" s="10" t="s">
        <v>3281</v>
      </c>
      <c r="G1675" s="10" t="s">
        <v>11</v>
      </c>
      <c r="H1675" t="s">
        <v>12</v>
      </c>
    </row>
    <row r="1676" spans="1:8" x14ac:dyDescent="0.25">
      <c r="A1676">
        <v>1098085481</v>
      </c>
      <c r="B1676" t="s">
        <v>469</v>
      </c>
      <c r="C1676">
        <v>1</v>
      </c>
      <c r="D1676" s="1">
        <v>18.100000000000001</v>
      </c>
      <c r="E1676" s="10" t="s">
        <v>3280</v>
      </c>
      <c r="F1676" s="10" t="s">
        <v>3282</v>
      </c>
      <c r="G1676" s="10" t="s">
        <v>38</v>
      </c>
      <c r="H1676" t="s">
        <v>12</v>
      </c>
    </row>
    <row r="1677" spans="1:8" x14ac:dyDescent="0.25">
      <c r="A1677">
        <v>1098084023</v>
      </c>
      <c r="B1677" t="s">
        <v>3283</v>
      </c>
      <c r="C1677">
        <v>2</v>
      </c>
      <c r="D1677" s="1">
        <v>8.15</v>
      </c>
      <c r="E1677" s="10" t="s">
        <v>3280</v>
      </c>
      <c r="F1677" s="10" t="s">
        <v>3284</v>
      </c>
      <c r="G1677" s="10" t="s">
        <v>11</v>
      </c>
      <c r="H1677" t="s">
        <v>12</v>
      </c>
    </row>
    <row r="1678" spans="1:8" x14ac:dyDescent="0.25">
      <c r="A1678">
        <v>1098083917</v>
      </c>
      <c r="B1678" t="s">
        <v>3285</v>
      </c>
      <c r="C1678">
        <v>3</v>
      </c>
      <c r="D1678" s="1">
        <v>10.14</v>
      </c>
      <c r="E1678" s="10" t="s">
        <v>3280</v>
      </c>
      <c r="F1678" s="10" t="s">
        <v>3286</v>
      </c>
      <c r="G1678" s="10" t="s">
        <v>11</v>
      </c>
      <c r="H1678" t="s">
        <v>12</v>
      </c>
    </row>
    <row r="1679" spans="1:8" x14ac:dyDescent="0.25">
      <c r="A1679">
        <v>1097956980</v>
      </c>
      <c r="B1679" t="s">
        <v>1947</v>
      </c>
      <c r="C1679">
        <v>1</v>
      </c>
      <c r="D1679" s="1">
        <v>13.65</v>
      </c>
      <c r="E1679" s="10" t="s">
        <v>3287</v>
      </c>
      <c r="F1679" s="10" t="s">
        <v>3288</v>
      </c>
      <c r="G1679" s="10" t="s">
        <v>11</v>
      </c>
      <c r="H1679" t="s">
        <v>12</v>
      </c>
    </row>
    <row r="1680" spans="1:8" x14ac:dyDescent="0.25">
      <c r="A1680">
        <v>1097956624</v>
      </c>
      <c r="B1680" t="s">
        <v>2158</v>
      </c>
      <c r="C1680">
        <v>2</v>
      </c>
      <c r="D1680" s="1">
        <v>6.15</v>
      </c>
      <c r="E1680" s="10" t="s">
        <v>3287</v>
      </c>
      <c r="F1680" s="10" t="s">
        <v>3289</v>
      </c>
      <c r="G1680" s="10" t="s">
        <v>11</v>
      </c>
      <c r="H1680" t="s">
        <v>12</v>
      </c>
    </row>
    <row r="1681" spans="1:8" x14ac:dyDescent="0.25">
      <c r="A1681">
        <v>1097748382</v>
      </c>
      <c r="B1681" t="s">
        <v>892</v>
      </c>
      <c r="C1681">
        <v>2</v>
      </c>
      <c r="D1681" s="1">
        <v>60.63</v>
      </c>
      <c r="E1681" s="10" t="s">
        <v>3290</v>
      </c>
      <c r="F1681" s="10" t="s">
        <v>3291</v>
      </c>
      <c r="G1681" s="10" t="s">
        <v>11</v>
      </c>
      <c r="H1681" t="s">
        <v>12</v>
      </c>
    </row>
    <row r="1682" spans="1:8" x14ac:dyDescent="0.25">
      <c r="A1682">
        <v>1097746345</v>
      </c>
      <c r="B1682" t="s">
        <v>3292</v>
      </c>
      <c r="C1682">
        <v>1</v>
      </c>
      <c r="D1682" s="1">
        <v>50.54</v>
      </c>
      <c r="E1682" s="10" t="s">
        <v>3290</v>
      </c>
      <c r="F1682" s="10" t="s">
        <v>3293</v>
      </c>
      <c r="G1682" s="10" t="s">
        <v>11</v>
      </c>
      <c r="H1682" t="s">
        <v>12</v>
      </c>
    </row>
    <row r="1683" spans="1:8" x14ac:dyDescent="0.25">
      <c r="A1683">
        <v>1097642096</v>
      </c>
      <c r="B1683" t="s">
        <v>3294</v>
      </c>
      <c r="C1683">
        <v>1</v>
      </c>
      <c r="D1683" s="1">
        <v>11.15</v>
      </c>
      <c r="E1683" s="10" t="s">
        <v>3295</v>
      </c>
      <c r="F1683" s="10" t="s">
        <v>3296</v>
      </c>
      <c r="G1683" s="10" t="s">
        <v>11</v>
      </c>
      <c r="H1683" t="s">
        <v>12</v>
      </c>
    </row>
    <row r="1684" spans="1:8" x14ac:dyDescent="0.25">
      <c r="A1684">
        <v>1097640163</v>
      </c>
      <c r="B1684" t="s">
        <v>3297</v>
      </c>
      <c r="C1684">
        <v>4</v>
      </c>
      <c r="D1684" s="1">
        <v>8.61</v>
      </c>
      <c r="E1684" s="10" t="s">
        <v>3295</v>
      </c>
      <c r="F1684" s="10" t="s">
        <v>3298</v>
      </c>
      <c r="G1684" s="10" t="s">
        <v>11</v>
      </c>
      <c r="H1684" t="s">
        <v>12</v>
      </c>
    </row>
    <row r="1685" spans="1:8" x14ac:dyDescent="0.25">
      <c r="A1685">
        <v>1097638400</v>
      </c>
      <c r="B1685" t="s">
        <v>3299</v>
      </c>
      <c r="C1685">
        <v>7</v>
      </c>
      <c r="D1685" s="1">
        <v>8.75</v>
      </c>
      <c r="E1685" s="10" t="s">
        <v>3295</v>
      </c>
      <c r="F1685" s="10" t="s">
        <v>3300</v>
      </c>
      <c r="G1685" s="10" t="s">
        <v>11</v>
      </c>
      <c r="H1685" t="s">
        <v>12</v>
      </c>
    </row>
    <row r="1686" spans="1:8" x14ac:dyDescent="0.25">
      <c r="A1686">
        <v>1097630041</v>
      </c>
      <c r="B1686" t="s">
        <v>3301</v>
      </c>
      <c r="C1686">
        <v>2</v>
      </c>
      <c r="D1686" s="1">
        <v>5.65</v>
      </c>
      <c r="E1686" s="10" t="s">
        <v>3295</v>
      </c>
      <c r="F1686" s="10" t="s">
        <v>3302</v>
      </c>
      <c r="G1686" s="10" t="s">
        <v>11</v>
      </c>
      <c r="H1686" t="s">
        <v>12</v>
      </c>
    </row>
    <row r="1687" spans="1:8" x14ac:dyDescent="0.25">
      <c r="A1687">
        <v>1097110444</v>
      </c>
      <c r="B1687" t="s">
        <v>294</v>
      </c>
      <c r="C1687">
        <v>28</v>
      </c>
      <c r="D1687" s="1">
        <v>59.94</v>
      </c>
      <c r="E1687" s="10" t="s">
        <v>3303</v>
      </c>
      <c r="F1687" s="10" t="s">
        <v>3304</v>
      </c>
      <c r="G1687" s="10" t="s">
        <v>11</v>
      </c>
      <c r="H1687" t="s">
        <v>12</v>
      </c>
    </row>
    <row r="1688" spans="1:8" x14ac:dyDescent="0.25">
      <c r="A1688">
        <v>1097429604</v>
      </c>
      <c r="B1688" t="s">
        <v>2387</v>
      </c>
      <c r="C1688">
        <v>2</v>
      </c>
      <c r="D1688" s="1">
        <v>8.4</v>
      </c>
      <c r="E1688" s="10" t="s">
        <v>3305</v>
      </c>
      <c r="F1688" s="10" t="s">
        <v>3306</v>
      </c>
      <c r="G1688" s="10" t="s">
        <v>11</v>
      </c>
      <c r="H1688" t="s">
        <v>12</v>
      </c>
    </row>
    <row r="1689" spans="1:8" x14ac:dyDescent="0.25">
      <c r="A1689">
        <v>1097114568</v>
      </c>
      <c r="B1689" t="s">
        <v>1032</v>
      </c>
      <c r="C1689">
        <v>4</v>
      </c>
      <c r="D1689" s="1">
        <v>4.55</v>
      </c>
      <c r="E1689" s="10" t="s">
        <v>3305</v>
      </c>
      <c r="F1689" s="10" t="s">
        <v>3307</v>
      </c>
      <c r="G1689" s="10" t="s">
        <v>11</v>
      </c>
      <c r="H1689" t="s">
        <v>12</v>
      </c>
    </row>
    <row r="1690" spans="1:8" x14ac:dyDescent="0.25">
      <c r="A1690">
        <v>1097325133</v>
      </c>
      <c r="B1690" t="s">
        <v>3308</v>
      </c>
      <c r="C1690">
        <v>6</v>
      </c>
      <c r="D1690" s="1">
        <v>109.13</v>
      </c>
      <c r="E1690" s="10" t="s">
        <v>3309</v>
      </c>
      <c r="F1690" s="10" t="s">
        <v>3310</v>
      </c>
      <c r="G1690" s="10" t="s">
        <v>11</v>
      </c>
      <c r="H1690" t="s">
        <v>12</v>
      </c>
    </row>
    <row r="1691" spans="1:8" x14ac:dyDescent="0.25">
      <c r="A1691">
        <v>1097268072</v>
      </c>
      <c r="B1691" t="s">
        <v>3311</v>
      </c>
      <c r="C1691">
        <v>4</v>
      </c>
      <c r="D1691" s="1">
        <v>10.95</v>
      </c>
      <c r="E1691" s="10" t="s">
        <v>3312</v>
      </c>
      <c r="F1691" s="10" t="s">
        <v>3313</v>
      </c>
      <c r="G1691" s="10" t="s">
        <v>11</v>
      </c>
      <c r="H1691" t="s">
        <v>12</v>
      </c>
    </row>
    <row r="1692" spans="1:8" x14ac:dyDescent="0.25">
      <c r="A1692">
        <v>1097214161</v>
      </c>
      <c r="B1692" t="s">
        <v>3314</v>
      </c>
      <c r="C1692">
        <v>3</v>
      </c>
      <c r="D1692" s="1">
        <v>4.87</v>
      </c>
      <c r="E1692" s="10" t="s">
        <v>3312</v>
      </c>
      <c r="F1692" s="10" t="s">
        <v>3315</v>
      </c>
      <c r="G1692" s="10" t="s">
        <v>11</v>
      </c>
      <c r="H1692" t="s">
        <v>12</v>
      </c>
    </row>
    <row r="1693" spans="1:8" x14ac:dyDescent="0.25">
      <c r="A1693">
        <v>1097214139</v>
      </c>
      <c r="B1693" t="s">
        <v>3316</v>
      </c>
      <c r="C1693">
        <v>3</v>
      </c>
      <c r="D1693" s="1">
        <v>11.67</v>
      </c>
      <c r="E1693" s="10" t="s">
        <v>3312</v>
      </c>
      <c r="F1693" s="10" t="s">
        <v>3317</v>
      </c>
      <c r="G1693" s="10" t="s">
        <v>11</v>
      </c>
      <c r="H1693" t="s">
        <v>12</v>
      </c>
    </row>
    <row r="1694" spans="1:8" x14ac:dyDescent="0.25">
      <c r="A1694">
        <v>1097214102</v>
      </c>
      <c r="B1694" t="s">
        <v>3318</v>
      </c>
      <c r="C1694">
        <v>2</v>
      </c>
      <c r="D1694" s="1">
        <v>8.1300000000000008</v>
      </c>
      <c r="E1694" s="10" t="s">
        <v>3312</v>
      </c>
      <c r="F1694" s="10" t="s">
        <v>3319</v>
      </c>
      <c r="G1694" s="10" t="s">
        <v>11</v>
      </c>
      <c r="H1694" t="s">
        <v>12</v>
      </c>
    </row>
    <row r="1695" spans="1:8" x14ac:dyDescent="0.25">
      <c r="A1695">
        <v>1097214098</v>
      </c>
      <c r="B1695" t="s">
        <v>3320</v>
      </c>
      <c r="C1695">
        <v>3</v>
      </c>
      <c r="D1695" s="1">
        <v>5.0999999999999996</v>
      </c>
      <c r="E1695" s="10" t="s">
        <v>3312</v>
      </c>
      <c r="F1695" s="10" t="s">
        <v>3321</v>
      </c>
      <c r="G1695" s="10" t="s">
        <v>11</v>
      </c>
      <c r="H1695" t="s">
        <v>12</v>
      </c>
    </row>
    <row r="1696" spans="1:8" x14ac:dyDescent="0.25">
      <c r="A1696">
        <v>1097106732</v>
      </c>
      <c r="B1696" t="s">
        <v>3322</v>
      </c>
      <c r="C1696">
        <v>2</v>
      </c>
      <c r="D1696" s="1">
        <v>14.75</v>
      </c>
      <c r="E1696" s="10" t="s">
        <v>3323</v>
      </c>
      <c r="F1696" s="10" t="s">
        <v>3324</v>
      </c>
      <c r="G1696" s="10" t="s">
        <v>11</v>
      </c>
      <c r="H1696" t="s">
        <v>12</v>
      </c>
    </row>
    <row r="1697" spans="1:8" x14ac:dyDescent="0.25">
      <c r="A1697">
        <v>1096981292</v>
      </c>
      <c r="B1697" t="s">
        <v>3062</v>
      </c>
      <c r="C1697">
        <v>4</v>
      </c>
      <c r="D1697" s="1">
        <v>27.3</v>
      </c>
      <c r="E1697" s="10" t="s">
        <v>3325</v>
      </c>
      <c r="F1697" s="10" t="s">
        <v>3214</v>
      </c>
      <c r="G1697" s="10" t="s">
        <v>11</v>
      </c>
      <c r="H1697" t="s">
        <v>12</v>
      </c>
    </row>
    <row r="1698" spans="1:8" x14ac:dyDescent="0.25">
      <c r="A1698">
        <v>1096980618</v>
      </c>
      <c r="B1698" t="s">
        <v>2838</v>
      </c>
      <c r="C1698">
        <v>4</v>
      </c>
      <c r="D1698" s="1">
        <v>34.39</v>
      </c>
      <c r="E1698" s="10" t="s">
        <v>3325</v>
      </c>
      <c r="F1698" s="10" t="s">
        <v>3326</v>
      </c>
      <c r="G1698" s="10" t="s">
        <v>11</v>
      </c>
      <c r="H1698" t="s">
        <v>12</v>
      </c>
    </row>
    <row r="1699" spans="1:8" x14ac:dyDescent="0.25">
      <c r="A1699">
        <v>1096963707</v>
      </c>
      <c r="B1699" t="s">
        <v>3327</v>
      </c>
      <c r="C1699">
        <v>1</v>
      </c>
      <c r="D1699" s="1">
        <v>32.729999999999997</v>
      </c>
      <c r="E1699" s="10" t="s">
        <v>3325</v>
      </c>
      <c r="F1699" s="10" t="s">
        <v>3328</v>
      </c>
      <c r="G1699" s="10" t="s">
        <v>11</v>
      </c>
      <c r="H1699" t="s">
        <v>12</v>
      </c>
    </row>
    <row r="1700" spans="1:8" x14ac:dyDescent="0.25">
      <c r="A1700">
        <v>1096959898</v>
      </c>
      <c r="B1700" t="s">
        <v>414</v>
      </c>
      <c r="C1700">
        <v>47</v>
      </c>
      <c r="D1700" s="1">
        <v>166.95</v>
      </c>
      <c r="E1700" s="10" t="s">
        <v>3325</v>
      </c>
      <c r="F1700" s="10" t="s">
        <v>3329</v>
      </c>
      <c r="G1700" s="10" t="s">
        <v>11</v>
      </c>
      <c r="H1700" t="s">
        <v>12</v>
      </c>
    </row>
    <row r="1701" spans="1:8" x14ac:dyDescent="0.25">
      <c r="A1701">
        <v>1096470220</v>
      </c>
      <c r="B1701" t="s">
        <v>3330</v>
      </c>
      <c r="C1701">
        <v>9</v>
      </c>
      <c r="D1701" s="1">
        <v>48.01</v>
      </c>
      <c r="E1701" s="10" t="s">
        <v>3331</v>
      </c>
      <c r="F1701" s="10" t="s">
        <v>3332</v>
      </c>
      <c r="G1701" s="10" t="s">
        <v>11</v>
      </c>
      <c r="H1701" t="s">
        <v>12</v>
      </c>
    </row>
    <row r="1702" spans="1:8" x14ac:dyDescent="0.25">
      <c r="A1702">
        <v>1096386596</v>
      </c>
      <c r="B1702" t="s">
        <v>2353</v>
      </c>
      <c r="C1702">
        <v>10</v>
      </c>
      <c r="D1702" s="1">
        <v>89.94</v>
      </c>
      <c r="E1702" s="10" t="s">
        <v>3333</v>
      </c>
      <c r="F1702" s="10" t="s">
        <v>3334</v>
      </c>
      <c r="G1702" s="10" t="s">
        <v>11</v>
      </c>
      <c r="H1702" t="s">
        <v>12</v>
      </c>
    </row>
    <row r="1703" spans="1:8" x14ac:dyDescent="0.25">
      <c r="A1703">
        <v>1096386453</v>
      </c>
      <c r="B1703" t="s">
        <v>3335</v>
      </c>
      <c r="C1703">
        <v>7</v>
      </c>
      <c r="D1703" s="1">
        <v>200.46</v>
      </c>
      <c r="E1703" s="10" t="s">
        <v>3333</v>
      </c>
      <c r="F1703" s="10" t="s">
        <v>3336</v>
      </c>
      <c r="G1703" s="10" t="s">
        <v>11</v>
      </c>
      <c r="H1703" t="s">
        <v>12</v>
      </c>
    </row>
    <row r="1704" spans="1:8" x14ac:dyDescent="0.25">
      <c r="A1704">
        <v>1096000000</v>
      </c>
      <c r="B1704" t="s">
        <v>3337</v>
      </c>
      <c r="C1704">
        <v>31</v>
      </c>
      <c r="D1704" s="1">
        <v>20.75</v>
      </c>
      <c r="E1704" s="10" t="s">
        <v>3338</v>
      </c>
      <c r="F1704" s="10" t="s">
        <v>3339</v>
      </c>
      <c r="G1704" s="10" t="s">
        <v>11</v>
      </c>
      <c r="H1704" t="s">
        <v>12</v>
      </c>
    </row>
    <row r="1705" spans="1:8" x14ac:dyDescent="0.25">
      <c r="A1705">
        <v>1095985772</v>
      </c>
      <c r="B1705" t="s">
        <v>3285</v>
      </c>
      <c r="C1705">
        <v>6</v>
      </c>
      <c r="D1705" s="1">
        <v>90.89</v>
      </c>
      <c r="E1705" s="10" t="s">
        <v>3338</v>
      </c>
      <c r="F1705" s="10" t="s">
        <v>3340</v>
      </c>
      <c r="G1705" s="10" t="s">
        <v>11</v>
      </c>
      <c r="H1705" t="s">
        <v>12</v>
      </c>
    </row>
    <row r="1706" spans="1:8" x14ac:dyDescent="0.25">
      <c r="A1706">
        <v>1095959451</v>
      </c>
      <c r="B1706" t="s">
        <v>294</v>
      </c>
      <c r="C1706">
        <v>57</v>
      </c>
      <c r="D1706" s="1">
        <v>71.66</v>
      </c>
      <c r="E1706" s="10" t="s">
        <v>3338</v>
      </c>
      <c r="F1706" s="10" t="s">
        <v>1725</v>
      </c>
      <c r="G1706" s="10" t="s">
        <v>11</v>
      </c>
      <c r="H1706" t="s">
        <v>12</v>
      </c>
    </row>
    <row r="1707" spans="1:8" x14ac:dyDescent="0.25">
      <c r="A1707">
        <v>1095908969</v>
      </c>
      <c r="B1707" t="s">
        <v>2568</v>
      </c>
      <c r="C1707">
        <v>30</v>
      </c>
      <c r="D1707" s="1">
        <v>72.900000000000006</v>
      </c>
      <c r="E1707" s="10" t="s">
        <v>3341</v>
      </c>
      <c r="F1707" s="10" t="s">
        <v>3342</v>
      </c>
      <c r="G1707" s="10" t="s">
        <v>11</v>
      </c>
      <c r="H1707" t="s">
        <v>12</v>
      </c>
    </row>
    <row r="1708" spans="1:8" x14ac:dyDescent="0.25">
      <c r="A1708">
        <v>1095635319</v>
      </c>
      <c r="B1708" t="s">
        <v>3343</v>
      </c>
      <c r="C1708">
        <v>4</v>
      </c>
      <c r="D1708" s="1">
        <v>139.43</v>
      </c>
      <c r="E1708" s="10" t="s">
        <v>3344</v>
      </c>
      <c r="F1708" s="10" t="s">
        <v>3345</v>
      </c>
      <c r="G1708" s="10" t="s">
        <v>11</v>
      </c>
      <c r="H1708" t="s">
        <v>12</v>
      </c>
    </row>
    <row r="1709" spans="1:8" x14ac:dyDescent="0.25">
      <c r="A1709">
        <v>1094468405</v>
      </c>
      <c r="B1709" t="s">
        <v>2838</v>
      </c>
      <c r="C1709">
        <v>9</v>
      </c>
      <c r="D1709" s="1">
        <v>38.299999999999997</v>
      </c>
      <c r="E1709" s="10" t="s">
        <v>3346</v>
      </c>
      <c r="F1709" s="10" t="s">
        <v>3347</v>
      </c>
      <c r="G1709" s="10" t="s">
        <v>11</v>
      </c>
      <c r="H1709" t="s">
        <v>12</v>
      </c>
    </row>
    <row r="1710" spans="1:8" x14ac:dyDescent="0.25">
      <c r="A1710">
        <v>1094260376</v>
      </c>
      <c r="B1710" t="s">
        <v>3348</v>
      </c>
      <c r="C1710">
        <v>1</v>
      </c>
      <c r="D1710" s="1">
        <v>134.38</v>
      </c>
      <c r="E1710" s="10" t="s">
        <v>3349</v>
      </c>
      <c r="F1710" s="10" t="s">
        <v>3350</v>
      </c>
      <c r="G1710" s="10" t="s">
        <v>11</v>
      </c>
      <c r="H1710" t="s">
        <v>12</v>
      </c>
    </row>
    <row r="1711" spans="1:8" x14ac:dyDescent="0.25">
      <c r="A1711">
        <v>1094144113</v>
      </c>
      <c r="B1711" t="s">
        <v>2353</v>
      </c>
      <c r="C1711">
        <v>14</v>
      </c>
      <c r="D1711" s="1">
        <v>78.83</v>
      </c>
      <c r="E1711" s="10" t="s">
        <v>3351</v>
      </c>
      <c r="F1711" s="10" t="s">
        <v>3334</v>
      </c>
      <c r="G1711" s="10" t="s">
        <v>11</v>
      </c>
      <c r="H1711" t="s">
        <v>12</v>
      </c>
    </row>
    <row r="1712" spans="1:8" x14ac:dyDescent="0.25">
      <c r="A1712">
        <v>1094021888</v>
      </c>
      <c r="B1712" t="s">
        <v>3193</v>
      </c>
      <c r="C1712">
        <v>103</v>
      </c>
      <c r="D1712" s="1">
        <v>84.95</v>
      </c>
      <c r="E1712" s="10" t="s">
        <v>3352</v>
      </c>
      <c r="F1712" s="10" t="s">
        <v>3353</v>
      </c>
      <c r="G1712" s="10" t="s">
        <v>11</v>
      </c>
      <c r="H1712" t="s">
        <v>12</v>
      </c>
    </row>
    <row r="1713" spans="1:8" x14ac:dyDescent="0.25">
      <c r="A1713">
        <v>1093444404</v>
      </c>
      <c r="B1713" t="s">
        <v>882</v>
      </c>
      <c r="C1713">
        <v>4</v>
      </c>
      <c r="D1713" s="1">
        <v>43.09</v>
      </c>
      <c r="E1713" s="10" t="s">
        <v>3354</v>
      </c>
      <c r="F1713" s="10" t="s">
        <v>3355</v>
      </c>
      <c r="G1713" s="10" t="s">
        <v>11</v>
      </c>
      <c r="H1713" t="s">
        <v>12</v>
      </c>
    </row>
    <row r="1714" spans="1:8" x14ac:dyDescent="0.25">
      <c r="A1714">
        <v>1093441105</v>
      </c>
      <c r="B1714" t="s">
        <v>3356</v>
      </c>
      <c r="C1714">
        <v>2</v>
      </c>
      <c r="D1714" s="1">
        <v>60.4</v>
      </c>
      <c r="E1714" s="10" t="s">
        <v>3354</v>
      </c>
      <c r="F1714" s="10" t="s">
        <v>3357</v>
      </c>
      <c r="G1714" s="10" t="s">
        <v>11</v>
      </c>
      <c r="H1714" t="s">
        <v>12</v>
      </c>
    </row>
    <row r="1715" spans="1:8" x14ac:dyDescent="0.25">
      <c r="A1715">
        <v>1093432462</v>
      </c>
      <c r="B1715" t="s">
        <v>3358</v>
      </c>
      <c r="C1715">
        <v>10</v>
      </c>
      <c r="D1715" s="1">
        <v>54.04</v>
      </c>
      <c r="E1715" s="10" t="s">
        <v>3354</v>
      </c>
      <c r="F1715" s="10" t="s">
        <v>3359</v>
      </c>
      <c r="G1715" s="10" t="s">
        <v>11</v>
      </c>
      <c r="H1715" t="s">
        <v>12</v>
      </c>
    </row>
    <row r="1716" spans="1:8" x14ac:dyDescent="0.25">
      <c r="A1716">
        <v>1093426179</v>
      </c>
      <c r="B1716" t="s">
        <v>3360</v>
      </c>
      <c r="C1716">
        <v>1</v>
      </c>
      <c r="D1716" s="1">
        <v>37.26</v>
      </c>
      <c r="E1716" t="s">
        <v>3354</v>
      </c>
      <c r="F1716" s="17" t="s">
        <v>3361</v>
      </c>
      <c r="G1716" t="s">
        <v>11</v>
      </c>
      <c r="H1716" t="s">
        <v>12</v>
      </c>
    </row>
    <row r="1717" spans="1:8" x14ac:dyDescent="0.25">
      <c r="A1717">
        <v>1093422778</v>
      </c>
      <c r="B1717" t="s">
        <v>294</v>
      </c>
      <c r="C1717">
        <v>60</v>
      </c>
      <c r="D1717" s="1">
        <v>130.44</v>
      </c>
      <c r="E1717" t="s">
        <v>3354</v>
      </c>
      <c r="F1717" s="17" t="s">
        <v>3362</v>
      </c>
      <c r="G1717" t="s">
        <v>11</v>
      </c>
      <c r="H1717" t="s">
        <v>12</v>
      </c>
    </row>
    <row r="1718" spans="1:8" x14ac:dyDescent="0.25">
      <c r="A1718">
        <v>1092990396</v>
      </c>
      <c r="B1718" t="s">
        <v>3363</v>
      </c>
      <c r="C1718">
        <v>1</v>
      </c>
      <c r="D1718" s="1">
        <v>40.28</v>
      </c>
      <c r="E1718" t="s">
        <v>3364</v>
      </c>
      <c r="F1718" s="17" t="s">
        <v>3365</v>
      </c>
      <c r="G1718" t="s">
        <v>11</v>
      </c>
      <c r="H1718" t="s">
        <v>12</v>
      </c>
    </row>
    <row r="1719" spans="1:8" x14ac:dyDescent="0.25">
      <c r="A1719">
        <v>1092930379</v>
      </c>
      <c r="B1719" t="s">
        <v>3159</v>
      </c>
      <c r="C1719">
        <v>6</v>
      </c>
      <c r="D1719" s="1">
        <v>118.24</v>
      </c>
      <c r="E1719" t="s">
        <v>3364</v>
      </c>
      <c r="F1719" s="17" t="s">
        <v>3366</v>
      </c>
      <c r="G1719" t="s">
        <v>11</v>
      </c>
      <c r="H1719" t="s">
        <v>12</v>
      </c>
    </row>
    <row r="1720" spans="1:8" x14ac:dyDescent="0.25">
      <c r="A1720">
        <v>1092855087</v>
      </c>
      <c r="B1720" t="s">
        <v>294</v>
      </c>
      <c r="C1720">
        <v>84</v>
      </c>
      <c r="D1720" s="1">
        <v>94.33</v>
      </c>
      <c r="E1720" t="s">
        <v>3367</v>
      </c>
      <c r="F1720" s="17" t="s">
        <v>1725</v>
      </c>
      <c r="G1720" t="s">
        <v>11</v>
      </c>
      <c r="H1720" t="s">
        <v>12</v>
      </c>
    </row>
    <row r="1721" spans="1:8" x14ac:dyDescent="0.25">
      <c r="A1721">
        <v>1092761535</v>
      </c>
      <c r="B1721" t="s">
        <v>35</v>
      </c>
      <c r="C1721">
        <v>40</v>
      </c>
      <c r="D1721" s="1">
        <v>57.11</v>
      </c>
      <c r="E1721" t="s">
        <v>3368</v>
      </c>
      <c r="F1721" s="17" t="s">
        <v>3369</v>
      </c>
      <c r="G1721" t="s">
        <v>11</v>
      </c>
      <c r="H1721" t="s">
        <v>12</v>
      </c>
    </row>
    <row r="1722" spans="1:8" x14ac:dyDescent="0.25">
      <c r="A1722">
        <v>1092677225</v>
      </c>
      <c r="B1722" t="s">
        <v>318</v>
      </c>
      <c r="C1722">
        <v>38</v>
      </c>
      <c r="D1722" s="1">
        <v>63.72</v>
      </c>
      <c r="E1722" t="s">
        <v>3370</v>
      </c>
      <c r="F1722" s="17" t="s">
        <v>1127</v>
      </c>
      <c r="G1722" t="s">
        <v>11</v>
      </c>
      <c r="H1722" t="s">
        <v>12</v>
      </c>
    </row>
    <row r="1723" spans="1:8" x14ac:dyDescent="0.25">
      <c r="A1723">
        <v>1092676783</v>
      </c>
      <c r="B1723" t="s">
        <v>1766</v>
      </c>
      <c r="C1723">
        <v>15</v>
      </c>
      <c r="D1723" s="1">
        <v>233.7</v>
      </c>
      <c r="E1723" t="s">
        <v>3370</v>
      </c>
      <c r="F1723" s="17" t="s">
        <v>3371</v>
      </c>
      <c r="G1723" t="s">
        <v>11</v>
      </c>
      <c r="H1723" t="s">
        <v>12</v>
      </c>
    </row>
    <row r="1724" spans="1:8" x14ac:dyDescent="0.25">
      <c r="A1724">
        <v>1091618411</v>
      </c>
      <c r="B1724" t="s">
        <v>760</v>
      </c>
      <c r="C1724">
        <v>29</v>
      </c>
      <c r="D1724" s="1">
        <v>58.08</v>
      </c>
      <c r="E1724" t="s">
        <v>3372</v>
      </c>
      <c r="F1724" s="17" t="s">
        <v>3373</v>
      </c>
      <c r="G1724" t="s">
        <v>11</v>
      </c>
      <c r="H1724" t="s">
        <v>12</v>
      </c>
    </row>
    <row r="1725" spans="1:8" x14ac:dyDescent="0.25">
      <c r="A1725">
        <v>1091408288</v>
      </c>
      <c r="B1725" t="s">
        <v>237</v>
      </c>
      <c r="C1725">
        <v>28</v>
      </c>
      <c r="D1725" s="1">
        <v>133.55000000000001</v>
      </c>
      <c r="E1725" t="s">
        <v>3374</v>
      </c>
      <c r="F1725" s="17" t="s">
        <v>1765</v>
      </c>
      <c r="G1725" t="s">
        <v>11</v>
      </c>
      <c r="H1725" t="s">
        <v>12</v>
      </c>
    </row>
    <row r="1726" spans="1:8" x14ac:dyDescent="0.25">
      <c r="A1726">
        <v>1091327068</v>
      </c>
      <c r="B1726" t="s">
        <v>1206</v>
      </c>
      <c r="C1726">
        <v>4</v>
      </c>
      <c r="D1726" s="1">
        <v>99.19</v>
      </c>
      <c r="E1726" t="s">
        <v>3375</v>
      </c>
      <c r="F1726" s="17" t="s">
        <v>3376</v>
      </c>
      <c r="G1726" t="s">
        <v>11</v>
      </c>
      <c r="H1726" t="s">
        <v>12</v>
      </c>
    </row>
    <row r="1727" spans="1:8" x14ac:dyDescent="0.25">
      <c r="A1727">
        <v>1090971436</v>
      </c>
      <c r="B1727" t="s">
        <v>294</v>
      </c>
      <c r="C1727">
        <v>30</v>
      </c>
      <c r="D1727" s="1">
        <v>60.77</v>
      </c>
      <c r="E1727" t="s">
        <v>3377</v>
      </c>
      <c r="F1727" s="17" t="s">
        <v>3304</v>
      </c>
      <c r="G1727" t="s">
        <v>11</v>
      </c>
      <c r="H1727" t="s">
        <v>12</v>
      </c>
    </row>
    <row r="1728" spans="1:8" x14ac:dyDescent="0.25">
      <c r="A1728">
        <v>1090683868</v>
      </c>
      <c r="B1728" t="s">
        <v>3378</v>
      </c>
      <c r="C1728">
        <v>6</v>
      </c>
      <c r="D1728" s="1">
        <v>74.739999999999995</v>
      </c>
      <c r="E1728" t="s">
        <v>3379</v>
      </c>
      <c r="F1728" s="17" t="s">
        <v>3380</v>
      </c>
      <c r="G1728" t="s">
        <v>11</v>
      </c>
      <c r="H1728" t="s">
        <v>12</v>
      </c>
    </row>
    <row r="1729" spans="1:8" x14ac:dyDescent="0.25">
      <c r="A1729">
        <v>1090451525</v>
      </c>
      <c r="B1729" t="s">
        <v>2129</v>
      </c>
      <c r="C1729">
        <v>2</v>
      </c>
      <c r="D1729" s="1">
        <v>91.16</v>
      </c>
      <c r="E1729" t="s">
        <v>3381</v>
      </c>
      <c r="F1729" s="17" t="s">
        <v>3382</v>
      </c>
      <c r="G1729" t="s">
        <v>11</v>
      </c>
      <c r="H1729" t="s">
        <v>12</v>
      </c>
    </row>
    <row r="1730" spans="1:8" x14ac:dyDescent="0.25">
      <c r="A1730">
        <v>1089777804</v>
      </c>
      <c r="B1730" t="s">
        <v>294</v>
      </c>
      <c r="C1730">
        <v>16</v>
      </c>
      <c r="D1730" s="1">
        <v>59.85</v>
      </c>
      <c r="E1730" t="s">
        <v>3383</v>
      </c>
      <c r="F1730" s="17" t="s">
        <v>3384</v>
      </c>
      <c r="G1730" t="s">
        <v>11</v>
      </c>
      <c r="H1730" t="s">
        <v>12</v>
      </c>
    </row>
    <row r="1731" spans="1:8" x14ac:dyDescent="0.25">
      <c r="A1731">
        <v>1089629306</v>
      </c>
      <c r="B1731" t="s">
        <v>3316</v>
      </c>
      <c r="C1731">
        <v>2</v>
      </c>
      <c r="D1731" s="1">
        <v>18.170000000000002</v>
      </c>
      <c r="E1731" t="s">
        <v>3385</v>
      </c>
      <c r="F1731" s="17" t="s">
        <v>3386</v>
      </c>
      <c r="G1731" t="s">
        <v>11</v>
      </c>
      <c r="H1731" t="s">
        <v>12</v>
      </c>
    </row>
    <row r="1732" spans="1:8" x14ac:dyDescent="0.25">
      <c r="A1732">
        <v>1089600453</v>
      </c>
      <c r="B1732" t="s">
        <v>294</v>
      </c>
      <c r="C1732">
        <v>92</v>
      </c>
      <c r="D1732" s="1">
        <v>54.17</v>
      </c>
      <c r="E1732" t="s">
        <v>3385</v>
      </c>
      <c r="F1732" s="17" t="s">
        <v>3387</v>
      </c>
      <c r="G1732" t="s">
        <v>11</v>
      </c>
      <c r="H1732" t="s">
        <v>12</v>
      </c>
    </row>
    <row r="1733" spans="1:8" x14ac:dyDescent="0.25">
      <c r="A1733">
        <v>1089437514</v>
      </c>
      <c r="B1733" t="s">
        <v>181</v>
      </c>
      <c r="C1733">
        <v>10</v>
      </c>
      <c r="D1733" s="1">
        <v>23.87</v>
      </c>
      <c r="E1733" t="s">
        <v>3388</v>
      </c>
      <c r="F1733" s="17" t="s">
        <v>3389</v>
      </c>
      <c r="G1733" t="s">
        <v>11</v>
      </c>
      <c r="H1733" t="s">
        <v>12</v>
      </c>
    </row>
    <row r="1734" spans="1:8" x14ac:dyDescent="0.25">
      <c r="A1734">
        <v>1089379499</v>
      </c>
      <c r="B1734" t="s">
        <v>318</v>
      </c>
      <c r="C1734">
        <v>34</v>
      </c>
      <c r="D1734" s="1">
        <v>57.4</v>
      </c>
      <c r="E1734" t="s">
        <v>3390</v>
      </c>
      <c r="F1734" s="17" t="s">
        <v>1127</v>
      </c>
      <c r="G1734" t="s">
        <v>11</v>
      </c>
      <c r="H1734" t="s">
        <v>12</v>
      </c>
    </row>
    <row r="1735" spans="1:8" x14ac:dyDescent="0.25">
      <c r="A1735">
        <v>1088899357</v>
      </c>
      <c r="B1735" t="s">
        <v>318</v>
      </c>
      <c r="C1735">
        <v>40</v>
      </c>
      <c r="D1735" s="1">
        <v>61.21</v>
      </c>
      <c r="E1735" t="s">
        <v>3391</v>
      </c>
      <c r="F1735" s="17" t="s">
        <v>1127</v>
      </c>
      <c r="G1735" t="s">
        <v>11</v>
      </c>
      <c r="H1735" t="s">
        <v>12</v>
      </c>
    </row>
    <row r="1736" spans="1:8" x14ac:dyDescent="0.25">
      <c r="A1736">
        <v>1088514779</v>
      </c>
      <c r="B1736" t="s">
        <v>318</v>
      </c>
      <c r="C1736">
        <v>84</v>
      </c>
      <c r="D1736" s="1">
        <v>43.97</v>
      </c>
      <c r="E1736" t="s">
        <v>3392</v>
      </c>
      <c r="F1736" s="17" t="s">
        <v>3393</v>
      </c>
      <c r="G1736" t="s">
        <v>11</v>
      </c>
      <c r="H1736" t="s">
        <v>12</v>
      </c>
    </row>
    <row r="1737" spans="1:8" x14ac:dyDescent="0.25">
      <c r="A1737">
        <v>1088216907</v>
      </c>
      <c r="B1737" t="s">
        <v>2568</v>
      </c>
      <c r="C1737">
        <v>1</v>
      </c>
      <c r="D1737" s="1">
        <v>10.15</v>
      </c>
      <c r="E1737" t="s">
        <v>3394</v>
      </c>
      <c r="F1737" s="17" t="s">
        <v>3395</v>
      </c>
      <c r="G1737" t="s">
        <v>11</v>
      </c>
      <c r="H1737" t="s">
        <v>12</v>
      </c>
    </row>
    <row r="1738" spans="1:8" x14ac:dyDescent="0.25">
      <c r="A1738">
        <v>1088204073</v>
      </c>
      <c r="B1738" t="s">
        <v>469</v>
      </c>
      <c r="C1738">
        <v>22</v>
      </c>
      <c r="D1738" s="1">
        <v>47.5</v>
      </c>
      <c r="E1738" t="s">
        <v>3394</v>
      </c>
      <c r="F1738" s="17" t="s">
        <v>3396</v>
      </c>
      <c r="G1738" t="s">
        <v>11</v>
      </c>
      <c r="H1738" t="s">
        <v>12</v>
      </c>
    </row>
    <row r="1739" spans="1:8" x14ac:dyDescent="0.25">
      <c r="A1739" t="s">
        <v>3397</v>
      </c>
      <c r="B1739" t="s">
        <v>1032</v>
      </c>
      <c r="C1739">
        <v>4</v>
      </c>
      <c r="D1739" s="1">
        <v>91.96</v>
      </c>
      <c r="E1739" t="s">
        <v>3398</v>
      </c>
      <c r="F1739" s="17"/>
      <c r="G1739" t="s">
        <v>11</v>
      </c>
      <c r="H1739" t="s">
        <v>12</v>
      </c>
    </row>
    <row r="1740" spans="1:8" x14ac:dyDescent="0.25">
      <c r="A1740" t="s">
        <v>3399</v>
      </c>
      <c r="B1740" t="s">
        <v>469</v>
      </c>
      <c r="C1740">
        <v>4</v>
      </c>
      <c r="D1740" s="1">
        <v>8.15</v>
      </c>
      <c r="E1740" t="s">
        <v>3400</v>
      </c>
      <c r="F1740" s="17"/>
      <c r="G1740" t="s">
        <v>11</v>
      </c>
      <c r="H174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858"/>
  <sheetViews>
    <sheetView tabSelected="1" workbookViewId="0">
      <selection activeCell="F3864" sqref="F3864"/>
    </sheetView>
  </sheetViews>
  <sheetFormatPr baseColWidth="10" defaultColWidth="9.140625" defaultRowHeight="15" x14ac:dyDescent="0.25"/>
  <cols>
    <col min="1" max="1" width="20" style="35" customWidth="1"/>
    <col min="2" max="2" width="13" style="35" customWidth="1"/>
    <col min="3" max="3" width="8" style="35" customWidth="1"/>
    <col min="4" max="4" width="12" style="35" customWidth="1"/>
    <col min="5" max="5" width="28" style="35" customWidth="1"/>
    <col min="6" max="6" width="42" style="35" customWidth="1"/>
    <col min="7" max="7" width="38" style="35" customWidth="1"/>
    <col min="8" max="8" width="10" style="35" customWidth="1"/>
    <col min="9" max="9" width="12" style="35" customWidth="1"/>
    <col min="10" max="10" width="14" style="35" customWidth="1"/>
    <col min="11" max="11" width="10" style="35" customWidth="1"/>
    <col min="12" max="12" width="14" style="35" customWidth="1"/>
    <col min="13" max="13" width="16" style="35" customWidth="1"/>
    <col min="14" max="14" width="14" style="35" customWidth="1"/>
    <col min="15" max="15" width="22" style="35" customWidth="1"/>
  </cols>
  <sheetData>
    <row r="1" spans="1:15" ht="30" x14ac:dyDescent="0.25">
      <c r="A1" s="19" t="s">
        <v>0</v>
      </c>
      <c r="B1" s="19" t="s">
        <v>3401</v>
      </c>
      <c r="C1" s="19" t="s">
        <v>3402</v>
      </c>
      <c r="D1" s="19" t="s">
        <v>3403</v>
      </c>
      <c r="E1" s="19" t="s">
        <v>1</v>
      </c>
      <c r="F1" s="19" t="s">
        <v>3404</v>
      </c>
      <c r="G1" s="19" t="s">
        <v>3405</v>
      </c>
      <c r="H1" s="19" t="s">
        <v>3406</v>
      </c>
      <c r="I1" s="19" t="s">
        <v>3407</v>
      </c>
      <c r="J1" s="19" t="s">
        <v>3408</v>
      </c>
      <c r="K1" s="19" t="s">
        <v>3409</v>
      </c>
      <c r="L1" s="19" t="s">
        <v>3410</v>
      </c>
      <c r="M1" s="19" t="s">
        <v>6</v>
      </c>
      <c r="N1" s="19" t="s">
        <v>3411</v>
      </c>
      <c r="O1" s="19" t="s">
        <v>7</v>
      </c>
    </row>
    <row r="2" spans="1:15" x14ac:dyDescent="0.25">
      <c r="A2" s="35">
        <v>1164742270</v>
      </c>
      <c r="B2" s="35" t="s">
        <v>4199</v>
      </c>
      <c r="C2" s="35">
        <v>2024</v>
      </c>
      <c r="D2" s="36">
        <v>45490.422893518517</v>
      </c>
      <c r="E2" s="37" t="s">
        <v>2129</v>
      </c>
      <c r="F2" s="37" t="s">
        <v>4944</v>
      </c>
      <c r="G2" s="37" t="s">
        <v>3621</v>
      </c>
      <c r="H2" s="35" t="s">
        <v>3419</v>
      </c>
      <c r="I2" s="35" t="s">
        <v>3416</v>
      </c>
      <c r="J2" s="38">
        <v>51.773333333333341</v>
      </c>
      <c r="K2" s="35">
        <v>3</v>
      </c>
      <c r="L2" s="38">
        <f t="shared" ref="L2:L65" si="0">J2*K2</f>
        <v>155.32000000000002</v>
      </c>
      <c r="M2" s="35" t="s">
        <v>48</v>
      </c>
      <c r="N2" s="38">
        <v>155.32000000000002</v>
      </c>
      <c r="O2" s="35" t="s">
        <v>12</v>
      </c>
    </row>
    <row r="3" spans="1:15" s="13" customFormat="1" x14ac:dyDescent="0.25">
      <c r="A3" s="40" t="s">
        <v>1851</v>
      </c>
      <c r="B3" s="40" t="s">
        <v>4070</v>
      </c>
      <c r="C3" s="35">
        <v>2024</v>
      </c>
      <c r="D3" s="36">
        <v>45566</v>
      </c>
      <c r="E3" s="44" t="s">
        <v>1852</v>
      </c>
      <c r="F3" s="44" t="s">
        <v>4844</v>
      </c>
      <c r="G3" s="37" t="s">
        <v>3621</v>
      </c>
      <c r="H3" s="35" t="s">
        <v>3415</v>
      </c>
      <c r="I3" s="35" t="s">
        <v>3416</v>
      </c>
      <c r="J3" s="39">
        <v>35.817500000000003</v>
      </c>
      <c r="K3" s="40">
        <v>4</v>
      </c>
      <c r="L3" s="38">
        <f t="shared" si="0"/>
        <v>143.27000000000001</v>
      </c>
      <c r="M3" s="35" t="s">
        <v>48</v>
      </c>
      <c r="N3" s="39">
        <v>143.27000000000001</v>
      </c>
      <c r="O3" s="35" t="s">
        <v>12</v>
      </c>
    </row>
    <row r="4" spans="1:15" s="13" customFormat="1" x14ac:dyDescent="0.25">
      <c r="A4" s="40">
        <v>1120143415</v>
      </c>
      <c r="B4" s="40" t="s">
        <v>4199</v>
      </c>
      <c r="C4" s="35">
        <v>2023</v>
      </c>
      <c r="D4" s="36">
        <v>45134.502025462964</v>
      </c>
      <c r="E4" s="44" t="s">
        <v>1278</v>
      </c>
      <c r="F4" s="44" t="s">
        <v>5674</v>
      </c>
      <c r="G4" s="37" t="s">
        <v>3551</v>
      </c>
      <c r="H4" s="35" t="s">
        <v>3419</v>
      </c>
      <c r="I4" s="35" t="s">
        <v>3416</v>
      </c>
      <c r="J4" s="39">
        <v>130.28</v>
      </c>
      <c r="K4" s="40">
        <v>1</v>
      </c>
      <c r="L4" s="38">
        <f t="shared" si="0"/>
        <v>130.28</v>
      </c>
      <c r="M4" s="35" t="s">
        <v>48</v>
      </c>
      <c r="N4" s="39">
        <v>130.28</v>
      </c>
      <c r="O4" s="35" t="s">
        <v>12</v>
      </c>
    </row>
    <row r="5" spans="1:15" ht="30" x14ac:dyDescent="0.25">
      <c r="A5" s="35">
        <v>1181893231</v>
      </c>
      <c r="B5" s="35" t="s">
        <v>3968</v>
      </c>
      <c r="C5" s="35">
        <v>2024</v>
      </c>
      <c r="D5" s="36">
        <v>45626.486250000002</v>
      </c>
      <c r="E5" s="37" t="s">
        <v>1742</v>
      </c>
      <c r="F5" s="37" t="s">
        <v>4754</v>
      </c>
      <c r="G5" s="37" t="s">
        <v>3710</v>
      </c>
      <c r="H5" s="35" t="s">
        <v>3415</v>
      </c>
      <c r="I5" s="35" t="s">
        <v>3416</v>
      </c>
      <c r="J5" s="38">
        <v>31.767414796342475</v>
      </c>
      <c r="K5" s="35">
        <v>4</v>
      </c>
      <c r="L5" s="38">
        <f t="shared" si="0"/>
        <v>127.0696591853699</v>
      </c>
      <c r="M5" s="35" t="s">
        <v>48</v>
      </c>
      <c r="N5" s="38">
        <v>127.0696591853699</v>
      </c>
      <c r="O5" s="35" t="s">
        <v>12</v>
      </c>
    </row>
    <row r="6" spans="1:15" x14ac:dyDescent="0.25">
      <c r="A6" s="35">
        <v>1208867327</v>
      </c>
      <c r="B6" s="35" t="s">
        <v>3631</v>
      </c>
      <c r="C6" s="35">
        <v>2025</v>
      </c>
      <c r="D6" s="36">
        <v>45775.862627314818</v>
      </c>
      <c r="E6" s="37" t="s">
        <v>1230</v>
      </c>
      <c r="F6" s="37" t="s">
        <v>4352</v>
      </c>
      <c r="G6" s="37" t="s">
        <v>3805</v>
      </c>
      <c r="H6" s="35" t="s">
        <v>3415</v>
      </c>
      <c r="I6" s="35" t="s">
        <v>3453</v>
      </c>
      <c r="J6" s="38">
        <v>29.849999999999998</v>
      </c>
      <c r="K6" s="35">
        <v>4</v>
      </c>
      <c r="L6" s="38">
        <f t="shared" si="0"/>
        <v>119.39999999999999</v>
      </c>
      <c r="M6" s="35" t="s">
        <v>48</v>
      </c>
      <c r="N6" s="38">
        <v>119.39999999999999</v>
      </c>
      <c r="O6" s="35" t="s">
        <v>12</v>
      </c>
    </row>
    <row r="7" spans="1:15" x14ac:dyDescent="0.25">
      <c r="A7" s="35">
        <v>1164075103</v>
      </c>
      <c r="B7" s="35" t="s">
        <v>4199</v>
      </c>
      <c r="C7" s="35">
        <v>2024</v>
      </c>
      <c r="D7" s="36">
        <v>45475.811145833337</v>
      </c>
      <c r="E7" s="37" t="s">
        <v>2163</v>
      </c>
      <c r="F7" s="37" t="s">
        <v>4975</v>
      </c>
      <c r="G7" s="37" t="s">
        <v>3652</v>
      </c>
      <c r="H7" s="35" t="s">
        <v>3419</v>
      </c>
      <c r="I7" s="35" t="s">
        <v>3416</v>
      </c>
      <c r="J7" s="38">
        <v>105.399282368185</v>
      </c>
      <c r="K7" s="35">
        <v>1</v>
      </c>
      <c r="L7" s="38">
        <f t="shared" si="0"/>
        <v>105.399282368185</v>
      </c>
      <c r="M7" s="35" t="s">
        <v>48</v>
      </c>
      <c r="N7" s="38">
        <v>105.399282368185</v>
      </c>
      <c r="O7" s="35" t="s">
        <v>12</v>
      </c>
    </row>
    <row r="8" spans="1:15" x14ac:dyDescent="0.25">
      <c r="A8" s="35">
        <v>1164617239</v>
      </c>
      <c r="B8" s="35" t="s">
        <v>4199</v>
      </c>
      <c r="C8" s="35">
        <v>2024</v>
      </c>
      <c r="D8" s="36">
        <v>45486.496400462966</v>
      </c>
      <c r="E8" s="37" t="s">
        <v>2135</v>
      </c>
      <c r="F8" s="37" t="s">
        <v>4944</v>
      </c>
      <c r="G8" s="37" t="s">
        <v>3621</v>
      </c>
      <c r="H8" s="35" t="s">
        <v>3419</v>
      </c>
      <c r="I8" s="35" t="s">
        <v>3416</v>
      </c>
      <c r="J8" s="38">
        <v>52.15255139056832</v>
      </c>
      <c r="K8" s="35">
        <v>2</v>
      </c>
      <c r="L8" s="38">
        <f t="shared" si="0"/>
        <v>104.30510278113664</v>
      </c>
      <c r="M8" s="35" t="s">
        <v>48</v>
      </c>
      <c r="N8" s="38">
        <v>104.30510278113664</v>
      </c>
      <c r="O8" s="35" t="s">
        <v>12</v>
      </c>
    </row>
    <row r="9" spans="1:15" ht="30" x14ac:dyDescent="0.25">
      <c r="A9" s="35" t="s">
        <v>5675</v>
      </c>
      <c r="B9" s="35" t="s">
        <v>4199</v>
      </c>
      <c r="C9" s="35">
        <v>2023</v>
      </c>
      <c r="D9" s="36">
        <v>45133.372870370367</v>
      </c>
      <c r="E9" s="37" t="s">
        <v>4233</v>
      </c>
      <c r="F9" s="37" t="s">
        <v>5676</v>
      </c>
      <c r="G9" s="37" t="s">
        <v>3551</v>
      </c>
      <c r="H9" s="35" t="s">
        <v>3415</v>
      </c>
      <c r="I9" s="35" t="s">
        <v>3416</v>
      </c>
      <c r="J9" s="38">
        <v>95.39</v>
      </c>
      <c r="K9" s="35">
        <v>1</v>
      </c>
      <c r="L9" s="38">
        <f t="shared" si="0"/>
        <v>95.39</v>
      </c>
      <c r="M9" s="35" t="s">
        <v>48</v>
      </c>
      <c r="N9" s="38">
        <v>95.39</v>
      </c>
      <c r="O9" s="35" t="s">
        <v>12</v>
      </c>
    </row>
    <row r="10" spans="1:15" x14ac:dyDescent="0.25">
      <c r="A10" s="35">
        <v>1179893768</v>
      </c>
      <c r="B10" s="35" t="s">
        <v>4070</v>
      </c>
      <c r="C10" s="35">
        <v>2024</v>
      </c>
      <c r="D10" s="36">
        <v>45596.44327546296</v>
      </c>
      <c r="E10" s="37" t="s">
        <v>1761</v>
      </c>
      <c r="F10" s="37" t="s">
        <v>4778</v>
      </c>
      <c r="G10" s="37" t="s">
        <v>3455</v>
      </c>
      <c r="H10" s="35" t="s">
        <v>3415</v>
      </c>
      <c r="I10" s="35" t="s">
        <v>3416</v>
      </c>
      <c r="J10" s="38">
        <v>22.317499999999999</v>
      </c>
      <c r="K10" s="35">
        <v>4</v>
      </c>
      <c r="L10" s="38">
        <f t="shared" si="0"/>
        <v>89.27</v>
      </c>
      <c r="M10" s="35" t="s">
        <v>48</v>
      </c>
      <c r="N10" s="38">
        <v>89.27</v>
      </c>
      <c r="O10" s="35" t="s">
        <v>12</v>
      </c>
    </row>
    <row r="11" spans="1:15" x14ac:dyDescent="0.25">
      <c r="A11" s="35">
        <v>1284601698</v>
      </c>
      <c r="B11" s="35" t="s">
        <v>3412</v>
      </c>
      <c r="C11" s="35">
        <v>2026</v>
      </c>
      <c r="D11" s="36">
        <v>46199.732291666667</v>
      </c>
      <c r="E11" s="37" t="s">
        <v>45</v>
      </c>
      <c r="F11" s="37" t="s">
        <v>3451</v>
      </c>
      <c r="G11" s="37" t="s">
        <v>3452</v>
      </c>
      <c r="H11" s="35" t="s">
        <v>3415</v>
      </c>
      <c r="I11" s="35" t="s">
        <v>3453</v>
      </c>
      <c r="J11" s="38">
        <v>21.96</v>
      </c>
      <c r="K11" s="35">
        <v>4</v>
      </c>
      <c r="L11" s="38">
        <f t="shared" si="0"/>
        <v>87.84</v>
      </c>
      <c r="M11" s="35" t="s">
        <v>48</v>
      </c>
      <c r="N11" s="38">
        <v>87.84</v>
      </c>
      <c r="O11" s="35" t="s">
        <v>12</v>
      </c>
    </row>
    <row r="12" spans="1:15" x14ac:dyDescent="0.25">
      <c r="A12" s="35">
        <v>1246809442</v>
      </c>
      <c r="B12" s="35" t="s">
        <v>3890</v>
      </c>
      <c r="C12" s="35">
        <v>2025</v>
      </c>
      <c r="D12" s="36">
        <v>46020.427615740744</v>
      </c>
      <c r="E12" s="37" t="s">
        <v>608</v>
      </c>
      <c r="F12" s="37" t="s">
        <v>3896</v>
      </c>
      <c r="G12" s="37" t="s">
        <v>3733</v>
      </c>
      <c r="H12" s="35" t="s">
        <v>3415</v>
      </c>
      <c r="I12" s="35" t="s">
        <v>3416</v>
      </c>
      <c r="J12" s="38">
        <v>21.849999999999998</v>
      </c>
      <c r="K12" s="35">
        <v>4</v>
      </c>
      <c r="L12" s="38">
        <f t="shared" si="0"/>
        <v>87.399999999999991</v>
      </c>
      <c r="M12" s="35" t="s">
        <v>48</v>
      </c>
      <c r="N12" s="38">
        <v>87.399999999999991</v>
      </c>
      <c r="O12" s="35" t="s">
        <v>12</v>
      </c>
    </row>
    <row r="13" spans="1:15" x14ac:dyDescent="0.25">
      <c r="A13" s="35">
        <v>1163758975</v>
      </c>
      <c r="B13" s="35" t="s">
        <v>4199</v>
      </c>
      <c r="C13" s="35">
        <v>2024</v>
      </c>
      <c r="D13" s="36">
        <v>45476.339513888888</v>
      </c>
      <c r="E13" s="37" t="s">
        <v>2173</v>
      </c>
      <c r="F13" s="37" t="s">
        <v>4219</v>
      </c>
      <c r="G13" s="37" t="s">
        <v>4220</v>
      </c>
      <c r="H13" s="35" t="s">
        <v>3419</v>
      </c>
      <c r="I13" s="35" t="s">
        <v>3416</v>
      </c>
      <c r="J13" s="38">
        <v>42.685000000000002</v>
      </c>
      <c r="K13" s="35">
        <v>2</v>
      </c>
      <c r="L13" s="38">
        <f t="shared" si="0"/>
        <v>85.37</v>
      </c>
      <c r="M13" s="35" t="s">
        <v>48</v>
      </c>
      <c r="N13" s="38">
        <v>85.37</v>
      </c>
      <c r="O13" s="35" t="s">
        <v>12</v>
      </c>
    </row>
    <row r="14" spans="1:15" x14ac:dyDescent="0.25">
      <c r="A14" s="35">
        <v>1164216706</v>
      </c>
      <c r="B14" s="35" t="s">
        <v>4199</v>
      </c>
      <c r="C14" s="35">
        <v>2024</v>
      </c>
      <c r="D14" s="36">
        <v>45476.772939814808</v>
      </c>
      <c r="E14" s="37" t="s">
        <v>2152</v>
      </c>
      <c r="F14" s="37" t="s">
        <v>4968</v>
      </c>
      <c r="G14" s="37" t="s">
        <v>3551</v>
      </c>
      <c r="H14" s="35" t="s">
        <v>3419</v>
      </c>
      <c r="I14" s="35" t="s">
        <v>3416</v>
      </c>
      <c r="J14" s="38">
        <v>82.25</v>
      </c>
      <c r="K14" s="35">
        <v>1</v>
      </c>
      <c r="L14" s="38">
        <f t="shared" si="0"/>
        <v>82.25</v>
      </c>
      <c r="M14" s="35" t="s">
        <v>48</v>
      </c>
      <c r="N14" s="38">
        <v>82.25</v>
      </c>
      <c r="O14" s="35" t="s">
        <v>12</v>
      </c>
    </row>
    <row r="15" spans="1:15" x14ac:dyDescent="0.25">
      <c r="A15" s="35">
        <v>1146287863</v>
      </c>
      <c r="B15" s="35" t="s">
        <v>3721</v>
      </c>
      <c r="C15" s="35">
        <v>2024</v>
      </c>
      <c r="D15" s="36">
        <v>45345.517974537041</v>
      </c>
      <c r="E15" s="37" t="s">
        <v>2613</v>
      </c>
      <c r="F15" s="37" t="s">
        <v>4138</v>
      </c>
      <c r="G15" s="37" t="s">
        <v>3945</v>
      </c>
      <c r="H15" s="35" t="s">
        <v>3419</v>
      </c>
      <c r="I15" s="35" t="s">
        <v>3530</v>
      </c>
      <c r="J15" s="38">
        <v>80.42</v>
      </c>
      <c r="K15" s="35">
        <v>1</v>
      </c>
      <c r="L15" s="38">
        <f t="shared" si="0"/>
        <v>80.42</v>
      </c>
      <c r="M15" s="35" t="s">
        <v>48</v>
      </c>
      <c r="N15" s="38">
        <v>80.42</v>
      </c>
      <c r="O15" s="35" t="s">
        <v>12</v>
      </c>
    </row>
    <row r="16" spans="1:15" x14ac:dyDescent="0.25">
      <c r="A16" s="35">
        <v>1178792325</v>
      </c>
      <c r="B16" s="35" t="s">
        <v>4070</v>
      </c>
      <c r="C16" s="35">
        <v>2024</v>
      </c>
      <c r="D16" s="36">
        <v>45582.812743055554</v>
      </c>
      <c r="E16" s="37" t="s">
        <v>1782</v>
      </c>
      <c r="F16" s="37" t="s">
        <v>4787</v>
      </c>
      <c r="G16" s="37" t="s">
        <v>3621</v>
      </c>
      <c r="H16" s="35" t="s">
        <v>3415</v>
      </c>
      <c r="I16" s="35" t="s">
        <v>3416</v>
      </c>
      <c r="J16" s="38">
        <v>17.317499999999999</v>
      </c>
      <c r="K16" s="35">
        <v>4</v>
      </c>
      <c r="L16" s="38">
        <f t="shared" si="0"/>
        <v>69.27</v>
      </c>
      <c r="M16" s="35" t="s">
        <v>48</v>
      </c>
      <c r="N16" s="38">
        <v>69.27</v>
      </c>
      <c r="O16" s="35" t="s">
        <v>12</v>
      </c>
    </row>
    <row r="17" spans="1:15" x14ac:dyDescent="0.25">
      <c r="A17" s="35" t="s">
        <v>1068</v>
      </c>
      <c r="B17" s="35" t="s">
        <v>4199</v>
      </c>
      <c r="C17" s="35">
        <v>2025</v>
      </c>
      <c r="D17" s="36">
        <v>45846</v>
      </c>
      <c r="E17" s="37" t="s">
        <v>1069</v>
      </c>
      <c r="F17" s="37" t="s">
        <v>4228</v>
      </c>
      <c r="G17" s="37" t="s">
        <v>3967</v>
      </c>
      <c r="H17" s="35" t="s">
        <v>3419</v>
      </c>
      <c r="I17" s="35" t="s">
        <v>3453</v>
      </c>
      <c r="J17" s="38">
        <v>17</v>
      </c>
      <c r="K17" s="35">
        <v>4</v>
      </c>
      <c r="L17" s="38">
        <f t="shared" si="0"/>
        <v>68</v>
      </c>
      <c r="M17" s="35" t="s">
        <v>48</v>
      </c>
      <c r="N17" s="38">
        <v>68</v>
      </c>
      <c r="O17" s="35" t="s">
        <v>12</v>
      </c>
    </row>
    <row r="18" spans="1:15" x14ac:dyDescent="0.25">
      <c r="A18" s="35">
        <v>1236601962</v>
      </c>
      <c r="B18" s="35" t="s">
        <v>4070</v>
      </c>
      <c r="C18" s="35">
        <v>2025</v>
      </c>
      <c r="D18" s="36">
        <v>45959.633703703701</v>
      </c>
      <c r="E18" s="37" t="s">
        <v>874</v>
      </c>
      <c r="F18" s="37" t="s">
        <v>4076</v>
      </c>
      <c r="G18" s="37" t="s">
        <v>4077</v>
      </c>
      <c r="H18" s="35" t="s">
        <v>3415</v>
      </c>
      <c r="I18" s="35" t="s">
        <v>3416</v>
      </c>
      <c r="J18" s="38">
        <v>16.8</v>
      </c>
      <c r="K18" s="35">
        <v>4</v>
      </c>
      <c r="L18" s="38">
        <f t="shared" si="0"/>
        <v>67.2</v>
      </c>
      <c r="M18" s="35" t="s">
        <v>48</v>
      </c>
      <c r="N18" s="38">
        <v>67.2</v>
      </c>
      <c r="O18" s="35" t="s">
        <v>12</v>
      </c>
    </row>
    <row r="19" spans="1:15" x14ac:dyDescent="0.25">
      <c r="A19" s="35">
        <v>1198292265</v>
      </c>
      <c r="B19" s="35" t="s">
        <v>3721</v>
      </c>
      <c r="C19" s="35">
        <v>2025</v>
      </c>
      <c r="D19" s="36">
        <v>45715.35056712963</v>
      </c>
      <c r="E19" s="37" t="s">
        <v>1427</v>
      </c>
      <c r="F19" s="37" t="s">
        <v>4580</v>
      </c>
      <c r="G19" s="37" t="s">
        <v>3687</v>
      </c>
      <c r="H19" s="35" t="s">
        <v>3415</v>
      </c>
      <c r="I19" s="35" t="s">
        <v>3416</v>
      </c>
      <c r="J19" s="38">
        <v>16.3825</v>
      </c>
      <c r="K19" s="35">
        <v>4</v>
      </c>
      <c r="L19" s="38">
        <f t="shared" si="0"/>
        <v>65.53</v>
      </c>
      <c r="M19" s="35" t="s">
        <v>48</v>
      </c>
      <c r="N19" s="38">
        <v>65.53</v>
      </c>
      <c r="O19" s="35" t="s">
        <v>12</v>
      </c>
    </row>
    <row r="20" spans="1:15" x14ac:dyDescent="0.25">
      <c r="A20" s="35">
        <v>1163978024</v>
      </c>
      <c r="B20" s="35" t="s">
        <v>4199</v>
      </c>
      <c r="C20" s="35">
        <v>2024</v>
      </c>
      <c r="D20" s="36">
        <v>45475.308865740742</v>
      </c>
      <c r="E20" s="37" t="s">
        <v>2169</v>
      </c>
      <c r="F20" s="37" t="s">
        <v>4978</v>
      </c>
      <c r="G20" s="37" t="s">
        <v>3551</v>
      </c>
      <c r="H20" s="35" t="s">
        <v>3419</v>
      </c>
      <c r="I20" s="35" t="s">
        <v>3416</v>
      </c>
      <c r="J20" s="38">
        <v>65.42</v>
      </c>
      <c r="K20" s="35">
        <v>1</v>
      </c>
      <c r="L20" s="38">
        <f t="shared" si="0"/>
        <v>65.42</v>
      </c>
      <c r="M20" s="35" t="s">
        <v>48</v>
      </c>
      <c r="N20" s="38">
        <v>65.42</v>
      </c>
      <c r="O20" s="35" t="s">
        <v>12</v>
      </c>
    </row>
    <row r="21" spans="1:15" x14ac:dyDescent="0.25">
      <c r="A21" s="35">
        <v>1162835755</v>
      </c>
      <c r="B21" s="35" t="s">
        <v>4199</v>
      </c>
      <c r="C21" s="35">
        <v>2024</v>
      </c>
      <c r="D21" s="36">
        <v>45489.050995370373</v>
      </c>
      <c r="E21" s="37" t="s">
        <v>2215</v>
      </c>
      <c r="F21" s="37" t="s">
        <v>4954</v>
      </c>
      <c r="G21" s="37" t="s">
        <v>3676</v>
      </c>
      <c r="H21" s="35" t="s">
        <v>3415</v>
      </c>
      <c r="I21" s="35" t="s">
        <v>3530</v>
      </c>
      <c r="J21" s="38">
        <v>16.317499999999999</v>
      </c>
      <c r="K21" s="35">
        <v>4</v>
      </c>
      <c r="L21" s="38">
        <f t="shared" si="0"/>
        <v>65.27</v>
      </c>
      <c r="M21" s="35" t="s">
        <v>48</v>
      </c>
      <c r="N21" s="38">
        <v>65.27</v>
      </c>
      <c r="O21" s="35" t="s">
        <v>12</v>
      </c>
    </row>
    <row r="22" spans="1:15" x14ac:dyDescent="0.25">
      <c r="A22" s="35">
        <v>1240414115</v>
      </c>
      <c r="B22" s="35" t="s">
        <v>3968</v>
      </c>
      <c r="C22" s="35">
        <v>2025</v>
      </c>
      <c r="D22" s="36">
        <v>45974.509884259256</v>
      </c>
      <c r="E22" s="37" t="s">
        <v>792</v>
      </c>
      <c r="F22" s="37" t="s">
        <v>4028</v>
      </c>
      <c r="G22" s="37" t="s">
        <v>3621</v>
      </c>
      <c r="H22" s="35" t="s">
        <v>3419</v>
      </c>
      <c r="I22" s="35" t="s">
        <v>3453</v>
      </c>
      <c r="J22" s="38">
        <v>20.926666666666666</v>
      </c>
      <c r="K22" s="35">
        <v>3</v>
      </c>
      <c r="L22" s="38">
        <f t="shared" si="0"/>
        <v>62.78</v>
      </c>
      <c r="M22" s="35" t="s">
        <v>48</v>
      </c>
      <c r="N22" s="38">
        <v>62.779999999999994</v>
      </c>
      <c r="O22" s="35" t="s">
        <v>12</v>
      </c>
    </row>
    <row r="23" spans="1:15" x14ac:dyDescent="0.25">
      <c r="A23" s="35">
        <v>1255482037</v>
      </c>
      <c r="B23" s="35" t="s">
        <v>3721</v>
      </c>
      <c r="C23" s="35">
        <v>2026</v>
      </c>
      <c r="D23" s="36">
        <v>46062.577037037037</v>
      </c>
      <c r="E23" s="37" t="s">
        <v>419</v>
      </c>
      <c r="F23" s="37" t="s">
        <v>3749</v>
      </c>
      <c r="G23" s="37" t="s">
        <v>3733</v>
      </c>
      <c r="H23" s="35" t="s">
        <v>3415</v>
      </c>
      <c r="I23" s="35" t="s">
        <v>3416</v>
      </c>
      <c r="J23" s="38">
        <v>15.557499999999999</v>
      </c>
      <c r="K23" s="35">
        <v>4</v>
      </c>
      <c r="L23" s="38">
        <f t="shared" si="0"/>
        <v>62.23</v>
      </c>
      <c r="M23" s="35" t="s">
        <v>48</v>
      </c>
      <c r="N23" s="38">
        <v>62.23</v>
      </c>
      <c r="O23" s="35" t="s">
        <v>12</v>
      </c>
    </row>
    <row r="24" spans="1:15" x14ac:dyDescent="0.25">
      <c r="A24" s="35">
        <v>1231603567</v>
      </c>
      <c r="B24" s="35" t="s">
        <v>4132</v>
      </c>
      <c r="C24" s="35">
        <v>2025</v>
      </c>
      <c r="D24" s="36">
        <v>45925.418530092589</v>
      </c>
      <c r="E24" s="37" t="s">
        <v>946</v>
      </c>
      <c r="F24" s="37" t="s">
        <v>4138</v>
      </c>
      <c r="G24" s="37" t="s">
        <v>3945</v>
      </c>
      <c r="H24" s="35" t="s">
        <v>3419</v>
      </c>
      <c r="I24" s="35" t="s">
        <v>3530</v>
      </c>
      <c r="J24" s="38">
        <v>60.88</v>
      </c>
      <c r="K24" s="35">
        <v>1</v>
      </c>
      <c r="L24" s="38">
        <f t="shared" si="0"/>
        <v>60.88</v>
      </c>
      <c r="M24" s="35" t="s">
        <v>48</v>
      </c>
      <c r="N24" s="38">
        <v>60.88</v>
      </c>
      <c r="O24" s="35" t="s">
        <v>12</v>
      </c>
    </row>
    <row r="25" spans="1:15" x14ac:dyDescent="0.25">
      <c r="A25" s="35">
        <v>1164973766</v>
      </c>
      <c r="B25" s="35" t="s">
        <v>4199</v>
      </c>
      <c r="C25" s="35">
        <v>2024</v>
      </c>
      <c r="D25" s="36">
        <v>45482.460555555554</v>
      </c>
      <c r="E25" s="37" t="s">
        <v>695</v>
      </c>
      <c r="F25" s="37" t="s">
        <v>4962</v>
      </c>
      <c r="G25" s="37" t="s">
        <v>3905</v>
      </c>
      <c r="H25" s="35" t="s">
        <v>3419</v>
      </c>
      <c r="I25" s="35" t="s">
        <v>3530</v>
      </c>
      <c r="J25" s="38">
        <v>55.42</v>
      </c>
      <c r="K25" s="35">
        <v>1</v>
      </c>
      <c r="L25" s="38">
        <f t="shared" si="0"/>
        <v>55.42</v>
      </c>
      <c r="M25" s="35" t="s">
        <v>48</v>
      </c>
      <c r="N25" s="38">
        <v>55.42</v>
      </c>
      <c r="O25" s="35" t="s">
        <v>12</v>
      </c>
    </row>
    <row r="26" spans="1:15" x14ac:dyDescent="0.25">
      <c r="A26" s="35">
        <v>1163688955</v>
      </c>
      <c r="B26" s="35" t="s">
        <v>4199</v>
      </c>
      <c r="C26" s="35">
        <v>2024</v>
      </c>
      <c r="D26" s="36">
        <v>45475.777175925927</v>
      </c>
      <c r="E26" s="37" t="s">
        <v>318</v>
      </c>
      <c r="F26" s="37" t="s">
        <v>4976</v>
      </c>
      <c r="G26" s="37" t="s">
        <v>3560</v>
      </c>
      <c r="H26" s="35" t="s">
        <v>3419</v>
      </c>
      <c r="I26" s="35" t="s">
        <v>3530</v>
      </c>
      <c r="J26" s="38">
        <v>55.42</v>
      </c>
      <c r="K26" s="35">
        <v>1</v>
      </c>
      <c r="L26" s="38">
        <f t="shared" si="0"/>
        <v>55.42</v>
      </c>
      <c r="M26" s="35" t="s">
        <v>48</v>
      </c>
      <c r="N26" s="38">
        <v>55.42</v>
      </c>
      <c r="O26" s="35" t="s">
        <v>12</v>
      </c>
    </row>
    <row r="27" spans="1:15" x14ac:dyDescent="0.25">
      <c r="A27" s="35">
        <v>1247810200</v>
      </c>
      <c r="B27" s="35" t="s">
        <v>3761</v>
      </c>
      <c r="C27" s="35">
        <v>2026</v>
      </c>
      <c r="D27" s="36">
        <v>46028.596678240741</v>
      </c>
      <c r="E27" s="37" t="s">
        <v>570</v>
      </c>
      <c r="F27" s="37" t="s">
        <v>3878</v>
      </c>
      <c r="G27" s="37" t="s">
        <v>3879</v>
      </c>
      <c r="H27" s="35" t="s">
        <v>3415</v>
      </c>
      <c r="I27" s="35" t="s">
        <v>3416</v>
      </c>
      <c r="J27" s="38">
        <v>13.85</v>
      </c>
      <c r="K27" s="35">
        <v>4</v>
      </c>
      <c r="L27" s="38">
        <f t="shared" si="0"/>
        <v>55.4</v>
      </c>
      <c r="M27" s="35" t="s">
        <v>48</v>
      </c>
      <c r="N27" s="38">
        <v>55.4</v>
      </c>
      <c r="O27" s="35" t="s">
        <v>12</v>
      </c>
    </row>
    <row r="28" spans="1:15" ht="30" x14ac:dyDescent="0.25">
      <c r="A28" s="35" t="s">
        <v>5282</v>
      </c>
      <c r="B28" s="35" t="s">
        <v>3761</v>
      </c>
      <c r="C28" s="35">
        <v>2024</v>
      </c>
      <c r="D28" s="36">
        <v>45311.474421296298</v>
      </c>
      <c r="E28" s="37" t="s">
        <v>4233</v>
      </c>
      <c r="F28" s="37" t="s">
        <v>4380</v>
      </c>
      <c r="G28" s="37" t="s">
        <v>3551</v>
      </c>
      <c r="H28" s="35" t="s">
        <v>3419</v>
      </c>
      <c r="I28" s="35" t="s">
        <v>3416</v>
      </c>
      <c r="J28" s="38">
        <v>27.21</v>
      </c>
      <c r="K28" s="35">
        <v>2</v>
      </c>
      <c r="L28" s="38">
        <f t="shared" si="0"/>
        <v>54.42</v>
      </c>
      <c r="M28" s="35" t="s">
        <v>48</v>
      </c>
      <c r="N28" s="38">
        <v>54.42</v>
      </c>
      <c r="O28" s="35" t="s">
        <v>12</v>
      </c>
    </row>
    <row r="29" spans="1:15" x14ac:dyDescent="0.25">
      <c r="A29" s="35">
        <v>1166492703</v>
      </c>
      <c r="B29" s="35" t="s">
        <v>4199</v>
      </c>
      <c r="C29" s="35">
        <v>2024</v>
      </c>
      <c r="D29" s="36">
        <v>45494.410393518519</v>
      </c>
      <c r="E29" s="37" t="s">
        <v>2068</v>
      </c>
      <c r="F29" s="37" t="s">
        <v>4940</v>
      </c>
      <c r="G29" s="37" t="s">
        <v>4450</v>
      </c>
      <c r="H29" s="35" t="s">
        <v>3419</v>
      </c>
      <c r="I29" s="35" t="s">
        <v>3416</v>
      </c>
      <c r="J29" s="38">
        <v>54.127775229357802</v>
      </c>
      <c r="K29" s="35">
        <v>1</v>
      </c>
      <c r="L29" s="38">
        <f t="shared" si="0"/>
        <v>54.127775229357802</v>
      </c>
      <c r="M29" s="35" t="s">
        <v>48</v>
      </c>
      <c r="N29" s="38">
        <v>54.127775229357802</v>
      </c>
      <c r="O29" s="35" t="s">
        <v>12</v>
      </c>
    </row>
    <row r="30" spans="1:15" x14ac:dyDescent="0.25">
      <c r="A30" s="35">
        <v>1188500052</v>
      </c>
      <c r="B30" s="35" t="s">
        <v>3761</v>
      </c>
      <c r="C30" s="35">
        <v>2025</v>
      </c>
      <c r="D30" s="36">
        <v>45664.515497685185</v>
      </c>
      <c r="E30" s="37" t="s">
        <v>1609</v>
      </c>
      <c r="F30" s="37" t="s">
        <v>4680</v>
      </c>
      <c r="G30" s="37" t="s">
        <v>4097</v>
      </c>
      <c r="H30" s="35" t="s">
        <v>3419</v>
      </c>
      <c r="I30" s="35" t="s">
        <v>3416</v>
      </c>
      <c r="J30" s="38">
        <v>26.524307329534288</v>
      </c>
      <c r="K30" s="35">
        <v>2</v>
      </c>
      <c r="L30" s="38">
        <f t="shared" si="0"/>
        <v>53.048614659068576</v>
      </c>
      <c r="M30" s="35" t="s">
        <v>48</v>
      </c>
      <c r="N30" s="38">
        <v>53.048614659068576</v>
      </c>
      <c r="O30" s="35" t="s">
        <v>12</v>
      </c>
    </row>
    <row r="31" spans="1:15" x14ac:dyDescent="0.25">
      <c r="A31" s="35">
        <v>1164108421</v>
      </c>
      <c r="B31" s="35" t="s">
        <v>4199</v>
      </c>
      <c r="C31" s="35">
        <v>2024</v>
      </c>
      <c r="D31" s="36">
        <v>45475.956956018519</v>
      </c>
      <c r="E31" s="37" t="s">
        <v>2158</v>
      </c>
      <c r="F31" s="37" t="s">
        <v>4972</v>
      </c>
      <c r="G31" s="37" t="s">
        <v>3551</v>
      </c>
      <c r="H31" s="35" t="s">
        <v>3419</v>
      </c>
      <c r="I31" s="35" t="s">
        <v>3416</v>
      </c>
      <c r="J31" s="38">
        <v>52.8290990516333</v>
      </c>
      <c r="K31" s="35">
        <v>1</v>
      </c>
      <c r="L31" s="38">
        <f t="shared" si="0"/>
        <v>52.8290990516333</v>
      </c>
      <c r="M31" s="35" t="s">
        <v>48</v>
      </c>
      <c r="N31" s="38">
        <v>52.8290990516333</v>
      </c>
      <c r="O31" s="35" t="s">
        <v>12</v>
      </c>
    </row>
    <row r="32" spans="1:15" ht="30" x14ac:dyDescent="0.25">
      <c r="A32" s="35">
        <v>1176843547</v>
      </c>
      <c r="B32" s="35" t="s">
        <v>4070</v>
      </c>
      <c r="C32" s="35">
        <v>2024</v>
      </c>
      <c r="D32" s="36">
        <v>45576.408750000002</v>
      </c>
      <c r="E32" s="37" t="s">
        <v>1829</v>
      </c>
      <c r="F32" s="37" t="s">
        <v>4820</v>
      </c>
      <c r="G32" s="37" t="s">
        <v>3520</v>
      </c>
      <c r="H32" s="35" t="s">
        <v>3419</v>
      </c>
      <c r="I32" s="35" t="s">
        <v>3416</v>
      </c>
      <c r="J32" s="38">
        <v>52.25</v>
      </c>
      <c r="K32" s="35">
        <v>1</v>
      </c>
      <c r="L32" s="38">
        <f t="shared" si="0"/>
        <v>52.25</v>
      </c>
      <c r="M32" s="35" t="s">
        <v>48</v>
      </c>
      <c r="N32" s="38">
        <v>52.25</v>
      </c>
      <c r="O32" s="35" t="s">
        <v>12</v>
      </c>
    </row>
    <row r="33" spans="1:15" ht="30" x14ac:dyDescent="0.25">
      <c r="A33" s="35">
        <v>1119858259</v>
      </c>
      <c r="B33" s="35" t="s">
        <v>4199</v>
      </c>
      <c r="C33" s="35">
        <v>2023</v>
      </c>
      <c r="D33" s="36">
        <v>45129.326249999998</v>
      </c>
      <c r="E33" s="37" t="s">
        <v>2971</v>
      </c>
      <c r="F33" s="37" t="s">
        <v>4820</v>
      </c>
      <c r="G33" s="37" t="s">
        <v>3520</v>
      </c>
      <c r="H33" s="35" t="s">
        <v>3419</v>
      </c>
      <c r="I33" s="35" t="s">
        <v>3416</v>
      </c>
      <c r="J33" s="38">
        <v>49.154270270270274</v>
      </c>
      <c r="K33" s="35">
        <v>1</v>
      </c>
      <c r="L33" s="38">
        <f t="shared" si="0"/>
        <v>49.154270270270274</v>
      </c>
      <c r="M33" s="35" t="s">
        <v>48</v>
      </c>
      <c r="N33" s="38">
        <v>49.154270270270274</v>
      </c>
      <c r="O33" s="35" t="s">
        <v>12</v>
      </c>
    </row>
    <row r="34" spans="1:15" ht="30" x14ac:dyDescent="0.25">
      <c r="A34" s="35" t="s">
        <v>5234</v>
      </c>
      <c r="B34" s="35" t="s">
        <v>3721</v>
      </c>
      <c r="C34" s="35">
        <v>2024</v>
      </c>
      <c r="D34" s="36">
        <v>45332.820416666669</v>
      </c>
      <c r="E34" s="37" t="s">
        <v>4233</v>
      </c>
      <c r="F34" s="37" t="s">
        <v>5235</v>
      </c>
      <c r="G34" s="37" t="s">
        <v>3755</v>
      </c>
      <c r="H34" s="35" t="s">
        <v>3419</v>
      </c>
      <c r="I34" s="35" t="s">
        <v>3416</v>
      </c>
      <c r="J34" s="38">
        <v>47.62</v>
      </c>
      <c r="K34" s="35">
        <v>1</v>
      </c>
      <c r="L34" s="38">
        <f t="shared" si="0"/>
        <v>47.62</v>
      </c>
      <c r="M34" s="35" t="s">
        <v>48</v>
      </c>
      <c r="N34" s="38">
        <v>47.62</v>
      </c>
      <c r="O34" s="35" t="s">
        <v>12</v>
      </c>
    </row>
    <row r="35" spans="1:15" x14ac:dyDescent="0.25">
      <c r="A35" s="35">
        <v>1164108421</v>
      </c>
      <c r="B35" s="35" t="s">
        <v>4199</v>
      </c>
      <c r="C35" s="35">
        <v>2024</v>
      </c>
      <c r="D35" s="36">
        <v>45475.956956018519</v>
      </c>
      <c r="E35" s="37" t="s">
        <v>2158</v>
      </c>
      <c r="F35" s="37" t="s">
        <v>4971</v>
      </c>
      <c r="G35" s="37" t="s">
        <v>3560</v>
      </c>
      <c r="H35" s="35" t="s">
        <v>3419</v>
      </c>
      <c r="I35" s="35" t="s">
        <v>3530</v>
      </c>
      <c r="J35" s="38">
        <v>47.540900948366705</v>
      </c>
      <c r="K35" s="35">
        <v>1</v>
      </c>
      <c r="L35" s="38">
        <f t="shared" si="0"/>
        <v>47.540900948366705</v>
      </c>
      <c r="M35" s="35" t="s">
        <v>48</v>
      </c>
      <c r="N35" s="38">
        <v>47.540900948366705</v>
      </c>
      <c r="O35" s="35" t="s">
        <v>12</v>
      </c>
    </row>
    <row r="36" spans="1:15" x14ac:dyDescent="0.25">
      <c r="A36" s="35">
        <v>1166492703</v>
      </c>
      <c r="B36" s="35" t="s">
        <v>4199</v>
      </c>
      <c r="C36" s="35">
        <v>2024</v>
      </c>
      <c r="D36" s="36">
        <v>45499.704780092594</v>
      </c>
      <c r="E36" s="37" t="s">
        <v>2068</v>
      </c>
      <c r="F36" s="37" t="s">
        <v>4931</v>
      </c>
      <c r="G36" s="37" t="s">
        <v>3738</v>
      </c>
      <c r="H36" s="35" t="s">
        <v>3419</v>
      </c>
      <c r="I36" s="35" t="s">
        <v>3416</v>
      </c>
      <c r="J36" s="38">
        <v>15.808095487932841</v>
      </c>
      <c r="K36" s="35">
        <v>3</v>
      </c>
      <c r="L36" s="38">
        <f t="shared" si="0"/>
        <v>47.424286463798524</v>
      </c>
      <c r="M36" s="35" t="s">
        <v>48</v>
      </c>
      <c r="N36" s="38">
        <v>47.424286463798524</v>
      </c>
      <c r="O36" s="35" t="s">
        <v>12</v>
      </c>
    </row>
    <row r="37" spans="1:15" x14ac:dyDescent="0.25">
      <c r="A37" s="35">
        <v>1165660431</v>
      </c>
      <c r="B37" s="35" t="s">
        <v>4199</v>
      </c>
      <c r="C37" s="35">
        <v>2024</v>
      </c>
      <c r="D37" s="36">
        <v>45492.342962962961</v>
      </c>
      <c r="E37" s="37" t="s">
        <v>2112</v>
      </c>
      <c r="F37" s="37" t="s">
        <v>4944</v>
      </c>
      <c r="G37" s="37" t="s">
        <v>3621</v>
      </c>
      <c r="H37" s="35" t="s">
        <v>3419</v>
      </c>
      <c r="I37" s="35" t="s">
        <v>3416</v>
      </c>
      <c r="J37" s="38">
        <v>47.42</v>
      </c>
      <c r="K37" s="35">
        <v>1</v>
      </c>
      <c r="L37" s="38">
        <f t="shared" si="0"/>
        <v>47.42</v>
      </c>
      <c r="M37" s="35" t="s">
        <v>48</v>
      </c>
      <c r="N37" s="38">
        <v>47.42</v>
      </c>
      <c r="O37" s="35" t="s">
        <v>12</v>
      </c>
    </row>
    <row r="38" spans="1:15" ht="30" x14ac:dyDescent="0.25">
      <c r="A38" s="35">
        <v>1119858259</v>
      </c>
      <c r="B38" s="35" t="s">
        <v>4199</v>
      </c>
      <c r="C38" s="35">
        <v>2023</v>
      </c>
      <c r="D38" s="36">
        <v>45129.326249999998</v>
      </c>
      <c r="E38" s="37" t="s">
        <v>2971</v>
      </c>
      <c r="F38" s="37" t="s">
        <v>4820</v>
      </c>
      <c r="G38" s="37" t="s">
        <v>3520</v>
      </c>
      <c r="H38" s="35" t="s">
        <v>3419</v>
      </c>
      <c r="I38" s="35" t="s">
        <v>3416</v>
      </c>
      <c r="J38" s="38">
        <v>47.040108108108107</v>
      </c>
      <c r="K38" s="35">
        <v>1</v>
      </c>
      <c r="L38" s="38">
        <f t="shared" si="0"/>
        <v>47.040108108108107</v>
      </c>
      <c r="M38" s="35" t="s">
        <v>48</v>
      </c>
      <c r="N38" s="38">
        <v>47.040108108108107</v>
      </c>
      <c r="O38" s="35" t="s">
        <v>12</v>
      </c>
    </row>
    <row r="39" spans="1:15" ht="30" x14ac:dyDescent="0.25">
      <c r="A39" s="35" t="s">
        <v>5600</v>
      </c>
      <c r="B39" s="35" t="s">
        <v>4070</v>
      </c>
      <c r="C39" s="35">
        <v>2023</v>
      </c>
      <c r="D39" s="36">
        <v>45208.902129629627</v>
      </c>
      <c r="E39" s="37" t="s">
        <v>4233</v>
      </c>
      <c r="F39" s="37" t="s">
        <v>5601</v>
      </c>
      <c r="G39" s="37" t="s">
        <v>3963</v>
      </c>
      <c r="H39" s="35" t="s">
        <v>3419</v>
      </c>
      <c r="I39" s="35" t="s">
        <v>3416</v>
      </c>
      <c r="J39" s="38">
        <v>22.92</v>
      </c>
      <c r="K39" s="35">
        <v>2</v>
      </c>
      <c r="L39" s="38">
        <f t="shared" si="0"/>
        <v>45.84</v>
      </c>
      <c r="M39" s="35" t="s">
        <v>48</v>
      </c>
      <c r="N39" s="38">
        <v>45.84</v>
      </c>
      <c r="O39" s="35" t="s">
        <v>12</v>
      </c>
    </row>
    <row r="40" spans="1:15" x14ac:dyDescent="0.25">
      <c r="A40" s="35">
        <v>1157257374</v>
      </c>
      <c r="B40" s="35" t="s">
        <v>3527</v>
      </c>
      <c r="C40" s="35">
        <v>2024</v>
      </c>
      <c r="D40" s="36">
        <v>45425.981782407413</v>
      </c>
      <c r="E40" s="37" t="s">
        <v>2377</v>
      </c>
      <c r="F40" s="37" t="s">
        <v>5097</v>
      </c>
      <c r="G40" s="37" t="s">
        <v>3751</v>
      </c>
      <c r="H40" s="35" t="s">
        <v>3419</v>
      </c>
      <c r="I40" s="35" t="s">
        <v>3416</v>
      </c>
      <c r="J40" s="38">
        <v>45.42</v>
      </c>
      <c r="K40" s="35">
        <v>1</v>
      </c>
      <c r="L40" s="38">
        <f t="shared" si="0"/>
        <v>45.42</v>
      </c>
      <c r="M40" s="35" t="s">
        <v>48</v>
      </c>
      <c r="N40" s="38">
        <v>45.42</v>
      </c>
      <c r="O40" s="35" t="s">
        <v>12</v>
      </c>
    </row>
    <row r="41" spans="1:15" x14ac:dyDescent="0.25">
      <c r="A41" s="35" t="s">
        <v>658</v>
      </c>
      <c r="B41" s="35" t="s">
        <v>3890</v>
      </c>
      <c r="C41" s="35">
        <v>2025</v>
      </c>
      <c r="D41" s="36">
        <v>45994</v>
      </c>
      <c r="E41" s="37" t="s">
        <v>659</v>
      </c>
      <c r="F41" s="37" t="s">
        <v>3955</v>
      </c>
      <c r="G41" s="37" t="s">
        <v>3660</v>
      </c>
      <c r="H41" s="35" t="s">
        <v>3415</v>
      </c>
      <c r="I41" s="35" t="s">
        <v>3416</v>
      </c>
      <c r="J41" s="38">
        <v>11.25</v>
      </c>
      <c r="K41" s="35">
        <v>4</v>
      </c>
      <c r="L41" s="38">
        <f t="shared" si="0"/>
        <v>45</v>
      </c>
      <c r="M41" s="35" t="s">
        <v>48</v>
      </c>
      <c r="N41" s="38">
        <v>45</v>
      </c>
      <c r="O41" s="35" t="s">
        <v>12</v>
      </c>
    </row>
    <row r="42" spans="1:15" x14ac:dyDescent="0.25">
      <c r="A42" s="35">
        <v>1234897710</v>
      </c>
      <c r="B42" s="35" t="s">
        <v>4070</v>
      </c>
      <c r="C42" s="35">
        <v>2025</v>
      </c>
      <c r="D42" s="36">
        <v>45937.768946759257</v>
      </c>
      <c r="E42" s="37" t="s">
        <v>916</v>
      </c>
      <c r="F42" s="37" t="s">
        <v>4127</v>
      </c>
      <c r="G42" s="37" t="s">
        <v>4128</v>
      </c>
      <c r="H42" s="35" t="s">
        <v>3419</v>
      </c>
      <c r="I42" s="35" t="s">
        <v>3453</v>
      </c>
      <c r="J42" s="38">
        <v>43.550000000000004</v>
      </c>
      <c r="K42" s="35">
        <v>1</v>
      </c>
      <c r="L42" s="38">
        <f t="shared" si="0"/>
        <v>43.550000000000004</v>
      </c>
      <c r="M42" s="35" t="s">
        <v>48</v>
      </c>
      <c r="N42" s="38">
        <v>43.550000000000004</v>
      </c>
      <c r="O42" s="35" t="s">
        <v>12</v>
      </c>
    </row>
    <row r="43" spans="1:15" x14ac:dyDescent="0.25">
      <c r="A43" s="35">
        <v>1245439549</v>
      </c>
      <c r="B43" s="35" t="s">
        <v>3890</v>
      </c>
      <c r="C43" s="35">
        <v>2025</v>
      </c>
      <c r="D43" s="36">
        <v>46012.647719907407</v>
      </c>
      <c r="E43" s="37" t="s">
        <v>634</v>
      </c>
      <c r="F43" s="37" t="s">
        <v>3913</v>
      </c>
      <c r="G43" s="37" t="s">
        <v>3694</v>
      </c>
      <c r="H43" s="35" t="s">
        <v>3419</v>
      </c>
      <c r="I43" s="35" t="s">
        <v>3416</v>
      </c>
      <c r="J43" s="38">
        <v>42.550000000000004</v>
      </c>
      <c r="K43" s="35">
        <v>1</v>
      </c>
      <c r="L43" s="38">
        <f t="shared" si="0"/>
        <v>42.550000000000004</v>
      </c>
      <c r="M43" s="35" t="s">
        <v>48</v>
      </c>
      <c r="N43" s="38">
        <v>42.550000000000004</v>
      </c>
      <c r="O43" s="35" t="s">
        <v>12</v>
      </c>
    </row>
    <row r="44" spans="1:15" x14ac:dyDescent="0.25">
      <c r="A44" s="35">
        <v>1194307080</v>
      </c>
      <c r="B44" s="35" t="s">
        <v>3721</v>
      </c>
      <c r="C44" s="35">
        <v>2025</v>
      </c>
      <c r="D44" s="36">
        <v>45699.485046296293</v>
      </c>
      <c r="E44" s="37" t="s">
        <v>1498</v>
      </c>
      <c r="F44" s="37" t="s">
        <v>4219</v>
      </c>
      <c r="G44" s="37" t="s">
        <v>4220</v>
      </c>
      <c r="H44" s="35" t="s">
        <v>3419</v>
      </c>
      <c r="I44" s="35" t="s">
        <v>3416</v>
      </c>
      <c r="J44" s="38">
        <v>42.550000000000004</v>
      </c>
      <c r="K44" s="35">
        <v>1</v>
      </c>
      <c r="L44" s="38">
        <f t="shared" si="0"/>
        <v>42.550000000000004</v>
      </c>
      <c r="M44" s="35" t="s">
        <v>48</v>
      </c>
      <c r="N44" s="38">
        <v>42.550000000000004</v>
      </c>
      <c r="O44" s="35" t="s">
        <v>12</v>
      </c>
    </row>
    <row r="45" spans="1:15" x14ac:dyDescent="0.25">
      <c r="A45" s="35">
        <v>1131574286</v>
      </c>
      <c r="B45" s="35" t="s">
        <v>4070</v>
      </c>
      <c r="C45" s="35">
        <v>2023</v>
      </c>
      <c r="D45" s="36">
        <v>45229.633981481478</v>
      </c>
      <c r="E45" s="37" t="s">
        <v>2821</v>
      </c>
      <c r="F45" s="37" t="s">
        <v>4219</v>
      </c>
      <c r="G45" s="37" t="s">
        <v>4220</v>
      </c>
      <c r="H45" s="35" t="s">
        <v>3419</v>
      </c>
      <c r="I45" s="35" t="s">
        <v>3416</v>
      </c>
      <c r="J45" s="38">
        <v>42.2</v>
      </c>
      <c r="K45" s="35">
        <v>1</v>
      </c>
      <c r="L45" s="38">
        <f t="shared" si="0"/>
        <v>42.2</v>
      </c>
      <c r="M45" s="35" t="s">
        <v>48</v>
      </c>
      <c r="N45" s="38">
        <v>42.2</v>
      </c>
      <c r="O45" s="35" t="s">
        <v>12</v>
      </c>
    </row>
    <row r="46" spans="1:15" x14ac:dyDescent="0.25">
      <c r="A46" s="35">
        <v>1200447336</v>
      </c>
      <c r="B46" s="35" t="s">
        <v>3646</v>
      </c>
      <c r="C46" s="35">
        <v>2025</v>
      </c>
      <c r="D46" s="36">
        <v>45725.004328703697</v>
      </c>
      <c r="E46" s="37" t="s">
        <v>1387</v>
      </c>
      <c r="F46" s="37" t="s">
        <v>4557</v>
      </c>
      <c r="G46" s="37" t="s">
        <v>3551</v>
      </c>
      <c r="H46" s="35" t="s">
        <v>3415</v>
      </c>
      <c r="I46" s="35" t="s">
        <v>3416</v>
      </c>
      <c r="J46" s="38">
        <v>10.432499999999999</v>
      </c>
      <c r="K46" s="35">
        <v>4</v>
      </c>
      <c r="L46" s="38">
        <f t="shared" si="0"/>
        <v>41.73</v>
      </c>
      <c r="M46" s="35" t="s">
        <v>48</v>
      </c>
      <c r="N46" s="38">
        <v>41.73</v>
      </c>
      <c r="O46" s="35" t="s">
        <v>12</v>
      </c>
    </row>
    <row r="47" spans="1:15" x14ac:dyDescent="0.25">
      <c r="A47" s="35">
        <v>1193092740</v>
      </c>
      <c r="B47" s="35" t="s">
        <v>3761</v>
      </c>
      <c r="C47" s="35">
        <v>2025</v>
      </c>
      <c r="D47" s="36">
        <v>45681.491030092591</v>
      </c>
      <c r="E47" s="37" t="s">
        <v>1520</v>
      </c>
      <c r="F47" s="37" t="s">
        <v>4650</v>
      </c>
      <c r="G47" s="37" t="s">
        <v>4651</v>
      </c>
      <c r="H47" s="35" t="s">
        <v>3415</v>
      </c>
      <c r="I47" s="35" t="s">
        <v>3416</v>
      </c>
      <c r="J47" s="38">
        <v>10.432499999999999</v>
      </c>
      <c r="K47" s="35">
        <v>4</v>
      </c>
      <c r="L47" s="38">
        <f t="shared" si="0"/>
        <v>41.73</v>
      </c>
      <c r="M47" s="35" t="s">
        <v>48</v>
      </c>
      <c r="N47" s="38">
        <v>41.73</v>
      </c>
      <c r="O47" s="35" t="s">
        <v>12</v>
      </c>
    </row>
    <row r="48" spans="1:15" ht="30" x14ac:dyDescent="0.25">
      <c r="A48" s="35" t="s">
        <v>6167</v>
      </c>
      <c r="B48" s="35" t="s">
        <v>3890</v>
      </c>
      <c r="C48" s="35">
        <v>2022</v>
      </c>
      <c r="D48" s="36">
        <v>44911.369432870371</v>
      </c>
      <c r="E48" s="37" t="s">
        <v>4233</v>
      </c>
      <c r="F48" s="37" t="s">
        <v>6168</v>
      </c>
      <c r="G48" s="37" t="s">
        <v>3676</v>
      </c>
      <c r="H48" s="35" t="s">
        <v>3419</v>
      </c>
      <c r="I48" s="35" t="s">
        <v>3530</v>
      </c>
      <c r="J48" s="38">
        <v>20.170000000000002</v>
      </c>
      <c r="K48" s="35">
        <v>2</v>
      </c>
      <c r="L48" s="38">
        <f t="shared" si="0"/>
        <v>40.340000000000003</v>
      </c>
      <c r="M48" s="35" t="s">
        <v>48</v>
      </c>
      <c r="N48" s="38">
        <v>40.340000000000003</v>
      </c>
      <c r="O48" s="35" t="s">
        <v>12</v>
      </c>
    </row>
    <row r="49" spans="1:15" x14ac:dyDescent="0.25">
      <c r="A49" s="35">
        <v>1219880469</v>
      </c>
      <c r="B49" s="35" t="s">
        <v>4199</v>
      </c>
      <c r="C49" s="35">
        <v>2025</v>
      </c>
      <c r="D49" s="36">
        <v>45853.657789351855</v>
      </c>
      <c r="E49" s="37" t="s">
        <v>1048</v>
      </c>
      <c r="F49" s="37" t="s">
        <v>4218</v>
      </c>
      <c r="G49" s="37" t="s">
        <v>3694</v>
      </c>
      <c r="H49" s="35" t="s">
        <v>3419</v>
      </c>
      <c r="I49" s="35" t="s">
        <v>3416</v>
      </c>
      <c r="J49" s="38">
        <v>19.914999999999999</v>
      </c>
      <c r="K49" s="35">
        <v>2</v>
      </c>
      <c r="L49" s="38">
        <f t="shared" si="0"/>
        <v>39.83</v>
      </c>
      <c r="M49" s="35" t="s">
        <v>48</v>
      </c>
      <c r="N49" s="38">
        <v>39.83</v>
      </c>
      <c r="O49" s="35" t="s">
        <v>12</v>
      </c>
    </row>
    <row r="50" spans="1:15" x14ac:dyDescent="0.25">
      <c r="A50" s="35">
        <v>1178657400</v>
      </c>
      <c r="B50" s="35" t="s">
        <v>4070</v>
      </c>
      <c r="C50" s="35">
        <v>2024</v>
      </c>
      <c r="D50" s="36">
        <v>45595.672650462962</v>
      </c>
      <c r="E50" s="37" t="s">
        <v>1787</v>
      </c>
      <c r="F50" s="37" t="s">
        <v>4779</v>
      </c>
      <c r="G50" s="37" t="s">
        <v>3621</v>
      </c>
      <c r="H50" s="35" t="s">
        <v>3415</v>
      </c>
      <c r="I50" s="35" t="s">
        <v>3416</v>
      </c>
      <c r="J50" s="38">
        <v>9.7750000000000004</v>
      </c>
      <c r="K50" s="35">
        <v>4</v>
      </c>
      <c r="L50" s="38">
        <f t="shared" si="0"/>
        <v>39.1</v>
      </c>
      <c r="M50" s="35" t="s">
        <v>48</v>
      </c>
      <c r="N50" s="38">
        <v>39.1</v>
      </c>
      <c r="O50" s="35" t="s">
        <v>12</v>
      </c>
    </row>
    <row r="51" spans="1:15" ht="30" x14ac:dyDescent="0.25">
      <c r="A51" s="35" t="s">
        <v>5298</v>
      </c>
      <c r="B51" s="35" t="s">
        <v>3890</v>
      </c>
      <c r="C51" s="35">
        <v>2023</v>
      </c>
      <c r="D51" s="36">
        <v>45284.474537037036</v>
      </c>
      <c r="E51" s="37" t="s">
        <v>4233</v>
      </c>
      <c r="F51" s="37" t="s">
        <v>5299</v>
      </c>
      <c r="G51" s="37" t="s">
        <v>3726</v>
      </c>
      <c r="H51" s="35" t="s">
        <v>3419</v>
      </c>
      <c r="I51" s="35" t="s">
        <v>3416</v>
      </c>
      <c r="J51" s="38">
        <v>19.335000000000001</v>
      </c>
      <c r="K51" s="35">
        <v>2</v>
      </c>
      <c r="L51" s="38">
        <f t="shared" si="0"/>
        <v>38.67</v>
      </c>
      <c r="M51" s="35" t="s">
        <v>48</v>
      </c>
      <c r="N51" s="38">
        <v>38.67</v>
      </c>
      <c r="O51" s="35" t="s">
        <v>12</v>
      </c>
    </row>
    <row r="52" spans="1:15" x14ac:dyDescent="0.25">
      <c r="A52" s="35">
        <v>1175688448</v>
      </c>
      <c r="B52" s="35" t="s">
        <v>4132</v>
      </c>
      <c r="C52" s="35">
        <v>2024</v>
      </c>
      <c r="D52" s="36">
        <v>45561.782638888893</v>
      </c>
      <c r="E52" s="37" t="s">
        <v>1889</v>
      </c>
      <c r="F52" s="37" t="s">
        <v>4861</v>
      </c>
      <c r="G52" s="37" t="s">
        <v>3621</v>
      </c>
      <c r="H52" s="35" t="s">
        <v>3419</v>
      </c>
      <c r="I52" s="35" t="s">
        <v>3416</v>
      </c>
      <c r="J52" s="38">
        <v>37.5</v>
      </c>
      <c r="K52" s="35">
        <v>1</v>
      </c>
      <c r="L52" s="38">
        <f t="shared" si="0"/>
        <v>37.5</v>
      </c>
      <c r="M52" s="35" t="s">
        <v>48</v>
      </c>
      <c r="N52" s="38">
        <v>37.5</v>
      </c>
      <c r="O52" s="35" t="s">
        <v>12</v>
      </c>
    </row>
    <row r="53" spans="1:15" x14ac:dyDescent="0.25">
      <c r="A53" s="35">
        <v>1185364801</v>
      </c>
      <c r="B53" s="35" t="s">
        <v>3890</v>
      </c>
      <c r="C53" s="35">
        <v>2024</v>
      </c>
      <c r="D53" s="36">
        <v>45631.519201388888</v>
      </c>
      <c r="E53" s="37" t="s">
        <v>231</v>
      </c>
      <c r="F53" s="37" t="s">
        <v>4743</v>
      </c>
      <c r="G53" s="37" t="s">
        <v>3879</v>
      </c>
      <c r="H53" s="35" t="s">
        <v>3415</v>
      </c>
      <c r="I53" s="35" t="s">
        <v>3416</v>
      </c>
      <c r="J53" s="38">
        <v>9.3175000000000008</v>
      </c>
      <c r="K53" s="35">
        <v>4</v>
      </c>
      <c r="L53" s="38">
        <f t="shared" si="0"/>
        <v>37.270000000000003</v>
      </c>
      <c r="M53" s="35" t="s">
        <v>48</v>
      </c>
      <c r="N53" s="38">
        <v>37.270000000000003</v>
      </c>
      <c r="O53" s="35" t="s">
        <v>12</v>
      </c>
    </row>
    <row r="54" spans="1:15" x14ac:dyDescent="0.25">
      <c r="A54" s="35">
        <v>1160995310</v>
      </c>
      <c r="B54" s="35" t="s">
        <v>3412</v>
      </c>
      <c r="C54" s="35">
        <v>2024</v>
      </c>
      <c r="D54" s="36">
        <v>45463.485405092593</v>
      </c>
      <c r="E54" s="37" t="s">
        <v>2268</v>
      </c>
      <c r="F54" s="37" t="s">
        <v>5001</v>
      </c>
      <c r="G54" s="37" t="s">
        <v>3676</v>
      </c>
      <c r="H54" s="35" t="s">
        <v>3419</v>
      </c>
      <c r="I54" s="35" t="s">
        <v>3530</v>
      </c>
      <c r="J54" s="38">
        <v>17.684999999999999</v>
      </c>
      <c r="K54" s="35">
        <v>2</v>
      </c>
      <c r="L54" s="38">
        <f t="shared" si="0"/>
        <v>35.369999999999997</v>
      </c>
      <c r="M54" s="35" t="s">
        <v>48</v>
      </c>
      <c r="N54" s="38">
        <v>35.369999999999997</v>
      </c>
      <c r="O54" s="35" t="s">
        <v>12</v>
      </c>
    </row>
    <row r="55" spans="1:15" x14ac:dyDescent="0.25">
      <c r="A55" s="35">
        <v>1185865223</v>
      </c>
      <c r="B55" s="35" t="s">
        <v>3890</v>
      </c>
      <c r="C55" s="35">
        <v>2024</v>
      </c>
      <c r="D55" s="36">
        <v>45643.582199074073</v>
      </c>
      <c r="E55" s="37" t="s">
        <v>1692</v>
      </c>
      <c r="F55" s="37" t="s">
        <v>4715</v>
      </c>
      <c r="G55" s="37" t="s">
        <v>3687</v>
      </c>
      <c r="H55" s="35" t="s">
        <v>3415</v>
      </c>
      <c r="I55" s="35" t="s">
        <v>3416</v>
      </c>
      <c r="J55" s="38">
        <v>8.7750000000000004</v>
      </c>
      <c r="K55" s="35">
        <v>4</v>
      </c>
      <c r="L55" s="38">
        <f t="shared" si="0"/>
        <v>35.1</v>
      </c>
      <c r="M55" s="35" t="s">
        <v>48</v>
      </c>
      <c r="N55" s="38">
        <v>35.1</v>
      </c>
      <c r="O55" s="35" t="s">
        <v>12</v>
      </c>
    </row>
    <row r="56" spans="1:15" ht="30" x14ac:dyDescent="0.25">
      <c r="A56" s="35">
        <v>1111582930</v>
      </c>
      <c r="B56" s="35" t="s">
        <v>3527</v>
      </c>
      <c r="C56" s="35">
        <v>2023</v>
      </c>
      <c r="D56" s="36">
        <v>45050.342685185184</v>
      </c>
      <c r="E56" s="37" t="s">
        <v>3102</v>
      </c>
      <c r="F56" s="37" t="s">
        <v>5496</v>
      </c>
      <c r="G56" s="37" t="s">
        <v>4103</v>
      </c>
      <c r="H56" s="35" t="s">
        <v>3419</v>
      </c>
      <c r="I56" s="35" t="s">
        <v>3416</v>
      </c>
      <c r="J56" s="38">
        <v>34.269999999999996</v>
      </c>
      <c r="K56" s="35">
        <v>1</v>
      </c>
      <c r="L56" s="38">
        <f t="shared" si="0"/>
        <v>34.269999999999996</v>
      </c>
      <c r="M56" s="35" t="s">
        <v>48</v>
      </c>
      <c r="N56" s="38">
        <v>34.269999999999996</v>
      </c>
      <c r="O56" s="35" t="s">
        <v>12</v>
      </c>
    </row>
    <row r="57" spans="1:15" x14ac:dyDescent="0.25">
      <c r="A57" s="35">
        <v>1191996305</v>
      </c>
      <c r="B57" s="35" t="s">
        <v>3761</v>
      </c>
      <c r="C57" s="35">
        <v>2025</v>
      </c>
      <c r="D57" s="36">
        <v>45674.567453703698</v>
      </c>
      <c r="E57" s="37" t="s">
        <v>1551</v>
      </c>
      <c r="F57" s="37" t="s">
        <v>4663</v>
      </c>
      <c r="G57" s="37" t="s">
        <v>3621</v>
      </c>
      <c r="H57" s="35" t="s">
        <v>3415</v>
      </c>
      <c r="I57" s="35" t="s">
        <v>3416</v>
      </c>
      <c r="J57" s="38">
        <v>8.432500000000001</v>
      </c>
      <c r="K57" s="35">
        <v>4</v>
      </c>
      <c r="L57" s="38">
        <f t="shared" si="0"/>
        <v>33.730000000000004</v>
      </c>
      <c r="M57" s="35" t="s">
        <v>48</v>
      </c>
      <c r="N57" s="38">
        <v>33.730000000000004</v>
      </c>
      <c r="O57" s="35" t="s">
        <v>12</v>
      </c>
    </row>
    <row r="58" spans="1:15" x14ac:dyDescent="0.25">
      <c r="A58" s="35">
        <v>1166294148</v>
      </c>
      <c r="B58" s="35" t="s">
        <v>4158</v>
      </c>
      <c r="C58" s="35">
        <v>2024</v>
      </c>
      <c r="D58" s="36">
        <v>45506.304826388892</v>
      </c>
      <c r="E58" s="37" t="s">
        <v>2075</v>
      </c>
      <c r="F58" s="37" t="s">
        <v>4919</v>
      </c>
      <c r="G58" s="37" t="s">
        <v>3871</v>
      </c>
      <c r="H58" s="35" t="s">
        <v>3415</v>
      </c>
      <c r="I58" s="35" t="s">
        <v>3640</v>
      </c>
      <c r="J58" s="38">
        <v>8.3346845124282982</v>
      </c>
      <c r="K58" s="35">
        <v>4</v>
      </c>
      <c r="L58" s="38">
        <f t="shared" si="0"/>
        <v>33.338738049713193</v>
      </c>
      <c r="M58" s="35" t="s">
        <v>48</v>
      </c>
      <c r="N58" s="38">
        <v>33.338738049713193</v>
      </c>
      <c r="O58" s="35" t="s">
        <v>12</v>
      </c>
    </row>
    <row r="59" spans="1:15" x14ac:dyDescent="0.25">
      <c r="A59" s="35">
        <v>1118014908</v>
      </c>
      <c r="B59" s="35" t="s">
        <v>4199</v>
      </c>
      <c r="C59" s="35">
        <v>2023</v>
      </c>
      <c r="D59" s="36">
        <v>45112.526006944441</v>
      </c>
      <c r="E59" s="37" t="s">
        <v>3022</v>
      </c>
      <c r="F59" s="37" t="s">
        <v>3870</v>
      </c>
      <c r="G59" s="37" t="s">
        <v>3871</v>
      </c>
      <c r="H59" s="35" t="s">
        <v>3419</v>
      </c>
      <c r="I59" s="35" t="s">
        <v>3416</v>
      </c>
      <c r="J59" s="38">
        <v>32.75</v>
      </c>
      <c r="K59" s="35">
        <v>1</v>
      </c>
      <c r="L59" s="38">
        <f t="shared" si="0"/>
        <v>32.75</v>
      </c>
      <c r="M59" s="35" t="s">
        <v>48</v>
      </c>
      <c r="N59" s="38">
        <v>32.75</v>
      </c>
      <c r="O59" s="35" t="s">
        <v>12</v>
      </c>
    </row>
    <row r="60" spans="1:15" x14ac:dyDescent="0.25">
      <c r="A60" s="35">
        <v>1166294148</v>
      </c>
      <c r="B60" s="35" t="s">
        <v>4199</v>
      </c>
      <c r="C60" s="35">
        <v>2024</v>
      </c>
      <c r="D60" s="36">
        <v>45492.783645833333</v>
      </c>
      <c r="E60" s="37" t="s">
        <v>2075</v>
      </c>
      <c r="F60" s="37" t="s">
        <v>4943</v>
      </c>
      <c r="G60" s="37" t="s">
        <v>4561</v>
      </c>
      <c r="H60" s="35" t="s">
        <v>3419</v>
      </c>
      <c r="I60" s="35" t="s">
        <v>3530</v>
      </c>
      <c r="J60" s="38">
        <v>31.976301793444652</v>
      </c>
      <c r="K60" s="35">
        <v>1</v>
      </c>
      <c r="L60" s="38">
        <f t="shared" si="0"/>
        <v>31.976301793444652</v>
      </c>
      <c r="M60" s="35" t="s">
        <v>48</v>
      </c>
      <c r="N60" s="38">
        <v>31.976301793444652</v>
      </c>
      <c r="O60" s="35" t="s">
        <v>12</v>
      </c>
    </row>
    <row r="61" spans="1:15" x14ac:dyDescent="0.25">
      <c r="A61" s="35">
        <v>1166294148</v>
      </c>
      <c r="B61" s="35" t="s">
        <v>4158</v>
      </c>
      <c r="C61" s="35">
        <v>2024</v>
      </c>
      <c r="D61" s="36">
        <v>45506.304826388892</v>
      </c>
      <c r="E61" s="37" t="s">
        <v>2075</v>
      </c>
      <c r="F61" s="37" t="s">
        <v>4920</v>
      </c>
      <c r="G61" s="37" t="s">
        <v>3871</v>
      </c>
      <c r="H61" s="35" t="s">
        <v>3419</v>
      </c>
      <c r="I61" s="35" t="s">
        <v>3530</v>
      </c>
      <c r="J61" s="38">
        <v>31.202975143403442</v>
      </c>
      <c r="K61" s="35">
        <v>1</v>
      </c>
      <c r="L61" s="38">
        <f t="shared" si="0"/>
        <v>31.202975143403442</v>
      </c>
      <c r="M61" s="35" t="s">
        <v>48</v>
      </c>
      <c r="N61" s="38">
        <v>31.202975143403442</v>
      </c>
      <c r="O61" s="35" t="s">
        <v>12</v>
      </c>
    </row>
    <row r="62" spans="1:15" ht="30" x14ac:dyDescent="0.25">
      <c r="A62" s="35" t="s">
        <v>5646</v>
      </c>
      <c r="B62" s="35" t="s">
        <v>4132</v>
      </c>
      <c r="C62" s="35">
        <v>2023</v>
      </c>
      <c r="D62" s="36">
        <v>45173.764317129629</v>
      </c>
      <c r="E62" s="37" t="s">
        <v>4233</v>
      </c>
      <c r="F62" s="37" t="s">
        <v>5647</v>
      </c>
      <c r="G62" s="37" t="s">
        <v>3871</v>
      </c>
      <c r="H62" s="35" t="s">
        <v>3419</v>
      </c>
      <c r="I62" s="35" t="s">
        <v>3416</v>
      </c>
      <c r="J62" s="38">
        <v>14.538073593073594</v>
      </c>
      <c r="K62" s="35">
        <v>2</v>
      </c>
      <c r="L62" s="38">
        <f t="shared" si="0"/>
        <v>29.076147186147189</v>
      </c>
      <c r="M62" s="35" t="s">
        <v>48</v>
      </c>
      <c r="N62" s="38">
        <v>29.076147186147189</v>
      </c>
      <c r="O62" s="35" t="s">
        <v>12</v>
      </c>
    </row>
    <row r="63" spans="1:15" ht="30" x14ac:dyDescent="0.25">
      <c r="A63" s="35" t="s">
        <v>5301</v>
      </c>
      <c r="B63" s="35" t="s">
        <v>3890</v>
      </c>
      <c r="C63" s="35">
        <v>2023</v>
      </c>
      <c r="D63" s="36">
        <v>45283.795266203713</v>
      </c>
      <c r="E63" s="37" t="s">
        <v>4233</v>
      </c>
      <c r="F63" s="37" t="s">
        <v>5302</v>
      </c>
      <c r="G63" s="37" t="s">
        <v>3457</v>
      </c>
      <c r="H63" s="35" t="s">
        <v>3415</v>
      </c>
      <c r="I63" s="35" t="s">
        <v>3530</v>
      </c>
      <c r="J63" s="38">
        <v>6.8425000000000002</v>
      </c>
      <c r="K63" s="35">
        <v>4</v>
      </c>
      <c r="L63" s="38">
        <f t="shared" si="0"/>
        <v>27.37</v>
      </c>
      <c r="M63" s="35" t="s">
        <v>48</v>
      </c>
      <c r="N63" s="38">
        <v>27.37</v>
      </c>
      <c r="O63" s="35" t="s">
        <v>12</v>
      </c>
    </row>
    <row r="64" spans="1:15" ht="30" x14ac:dyDescent="0.25">
      <c r="A64" s="35" t="s">
        <v>5627</v>
      </c>
      <c r="B64" s="35" t="s">
        <v>4132</v>
      </c>
      <c r="C64" s="35">
        <v>2023</v>
      </c>
      <c r="D64" s="36">
        <v>45185.359398148154</v>
      </c>
      <c r="E64" s="37" t="s">
        <v>4233</v>
      </c>
      <c r="F64" s="37" t="s">
        <v>5628</v>
      </c>
      <c r="G64" s="37" t="s">
        <v>4326</v>
      </c>
      <c r="H64" s="35" t="s">
        <v>3419</v>
      </c>
      <c r="I64" s="35" t="s">
        <v>3453</v>
      </c>
      <c r="J64" s="38">
        <v>13.17</v>
      </c>
      <c r="K64" s="35">
        <v>2</v>
      </c>
      <c r="L64" s="38">
        <f t="shared" si="0"/>
        <v>26.34</v>
      </c>
      <c r="M64" s="35" t="s">
        <v>48</v>
      </c>
      <c r="N64" s="38">
        <v>26.34</v>
      </c>
      <c r="O64" s="35" t="s">
        <v>12</v>
      </c>
    </row>
    <row r="65" spans="1:15" x14ac:dyDescent="0.25">
      <c r="A65" s="35">
        <v>1197512959</v>
      </c>
      <c r="B65" s="35" t="s">
        <v>3721</v>
      </c>
      <c r="C65" s="35">
        <v>2025</v>
      </c>
      <c r="D65" s="36">
        <v>45713.968819444446</v>
      </c>
      <c r="E65" s="37" t="s">
        <v>1436</v>
      </c>
      <c r="F65" s="37" t="s">
        <v>4479</v>
      </c>
      <c r="G65" s="37" t="s">
        <v>4480</v>
      </c>
      <c r="H65" s="35" t="s">
        <v>3419</v>
      </c>
      <c r="I65" s="35" t="s">
        <v>3416</v>
      </c>
      <c r="J65" s="38">
        <v>8.7666666666666675</v>
      </c>
      <c r="K65" s="35">
        <v>3</v>
      </c>
      <c r="L65" s="38">
        <f t="shared" si="0"/>
        <v>26.300000000000004</v>
      </c>
      <c r="M65" s="35" t="s">
        <v>48</v>
      </c>
      <c r="N65" s="38">
        <v>26.3</v>
      </c>
      <c r="O65" s="35" t="s">
        <v>12</v>
      </c>
    </row>
    <row r="66" spans="1:15" ht="30" x14ac:dyDescent="0.25">
      <c r="A66" s="35" t="s">
        <v>4769</v>
      </c>
      <c r="B66" s="35" t="s">
        <v>3968</v>
      </c>
      <c r="C66" s="35">
        <v>2024</v>
      </c>
      <c r="D66" s="36">
        <v>45619.499363425923</v>
      </c>
      <c r="E66" s="37" t="s">
        <v>4233</v>
      </c>
      <c r="F66" s="37" t="s">
        <v>4770</v>
      </c>
      <c r="G66" s="37" t="s">
        <v>3687</v>
      </c>
      <c r="H66" s="35" t="s">
        <v>3419</v>
      </c>
      <c r="I66" s="35" t="s">
        <v>3416</v>
      </c>
      <c r="J66" s="38">
        <v>8.64</v>
      </c>
      <c r="K66" s="35">
        <v>3</v>
      </c>
      <c r="L66" s="38">
        <f t="shared" ref="L66:L129" si="1">J66*K66</f>
        <v>25.92</v>
      </c>
      <c r="M66" s="35" t="s">
        <v>48</v>
      </c>
      <c r="N66" s="38">
        <v>25.92</v>
      </c>
      <c r="O66" s="35" t="s">
        <v>12</v>
      </c>
    </row>
    <row r="67" spans="1:15" x14ac:dyDescent="0.25">
      <c r="A67" s="35">
        <v>1237409267</v>
      </c>
      <c r="B67" s="35" t="s">
        <v>3968</v>
      </c>
      <c r="C67" s="35">
        <v>2025</v>
      </c>
      <c r="D67" s="36">
        <v>45985.664201388892</v>
      </c>
      <c r="E67" s="37" t="s">
        <v>854</v>
      </c>
      <c r="F67" s="37" t="s">
        <v>3965</v>
      </c>
      <c r="G67" s="37" t="s">
        <v>3621</v>
      </c>
      <c r="H67" s="35" t="s">
        <v>3415</v>
      </c>
      <c r="I67" s="35" t="s">
        <v>3416</v>
      </c>
      <c r="J67" s="38">
        <v>6.2825000000000006</v>
      </c>
      <c r="K67" s="35">
        <v>4</v>
      </c>
      <c r="L67" s="38">
        <f t="shared" si="1"/>
        <v>25.130000000000003</v>
      </c>
      <c r="M67" s="35" t="s">
        <v>48</v>
      </c>
      <c r="N67" s="38">
        <v>25.130000000000003</v>
      </c>
      <c r="O67" s="35" t="s">
        <v>12</v>
      </c>
    </row>
    <row r="68" spans="1:15" x14ac:dyDescent="0.25">
      <c r="A68" s="35">
        <v>1240546158</v>
      </c>
      <c r="B68" s="35" t="s">
        <v>3968</v>
      </c>
      <c r="C68" s="35">
        <v>2025</v>
      </c>
      <c r="D68" s="36">
        <v>45975.561516203707</v>
      </c>
      <c r="E68" s="37" t="s">
        <v>775</v>
      </c>
      <c r="F68" s="37" t="s">
        <v>4027</v>
      </c>
      <c r="G68" s="37" t="s">
        <v>3687</v>
      </c>
      <c r="H68" s="35" t="s">
        <v>3415</v>
      </c>
      <c r="I68" s="35" t="s">
        <v>3453</v>
      </c>
      <c r="J68" s="38">
        <v>6.2825000000000006</v>
      </c>
      <c r="K68" s="35">
        <v>4</v>
      </c>
      <c r="L68" s="38">
        <f t="shared" si="1"/>
        <v>25.130000000000003</v>
      </c>
      <c r="M68" s="35" t="s">
        <v>48</v>
      </c>
      <c r="N68" s="38">
        <v>25.130000000000003</v>
      </c>
      <c r="O68" s="35" t="s">
        <v>12</v>
      </c>
    </row>
    <row r="69" spans="1:15" ht="30" x14ac:dyDescent="0.25">
      <c r="A69" s="35">
        <v>1163566856</v>
      </c>
      <c r="B69" s="35" t="s">
        <v>4199</v>
      </c>
      <c r="C69" s="35">
        <v>2024</v>
      </c>
      <c r="D69" s="36">
        <v>45485.5549537037</v>
      </c>
      <c r="E69" s="37" t="s">
        <v>2186</v>
      </c>
      <c r="F69" s="37" t="s">
        <v>4959</v>
      </c>
      <c r="G69" s="37" t="s">
        <v>3846</v>
      </c>
      <c r="H69" s="35" t="s">
        <v>3415</v>
      </c>
      <c r="I69" s="35" t="s">
        <v>3416</v>
      </c>
      <c r="J69" s="38">
        <v>6.2549999999999999</v>
      </c>
      <c r="K69" s="35">
        <v>4</v>
      </c>
      <c r="L69" s="38">
        <f t="shared" si="1"/>
        <v>25.02</v>
      </c>
      <c r="M69" s="35" t="s">
        <v>48</v>
      </c>
      <c r="N69" s="38">
        <v>25.02</v>
      </c>
      <c r="O69" s="35" t="s">
        <v>12</v>
      </c>
    </row>
    <row r="70" spans="1:15" x14ac:dyDescent="0.25">
      <c r="A70" s="35" t="s">
        <v>669</v>
      </c>
      <c r="B70" s="35" t="s">
        <v>3890</v>
      </c>
      <c r="C70" s="35">
        <v>2025</v>
      </c>
      <c r="D70" s="36">
        <v>45992</v>
      </c>
      <c r="E70" s="37" t="s">
        <v>670</v>
      </c>
      <c r="F70" s="37" t="s">
        <v>3966</v>
      </c>
      <c r="G70" s="37" t="s">
        <v>3967</v>
      </c>
      <c r="H70" s="35" t="s">
        <v>3419</v>
      </c>
      <c r="I70" s="35" t="s">
        <v>3453</v>
      </c>
      <c r="J70" s="38">
        <v>25</v>
      </c>
      <c r="K70" s="35">
        <v>1</v>
      </c>
      <c r="L70" s="38">
        <f t="shared" si="1"/>
        <v>25</v>
      </c>
      <c r="M70" s="35" t="s">
        <v>48</v>
      </c>
      <c r="N70" s="38">
        <v>25</v>
      </c>
      <c r="O70" s="35" t="s">
        <v>12</v>
      </c>
    </row>
    <row r="71" spans="1:15" x14ac:dyDescent="0.25">
      <c r="A71" s="35">
        <v>1178747825</v>
      </c>
      <c r="B71" s="35" t="s">
        <v>4070</v>
      </c>
      <c r="C71" s="35">
        <v>2024</v>
      </c>
      <c r="D71" s="36">
        <v>45587.483530092592</v>
      </c>
      <c r="E71" s="37" t="s">
        <v>294</v>
      </c>
      <c r="F71" s="37" t="s">
        <v>4785</v>
      </c>
      <c r="G71" s="37" t="s">
        <v>4142</v>
      </c>
      <c r="H71" s="35" t="s">
        <v>3415</v>
      </c>
      <c r="I71" s="35" t="s">
        <v>3416</v>
      </c>
      <c r="J71" s="38">
        <v>6.2427016129032262</v>
      </c>
      <c r="K71" s="35">
        <v>4</v>
      </c>
      <c r="L71" s="38">
        <f t="shared" si="1"/>
        <v>24.970806451612905</v>
      </c>
      <c r="M71" s="35" t="s">
        <v>48</v>
      </c>
      <c r="N71" s="38">
        <v>24.970806451612905</v>
      </c>
      <c r="O71" s="35" t="s">
        <v>12</v>
      </c>
    </row>
    <row r="72" spans="1:15" x14ac:dyDescent="0.25">
      <c r="A72" s="35">
        <v>1237155870</v>
      </c>
      <c r="B72" s="35" t="s">
        <v>4070</v>
      </c>
      <c r="C72" s="35">
        <v>2025</v>
      </c>
      <c r="D72" s="36">
        <v>45961.408009259256</v>
      </c>
      <c r="E72" s="37" t="s">
        <v>865</v>
      </c>
      <c r="F72" s="37" t="s">
        <v>4071</v>
      </c>
      <c r="G72" s="37" t="s">
        <v>3770</v>
      </c>
      <c r="H72" s="35" t="s">
        <v>3419</v>
      </c>
      <c r="I72" s="35" t="s">
        <v>3416</v>
      </c>
      <c r="J72" s="38">
        <v>12.174999999999999</v>
      </c>
      <c r="K72" s="35">
        <v>2</v>
      </c>
      <c r="L72" s="38">
        <f t="shared" si="1"/>
        <v>24.349999999999998</v>
      </c>
      <c r="M72" s="35" t="s">
        <v>48</v>
      </c>
      <c r="N72" s="38">
        <v>24.349999999999998</v>
      </c>
      <c r="O72" s="35" t="s">
        <v>12</v>
      </c>
    </row>
    <row r="73" spans="1:15" ht="30" x14ac:dyDescent="0.25">
      <c r="A73" s="35" t="s">
        <v>6183</v>
      </c>
      <c r="B73" s="35" t="s">
        <v>3890</v>
      </c>
      <c r="C73" s="35">
        <v>2022</v>
      </c>
      <c r="D73" s="36">
        <v>44906.571064814823</v>
      </c>
      <c r="E73" s="37" t="s">
        <v>4233</v>
      </c>
      <c r="F73" s="37" t="s">
        <v>5079</v>
      </c>
      <c r="G73" s="37" t="s">
        <v>3676</v>
      </c>
      <c r="H73" s="35" t="s">
        <v>3419</v>
      </c>
      <c r="I73" s="35" t="s">
        <v>3530</v>
      </c>
      <c r="J73" s="38">
        <v>12.17</v>
      </c>
      <c r="K73" s="35">
        <v>2</v>
      </c>
      <c r="L73" s="38">
        <f t="shared" si="1"/>
        <v>24.34</v>
      </c>
      <c r="M73" s="35" t="s">
        <v>48</v>
      </c>
      <c r="N73" s="38">
        <v>24.34</v>
      </c>
      <c r="O73" s="35" t="s">
        <v>12</v>
      </c>
    </row>
    <row r="74" spans="1:15" x14ac:dyDescent="0.25">
      <c r="A74" s="35">
        <v>1234987459</v>
      </c>
      <c r="B74" s="35" t="s">
        <v>4070</v>
      </c>
      <c r="C74" s="35">
        <v>2025</v>
      </c>
      <c r="D74" s="36">
        <v>45954.270115740743</v>
      </c>
      <c r="E74" s="37" t="s">
        <v>913</v>
      </c>
      <c r="F74" s="37" t="s">
        <v>4099</v>
      </c>
      <c r="G74" s="37" t="s">
        <v>3757</v>
      </c>
      <c r="H74" s="35" t="s">
        <v>3419</v>
      </c>
      <c r="I74" s="35" t="s">
        <v>3416</v>
      </c>
      <c r="J74" s="38">
        <v>24.28</v>
      </c>
      <c r="K74" s="35">
        <v>1</v>
      </c>
      <c r="L74" s="38">
        <f t="shared" si="1"/>
        <v>24.28</v>
      </c>
      <c r="M74" s="35" t="s">
        <v>48</v>
      </c>
      <c r="N74" s="38">
        <v>24.28</v>
      </c>
      <c r="O74" s="35" t="s">
        <v>12</v>
      </c>
    </row>
    <row r="75" spans="1:15" x14ac:dyDescent="0.25">
      <c r="A75" s="35">
        <v>1171530906</v>
      </c>
      <c r="B75" s="35" t="s">
        <v>4158</v>
      </c>
      <c r="C75" s="35">
        <v>2024</v>
      </c>
      <c r="D75" s="36">
        <v>45532.031770833331</v>
      </c>
      <c r="E75" s="37" t="s">
        <v>1975</v>
      </c>
      <c r="F75" s="37" t="s">
        <v>4896</v>
      </c>
      <c r="G75" s="37" t="s">
        <v>3973</v>
      </c>
      <c r="H75" s="35" t="s">
        <v>3419</v>
      </c>
      <c r="I75" s="35" t="s">
        <v>3416</v>
      </c>
      <c r="J75" s="38">
        <v>24.25</v>
      </c>
      <c r="K75" s="35">
        <v>1</v>
      </c>
      <c r="L75" s="38">
        <f t="shared" si="1"/>
        <v>24.25</v>
      </c>
      <c r="M75" s="35" t="s">
        <v>48</v>
      </c>
      <c r="N75" s="38">
        <v>24.25</v>
      </c>
      <c r="O75" s="35" t="s">
        <v>12</v>
      </c>
    </row>
    <row r="76" spans="1:15" ht="30" x14ac:dyDescent="0.25">
      <c r="A76" s="35">
        <v>1159437793</v>
      </c>
      <c r="B76" s="35" t="s">
        <v>3412</v>
      </c>
      <c r="C76" s="35">
        <v>2024</v>
      </c>
      <c r="D76" s="36">
        <v>45448.603530092594</v>
      </c>
      <c r="E76" s="37" t="s">
        <v>2315</v>
      </c>
      <c r="F76" s="37" t="s">
        <v>5056</v>
      </c>
      <c r="G76" s="37" t="s">
        <v>3927</v>
      </c>
      <c r="H76" s="35" t="s">
        <v>3419</v>
      </c>
      <c r="I76" s="35" t="s">
        <v>3416</v>
      </c>
      <c r="J76" s="38">
        <v>24.25</v>
      </c>
      <c r="K76" s="35">
        <v>1</v>
      </c>
      <c r="L76" s="38">
        <f t="shared" si="1"/>
        <v>24.25</v>
      </c>
      <c r="M76" s="35" t="s">
        <v>48</v>
      </c>
      <c r="N76" s="38">
        <v>24.25</v>
      </c>
      <c r="O76" s="35" t="s">
        <v>12</v>
      </c>
    </row>
    <row r="77" spans="1:15" x14ac:dyDescent="0.25">
      <c r="A77" s="35">
        <v>1169967614</v>
      </c>
      <c r="B77" s="35" t="s">
        <v>4158</v>
      </c>
      <c r="C77" s="35">
        <v>2024</v>
      </c>
      <c r="D77" s="36">
        <v>45535.031736111108</v>
      </c>
      <c r="E77" s="37" t="s">
        <v>2002</v>
      </c>
      <c r="F77" s="37" t="s">
        <v>4886</v>
      </c>
      <c r="G77" s="37" t="s">
        <v>4473</v>
      </c>
      <c r="H77" s="35" t="s">
        <v>3419</v>
      </c>
      <c r="I77" s="35" t="s">
        <v>3416</v>
      </c>
      <c r="J77" s="38">
        <v>12.1</v>
      </c>
      <c r="K77" s="35">
        <v>2</v>
      </c>
      <c r="L77" s="38">
        <f t="shared" si="1"/>
        <v>24.2</v>
      </c>
      <c r="M77" s="35" t="s">
        <v>48</v>
      </c>
      <c r="N77" s="38">
        <v>24.2</v>
      </c>
      <c r="O77" s="35" t="s">
        <v>12</v>
      </c>
    </row>
    <row r="78" spans="1:15" x14ac:dyDescent="0.25">
      <c r="A78" s="35">
        <v>1149091921</v>
      </c>
      <c r="B78" s="35" t="s">
        <v>3646</v>
      </c>
      <c r="C78" s="35">
        <v>2024</v>
      </c>
      <c r="D78" s="36">
        <v>45376.913287037038</v>
      </c>
      <c r="E78" s="37" t="s">
        <v>2572</v>
      </c>
      <c r="F78" s="37" t="s">
        <v>5168</v>
      </c>
      <c r="G78" s="37" t="s">
        <v>4063</v>
      </c>
      <c r="H78" s="35" t="s">
        <v>3419</v>
      </c>
      <c r="I78" s="35" t="s">
        <v>3416</v>
      </c>
      <c r="J78" s="38">
        <v>12.1</v>
      </c>
      <c r="K78" s="35">
        <v>2</v>
      </c>
      <c r="L78" s="38">
        <f t="shared" si="1"/>
        <v>24.2</v>
      </c>
      <c r="M78" s="35" t="s">
        <v>48</v>
      </c>
      <c r="N78" s="38">
        <v>24.2</v>
      </c>
      <c r="O78" s="35" t="s">
        <v>12</v>
      </c>
    </row>
    <row r="79" spans="1:15" x14ac:dyDescent="0.25">
      <c r="A79" s="35">
        <v>1234193549</v>
      </c>
      <c r="B79" s="35" t="s">
        <v>4070</v>
      </c>
      <c r="C79" s="35">
        <v>2025</v>
      </c>
      <c r="D79" s="36">
        <v>45944.331006944441</v>
      </c>
      <c r="E79" s="37" t="s">
        <v>929</v>
      </c>
      <c r="F79" s="37" t="s">
        <v>4099</v>
      </c>
      <c r="G79" s="37" t="s">
        <v>3757</v>
      </c>
      <c r="H79" s="35" t="s">
        <v>3419</v>
      </c>
      <c r="I79" s="35" t="s">
        <v>3416</v>
      </c>
      <c r="J79" s="38">
        <v>23.28</v>
      </c>
      <c r="K79" s="35">
        <v>1</v>
      </c>
      <c r="L79" s="38">
        <f t="shared" si="1"/>
        <v>23.28</v>
      </c>
      <c r="M79" s="35" t="s">
        <v>48</v>
      </c>
      <c r="N79" s="38">
        <v>23.28</v>
      </c>
      <c r="O79" s="35" t="s">
        <v>12</v>
      </c>
    </row>
    <row r="80" spans="1:15" x14ac:dyDescent="0.25">
      <c r="A80" s="35">
        <v>1232760932</v>
      </c>
      <c r="B80" s="35" t="s">
        <v>4070</v>
      </c>
      <c r="C80" s="35">
        <v>2025</v>
      </c>
      <c r="D80" s="36">
        <v>45932.675138888888</v>
      </c>
      <c r="E80" s="37" t="s">
        <v>943</v>
      </c>
      <c r="F80" s="37" t="s">
        <v>4099</v>
      </c>
      <c r="G80" s="37" t="s">
        <v>3757</v>
      </c>
      <c r="H80" s="35" t="s">
        <v>3419</v>
      </c>
      <c r="I80" s="35" t="s">
        <v>3530</v>
      </c>
      <c r="J80" s="38">
        <v>23.28</v>
      </c>
      <c r="K80" s="35">
        <v>1</v>
      </c>
      <c r="L80" s="38">
        <f t="shared" si="1"/>
        <v>23.28</v>
      </c>
      <c r="M80" s="35" t="s">
        <v>48</v>
      </c>
      <c r="N80" s="38">
        <v>23.28</v>
      </c>
      <c r="O80" s="35" t="s">
        <v>12</v>
      </c>
    </row>
    <row r="81" spans="1:15" x14ac:dyDescent="0.25">
      <c r="A81" s="35">
        <v>1166866080</v>
      </c>
      <c r="B81" s="35" t="s">
        <v>4199</v>
      </c>
      <c r="C81" s="35">
        <v>2024</v>
      </c>
      <c r="D81" s="36">
        <v>45496.939745370371</v>
      </c>
      <c r="E81" s="37" t="s">
        <v>2057</v>
      </c>
      <c r="F81" s="37" t="s">
        <v>4932</v>
      </c>
      <c r="G81" s="37" t="s">
        <v>3755</v>
      </c>
      <c r="H81" s="35" t="s">
        <v>3419</v>
      </c>
      <c r="I81" s="35" t="s">
        <v>3931</v>
      </c>
      <c r="J81" s="38">
        <v>7.7166666666666677</v>
      </c>
      <c r="K81" s="35">
        <v>3</v>
      </c>
      <c r="L81" s="38">
        <f t="shared" si="1"/>
        <v>23.150000000000002</v>
      </c>
      <c r="M81" s="35" t="s">
        <v>48</v>
      </c>
      <c r="N81" s="38">
        <v>23.150000000000002</v>
      </c>
      <c r="O81" s="35" t="s">
        <v>12</v>
      </c>
    </row>
    <row r="82" spans="1:15" x14ac:dyDescent="0.25">
      <c r="A82" s="35">
        <v>1187236864</v>
      </c>
      <c r="B82" s="35" t="s">
        <v>3890</v>
      </c>
      <c r="C82" s="35">
        <v>2024</v>
      </c>
      <c r="D82" s="36">
        <v>45653.02380787037</v>
      </c>
      <c r="E82" s="37" t="s">
        <v>1662</v>
      </c>
      <c r="F82" s="37" t="s">
        <v>4221</v>
      </c>
      <c r="G82" s="37" t="s">
        <v>1210</v>
      </c>
      <c r="H82" s="35" t="s">
        <v>3419</v>
      </c>
      <c r="I82" s="35" t="s">
        <v>3416</v>
      </c>
      <c r="J82" s="38">
        <v>11.559999999999999</v>
      </c>
      <c r="K82" s="35">
        <v>2</v>
      </c>
      <c r="L82" s="38">
        <f t="shared" si="1"/>
        <v>23.119999999999997</v>
      </c>
      <c r="M82" s="35" t="s">
        <v>48</v>
      </c>
      <c r="N82" s="38">
        <v>23.119999999999997</v>
      </c>
      <c r="O82" s="35" t="s">
        <v>12</v>
      </c>
    </row>
    <row r="83" spans="1:15" ht="30" x14ac:dyDescent="0.25">
      <c r="A83" s="35" t="s">
        <v>6184</v>
      </c>
      <c r="B83" s="35" t="s">
        <v>3890</v>
      </c>
      <c r="C83" s="35">
        <v>2022</v>
      </c>
      <c r="D83" s="36">
        <v>44905.799976851849</v>
      </c>
      <c r="E83" s="37" t="s">
        <v>4233</v>
      </c>
      <c r="F83" s="37" t="s">
        <v>6185</v>
      </c>
      <c r="G83" s="37" t="s">
        <v>3867</v>
      </c>
      <c r="H83" s="35" t="s">
        <v>3415</v>
      </c>
      <c r="I83" s="35" t="s">
        <v>3453</v>
      </c>
      <c r="J83" s="38">
        <v>5.6889034322280398</v>
      </c>
      <c r="K83" s="35">
        <v>4</v>
      </c>
      <c r="L83" s="38">
        <f t="shared" si="1"/>
        <v>22.755613728912159</v>
      </c>
      <c r="M83" s="35" t="s">
        <v>48</v>
      </c>
      <c r="N83" s="38">
        <v>22.755613728912159</v>
      </c>
      <c r="O83" s="35" t="s">
        <v>12</v>
      </c>
    </row>
    <row r="84" spans="1:15" x14ac:dyDescent="0.25">
      <c r="A84" s="35">
        <v>1238778886</v>
      </c>
      <c r="B84" s="35" t="s">
        <v>3968</v>
      </c>
      <c r="C84" s="35">
        <v>2025</v>
      </c>
      <c r="D84" s="36">
        <v>45975.66851851852</v>
      </c>
      <c r="E84" s="37" t="s">
        <v>821</v>
      </c>
      <c r="F84" s="37" t="s">
        <v>4026</v>
      </c>
      <c r="G84" s="37" t="s">
        <v>3694</v>
      </c>
      <c r="H84" s="35" t="s">
        <v>3419</v>
      </c>
      <c r="I84" s="35" t="s">
        <v>3416</v>
      </c>
      <c r="J84" s="38">
        <v>11.174999999999999</v>
      </c>
      <c r="K84" s="35">
        <v>2</v>
      </c>
      <c r="L84" s="38">
        <f t="shared" si="1"/>
        <v>22.349999999999998</v>
      </c>
      <c r="M84" s="35" t="s">
        <v>48</v>
      </c>
      <c r="N84" s="38">
        <v>22.349999999999998</v>
      </c>
      <c r="O84" s="35" t="s">
        <v>12</v>
      </c>
    </row>
    <row r="85" spans="1:15" x14ac:dyDescent="0.25">
      <c r="A85" s="35">
        <v>1190024451</v>
      </c>
      <c r="B85" s="35" t="s">
        <v>3761</v>
      </c>
      <c r="C85" s="35">
        <v>2025</v>
      </c>
      <c r="D85" s="36">
        <v>45662.387569444443</v>
      </c>
      <c r="E85" s="37" t="s">
        <v>1590</v>
      </c>
      <c r="F85" s="37" t="s">
        <v>4573</v>
      </c>
      <c r="G85" s="37" t="s">
        <v>3879</v>
      </c>
      <c r="H85" s="35" t="s">
        <v>3419</v>
      </c>
      <c r="I85" s="35" t="s">
        <v>3416</v>
      </c>
      <c r="J85" s="38">
        <v>11.174999999999999</v>
      </c>
      <c r="K85" s="35">
        <v>2</v>
      </c>
      <c r="L85" s="38">
        <f t="shared" si="1"/>
        <v>22.349999999999998</v>
      </c>
      <c r="M85" s="35" t="s">
        <v>48</v>
      </c>
      <c r="N85" s="38">
        <v>22.349999999999998</v>
      </c>
      <c r="O85" s="35" t="s">
        <v>12</v>
      </c>
    </row>
    <row r="86" spans="1:15" x14ac:dyDescent="0.25">
      <c r="A86" s="35">
        <v>1241565486</v>
      </c>
      <c r="B86" s="35" t="s">
        <v>3968</v>
      </c>
      <c r="C86" s="35">
        <v>2025</v>
      </c>
      <c r="D86" s="36">
        <v>45985.641527777778</v>
      </c>
      <c r="E86" s="37" t="s">
        <v>751</v>
      </c>
      <c r="F86" s="37" t="s">
        <v>3981</v>
      </c>
      <c r="G86" s="37" t="s">
        <v>3729</v>
      </c>
      <c r="H86" s="35" t="s">
        <v>3415</v>
      </c>
      <c r="I86" s="35" t="s">
        <v>3416</v>
      </c>
      <c r="J86" s="38">
        <v>5.5625</v>
      </c>
      <c r="K86" s="35">
        <v>4</v>
      </c>
      <c r="L86" s="38">
        <f t="shared" si="1"/>
        <v>22.25</v>
      </c>
      <c r="M86" s="35" t="s">
        <v>48</v>
      </c>
      <c r="N86" s="38">
        <v>22.25</v>
      </c>
      <c r="O86" s="35" t="s">
        <v>12</v>
      </c>
    </row>
    <row r="87" spans="1:15" x14ac:dyDescent="0.25">
      <c r="A87" s="35">
        <v>1209236015</v>
      </c>
      <c r="B87" s="35" t="s">
        <v>3527</v>
      </c>
      <c r="C87" s="35">
        <v>2025</v>
      </c>
      <c r="D87" s="36">
        <v>45778.075729166667</v>
      </c>
      <c r="E87" s="37" t="s">
        <v>1223</v>
      </c>
      <c r="F87" s="37" t="s">
        <v>4346</v>
      </c>
      <c r="G87" s="37" t="s">
        <v>3674</v>
      </c>
      <c r="H87" s="35" t="s">
        <v>3415</v>
      </c>
      <c r="I87" s="35" t="s">
        <v>3416</v>
      </c>
      <c r="J87" s="38">
        <v>5.5625</v>
      </c>
      <c r="K87" s="35">
        <v>4</v>
      </c>
      <c r="L87" s="38">
        <f t="shared" si="1"/>
        <v>22.25</v>
      </c>
      <c r="M87" s="35" t="s">
        <v>48</v>
      </c>
      <c r="N87" s="38">
        <v>22.25</v>
      </c>
      <c r="O87" s="35" t="s">
        <v>12</v>
      </c>
    </row>
    <row r="88" spans="1:15" ht="30" x14ac:dyDescent="0.25">
      <c r="A88" s="35" t="s">
        <v>6063</v>
      </c>
      <c r="B88" s="35" t="s">
        <v>3646</v>
      </c>
      <c r="C88" s="35">
        <v>2023</v>
      </c>
      <c r="D88" s="36">
        <v>45000.0783912037</v>
      </c>
      <c r="E88" s="37" t="s">
        <v>4233</v>
      </c>
      <c r="F88" s="37" t="s">
        <v>4515</v>
      </c>
      <c r="G88" s="37" t="s">
        <v>3666</v>
      </c>
      <c r="H88" s="35" t="s">
        <v>3419</v>
      </c>
      <c r="I88" s="35" t="s">
        <v>3453</v>
      </c>
      <c r="J88" s="38">
        <v>11.07</v>
      </c>
      <c r="K88" s="35">
        <v>2</v>
      </c>
      <c r="L88" s="38">
        <f t="shared" si="1"/>
        <v>22.14</v>
      </c>
      <c r="M88" s="35" t="s">
        <v>48</v>
      </c>
      <c r="N88" s="38">
        <v>22.14</v>
      </c>
      <c r="O88" s="35" t="s">
        <v>12</v>
      </c>
    </row>
    <row r="89" spans="1:15" ht="30" x14ac:dyDescent="0.25">
      <c r="A89" s="35">
        <v>1124619405</v>
      </c>
      <c r="B89" s="35" t="s">
        <v>4132</v>
      </c>
      <c r="C89" s="35">
        <v>2023</v>
      </c>
      <c r="D89" s="36">
        <v>45175.778796296298</v>
      </c>
      <c r="E89" s="37" t="s">
        <v>2908</v>
      </c>
      <c r="F89" s="37" t="s">
        <v>5645</v>
      </c>
      <c r="G89" s="37" t="s">
        <v>3520</v>
      </c>
      <c r="H89" s="35" t="s">
        <v>3419</v>
      </c>
      <c r="I89" s="35" t="s">
        <v>3416</v>
      </c>
      <c r="J89" s="38">
        <v>22.05</v>
      </c>
      <c r="K89" s="35">
        <v>1</v>
      </c>
      <c r="L89" s="38">
        <f t="shared" si="1"/>
        <v>22.05</v>
      </c>
      <c r="M89" s="35" t="s">
        <v>48</v>
      </c>
      <c r="N89" s="38">
        <v>22.05</v>
      </c>
      <c r="O89" s="35" t="s">
        <v>12</v>
      </c>
    </row>
    <row r="90" spans="1:15" x14ac:dyDescent="0.25">
      <c r="A90" s="35">
        <v>1164617239</v>
      </c>
      <c r="B90" s="35" t="s">
        <v>4199</v>
      </c>
      <c r="C90" s="35">
        <v>2024</v>
      </c>
      <c r="D90" s="36">
        <v>45486.496400462966</v>
      </c>
      <c r="E90" s="37" t="s">
        <v>2135</v>
      </c>
      <c r="F90" s="37" t="s">
        <v>4957</v>
      </c>
      <c r="G90" s="37" t="s">
        <v>3621</v>
      </c>
      <c r="H90" s="35" t="s">
        <v>3419</v>
      </c>
      <c r="I90" s="35" t="s">
        <v>3416</v>
      </c>
      <c r="J90" s="38">
        <v>21.873792825473597</v>
      </c>
      <c r="K90" s="35">
        <v>1</v>
      </c>
      <c r="L90" s="38">
        <f t="shared" si="1"/>
        <v>21.873792825473597</v>
      </c>
      <c r="M90" s="35" t="s">
        <v>48</v>
      </c>
      <c r="N90" s="38">
        <v>21.873792825473597</v>
      </c>
      <c r="O90" s="35" t="s">
        <v>12</v>
      </c>
    </row>
    <row r="91" spans="1:15" x14ac:dyDescent="0.25">
      <c r="A91" s="35">
        <v>1257556326</v>
      </c>
      <c r="B91" s="35" t="s">
        <v>3721</v>
      </c>
      <c r="C91" s="35">
        <v>2026</v>
      </c>
      <c r="D91" s="36">
        <v>46068.356817129628</v>
      </c>
      <c r="E91" s="37" t="s">
        <v>380</v>
      </c>
      <c r="F91" s="37" t="s">
        <v>3741</v>
      </c>
      <c r="G91" s="37" t="s">
        <v>3742</v>
      </c>
      <c r="H91" s="35" t="s">
        <v>3419</v>
      </c>
      <c r="I91" s="35" t="s">
        <v>3640</v>
      </c>
      <c r="J91" s="38">
        <v>10.674999999999999</v>
      </c>
      <c r="K91" s="35">
        <v>2</v>
      </c>
      <c r="L91" s="38">
        <f t="shared" si="1"/>
        <v>21.349999999999998</v>
      </c>
      <c r="M91" s="35" t="s">
        <v>48</v>
      </c>
      <c r="N91" s="38">
        <v>21.349999999999998</v>
      </c>
      <c r="O91" s="35" t="s">
        <v>12</v>
      </c>
    </row>
    <row r="92" spans="1:15" x14ac:dyDescent="0.25">
      <c r="A92" s="35">
        <v>1185794477</v>
      </c>
      <c r="B92" s="35" t="s">
        <v>3890</v>
      </c>
      <c r="C92" s="35">
        <v>2024</v>
      </c>
      <c r="D92" s="36">
        <v>45632.420266203713</v>
      </c>
      <c r="E92" s="37" t="s">
        <v>1695</v>
      </c>
      <c r="F92" s="37" t="s">
        <v>4741</v>
      </c>
      <c r="G92" s="37" t="s">
        <v>3790</v>
      </c>
      <c r="H92" s="35" t="s">
        <v>3419</v>
      </c>
      <c r="I92" s="35" t="s">
        <v>3416</v>
      </c>
      <c r="J92" s="38">
        <v>21.169999999999998</v>
      </c>
      <c r="K92" s="35">
        <v>1</v>
      </c>
      <c r="L92" s="38">
        <f t="shared" si="1"/>
        <v>21.169999999999998</v>
      </c>
      <c r="M92" s="35" t="s">
        <v>48</v>
      </c>
      <c r="N92" s="38">
        <v>21.169999999999998</v>
      </c>
      <c r="O92" s="35" t="s">
        <v>12</v>
      </c>
    </row>
    <row r="93" spans="1:15" x14ac:dyDescent="0.25">
      <c r="A93" s="35">
        <v>1157350742</v>
      </c>
      <c r="B93" s="35" t="s">
        <v>3527</v>
      </c>
      <c r="C93" s="35">
        <v>2024</v>
      </c>
      <c r="D93" s="36">
        <v>45433.562152777777</v>
      </c>
      <c r="E93" s="37" t="s">
        <v>2373</v>
      </c>
      <c r="F93" s="37" t="s">
        <v>5071</v>
      </c>
      <c r="G93" s="37" t="s">
        <v>4156</v>
      </c>
      <c r="H93" s="35" t="s">
        <v>3419</v>
      </c>
      <c r="I93" s="35" t="s">
        <v>3416</v>
      </c>
      <c r="J93" s="38">
        <v>10.559999999999999</v>
      </c>
      <c r="K93" s="35">
        <v>2</v>
      </c>
      <c r="L93" s="38">
        <f t="shared" si="1"/>
        <v>21.119999999999997</v>
      </c>
      <c r="M93" s="35" t="s">
        <v>48</v>
      </c>
      <c r="N93" s="38">
        <v>21.119999999999997</v>
      </c>
      <c r="O93" s="35" t="s">
        <v>12</v>
      </c>
    </row>
    <row r="94" spans="1:15" ht="30" x14ac:dyDescent="0.25">
      <c r="A94" s="35">
        <v>1188485592</v>
      </c>
      <c r="B94" s="35" t="s">
        <v>3761</v>
      </c>
      <c r="C94" s="35">
        <v>2025</v>
      </c>
      <c r="D94" s="36">
        <v>45669.963553240741</v>
      </c>
      <c r="E94" s="37" t="s">
        <v>1622</v>
      </c>
      <c r="F94" s="37" t="s">
        <v>4672</v>
      </c>
      <c r="G94" s="37" t="s">
        <v>3520</v>
      </c>
      <c r="H94" s="35" t="s">
        <v>3415</v>
      </c>
      <c r="I94" s="35" t="s">
        <v>3416</v>
      </c>
      <c r="J94" s="38">
        <v>5.2549999999999999</v>
      </c>
      <c r="K94" s="35">
        <v>4</v>
      </c>
      <c r="L94" s="38">
        <f t="shared" si="1"/>
        <v>21.02</v>
      </c>
      <c r="M94" s="35" t="s">
        <v>48</v>
      </c>
      <c r="N94" s="38">
        <v>21.02</v>
      </c>
      <c r="O94" s="35" t="s">
        <v>12</v>
      </c>
    </row>
    <row r="95" spans="1:15" x14ac:dyDescent="0.25">
      <c r="A95" s="35">
        <v>1240764273</v>
      </c>
      <c r="B95" s="35" t="s">
        <v>3968</v>
      </c>
      <c r="C95" s="35">
        <v>2025</v>
      </c>
      <c r="D95" s="36">
        <v>45973.018113425933</v>
      </c>
      <c r="E95" s="37" t="s">
        <v>380</v>
      </c>
      <c r="F95" s="37" t="s">
        <v>4033</v>
      </c>
      <c r="G95" s="37" t="s">
        <v>3643</v>
      </c>
      <c r="H95" s="35" t="s">
        <v>3415</v>
      </c>
      <c r="I95" s="35" t="s">
        <v>3416</v>
      </c>
      <c r="J95" s="38">
        <v>5.2324999999999999</v>
      </c>
      <c r="K95" s="35">
        <v>4</v>
      </c>
      <c r="L95" s="38">
        <f t="shared" si="1"/>
        <v>20.93</v>
      </c>
      <c r="M95" s="35" t="s">
        <v>48</v>
      </c>
      <c r="N95" s="38">
        <v>20.93</v>
      </c>
      <c r="O95" s="35" t="s">
        <v>12</v>
      </c>
    </row>
    <row r="96" spans="1:15" ht="30" x14ac:dyDescent="0.25">
      <c r="A96" s="35" t="s">
        <v>5677</v>
      </c>
      <c r="B96" s="35" t="s">
        <v>4199</v>
      </c>
      <c r="C96" s="35">
        <v>2023</v>
      </c>
      <c r="D96" s="36">
        <v>45133.372870370367</v>
      </c>
      <c r="E96" s="37" t="s">
        <v>4233</v>
      </c>
      <c r="F96" s="37" t="s">
        <v>4524</v>
      </c>
      <c r="G96" s="37" t="s">
        <v>3658</v>
      </c>
      <c r="H96" s="35" t="s">
        <v>3415</v>
      </c>
      <c r="I96" s="35" t="s">
        <v>3416</v>
      </c>
      <c r="J96" s="38">
        <v>5.1349999999999998</v>
      </c>
      <c r="K96" s="35">
        <v>4</v>
      </c>
      <c r="L96" s="38">
        <f t="shared" si="1"/>
        <v>20.54</v>
      </c>
      <c r="M96" s="35" t="s">
        <v>48</v>
      </c>
      <c r="N96" s="38">
        <v>20.54</v>
      </c>
      <c r="O96" s="35" t="s">
        <v>12</v>
      </c>
    </row>
    <row r="97" spans="1:15" x14ac:dyDescent="0.25">
      <c r="A97" s="35" t="s">
        <v>1068</v>
      </c>
      <c r="B97" s="35" t="s">
        <v>4199</v>
      </c>
      <c r="C97" s="35">
        <v>2025</v>
      </c>
      <c r="D97" s="36">
        <v>45846</v>
      </c>
      <c r="E97" s="37" t="s">
        <v>1069</v>
      </c>
      <c r="F97" s="37" t="s">
        <v>4231</v>
      </c>
      <c r="G97" s="37" t="s">
        <v>3889</v>
      </c>
      <c r="H97" s="35" t="s">
        <v>3419</v>
      </c>
      <c r="I97" s="35" t="s">
        <v>3453</v>
      </c>
      <c r="J97" s="38">
        <v>20</v>
      </c>
      <c r="K97" s="35">
        <v>1</v>
      </c>
      <c r="L97" s="38">
        <f t="shared" si="1"/>
        <v>20</v>
      </c>
      <c r="M97" s="35" t="s">
        <v>48</v>
      </c>
      <c r="N97" s="38">
        <v>20</v>
      </c>
      <c r="O97" s="35" t="s">
        <v>12</v>
      </c>
    </row>
    <row r="98" spans="1:15" x14ac:dyDescent="0.25">
      <c r="A98" s="35">
        <v>1158670738</v>
      </c>
      <c r="B98" s="35" t="s">
        <v>3412</v>
      </c>
      <c r="C98" s="35">
        <v>2024</v>
      </c>
      <c r="D98" s="36">
        <v>45447.532118055555</v>
      </c>
      <c r="E98" s="37" t="s">
        <v>2335</v>
      </c>
      <c r="F98" s="37" t="s">
        <v>5058</v>
      </c>
      <c r="G98" s="37" t="s">
        <v>3682</v>
      </c>
      <c r="H98" s="35" t="s">
        <v>3419</v>
      </c>
      <c r="I98" s="35" t="s">
        <v>3416</v>
      </c>
      <c r="J98" s="38">
        <v>6.5250000000000012</v>
      </c>
      <c r="K98" s="35">
        <v>3</v>
      </c>
      <c r="L98" s="38">
        <f t="shared" si="1"/>
        <v>19.575000000000003</v>
      </c>
      <c r="M98" s="35" t="s">
        <v>48</v>
      </c>
      <c r="N98" s="38">
        <v>19.575000000000003</v>
      </c>
      <c r="O98" s="35" t="s">
        <v>12</v>
      </c>
    </row>
    <row r="99" spans="1:15" x14ac:dyDescent="0.25">
      <c r="A99" s="35">
        <v>1239427732</v>
      </c>
      <c r="B99" s="35" t="s">
        <v>3968</v>
      </c>
      <c r="C99" s="35">
        <v>2025</v>
      </c>
      <c r="D99" s="36">
        <v>45974.664027777777</v>
      </c>
      <c r="E99" s="37" t="s">
        <v>814</v>
      </c>
      <c r="F99" s="37" t="s">
        <v>3671</v>
      </c>
      <c r="G99" s="37" t="s">
        <v>3672</v>
      </c>
      <c r="H99" s="35" t="s">
        <v>3415</v>
      </c>
      <c r="I99" s="35" t="s">
        <v>3416</v>
      </c>
      <c r="J99" s="38">
        <v>4.8324999999999996</v>
      </c>
      <c r="K99" s="35">
        <v>4</v>
      </c>
      <c r="L99" s="38">
        <f t="shared" si="1"/>
        <v>19.329999999999998</v>
      </c>
      <c r="M99" s="35" t="s">
        <v>48</v>
      </c>
      <c r="N99" s="38">
        <v>19.329999999999998</v>
      </c>
      <c r="O99" s="35" t="s">
        <v>12</v>
      </c>
    </row>
    <row r="100" spans="1:15" x14ac:dyDescent="0.25">
      <c r="A100" s="35">
        <v>1240558130</v>
      </c>
      <c r="B100" s="35" t="s">
        <v>3968</v>
      </c>
      <c r="C100" s="35">
        <v>2025</v>
      </c>
      <c r="D100" s="36">
        <v>45978.647916666669</v>
      </c>
      <c r="E100" s="37" t="s">
        <v>772</v>
      </c>
      <c r="F100" s="37" t="s">
        <v>4015</v>
      </c>
      <c r="G100" s="37" t="s">
        <v>3621</v>
      </c>
      <c r="H100" s="35" t="s">
        <v>3419</v>
      </c>
      <c r="I100" s="35" t="s">
        <v>3416</v>
      </c>
      <c r="J100" s="38">
        <v>19.28</v>
      </c>
      <c r="K100" s="35">
        <v>1</v>
      </c>
      <c r="L100" s="38">
        <f t="shared" si="1"/>
        <v>19.28</v>
      </c>
      <c r="M100" s="35" t="s">
        <v>48</v>
      </c>
      <c r="N100" s="38">
        <v>19.28</v>
      </c>
      <c r="O100" s="35" t="s">
        <v>12</v>
      </c>
    </row>
    <row r="101" spans="1:15" x14ac:dyDescent="0.25">
      <c r="A101" s="35">
        <v>1149817880</v>
      </c>
      <c r="B101" s="35" t="s">
        <v>3646</v>
      </c>
      <c r="C101" s="35">
        <v>2024</v>
      </c>
      <c r="D101" s="36">
        <v>45368.902499999997</v>
      </c>
      <c r="E101" s="37" t="s">
        <v>2553</v>
      </c>
      <c r="F101" s="37" t="s">
        <v>5180</v>
      </c>
      <c r="G101" s="37" t="s">
        <v>3925</v>
      </c>
      <c r="H101" s="35" t="s">
        <v>3419</v>
      </c>
      <c r="I101" s="35" t="s">
        <v>3416</v>
      </c>
      <c r="J101" s="38">
        <v>19.169999999999998</v>
      </c>
      <c r="K101" s="35">
        <v>1</v>
      </c>
      <c r="L101" s="38">
        <f t="shared" si="1"/>
        <v>19.169999999999998</v>
      </c>
      <c r="M101" s="35" t="s">
        <v>48</v>
      </c>
      <c r="N101" s="38">
        <v>19.169999999999998</v>
      </c>
      <c r="O101" s="35" t="s">
        <v>12</v>
      </c>
    </row>
    <row r="102" spans="1:15" x14ac:dyDescent="0.25">
      <c r="A102" s="35">
        <v>1156606050</v>
      </c>
      <c r="B102" s="35" t="s">
        <v>3527</v>
      </c>
      <c r="C102" s="35">
        <v>2024</v>
      </c>
      <c r="D102" s="36">
        <v>45429.9219212963</v>
      </c>
      <c r="E102" s="37" t="s">
        <v>2403</v>
      </c>
      <c r="F102" s="37" t="s">
        <v>5077</v>
      </c>
      <c r="G102" s="37" t="s">
        <v>3658</v>
      </c>
      <c r="H102" s="35" t="s">
        <v>3419</v>
      </c>
      <c r="I102" s="35" t="s">
        <v>3416</v>
      </c>
      <c r="J102" s="38">
        <v>9.4736930455635484</v>
      </c>
      <c r="K102" s="35">
        <v>2</v>
      </c>
      <c r="L102" s="38">
        <f t="shared" si="1"/>
        <v>18.947386091127097</v>
      </c>
      <c r="M102" s="35" t="s">
        <v>48</v>
      </c>
      <c r="N102" s="38">
        <v>18.947386091127097</v>
      </c>
      <c r="O102" s="35" t="s">
        <v>12</v>
      </c>
    </row>
    <row r="103" spans="1:15" x14ac:dyDescent="0.25">
      <c r="A103" s="35" t="s">
        <v>6292</v>
      </c>
      <c r="B103" s="35" t="s">
        <v>3968</v>
      </c>
      <c r="C103" s="35">
        <v>2022</v>
      </c>
      <c r="D103" s="36">
        <v>44868.428043981483</v>
      </c>
      <c r="E103" s="35" t="s">
        <v>4233</v>
      </c>
      <c r="F103" s="43" t="s">
        <v>4936</v>
      </c>
      <c r="G103" s="43" t="s">
        <v>4268</v>
      </c>
      <c r="H103" s="35" t="s">
        <v>3419</v>
      </c>
      <c r="I103" s="35" t="s">
        <v>3530</v>
      </c>
      <c r="J103" s="38">
        <v>6.2029122414756834</v>
      </c>
      <c r="K103" s="35">
        <v>3</v>
      </c>
      <c r="L103" s="38">
        <f t="shared" si="1"/>
        <v>18.60873672442705</v>
      </c>
      <c r="M103" s="35" t="s">
        <v>48</v>
      </c>
      <c r="N103" s="38">
        <v>18.60873672442705</v>
      </c>
      <c r="O103" s="35" t="s">
        <v>12</v>
      </c>
    </row>
    <row r="104" spans="1:15" x14ac:dyDescent="0.25">
      <c r="A104" s="35">
        <v>1213506976</v>
      </c>
      <c r="B104" s="35" t="s">
        <v>3527</v>
      </c>
      <c r="C104" s="35">
        <v>2025</v>
      </c>
      <c r="D104" s="36">
        <v>45805.782025462962</v>
      </c>
      <c r="E104" s="37" t="s">
        <v>1165</v>
      </c>
      <c r="F104" s="37" t="s">
        <v>4289</v>
      </c>
      <c r="G104" s="37" t="s">
        <v>3551</v>
      </c>
      <c r="H104" s="35" t="s">
        <v>3419</v>
      </c>
      <c r="I104" s="35" t="s">
        <v>3453</v>
      </c>
      <c r="J104" s="38">
        <v>18.399999999999999</v>
      </c>
      <c r="K104" s="35">
        <v>1</v>
      </c>
      <c r="L104" s="38">
        <f t="shared" si="1"/>
        <v>18.399999999999999</v>
      </c>
      <c r="M104" s="35" t="s">
        <v>48</v>
      </c>
      <c r="N104" s="38">
        <v>18.399999999999999</v>
      </c>
      <c r="O104" s="35" t="s">
        <v>12</v>
      </c>
    </row>
    <row r="105" spans="1:15" x14ac:dyDescent="0.25">
      <c r="A105" s="35">
        <v>1199135567</v>
      </c>
      <c r="B105" s="35" t="s">
        <v>3646</v>
      </c>
      <c r="C105" s="35">
        <v>2025</v>
      </c>
      <c r="D105" s="36">
        <v>45721.911215277774</v>
      </c>
      <c r="E105" s="37" t="s">
        <v>1408</v>
      </c>
      <c r="F105" s="37" t="s">
        <v>4218</v>
      </c>
      <c r="G105" s="37" t="s">
        <v>3694</v>
      </c>
      <c r="H105" s="35" t="s">
        <v>3419</v>
      </c>
      <c r="I105" s="35" t="s">
        <v>3416</v>
      </c>
      <c r="J105" s="38">
        <v>18.399999999999999</v>
      </c>
      <c r="K105" s="35">
        <v>1</v>
      </c>
      <c r="L105" s="38">
        <f t="shared" si="1"/>
        <v>18.399999999999999</v>
      </c>
      <c r="M105" s="35" t="s">
        <v>48</v>
      </c>
      <c r="N105" s="38">
        <v>18.399999999999999</v>
      </c>
      <c r="O105" s="35" t="s">
        <v>12</v>
      </c>
    </row>
    <row r="106" spans="1:15" x14ac:dyDescent="0.25">
      <c r="A106" s="35">
        <v>1148670200</v>
      </c>
      <c r="B106" s="35" t="s">
        <v>3646</v>
      </c>
      <c r="C106" s="35">
        <v>2024</v>
      </c>
      <c r="D106" s="36">
        <v>45359.574745370373</v>
      </c>
      <c r="E106" s="37" t="s">
        <v>2581</v>
      </c>
      <c r="F106" s="37" t="s">
        <v>5188</v>
      </c>
      <c r="G106" s="37" t="s">
        <v>5189</v>
      </c>
      <c r="H106" s="35" t="s">
        <v>3419</v>
      </c>
      <c r="I106" s="35" t="s">
        <v>3416</v>
      </c>
      <c r="J106" s="38">
        <v>18.29</v>
      </c>
      <c r="K106" s="35">
        <v>1</v>
      </c>
      <c r="L106" s="38">
        <f t="shared" si="1"/>
        <v>18.29</v>
      </c>
      <c r="M106" s="35" t="s">
        <v>48</v>
      </c>
      <c r="N106" s="38">
        <v>18.29</v>
      </c>
      <c r="O106" s="35" t="s">
        <v>12</v>
      </c>
    </row>
    <row r="107" spans="1:15" x14ac:dyDescent="0.25">
      <c r="A107" s="35">
        <v>1224460562</v>
      </c>
      <c r="B107" s="35" t="s">
        <v>4158</v>
      </c>
      <c r="C107" s="35">
        <v>2025</v>
      </c>
      <c r="D107" s="36">
        <v>45883.427349537036</v>
      </c>
      <c r="E107" s="37" t="s">
        <v>1002</v>
      </c>
      <c r="F107" s="37" t="s">
        <v>4171</v>
      </c>
      <c r="G107" s="37" t="s">
        <v>3619</v>
      </c>
      <c r="H107" s="35" t="s">
        <v>3419</v>
      </c>
      <c r="I107" s="35" t="s">
        <v>3530</v>
      </c>
      <c r="J107" s="38">
        <v>18.28</v>
      </c>
      <c r="K107" s="35">
        <v>1</v>
      </c>
      <c r="L107" s="38">
        <f t="shared" si="1"/>
        <v>18.28</v>
      </c>
      <c r="M107" s="35" t="s">
        <v>48</v>
      </c>
      <c r="N107" s="38">
        <v>18.28</v>
      </c>
      <c r="O107" s="35" t="s">
        <v>12</v>
      </c>
    </row>
    <row r="108" spans="1:15" x14ac:dyDescent="0.25">
      <c r="A108" s="35">
        <v>1249777080</v>
      </c>
      <c r="B108" s="35" t="s">
        <v>3761</v>
      </c>
      <c r="C108" s="35">
        <v>2026</v>
      </c>
      <c r="D108" s="36">
        <v>46045.606759259259</v>
      </c>
      <c r="E108" s="37" t="s">
        <v>465</v>
      </c>
      <c r="F108" s="37" t="s">
        <v>3784</v>
      </c>
      <c r="G108" s="37" t="s">
        <v>3694</v>
      </c>
      <c r="H108" s="35" t="s">
        <v>3419</v>
      </c>
      <c r="I108" s="35" t="s">
        <v>3453</v>
      </c>
      <c r="J108" s="38">
        <v>18</v>
      </c>
      <c r="K108" s="35">
        <v>1</v>
      </c>
      <c r="L108" s="38">
        <f t="shared" si="1"/>
        <v>18</v>
      </c>
      <c r="M108" s="35" t="s">
        <v>48</v>
      </c>
      <c r="N108" s="38">
        <v>18</v>
      </c>
      <c r="O108" s="35" t="s">
        <v>12</v>
      </c>
    </row>
    <row r="109" spans="1:15" x14ac:dyDescent="0.25">
      <c r="A109" s="35" t="s">
        <v>1068</v>
      </c>
      <c r="B109" s="35" t="s">
        <v>4199</v>
      </c>
      <c r="C109" s="35">
        <v>2025</v>
      </c>
      <c r="D109" s="36">
        <v>45846</v>
      </c>
      <c r="E109" s="37" t="s">
        <v>1069</v>
      </c>
      <c r="F109" s="37" t="s">
        <v>4229</v>
      </c>
      <c r="G109" s="37" t="s">
        <v>3643</v>
      </c>
      <c r="H109" s="35" t="s">
        <v>3419</v>
      </c>
      <c r="I109" s="35" t="s">
        <v>3453</v>
      </c>
      <c r="J109" s="38">
        <v>4.5</v>
      </c>
      <c r="K109" s="35">
        <v>4</v>
      </c>
      <c r="L109" s="38">
        <f t="shared" si="1"/>
        <v>18</v>
      </c>
      <c r="M109" s="35" t="s">
        <v>48</v>
      </c>
      <c r="N109" s="38">
        <v>18</v>
      </c>
      <c r="O109" s="35" t="s">
        <v>12</v>
      </c>
    </row>
    <row r="110" spans="1:15" x14ac:dyDescent="0.25">
      <c r="A110" s="35" t="s">
        <v>6333</v>
      </c>
      <c r="B110" s="35" t="s">
        <v>4070</v>
      </c>
      <c r="C110" s="35">
        <v>2022</v>
      </c>
      <c r="D110" s="36">
        <v>44860.799166666657</v>
      </c>
      <c r="E110" s="35" t="s">
        <v>4233</v>
      </c>
      <c r="F110" s="43" t="s">
        <v>4618</v>
      </c>
      <c r="G110" s="43" t="s">
        <v>6334</v>
      </c>
      <c r="H110" s="35" t="s">
        <v>3419</v>
      </c>
      <c r="I110" s="35" t="s">
        <v>3416</v>
      </c>
      <c r="J110" s="38">
        <v>5.8999999999999995</v>
      </c>
      <c r="K110" s="35">
        <v>3</v>
      </c>
      <c r="L110" s="38">
        <f t="shared" si="1"/>
        <v>17.7</v>
      </c>
      <c r="M110" s="35" t="s">
        <v>48</v>
      </c>
      <c r="N110" s="38">
        <v>17.7</v>
      </c>
      <c r="O110" s="35" t="s">
        <v>12</v>
      </c>
    </row>
    <row r="111" spans="1:15" x14ac:dyDescent="0.25">
      <c r="A111" s="35">
        <v>1215387351</v>
      </c>
      <c r="B111" s="35" t="s">
        <v>3412</v>
      </c>
      <c r="C111" s="35">
        <v>2025</v>
      </c>
      <c r="D111" s="36">
        <v>45817.954895833333</v>
      </c>
      <c r="E111" s="37" t="s">
        <v>1139</v>
      </c>
      <c r="F111" s="37" t="s">
        <v>4289</v>
      </c>
      <c r="G111" s="37" t="s">
        <v>3551</v>
      </c>
      <c r="H111" s="35" t="s">
        <v>3419</v>
      </c>
      <c r="I111" s="35" t="s">
        <v>3453</v>
      </c>
      <c r="J111" s="38">
        <v>17.28</v>
      </c>
      <c r="K111" s="35">
        <v>1</v>
      </c>
      <c r="L111" s="38">
        <f t="shared" si="1"/>
        <v>17.28</v>
      </c>
      <c r="M111" s="35" t="s">
        <v>48</v>
      </c>
      <c r="N111" s="38">
        <v>17.28</v>
      </c>
      <c r="O111" s="35" t="s">
        <v>12</v>
      </c>
    </row>
    <row r="112" spans="1:15" x14ac:dyDescent="0.25">
      <c r="A112" s="35">
        <v>1213285311</v>
      </c>
      <c r="B112" s="35" t="s">
        <v>3527</v>
      </c>
      <c r="C112" s="35">
        <v>2025</v>
      </c>
      <c r="D112" s="36">
        <v>45804.516030092593</v>
      </c>
      <c r="E112" s="37" t="s">
        <v>1170</v>
      </c>
      <c r="F112" s="37" t="s">
        <v>4289</v>
      </c>
      <c r="G112" s="37" t="s">
        <v>3551</v>
      </c>
      <c r="H112" s="35" t="s">
        <v>3419</v>
      </c>
      <c r="I112" s="35" t="s">
        <v>3453</v>
      </c>
      <c r="J112" s="38">
        <v>17.28</v>
      </c>
      <c r="K112" s="35">
        <v>1</v>
      </c>
      <c r="L112" s="38">
        <f t="shared" si="1"/>
        <v>17.28</v>
      </c>
      <c r="M112" s="35" t="s">
        <v>48</v>
      </c>
      <c r="N112" s="38">
        <v>17.28</v>
      </c>
      <c r="O112" s="35" t="s">
        <v>12</v>
      </c>
    </row>
    <row r="113" spans="1:15" x14ac:dyDescent="0.25">
      <c r="A113" s="35">
        <v>1213092096</v>
      </c>
      <c r="B113" s="35" t="s">
        <v>3527</v>
      </c>
      <c r="C113" s="35">
        <v>2025</v>
      </c>
      <c r="D113" s="36">
        <v>45802.952800925923</v>
      </c>
      <c r="E113" s="37" t="s">
        <v>1172</v>
      </c>
      <c r="F113" s="37" t="s">
        <v>4289</v>
      </c>
      <c r="G113" s="37" t="s">
        <v>3551</v>
      </c>
      <c r="H113" s="35" t="s">
        <v>3419</v>
      </c>
      <c r="I113" s="35" t="s">
        <v>3453</v>
      </c>
      <c r="J113" s="38">
        <v>17.28</v>
      </c>
      <c r="K113" s="35">
        <v>1</v>
      </c>
      <c r="L113" s="38">
        <f t="shared" si="1"/>
        <v>17.28</v>
      </c>
      <c r="M113" s="35" t="s">
        <v>48</v>
      </c>
      <c r="N113" s="38">
        <v>17.28</v>
      </c>
      <c r="O113" s="35" t="s">
        <v>12</v>
      </c>
    </row>
    <row r="114" spans="1:15" x14ac:dyDescent="0.25">
      <c r="A114" s="35">
        <v>1146083641</v>
      </c>
      <c r="B114" s="35" t="s">
        <v>3721</v>
      </c>
      <c r="C114" s="35">
        <v>2024</v>
      </c>
      <c r="D114" s="36">
        <v>45339.105740740742</v>
      </c>
      <c r="E114" s="37" t="s">
        <v>2615</v>
      </c>
      <c r="F114" s="37" t="s">
        <v>5216</v>
      </c>
      <c r="G114" s="37" t="s">
        <v>3662</v>
      </c>
      <c r="H114" s="35" t="s">
        <v>3419</v>
      </c>
      <c r="I114" s="35" t="s">
        <v>3828</v>
      </c>
      <c r="J114" s="38">
        <v>5.7566666666666668</v>
      </c>
      <c r="K114" s="35">
        <v>3</v>
      </c>
      <c r="L114" s="38">
        <f t="shared" si="1"/>
        <v>17.27</v>
      </c>
      <c r="M114" s="35" t="s">
        <v>48</v>
      </c>
      <c r="N114" s="38">
        <v>17.27</v>
      </c>
      <c r="O114" s="35" t="s">
        <v>12</v>
      </c>
    </row>
    <row r="115" spans="1:15" x14ac:dyDescent="0.25">
      <c r="A115" s="35">
        <v>1167770577</v>
      </c>
      <c r="B115" s="35" t="s">
        <v>4158</v>
      </c>
      <c r="C115" s="35">
        <v>2024</v>
      </c>
      <c r="D115" s="36">
        <v>45510.794432870367</v>
      </c>
      <c r="E115" s="37" t="s">
        <v>2028</v>
      </c>
      <c r="F115" s="37" t="s">
        <v>4221</v>
      </c>
      <c r="G115" s="37" t="s">
        <v>1210</v>
      </c>
      <c r="H115" s="35" t="s">
        <v>3419</v>
      </c>
      <c r="I115" s="35" t="s">
        <v>3416</v>
      </c>
      <c r="J115" s="38">
        <v>17.169999999999998</v>
      </c>
      <c r="K115" s="35">
        <v>1</v>
      </c>
      <c r="L115" s="38">
        <f t="shared" si="1"/>
        <v>17.169999999999998</v>
      </c>
      <c r="M115" s="35" t="s">
        <v>48</v>
      </c>
      <c r="N115" s="38">
        <v>17.169999999999998</v>
      </c>
      <c r="O115" s="35" t="s">
        <v>12</v>
      </c>
    </row>
    <row r="116" spans="1:15" x14ac:dyDescent="0.25">
      <c r="A116" s="35">
        <v>1155651751</v>
      </c>
      <c r="B116" s="35" t="s">
        <v>3527</v>
      </c>
      <c r="C116" s="35">
        <v>2024</v>
      </c>
      <c r="D116" s="36">
        <v>45413.602083333331</v>
      </c>
      <c r="E116" s="37" t="s">
        <v>2432</v>
      </c>
      <c r="F116" s="37" t="s">
        <v>5126</v>
      </c>
      <c r="G116" s="37" t="s">
        <v>3807</v>
      </c>
      <c r="H116" s="35" t="s">
        <v>3419</v>
      </c>
      <c r="I116" s="35" t="s">
        <v>3931</v>
      </c>
      <c r="J116" s="38">
        <v>5.7166666666666677</v>
      </c>
      <c r="K116" s="35">
        <v>3</v>
      </c>
      <c r="L116" s="38">
        <f t="shared" si="1"/>
        <v>17.150000000000002</v>
      </c>
      <c r="M116" s="35" t="s">
        <v>48</v>
      </c>
      <c r="N116" s="38">
        <v>17.150000000000002</v>
      </c>
      <c r="O116" s="35" t="s">
        <v>12</v>
      </c>
    </row>
    <row r="117" spans="1:15" x14ac:dyDescent="0.25">
      <c r="A117" s="35">
        <v>1242941050</v>
      </c>
      <c r="B117" s="35" t="s">
        <v>3968</v>
      </c>
      <c r="C117" s="35">
        <v>2025</v>
      </c>
      <c r="D117" s="36">
        <v>45986.269467592603</v>
      </c>
      <c r="E117" s="37" t="s">
        <v>702</v>
      </c>
      <c r="F117" s="37" t="s">
        <v>3980</v>
      </c>
      <c r="G117" s="37" t="s">
        <v>3886</v>
      </c>
      <c r="H117" s="35" t="s">
        <v>3415</v>
      </c>
      <c r="I117" s="35" t="s">
        <v>3453</v>
      </c>
      <c r="J117" s="38">
        <v>4.2825000000000006</v>
      </c>
      <c r="K117" s="35">
        <v>4</v>
      </c>
      <c r="L117" s="38">
        <f t="shared" si="1"/>
        <v>17.130000000000003</v>
      </c>
      <c r="M117" s="35" t="s">
        <v>48</v>
      </c>
      <c r="N117" s="38">
        <v>17.130000000000003</v>
      </c>
      <c r="O117" s="35" t="s">
        <v>12</v>
      </c>
    </row>
    <row r="118" spans="1:15" x14ac:dyDescent="0.25">
      <c r="A118" s="35">
        <v>1167473026</v>
      </c>
      <c r="B118" s="35" t="s">
        <v>4158</v>
      </c>
      <c r="C118" s="35">
        <v>2024</v>
      </c>
      <c r="D118" s="36">
        <v>45512.469942129632</v>
      </c>
      <c r="E118" s="37" t="s">
        <v>2042</v>
      </c>
      <c r="F118" s="37" t="s">
        <v>4221</v>
      </c>
      <c r="G118" s="37" t="s">
        <v>1210</v>
      </c>
      <c r="H118" s="35" t="s">
        <v>3419</v>
      </c>
      <c r="I118" s="35" t="s">
        <v>3530</v>
      </c>
      <c r="J118" s="38">
        <v>16.9278391959799</v>
      </c>
      <c r="K118" s="35">
        <v>1</v>
      </c>
      <c r="L118" s="38">
        <f t="shared" si="1"/>
        <v>16.9278391959799</v>
      </c>
      <c r="M118" s="35" t="s">
        <v>48</v>
      </c>
      <c r="N118" s="38">
        <v>16.9278391959799</v>
      </c>
      <c r="O118" s="35" t="s">
        <v>12</v>
      </c>
    </row>
    <row r="119" spans="1:15" x14ac:dyDescent="0.25">
      <c r="A119" s="35">
        <v>1187963406</v>
      </c>
      <c r="B119" s="35" t="s">
        <v>3890</v>
      </c>
      <c r="C119" s="35">
        <v>2024</v>
      </c>
      <c r="D119" s="36">
        <v>45657.506805555553</v>
      </c>
      <c r="E119" s="37" t="s">
        <v>1635</v>
      </c>
      <c r="F119" s="37" t="s">
        <v>4609</v>
      </c>
      <c r="G119" s="37" t="s">
        <v>3621</v>
      </c>
      <c r="H119" s="35" t="s">
        <v>3415</v>
      </c>
      <c r="I119" s="35" t="s">
        <v>3416</v>
      </c>
      <c r="J119" s="38">
        <v>4.2050000000000001</v>
      </c>
      <c r="K119" s="35">
        <v>4</v>
      </c>
      <c r="L119" s="38">
        <f t="shared" si="1"/>
        <v>16.82</v>
      </c>
      <c r="M119" s="35" t="s">
        <v>48</v>
      </c>
      <c r="N119" s="38">
        <v>16.82</v>
      </c>
      <c r="O119" s="35" t="s">
        <v>12</v>
      </c>
    </row>
    <row r="120" spans="1:15" ht="30" x14ac:dyDescent="0.25">
      <c r="A120" s="35" t="s">
        <v>4711</v>
      </c>
      <c r="B120" s="35" t="s">
        <v>3890</v>
      </c>
      <c r="C120" s="35">
        <v>2024</v>
      </c>
      <c r="D120" s="36">
        <v>45646.9687962963</v>
      </c>
      <c r="E120" s="37" t="s">
        <v>4233</v>
      </c>
      <c r="F120" s="37" t="s">
        <v>4712</v>
      </c>
      <c r="G120" s="37" t="s">
        <v>3723</v>
      </c>
      <c r="H120" s="35" t="s">
        <v>3419</v>
      </c>
      <c r="I120" s="35" t="s">
        <v>3416</v>
      </c>
      <c r="J120" s="38">
        <v>16.789235668789811</v>
      </c>
      <c r="K120" s="35">
        <v>1</v>
      </c>
      <c r="L120" s="38">
        <f t="shared" si="1"/>
        <v>16.789235668789811</v>
      </c>
      <c r="M120" s="35" t="s">
        <v>48</v>
      </c>
      <c r="N120" s="38">
        <v>16.789235668789811</v>
      </c>
      <c r="O120" s="35" t="s">
        <v>12</v>
      </c>
    </row>
    <row r="121" spans="1:15" x14ac:dyDescent="0.25">
      <c r="A121" s="35">
        <v>1230933881</v>
      </c>
      <c r="B121" s="35" t="s">
        <v>4132</v>
      </c>
      <c r="C121" s="35">
        <v>2025</v>
      </c>
      <c r="D121" s="36">
        <v>45914.061840277784</v>
      </c>
      <c r="E121" s="37" t="s">
        <v>955</v>
      </c>
      <c r="F121" s="37" t="s">
        <v>4143</v>
      </c>
      <c r="G121" s="37" t="s">
        <v>4012</v>
      </c>
      <c r="H121" s="35" t="s">
        <v>3419</v>
      </c>
      <c r="I121" s="35" t="s">
        <v>3416</v>
      </c>
      <c r="J121" s="38">
        <v>16.78</v>
      </c>
      <c r="K121" s="35">
        <v>1</v>
      </c>
      <c r="L121" s="38">
        <f t="shared" si="1"/>
        <v>16.78</v>
      </c>
      <c r="M121" s="35" t="s">
        <v>48</v>
      </c>
      <c r="N121" s="38">
        <v>16.78</v>
      </c>
      <c r="O121" s="35" t="s">
        <v>12</v>
      </c>
    </row>
    <row r="122" spans="1:15" ht="30" x14ac:dyDescent="0.25">
      <c r="A122" s="35" t="s">
        <v>4937</v>
      </c>
      <c r="B122" s="35" t="s">
        <v>4199</v>
      </c>
      <c r="C122" s="35">
        <v>2024</v>
      </c>
      <c r="D122" s="36">
        <v>45494.454699074071</v>
      </c>
      <c r="E122" s="37" t="s">
        <v>4233</v>
      </c>
      <c r="F122" s="37" t="s">
        <v>4938</v>
      </c>
      <c r="G122" s="37" t="s">
        <v>3621</v>
      </c>
      <c r="H122" s="35" t="s">
        <v>3415</v>
      </c>
      <c r="I122" s="35" t="s">
        <v>3416</v>
      </c>
      <c r="J122" s="38">
        <v>4.1399999999999997</v>
      </c>
      <c r="K122" s="35">
        <v>4</v>
      </c>
      <c r="L122" s="38">
        <f t="shared" si="1"/>
        <v>16.559999999999999</v>
      </c>
      <c r="M122" s="35" t="s">
        <v>48</v>
      </c>
      <c r="N122" s="38">
        <v>16.559999999999999</v>
      </c>
      <c r="O122" s="35" t="s">
        <v>12</v>
      </c>
    </row>
    <row r="123" spans="1:15" x14ac:dyDescent="0.25">
      <c r="A123" s="35">
        <v>1156561021</v>
      </c>
      <c r="B123" s="35" t="s">
        <v>3527</v>
      </c>
      <c r="C123" s="35">
        <v>2024</v>
      </c>
      <c r="D123" s="36">
        <v>45426.625706018516</v>
      </c>
      <c r="E123" s="37" t="s">
        <v>2408</v>
      </c>
      <c r="F123" s="37" t="s">
        <v>5096</v>
      </c>
      <c r="G123" s="37" t="s">
        <v>3726</v>
      </c>
      <c r="H123" s="35" t="s">
        <v>3419</v>
      </c>
      <c r="I123" s="35" t="s">
        <v>3416</v>
      </c>
      <c r="J123" s="38">
        <v>16.400843881856538</v>
      </c>
      <c r="K123" s="35">
        <v>1</v>
      </c>
      <c r="L123" s="38">
        <f t="shared" si="1"/>
        <v>16.400843881856538</v>
      </c>
      <c r="M123" s="35" t="s">
        <v>48</v>
      </c>
      <c r="N123" s="38">
        <v>16.400843881856538</v>
      </c>
      <c r="O123" s="35" t="s">
        <v>12</v>
      </c>
    </row>
    <row r="124" spans="1:15" x14ac:dyDescent="0.25">
      <c r="A124" s="35">
        <v>1153016592</v>
      </c>
      <c r="B124" s="35" t="s">
        <v>3631</v>
      </c>
      <c r="C124" s="35">
        <v>2024</v>
      </c>
      <c r="D124" s="36">
        <v>45401.497407407405</v>
      </c>
      <c r="E124" s="37" t="s">
        <v>2489</v>
      </c>
      <c r="F124" s="37" t="s">
        <v>5146</v>
      </c>
      <c r="G124" s="37" t="s">
        <v>4043</v>
      </c>
      <c r="H124" s="35" t="s">
        <v>3419</v>
      </c>
      <c r="I124" s="35" t="s">
        <v>4226</v>
      </c>
      <c r="J124" s="38">
        <v>16.21</v>
      </c>
      <c r="K124" s="35">
        <v>1</v>
      </c>
      <c r="L124" s="38">
        <f t="shared" si="1"/>
        <v>16.21</v>
      </c>
      <c r="M124" s="35" t="s">
        <v>48</v>
      </c>
      <c r="N124" s="38">
        <v>16.21</v>
      </c>
      <c r="O124" s="35" t="s">
        <v>12</v>
      </c>
    </row>
    <row r="125" spans="1:15" x14ac:dyDescent="0.25">
      <c r="A125" s="35">
        <v>1240763009</v>
      </c>
      <c r="B125" s="35" t="s">
        <v>3968</v>
      </c>
      <c r="C125" s="35">
        <v>2025</v>
      </c>
      <c r="D125" s="36">
        <v>45991.452951388892</v>
      </c>
      <c r="E125" s="37" t="s">
        <v>770</v>
      </c>
      <c r="F125" s="37" t="s">
        <v>3971</v>
      </c>
      <c r="G125" s="37" t="s">
        <v>3770</v>
      </c>
      <c r="H125" s="35" t="s">
        <v>3419</v>
      </c>
      <c r="I125" s="35" t="s">
        <v>3416</v>
      </c>
      <c r="J125" s="38">
        <v>5.3933333333333335</v>
      </c>
      <c r="K125" s="35">
        <v>3</v>
      </c>
      <c r="L125" s="38">
        <f t="shared" si="1"/>
        <v>16.18</v>
      </c>
      <c r="M125" s="35" t="s">
        <v>48</v>
      </c>
      <c r="N125" s="38">
        <v>16.18</v>
      </c>
      <c r="O125" s="35" t="s">
        <v>12</v>
      </c>
    </row>
    <row r="126" spans="1:15" x14ac:dyDescent="0.25">
      <c r="A126" s="35">
        <v>1168520702</v>
      </c>
      <c r="B126" s="35" t="s">
        <v>4158</v>
      </c>
      <c r="C126" s="35">
        <v>2024</v>
      </c>
      <c r="D126" s="36">
        <v>45509.517546296287</v>
      </c>
      <c r="E126" s="37" t="s">
        <v>1520</v>
      </c>
      <c r="F126" s="37" t="s">
        <v>4917</v>
      </c>
      <c r="G126" s="37" t="s">
        <v>4918</v>
      </c>
      <c r="H126" s="35" t="s">
        <v>3419</v>
      </c>
      <c r="I126" s="35" t="s">
        <v>3416</v>
      </c>
      <c r="J126" s="38">
        <v>16.169999999999998</v>
      </c>
      <c r="K126" s="35">
        <v>1</v>
      </c>
      <c r="L126" s="38">
        <f t="shared" si="1"/>
        <v>16.169999999999998</v>
      </c>
      <c r="M126" s="35" t="s">
        <v>48</v>
      </c>
      <c r="N126" s="38">
        <v>16.169999999999998</v>
      </c>
      <c r="O126" s="35" t="s">
        <v>12</v>
      </c>
    </row>
    <row r="127" spans="1:15" x14ac:dyDescent="0.25">
      <c r="A127" s="35">
        <v>1147741632</v>
      </c>
      <c r="B127" s="35" t="s">
        <v>3646</v>
      </c>
      <c r="C127" s="35">
        <v>2024</v>
      </c>
      <c r="D127" s="36">
        <v>45352.331921296303</v>
      </c>
      <c r="E127" s="37" t="s">
        <v>2587</v>
      </c>
      <c r="F127" s="37" t="s">
        <v>5196</v>
      </c>
      <c r="G127" s="37" t="s">
        <v>4059</v>
      </c>
      <c r="H127" s="35" t="s">
        <v>3419</v>
      </c>
      <c r="I127" s="35" t="s">
        <v>3416</v>
      </c>
      <c r="J127" s="38">
        <v>16.169999999999998</v>
      </c>
      <c r="K127" s="35">
        <v>1</v>
      </c>
      <c r="L127" s="38">
        <f t="shared" si="1"/>
        <v>16.169999999999998</v>
      </c>
      <c r="M127" s="35" t="s">
        <v>48</v>
      </c>
      <c r="N127" s="38">
        <v>16.169999999999998</v>
      </c>
      <c r="O127" s="35" t="s">
        <v>12</v>
      </c>
    </row>
    <row r="128" spans="1:15" x14ac:dyDescent="0.25">
      <c r="A128" s="35">
        <v>1198652187</v>
      </c>
      <c r="B128" s="35" t="s">
        <v>3646</v>
      </c>
      <c r="C128" s="35">
        <v>2025</v>
      </c>
      <c r="D128" s="36">
        <v>45723.602418981478</v>
      </c>
      <c r="E128" s="37" t="s">
        <v>1421</v>
      </c>
      <c r="F128" s="37" t="s">
        <v>4560</v>
      </c>
      <c r="G128" s="37" t="s">
        <v>4561</v>
      </c>
      <c r="H128" s="35" t="s">
        <v>3419</v>
      </c>
      <c r="I128" s="35" t="s">
        <v>3530</v>
      </c>
      <c r="J128" s="38">
        <v>5.3653627760252371</v>
      </c>
      <c r="K128" s="35">
        <v>3</v>
      </c>
      <c r="L128" s="38">
        <f t="shared" si="1"/>
        <v>16.096088328075712</v>
      </c>
      <c r="M128" s="35" t="s">
        <v>48</v>
      </c>
      <c r="N128" s="38">
        <v>16.096088328075712</v>
      </c>
      <c r="O128" s="35" t="s">
        <v>12</v>
      </c>
    </row>
    <row r="129" spans="1:15" x14ac:dyDescent="0.25">
      <c r="A129" s="35" t="s">
        <v>1068</v>
      </c>
      <c r="B129" s="35" t="s">
        <v>4199</v>
      </c>
      <c r="C129" s="35">
        <v>2025</v>
      </c>
      <c r="D129" s="36">
        <v>45846</v>
      </c>
      <c r="E129" s="37" t="s">
        <v>1069</v>
      </c>
      <c r="F129" s="37" t="s">
        <v>4227</v>
      </c>
      <c r="G129" s="37" t="s">
        <v>3696</v>
      </c>
      <c r="H129" s="35" t="s">
        <v>3419</v>
      </c>
      <c r="I129" s="35" t="s">
        <v>3453</v>
      </c>
      <c r="J129" s="38">
        <v>8</v>
      </c>
      <c r="K129" s="35">
        <v>2</v>
      </c>
      <c r="L129" s="38">
        <f t="shared" si="1"/>
        <v>16</v>
      </c>
      <c r="M129" s="35" t="s">
        <v>48</v>
      </c>
      <c r="N129" s="38">
        <v>16</v>
      </c>
      <c r="O129" s="35" t="s">
        <v>12</v>
      </c>
    </row>
    <row r="130" spans="1:15" x14ac:dyDescent="0.25">
      <c r="A130" s="35">
        <v>1174481100</v>
      </c>
      <c r="B130" s="35" t="s">
        <v>4070</v>
      </c>
      <c r="C130" s="35">
        <v>2024</v>
      </c>
      <c r="D130" s="36">
        <v>45584.571643518517</v>
      </c>
      <c r="E130" s="37" t="s">
        <v>1898</v>
      </c>
      <c r="F130" s="37" t="s">
        <v>4321</v>
      </c>
      <c r="G130" s="37" t="s">
        <v>4322</v>
      </c>
      <c r="H130" s="35" t="s">
        <v>3419</v>
      </c>
      <c r="I130" s="35" t="s">
        <v>3416</v>
      </c>
      <c r="J130" s="38">
        <v>15.72</v>
      </c>
      <c r="K130" s="35">
        <v>1</v>
      </c>
      <c r="L130" s="38">
        <f t="shared" ref="L130:L193" si="2">J130*K130</f>
        <v>15.72</v>
      </c>
      <c r="M130" s="35" t="s">
        <v>48</v>
      </c>
      <c r="N130" s="38">
        <v>15.72</v>
      </c>
      <c r="O130" s="35" t="s">
        <v>12</v>
      </c>
    </row>
    <row r="131" spans="1:15" x14ac:dyDescent="0.25">
      <c r="A131" s="35">
        <v>1216632811</v>
      </c>
      <c r="B131" s="35" t="s">
        <v>3412</v>
      </c>
      <c r="C131" s="35">
        <v>2025</v>
      </c>
      <c r="D131" s="36">
        <v>45825.766006944446</v>
      </c>
      <c r="E131" s="37" t="s">
        <v>1121</v>
      </c>
      <c r="F131" s="37" t="s">
        <v>4274</v>
      </c>
      <c r="G131" s="37" t="s">
        <v>3742</v>
      </c>
      <c r="H131" s="35" t="s">
        <v>3415</v>
      </c>
      <c r="I131" s="35" t="s">
        <v>3453</v>
      </c>
      <c r="J131" s="38">
        <v>9.9499999999999993</v>
      </c>
      <c r="K131" s="35">
        <v>4</v>
      </c>
      <c r="L131" s="38">
        <f t="shared" si="2"/>
        <v>39.799999999999997</v>
      </c>
      <c r="M131" s="35" t="s">
        <v>48</v>
      </c>
      <c r="N131" s="38">
        <v>39.799999999999997</v>
      </c>
      <c r="O131" s="35" t="s">
        <v>12</v>
      </c>
    </row>
    <row r="132" spans="1:15" x14ac:dyDescent="0.25">
      <c r="A132" s="35">
        <v>1195175019</v>
      </c>
      <c r="B132" s="35" t="s">
        <v>3721</v>
      </c>
      <c r="C132" s="35">
        <v>2025</v>
      </c>
      <c r="D132" s="36">
        <v>45699.55027777778</v>
      </c>
      <c r="E132" s="37" t="s">
        <v>1474</v>
      </c>
      <c r="F132" s="37" t="s">
        <v>4616</v>
      </c>
      <c r="G132" s="37" t="s">
        <v>3674</v>
      </c>
      <c r="H132" s="35" t="s">
        <v>3419</v>
      </c>
      <c r="I132" s="35" t="s">
        <v>4617</v>
      </c>
      <c r="J132" s="38">
        <v>15.28</v>
      </c>
      <c r="K132" s="35">
        <v>1</v>
      </c>
      <c r="L132" s="38">
        <f t="shared" si="2"/>
        <v>15.28</v>
      </c>
      <c r="M132" s="35" t="s">
        <v>48</v>
      </c>
      <c r="N132" s="38">
        <v>15.28</v>
      </c>
      <c r="O132" s="35" t="s">
        <v>12</v>
      </c>
    </row>
    <row r="133" spans="1:15" x14ac:dyDescent="0.25">
      <c r="A133" s="35">
        <v>1223745664</v>
      </c>
      <c r="B133" s="35" t="s">
        <v>4158</v>
      </c>
      <c r="C133" s="35">
        <v>2025</v>
      </c>
      <c r="D133" s="36">
        <v>45891.817986111113</v>
      </c>
      <c r="E133" s="37" t="s">
        <v>1024</v>
      </c>
      <c r="F133" s="37" t="s">
        <v>3756</v>
      </c>
      <c r="G133" s="37" t="s">
        <v>3757</v>
      </c>
      <c r="H133" s="35" t="s">
        <v>3419</v>
      </c>
      <c r="I133" s="35" t="s">
        <v>3416</v>
      </c>
      <c r="J133" s="38">
        <v>15.23</v>
      </c>
      <c r="K133" s="35">
        <v>1</v>
      </c>
      <c r="L133" s="38">
        <f t="shared" si="2"/>
        <v>15.23</v>
      </c>
      <c r="M133" s="35" t="s">
        <v>48</v>
      </c>
      <c r="N133" s="38">
        <v>15.23</v>
      </c>
      <c r="O133" s="35" t="s">
        <v>12</v>
      </c>
    </row>
    <row r="134" spans="1:15" x14ac:dyDescent="0.25">
      <c r="A134" s="35">
        <v>1223440654</v>
      </c>
      <c r="B134" s="35" t="s">
        <v>4158</v>
      </c>
      <c r="C134" s="35">
        <v>2025</v>
      </c>
      <c r="D134" s="36">
        <v>45876.537986111114</v>
      </c>
      <c r="E134" s="37" t="s">
        <v>1027</v>
      </c>
      <c r="F134" s="37" t="s">
        <v>3756</v>
      </c>
      <c r="G134" s="37" t="s">
        <v>3757</v>
      </c>
      <c r="H134" s="35" t="s">
        <v>3419</v>
      </c>
      <c r="I134" s="35" t="s">
        <v>3416</v>
      </c>
      <c r="J134" s="38">
        <v>15.23</v>
      </c>
      <c r="K134" s="35">
        <v>1</v>
      </c>
      <c r="L134" s="38">
        <f t="shared" si="2"/>
        <v>15.23</v>
      </c>
      <c r="M134" s="35" t="s">
        <v>48</v>
      </c>
      <c r="N134" s="38">
        <v>15.23</v>
      </c>
      <c r="O134" s="35" t="s">
        <v>12</v>
      </c>
    </row>
    <row r="135" spans="1:15" x14ac:dyDescent="0.25">
      <c r="A135" s="35">
        <v>1146304491</v>
      </c>
      <c r="B135" s="35" t="s">
        <v>3646</v>
      </c>
      <c r="C135" s="35">
        <v>2024</v>
      </c>
      <c r="D135" s="36">
        <v>45354.928252314814</v>
      </c>
      <c r="E135" s="37" t="s">
        <v>1057</v>
      </c>
      <c r="F135" s="37" t="s">
        <v>4886</v>
      </c>
      <c r="G135" s="37" t="s">
        <v>4473</v>
      </c>
      <c r="H135" s="35" t="s">
        <v>3419</v>
      </c>
      <c r="I135" s="35" t="s">
        <v>3416</v>
      </c>
      <c r="J135" s="38">
        <v>15.21</v>
      </c>
      <c r="K135" s="35">
        <v>1</v>
      </c>
      <c r="L135" s="38">
        <f t="shared" si="2"/>
        <v>15.21</v>
      </c>
      <c r="M135" s="35" t="s">
        <v>48</v>
      </c>
      <c r="N135" s="38">
        <v>15.21</v>
      </c>
      <c r="O135" s="35" t="s">
        <v>12</v>
      </c>
    </row>
    <row r="136" spans="1:15" x14ac:dyDescent="0.25">
      <c r="A136" s="35" t="s">
        <v>1128</v>
      </c>
      <c r="B136" s="35" t="s">
        <v>3412</v>
      </c>
      <c r="C136" s="35">
        <v>2025</v>
      </c>
      <c r="D136" s="36">
        <v>45819</v>
      </c>
      <c r="E136" s="37" t="s">
        <v>1129</v>
      </c>
      <c r="F136" s="37" t="s">
        <v>3822</v>
      </c>
      <c r="G136" s="37" t="s">
        <v>4019</v>
      </c>
      <c r="H136" s="35" t="s">
        <v>3419</v>
      </c>
      <c r="I136" s="35" t="s">
        <v>3453</v>
      </c>
      <c r="J136" s="38">
        <v>15</v>
      </c>
      <c r="K136" s="35">
        <v>1</v>
      </c>
      <c r="L136" s="38">
        <f t="shared" si="2"/>
        <v>15</v>
      </c>
      <c r="M136" s="35" t="s">
        <v>48</v>
      </c>
      <c r="N136" s="38">
        <v>15</v>
      </c>
      <c r="O136" s="35" t="s">
        <v>12</v>
      </c>
    </row>
    <row r="137" spans="1:15" ht="30" x14ac:dyDescent="0.25">
      <c r="A137" s="35" t="s">
        <v>5631</v>
      </c>
      <c r="B137" s="35" t="s">
        <v>4132</v>
      </c>
      <c r="C137" s="35">
        <v>2023</v>
      </c>
      <c r="D137" s="36">
        <v>45181.869606481479</v>
      </c>
      <c r="E137" s="37" t="s">
        <v>4233</v>
      </c>
      <c r="F137" s="37" t="s">
        <v>3817</v>
      </c>
      <c r="G137" s="37" t="s">
        <v>3736</v>
      </c>
      <c r="H137" s="35" t="s">
        <v>3419</v>
      </c>
      <c r="I137" s="35" t="s">
        <v>3416</v>
      </c>
      <c r="J137" s="38">
        <v>4.9865146579804565</v>
      </c>
      <c r="K137" s="35">
        <v>3</v>
      </c>
      <c r="L137" s="38">
        <f t="shared" si="2"/>
        <v>14.959543973941368</v>
      </c>
      <c r="M137" s="35" t="s">
        <v>48</v>
      </c>
      <c r="N137" s="38">
        <v>14.95954397394137</v>
      </c>
      <c r="O137" s="35" t="s">
        <v>12</v>
      </c>
    </row>
    <row r="138" spans="1:15" ht="30" x14ac:dyDescent="0.25">
      <c r="A138" s="35" t="s">
        <v>5965</v>
      </c>
      <c r="B138" s="35" t="s">
        <v>3412</v>
      </c>
      <c r="C138" s="35">
        <v>2023</v>
      </c>
      <c r="D138" s="36">
        <v>45082.726736111108</v>
      </c>
      <c r="E138" s="37" t="s">
        <v>4233</v>
      </c>
      <c r="F138" s="37" t="s">
        <v>5966</v>
      </c>
      <c r="G138" s="37" t="s">
        <v>4173</v>
      </c>
      <c r="H138" s="35" t="s">
        <v>3419</v>
      </c>
      <c r="I138" s="35" t="s">
        <v>3530</v>
      </c>
      <c r="J138" s="38">
        <v>7.17</v>
      </c>
      <c r="K138" s="35">
        <v>2</v>
      </c>
      <c r="L138" s="38">
        <f t="shared" si="2"/>
        <v>14.34</v>
      </c>
      <c r="M138" s="35" t="s">
        <v>48</v>
      </c>
      <c r="N138" s="38">
        <v>14.34</v>
      </c>
      <c r="O138" s="35" t="s">
        <v>12</v>
      </c>
    </row>
    <row r="139" spans="1:15" x14ac:dyDescent="0.25">
      <c r="A139" s="35">
        <v>1162230542</v>
      </c>
      <c r="B139" s="35" t="s">
        <v>3412</v>
      </c>
      <c r="C139" s="35">
        <v>2024</v>
      </c>
      <c r="D139" s="36">
        <v>45471.472696759258</v>
      </c>
      <c r="E139" s="37" t="s">
        <v>2223</v>
      </c>
      <c r="F139" s="37" t="s">
        <v>4988</v>
      </c>
      <c r="G139" s="37" t="s">
        <v>4989</v>
      </c>
      <c r="H139" s="35" t="s">
        <v>3419</v>
      </c>
      <c r="I139" s="35" t="s">
        <v>3416</v>
      </c>
      <c r="J139" s="38">
        <v>14.17</v>
      </c>
      <c r="K139" s="35">
        <v>1</v>
      </c>
      <c r="L139" s="38">
        <f t="shared" si="2"/>
        <v>14.17</v>
      </c>
      <c r="M139" s="35" t="s">
        <v>48</v>
      </c>
      <c r="N139" s="38">
        <v>14.17</v>
      </c>
      <c r="O139" s="35" t="s">
        <v>12</v>
      </c>
    </row>
    <row r="140" spans="1:15" x14ac:dyDescent="0.25">
      <c r="A140" s="35">
        <v>1173900340</v>
      </c>
      <c r="B140" s="35" t="s">
        <v>4132</v>
      </c>
      <c r="C140" s="35">
        <v>2024</v>
      </c>
      <c r="D140" s="36">
        <v>45549.670486111107</v>
      </c>
      <c r="E140" s="37" t="s">
        <v>1908</v>
      </c>
      <c r="F140" s="37" t="s">
        <v>4868</v>
      </c>
      <c r="G140" s="37" t="s">
        <v>3621</v>
      </c>
      <c r="H140" s="35" t="s">
        <v>3419</v>
      </c>
      <c r="I140" s="35" t="s">
        <v>3416</v>
      </c>
      <c r="J140" s="38">
        <v>13.72</v>
      </c>
      <c r="K140" s="35">
        <v>1</v>
      </c>
      <c r="L140" s="38">
        <f t="shared" si="2"/>
        <v>13.72</v>
      </c>
      <c r="M140" s="35" t="s">
        <v>48</v>
      </c>
      <c r="N140" s="38">
        <v>13.72</v>
      </c>
      <c r="O140" s="35" t="s">
        <v>12</v>
      </c>
    </row>
    <row r="141" spans="1:15" x14ac:dyDescent="0.25">
      <c r="A141" s="35">
        <v>1189912274</v>
      </c>
      <c r="B141" s="35" t="s">
        <v>3761</v>
      </c>
      <c r="C141" s="35">
        <v>2025</v>
      </c>
      <c r="D141" s="36">
        <v>45667.582800925928</v>
      </c>
      <c r="E141" s="37" t="s">
        <v>1595</v>
      </c>
      <c r="F141" s="37" t="s">
        <v>4673</v>
      </c>
      <c r="G141" s="37" t="s">
        <v>4220</v>
      </c>
      <c r="H141" s="35" t="s">
        <v>3415</v>
      </c>
      <c r="I141" s="35" t="s">
        <v>3416</v>
      </c>
      <c r="J141" s="38">
        <v>3.3225000000000002</v>
      </c>
      <c r="K141" s="35">
        <v>4</v>
      </c>
      <c r="L141" s="38">
        <f t="shared" si="2"/>
        <v>13.290000000000001</v>
      </c>
      <c r="M141" s="35" t="s">
        <v>48</v>
      </c>
      <c r="N141" s="38">
        <v>13.290000000000001</v>
      </c>
      <c r="O141" s="35" t="s">
        <v>12</v>
      </c>
    </row>
    <row r="142" spans="1:15" x14ac:dyDescent="0.25">
      <c r="A142" s="35">
        <v>1247229759</v>
      </c>
      <c r="B142" s="35" t="s">
        <v>3890</v>
      </c>
      <c r="C142" s="35">
        <v>2025</v>
      </c>
      <c r="D142" s="36">
        <v>46021.8753125</v>
      </c>
      <c r="E142" s="37" t="s">
        <v>600</v>
      </c>
      <c r="F142" s="37" t="s">
        <v>3891</v>
      </c>
      <c r="G142" s="37" t="s">
        <v>3551</v>
      </c>
      <c r="H142" s="35" t="s">
        <v>3415</v>
      </c>
      <c r="I142" s="35" t="s">
        <v>3416</v>
      </c>
      <c r="J142" s="38">
        <v>3.3125</v>
      </c>
      <c r="K142" s="35">
        <v>4</v>
      </c>
      <c r="L142" s="38">
        <f t="shared" si="2"/>
        <v>13.25</v>
      </c>
      <c r="M142" s="35" t="s">
        <v>48</v>
      </c>
      <c r="N142" s="38">
        <v>13.25</v>
      </c>
      <c r="O142" s="35" t="s">
        <v>12</v>
      </c>
    </row>
    <row r="143" spans="1:15" x14ac:dyDescent="0.25">
      <c r="A143" s="35">
        <v>1226424166</v>
      </c>
      <c r="B143" s="35" t="s">
        <v>4132</v>
      </c>
      <c r="C143" s="35">
        <v>2025</v>
      </c>
      <c r="D143" s="36">
        <v>45905.642002314817</v>
      </c>
      <c r="E143" s="37" t="s">
        <v>986</v>
      </c>
      <c r="F143" s="37" t="s">
        <v>4149</v>
      </c>
      <c r="G143" s="37" t="s">
        <v>4012</v>
      </c>
      <c r="H143" s="35" t="s">
        <v>3419</v>
      </c>
      <c r="I143" s="35" t="s">
        <v>3416</v>
      </c>
      <c r="J143" s="38">
        <v>6.6150000000000002</v>
      </c>
      <c r="K143" s="35">
        <v>2</v>
      </c>
      <c r="L143" s="38">
        <f t="shared" si="2"/>
        <v>13.23</v>
      </c>
      <c r="M143" s="35" t="s">
        <v>48</v>
      </c>
      <c r="N143" s="38">
        <v>13.23</v>
      </c>
      <c r="O143" s="35" t="s">
        <v>12</v>
      </c>
    </row>
    <row r="144" spans="1:15" x14ac:dyDescent="0.25">
      <c r="A144" s="35">
        <v>1191509329</v>
      </c>
      <c r="B144" s="35" t="s">
        <v>3761</v>
      </c>
      <c r="C144" s="35">
        <v>2025</v>
      </c>
      <c r="D144" s="36">
        <v>45674.955960648149</v>
      </c>
      <c r="E144" s="37" t="s">
        <v>1579</v>
      </c>
      <c r="F144" s="37" t="s">
        <v>4660</v>
      </c>
      <c r="G144" s="37" t="s">
        <v>3658</v>
      </c>
      <c r="H144" s="35" t="s">
        <v>3419</v>
      </c>
      <c r="I144" s="35" t="s">
        <v>3453</v>
      </c>
      <c r="J144" s="38">
        <v>6.6150000000000002</v>
      </c>
      <c r="K144" s="35">
        <v>2</v>
      </c>
      <c r="L144" s="38">
        <f t="shared" si="2"/>
        <v>13.23</v>
      </c>
      <c r="M144" s="35" t="s">
        <v>48</v>
      </c>
      <c r="N144" s="38">
        <v>13.23</v>
      </c>
      <c r="O144" s="35" t="s">
        <v>12</v>
      </c>
    </row>
    <row r="145" spans="1:15" x14ac:dyDescent="0.25">
      <c r="A145" s="35">
        <v>1147461534</v>
      </c>
      <c r="B145" s="35" t="s">
        <v>3646</v>
      </c>
      <c r="C145" s="35">
        <v>2024</v>
      </c>
      <c r="D145" s="36">
        <v>45352.562025462961</v>
      </c>
      <c r="E145" s="37" t="s">
        <v>2590</v>
      </c>
      <c r="F145" s="37" t="s">
        <v>4866</v>
      </c>
      <c r="G145" s="37" t="s">
        <v>4918</v>
      </c>
      <c r="H145" s="35" t="s">
        <v>3419</v>
      </c>
      <c r="I145" s="35" t="s">
        <v>3530</v>
      </c>
      <c r="J145" s="38">
        <v>13.21</v>
      </c>
      <c r="K145" s="35">
        <v>1</v>
      </c>
      <c r="L145" s="38">
        <f t="shared" si="2"/>
        <v>13.21</v>
      </c>
      <c r="M145" s="35" t="s">
        <v>48</v>
      </c>
      <c r="N145" s="38">
        <v>13.21</v>
      </c>
      <c r="O145" s="35" t="s">
        <v>12</v>
      </c>
    </row>
    <row r="146" spans="1:15" x14ac:dyDescent="0.25">
      <c r="A146" s="35">
        <v>1143358804</v>
      </c>
      <c r="B146" s="35" t="s">
        <v>3721</v>
      </c>
      <c r="C146" s="35">
        <v>2024</v>
      </c>
      <c r="D146" s="36">
        <v>45323.439525462964</v>
      </c>
      <c r="E146" s="37" t="s">
        <v>2670</v>
      </c>
      <c r="F146" s="37" t="s">
        <v>5245</v>
      </c>
      <c r="G146" s="37" t="s">
        <v>3876</v>
      </c>
      <c r="H146" s="35" t="s">
        <v>3419</v>
      </c>
      <c r="I146" s="35" t="s">
        <v>3416</v>
      </c>
      <c r="J146" s="38">
        <v>13.21</v>
      </c>
      <c r="K146" s="35">
        <v>1</v>
      </c>
      <c r="L146" s="38">
        <f t="shared" si="2"/>
        <v>13.21</v>
      </c>
      <c r="M146" s="35" t="s">
        <v>48</v>
      </c>
      <c r="N146" s="38">
        <v>13.21</v>
      </c>
      <c r="O146" s="35" t="s">
        <v>12</v>
      </c>
    </row>
    <row r="147" spans="1:15" x14ac:dyDescent="0.25">
      <c r="A147" s="35">
        <v>1151601829</v>
      </c>
      <c r="B147" s="35" t="s">
        <v>3646</v>
      </c>
      <c r="C147" s="35">
        <v>2024</v>
      </c>
      <c r="D147" s="36">
        <v>45382.573530092603</v>
      </c>
      <c r="E147" s="37" t="s">
        <v>450</v>
      </c>
      <c r="F147" s="37" t="s">
        <v>3701</v>
      </c>
      <c r="G147" s="37" t="s">
        <v>3702</v>
      </c>
      <c r="H147" s="35" t="s">
        <v>3419</v>
      </c>
      <c r="I147" s="35" t="s">
        <v>3416</v>
      </c>
      <c r="J147" s="38">
        <v>4.3966666666666674</v>
      </c>
      <c r="K147" s="35">
        <v>3</v>
      </c>
      <c r="L147" s="38">
        <f t="shared" si="2"/>
        <v>13.190000000000001</v>
      </c>
      <c r="M147" s="35" t="s">
        <v>48</v>
      </c>
      <c r="N147" s="38">
        <v>13.190000000000001</v>
      </c>
      <c r="O147" s="35" t="s">
        <v>12</v>
      </c>
    </row>
    <row r="148" spans="1:15" x14ac:dyDescent="0.25">
      <c r="A148" s="35">
        <v>1238949577</v>
      </c>
      <c r="B148" s="35" t="s">
        <v>3968</v>
      </c>
      <c r="C148" s="35">
        <v>2025</v>
      </c>
      <c r="D148" s="36">
        <v>45962.847256944442</v>
      </c>
      <c r="E148" s="37" t="s">
        <v>744</v>
      </c>
      <c r="F148" s="37" t="s">
        <v>4068</v>
      </c>
      <c r="G148" s="37" t="s">
        <v>3797</v>
      </c>
      <c r="H148" s="35" t="s">
        <v>3419</v>
      </c>
      <c r="I148" s="35" t="s">
        <v>3453</v>
      </c>
      <c r="J148" s="38">
        <v>4.3933333333333335</v>
      </c>
      <c r="K148" s="35">
        <v>3</v>
      </c>
      <c r="L148" s="38">
        <f t="shared" si="2"/>
        <v>13.18</v>
      </c>
      <c r="M148" s="35" t="s">
        <v>48</v>
      </c>
      <c r="N148" s="38">
        <v>13.180000000000001</v>
      </c>
      <c r="O148" s="35" t="s">
        <v>12</v>
      </c>
    </row>
    <row r="149" spans="1:15" x14ac:dyDescent="0.25">
      <c r="A149" s="35">
        <v>1217261413</v>
      </c>
      <c r="B149" s="35" t="s">
        <v>3412</v>
      </c>
      <c r="C149" s="35">
        <v>2025</v>
      </c>
      <c r="D149" s="36">
        <v>45829.923692129632</v>
      </c>
      <c r="E149" s="37" t="s">
        <v>1115</v>
      </c>
      <c r="F149" s="37" t="s">
        <v>4271</v>
      </c>
      <c r="G149" s="37" t="s">
        <v>3551</v>
      </c>
      <c r="H149" s="35" t="s">
        <v>3415</v>
      </c>
      <c r="I149" s="35" t="s">
        <v>3530</v>
      </c>
      <c r="J149" s="38">
        <v>3.2825000000000002</v>
      </c>
      <c r="K149" s="35">
        <v>4</v>
      </c>
      <c r="L149" s="38">
        <f t="shared" si="2"/>
        <v>13.13</v>
      </c>
      <c r="M149" s="35" t="s">
        <v>48</v>
      </c>
      <c r="N149" s="38">
        <v>13.13</v>
      </c>
      <c r="O149" s="35" t="s">
        <v>12</v>
      </c>
    </row>
    <row r="150" spans="1:15" x14ac:dyDescent="0.25">
      <c r="A150" s="35">
        <v>1176221818</v>
      </c>
      <c r="B150" s="35" t="s">
        <v>4132</v>
      </c>
      <c r="C150" s="35">
        <v>2024</v>
      </c>
      <c r="D150" s="36">
        <v>45565.386134259257</v>
      </c>
      <c r="E150" s="37" t="s">
        <v>1862</v>
      </c>
      <c r="F150" s="37" t="s">
        <v>4846</v>
      </c>
      <c r="G150" s="37" t="s">
        <v>3751</v>
      </c>
      <c r="H150" s="35" t="s">
        <v>3419</v>
      </c>
      <c r="I150" s="35" t="s">
        <v>3530</v>
      </c>
      <c r="J150" s="38">
        <v>13.120000000000001</v>
      </c>
      <c r="K150" s="35">
        <v>1</v>
      </c>
      <c r="L150" s="38">
        <f t="shared" si="2"/>
        <v>13.120000000000001</v>
      </c>
      <c r="M150" s="35" t="s">
        <v>48</v>
      </c>
      <c r="N150" s="38">
        <v>13.120000000000001</v>
      </c>
      <c r="O150" s="35" t="s">
        <v>12</v>
      </c>
    </row>
    <row r="151" spans="1:15" x14ac:dyDescent="0.25">
      <c r="A151" s="35">
        <v>1194954076</v>
      </c>
      <c r="B151" s="35" t="s">
        <v>3721</v>
      </c>
      <c r="C151" s="35">
        <v>2025</v>
      </c>
      <c r="D151" s="36">
        <v>45695.548726851855</v>
      </c>
      <c r="E151" s="37" t="s">
        <v>1486</v>
      </c>
      <c r="F151" s="37" t="s">
        <v>4623</v>
      </c>
      <c r="G151" s="37" t="s">
        <v>3687</v>
      </c>
      <c r="H151" s="35" t="s">
        <v>3419</v>
      </c>
      <c r="I151" s="35" t="s">
        <v>3416</v>
      </c>
      <c r="J151" s="38">
        <v>4.3435205992509367</v>
      </c>
      <c r="K151" s="35">
        <v>3</v>
      </c>
      <c r="L151" s="38">
        <f t="shared" si="2"/>
        <v>13.03056179775281</v>
      </c>
      <c r="M151" s="35" t="s">
        <v>48</v>
      </c>
      <c r="N151" s="38">
        <v>13.03056179775281</v>
      </c>
      <c r="O151" s="35" t="s">
        <v>12</v>
      </c>
    </row>
    <row r="152" spans="1:15" x14ac:dyDescent="0.25">
      <c r="A152" s="35">
        <v>1166600625</v>
      </c>
      <c r="B152" s="35" t="s">
        <v>4199</v>
      </c>
      <c r="C152" s="35">
        <v>2024</v>
      </c>
      <c r="D152" s="36">
        <v>45502.647199074076</v>
      </c>
      <c r="E152" s="37" t="s">
        <v>2064</v>
      </c>
      <c r="F152" s="37" t="s">
        <v>4886</v>
      </c>
      <c r="G152" s="37" t="s">
        <v>4473</v>
      </c>
      <c r="H152" s="35" t="s">
        <v>3419</v>
      </c>
      <c r="I152" s="35" t="s">
        <v>3416</v>
      </c>
      <c r="J152" s="38">
        <v>12.902325581395347</v>
      </c>
      <c r="K152" s="35">
        <v>1</v>
      </c>
      <c r="L152" s="38">
        <f t="shared" si="2"/>
        <v>12.902325581395347</v>
      </c>
      <c r="M152" s="35" t="s">
        <v>48</v>
      </c>
      <c r="N152" s="38">
        <v>12.902325581395347</v>
      </c>
      <c r="O152" s="35" t="s">
        <v>12</v>
      </c>
    </row>
    <row r="153" spans="1:15" x14ac:dyDescent="0.25">
      <c r="A153" s="35">
        <v>1211690069</v>
      </c>
      <c r="B153" s="35" t="s">
        <v>3527</v>
      </c>
      <c r="C153" s="35">
        <v>2025</v>
      </c>
      <c r="D153" s="36">
        <v>45793.430671296293</v>
      </c>
      <c r="E153" s="37" t="s">
        <v>1185</v>
      </c>
      <c r="F153" s="37" t="s">
        <v>3451</v>
      </c>
      <c r="G153" s="37" t="s">
        <v>3668</v>
      </c>
      <c r="H153" s="35" t="s">
        <v>3419</v>
      </c>
      <c r="I153" s="35" t="s">
        <v>3530</v>
      </c>
      <c r="J153" s="38">
        <v>12.891000592066311</v>
      </c>
      <c r="K153" s="35">
        <v>1</v>
      </c>
      <c r="L153" s="38">
        <f t="shared" si="2"/>
        <v>12.891000592066311</v>
      </c>
      <c r="M153" s="35" t="s">
        <v>48</v>
      </c>
      <c r="N153" s="38">
        <v>12.891000592066311</v>
      </c>
      <c r="O153" s="35" t="s">
        <v>12</v>
      </c>
    </row>
    <row r="154" spans="1:15" x14ac:dyDescent="0.25">
      <c r="A154" s="35">
        <v>1191858521</v>
      </c>
      <c r="B154" s="35" t="s">
        <v>3721</v>
      </c>
      <c r="C154" s="35">
        <v>2025</v>
      </c>
      <c r="D154" s="36">
        <v>45701.570659722223</v>
      </c>
      <c r="E154" s="37" t="s">
        <v>1557</v>
      </c>
      <c r="F154" s="37" t="s">
        <v>4612</v>
      </c>
      <c r="G154" s="37" t="s">
        <v>3621</v>
      </c>
      <c r="H154" s="35" t="s">
        <v>3419</v>
      </c>
      <c r="I154" s="35" t="s">
        <v>3416</v>
      </c>
      <c r="J154" s="38">
        <v>6.4141348973607037</v>
      </c>
      <c r="K154" s="35">
        <v>2</v>
      </c>
      <c r="L154" s="38">
        <f t="shared" si="2"/>
        <v>12.828269794721407</v>
      </c>
      <c r="M154" s="35" t="s">
        <v>48</v>
      </c>
      <c r="N154" s="38">
        <v>12.828269794721407</v>
      </c>
      <c r="O154" s="35" t="s">
        <v>12</v>
      </c>
    </row>
    <row r="155" spans="1:15" x14ac:dyDescent="0.25">
      <c r="A155" s="35">
        <v>1244990507</v>
      </c>
      <c r="B155" s="35" t="s">
        <v>3890</v>
      </c>
      <c r="C155" s="35">
        <v>2025</v>
      </c>
      <c r="D155" s="36">
        <v>46008.730856481481</v>
      </c>
      <c r="E155" s="37" t="s">
        <v>645</v>
      </c>
      <c r="F155" s="37" t="s">
        <v>3919</v>
      </c>
      <c r="G155" s="37" t="s">
        <v>3551</v>
      </c>
      <c r="H155" s="35" t="s">
        <v>3415</v>
      </c>
      <c r="I155" s="35" t="s">
        <v>3416</v>
      </c>
      <c r="J155" s="38">
        <v>3.1849401197604794</v>
      </c>
      <c r="K155" s="35">
        <v>4</v>
      </c>
      <c r="L155" s="38">
        <f t="shared" si="2"/>
        <v>12.739760479041918</v>
      </c>
      <c r="M155" s="35" t="s">
        <v>48</v>
      </c>
      <c r="N155" s="38">
        <v>12.739760479041918</v>
      </c>
      <c r="O155" s="35" t="s">
        <v>12</v>
      </c>
    </row>
    <row r="156" spans="1:15" x14ac:dyDescent="0.25">
      <c r="A156" s="35">
        <v>1190040779</v>
      </c>
      <c r="B156" s="35" t="s">
        <v>3761</v>
      </c>
      <c r="C156" s="35">
        <v>2025</v>
      </c>
      <c r="D156" s="36">
        <v>45662.484050925923</v>
      </c>
      <c r="E156" s="37" t="s">
        <v>1587</v>
      </c>
      <c r="F156" s="37" t="s">
        <v>4573</v>
      </c>
      <c r="G156" s="37" t="s">
        <v>3879</v>
      </c>
      <c r="H156" s="35" t="s">
        <v>3419</v>
      </c>
      <c r="I156" s="35" t="s">
        <v>3416</v>
      </c>
      <c r="J156" s="38">
        <v>12.399999999999999</v>
      </c>
      <c r="K156" s="35">
        <v>1</v>
      </c>
      <c r="L156" s="38">
        <f t="shared" si="2"/>
        <v>12.399999999999999</v>
      </c>
      <c r="M156" s="35" t="s">
        <v>48</v>
      </c>
      <c r="N156" s="38">
        <v>12.399999999999999</v>
      </c>
      <c r="O156" s="35" t="s">
        <v>12</v>
      </c>
    </row>
    <row r="157" spans="1:15" x14ac:dyDescent="0.25">
      <c r="A157" s="35" t="s">
        <v>6293</v>
      </c>
      <c r="B157" s="35" t="s">
        <v>3968</v>
      </c>
      <c r="C157" s="35">
        <v>2022</v>
      </c>
      <c r="D157" s="36">
        <v>44868.428043981483</v>
      </c>
      <c r="E157" s="35" t="s">
        <v>4233</v>
      </c>
      <c r="F157" s="43" t="s">
        <v>6257</v>
      </c>
      <c r="G157" s="43" t="s">
        <v>5000</v>
      </c>
      <c r="H157" s="35" t="s">
        <v>3419</v>
      </c>
      <c r="I157" s="35" t="s">
        <v>3416</v>
      </c>
      <c r="J157" s="38">
        <v>6.17</v>
      </c>
      <c r="K157" s="35">
        <v>2</v>
      </c>
      <c r="L157" s="38">
        <f t="shared" si="2"/>
        <v>12.34</v>
      </c>
      <c r="M157" s="35" t="s">
        <v>48</v>
      </c>
      <c r="N157" s="38">
        <v>12.34</v>
      </c>
      <c r="O157" s="35" t="s">
        <v>12</v>
      </c>
    </row>
    <row r="158" spans="1:15" x14ac:dyDescent="0.25">
      <c r="A158" s="35">
        <v>1144313528</v>
      </c>
      <c r="B158" s="35" t="s">
        <v>3721</v>
      </c>
      <c r="C158" s="35">
        <v>2024</v>
      </c>
      <c r="D158" s="36">
        <v>45326.258425925917</v>
      </c>
      <c r="E158" s="37" t="s">
        <v>2654</v>
      </c>
      <c r="F158" s="37" t="s">
        <v>5244</v>
      </c>
      <c r="G158" s="37" t="s">
        <v>3457</v>
      </c>
      <c r="H158" s="35" t="s">
        <v>3419</v>
      </c>
      <c r="I158" s="35" t="s">
        <v>3416</v>
      </c>
      <c r="J158" s="38">
        <v>12.29</v>
      </c>
      <c r="K158" s="35">
        <v>1</v>
      </c>
      <c r="L158" s="38">
        <f t="shared" si="2"/>
        <v>12.29</v>
      </c>
      <c r="M158" s="35" t="s">
        <v>48</v>
      </c>
      <c r="N158" s="38">
        <v>12.29</v>
      </c>
      <c r="O158" s="35" t="s">
        <v>12</v>
      </c>
    </row>
    <row r="159" spans="1:15" x14ac:dyDescent="0.25">
      <c r="A159" s="35">
        <v>1255258655</v>
      </c>
      <c r="B159" s="35" t="s">
        <v>3721</v>
      </c>
      <c r="C159" s="35">
        <v>2026</v>
      </c>
      <c r="D159" s="36">
        <v>46064.017500000002</v>
      </c>
      <c r="E159" s="37" t="s">
        <v>423</v>
      </c>
      <c r="F159" s="37" t="s">
        <v>3746</v>
      </c>
      <c r="G159" s="37" t="s">
        <v>3652</v>
      </c>
      <c r="H159" s="35" t="s">
        <v>3415</v>
      </c>
      <c r="I159" s="35" t="s">
        <v>3416</v>
      </c>
      <c r="J159" s="38">
        <v>3.0625</v>
      </c>
      <c r="K159" s="35">
        <v>4</v>
      </c>
      <c r="L159" s="38">
        <f t="shared" si="2"/>
        <v>12.25</v>
      </c>
      <c r="M159" s="35" t="s">
        <v>48</v>
      </c>
      <c r="N159" s="38">
        <v>12.25</v>
      </c>
      <c r="O159" s="35" t="s">
        <v>12</v>
      </c>
    </row>
    <row r="160" spans="1:15" x14ac:dyDescent="0.25">
      <c r="A160" s="35">
        <v>1145280982</v>
      </c>
      <c r="B160" s="35" t="s">
        <v>3721</v>
      </c>
      <c r="C160" s="35">
        <v>2024</v>
      </c>
      <c r="D160" s="36">
        <v>45332.907256944447</v>
      </c>
      <c r="E160" s="37" t="s">
        <v>2631</v>
      </c>
      <c r="F160" s="37" t="s">
        <v>5233</v>
      </c>
      <c r="G160" s="37" t="s">
        <v>5141</v>
      </c>
      <c r="H160" s="35" t="s">
        <v>3419</v>
      </c>
      <c r="I160" s="35" t="s">
        <v>3530</v>
      </c>
      <c r="J160" s="38">
        <v>12.21</v>
      </c>
      <c r="K160" s="35">
        <v>1</v>
      </c>
      <c r="L160" s="38">
        <f t="shared" si="2"/>
        <v>12.21</v>
      </c>
      <c r="M160" s="35" t="s">
        <v>48</v>
      </c>
      <c r="N160" s="38">
        <v>12.21</v>
      </c>
      <c r="O160" s="35" t="s">
        <v>12</v>
      </c>
    </row>
    <row r="161" spans="1:15" x14ac:dyDescent="0.25">
      <c r="A161" s="35">
        <v>1187823895</v>
      </c>
      <c r="B161" s="35" t="s">
        <v>3761</v>
      </c>
      <c r="C161" s="35">
        <v>2025</v>
      </c>
      <c r="D161" s="36">
        <v>45658.801493055558</v>
      </c>
      <c r="E161" s="37" t="s">
        <v>1641</v>
      </c>
      <c r="F161" s="37" t="s">
        <v>4685</v>
      </c>
      <c r="G161" s="37" t="s">
        <v>4686</v>
      </c>
      <c r="H161" s="35" t="s">
        <v>3419</v>
      </c>
      <c r="I161" s="35" t="s">
        <v>3530</v>
      </c>
      <c r="J161" s="38">
        <v>12.17</v>
      </c>
      <c r="K161" s="35">
        <v>1</v>
      </c>
      <c r="L161" s="38">
        <f t="shared" si="2"/>
        <v>12.17</v>
      </c>
      <c r="M161" s="35" t="s">
        <v>48</v>
      </c>
      <c r="N161" s="38">
        <v>12.17</v>
      </c>
      <c r="O161" s="35" t="s">
        <v>12</v>
      </c>
    </row>
    <row r="162" spans="1:15" x14ac:dyDescent="0.25">
      <c r="A162" s="35">
        <v>1187539495</v>
      </c>
      <c r="B162" s="35" t="s">
        <v>3890</v>
      </c>
      <c r="C162" s="35">
        <v>2024</v>
      </c>
      <c r="D162" s="36">
        <v>45644.381319444437</v>
      </c>
      <c r="E162" s="37" t="s">
        <v>1649</v>
      </c>
      <c r="F162" s="37" t="s">
        <v>4573</v>
      </c>
      <c r="G162" s="37" t="s">
        <v>3879</v>
      </c>
      <c r="H162" s="35" t="s">
        <v>3419</v>
      </c>
      <c r="I162" s="35" t="s">
        <v>3416</v>
      </c>
      <c r="J162" s="38">
        <v>12.17</v>
      </c>
      <c r="K162" s="35">
        <v>1</v>
      </c>
      <c r="L162" s="38">
        <f t="shared" si="2"/>
        <v>12.17</v>
      </c>
      <c r="M162" s="35" t="s">
        <v>48</v>
      </c>
      <c r="N162" s="38">
        <v>12.17</v>
      </c>
      <c r="O162" s="35" t="s">
        <v>12</v>
      </c>
    </row>
    <row r="163" spans="1:15" x14ac:dyDescent="0.25">
      <c r="A163" s="35">
        <v>1171552559</v>
      </c>
      <c r="B163" s="35" t="s">
        <v>4132</v>
      </c>
      <c r="C163" s="35">
        <v>2024</v>
      </c>
      <c r="D163" s="36">
        <v>45541.639062499999</v>
      </c>
      <c r="E163" s="37" t="s">
        <v>1971</v>
      </c>
      <c r="F163" s="37" t="s">
        <v>4297</v>
      </c>
      <c r="G163" s="37" t="s">
        <v>3768</v>
      </c>
      <c r="H163" s="35" t="s">
        <v>3419</v>
      </c>
      <c r="I163" s="35" t="s">
        <v>3416</v>
      </c>
      <c r="J163" s="38">
        <v>12.17</v>
      </c>
      <c r="K163" s="35">
        <v>1</v>
      </c>
      <c r="L163" s="38">
        <f t="shared" si="2"/>
        <v>12.17</v>
      </c>
      <c r="M163" s="35" t="s">
        <v>48</v>
      </c>
      <c r="N163" s="38">
        <v>12.17</v>
      </c>
      <c r="O163" s="35" t="s">
        <v>12</v>
      </c>
    </row>
    <row r="164" spans="1:15" x14ac:dyDescent="0.25">
      <c r="A164" s="35">
        <v>1171549482</v>
      </c>
      <c r="B164" s="35" t="s">
        <v>4132</v>
      </c>
      <c r="C164" s="35">
        <v>2024</v>
      </c>
      <c r="D164" s="36">
        <v>45538.417800925927</v>
      </c>
      <c r="E164" s="37" t="s">
        <v>1973</v>
      </c>
      <c r="F164" s="37" t="s">
        <v>4297</v>
      </c>
      <c r="G164" s="37" t="s">
        <v>3768</v>
      </c>
      <c r="H164" s="35" t="s">
        <v>3419</v>
      </c>
      <c r="I164" s="35" t="s">
        <v>3416</v>
      </c>
      <c r="J164" s="38">
        <v>12.17</v>
      </c>
      <c r="K164" s="35">
        <v>1</v>
      </c>
      <c r="L164" s="38">
        <f t="shared" si="2"/>
        <v>12.17</v>
      </c>
      <c r="M164" s="35" t="s">
        <v>48</v>
      </c>
      <c r="N164" s="38">
        <v>12.17</v>
      </c>
      <c r="O164" s="35" t="s">
        <v>12</v>
      </c>
    </row>
    <row r="165" spans="1:15" x14ac:dyDescent="0.25">
      <c r="A165" s="35">
        <v>1160267539</v>
      </c>
      <c r="B165" s="35" t="s">
        <v>4199</v>
      </c>
      <c r="C165" s="35">
        <v>2024</v>
      </c>
      <c r="D165" s="36">
        <v>45490.044363425928</v>
      </c>
      <c r="E165" s="37" t="s">
        <v>2297</v>
      </c>
      <c r="F165" s="37" t="s">
        <v>4953</v>
      </c>
      <c r="G165" s="37" t="s">
        <v>3676</v>
      </c>
      <c r="H165" s="35" t="s">
        <v>3419</v>
      </c>
      <c r="I165" s="35" t="s">
        <v>3416</v>
      </c>
      <c r="J165" s="38">
        <v>12.17</v>
      </c>
      <c r="K165" s="35">
        <v>1</v>
      </c>
      <c r="L165" s="38">
        <f t="shared" si="2"/>
        <v>12.17</v>
      </c>
      <c r="M165" s="35" t="s">
        <v>48</v>
      </c>
      <c r="N165" s="38">
        <v>12.17</v>
      </c>
      <c r="O165" s="35" t="s">
        <v>12</v>
      </c>
    </row>
    <row r="166" spans="1:15" x14ac:dyDescent="0.25">
      <c r="A166" s="35">
        <v>1165849089</v>
      </c>
      <c r="B166" s="35" t="s">
        <v>4199</v>
      </c>
      <c r="C166" s="35">
        <v>2024</v>
      </c>
      <c r="D166" s="36">
        <v>45489.01394675926</v>
      </c>
      <c r="E166" s="37" t="s">
        <v>2102</v>
      </c>
      <c r="F166" s="37" t="s">
        <v>4955</v>
      </c>
      <c r="G166" s="37" t="s">
        <v>4147</v>
      </c>
      <c r="H166" s="35" t="s">
        <v>3419</v>
      </c>
      <c r="I166" s="35" t="s">
        <v>3530</v>
      </c>
      <c r="J166" s="38">
        <v>12.17</v>
      </c>
      <c r="K166" s="35">
        <v>1</v>
      </c>
      <c r="L166" s="38">
        <f t="shared" si="2"/>
        <v>12.17</v>
      </c>
      <c r="M166" s="35" t="s">
        <v>48</v>
      </c>
      <c r="N166" s="38">
        <v>12.17</v>
      </c>
      <c r="O166" s="35" t="s">
        <v>12</v>
      </c>
    </row>
    <row r="167" spans="1:15" x14ac:dyDescent="0.25">
      <c r="A167" s="35">
        <v>1162831676</v>
      </c>
      <c r="B167" s="35" t="s">
        <v>4199</v>
      </c>
      <c r="C167" s="35">
        <v>2024</v>
      </c>
      <c r="D167" s="36">
        <v>45482.869976851849</v>
      </c>
      <c r="E167" s="37" t="s">
        <v>2218</v>
      </c>
      <c r="F167" s="37" t="s">
        <v>4712</v>
      </c>
      <c r="G167" s="37" t="s">
        <v>3723</v>
      </c>
      <c r="H167" s="35" t="s">
        <v>3419</v>
      </c>
      <c r="I167" s="35" t="s">
        <v>3530</v>
      </c>
      <c r="J167" s="38">
        <v>12.17</v>
      </c>
      <c r="K167" s="35">
        <v>1</v>
      </c>
      <c r="L167" s="38">
        <f t="shared" si="2"/>
        <v>12.17</v>
      </c>
      <c r="M167" s="35" t="s">
        <v>48</v>
      </c>
      <c r="N167" s="38">
        <v>12.17</v>
      </c>
      <c r="O167" s="35" t="s">
        <v>12</v>
      </c>
    </row>
    <row r="168" spans="1:15" x14ac:dyDescent="0.25">
      <c r="A168" s="35">
        <v>1160321444</v>
      </c>
      <c r="B168" s="35" t="s">
        <v>3412</v>
      </c>
      <c r="C168" s="35">
        <v>2024</v>
      </c>
      <c r="D168" s="36">
        <v>45453.459456018521</v>
      </c>
      <c r="E168" s="37" t="s">
        <v>2295</v>
      </c>
      <c r="F168" s="37" t="s">
        <v>4953</v>
      </c>
      <c r="G168" s="37" t="s">
        <v>3676</v>
      </c>
      <c r="H168" s="35" t="s">
        <v>3419</v>
      </c>
      <c r="I168" s="35" t="s">
        <v>3416</v>
      </c>
      <c r="J168" s="38">
        <v>12.17</v>
      </c>
      <c r="K168" s="35">
        <v>1</v>
      </c>
      <c r="L168" s="38">
        <f t="shared" si="2"/>
        <v>12.17</v>
      </c>
      <c r="M168" s="35" t="s">
        <v>48</v>
      </c>
      <c r="N168" s="38">
        <v>12.17</v>
      </c>
      <c r="O168" s="35" t="s">
        <v>12</v>
      </c>
    </row>
    <row r="169" spans="1:15" x14ac:dyDescent="0.25">
      <c r="A169" s="35">
        <v>1239069185</v>
      </c>
      <c r="B169" s="35" t="s">
        <v>3968</v>
      </c>
      <c r="C169" s="35">
        <v>2025</v>
      </c>
      <c r="D169" s="36">
        <v>45963.569548611107</v>
      </c>
      <c r="E169" s="37" t="s">
        <v>817</v>
      </c>
      <c r="F169" s="37" t="s">
        <v>4067</v>
      </c>
      <c r="G169" s="37" t="s">
        <v>3696</v>
      </c>
      <c r="H169" s="35" t="s">
        <v>3419</v>
      </c>
      <c r="I169" s="35" t="s">
        <v>3453</v>
      </c>
      <c r="J169" s="38">
        <v>6.0007581227436821</v>
      </c>
      <c r="K169" s="35">
        <v>2</v>
      </c>
      <c r="L169" s="38">
        <f t="shared" si="2"/>
        <v>12.001516245487364</v>
      </c>
      <c r="M169" s="35" t="s">
        <v>48</v>
      </c>
      <c r="N169" s="38">
        <v>12.001516245487361</v>
      </c>
      <c r="O169" s="35" t="s">
        <v>12</v>
      </c>
    </row>
    <row r="170" spans="1:15" x14ac:dyDescent="0.25">
      <c r="A170" s="35">
        <v>1165316514</v>
      </c>
      <c r="B170" s="35" t="s">
        <v>4199</v>
      </c>
      <c r="C170" s="35">
        <v>2024</v>
      </c>
      <c r="D170" s="36">
        <v>45490.358576388891</v>
      </c>
      <c r="E170" s="37" t="s">
        <v>695</v>
      </c>
      <c r="F170" s="37" t="s">
        <v>4297</v>
      </c>
      <c r="G170" s="37" t="s">
        <v>3768</v>
      </c>
      <c r="H170" s="35" t="s">
        <v>3419</v>
      </c>
      <c r="I170" s="35" t="s">
        <v>3416</v>
      </c>
      <c r="J170" s="38">
        <v>11.985581395348836</v>
      </c>
      <c r="K170" s="35">
        <v>1</v>
      </c>
      <c r="L170" s="38">
        <f t="shared" si="2"/>
        <v>11.985581395348836</v>
      </c>
      <c r="M170" s="35" t="s">
        <v>48</v>
      </c>
      <c r="N170" s="38">
        <v>11.985581395348836</v>
      </c>
      <c r="O170" s="35" t="s">
        <v>12</v>
      </c>
    </row>
    <row r="171" spans="1:15" x14ac:dyDescent="0.25">
      <c r="A171" s="35">
        <v>1276244057</v>
      </c>
      <c r="B171" s="35" t="s">
        <v>3527</v>
      </c>
      <c r="C171" s="35">
        <v>2026</v>
      </c>
      <c r="D171" s="36">
        <v>46168.535798611112</v>
      </c>
      <c r="E171" s="37" t="s">
        <v>245</v>
      </c>
      <c r="F171" s="37" t="s">
        <v>3534</v>
      </c>
      <c r="G171" s="37" t="s">
        <v>3535</v>
      </c>
      <c r="H171" s="35" t="s">
        <v>3419</v>
      </c>
      <c r="I171" s="35" t="s">
        <v>3416</v>
      </c>
      <c r="J171" s="38">
        <v>3.9833333333333329</v>
      </c>
      <c r="K171" s="35">
        <v>3</v>
      </c>
      <c r="L171" s="38">
        <f t="shared" si="2"/>
        <v>11.95</v>
      </c>
      <c r="M171" s="35" t="s">
        <v>48</v>
      </c>
      <c r="N171" s="38">
        <v>11.95</v>
      </c>
      <c r="O171" s="35" t="s">
        <v>12</v>
      </c>
    </row>
    <row r="172" spans="1:15" x14ac:dyDescent="0.25">
      <c r="A172" s="35">
        <v>1211757537</v>
      </c>
      <c r="B172" s="35" t="s">
        <v>3527</v>
      </c>
      <c r="C172" s="35">
        <v>2025</v>
      </c>
      <c r="D172" s="36">
        <v>45793.788981481477</v>
      </c>
      <c r="E172" s="37" t="s">
        <v>92</v>
      </c>
      <c r="F172" s="37" t="s">
        <v>3451</v>
      </c>
      <c r="G172" s="37" t="s">
        <v>3668</v>
      </c>
      <c r="H172" s="35" t="s">
        <v>3419</v>
      </c>
      <c r="I172" s="35" t="s">
        <v>3416</v>
      </c>
      <c r="J172" s="38">
        <v>11.71365853658537</v>
      </c>
      <c r="K172" s="35">
        <v>1</v>
      </c>
      <c r="L172" s="38">
        <f t="shared" si="2"/>
        <v>11.71365853658537</v>
      </c>
      <c r="M172" s="35" t="s">
        <v>48</v>
      </c>
      <c r="N172" s="38">
        <v>11.71365853658537</v>
      </c>
      <c r="O172" s="35" t="s">
        <v>12</v>
      </c>
    </row>
    <row r="173" spans="1:15" x14ac:dyDescent="0.25">
      <c r="A173" s="35">
        <v>1146944509</v>
      </c>
      <c r="B173" s="35" t="s">
        <v>3721</v>
      </c>
      <c r="C173" s="35">
        <v>2024</v>
      </c>
      <c r="D173" s="36">
        <v>45346.418078703697</v>
      </c>
      <c r="E173" s="37" t="s">
        <v>2539</v>
      </c>
      <c r="F173" s="37" t="s">
        <v>5213</v>
      </c>
      <c r="G173" s="37" t="s">
        <v>3871</v>
      </c>
      <c r="H173" s="35" t="s">
        <v>3419</v>
      </c>
      <c r="I173" s="35" t="s">
        <v>3416</v>
      </c>
      <c r="J173" s="38">
        <v>11.71</v>
      </c>
      <c r="K173" s="35">
        <v>1</v>
      </c>
      <c r="L173" s="38">
        <f t="shared" si="2"/>
        <v>11.71</v>
      </c>
      <c r="M173" s="35" t="s">
        <v>48</v>
      </c>
      <c r="N173" s="38">
        <v>11.71</v>
      </c>
      <c r="O173" s="35" t="s">
        <v>12</v>
      </c>
    </row>
    <row r="174" spans="1:15" ht="30" x14ac:dyDescent="0.25">
      <c r="A174" s="35" t="s">
        <v>5625</v>
      </c>
      <c r="B174" s="35" t="s">
        <v>4132</v>
      </c>
      <c r="C174" s="35">
        <v>2023</v>
      </c>
      <c r="D174" s="36">
        <v>45185.359398148154</v>
      </c>
      <c r="E174" s="37" t="s">
        <v>4233</v>
      </c>
      <c r="F174" s="37" t="s">
        <v>5626</v>
      </c>
      <c r="G174" s="37" t="s">
        <v>3712</v>
      </c>
      <c r="H174" s="35" t="s">
        <v>3419</v>
      </c>
      <c r="I174" s="35" t="s">
        <v>3453</v>
      </c>
      <c r="J174" s="38">
        <v>5.75</v>
      </c>
      <c r="K174" s="35">
        <v>2</v>
      </c>
      <c r="L174" s="38">
        <f t="shared" si="2"/>
        <v>11.5</v>
      </c>
      <c r="M174" s="35" t="s">
        <v>48</v>
      </c>
      <c r="N174" s="38">
        <v>11.5</v>
      </c>
      <c r="O174" s="35" t="s">
        <v>12</v>
      </c>
    </row>
    <row r="175" spans="1:15" x14ac:dyDescent="0.25">
      <c r="A175" s="35">
        <v>1249268818</v>
      </c>
      <c r="B175" s="35" t="s">
        <v>3761</v>
      </c>
      <c r="C175" s="35">
        <v>2026</v>
      </c>
      <c r="D175" s="36">
        <v>46031.520439814813</v>
      </c>
      <c r="E175" s="37" t="s">
        <v>533</v>
      </c>
      <c r="F175" s="37" t="s">
        <v>3864</v>
      </c>
      <c r="G175" s="37" t="s">
        <v>3865</v>
      </c>
      <c r="H175" s="35" t="s">
        <v>3419</v>
      </c>
      <c r="I175" s="35" t="s">
        <v>3416</v>
      </c>
      <c r="J175" s="38">
        <v>5.6749999999999998</v>
      </c>
      <c r="K175" s="35">
        <v>2</v>
      </c>
      <c r="L175" s="38">
        <f t="shared" si="2"/>
        <v>11.35</v>
      </c>
      <c r="M175" s="35" t="s">
        <v>48</v>
      </c>
      <c r="N175" s="38">
        <v>11.35</v>
      </c>
      <c r="O175" s="35" t="s">
        <v>12</v>
      </c>
    </row>
    <row r="176" spans="1:15" x14ac:dyDescent="0.25">
      <c r="A176" s="35">
        <v>1199075481</v>
      </c>
      <c r="B176" s="35" t="s">
        <v>3646</v>
      </c>
      <c r="C176" s="35">
        <v>2025</v>
      </c>
      <c r="D176" s="36">
        <v>45728.630590277775</v>
      </c>
      <c r="E176" s="37" t="s">
        <v>1411</v>
      </c>
      <c r="F176" s="37" t="s">
        <v>4546</v>
      </c>
      <c r="G176" s="37" t="s">
        <v>3879</v>
      </c>
      <c r="H176" s="35" t="s">
        <v>3419</v>
      </c>
      <c r="I176" s="35" t="s">
        <v>3416</v>
      </c>
      <c r="J176" s="38">
        <v>3.7666666666666671</v>
      </c>
      <c r="K176" s="35">
        <v>3</v>
      </c>
      <c r="L176" s="38">
        <f t="shared" si="2"/>
        <v>11.3</v>
      </c>
      <c r="M176" s="35" t="s">
        <v>48</v>
      </c>
      <c r="N176" s="38">
        <v>11.3</v>
      </c>
      <c r="O176" s="35" t="s">
        <v>12</v>
      </c>
    </row>
    <row r="177" spans="1:15" x14ac:dyDescent="0.25">
      <c r="A177" s="35">
        <v>1238707570</v>
      </c>
      <c r="B177" s="35" t="s">
        <v>4070</v>
      </c>
      <c r="C177" s="35">
        <v>2025</v>
      </c>
      <c r="D177" s="36">
        <v>45961.339004629634</v>
      </c>
      <c r="E177" s="37" t="s">
        <v>824</v>
      </c>
      <c r="F177" s="37" t="s">
        <v>3824</v>
      </c>
      <c r="G177" s="37" t="s">
        <v>4072</v>
      </c>
      <c r="H177" s="35" t="s">
        <v>3419</v>
      </c>
      <c r="I177" s="35" t="s">
        <v>3453</v>
      </c>
      <c r="J177" s="38">
        <v>11.28</v>
      </c>
      <c r="K177" s="35">
        <v>1</v>
      </c>
      <c r="L177" s="38">
        <f t="shared" si="2"/>
        <v>11.28</v>
      </c>
      <c r="M177" s="35" t="s">
        <v>48</v>
      </c>
      <c r="N177" s="38">
        <v>11.28</v>
      </c>
      <c r="O177" s="35" t="s">
        <v>12</v>
      </c>
    </row>
    <row r="178" spans="1:15" x14ac:dyDescent="0.25">
      <c r="A178" s="35">
        <v>1243134485</v>
      </c>
      <c r="B178" s="35" t="s">
        <v>3890</v>
      </c>
      <c r="C178" s="35">
        <v>2025</v>
      </c>
      <c r="D178" s="36">
        <v>45992.612407407411</v>
      </c>
      <c r="E178" s="37" t="s">
        <v>695</v>
      </c>
      <c r="F178" s="37" t="s">
        <v>3964</v>
      </c>
      <c r="G178" s="37" t="s">
        <v>3770</v>
      </c>
      <c r="H178" s="35" t="s">
        <v>3419</v>
      </c>
      <c r="I178" s="35" t="s">
        <v>3416</v>
      </c>
      <c r="J178" s="38">
        <v>5.6150000000000002</v>
      </c>
      <c r="K178" s="35">
        <v>2</v>
      </c>
      <c r="L178" s="38">
        <f t="shared" si="2"/>
        <v>11.23</v>
      </c>
      <c r="M178" s="35" t="s">
        <v>48</v>
      </c>
      <c r="N178" s="38">
        <v>11.23</v>
      </c>
      <c r="O178" s="35" t="s">
        <v>12</v>
      </c>
    </row>
    <row r="179" spans="1:15" x14ac:dyDescent="0.25">
      <c r="A179" s="35">
        <v>1176153622</v>
      </c>
      <c r="B179" s="35" t="s">
        <v>4070</v>
      </c>
      <c r="C179" s="35">
        <v>2024</v>
      </c>
      <c r="D179" s="36">
        <v>45574.428078703706</v>
      </c>
      <c r="E179" s="37" t="s">
        <v>1864</v>
      </c>
      <c r="F179" s="37" t="s">
        <v>4833</v>
      </c>
      <c r="G179" s="37" t="s">
        <v>3674</v>
      </c>
      <c r="H179" s="35" t="s">
        <v>3419</v>
      </c>
      <c r="I179" s="35" t="s">
        <v>3530</v>
      </c>
      <c r="J179" s="38">
        <v>11.17</v>
      </c>
      <c r="K179" s="35">
        <v>1</v>
      </c>
      <c r="L179" s="38">
        <f t="shared" si="2"/>
        <v>11.17</v>
      </c>
      <c r="M179" s="35" t="s">
        <v>48</v>
      </c>
      <c r="N179" s="38">
        <v>11.17</v>
      </c>
      <c r="O179" s="35" t="s">
        <v>12</v>
      </c>
    </row>
    <row r="180" spans="1:15" x14ac:dyDescent="0.25">
      <c r="A180" s="35">
        <v>1170246592</v>
      </c>
      <c r="B180" s="35" t="s">
        <v>4158</v>
      </c>
      <c r="C180" s="35">
        <v>2024</v>
      </c>
      <c r="D180" s="36">
        <v>45527.56821759259</v>
      </c>
      <c r="E180" s="37" t="s">
        <v>1996</v>
      </c>
      <c r="F180" s="37" t="s">
        <v>4899</v>
      </c>
      <c r="G180" s="37" t="s">
        <v>3726</v>
      </c>
      <c r="H180" s="35" t="s">
        <v>3419</v>
      </c>
      <c r="I180" s="35" t="s">
        <v>3530</v>
      </c>
      <c r="J180" s="38">
        <v>5.5600000000000005</v>
      </c>
      <c r="K180" s="35">
        <v>2</v>
      </c>
      <c r="L180" s="38">
        <f t="shared" si="2"/>
        <v>11.120000000000001</v>
      </c>
      <c r="M180" s="35" t="s">
        <v>48</v>
      </c>
      <c r="N180" s="38">
        <v>11.120000000000001</v>
      </c>
      <c r="O180" s="35" t="s">
        <v>12</v>
      </c>
    </row>
    <row r="181" spans="1:15" x14ac:dyDescent="0.25">
      <c r="A181" s="35" t="s">
        <v>656</v>
      </c>
      <c r="B181" s="35" t="s">
        <v>3890</v>
      </c>
      <c r="C181" s="35">
        <v>2025</v>
      </c>
      <c r="D181" s="36">
        <v>45994</v>
      </c>
      <c r="E181" s="37" t="s">
        <v>657</v>
      </c>
      <c r="F181" s="37" t="s">
        <v>3953</v>
      </c>
      <c r="G181" s="37" t="s">
        <v>3954</v>
      </c>
      <c r="H181" s="35" t="s">
        <v>3415</v>
      </c>
      <c r="I181" s="35" t="s">
        <v>3453</v>
      </c>
      <c r="J181" s="38">
        <v>2.75</v>
      </c>
      <c r="K181" s="35">
        <v>4</v>
      </c>
      <c r="L181" s="38">
        <f t="shared" si="2"/>
        <v>11</v>
      </c>
      <c r="M181" s="35" t="s">
        <v>48</v>
      </c>
      <c r="N181" s="38">
        <v>11</v>
      </c>
      <c r="O181" s="35" t="s">
        <v>12</v>
      </c>
    </row>
    <row r="182" spans="1:15" x14ac:dyDescent="0.25">
      <c r="A182" s="35">
        <v>1143673463</v>
      </c>
      <c r="B182" s="35" t="s">
        <v>3761</v>
      </c>
      <c r="C182" s="35">
        <v>2024</v>
      </c>
      <c r="D182" s="36">
        <v>45320.626805555563</v>
      </c>
      <c r="E182" s="37" t="s">
        <v>2662</v>
      </c>
      <c r="F182" s="37" t="s">
        <v>5213</v>
      </c>
      <c r="G182" s="37" t="s">
        <v>3871</v>
      </c>
      <c r="H182" s="35" t="s">
        <v>3419</v>
      </c>
      <c r="I182" s="35" t="s">
        <v>3530</v>
      </c>
      <c r="J182" s="38">
        <v>10.86197916666667</v>
      </c>
      <c r="K182" s="35">
        <v>1</v>
      </c>
      <c r="L182" s="38">
        <f t="shared" si="2"/>
        <v>10.86197916666667</v>
      </c>
      <c r="M182" s="35" t="s">
        <v>48</v>
      </c>
      <c r="N182" s="38">
        <v>10.86197916666667</v>
      </c>
      <c r="O182" s="35" t="s">
        <v>12</v>
      </c>
    </row>
    <row r="183" spans="1:15" x14ac:dyDescent="0.25">
      <c r="A183" s="35">
        <v>1221500324</v>
      </c>
      <c r="B183" s="35" t="s">
        <v>4199</v>
      </c>
      <c r="C183" s="35">
        <v>2025</v>
      </c>
      <c r="D183" s="36">
        <v>45857.931273148148</v>
      </c>
      <c r="E183" s="37" t="s">
        <v>1051</v>
      </c>
      <c r="F183" s="37" t="s">
        <v>4216</v>
      </c>
      <c r="G183" s="37" t="s">
        <v>3820</v>
      </c>
      <c r="H183" s="35" t="s">
        <v>3419</v>
      </c>
      <c r="I183" s="35" t="s">
        <v>3416</v>
      </c>
      <c r="J183" s="38">
        <v>10.83</v>
      </c>
      <c r="K183" s="35">
        <v>1</v>
      </c>
      <c r="L183" s="38">
        <f t="shared" si="2"/>
        <v>10.83</v>
      </c>
      <c r="M183" s="35" t="s">
        <v>48</v>
      </c>
      <c r="N183" s="38">
        <v>10.83</v>
      </c>
      <c r="O183" s="35" t="s">
        <v>12</v>
      </c>
    </row>
    <row r="184" spans="1:15" ht="30" x14ac:dyDescent="0.25">
      <c r="A184" s="35" t="s">
        <v>4767</v>
      </c>
      <c r="B184" s="35" t="s">
        <v>3968</v>
      </c>
      <c r="C184" s="35">
        <v>2024</v>
      </c>
      <c r="D184" s="36">
        <v>45619.499363425923</v>
      </c>
      <c r="E184" s="37" t="s">
        <v>4233</v>
      </c>
      <c r="F184" s="37" t="s">
        <v>4768</v>
      </c>
      <c r="G184" s="37" t="s">
        <v>4140</v>
      </c>
      <c r="H184" s="35" t="s">
        <v>3419</v>
      </c>
      <c r="I184" s="35" t="s">
        <v>3416</v>
      </c>
      <c r="J184" s="38">
        <v>3.5933333333333333</v>
      </c>
      <c r="K184" s="35">
        <v>3</v>
      </c>
      <c r="L184" s="38">
        <f t="shared" si="2"/>
        <v>10.78</v>
      </c>
      <c r="M184" s="35" t="s">
        <v>48</v>
      </c>
      <c r="N184" s="38">
        <v>10.78</v>
      </c>
      <c r="O184" s="35" t="s">
        <v>12</v>
      </c>
    </row>
    <row r="185" spans="1:15" x14ac:dyDescent="0.25">
      <c r="A185" s="35">
        <v>1266121863</v>
      </c>
      <c r="B185" s="35" t="s">
        <v>3631</v>
      </c>
      <c r="C185" s="35">
        <v>2026</v>
      </c>
      <c r="D185" s="36">
        <v>46133.397731481484</v>
      </c>
      <c r="E185" s="37" t="s">
        <v>318</v>
      </c>
      <c r="F185" s="37" t="s">
        <v>3636</v>
      </c>
      <c r="G185" s="37" t="s">
        <v>3637</v>
      </c>
      <c r="H185" s="35" t="s">
        <v>3419</v>
      </c>
      <c r="I185" s="35" t="s">
        <v>3416</v>
      </c>
      <c r="J185" s="38">
        <v>5.3772321428571432</v>
      </c>
      <c r="K185" s="35">
        <v>2</v>
      </c>
      <c r="L185" s="38">
        <f t="shared" si="2"/>
        <v>10.754464285714286</v>
      </c>
      <c r="M185" s="35" t="s">
        <v>48</v>
      </c>
      <c r="N185" s="38">
        <v>10.754464285714286</v>
      </c>
      <c r="O185" s="35" t="s">
        <v>12</v>
      </c>
    </row>
    <row r="186" spans="1:15" x14ac:dyDescent="0.25">
      <c r="A186" s="35">
        <v>1142998778</v>
      </c>
      <c r="B186" s="35" t="s">
        <v>3721</v>
      </c>
      <c r="C186" s="35">
        <v>2024</v>
      </c>
      <c r="D186" s="36">
        <v>45327.791516203702</v>
      </c>
      <c r="E186" s="37" t="s">
        <v>2677</v>
      </c>
      <c r="F186" s="37" t="s">
        <v>5213</v>
      </c>
      <c r="G186" s="37" t="s">
        <v>4147</v>
      </c>
      <c r="H186" s="35" t="s">
        <v>3419</v>
      </c>
      <c r="I186" s="35" t="s">
        <v>3530</v>
      </c>
      <c r="J186" s="38">
        <v>10.671263275572946</v>
      </c>
      <c r="K186" s="35">
        <v>1</v>
      </c>
      <c r="L186" s="38">
        <f t="shared" si="2"/>
        <v>10.671263275572946</v>
      </c>
      <c r="M186" s="35" t="s">
        <v>48</v>
      </c>
      <c r="N186" s="38">
        <v>10.671263275572946</v>
      </c>
      <c r="O186" s="35" t="s">
        <v>12</v>
      </c>
    </row>
    <row r="187" spans="1:15" x14ac:dyDescent="0.25">
      <c r="A187" s="35">
        <v>1143673463</v>
      </c>
      <c r="B187" s="35" t="s">
        <v>3721</v>
      </c>
      <c r="C187" s="35">
        <v>2024</v>
      </c>
      <c r="D187" s="36">
        <v>45331.899548611109</v>
      </c>
      <c r="E187" s="37" t="s">
        <v>2662</v>
      </c>
      <c r="F187" s="37" t="s">
        <v>5213</v>
      </c>
      <c r="G187" s="37" t="s">
        <v>4147</v>
      </c>
      <c r="H187" s="35" t="s">
        <v>3419</v>
      </c>
      <c r="I187" s="35" t="s">
        <v>3530</v>
      </c>
      <c r="J187" s="38">
        <v>10.638020833333334</v>
      </c>
      <c r="K187" s="35">
        <v>1</v>
      </c>
      <c r="L187" s="38">
        <f t="shared" si="2"/>
        <v>10.638020833333334</v>
      </c>
      <c r="M187" s="35" t="s">
        <v>48</v>
      </c>
      <c r="N187" s="38">
        <v>10.638020833333334</v>
      </c>
      <c r="O187" s="35" t="s">
        <v>12</v>
      </c>
    </row>
    <row r="188" spans="1:15" x14ac:dyDescent="0.25">
      <c r="A188" s="35">
        <v>1230501200</v>
      </c>
      <c r="B188" s="35" t="s">
        <v>4132</v>
      </c>
      <c r="C188" s="35">
        <v>2025</v>
      </c>
      <c r="D188" s="36">
        <v>45911.442407407398</v>
      </c>
      <c r="E188" s="37" t="s">
        <v>962</v>
      </c>
      <c r="F188" s="37" t="s">
        <v>4148</v>
      </c>
      <c r="G188" s="37" t="s">
        <v>3518</v>
      </c>
      <c r="H188" s="35" t="s">
        <v>3419</v>
      </c>
      <c r="I188" s="35" t="s">
        <v>3416</v>
      </c>
      <c r="J188" s="38">
        <v>10.4</v>
      </c>
      <c r="K188" s="35">
        <v>1</v>
      </c>
      <c r="L188" s="38">
        <f t="shared" si="2"/>
        <v>10.4</v>
      </c>
      <c r="M188" s="35" t="s">
        <v>48</v>
      </c>
      <c r="N188" s="38">
        <v>10.4</v>
      </c>
      <c r="O188" s="35" t="s">
        <v>12</v>
      </c>
    </row>
    <row r="189" spans="1:15" x14ac:dyDescent="0.25">
      <c r="A189" s="35">
        <v>1201256238</v>
      </c>
      <c r="B189" s="35" t="s">
        <v>3646</v>
      </c>
      <c r="C189" s="35">
        <v>2025</v>
      </c>
      <c r="D189" s="36">
        <v>45741.751319444447</v>
      </c>
      <c r="E189" s="37" t="s">
        <v>1369</v>
      </c>
      <c r="F189" s="37" t="s">
        <v>4479</v>
      </c>
      <c r="G189" s="37" t="s">
        <v>4480</v>
      </c>
      <c r="H189" s="35" t="s">
        <v>3419</v>
      </c>
      <c r="I189" s="35" t="s">
        <v>3416</v>
      </c>
      <c r="J189" s="38">
        <v>10.4</v>
      </c>
      <c r="K189" s="35">
        <v>1</v>
      </c>
      <c r="L189" s="38">
        <f t="shared" si="2"/>
        <v>10.4</v>
      </c>
      <c r="M189" s="35" t="s">
        <v>48</v>
      </c>
      <c r="N189" s="38">
        <v>10.4</v>
      </c>
      <c r="O189" s="35" t="s">
        <v>12</v>
      </c>
    </row>
    <row r="190" spans="1:15" x14ac:dyDescent="0.25">
      <c r="A190" s="35">
        <v>1258565333</v>
      </c>
      <c r="B190" s="35" t="s">
        <v>3721</v>
      </c>
      <c r="C190" s="35">
        <v>2026</v>
      </c>
      <c r="D190" s="36">
        <v>46073.259675925918</v>
      </c>
      <c r="E190" s="37" t="s">
        <v>369</v>
      </c>
      <c r="F190" s="37" t="s">
        <v>3724</v>
      </c>
      <c r="G190" s="37" t="s">
        <v>3533</v>
      </c>
      <c r="H190" s="35" t="s">
        <v>3419</v>
      </c>
      <c r="I190" s="35" t="s">
        <v>3530</v>
      </c>
      <c r="J190" s="38">
        <v>10.399999999999999</v>
      </c>
      <c r="K190" s="35">
        <v>1</v>
      </c>
      <c r="L190" s="38">
        <f t="shared" si="2"/>
        <v>10.399999999999999</v>
      </c>
      <c r="M190" s="35" t="s">
        <v>48</v>
      </c>
      <c r="N190" s="38">
        <v>10.399999999999999</v>
      </c>
      <c r="O190" s="35" t="s">
        <v>12</v>
      </c>
    </row>
    <row r="191" spans="1:15" x14ac:dyDescent="0.25">
      <c r="A191" s="35">
        <v>1210630550</v>
      </c>
      <c r="B191" s="35" t="s">
        <v>3527</v>
      </c>
      <c r="C191" s="35">
        <v>2025</v>
      </c>
      <c r="D191" s="36">
        <v>45786.636180555557</v>
      </c>
      <c r="E191" s="37" t="s">
        <v>1216</v>
      </c>
      <c r="F191" s="37" t="s">
        <v>4337</v>
      </c>
      <c r="G191" s="37" t="s">
        <v>4338</v>
      </c>
      <c r="H191" s="35" t="s">
        <v>3419</v>
      </c>
      <c r="I191" s="35" t="s">
        <v>3416</v>
      </c>
      <c r="J191" s="38">
        <v>10.28</v>
      </c>
      <c r="K191" s="35">
        <v>1</v>
      </c>
      <c r="L191" s="38">
        <f t="shared" si="2"/>
        <v>10.28</v>
      </c>
      <c r="M191" s="35" t="s">
        <v>48</v>
      </c>
      <c r="N191" s="38">
        <v>10.28</v>
      </c>
      <c r="O191" s="35" t="s">
        <v>12</v>
      </c>
    </row>
    <row r="192" spans="1:15" x14ac:dyDescent="0.25">
      <c r="A192" s="35">
        <v>1247288758</v>
      </c>
      <c r="B192" s="35" t="s">
        <v>3890</v>
      </c>
      <c r="C192" s="35">
        <v>2025</v>
      </c>
      <c r="D192" s="36">
        <v>46021.649016203701</v>
      </c>
      <c r="E192" s="37" t="s">
        <v>593</v>
      </c>
      <c r="F192" s="37" t="s">
        <v>3892</v>
      </c>
      <c r="G192" s="37" t="s">
        <v>3797</v>
      </c>
      <c r="H192" s="35" t="s">
        <v>3415</v>
      </c>
      <c r="I192" s="35" t="s">
        <v>3416</v>
      </c>
      <c r="J192" s="38">
        <v>2.5625</v>
      </c>
      <c r="K192" s="35">
        <v>4</v>
      </c>
      <c r="L192" s="38">
        <f t="shared" si="2"/>
        <v>10.25</v>
      </c>
      <c r="M192" s="35" t="s">
        <v>48</v>
      </c>
      <c r="N192" s="38">
        <v>10.25</v>
      </c>
      <c r="O192" s="35" t="s">
        <v>12</v>
      </c>
    </row>
    <row r="193" spans="1:15" x14ac:dyDescent="0.25">
      <c r="A193" s="35">
        <v>1149346155</v>
      </c>
      <c r="B193" s="35" t="s">
        <v>3646</v>
      </c>
      <c r="C193" s="35">
        <v>2024</v>
      </c>
      <c r="D193" s="36">
        <v>45373.638703703706</v>
      </c>
      <c r="E193" s="37" t="s">
        <v>1805</v>
      </c>
      <c r="F193" s="37" t="s">
        <v>5179</v>
      </c>
      <c r="G193" s="37" t="s">
        <v>4095</v>
      </c>
      <c r="H193" s="35" t="s">
        <v>3419</v>
      </c>
      <c r="I193" s="35" t="s">
        <v>3530</v>
      </c>
      <c r="J193" s="38">
        <v>10.210000000000001</v>
      </c>
      <c r="K193" s="35">
        <v>1</v>
      </c>
      <c r="L193" s="38">
        <f t="shared" si="2"/>
        <v>10.210000000000001</v>
      </c>
      <c r="M193" s="35" t="s">
        <v>48</v>
      </c>
      <c r="N193" s="38">
        <v>10.210000000000001</v>
      </c>
      <c r="O193" s="35" t="s">
        <v>12</v>
      </c>
    </row>
    <row r="194" spans="1:15" x14ac:dyDescent="0.25">
      <c r="A194" s="35">
        <v>1165991753</v>
      </c>
      <c r="B194" s="35" t="s">
        <v>4199</v>
      </c>
      <c r="C194" s="35">
        <v>2024</v>
      </c>
      <c r="D194" s="36">
        <v>45496.708368055559</v>
      </c>
      <c r="E194" s="37" t="s">
        <v>2087</v>
      </c>
      <c r="F194" s="37" t="s">
        <v>4936</v>
      </c>
      <c r="G194" s="37" t="s">
        <v>3755</v>
      </c>
      <c r="H194" s="35" t="s">
        <v>3419</v>
      </c>
      <c r="I194" s="35" t="s">
        <v>3416</v>
      </c>
      <c r="J194" s="38">
        <v>10.17</v>
      </c>
      <c r="K194" s="35">
        <v>1</v>
      </c>
      <c r="L194" s="38">
        <f t="shared" ref="L194:L257" si="3">J194*K194</f>
        <v>10.17</v>
      </c>
      <c r="M194" s="35" t="s">
        <v>48</v>
      </c>
      <c r="N194" s="38">
        <v>10.17</v>
      </c>
      <c r="O194" s="35" t="s">
        <v>12</v>
      </c>
    </row>
    <row r="195" spans="1:15" x14ac:dyDescent="0.25">
      <c r="A195" s="35">
        <v>1156788749</v>
      </c>
      <c r="B195" s="35" t="s">
        <v>3527</v>
      </c>
      <c r="C195" s="35">
        <v>2024</v>
      </c>
      <c r="D195" s="36">
        <v>45429.530844907407</v>
      </c>
      <c r="E195" s="37" t="s">
        <v>2400</v>
      </c>
      <c r="F195" s="37" t="s">
        <v>5083</v>
      </c>
      <c r="G195" s="37" t="s">
        <v>4009</v>
      </c>
      <c r="H195" s="35" t="s">
        <v>3419</v>
      </c>
      <c r="I195" s="35" t="s">
        <v>3530</v>
      </c>
      <c r="J195" s="38">
        <v>10.17</v>
      </c>
      <c r="K195" s="35">
        <v>1</v>
      </c>
      <c r="L195" s="38">
        <f t="shared" si="3"/>
        <v>10.17</v>
      </c>
      <c r="M195" s="35" t="s">
        <v>48</v>
      </c>
      <c r="N195" s="38">
        <v>10.17</v>
      </c>
      <c r="O195" s="35" t="s">
        <v>12</v>
      </c>
    </row>
    <row r="196" spans="1:15" x14ac:dyDescent="0.25">
      <c r="A196" s="35">
        <v>1254900778</v>
      </c>
      <c r="B196" s="35" t="s">
        <v>3721</v>
      </c>
      <c r="C196" s="35">
        <v>2026</v>
      </c>
      <c r="D196" s="36">
        <v>46058.699629629627</v>
      </c>
      <c r="E196" s="37" t="s">
        <v>430</v>
      </c>
      <c r="F196" s="37" t="s">
        <v>3753</v>
      </c>
      <c r="G196" s="37" t="s">
        <v>3729</v>
      </c>
      <c r="H196" s="35" t="s">
        <v>3419</v>
      </c>
      <c r="I196" s="35" t="s">
        <v>3416</v>
      </c>
      <c r="J196" s="38">
        <v>9.4</v>
      </c>
      <c r="K196" s="35">
        <v>1</v>
      </c>
      <c r="L196" s="38">
        <f t="shared" si="3"/>
        <v>9.4</v>
      </c>
      <c r="M196" s="35" t="s">
        <v>48</v>
      </c>
      <c r="N196" s="38">
        <v>9.4</v>
      </c>
      <c r="O196" s="35" t="s">
        <v>12</v>
      </c>
    </row>
    <row r="197" spans="1:15" x14ac:dyDescent="0.25">
      <c r="A197" s="35">
        <v>1260428137</v>
      </c>
      <c r="B197" s="35" t="s">
        <v>3646</v>
      </c>
      <c r="C197" s="35">
        <v>2026</v>
      </c>
      <c r="D197" s="36">
        <v>46090.778287037036</v>
      </c>
      <c r="E197" s="37" t="s">
        <v>357</v>
      </c>
      <c r="F197" s="37" t="s">
        <v>3693</v>
      </c>
      <c r="G197" s="37" t="s">
        <v>3694</v>
      </c>
      <c r="H197" s="35" t="s">
        <v>3419</v>
      </c>
      <c r="I197" s="35" t="s">
        <v>3453</v>
      </c>
      <c r="J197" s="38">
        <v>4.6749999999999998</v>
      </c>
      <c r="K197" s="35">
        <v>2</v>
      </c>
      <c r="L197" s="38">
        <f t="shared" si="3"/>
        <v>9.35</v>
      </c>
      <c r="M197" s="35" t="s">
        <v>48</v>
      </c>
      <c r="N197" s="38">
        <v>9.35</v>
      </c>
      <c r="O197" s="35" t="s">
        <v>12</v>
      </c>
    </row>
    <row r="198" spans="1:15" ht="30" x14ac:dyDescent="0.25">
      <c r="A198" s="35" t="s">
        <v>5292</v>
      </c>
      <c r="B198" s="35" t="s">
        <v>3890</v>
      </c>
      <c r="C198" s="35">
        <v>2023</v>
      </c>
      <c r="D198" s="36">
        <v>45284.77003472222</v>
      </c>
      <c r="E198" s="37" t="s">
        <v>4233</v>
      </c>
      <c r="F198" s="37" t="s">
        <v>5293</v>
      </c>
      <c r="G198" s="37" t="s">
        <v>3945</v>
      </c>
      <c r="H198" s="35" t="s">
        <v>3415</v>
      </c>
      <c r="I198" s="35" t="s">
        <v>3416</v>
      </c>
      <c r="J198" s="38">
        <v>2.335</v>
      </c>
      <c r="K198" s="35">
        <v>4</v>
      </c>
      <c r="L198" s="38">
        <f t="shared" si="3"/>
        <v>9.34</v>
      </c>
      <c r="M198" s="35" t="s">
        <v>48</v>
      </c>
      <c r="N198" s="38">
        <v>9.34</v>
      </c>
      <c r="O198" s="35" t="s">
        <v>12</v>
      </c>
    </row>
    <row r="199" spans="1:15" x14ac:dyDescent="0.25">
      <c r="A199" s="35">
        <v>1195629059</v>
      </c>
      <c r="B199" s="35" t="s">
        <v>3721</v>
      </c>
      <c r="C199" s="35">
        <v>2025</v>
      </c>
      <c r="D199" s="36">
        <v>45708.57708333333</v>
      </c>
      <c r="E199" s="37" t="s">
        <v>1457</v>
      </c>
      <c r="F199" s="37" t="s">
        <v>4062</v>
      </c>
      <c r="G199" s="37" t="s">
        <v>4063</v>
      </c>
      <c r="H199" s="35" t="s">
        <v>3419</v>
      </c>
      <c r="I199" s="35" t="s">
        <v>3416</v>
      </c>
      <c r="J199" s="38">
        <v>9.2800000000000011</v>
      </c>
      <c r="K199" s="35">
        <v>1</v>
      </c>
      <c r="L199" s="38">
        <f t="shared" si="3"/>
        <v>9.2800000000000011</v>
      </c>
      <c r="M199" s="35" t="s">
        <v>48</v>
      </c>
      <c r="N199" s="38">
        <v>9.2800000000000011</v>
      </c>
      <c r="O199" s="35" t="s">
        <v>12</v>
      </c>
    </row>
    <row r="200" spans="1:15" x14ac:dyDescent="0.25">
      <c r="A200" s="35">
        <v>1259925283</v>
      </c>
      <c r="B200" s="35" t="s">
        <v>3646</v>
      </c>
      <c r="C200" s="35">
        <v>2026</v>
      </c>
      <c r="D200" s="36">
        <v>46090.421585648146</v>
      </c>
      <c r="E200" s="37" t="s">
        <v>363</v>
      </c>
      <c r="F200" s="37" t="s">
        <v>3695</v>
      </c>
      <c r="G200" s="37" t="s">
        <v>3696</v>
      </c>
      <c r="H200" s="35" t="s">
        <v>3419</v>
      </c>
      <c r="I200" s="35" t="s">
        <v>3453</v>
      </c>
      <c r="J200" s="38">
        <v>4.631845238095238</v>
      </c>
      <c r="K200" s="35">
        <v>2</v>
      </c>
      <c r="L200" s="38">
        <f t="shared" si="3"/>
        <v>9.2636904761904759</v>
      </c>
      <c r="M200" s="35" t="s">
        <v>48</v>
      </c>
      <c r="N200" s="38">
        <v>9.2636904761904759</v>
      </c>
      <c r="O200" s="35" t="s">
        <v>12</v>
      </c>
    </row>
    <row r="201" spans="1:15" x14ac:dyDescent="0.25">
      <c r="A201" s="35">
        <v>1263299290</v>
      </c>
      <c r="B201" s="35" t="s">
        <v>3646</v>
      </c>
      <c r="C201" s="35">
        <v>2026</v>
      </c>
      <c r="D201" s="36">
        <v>46112.520266203705</v>
      </c>
      <c r="E201" s="37" t="s">
        <v>336</v>
      </c>
      <c r="F201" s="37" t="s">
        <v>3647</v>
      </c>
      <c r="G201" s="37" t="s">
        <v>3648</v>
      </c>
      <c r="H201" s="35" t="s">
        <v>3415</v>
      </c>
      <c r="I201" s="35" t="s">
        <v>3416</v>
      </c>
      <c r="J201" s="38">
        <v>2.3125</v>
      </c>
      <c r="K201" s="35">
        <v>4</v>
      </c>
      <c r="L201" s="38">
        <f t="shared" si="3"/>
        <v>9.25</v>
      </c>
      <c r="M201" s="35" t="s">
        <v>48</v>
      </c>
      <c r="N201" s="38">
        <v>9.25</v>
      </c>
      <c r="O201" s="35" t="s">
        <v>12</v>
      </c>
    </row>
    <row r="202" spans="1:15" x14ac:dyDescent="0.25">
      <c r="A202" s="35">
        <v>1167191090</v>
      </c>
      <c r="B202" s="35" t="s">
        <v>4199</v>
      </c>
      <c r="C202" s="35">
        <v>2024</v>
      </c>
      <c r="D202" s="36">
        <v>45499.697384259263</v>
      </c>
      <c r="E202" s="37" t="s">
        <v>2049</v>
      </c>
      <c r="F202" s="37" t="s">
        <v>4932</v>
      </c>
      <c r="G202" s="37" t="s">
        <v>3755</v>
      </c>
      <c r="H202" s="35" t="s">
        <v>3419</v>
      </c>
      <c r="I202" s="35" t="s">
        <v>3931</v>
      </c>
      <c r="J202" s="38">
        <v>9.25</v>
      </c>
      <c r="K202" s="35">
        <v>1</v>
      </c>
      <c r="L202" s="38">
        <f t="shared" si="3"/>
        <v>9.25</v>
      </c>
      <c r="M202" s="35" t="s">
        <v>48</v>
      </c>
      <c r="N202" s="38">
        <v>9.25</v>
      </c>
      <c r="O202" s="35" t="s">
        <v>12</v>
      </c>
    </row>
    <row r="203" spans="1:15" x14ac:dyDescent="0.25">
      <c r="A203" s="35">
        <v>1154388616</v>
      </c>
      <c r="B203" s="35" t="s">
        <v>3631</v>
      </c>
      <c r="C203" s="35">
        <v>2024</v>
      </c>
      <c r="D203" s="36">
        <v>45407.539120370369</v>
      </c>
      <c r="E203" s="37" t="s">
        <v>2462</v>
      </c>
      <c r="F203" s="37" t="s">
        <v>5140</v>
      </c>
      <c r="G203" s="37" t="s">
        <v>5141</v>
      </c>
      <c r="H203" s="35" t="s">
        <v>3419</v>
      </c>
      <c r="I203" s="35" t="s">
        <v>3530</v>
      </c>
      <c r="J203" s="38">
        <v>9.2100000000000009</v>
      </c>
      <c r="K203" s="35">
        <v>1</v>
      </c>
      <c r="L203" s="38">
        <f t="shared" si="3"/>
        <v>9.2100000000000009</v>
      </c>
      <c r="M203" s="35" t="s">
        <v>48</v>
      </c>
      <c r="N203" s="38">
        <v>9.2100000000000009</v>
      </c>
      <c r="O203" s="35" t="s">
        <v>12</v>
      </c>
    </row>
    <row r="204" spans="1:15" x14ac:dyDescent="0.25">
      <c r="A204" s="35">
        <v>1144834395</v>
      </c>
      <c r="B204" s="35" t="s">
        <v>3721</v>
      </c>
      <c r="C204" s="35">
        <v>2024</v>
      </c>
      <c r="D204" s="36">
        <v>45329.622233796297</v>
      </c>
      <c r="E204" s="37" t="s">
        <v>2647</v>
      </c>
      <c r="F204" s="37" t="s">
        <v>5238</v>
      </c>
      <c r="G204" s="37" t="s">
        <v>4268</v>
      </c>
      <c r="H204" s="35" t="s">
        <v>3419</v>
      </c>
      <c r="I204" s="35" t="s">
        <v>3530</v>
      </c>
      <c r="J204" s="38">
        <v>9.2100000000000009</v>
      </c>
      <c r="K204" s="35">
        <v>1</v>
      </c>
      <c r="L204" s="38">
        <f t="shared" si="3"/>
        <v>9.2100000000000009</v>
      </c>
      <c r="M204" s="35" t="s">
        <v>48</v>
      </c>
      <c r="N204" s="38">
        <v>9.2100000000000009</v>
      </c>
      <c r="O204" s="35" t="s">
        <v>12</v>
      </c>
    </row>
    <row r="205" spans="1:15" x14ac:dyDescent="0.25">
      <c r="A205" s="35">
        <v>1144228930</v>
      </c>
      <c r="B205" s="35" t="s">
        <v>3721</v>
      </c>
      <c r="C205" s="35">
        <v>2024</v>
      </c>
      <c r="D205" s="36">
        <v>45324.943032407413</v>
      </c>
      <c r="E205" s="37" t="s">
        <v>2656</v>
      </c>
      <c r="F205" s="37" t="s">
        <v>5238</v>
      </c>
      <c r="G205" s="37" t="s">
        <v>3871</v>
      </c>
      <c r="H205" s="35" t="s">
        <v>3419</v>
      </c>
      <c r="I205" s="35" t="s">
        <v>3530</v>
      </c>
      <c r="J205" s="38">
        <v>9.2100000000000009</v>
      </c>
      <c r="K205" s="35">
        <v>1</v>
      </c>
      <c r="L205" s="38">
        <f t="shared" si="3"/>
        <v>9.2100000000000009</v>
      </c>
      <c r="M205" s="35" t="s">
        <v>48</v>
      </c>
      <c r="N205" s="38">
        <v>9.2100000000000009</v>
      </c>
      <c r="O205" s="35" t="s">
        <v>12</v>
      </c>
    </row>
    <row r="206" spans="1:15" x14ac:dyDescent="0.25">
      <c r="A206" s="35">
        <v>1248066770</v>
      </c>
      <c r="B206" s="35" t="s">
        <v>3890</v>
      </c>
      <c r="C206" s="35">
        <v>2025</v>
      </c>
      <c r="D206" s="36">
        <v>46018.698194444441</v>
      </c>
      <c r="E206" s="37" t="s">
        <v>567</v>
      </c>
      <c r="F206" s="37" t="s">
        <v>3900</v>
      </c>
      <c r="G206" s="37" t="s">
        <v>3518</v>
      </c>
      <c r="H206" s="35" t="s">
        <v>3419</v>
      </c>
      <c r="I206" s="35" t="s">
        <v>3416</v>
      </c>
      <c r="J206" s="38">
        <v>9.2013017751479289</v>
      </c>
      <c r="K206" s="35">
        <v>1</v>
      </c>
      <c r="L206" s="38">
        <f t="shared" si="3"/>
        <v>9.2013017751479289</v>
      </c>
      <c r="M206" s="35" t="s">
        <v>48</v>
      </c>
      <c r="N206" s="38">
        <v>9.2013017751479289</v>
      </c>
      <c r="O206" s="35" t="s">
        <v>12</v>
      </c>
    </row>
    <row r="207" spans="1:15" x14ac:dyDescent="0.25">
      <c r="A207" s="35">
        <v>1172362217</v>
      </c>
      <c r="B207" s="35" t="s">
        <v>4132</v>
      </c>
      <c r="C207" s="35">
        <v>2024</v>
      </c>
      <c r="D207" s="36">
        <v>45537.862523148149</v>
      </c>
      <c r="E207" s="37" t="s">
        <v>1944</v>
      </c>
      <c r="F207" s="37" t="s">
        <v>4573</v>
      </c>
      <c r="G207" s="37" t="s">
        <v>3879</v>
      </c>
      <c r="H207" s="35" t="s">
        <v>3419</v>
      </c>
      <c r="I207" s="35" t="s">
        <v>3530</v>
      </c>
      <c r="J207" s="38">
        <v>9.17</v>
      </c>
      <c r="K207" s="35">
        <v>1</v>
      </c>
      <c r="L207" s="38">
        <f t="shared" si="3"/>
        <v>9.17</v>
      </c>
      <c r="M207" s="35" t="s">
        <v>48</v>
      </c>
      <c r="N207" s="38">
        <v>9.17</v>
      </c>
      <c r="O207" s="35" t="s">
        <v>12</v>
      </c>
    </row>
    <row r="208" spans="1:15" x14ac:dyDescent="0.25">
      <c r="A208" s="35">
        <v>1167365531</v>
      </c>
      <c r="B208" s="35" t="s">
        <v>4158</v>
      </c>
      <c r="C208" s="35">
        <v>2024</v>
      </c>
      <c r="D208" s="36">
        <v>45512.541516203702</v>
      </c>
      <c r="E208" s="37" t="s">
        <v>2047</v>
      </c>
      <c r="F208" s="37" t="s">
        <v>4914</v>
      </c>
      <c r="G208" s="37" t="s">
        <v>3455</v>
      </c>
      <c r="H208" s="35" t="s">
        <v>3419</v>
      </c>
      <c r="I208" s="35" t="s">
        <v>3416</v>
      </c>
      <c r="J208" s="38">
        <v>9.17</v>
      </c>
      <c r="K208" s="35">
        <v>1</v>
      </c>
      <c r="L208" s="38">
        <f t="shared" si="3"/>
        <v>9.17</v>
      </c>
      <c r="M208" s="35" t="s">
        <v>48</v>
      </c>
      <c r="N208" s="38">
        <v>9.17</v>
      </c>
      <c r="O208" s="35" t="s">
        <v>12</v>
      </c>
    </row>
    <row r="209" spans="1:15" x14ac:dyDescent="0.25">
      <c r="A209" s="35">
        <v>1238163768</v>
      </c>
      <c r="B209" s="35" t="s">
        <v>3968</v>
      </c>
      <c r="C209" s="35">
        <v>2025</v>
      </c>
      <c r="D209" s="36">
        <v>45962.476631944446</v>
      </c>
      <c r="E209" s="37" t="s">
        <v>835</v>
      </c>
      <c r="F209" s="37" t="s">
        <v>4069</v>
      </c>
      <c r="G209" s="37" t="s">
        <v>3710</v>
      </c>
      <c r="H209" s="35" t="s">
        <v>3415</v>
      </c>
      <c r="I209" s="35" t="s">
        <v>3530</v>
      </c>
      <c r="J209" s="38">
        <v>2.2824999999999998</v>
      </c>
      <c r="K209" s="35">
        <v>4</v>
      </c>
      <c r="L209" s="38">
        <f t="shared" si="3"/>
        <v>9.129999999999999</v>
      </c>
      <c r="M209" s="35" t="s">
        <v>48</v>
      </c>
      <c r="N209" s="38">
        <v>9.129999999999999</v>
      </c>
      <c r="O209" s="35" t="s">
        <v>12</v>
      </c>
    </row>
    <row r="210" spans="1:15" x14ac:dyDescent="0.25">
      <c r="A210" s="35">
        <v>1191950168</v>
      </c>
      <c r="B210" s="35" t="s">
        <v>3761</v>
      </c>
      <c r="C210" s="35">
        <v>2025</v>
      </c>
      <c r="D210" s="36">
        <v>45684.819456018522</v>
      </c>
      <c r="E210" s="37" t="s">
        <v>1553</v>
      </c>
      <c r="F210" s="37" t="s">
        <v>4640</v>
      </c>
      <c r="G210" s="37" t="s">
        <v>3740</v>
      </c>
      <c r="H210" s="35" t="s">
        <v>3415</v>
      </c>
      <c r="I210" s="35" t="s">
        <v>3640</v>
      </c>
      <c r="J210" s="38">
        <v>2.2824999999999998</v>
      </c>
      <c r="K210" s="35">
        <v>4</v>
      </c>
      <c r="L210" s="38">
        <f t="shared" si="3"/>
        <v>9.129999999999999</v>
      </c>
      <c r="M210" s="35" t="s">
        <v>48</v>
      </c>
      <c r="N210" s="38">
        <v>9.129999999999999</v>
      </c>
      <c r="O210" s="35" t="s">
        <v>12</v>
      </c>
    </row>
    <row r="211" spans="1:15" x14ac:dyDescent="0.25">
      <c r="A211" s="35">
        <v>1156295821</v>
      </c>
      <c r="B211" s="35" t="s">
        <v>3527</v>
      </c>
      <c r="C211" s="35">
        <v>2024</v>
      </c>
      <c r="D211" s="36">
        <v>45420.804756944446</v>
      </c>
      <c r="E211" s="37" t="s">
        <v>2413</v>
      </c>
      <c r="F211" s="37" t="s">
        <v>5119</v>
      </c>
      <c r="G211" s="37" t="s">
        <v>3945</v>
      </c>
      <c r="H211" s="35" t="s">
        <v>3419</v>
      </c>
      <c r="I211" s="35" t="s">
        <v>3416</v>
      </c>
      <c r="J211" s="38">
        <v>4.5570776255707761</v>
      </c>
      <c r="K211" s="35">
        <v>2</v>
      </c>
      <c r="L211" s="38">
        <f t="shared" si="3"/>
        <v>9.1141552511415522</v>
      </c>
      <c r="M211" s="35" t="s">
        <v>48</v>
      </c>
      <c r="N211" s="38">
        <v>9.1141552511415522</v>
      </c>
      <c r="O211" s="35" t="s">
        <v>12</v>
      </c>
    </row>
    <row r="212" spans="1:15" x14ac:dyDescent="0.25">
      <c r="A212" s="35">
        <v>1211757537</v>
      </c>
      <c r="B212" s="35" t="s">
        <v>3527</v>
      </c>
      <c r="C212" s="35">
        <v>2025</v>
      </c>
      <c r="D212" s="36">
        <v>45793.79010416667</v>
      </c>
      <c r="E212" s="37" t="s">
        <v>92</v>
      </c>
      <c r="F212" s="37" t="s">
        <v>4321</v>
      </c>
      <c r="G212" s="37" t="s">
        <v>4322</v>
      </c>
      <c r="H212" s="35" t="s">
        <v>3419</v>
      </c>
      <c r="I212" s="35" t="s">
        <v>3416</v>
      </c>
      <c r="J212" s="38">
        <v>8.9810638297872334</v>
      </c>
      <c r="K212" s="35">
        <v>1</v>
      </c>
      <c r="L212" s="38">
        <f t="shared" si="3"/>
        <v>8.9810638297872334</v>
      </c>
      <c r="M212" s="35" t="s">
        <v>48</v>
      </c>
      <c r="N212" s="38">
        <v>8.9810638297872334</v>
      </c>
      <c r="O212" s="35" t="s">
        <v>12</v>
      </c>
    </row>
    <row r="213" spans="1:15" ht="30" x14ac:dyDescent="0.25">
      <c r="A213" s="35" t="s">
        <v>4232</v>
      </c>
      <c r="B213" s="35" t="s">
        <v>4199</v>
      </c>
      <c r="C213" s="35">
        <v>2025</v>
      </c>
      <c r="D213" s="36">
        <v>45842.626493055563</v>
      </c>
      <c r="E213" s="37" t="s">
        <v>4233</v>
      </c>
      <c r="F213" s="37" t="s">
        <v>4234</v>
      </c>
      <c r="G213" s="37" t="s">
        <v>3628</v>
      </c>
      <c r="H213" s="35" t="s">
        <v>3415</v>
      </c>
      <c r="I213" s="35" t="s">
        <v>3416</v>
      </c>
      <c r="J213" s="38">
        <v>2.2293115942028985</v>
      </c>
      <c r="K213" s="35">
        <v>4</v>
      </c>
      <c r="L213" s="38">
        <f t="shared" si="3"/>
        <v>8.9172463768115939</v>
      </c>
      <c r="M213" s="35" t="s">
        <v>48</v>
      </c>
      <c r="N213" s="38">
        <v>8.9172463768115939</v>
      </c>
      <c r="O213" s="35" t="s">
        <v>12</v>
      </c>
    </row>
    <row r="214" spans="1:15" x14ac:dyDescent="0.25">
      <c r="A214" s="35">
        <v>1157668500</v>
      </c>
      <c r="B214" s="35" t="s">
        <v>3527</v>
      </c>
      <c r="C214" s="35">
        <v>2024</v>
      </c>
      <c r="D214" s="36">
        <v>45441.594351851854</v>
      </c>
      <c r="E214" s="37" t="s">
        <v>2363</v>
      </c>
      <c r="F214" s="37" t="s">
        <v>5069</v>
      </c>
      <c r="G214" s="37" t="s">
        <v>3676</v>
      </c>
      <c r="H214" s="35" t="s">
        <v>3419</v>
      </c>
      <c r="I214" s="35" t="s">
        <v>3530</v>
      </c>
      <c r="J214" s="38">
        <v>8.7532383419689115</v>
      </c>
      <c r="K214" s="35">
        <v>1</v>
      </c>
      <c r="L214" s="38">
        <f t="shared" si="3"/>
        <v>8.7532383419689115</v>
      </c>
      <c r="M214" s="35" t="s">
        <v>48</v>
      </c>
      <c r="N214" s="38">
        <v>8.7532383419689115</v>
      </c>
      <c r="O214" s="35" t="s">
        <v>12</v>
      </c>
    </row>
    <row r="215" spans="1:15" x14ac:dyDescent="0.25">
      <c r="A215" s="35">
        <v>1131038967</v>
      </c>
      <c r="B215" s="35" t="s">
        <v>4070</v>
      </c>
      <c r="C215" s="35">
        <v>2023</v>
      </c>
      <c r="D215" s="36">
        <v>45215.296423611107</v>
      </c>
      <c r="E215" s="37" t="s">
        <v>2831</v>
      </c>
      <c r="F215" s="37" t="s">
        <v>5501</v>
      </c>
      <c r="G215" s="37" t="s">
        <v>4134</v>
      </c>
      <c r="H215" s="35" t="s">
        <v>3419</v>
      </c>
      <c r="I215" s="35" t="s">
        <v>3416</v>
      </c>
      <c r="J215" s="38">
        <v>8.75</v>
      </c>
      <c r="K215" s="35">
        <v>1</v>
      </c>
      <c r="L215" s="38">
        <f t="shared" si="3"/>
        <v>8.75</v>
      </c>
      <c r="M215" s="35" t="s">
        <v>48</v>
      </c>
      <c r="N215" s="38">
        <v>8.75</v>
      </c>
      <c r="O215" s="35" t="s">
        <v>12</v>
      </c>
    </row>
    <row r="216" spans="1:15" x14ac:dyDescent="0.25">
      <c r="A216" s="35">
        <v>1112501434</v>
      </c>
      <c r="B216" s="35" t="s">
        <v>3527</v>
      </c>
      <c r="C216" s="35">
        <v>2023</v>
      </c>
      <c r="D216" s="36">
        <v>45050.816319444442</v>
      </c>
      <c r="E216" s="37" t="s">
        <v>3084</v>
      </c>
      <c r="F216" s="37" t="s">
        <v>6001</v>
      </c>
      <c r="G216" s="37" t="s">
        <v>3678</v>
      </c>
      <c r="H216" s="35" t="s">
        <v>3419</v>
      </c>
      <c r="I216" s="35" t="s">
        <v>3416</v>
      </c>
      <c r="J216" s="38">
        <v>8.74</v>
      </c>
      <c r="K216" s="35">
        <v>1</v>
      </c>
      <c r="L216" s="38">
        <f t="shared" si="3"/>
        <v>8.74</v>
      </c>
      <c r="M216" s="35" t="s">
        <v>48</v>
      </c>
      <c r="N216" s="38">
        <v>8.74</v>
      </c>
      <c r="O216" s="35" t="s">
        <v>12</v>
      </c>
    </row>
    <row r="217" spans="1:15" x14ac:dyDescent="0.25">
      <c r="A217" s="35">
        <v>1156561021</v>
      </c>
      <c r="B217" s="35" t="s">
        <v>3527</v>
      </c>
      <c r="C217" s="35">
        <v>2024</v>
      </c>
      <c r="D217" s="36">
        <v>45426.625706018516</v>
      </c>
      <c r="E217" s="37" t="s">
        <v>2408</v>
      </c>
      <c r="F217" s="37" t="s">
        <v>5095</v>
      </c>
      <c r="G217" s="37" t="s">
        <v>4309</v>
      </c>
      <c r="H217" s="35" t="s">
        <v>3415</v>
      </c>
      <c r="I217" s="35" t="s">
        <v>3416</v>
      </c>
      <c r="J217" s="38">
        <v>2.1392405063291138</v>
      </c>
      <c r="K217" s="35">
        <v>4</v>
      </c>
      <c r="L217" s="38">
        <f t="shared" si="3"/>
        <v>8.5569620253164551</v>
      </c>
      <c r="M217" s="35" t="s">
        <v>48</v>
      </c>
      <c r="N217" s="38">
        <v>8.5569620253164551</v>
      </c>
      <c r="O217" s="35" t="s">
        <v>12</v>
      </c>
    </row>
    <row r="218" spans="1:15" x14ac:dyDescent="0.25">
      <c r="A218" s="35">
        <v>1249091802</v>
      </c>
      <c r="B218" s="35" t="s">
        <v>3721</v>
      </c>
      <c r="C218" s="35">
        <v>2026</v>
      </c>
      <c r="D218" s="36">
        <v>46062.471365740741</v>
      </c>
      <c r="E218" s="37" t="s">
        <v>538</v>
      </c>
      <c r="F218" s="37" t="s">
        <v>3750</v>
      </c>
      <c r="G218" s="37" t="s">
        <v>3751</v>
      </c>
      <c r="H218" s="35" t="s">
        <v>3419</v>
      </c>
      <c r="I218" s="35" t="s">
        <v>3530</v>
      </c>
      <c r="J218" s="38">
        <v>8.5500000000000007</v>
      </c>
      <c r="K218" s="35">
        <v>1</v>
      </c>
      <c r="L218" s="38">
        <f t="shared" si="3"/>
        <v>8.5500000000000007</v>
      </c>
      <c r="M218" s="35" t="s">
        <v>48</v>
      </c>
      <c r="N218" s="38">
        <v>8.5500000000000007</v>
      </c>
      <c r="O218" s="35" t="s">
        <v>12</v>
      </c>
    </row>
    <row r="219" spans="1:15" x14ac:dyDescent="0.25">
      <c r="A219" s="35">
        <v>1255989435</v>
      </c>
      <c r="B219" s="35" t="s">
        <v>3721</v>
      </c>
      <c r="C219" s="35">
        <v>2026</v>
      </c>
      <c r="D219" s="36">
        <v>46070.716226851851</v>
      </c>
      <c r="E219" s="37" t="s">
        <v>407</v>
      </c>
      <c r="F219" s="37" t="s">
        <v>3732</v>
      </c>
      <c r="G219" s="37" t="s">
        <v>3733</v>
      </c>
      <c r="H219" s="35" t="s">
        <v>3419</v>
      </c>
      <c r="I219" s="35" t="s">
        <v>3416</v>
      </c>
      <c r="J219" s="38">
        <v>8.4</v>
      </c>
      <c r="K219" s="35">
        <v>1</v>
      </c>
      <c r="L219" s="38">
        <f t="shared" si="3"/>
        <v>8.4</v>
      </c>
      <c r="M219" s="35" t="s">
        <v>48</v>
      </c>
      <c r="N219" s="38">
        <v>8.4</v>
      </c>
      <c r="O219" s="35" t="s">
        <v>12</v>
      </c>
    </row>
    <row r="220" spans="1:15" x14ac:dyDescent="0.25">
      <c r="A220" s="35">
        <v>1244251179</v>
      </c>
      <c r="B220" s="35" t="s">
        <v>3890</v>
      </c>
      <c r="C220" s="35">
        <v>2025</v>
      </c>
      <c r="D220" s="36">
        <v>45993.78</v>
      </c>
      <c r="E220" s="37" t="s">
        <v>664</v>
      </c>
      <c r="F220" s="37" t="s">
        <v>3956</v>
      </c>
      <c r="G220" s="37" t="s">
        <v>3710</v>
      </c>
      <c r="H220" s="35" t="s">
        <v>3419</v>
      </c>
      <c r="I220" s="35" t="s">
        <v>3416</v>
      </c>
      <c r="J220" s="38">
        <v>8.4</v>
      </c>
      <c r="K220" s="35">
        <v>1</v>
      </c>
      <c r="L220" s="38">
        <f t="shared" si="3"/>
        <v>8.4</v>
      </c>
      <c r="M220" s="35" t="s">
        <v>48</v>
      </c>
      <c r="N220" s="38">
        <v>8.4</v>
      </c>
      <c r="O220" s="35" t="s">
        <v>12</v>
      </c>
    </row>
    <row r="221" spans="1:15" x14ac:dyDescent="0.25">
      <c r="A221" s="35">
        <v>1215806617</v>
      </c>
      <c r="B221" s="35" t="s">
        <v>3412</v>
      </c>
      <c r="C221" s="35">
        <v>2025</v>
      </c>
      <c r="D221" s="36">
        <v>45826.389768518522</v>
      </c>
      <c r="E221" s="37" t="s">
        <v>1125</v>
      </c>
      <c r="F221" s="37" t="s">
        <v>4272</v>
      </c>
      <c r="G221" s="37" t="s">
        <v>4273</v>
      </c>
      <c r="H221" s="35" t="s">
        <v>3419</v>
      </c>
      <c r="I221" s="35" t="s">
        <v>3416</v>
      </c>
      <c r="J221" s="38">
        <v>2.7666666666666671</v>
      </c>
      <c r="K221" s="35">
        <v>3</v>
      </c>
      <c r="L221" s="38">
        <f t="shared" si="3"/>
        <v>8.3000000000000007</v>
      </c>
      <c r="M221" s="35" t="s">
        <v>48</v>
      </c>
      <c r="N221" s="38">
        <v>8.3000000000000007</v>
      </c>
      <c r="O221" s="35" t="s">
        <v>12</v>
      </c>
    </row>
    <row r="222" spans="1:15" x14ac:dyDescent="0.25">
      <c r="A222" s="35">
        <v>1218759313</v>
      </c>
      <c r="B222" s="35" t="s">
        <v>4199</v>
      </c>
      <c r="C222" s="35">
        <v>2025</v>
      </c>
      <c r="D222" s="36">
        <v>45855.405787037038</v>
      </c>
      <c r="E222" s="37" t="s">
        <v>1100</v>
      </c>
      <c r="F222" s="37" t="s">
        <v>4217</v>
      </c>
      <c r="G222" s="37" t="s">
        <v>4154</v>
      </c>
      <c r="H222" s="35" t="s">
        <v>3419</v>
      </c>
      <c r="I222" s="35" t="s">
        <v>3530</v>
      </c>
      <c r="J222" s="38">
        <v>8.2800000000000011</v>
      </c>
      <c r="K222" s="35">
        <v>1</v>
      </c>
      <c r="L222" s="38">
        <f t="shared" si="3"/>
        <v>8.2800000000000011</v>
      </c>
      <c r="M222" s="35" t="s">
        <v>48</v>
      </c>
      <c r="N222" s="38">
        <v>8.2800000000000011</v>
      </c>
      <c r="O222" s="35" t="s">
        <v>12</v>
      </c>
    </row>
    <row r="223" spans="1:15" x14ac:dyDescent="0.25">
      <c r="A223" s="35">
        <v>1155813980</v>
      </c>
      <c r="B223" s="35" t="s">
        <v>3527</v>
      </c>
      <c r="C223" s="35">
        <v>2024</v>
      </c>
      <c r="D223" s="36">
        <v>45414.759375000001</v>
      </c>
      <c r="E223" s="37" t="s">
        <v>2014</v>
      </c>
      <c r="F223" s="37" t="s">
        <v>5122</v>
      </c>
      <c r="G223" s="37" t="s">
        <v>3740</v>
      </c>
      <c r="H223" s="35" t="s">
        <v>3419</v>
      </c>
      <c r="I223" s="35" t="s">
        <v>3416</v>
      </c>
      <c r="J223" s="38">
        <v>8.25</v>
      </c>
      <c r="K223" s="35">
        <v>1</v>
      </c>
      <c r="L223" s="38">
        <f t="shared" si="3"/>
        <v>8.25</v>
      </c>
      <c r="M223" s="35" t="s">
        <v>48</v>
      </c>
      <c r="N223" s="38">
        <v>8.25</v>
      </c>
      <c r="O223" s="35" t="s">
        <v>12</v>
      </c>
    </row>
    <row r="224" spans="1:15" x14ac:dyDescent="0.25">
      <c r="A224" s="35" t="s">
        <v>6227</v>
      </c>
      <c r="B224" s="35" t="s">
        <v>3968</v>
      </c>
      <c r="C224" s="35">
        <v>2022</v>
      </c>
      <c r="D224" s="36">
        <v>44892.707928240743</v>
      </c>
      <c r="E224" s="35" t="s">
        <v>4233</v>
      </c>
      <c r="F224" s="43" t="s">
        <v>5132</v>
      </c>
      <c r="G224" s="43" t="s">
        <v>3740</v>
      </c>
      <c r="H224" s="35" t="s">
        <v>3419</v>
      </c>
      <c r="I224" s="35" t="s">
        <v>3530</v>
      </c>
      <c r="J224" s="38">
        <v>4.1056276696725202</v>
      </c>
      <c r="K224" s="35">
        <v>2</v>
      </c>
      <c r="L224" s="38">
        <f t="shared" si="3"/>
        <v>8.2112553393450405</v>
      </c>
      <c r="M224" s="35" t="s">
        <v>48</v>
      </c>
      <c r="N224" s="38">
        <v>8.2112553393450405</v>
      </c>
      <c r="O224" s="35" t="s">
        <v>12</v>
      </c>
    </row>
    <row r="225" spans="1:15" x14ac:dyDescent="0.25">
      <c r="A225" s="35">
        <v>1180335350</v>
      </c>
      <c r="B225" s="35" t="s">
        <v>3968</v>
      </c>
      <c r="C225" s="35">
        <v>2024</v>
      </c>
      <c r="D225" s="36">
        <v>45608.78193287037</v>
      </c>
      <c r="E225" s="37" t="s">
        <v>1753</v>
      </c>
      <c r="F225" s="37" t="s">
        <v>4776</v>
      </c>
      <c r="G225" s="37" t="s">
        <v>3551</v>
      </c>
      <c r="H225" s="35" t="s">
        <v>3419</v>
      </c>
      <c r="I225" s="35" t="s">
        <v>3530</v>
      </c>
      <c r="J225" s="38">
        <v>8.17</v>
      </c>
      <c r="K225" s="35">
        <v>1</v>
      </c>
      <c r="L225" s="38">
        <f t="shared" si="3"/>
        <v>8.17</v>
      </c>
      <c r="M225" s="35" t="s">
        <v>48</v>
      </c>
      <c r="N225" s="38">
        <v>8.17</v>
      </c>
      <c r="O225" s="35" t="s">
        <v>12</v>
      </c>
    </row>
    <row r="226" spans="1:15" x14ac:dyDescent="0.25">
      <c r="A226" s="35">
        <v>1164395671</v>
      </c>
      <c r="B226" s="35" t="s">
        <v>4199</v>
      </c>
      <c r="C226" s="35">
        <v>2024</v>
      </c>
      <c r="D226" s="36">
        <v>45482.411782407406</v>
      </c>
      <c r="E226" s="37" t="s">
        <v>2139</v>
      </c>
      <c r="F226" s="37" t="s">
        <v>4515</v>
      </c>
      <c r="G226" s="37" t="s">
        <v>3666</v>
      </c>
      <c r="H226" s="35" t="s">
        <v>3419</v>
      </c>
      <c r="I226" s="35" t="s">
        <v>3416</v>
      </c>
      <c r="J226" s="38">
        <v>8.17</v>
      </c>
      <c r="K226" s="35">
        <v>1</v>
      </c>
      <c r="L226" s="38">
        <f t="shared" si="3"/>
        <v>8.17</v>
      </c>
      <c r="M226" s="35" t="s">
        <v>48</v>
      </c>
      <c r="N226" s="38">
        <v>8.17</v>
      </c>
      <c r="O226" s="35" t="s">
        <v>12</v>
      </c>
    </row>
    <row r="227" spans="1:15" x14ac:dyDescent="0.25">
      <c r="A227" s="35">
        <v>1156561537</v>
      </c>
      <c r="B227" s="35" t="s">
        <v>3527</v>
      </c>
      <c r="C227" s="35">
        <v>2024</v>
      </c>
      <c r="D227" s="36">
        <v>45420.369398148148</v>
      </c>
      <c r="E227" s="37" t="s">
        <v>2406</v>
      </c>
      <c r="F227" s="37" t="s">
        <v>5120</v>
      </c>
      <c r="G227" s="37" t="s">
        <v>3658</v>
      </c>
      <c r="H227" s="35" t="s">
        <v>3419</v>
      </c>
      <c r="I227" s="35" t="s">
        <v>3416</v>
      </c>
      <c r="J227" s="38">
        <v>8.17</v>
      </c>
      <c r="K227" s="35">
        <v>1</v>
      </c>
      <c r="L227" s="38">
        <f t="shared" si="3"/>
        <v>8.17</v>
      </c>
      <c r="M227" s="35" t="s">
        <v>48</v>
      </c>
      <c r="N227" s="38">
        <v>8.17</v>
      </c>
      <c r="O227" s="35" t="s">
        <v>12</v>
      </c>
    </row>
    <row r="228" spans="1:15" x14ac:dyDescent="0.25">
      <c r="A228" s="35">
        <v>1119383595</v>
      </c>
      <c r="B228" s="35" t="s">
        <v>4199</v>
      </c>
      <c r="C228" s="35">
        <v>2023</v>
      </c>
      <c r="D228" s="36">
        <v>45116.991122685176</v>
      </c>
      <c r="E228" s="37" t="s">
        <v>2979</v>
      </c>
      <c r="F228" s="37" t="s">
        <v>3992</v>
      </c>
      <c r="G228" s="37" t="s">
        <v>3682</v>
      </c>
      <c r="H228" s="35" t="s">
        <v>3419</v>
      </c>
      <c r="I228" s="35" t="s">
        <v>3416</v>
      </c>
      <c r="J228" s="38">
        <v>8.17</v>
      </c>
      <c r="K228" s="35">
        <v>1</v>
      </c>
      <c r="L228" s="38">
        <f t="shared" si="3"/>
        <v>8.17</v>
      </c>
      <c r="M228" s="35" t="s">
        <v>48</v>
      </c>
      <c r="N228" s="38">
        <v>8.17</v>
      </c>
      <c r="O228" s="35" t="s">
        <v>12</v>
      </c>
    </row>
    <row r="229" spans="1:15" x14ac:dyDescent="0.25">
      <c r="A229" s="35">
        <v>1241597708</v>
      </c>
      <c r="B229" s="35" t="s">
        <v>3890</v>
      </c>
      <c r="C229" s="35">
        <v>2025</v>
      </c>
      <c r="D229" s="36">
        <v>45992.360219907408</v>
      </c>
      <c r="E229" s="37" t="s">
        <v>748</v>
      </c>
      <c r="F229" s="37" t="s">
        <v>3965</v>
      </c>
      <c r="G229" s="37" t="s">
        <v>3455</v>
      </c>
      <c r="H229" s="35" t="s">
        <v>3419</v>
      </c>
      <c r="I229" s="35" t="s">
        <v>3416</v>
      </c>
      <c r="J229" s="38">
        <v>8.0300000000000011</v>
      </c>
      <c r="K229" s="35">
        <v>1</v>
      </c>
      <c r="L229" s="38">
        <f t="shared" si="3"/>
        <v>8.0300000000000011</v>
      </c>
      <c r="M229" s="35" t="s">
        <v>48</v>
      </c>
      <c r="N229" s="38">
        <v>8.0300000000000011</v>
      </c>
      <c r="O229" s="35" t="s">
        <v>12</v>
      </c>
    </row>
    <row r="230" spans="1:15" x14ac:dyDescent="0.25">
      <c r="A230" s="35">
        <v>1248408245</v>
      </c>
      <c r="B230" s="35" t="s">
        <v>3761</v>
      </c>
      <c r="C230" s="35">
        <v>2026</v>
      </c>
      <c r="D230" s="36">
        <v>46037.576168981483</v>
      </c>
      <c r="E230" s="37" t="s">
        <v>559</v>
      </c>
      <c r="F230" s="37" t="s">
        <v>3821</v>
      </c>
      <c r="G230" s="37" t="s">
        <v>3658</v>
      </c>
      <c r="H230" s="35" t="s">
        <v>3419</v>
      </c>
      <c r="I230" s="35" t="s">
        <v>3530</v>
      </c>
      <c r="J230" s="38">
        <v>7.7980275229357803</v>
      </c>
      <c r="K230" s="35">
        <v>1</v>
      </c>
      <c r="L230" s="38">
        <f t="shared" si="3"/>
        <v>7.7980275229357803</v>
      </c>
      <c r="M230" s="35" t="s">
        <v>48</v>
      </c>
      <c r="N230" s="38">
        <v>7.7980275229357803</v>
      </c>
      <c r="O230" s="35" t="s">
        <v>12</v>
      </c>
    </row>
    <row r="231" spans="1:15" x14ac:dyDescent="0.25">
      <c r="A231" s="35" t="s">
        <v>6297</v>
      </c>
      <c r="B231" s="35" t="s">
        <v>3968</v>
      </c>
      <c r="C231" s="35">
        <v>2022</v>
      </c>
      <c r="D231" s="36">
        <v>44868.391111111108</v>
      </c>
      <c r="E231" s="35" t="s">
        <v>4233</v>
      </c>
      <c r="F231" s="43" t="s">
        <v>6298</v>
      </c>
      <c r="G231" s="43" t="s">
        <v>3551</v>
      </c>
      <c r="H231" s="35" t="s">
        <v>3415</v>
      </c>
      <c r="I231" s="35" t="s">
        <v>3416</v>
      </c>
      <c r="J231" s="38">
        <v>1.8630232558139537</v>
      </c>
      <c r="K231" s="35">
        <v>4</v>
      </c>
      <c r="L231" s="38">
        <f t="shared" si="3"/>
        <v>7.4520930232558147</v>
      </c>
      <c r="M231" s="35" t="s">
        <v>48</v>
      </c>
      <c r="N231" s="38">
        <v>7.4520930232558147</v>
      </c>
      <c r="O231" s="35" t="s">
        <v>12</v>
      </c>
    </row>
    <row r="232" spans="1:15" x14ac:dyDescent="0.25">
      <c r="A232" s="35">
        <v>1211962734</v>
      </c>
      <c r="B232" s="35" t="s">
        <v>3527</v>
      </c>
      <c r="C232" s="35">
        <v>2025</v>
      </c>
      <c r="D232" s="36">
        <v>45795.711226851847</v>
      </c>
      <c r="E232" s="37" t="s">
        <v>1175</v>
      </c>
      <c r="F232" s="37" t="s">
        <v>4312</v>
      </c>
      <c r="G232" s="37" t="s">
        <v>4236</v>
      </c>
      <c r="H232" s="35" t="s">
        <v>3419</v>
      </c>
      <c r="I232" s="35" t="s">
        <v>3416</v>
      </c>
      <c r="J232" s="38">
        <v>7.3500000000000005</v>
      </c>
      <c r="K232" s="35">
        <v>1</v>
      </c>
      <c r="L232" s="38">
        <f t="shared" si="3"/>
        <v>7.3500000000000005</v>
      </c>
      <c r="M232" s="35" t="s">
        <v>48</v>
      </c>
      <c r="N232" s="38">
        <v>7.3500000000000005</v>
      </c>
      <c r="O232" s="35" t="s">
        <v>12</v>
      </c>
    </row>
    <row r="233" spans="1:15" ht="30" x14ac:dyDescent="0.25">
      <c r="A233" s="35" t="s">
        <v>5103</v>
      </c>
      <c r="B233" s="35" t="s">
        <v>3527</v>
      </c>
      <c r="C233" s="35">
        <v>2024</v>
      </c>
      <c r="D233" s="36">
        <v>45422.524814814817</v>
      </c>
      <c r="E233" s="37" t="s">
        <v>4233</v>
      </c>
      <c r="F233" s="37" t="s">
        <v>5104</v>
      </c>
      <c r="G233" s="37" t="s">
        <v>3967</v>
      </c>
      <c r="H233" s="35" t="s">
        <v>3419</v>
      </c>
      <c r="I233" s="35" t="s">
        <v>3416</v>
      </c>
      <c r="J233" s="38">
        <v>2.4494945848375451</v>
      </c>
      <c r="K233" s="35">
        <v>3</v>
      </c>
      <c r="L233" s="38">
        <f t="shared" si="3"/>
        <v>7.3484837545126354</v>
      </c>
      <c r="M233" s="35" t="s">
        <v>48</v>
      </c>
      <c r="N233" s="38">
        <v>7.3484837545126354</v>
      </c>
      <c r="O233" s="35" t="s">
        <v>12</v>
      </c>
    </row>
    <row r="234" spans="1:15" x14ac:dyDescent="0.25">
      <c r="A234" s="35">
        <v>1220891108</v>
      </c>
      <c r="B234" s="35" t="s">
        <v>4199</v>
      </c>
      <c r="C234" s="35">
        <v>2025</v>
      </c>
      <c r="D234" s="36">
        <v>45863.38789351852</v>
      </c>
      <c r="E234" s="37" t="s">
        <v>1054</v>
      </c>
      <c r="F234" s="37" t="s">
        <v>4208</v>
      </c>
      <c r="G234" s="37" t="s">
        <v>3682</v>
      </c>
      <c r="H234" s="35" t="s">
        <v>3415</v>
      </c>
      <c r="I234" s="35" t="s">
        <v>3416</v>
      </c>
      <c r="J234" s="38">
        <v>1.8325</v>
      </c>
      <c r="K234" s="35">
        <v>4</v>
      </c>
      <c r="L234" s="38">
        <f t="shared" si="3"/>
        <v>7.33</v>
      </c>
      <c r="M234" s="35" t="s">
        <v>48</v>
      </c>
      <c r="N234" s="38">
        <v>7.33</v>
      </c>
      <c r="O234" s="35" t="s">
        <v>12</v>
      </c>
    </row>
    <row r="235" spans="1:15" x14ac:dyDescent="0.25">
      <c r="A235" s="35">
        <v>1202034396</v>
      </c>
      <c r="B235" s="35" t="s">
        <v>3631</v>
      </c>
      <c r="C235" s="35">
        <v>2025</v>
      </c>
      <c r="D235" s="36">
        <v>45749.717048611114</v>
      </c>
      <c r="E235" s="37" t="s">
        <v>1365</v>
      </c>
      <c r="F235" s="37" t="s">
        <v>4456</v>
      </c>
      <c r="G235" s="37" t="s">
        <v>3729</v>
      </c>
      <c r="H235" s="35" t="s">
        <v>3419</v>
      </c>
      <c r="I235" s="35" t="s">
        <v>3416</v>
      </c>
      <c r="J235" s="38">
        <v>7.32</v>
      </c>
      <c r="K235" s="35">
        <v>1</v>
      </c>
      <c r="L235" s="38">
        <f t="shared" si="3"/>
        <v>7.32</v>
      </c>
      <c r="M235" s="35" t="s">
        <v>48</v>
      </c>
      <c r="N235" s="38">
        <v>7.32</v>
      </c>
      <c r="O235" s="35" t="s">
        <v>12</v>
      </c>
    </row>
    <row r="236" spans="1:15" x14ac:dyDescent="0.25">
      <c r="A236" s="35">
        <v>1218020364</v>
      </c>
      <c r="B236" s="35" t="s">
        <v>3412</v>
      </c>
      <c r="C236" s="35">
        <v>2025</v>
      </c>
      <c r="D236" s="36">
        <v>45834.906435185178</v>
      </c>
      <c r="E236" s="37" t="s">
        <v>1108</v>
      </c>
      <c r="F236" s="37" t="s">
        <v>4269</v>
      </c>
      <c r="G236" s="37" t="s">
        <v>3879</v>
      </c>
      <c r="H236" s="35" t="s">
        <v>3419</v>
      </c>
      <c r="I236" s="35" t="s">
        <v>3530</v>
      </c>
      <c r="J236" s="38">
        <v>7.28</v>
      </c>
      <c r="K236" s="35">
        <v>1</v>
      </c>
      <c r="L236" s="38">
        <f t="shared" si="3"/>
        <v>7.28</v>
      </c>
      <c r="M236" s="35" t="s">
        <v>48</v>
      </c>
      <c r="N236" s="38">
        <v>7.28</v>
      </c>
      <c r="O236" s="35" t="s">
        <v>12</v>
      </c>
    </row>
    <row r="237" spans="1:15" x14ac:dyDescent="0.25">
      <c r="A237" s="35">
        <v>1208194604</v>
      </c>
      <c r="B237" s="35" t="s">
        <v>3527</v>
      </c>
      <c r="C237" s="35">
        <v>2025</v>
      </c>
      <c r="D237" s="36">
        <v>45782.484872685185</v>
      </c>
      <c r="E237" s="37" t="s">
        <v>1251</v>
      </c>
      <c r="F237" s="37" t="s">
        <v>4340</v>
      </c>
      <c r="G237" s="37" t="s">
        <v>3718</v>
      </c>
      <c r="H237" s="35" t="s">
        <v>3419</v>
      </c>
      <c r="I237" s="35" t="s">
        <v>3416</v>
      </c>
      <c r="J237" s="38">
        <v>7.28</v>
      </c>
      <c r="K237" s="35">
        <v>1</v>
      </c>
      <c r="L237" s="38">
        <f t="shared" si="3"/>
        <v>7.28</v>
      </c>
      <c r="M237" s="35" t="s">
        <v>48</v>
      </c>
      <c r="N237" s="38">
        <v>7.28</v>
      </c>
      <c r="O237" s="35" t="s">
        <v>12</v>
      </c>
    </row>
    <row r="238" spans="1:15" x14ac:dyDescent="0.25">
      <c r="A238" s="35">
        <v>1183940508</v>
      </c>
      <c r="B238" s="35" t="s">
        <v>3968</v>
      </c>
      <c r="C238" s="35">
        <v>2024</v>
      </c>
      <c r="D238" s="36">
        <v>45619.741759259261</v>
      </c>
      <c r="E238" s="37" t="s">
        <v>1721</v>
      </c>
      <c r="F238" s="37" t="s">
        <v>4765</v>
      </c>
      <c r="G238" s="37" t="s">
        <v>4766</v>
      </c>
      <c r="H238" s="35" t="s">
        <v>3419</v>
      </c>
      <c r="I238" s="35" t="s">
        <v>3416</v>
      </c>
      <c r="J238" s="38">
        <v>7.25</v>
      </c>
      <c r="K238" s="35">
        <v>1</v>
      </c>
      <c r="L238" s="38">
        <f t="shared" si="3"/>
        <v>7.25</v>
      </c>
      <c r="M238" s="35" t="s">
        <v>48</v>
      </c>
      <c r="N238" s="38">
        <v>7.25</v>
      </c>
      <c r="O238" s="35" t="s">
        <v>12</v>
      </c>
    </row>
    <row r="239" spans="1:15" x14ac:dyDescent="0.25">
      <c r="A239" s="35">
        <v>1192929609</v>
      </c>
      <c r="B239" s="35" t="s">
        <v>3721</v>
      </c>
      <c r="C239" s="35">
        <v>2025</v>
      </c>
      <c r="D239" s="36">
        <v>45710.620532407411</v>
      </c>
      <c r="E239" s="37" t="s">
        <v>1523</v>
      </c>
      <c r="F239" s="37" t="s">
        <v>4303</v>
      </c>
      <c r="G239" s="37" t="s">
        <v>3658</v>
      </c>
      <c r="H239" s="35" t="s">
        <v>3419</v>
      </c>
      <c r="I239" s="35" t="s">
        <v>3416</v>
      </c>
      <c r="J239" s="38">
        <v>2.4142857142857141</v>
      </c>
      <c r="K239" s="35">
        <v>3</v>
      </c>
      <c r="L239" s="38">
        <f t="shared" si="3"/>
        <v>7.242857142857142</v>
      </c>
      <c r="M239" s="35" t="s">
        <v>48</v>
      </c>
      <c r="N239" s="38">
        <v>7.2428571428571429</v>
      </c>
      <c r="O239" s="35" t="s">
        <v>12</v>
      </c>
    </row>
    <row r="240" spans="1:15" x14ac:dyDescent="0.25">
      <c r="A240" s="35">
        <v>1268320882</v>
      </c>
      <c r="B240" s="35" t="s">
        <v>3631</v>
      </c>
      <c r="C240" s="35">
        <v>2026</v>
      </c>
      <c r="D240" s="36">
        <v>46122.714386574073</v>
      </c>
      <c r="E240" s="37" t="s">
        <v>306</v>
      </c>
      <c r="F240" s="37" t="s">
        <v>3638</v>
      </c>
      <c r="G240" s="37" t="s">
        <v>3639</v>
      </c>
      <c r="H240" s="35" t="s">
        <v>3419</v>
      </c>
      <c r="I240" s="35" t="s">
        <v>3640</v>
      </c>
      <c r="J240" s="38">
        <v>3.6150000000000002</v>
      </c>
      <c r="K240" s="35">
        <v>2</v>
      </c>
      <c r="L240" s="38">
        <f t="shared" si="3"/>
        <v>7.23</v>
      </c>
      <c r="M240" s="35" t="s">
        <v>48</v>
      </c>
      <c r="N240" s="38">
        <v>7.23</v>
      </c>
      <c r="O240" s="35" t="s">
        <v>12</v>
      </c>
    </row>
    <row r="241" spans="1:15" x14ac:dyDescent="0.25">
      <c r="A241" s="35">
        <v>1241881703</v>
      </c>
      <c r="B241" s="35" t="s">
        <v>3968</v>
      </c>
      <c r="C241" s="35">
        <v>2025</v>
      </c>
      <c r="D241" s="36">
        <v>45988.531215277777</v>
      </c>
      <c r="E241" s="37" t="s">
        <v>736</v>
      </c>
      <c r="F241" s="37" t="s">
        <v>3977</v>
      </c>
      <c r="G241" s="37" t="s">
        <v>3621</v>
      </c>
      <c r="H241" s="35" t="s">
        <v>3419</v>
      </c>
      <c r="I241" s="35" t="s">
        <v>3416</v>
      </c>
      <c r="J241" s="38">
        <v>3.6150000000000002</v>
      </c>
      <c r="K241" s="35">
        <v>2</v>
      </c>
      <c r="L241" s="38">
        <f t="shared" si="3"/>
        <v>7.23</v>
      </c>
      <c r="M241" s="35" t="s">
        <v>48</v>
      </c>
      <c r="N241" s="38">
        <v>7.23</v>
      </c>
      <c r="O241" s="35" t="s">
        <v>12</v>
      </c>
    </row>
    <row r="242" spans="1:15" x14ac:dyDescent="0.25">
      <c r="A242" s="35">
        <v>1242056139</v>
      </c>
      <c r="B242" s="35" t="s">
        <v>3968</v>
      </c>
      <c r="C242" s="35">
        <v>2025</v>
      </c>
      <c r="D242" s="36">
        <v>45988.2809837963</v>
      </c>
      <c r="E242" s="37" t="s">
        <v>729</v>
      </c>
      <c r="F242" s="37" t="s">
        <v>3957</v>
      </c>
      <c r="G242" s="37" t="s">
        <v>3687</v>
      </c>
      <c r="H242" s="35" t="s">
        <v>3419</v>
      </c>
      <c r="I242" s="35" t="s">
        <v>3416</v>
      </c>
      <c r="J242" s="38">
        <v>3.6150000000000002</v>
      </c>
      <c r="K242" s="35">
        <v>2</v>
      </c>
      <c r="L242" s="38">
        <f t="shared" si="3"/>
        <v>7.23</v>
      </c>
      <c r="M242" s="35" t="s">
        <v>48</v>
      </c>
      <c r="N242" s="38">
        <v>7.23</v>
      </c>
      <c r="O242" s="35" t="s">
        <v>12</v>
      </c>
    </row>
    <row r="243" spans="1:15" x14ac:dyDescent="0.25">
      <c r="A243" s="35">
        <v>1152040638</v>
      </c>
      <c r="B243" s="35" t="s">
        <v>3631</v>
      </c>
      <c r="C243" s="35">
        <v>2024</v>
      </c>
      <c r="D243" s="36">
        <v>45393.799456018518</v>
      </c>
      <c r="E243" s="37" t="s">
        <v>2509</v>
      </c>
      <c r="F243" s="37" t="s">
        <v>5154</v>
      </c>
      <c r="G243" s="37" t="s">
        <v>3945</v>
      </c>
      <c r="H243" s="35" t="s">
        <v>3419</v>
      </c>
      <c r="I243" s="35" t="s">
        <v>3416</v>
      </c>
      <c r="J243" s="38">
        <v>7.21</v>
      </c>
      <c r="K243" s="35">
        <v>1</v>
      </c>
      <c r="L243" s="38">
        <f t="shared" si="3"/>
        <v>7.21</v>
      </c>
      <c r="M243" s="35" t="s">
        <v>48</v>
      </c>
      <c r="N243" s="38">
        <v>7.21</v>
      </c>
      <c r="O243" s="35" t="s">
        <v>12</v>
      </c>
    </row>
    <row r="244" spans="1:15" x14ac:dyDescent="0.25">
      <c r="A244" s="35">
        <v>1191552997</v>
      </c>
      <c r="B244" s="35" t="s">
        <v>3761</v>
      </c>
      <c r="C244" s="35">
        <v>2025</v>
      </c>
      <c r="D244" s="36">
        <v>45671.663310185177</v>
      </c>
      <c r="E244" s="37" t="s">
        <v>1572</v>
      </c>
      <c r="F244" s="37" t="s">
        <v>4664</v>
      </c>
      <c r="G244" s="37" t="s">
        <v>3621</v>
      </c>
      <c r="H244" s="35" t="s">
        <v>3419</v>
      </c>
      <c r="I244" s="35" t="s">
        <v>3416</v>
      </c>
      <c r="J244" s="38">
        <v>2.3933333333333331</v>
      </c>
      <c r="K244" s="35">
        <v>3</v>
      </c>
      <c r="L244" s="38">
        <f t="shared" si="3"/>
        <v>7.18</v>
      </c>
      <c r="M244" s="35" t="s">
        <v>48</v>
      </c>
      <c r="N244" s="38">
        <v>7.18</v>
      </c>
      <c r="O244" s="35" t="s">
        <v>12</v>
      </c>
    </row>
    <row r="245" spans="1:15" x14ac:dyDescent="0.25">
      <c r="A245" s="35">
        <v>1130170394</v>
      </c>
      <c r="B245" s="35" t="s">
        <v>4070</v>
      </c>
      <c r="C245" s="35">
        <v>2023</v>
      </c>
      <c r="D245" s="36">
        <v>45207.844768518517</v>
      </c>
      <c r="E245" s="37" t="s">
        <v>2847</v>
      </c>
      <c r="F245" s="37" t="s">
        <v>5602</v>
      </c>
      <c r="G245" s="37" t="s">
        <v>3736</v>
      </c>
      <c r="H245" s="35" t="s">
        <v>3419</v>
      </c>
      <c r="I245" s="35" t="s">
        <v>3416</v>
      </c>
      <c r="J245" s="38">
        <v>7.18</v>
      </c>
      <c r="K245" s="35">
        <v>1</v>
      </c>
      <c r="L245" s="38">
        <f t="shared" si="3"/>
        <v>7.18</v>
      </c>
      <c r="M245" s="35" t="s">
        <v>48</v>
      </c>
      <c r="N245" s="38">
        <v>7.18</v>
      </c>
      <c r="O245" s="35" t="s">
        <v>12</v>
      </c>
    </row>
    <row r="246" spans="1:15" x14ac:dyDescent="0.25">
      <c r="A246" s="35">
        <v>1172662590</v>
      </c>
      <c r="B246" s="35" t="s">
        <v>4132</v>
      </c>
      <c r="C246" s="35">
        <v>2024</v>
      </c>
      <c r="D246" s="36">
        <v>45539.958819444437</v>
      </c>
      <c r="E246" s="37" t="s">
        <v>1941</v>
      </c>
      <c r="F246" s="37" t="s">
        <v>4883</v>
      </c>
      <c r="G246" s="37" t="s">
        <v>4884</v>
      </c>
      <c r="H246" s="35" t="s">
        <v>3419</v>
      </c>
      <c r="I246" s="35" t="s">
        <v>3416</v>
      </c>
      <c r="J246" s="38">
        <v>7.17</v>
      </c>
      <c r="K246" s="35">
        <v>1</v>
      </c>
      <c r="L246" s="38">
        <f t="shared" si="3"/>
        <v>7.17</v>
      </c>
      <c r="M246" s="35" t="s">
        <v>48</v>
      </c>
      <c r="N246" s="38">
        <v>7.17</v>
      </c>
      <c r="O246" s="35" t="s">
        <v>12</v>
      </c>
    </row>
    <row r="247" spans="1:15" x14ac:dyDescent="0.25">
      <c r="A247" s="35">
        <v>1161423616</v>
      </c>
      <c r="B247" s="35" t="s">
        <v>3412</v>
      </c>
      <c r="C247" s="35">
        <v>2024</v>
      </c>
      <c r="D247" s="36">
        <v>45463.44872685185</v>
      </c>
      <c r="E247" s="37" t="s">
        <v>2248</v>
      </c>
      <c r="F247" s="37" t="s">
        <v>5002</v>
      </c>
      <c r="G247" s="37" t="s">
        <v>4867</v>
      </c>
      <c r="H247" s="35" t="s">
        <v>3419</v>
      </c>
      <c r="I247" s="35" t="s">
        <v>3416</v>
      </c>
      <c r="J247" s="38">
        <v>7.17</v>
      </c>
      <c r="K247" s="35">
        <v>1</v>
      </c>
      <c r="L247" s="38">
        <f t="shared" si="3"/>
        <v>7.17</v>
      </c>
      <c r="M247" s="35" t="s">
        <v>48</v>
      </c>
      <c r="N247" s="38">
        <v>7.17</v>
      </c>
      <c r="O247" s="35" t="s">
        <v>12</v>
      </c>
    </row>
    <row r="248" spans="1:15" x14ac:dyDescent="0.25">
      <c r="A248" s="35">
        <v>1160670118</v>
      </c>
      <c r="B248" s="35" t="s">
        <v>3412</v>
      </c>
      <c r="C248" s="35">
        <v>2024</v>
      </c>
      <c r="D248" s="36">
        <v>45452.342442129629</v>
      </c>
      <c r="E248" s="37" t="s">
        <v>2280</v>
      </c>
      <c r="F248" s="37" t="s">
        <v>5044</v>
      </c>
      <c r="G248" s="37" t="s">
        <v>4055</v>
      </c>
      <c r="H248" s="35" t="s">
        <v>3419</v>
      </c>
      <c r="I248" s="35" t="s">
        <v>3530</v>
      </c>
      <c r="J248" s="38">
        <v>7.17</v>
      </c>
      <c r="K248" s="35">
        <v>1</v>
      </c>
      <c r="L248" s="38">
        <f t="shared" si="3"/>
        <v>7.17</v>
      </c>
      <c r="M248" s="35" t="s">
        <v>48</v>
      </c>
      <c r="N248" s="38">
        <v>7.17</v>
      </c>
      <c r="O248" s="35" t="s">
        <v>12</v>
      </c>
    </row>
    <row r="249" spans="1:15" x14ac:dyDescent="0.25">
      <c r="A249" s="35">
        <v>1156205610</v>
      </c>
      <c r="B249" s="35" t="s">
        <v>3527</v>
      </c>
      <c r="C249" s="35">
        <v>2024</v>
      </c>
      <c r="D249" s="36">
        <v>45417.723912037043</v>
      </c>
      <c r="E249" s="37" t="s">
        <v>2415</v>
      </c>
      <c r="F249" s="37" t="s">
        <v>5044</v>
      </c>
      <c r="G249" s="37" t="s">
        <v>4055</v>
      </c>
      <c r="H249" s="35" t="s">
        <v>3419</v>
      </c>
      <c r="I249" s="35" t="s">
        <v>3530</v>
      </c>
      <c r="J249" s="38">
        <v>7.17</v>
      </c>
      <c r="K249" s="35">
        <v>1</v>
      </c>
      <c r="L249" s="38">
        <f t="shared" si="3"/>
        <v>7.17</v>
      </c>
      <c r="M249" s="35" t="s">
        <v>48</v>
      </c>
      <c r="N249" s="38">
        <v>7.17</v>
      </c>
      <c r="O249" s="35" t="s">
        <v>12</v>
      </c>
    </row>
    <row r="250" spans="1:15" x14ac:dyDescent="0.25">
      <c r="A250" s="35">
        <v>1166571421</v>
      </c>
      <c r="B250" s="35" t="s">
        <v>4199</v>
      </c>
      <c r="C250" s="35">
        <v>2024</v>
      </c>
      <c r="D250" s="36">
        <v>45499.387812499997</v>
      </c>
      <c r="E250" s="37" t="s">
        <v>1635</v>
      </c>
      <c r="F250" s="37" t="s">
        <v>4933</v>
      </c>
      <c r="G250" s="37" t="s">
        <v>3718</v>
      </c>
      <c r="H250" s="35" t="s">
        <v>3419</v>
      </c>
      <c r="I250" s="35" t="s">
        <v>3416</v>
      </c>
      <c r="J250" s="38">
        <v>3.56</v>
      </c>
      <c r="K250" s="35">
        <v>2</v>
      </c>
      <c r="L250" s="38">
        <f t="shared" si="3"/>
        <v>7.12</v>
      </c>
      <c r="M250" s="35" t="s">
        <v>48</v>
      </c>
      <c r="N250" s="38">
        <v>7.12</v>
      </c>
      <c r="O250" s="35" t="s">
        <v>12</v>
      </c>
    </row>
    <row r="251" spans="1:15" x14ac:dyDescent="0.25">
      <c r="A251" s="35">
        <v>1149672466</v>
      </c>
      <c r="B251" s="35" t="s">
        <v>3646</v>
      </c>
      <c r="C251" s="35">
        <v>2024</v>
      </c>
      <c r="D251" s="36">
        <v>45377.721759259257</v>
      </c>
      <c r="E251" s="37" t="s">
        <v>2558</v>
      </c>
      <c r="F251" s="37" t="s">
        <v>5166</v>
      </c>
      <c r="G251" s="37" t="s">
        <v>3529</v>
      </c>
      <c r="H251" s="35" t="s">
        <v>3419</v>
      </c>
      <c r="I251" s="35" t="s">
        <v>3416</v>
      </c>
      <c r="J251" s="38">
        <v>3.56</v>
      </c>
      <c r="K251" s="35">
        <v>2</v>
      </c>
      <c r="L251" s="38">
        <f t="shared" si="3"/>
        <v>7.12</v>
      </c>
      <c r="M251" s="35" t="s">
        <v>48</v>
      </c>
      <c r="N251" s="38">
        <v>7.12</v>
      </c>
      <c r="O251" s="35" t="s">
        <v>12</v>
      </c>
    </row>
    <row r="252" spans="1:15" x14ac:dyDescent="0.25">
      <c r="A252" s="35">
        <v>1165707204</v>
      </c>
      <c r="B252" s="35" t="s">
        <v>4199</v>
      </c>
      <c r="C252" s="35">
        <v>2024</v>
      </c>
      <c r="D252" s="36">
        <v>45487.981793981482</v>
      </c>
      <c r="E252" s="37" t="s">
        <v>2107</v>
      </c>
      <c r="F252" s="37" t="s">
        <v>4956</v>
      </c>
      <c r="G252" s="37" t="s">
        <v>3916</v>
      </c>
      <c r="H252" s="35" t="s">
        <v>3419</v>
      </c>
      <c r="I252" s="35" t="s">
        <v>3416</v>
      </c>
      <c r="J252" s="38">
        <v>7.02</v>
      </c>
      <c r="K252" s="35">
        <v>1</v>
      </c>
      <c r="L252" s="38">
        <f t="shared" si="3"/>
        <v>7.02</v>
      </c>
      <c r="M252" s="35" t="s">
        <v>48</v>
      </c>
      <c r="N252" s="38">
        <v>7.02</v>
      </c>
      <c r="O252" s="35" t="s">
        <v>12</v>
      </c>
    </row>
    <row r="253" spans="1:15" x14ac:dyDescent="0.25">
      <c r="A253" s="35">
        <v>1192612735</v>
      </c>
      <c r="B253" s="35" t="s">
        <v>3761</v>
      </c>
      <c r="C253" s="35">
        <v>2025</v>
      </c>
      <c r="D253" s="36">
        <v>45678.538912037038</v>
      </c>
      <c r="E253" s="37" t="s">
        <v>318</v>
      </c>
      <c r="F253" s="37" t="s">
        <v>4081</v>
      </c>
      <c r="G253" s="37" t="s">
        <v>3792</v>
      </c>
      <c r="H253" s="35" t="s">
        <v>3419</v>
      </c>
      <c r="I253" s="35" t="s">
        <v>3416</v>
      </c>
      <c r="J253" s="38">
        <v>3.506107382550335</v>
      </c>
      <c r="K253" s="35">
        <v>2</v>
      </c>
      <c r="L253" s="38">
        <f t="shared" si="3"/>
        <v>7.0122147651006701</v>
      </c>
      <c r="M253" s="35" t="s">
        <v>48</v>
      </c>
      <c r="N253" s="38">
        <v>7.012214765100671</v>
      </c>
      <c r="O253" s="35" t="s">
        <v>12</v>
      </c>
    </row>
    <row r="254" spans="1:15" x14ac:dyDescent="0.25">
      <c r="A254" s="35">
        <v>1211013934</v>
      </c>
      <c r="B254" s="35" t="s">
        <v>3527</v>
      </c>
      <c r="C254" s="35">
        <v>2025</v>
      </c>
      <c r="D254" s="36">
        <v>45802.855844907404</v>
      </c>
      <c r="E254" s="37" t="s">
        <v>647</v>
      </c>
      <c r="F254" s="37" t="s">
        <v>4310</v>
      </c>
      <c r="G254" s="37" t="s">
        <v>3837</v>
      </c>
      <c r="H254" s="35" t="s">
        <v>3415</v>
      </c>
      <c r="I254" s="35" t="s">
        <v>3416</v>
      </c>
      <c r="J254" s="38">
        <v>1.7324999999999999</v>
      </c>
      <c r="K254" s="35">
        <v>4</v>
      </c>
      <c r="L254" s="38">
        <f t="shared" si="3"/>
        <v>6.93</v>
      </c>
      <c r="M254" s="35" t="s">
        <v>48</v>
      </c>
      <c r="N254" s="38">
        <v>6.93</v>
      </c>
      <c r="O254" s="35" t="s">
        <v>12</v>
      </c>
    </row>
    <row r="255" spans="1:15" x14ac:dyDescent="0.25">
      <c r="A255" s="35">
        <v>1166414310</v>
      </c>
      <c r="B255" s="35" t="s">
        <v>4199</v>
      </c>
      <c r="C255" s="35">
        <v>2024</v>
      </c>
      <c r="D255" s="36">
        <v>45493.582800925928</v>
      </c>
      <c r="E255" s="37" t="s">
        <v>2072</v>
      </c>
      <c r="F255" s="37" t="s">
        <v>4521</v>
      </c>
      <c r="G255" s="37" t="s">
        <v>4942</v>
      </c>
      <c r="H255" s="35" t="s">
        <v>3419</v>
      </c>
      <c r="I255" s="35" t="s">
        <v>3530</v>
      </c>
      <c r="J255" s="38">
        <v>2.2609598214285715</v>
      </c>
      <c r="K255" s="35">
        <v>3</v>
      </c>
      <c r="L255" s="38">
        <f t="shared" si="3"/>
        <v>6.7828794642857151</v>
      </c>
      <c r="M255" s="35" t="s">
        <v>48</v>
      </c>
      <c r="N255" s="38">
        <v>6.7828794642857142</v>
      </c>
      <c r="O255" s="35" t="s">
        <v>12</v>
      </c>
    </row>
    <row r="256" spans="1:15" x14ac:dyDescent="0.25">
      <c r="A256" s="35">
        <v>1242930381</v>
      </c>
      <c r="B256" s="35" t="s">
        <v>3890</v>
      </c>
      <c r="C256" s="35">
        <v>2025</v>
      </c>
      <c r="D256" s="36">
        <v>45993.718287037038</v>
      </c>
      <c r="E256" s="37" t="s">
        <v>704</v>
      </c>
      <c r="F256" s="37" t="s">
        <v>3753</v>
      </c>
      <c r="G256" s="37" t="s">
        <v>3729</v>
      </c>
      <c r="H256" s="35" t="s">
        <v>3419</v>
      </c>
      <c r="I256" s="35" t="s">
        <v>3416</v>
      </c>
      <c r="J256" s="38">
        <v>6.7534010152284267</v>
      </c>
      <c r="K256" s="35">
        <v>1</v>
      </c>
      <c r="L256" s="38">
        <f t="shared" si="3"/>
        <v>6.7534010152284267</v>
      </c>
      <c r="M256" s="35" t="s">
        <v>48</v>
      </c>
      <c r="N256" s="38">
        <v>6.7534010152284267</v>
      </c>
      <c r="O256" s="35" t="s">
        <v>12</v>
      </c>
    </row>
    <row r="257" spans="1:15" x14ac:dyDescent="0.25">
      <c r="A257" s="35">
        <v>1241668804</v>
      </c>
      <c r="B257" s="35" t="s">
        <v>3968</v>
      </c>
      <c r="C257" s="35">
        <v>2025</v>
      </c>
      <c r="D257" s="36">
        <v>45985.619884259257</v>
      </c>
      <c r="E257" s="37" t="s">
        <v>742</v>
      </c>
      <c r="F257" s="37" t="s">
        <v>3986</v>
      </c>
      <c r="G257" s="37" t="s">
        <v>3987</v>
      </c>
      <c r="H257" s="35" t="s">
        <v>3419</v>
      </c>
      <c r="I257" s="35" t="s">
        <v>3416</v>
      </c>
      <c r="J257" s="38">
        <v>2.2504716981132074</v>
      </c>
      <c r="K257" s="35">
        <v>3</v>
      </c>
      <c r="L257" s="38">
        <f t="shared" si="3"/>
        <v>6.7514150943396221</v>
      </c>
      <c r="M257" s="35" t="s">
        <v>48</v>
      </c>
      <c r="N257" s="38">
        <v>6.7514150943396221</v>
      </c>
      <c r="O257" s="35" t="s">
        <v>12</v>
      </c>
    </row>
    <row r="258" spans="1:15" ht="30" x14ac:dyDescent="0.25">
      <c r="A258" s="35" t="s">
        <v>5296</v>
      </c>
      <c r="B258" s="35" t="s">
        <v>3890</v>
      </c>
      <c r="C258" s="35">
        <v>2023</v>
      </c>
      <c r="D258" s="36">
        <v>45284.474537037036</v>
      </c>
      <c r="E258" s="37" t="s">
        <v>4233</v>
      </c>
      <c r="F258" s="37" t="s">
        <v>5297</v>
      </c>
      <c r="G258" s="37" t="s">
        <v>3925</v>
      </c>
      <c r="H258" s="35" t="s">
        <v>3419</v>
      </c>
      <c r="I258" s="35" t="s">
        <v>3416</v>
      </c>
      <c r="J258" s="38">
        <v>6.7249999999999996</v>
      </c>
      <c r="K258" s="35">
        <v>1</v>
      </c>
      <c r="L258" s="38">
        <f t="shared" ref="L258:L321" si="4">J258*K258</f>
        <v>6.7249999999999996</v>
      </c>
      <c r="M258" s="35" t="s">
        <v>48</v>
      </c>
      <c r="N258" s="38">
        <v>6.7249999999999996</v>
      </c>
      <c r="O258" s="35" t="s">
        <v>12</v>
      </c>
    </row>
    <row r="259" spans="1:15" x14ac:dyDescent="0.25">
      <c r="A259" s="35">
        <v>1252089479</v>
      </c>
      <c r="B259" s="35" t="s">
        <v>3761</v>
      </c>
      <c r="C259" s="35">
        <v>2026</v>
      </c>
      <c r="D259" s="36">
        <v>46050.648854166669</v>
      </c>
      <c r="E259" s="37" t="s">
        <v>479</v>
      </c>
      <c r="F259" s="37" t="s">
        <v>3766</v>
      </c>
      <c r="G259" s="37" t="s">
        <v>3726</v>
      </c>
      <c r="H259" s="35" t="s">
        <v>3419</v>
      </c>
      <c r="I259" s="35" t="s">
        <v>3530</v>
      </c>
      <c r="J259" s="38">
        <v>3.3155982905982908</v>
      </c>
      <c r="K259" s="35">
        <v>2</v>
      </c>
      <c r="L259" s="38">
        <f t="shared" si="4"/>
        <v>6.6311965811965816</v>
      </c>
      <c r="M259" s="35" t="s">
        <v>48</v>
      </c>
      <c r="N259" s="38">
        <v>6.6311965811965816</v>
      </c>
      <c r="O259" s="35" t="s">
        <v>12</v>
      </c>
    </row>
    <row r="260" spans="1:15" x14ac:dyDescent="0.25">
      <c r="A260" s="35">
        <v>1158670738</v>
      </c>
      <c r="B260" s="35" t="s">
        <v>3412</v>
      </c>
      <c r="C260" s="35">
        <v>2024</v>
      </c>
      <c r="D260" s="36">
        <v>45447.532118055555</v>
      </c>
      <c r="E260" s="37" t="s">
        <v>2335</v>
      </c>
      <c r="F260" s="37" t="s">
        <v>5058</v>
      </c>
      <c r="G260" s="37" t="s">
        <v>3551</v>
      </c>
      <c r="H260" s="35" t="s">
        <v>3419</v>
      </c>
      <c r="I260" s="35" t="s">
        <v>3416</v>
      </c>
      <c r="J260" s="38">
        <v>6.5250000000000004</v>
      </c>
      <c r="K260" s="35">
        <v>1</v>
      </c>
      <c r="L260" s="38">
        <f t="shared" si="4"/>
        <v>6.5250000000000004</v>
      </c>
      <c r="M260" s="35" t="s">
        <v>48</v>
      </c>
      <c r="N260" s="38">
        <v>6.5250000000000004</v>
      </c>
      <c r="O260" s="35" t="s">
        <v>12</v>
      </c>
    </row>
    <row r="261" spans="1:15" x14ac:dyDescent="0.25">
      <c r="A261" s="35">
        <v>1192612735</v>
      </c>
      <c r="B261" s="35" t="s">
        <v>3761</v>
      </c>
      <c r="C261" s="35">
        <v>2025</v>
      </c>
      <c r="D261" s="36">
        <v>45681.764409722222</v>
      </c>
      <c r="E261" s="37" t="s">
        <v>318</v>
      </c>
      <c r="F261" s="37" t="s">
        <v>4649</v>
      </c>
      <c r="G261" s="37" t="s">
        <v>3551</v>
      </c>
      <c r="H261" s="35" t="s">
        <v>3415</v>
      </c>
      <c r="I261" s="35" t="s">
        <v>3416</v>
      </c>
      <c r="J261" s="38">
        <v>1.6114525139664804</v>
      </c>
      <c r="K261" s="35">
        <v>4</v>
      </c>
      <c r="L261" s="38">
        <f t="shared" si="4"/>
        <v>6.4458100558659215</v>
      </c>
      <c r="M261" s="35" t="s">
        <v>48</v>
      </c>
      <c r="N261" s="38">
        <v>6.4458100558659215</v>
      </c>
      <c r="O261" s="35" t="s">
        <v>12</v>
      </c>
    </row>
    <row r="262" spans="1:15" x14ac:dyDescent="0.25">
      <c r="A262" s="35">
        <v>1249470201</v>
      </c>
      <c r="B262" s="35" t="s">
        <v>3761</v>
      </c>
      <c r="C262" s="35">
        <v>2026</v>
      </c>
      <c r="D262" s="36">
        <v>46026.910578703697</v>
      </c>
      <c r="E262" s="37" t="s">
        <v>528</v>
      </c>
      <c r="F262" s="37" t="s">
        <v>3880</v>
      </c>
      <c r="G262" s="37" t="s">
        <v>3696</v>
      </c>
      <c r="H262" s="35" t="s">
        <v>3419</v>
      </c>
      <c r="I262" s="35" t="s">
        <v>3530</v>
      </c>
      <c r="J262" s="38">
        <v>6.4</v>
      </c>
      <c r="K262" s="35">
        <v>1</v>
      </c>
      <c r="L262" s="38">
        <f t="shared" si="4"/>
        <v>6.4</v>
      </c>
      <c r="M262" s="35" t="s">
        <v>48</v>
      </c>
      <c r="N262" s="38">
        <v>6.4</v>
      </c>
      <c r="O262" s="35" t="s">
        <v>12</v>
      </c>
    </row>
    <row r="263" spans="1:15" x14ac:dyDescent="0.25">
      <c r="A263" s="35">
        <v>1260889596</v>
      </c>
      <c r="B263" s="35" t="s">
        <v>3646</v>
      </c>
      <c r="C263" s="35">
        <v>2026</v>
      </c>
      <c r="D263" s="36">
        <v>46084.649629629632</v>
      </c>
      <c r="E263" s="37" t="s">
        <v>354</v>
      </c>
      <c r="F263" s="37" t="s">
        <v>3709</v>
      </c>
      <c r="G263" s="37" t="s">
        <v>3710</v>
      </c>
      <c r="H263" s="35" t="s">
        <v>3415</v>
      </c>
      <c r="I263" s="35" t="s">
        <v>3453</v>
      </c>
      <c r="J263" s="38">
        <v>1.5999999999999999</v>
      </c>
      <c r="K263" s="35">
        <v>4</v>
      </c>
      <c r="L263" s="38">
        <f t="shared" si="4"/>
        <v>6.3999999999999995</v>
      </c>
      <c r="M263" s="35" t="s">
        <v>48</v>
      </c>
      <c r="N263" s="38">
        <v>6.3999999999999995</v>
      </c>
      <c r="O263" s="35" t="s">
        <v>12</v>
      </c>
    </row>
    <row r="264" spans="1:15" x14ac:dyDescent="0.25">
      <c r="A264" s="35">
        <v>1239994419</v>
      </c>
      <c r="B264" s="35" t="s">
        <v>3968</v>
      </c>
      <c r="C264" s="35">
        <v>2025</v>
      </c>
      <c r="D264" s="36">
        <v>45975.693692129629</v>
      </c>
      <c r="E264" s="37" t="s">
        <v>805</v>
      </c>
      <c r="F264" s="37" t="s">
        <v>4025</v>
      </c>
      <c r="G264" s="37" t="s">
        <v>3658</v>
      </c>
      <c r="H264" s="35" t="s">
        <v>3415</v>
      </c>
      <c r="I264" s="35" t="s">
        <v>3416</v>
      </c>
      <c r="J264" s="38">
        <v>1.5825</v>
      </c>
      <c r="K264" s="35">
        <v>4</v>
      </c>
      <c r="L264" s="38">
        <f t="shared" si="4"/>
        <v>6.33</v>
      </c>
      <c r="M264" s="35" t="s">
        <v>48</v>
      </c>
      <c r="N264" s="38">
        <v>6.33</v>
      </c>
      <c r="O264" s="35" t="s">
        <v>12</v>
      </c>
    </row>
    <row r="265" spans="1:15" x14ac:dyDescent="0.25">
      <c r="A265" s="35">
        <v>1191918896</v>
      </c>
      <c r="B265" s="35" t="s">
        <v>3761</v>
      </c>
      <c r="C265" s="35">
        <v>2025</v>
      </c>
      <c r="D265" s="36">
        <v>45682.523263888892</v>
      </c>
      <c r="E265" s="37" t="s">
        <v>1555</v>
      </c>
      <c r="F265" s="37" t="s">
        <v>4645</v>
      </c>
      <c r="G265" s="37" t="s">
        <v>4646</v>
      </c>
      <c r="H265" s="35" t="s">
        <v>3419</v>
      </c>
      <c r="I265" s="35" t="s">
        <v>3530</v>
      </c>
      <c r="J265" s="38">
        <v>6.32</v>
      </c>
      <c r="K265" s="35">
        <v>1</v>
      </c>
      <c r="L265" s="38">
        <f t="shared" si="4"/>
        <v>6.32</v>
      </c>
      <c r="M265" s="35" t="s">
        <v>48</v>
      </c>
      <c r="N265" s="38">
        <v>6.32</v>
      </c>
      <c r="O265" s="35" t="s">
        <v>12</v>
      </c>
    </row>
    <row r="266" spans="1:15" x14ac:dyDescent="0.25">
      <c r="A266" s="35">
        <v>1238166844</v>
      </c>
      <c r="B266" s="35" t="s">
        <v>3968</v>
      </c>
      <c r="C266" s="35">
        <v>2025</v>
      </c>
      <c r="D266" s="36">
        <v>45967.001134259262</v>
      </c>
      <c r="E266" s="37" t="s">
        <v>832</v>
      </c>
      <c r="F266" s="37" t="s">
        <v>4064</v>
      </c>
      <c r="G266" s="37" t="s">
        <v>3886</v>
      </c>
      <c r="H266" s="35" t="s">
        <v>3419</v>
      </c>
      <c r="I266" s="35" t="s">
        <v>3453</v>
      </c>
      <c r="J266" s="38">
        <v>3.1532901554404149</v>
      </c>
      <c r="K266" s="35">
        <v>2</v>
      </c>
      <c r="L266" s="38">
        <f t="shared" si="4"/>
        <v>6.3065803108808298</v>
      </c>
      <c r="M266" s="35" t="s">
        <v>48</v>
      </c>
      <c r="N266" s="38">
        <v>6.3065803108808298</v>
      </c>
      <c r="O266" s="35" t="s">
        <v>12</v>
      </c>
    </row>
    <row r="267" spans="1:15" x14ac:dyDescent="0.25">
      <c r="A267" s="35">
        <v>1242651146</v>
      </c>
      <c r="B267" s="35" t="s">
        <v>3890</v>
      </c>
      <c r="C267" s="35">
        <v>2025</v>
      </c>
      <c r="D267" s="36">
        <v>45996.696099537039</v>
      </c>
      <c r="E267" s="37" t="s">
        <v>710</v>
      </c>
      <c r="F267" s="37" t="s">
        <v>3946</v>
      </c>
      <c r="G267" s="37" t="s">
        <v>3947</v>
      </c>
      <c r="H267" s="35" t="s">
        <v>3419</v>
      </c>
      <c r="I267" s="35" t="s">
        <v>3453</v>
      </c>
      <c r="J267" s="38">
        <v>6.28</v>
      </c>
      <c r="K267" s="35">
        <v>1</v>
      </c>
      <c r="L267" s="38">
        <f t="shared" si="4"/>
        <v>6.28</v>
      </c>
      <c r="M267" s="35" t="s">
        <v>48</v>
      </c>
      <c r="N267" s="38">
        <v>6.28</v>
      </c>
      <c r="O267" s="35" t="s">
        <v>12</v>
      </c>
    </row>
    <row r="268" spans="1:15" x14ac:dyDescent="0.25">
      <c r="A268" s="35">
        <v>1237057578</v>
      </c>
      <c r="B268" s="35" t="s">
        <v>4070</v>
      </c>
      <c r="C268" s="35">
        <v>2025</v>
      </c>
      <c r="D268" s="36">
        <v>45950.857685185183</v>
      </c>
      <c r="E268" s="37" t="s">
        <v>868</v>
      </c>
      <c r="F268" s="37" t="s">
        <v>4113</v>
      </c>
      <c r="G268" s="37" t="s">
        <v>3820</v>
      </c>
      <c r="H268" s="35" t="s">
        <v>3419</v>
      </c>
      <c r="I268" s="35" t="s">
        <v>3416</v>
      </c>
      <c r="J268" s="38">
        <v>6.28</v>
      </c>
      <c r="K268" s="35">
        <v>1</v>
      </c>
      <c r="L268" s="38">
        <f t="shared" si="4"/>
        <v>6.28</v>
      </c>
      <c r="M268" s="35" t="s">
        <v>48</v>
      </c>
      <c r="N268" s="38">
        <v>6.28</v>
      </c>
      <c r="O268" s="35" t="s">
        <v>12</v>
      </c>
    </row>
    <row r="269" spans="1:15" x14ac:dyDescent="0.25">
      <c r="A269" s="35">
        <v>1207654644</v>
      </c>
      <c r="B269" s="35" t="s">
        <v>3631</v>
      </c>
      <c r="C269" s="35">
        <v>2025</v>
      </c>
      <c r="D269" s="36">
        <v>45771.449247685188</v>
      </c>
      <c r="E269" s="37" t="s">
        <v>919</v>
      </c>
      <c r="F269" s="37" t="s">
        <v>4361</v>
      </c>
      <c r="G269" s="37" t="s">
        <v>3751</v>
      </c>
      <c r="H269" s="35" t="s">
        <v>3419</v>
      </c>
      <c r="I269" s="35" t="s">
        <v>3416</v>
      </c>
      <c r="J269" s="38">
        <v>6.28</v>
      </c>
      <c r="K269" s="35">
        <v>1</v>
      </c>
      <c r="L269" s="38">
        <f t="shared" si="4"/>
        <v>6.28</v>
      </c>
      <c r="M269" s="35" t="s">
        <v>48</v>
      </c>
      <c r="N269" s="38">
        <v>6.28</v>
      </c>
      <c r="O269" s="35" t="s">
        <v>12</v>
      </c>
    </row>
    <row r="270" spans="1:15" x14ac:dyDescent="0.25">
      <c r="A270" s="35">
        <v>1243072138</v>
      </c>
      <c r="B270" s="35" t="s">
        <v>3890</v>
      </c>
      <c r="C270" s="35">
        <v>2025</v>
      </c>
      <c r="D270" s="36">
        <v>45996.829699074071</v>
      </c>
      <c r="E270" s="37" t="s">
        <v>697</v>
      </c>
      <c r="F270" s="37" t="s">
        <v>3944</v>
      </c>
      <c r="G270" s="37" t="s">
        <v>3945</v>
      </c>
      <c r="H270" s="35" t="s">
        <v>3415</v>
      </c>
      <c r="I270" s="35" t="s">
        <v>3416</v>
      </c>
      <c r="J270" s="38">
        <v>1.5625</v>
      </c>
      <c r="K270" s="35">
        <v>4</v>
      </c>
      <c r="L270" s="38">
        <f t="shared" si="4"/>
        <v>6.25</v>
      </c>
      <c r="M270" s="35" t="s">
        <v>48</v>
      </c>
      <c r="N270" s="38">
        <v>6.25</v>
      </c>
      <c r="O270" s="35" t="s">
        <v>12</v>
      </c>
    </row>
    <row r="271" spans="1:15" x14ac:dyDescent="0.25">
      <c r="A271" s="35">
        <v>1242015691</v>
      </c>
      <c r="B271" s="35" t="s">
        <v>3890</v>
      </c>
      <c r="C271" s="35">
        <v>2025</v>
      </c>
      <c r="D271" s="36">
        <v>45993.65353009259</v>
      </c>
      <c r="E271" s="37" t="s">
        <v>731</v>
      </c>
      <c r="F271" s="37" t="s">
        <v>3958</v>
      </c>
      <c r="G271" s="37" t="s">
        <v>3959</v>
      </c>
      <c r="H271" s="35" t="s">
        <v>3415</v>
      </c>
      <c r="I271" s="35" t="s">
        <v>3416</v>
      </c>
      <c r="J271" s="38">
        <v>1.5625</v>
      </c>
      <c r="K271" s="35">
        <v>4</v>
      </c>
      <c r="L271" s="38">
        <f t="shared" si="4"/>
        <v>6.25</v>
      </c>
      <c r="M271" s="35" t="s">
        <v>48</v>
      </c>
      <c r="N271" s="38">
        <v>6.25</v>
      </c>
      <c r="O271" s="35" t="s">
        <v>12</v>
      </c>
    </row>
    <row r="272" spans="1:15" x14ac:dyDescent="0.25">
      <c r="A272" s="35">
        <v>1241802115</v>
      </c>
      <c r="B272" s="35" t="s">
        <v>3968</v>
      </c>
      <c r="C272" s="35">
        <v>2025</v>
      </c>
      <c r="D272" s="36">
        <v>45979.325775462959</v>
      </c>
      <c r="E272" s="37" t="s">
        <v>738</v>
      </c>
      <c r="F272" s="37" t="s">
        <v>4008</v>
      </c>
      <c r="G272" s="37" t="s">
        <v>4009</v>
      </c>
      <c r="H272" s="35" t="s">
        <v>3415</v>
      </c>
      <c r="I272" s="35" t="s">
        <v>3416</v>
      </c>
      <c r="J272" s="38">
        <v>1.5625</v>
      </c>
      <c r="K272" s="35">
        <v>4</v>
      </c>
      <c r="L272" s="38">
        <f t="shared" si="4"/>
        <v>6.25</v>
      </c>
      <c r="M272" s="35" t="s">
        <v>48</v>
      </c>
      <c r="N272" s="38">
        <v>6.25</v>
      </c>
      <c r="O272" s="35" t="s">
        <v>12</v>
      </c>
    </row>
    <row r="273" spans="1:15" x14ac:dyDescent="0.25">
      <c r="A273" s="35">
        <v>1168960482</v>
      </c>
      <c r="B273" s="35" t="s">
        <v>4158</v>
      </c>
      <c r="C273" s="35">
        <v>2024</v>
      </c>
      <c r="D273" s="36">
        <v>45512.587534722217</v>
      </c>
      <c r="E273" s="37" t="s">
        <v>2014</v>
      </c>
      <c r="F273" s="37" t="s">
        <v>4913</v>
      </c>
      <c r="G273" s="37" t="s">
        <v>3772</v>
      </c>
      <c r="H273" s="35" t="s">
        <v>3419</v>
      </c>
      <c r="I273" s="35" t="s">
        <v>3416</v>
      </c>
      <c r="J273" s="38">
        <v>6.25</v>
      </c>
      <c r="K273" s="35">
        <v>1</v>
      </c>
      <c r="L273" s="38">
        <f t="shared" si="4"/>
        <v>6.25</v>
      </c>
      <c r="M273" s="35" t="s">
        <v>48</v>
      </c>
      <c r="N273" s="38">
        <v>6.25</v>
      </c>
      <c r="O273" s="35" t="s">
        <v>12</v>
      </c>
    </row>
    <row r="274" spans="1:15" x14ac:dyDescent="0.25">
      <c r="A274" s="35">
        <v>1149176168</v>
      </c>
      <c r="B274" s="35" t="s">
        <v>3646</v>
      </c>
      <c r="C274" s="35">
        <v>2024</v>
      </c>
      <c r="D274" s="36">
        <v>45363.468171296299</v>
      </c>
      <c r="E274" s="37" t="s">
        <v>2566</v>
      </c>
      <c r="F274" s="37" t="s">
        <v>5184</v>
      </c>
      <c r="G274" s="37" t="s">
        <v>5185</v>
      </c>
      <c r="H274" s="35" t="s">
        <v>3419</v>
      </c>
      <c r="I274" s="35" t="s">
        <v>3416</v>
      </c>
      <c r="J274" s="38">
        <v>6.21</v>
      </c>
      <c r="K274" s="35">
        <v>1</v>
      </c>
      <c r="L274" s="38">
        <f t="shared" si="4"/>
        <v>6.21</v>
      </c>
      <c r="M274" s="35" t="s">
        <v>48</v>
      </c>
      <c r="N274" s="38">
        <v>6.21</v>
      </c>
      <c r="O274" s="35" t="s">
        <v>12</v>
      </c>
    </row>
    <row r="275" spans="1:15" ht="30" x14ac:dyDescent="0.25">
      <c r="A275" s="35">
        <v>1110944844</v>
      </c>
      <c r="B275" s="35" t="s">
        <v>3631</v>
      </c>
      <c r="C275" s="35">
        <v>2023</v>
      </c>
      <c r="D275" s="36">
        <v>45037.483310185184</v>
      </c>
      <c r="E275" s="37" t="s">
        <v>3115</v>
      </c>
      <c r="F275" s="37" t="s">
        <v>5979</v>
      </c>
      <c r="G275" s="37" t="s">
        <v>3678</v>
      </c>
      <c r="H275" s="35" t="s">
        <v>3419</v>
      </c>
      <c r="I275" s="35" t="s">
        <v>3416</v>
      </c>
      <c r="J275" s="38">
        <v>6.18</v>
      </c>
      <c r="K275" s="35">
        <v>1</v>
      </c>
      <c r="L275" s="38">
        <f t="shared" si="4"/>
        <v>6.18</v>
      </c>
      <c r="M275" s="35" t="s">
        <v>48</v>
      </c>
      <c r="N275" s="38">
        <v>6.18</v>
      </c>
      <c r="O275" s="35" t="s">
        <v>12</v>
      </c>
    </row>
    <row r="276" spans="1:15" x14ac:dyDescent="0.25">
      <c r="A276" s="35">
        <v>1163627035</v>
      </c>
      <c r="B276" s="35" t="s">
        <v>3412</v>
      </c>
      <c r="C276" s="35">
        <v>2024</v>
      </c>
      <c r="D276" s="36">
        <v>45472.753506944442</v>
      </c>
      <c r="E276" s="37" t="s">
        <v>2183</v>
      </c>
      <c r="F276" s="37" t="s">
        <v>4983</v>
      </c>
      <c r="G276" s="37" t="s">
        <v>4053</v>
      </c>
      <c r="H276" s="35" t="s">
        <v>3419</v>
      </c>
      <c r="I276" s="35" t="s">
        <v>3453</v>
      </c>
      <c r="J276" s="38">
        <v>6.17</v>
      </c>
      <c r="K276" s="35">
        <v>1</v>
      </c>
      <c r="L276" s="38">
        <f t="shared" si="4"/>
        <v>6.17</v>
      </c>
      <c r="M276" s="35" t="s">
        <v>48</v>
      </c>
      <c r="N276" s="38">
        <v>6.17</v>
      </c>
      <c r="O276" s="35" t="s">
        <v>12</v>
      </c>
    </row>
    <row r="277" spans="1:15" x14ac:dyDescent="0.25">
      <c r="A277" s="35">
        <v>1156387321</v>
      </c>
      <c r="B277" s="35" t="s">
        <v>3527</v>
      </c>
      <c r="C277" s="35">
        <v>2024</v>
      </c>
      <c r="D277" s="36">
        <v>45425.785324074073</v>
      </c>
      <c r="E277" s="37" t="s">
        <v>2410</v>
      </c>
      <c r="F277" s="37" t="s">
        <v>5098</v>
      </c>
      <c r="G277" s="37" t="s">
        <v>3619</v>
      </c>
      <c r="H277" s="35" t="s">
        <v>3419</v>
      </c>
      <c r="I277" s="35" t="s">
        <v>3453</v>
      </c>
      <c r="J277" s="38">
        <v>6.17</v>
      </c>
      <c r="K277" s="35">
        <v>1</v>
      </c>
      <c r="L277" s="38">
        <f t="shared" si="4"/>
        <v>6.17</v>
      </c>
      <c r="M277" s="35" t="s">
        <v>48</v>
      </c>
      <c r="N277" s="38">
        <v>6.17</v>
      </c>
      <c r="O277" s="35" t="s">
        <v>12</v>
      </c>
    </row>
    <row r="278" spans="1:15" x14ac:dyDescent="0.25">
      <c r="A278" s="35" t="s">
        <v>1131</v>
      </c>
      <c r="B278" s="35" t="s">
        <v>3412</v>
      </c>
      <c r="C278" s="35">
        <v>2025</v>
      </c>
      <c r="D278" s="36">
        <v>45819</v>
      </c>
      <c r="E278" s="37" t="s">
        <v>1132</v>
      </c>
      <c r="F278" s="37" t="s">
        <v>4288</v>
      </c>
      <c r="G278" s="37" t="s">
        <v>3742</v>
      </c>
      <c r="H278" s="35" t="s">
        <v>3415</v>
      </c>
      <c r="I278" s="35" t="s">
        <v>3453</v>
      </c>
      <c r="J278" s="38">
        <v>1.5</v>
      </c>
      <c r="K278" s="35">
        <v>4</v>
      </c>
      <c r="L278" s="38">
        <f t="shared" si="4"/>
        <v>6</v>
      </c>
      <c r="M278" s="35" t="s">
        <v>48</v>
      </c>
      <c r="N278" s="38">
        <v>6</v>
      </c>
      <c r="O278" s="35" t="s">
        <v>12</v>
      </c>
    </row>
    <row r="279" spans="1:15" x14ac:dyDescent="0.25">
      <c r="A279" s="35">
        <v>1258407112</v>
      </c>
      <c r="B279" s="35" t="s">
        <v>3721</v>
      </c>
      <c r="C279" s="35">
        <v>2026</v>
      </c>
      <c r="D279" s="36">
        <v>46072.602141203701</v>
      </c>
      <c r="E279" s="37" t="s">
        <v>318</v>
      </c>
      <c r="F279" s="37" t="s">
        <v>3728</v>
      </c>
      <c r="G279" s="37" t="s">
        <v>3729</v>
      </c>
      <c r="H279" s="35" t="s">
        <v>3419</v>
      </c>
      <c r="I279" s="35" t="s">
        <v>3416</v>
      </c>
      <c r="J279" s="38">
        <v>1.9846153846153849</v>
      </c>
      <c r="K279" s="35">
        <v>3</v>
      </c>
      <c r="L279" s="38">
        <f t="shared" si="4"/>
        <v>5.9538461538461549</v>
      </c>
      <c r="M279" s="35" t="s">
        <v>48</v>
      </c>
      <c r="N279" s="38">
        <v>5.953846153846154</v>
      </c>
      <c r="O279" s="35" t="s">
        <v>12</v>
      </c>
    </row>
    <row r="280" spans="1:15" x14ac:dyDescent="0.25">
      <c r="A280" s="35">
        <v>1248630308</v>
      </c>
      <c r="B280" s="35" t="s">
        <v>3890</v>
      </c>
      <c r="C280" s="35">
        <v>2025</v>
      </c>
      <c r="D280" s="36">
        <v>46021.905648148153</v>
      </c>
      <c r="E280" s="37" t="s">
        <v>556</v>
      </c>
      <c r="F280" s="37" t="s">
        <v>3880</v>
      </c>
      <c r="G280" s="37" t="s">
        <v>3696</v>
      </c>
      <c r="H280" s="35" t="s">
        <v>3419</v>
      </c>
      <c r="I280" s="35" t="s">
        <v>3530</v>
      </c>
      <c r="J280" s="38">
        <v>5.9041304347826076</v>
      </c>
      <c r="K280" s="35">
        <v>1</v>
      </c>
      <c r="L280" s="38">
        <f t="shared" si="4"/>
        <v>5.9041304347826076</v>
      </c>
      <c r="M280" s="35" t="s">
        <v>48</v>
      </c>
      <c r="N280" s="38">
        <v>5.9041304347826076</v>
      </c>
      <c r="O280" s="35" t="s">
        <v>12</v>
      </c>
    </row>
    <row r="281" spans="1:15" x14ac:dyDescent="0.25">
      <c r="A281" s="35">
        <v>1160773693</v>
      </c>
      <c r="B281" s="35" t="s">
        <v>3412</v>
      </c>
      <c r="C281" s="35">
        <v>2024</v>
      </c>
      <c r="D281" s="36">
        <v>45452.838472222233</v>
      </c>
      <c r="E281" s="37" t="s">
        <v>2272</v>
      </c>
      <c r="F281" s="37" t="s">
        <v>4888</v>
      </c>
      <c r="G281" s="37" t="s">
        <v>5040</v>
      </c>
      <c r="H281" s="35" t="s">
        <v>3419</v>
      </c>
      <c r="I281" s="35" t="s">
        <v>3416</v>
      </c>
      <c r="J281" s="38">
        <v>1.962093023255814</v>
      </c>
      <c r="K281" s="35">
        <v>3</v>
      </c>
      <c r="L281" s="38">
        <f t="shared" si="4"/>
        <v>5.8862790697674416</v>
      </c>
      <c r="M281" s="35" t="s">
        <v>48</v>
      </c>
      <c r="N281" s="38">
        <v>5.8862790697674416</v>
      </c>
      <c r="O281" s="35" t="s">
        <v>12</v>
      </c>
    </row>
    <row r="282" spans="1:15" x14ac:dyDescent="0.25">
      <c r="A282" s="35">
        <v>1249045481</v>
      </c>
      <c r="B282" s="35" t="s">
        <v>3761</v>
      </c>
      <c r="C282" s="35">
        <v>2026</v>
      </c>
      <c r="D282" s="36">
        <v>46036.585428240738</v>
      </c>
      <c r="E282" s="37" t="s">
        <v>541</v>
      </c>
      <c r="F282" s="37" t="s">
        <v>3834</v>
      </c>
      <c r="G282" s="37" t="s">
        <v>3751</v>
      </c>
      <c r="H282" s="35" t="s">
        <v>3415</v>
      </c>
      <c r="I282" s="35" t="s">
        <v>3416</v>
      </c>
      <c r="J282" s="38">
        <v>1.4645833333333331</v>
      </c>
      <c r="K282" s="35">
        <v>4</v>
      </c>
      <c r="L282" s="38">
        <f t="shared" si="4"/>
        <v>5.8583333333333325</v>
      </c>
      <c r="M282" s="35" t="s">
        <v>48</v>
      </c>
      <c r="N282" s="38">
        <v>5.8583333333333325</v>
      </c>
      <c r="O282" s="35" t="s">
        <v>12</v>
      </c>
    </row>
    <row r="283" spans="1:15" x14ac:dyDescent="0.25">
      <c r="A283" s="35">
        <v>1245445493</v>
      </c>
      <c r="B283" s="35" t="s">
        <v>3890</v>
      </c>
      <c r="C283" s="35">
        <v>2025</v>
      </c>
      <c r="D283" s="36">
        <v>46000.833483796298</v>
      </c>
      <c r="E283" s="37" t="s">
        <v>631</v>
      </c>
      <c r="F283" s="37" t="s">
        <v>3737</v>
      </c>
      <c r="G283" s="37" t="s">
        <v>3738</v>
      </c>
      <c r="H283" s="35" t="s">
        <v>3419</v>
      </c>
      <c r="I283" s="35" t="s">
        <v>3416</v>
      </c>
      <c r="J283" s="38">
        <v>5.786966911764706</v>
      </c>
      <c r="K283" s="35">
        <v>1</v>
      </c>
      <c r="L283" s="38">
        <f t="shared" si="4"/>
        <v>5.786966911764706</v>
      </c>
      <c r="M283" s="35" t="s">
        <v>48</v>
      </c>
      <c r="N283" s="38">
        <v>5.786966911764706</v>
      </c>
      <c r="O283" s="35" t="s">
        <v>12</v>
      </c>
    </row>
    <row r="284" spans="1:15" x14ac:dyDescent="0.25">
      <c r="A284" s="35">
        <v>1171287033</v>
      </c>
      <c r="B284" s="35" t="s">
        <v>4158</v>
      </c>
      <c r="C284" s="35">
        <v>2024</v>
      </c>
      <c r="D284" s="36">
        <v>45534.396261574075</v>
      </c>
      <c r="E284" s="37" t="s">
        <v>1984</v>
      </c>
      <c r="F284" s="37" t="s">
        <v>4591</v>
      </c>
      <c r="G284" s="37" t="s">
        <v>3621</v>
      </c>
      <c r="H284" s="35" t="s">
        <v>3419</v>
      </c>
      <c r="I284" s="35" t="s">
        <v>3416</v>
      </c>
      <c r="J284" s="38">
        <v>5.72</v>
      </c>
      <c r="K284" s="35">
        <v>1</v>
      </c>
      <c r="L284" s="38">
        <f t="shared" si="4"/>
        <v>5.72</v>
      </c>
      <c r="M284" s="35" t="s">
        <v>48</v>
      </c>
      <c r="N284" s="38">
        <v>5.72</v>
      </c>
      <c r="O284" s="35" t="s">
        <v>12</v>
      </c>
    </row>
    <row r="285" spans="1:15" x14ac:dyDescent="0.25">
      <c r="A285" s="35">
        <v>1267203294</v>
      </c>
      <c r="B285" s="35" t="s">
        <v>3631</v>
      </c>
      <c r="C285" s="35">
        <v>2026</v>
      </c>
      <c r="D285" s="36">
        <v>46117.425266203703</v>
      </c>
      <c r="E285" s="37" t="s">
        <v>309</v>
      </c>
      <c r="F285" s="37" t="s">
        <v>3642</v>
      </c>
      <c r="G285" s="37" t="s">
        <v>3643</v>
      </c>
      <c r="H285" s="35" t="s">
        <v>3419</v>
      </c>
      <c r="I285" s="35" t="s">
        <v>3416</v>
      </c>
      <c r="J285" s="38">
        <v>5.4</v>
      </c>
      <c r="K285" s="35">
        <v>1</v>
      </c>
      <c r="L285" s="38">
        <f t="shared" si="4"/>
        <v>5.4</v>
      </c>
      <c r="M285" s="35" t="s">
        <v>48</v>
      </c>
      <c r="N285" s="38">
        <v>5.4</v>
      </c>
      <c r="O285" s="35" t="s">
        <v>12</v>
      </c>
    </row>
    <row r="286" spans="1:15" x14ac:dyDescent="0.25">
      <c r="A286" s="35">
        <v>1256265067</v>
      </c>
      <c r="B286" s="35" t="s">
        <v>3721</v>
      </c>
      <c r="C286" s="35">
        <v>2026</v>
      </c>
      <c r="D286" s="36">
        <v>46061.498854166668</v>
      </c>
      <c r="E286" s="37" t="s">
        <v>397</v>
      </c>
      <c r="F286" s="37" t="s">
        <v>3728</v>
      </c>
      <c r="G286" s="37" t="s">
        <v>3729</v>
      </c>
      <c r="H286" s="35" t="s">
        <v>3419</v>
      </c>
      <c r="I286" s="35" t="s">
        <v>3416</v>
      </c>
      <c r="J286" s="38">
        <v>5.4</v>
      </c>
      <c r="K286" s="35">
        <v>1</v>
      </c>
      <c r="L286" s="38">
        <f t="shared" si="4"/>
        <v>5.4</v>
      </c>
      <c r="M286" s="35" t="s">
        <v>48</v>
      </c>
      <c r="N286" s="38">
        <v>5.4</v>
      </c>
      <c r="O286" s="35" t="s">
        <v>12</v>
      </c>
    </row>
    <row r="287" spans="1:15" x14ac:dyDescent="0.25">
      <c r="A287" s="35">
        <v>1247290743</v>
      </c>
      <c r="B287" s="35" t="s">
        <v>3890</v>
      </c>
      <c r="C287" s="35">
        <v>2025</v>
      </c>
      <c r="D287" s="36">
        <v>46020.508414351854</v>
      </c>
      <c r="E287" s="37" t="s">
        <v>590</v>
      </c>
      <c r="F287" s="37" t="s">
        <v>3895</v>
      </c>
      <c r="G287" s="37" t="s">
        <v>3799</v>
      </c>
      <c r="H287" s="35" t="s">
        <v>3419</v>
      </c>
      <c r="I287" s="35" t="s">
        <v>3416</v>
      </c>
      <c r="J287" s="38">
        <v>5.3329842931937179</v>
      </c>
      <c r="K287" s="35">
        <v>1</v>
      </c>
      <c r="L287" s="38">
        <f t="shared" si="4"/>
        <v>5.3329842931937179</v>
      </c>
      <c r="M287" s="35" t="s">
        <v>48</v>
      </c>
      <c r="N287" s="38">
        <v>5.3329842931937179</v>
      </c>
      <c r="O287" s="35" t="s">
        <v>12</v>
      </c>
    </row>
    <row r="288" spans="1:15" x14ac:dyDescent="0.25">
      <c r="A288" s="35">
        <v>1222728043</v>
      </c>
      <c r="B288" s="35" t="s">
        <v>4158</v>
      </c>
      <c r="C288" s="35">
        <v>2025</v>
      </c>
      <c r="D288" s="36">
        <v>45875.446284722224</v>
      </c>
      <c r="E288" s="37" t="s">
        <v>1035</v>
      </c>
      <c r="F288" s="37" t="s">
        <v>4194</v>
      </c>
      <c r="G288" s="37" t="s">
        <v>4128</v>
      </c>
      <c r="H288" s="35" t="s">
        <v>3419</v>
      </c>
      <c r="I288" s="35" t="s">
        <v>3453</v>
      </c>
      <c r="J288" s="38">
        <v>2.665</v>
      </c>
      <c r="K288" s="35">
        <v>2</v>
      </c>
      <c r="L288" s="38">
        <f t="shared" si="4"/>
        <v>5.33</v>
      </c>
      <c r="M288" s="35" t="s">
        <v>48</v>
      </c>
      <c r="N288" s="38">
        <v>5.33</v>
      </c>
      <c r="O288" s="35" t="s">
        <v>12</v>
      </c>
    </row>
    <row r="289" spans="1:15" x14ac:dyDescent="0.25">
      <c r="A289" s="35">
        <v>1144957029</v>
      </c>
      <c r="B289" s="35" t="s">
        <v>3721</v>
      </c>
      <c r="C289" s="35">
        <v>2024</v>
      </c>
      <c r="D289" s="36">
        <v>45330.626400462963</v>
      </c>
      <c r="E289" s="37" t="s">
        <v>2642</v>
      </c>
      <c r="F289" s="37" t="s">
        <v>5237</v>
      </c>
      <c r="G289" s="37" t="s">
        <v>3652</v>
      </c>
      <c r="H289" s="35" t="s">
        <v>3419</v>
      </c>
      <c r="I289" s="35" t="s">
        <v>3416</v>
      </c>
      <c r="J289" s="38">
        <v>5.29</v>
      </c>
      <c r="K289" s="35">
        <v>1</v>
      </c>
      <c r="L289" s="38">
        <f t="shared" si="4"/>
        <v>5.29</v>
      </c>
      <c r="M289" s="35" t="s">
        <v>48</v>
      </c>
      <c r="N289" s="38">
        <v>5.29</v>
      </c>
      <c r="O289" s="35" t="s">
        <v>12</v>
      </c>
    </row>
    <row r="290" spans="1:15" x14ac:dyDescent="0.25">
      <c r="A290" s="35">
        <v>1247478896</v>
      </c>
      <c r="B290" s="35" t="s">
        <v>3761</v>
      </c>
      <c r="C290" s="35">
        <v>2026</v>
      </c>
      <c r="D290" s="36">
        <v>46036.378738425927</v>
      </c>
      <c r="E290" s="37" t="s">
        <v>579</v>
      </c>
      <c r="F290" s="37" t="s">
        <v>3845</v>
      </c>
      <c r="G290" s="37" t="s">
        <v>3846</v>
      </c>
      <c r="H290" s="35" t="s">
        <v>3419</v>
      </c>
      <c r="I290" s="35" t="s">
        <v>3416</v>
      </c>
      <c r="J290" s="38">
        <v>5.28</v>
      </c>
      <c r="K290" s="35">
        <v>1</v>
      </c>
      <c r="L290" s="38">
        <f t="shared" si="4"/>
        <v>5.28</v>
      </c>
      <c r="M290" s="35" t="s">
        <v>48</v>
      </c>
      <c r="N290" s="38">
        <v>5.28</v>
      </c>
      <c r="O290" s="35" t="s">
        <v>12</v>
      </c>
    </row>
    <row r="291" spans="1:15" x14ac:dyDescent="0.25">
      <c r="A291" s="35">
        <v>1224093609</v>
      </c>
      <c r="B291" s="35" t="s">
        <v>4158</v>
      </c>
      <c r="C291" s="35">
        <v>2025</v>
      </c>
      <c r="D291" s="36">
        <v>45894.783171296294</v>
      </c>
      <c r="E291" s="37" t="s">
        <v>1014</v>
      </c>
      <c r="F291" s="37" t="s">
        <v>4169</v>
      </c>
      <c r="G291" s="37" t="s">
        <v>3660</v>
      </c>
      <c r="H291" s="35" t="s">
        <v>3419</v>
      </c>
      <c r="I291" s="35" t="s">
        <v>3416</v>
      </c>
      <c r="J291" s="38">
        <v>5.28</v>
      </c>
      <c r="K291" s="35">
        <v>1</v>
      </c>
      <c r="L291" s="38">
        <f t="shared" si="4"/>
        <v>5.28</v>
      </c>
      <c r="M291" s="35" t="s">
        <v>48</v>
      </c>
      <c r="N291" s="38">
        <v>5.28</v>
      </c>
      <c r="O291" s="35" t="s">
        <v>12</v>
      </c>
    </row>
    <row r="292" spans="1:15" ht="30" x14ac:dyDescent="0.25">
      <c r="A292" s="35" t="s">
        <v>6199</v>
      </c>
      <c r="B292" s="35" t="s">
        <v>3890</v>
      </c>
      <c r="C292" s="35">
        <v>2022</v>
      </c>
      <c r="D292" s="36">
        <v>44902.454409722217</v>
      </c>
      <c r="E292" s="37" t="s">
        <v>4233</v>
      </c>
      <c r="F292" s="37" t="s">
        <v>6200</v>
      </c>
      <c r="G292" s="37" t="s">
        <v>3619</v>
      </c>
      <c r="H292" s="35" t="s">
        <v>3419</v>
      </c>
      <c r="I292" s="35" t="s">
        <v>3416</v>
      </c>
      <c r="J292" s="38">
        <v>2.6375000000000002</v>
      </c>
      <c r="K292" s="35">
        <v>2</v>
      </c>
      <c r="L292" s="38">
        <f t="shared" si="4"/>
        <v>5.2750000000000004</v>
      </c>
      <c r="M292" s="35" t="s">
        <v>48</v>
      </c>
      <c r="N292" s="38">
        <v>5.2750000000000004</v>
      </c>
      <c r="O292" s="35" t="s">
        <v>12</v>
      </c>
    </row>
    <row r="293" spans="1:15" ht="30" x14ac:dyDescent="0.25">
      <c r="A293" s="35">
        <v>1253816762</v>
      </c>
      <c r="B293" s="35" t="s">
        <v>3721</v>
      </c>
      <c r="C293" s="35">
        <v>2026</v>
      </c>
      <c r="D293" s="36">
        <v>46067.524861111109</v>
      </c>
      <c r="E293" s="37" t="s">
        <v>450</v>
      </c>
      <c r="F293" s="37" t="s">
        <v>3743</v>
      </c>
      <c r="G293" s="37" t="s">
        <v>3744</v>
      </c>
      <c r="H293" s="35" t="s">
        <v>3415</v>
      </c>
      <c r="I293" s="35" t="s">
        <v>3416</v>
      </c>
      <c r="J293" s="38">
        <v>1.3125</v>
      </c>
      <c r="K293" s="35">
        <v>4</v>
      </c>
      <c r="L293" s="38">
        <f t="shared" si="4"/>
        <v>5.25</v>
      </c>
      <c r="M293" s="35" t="s">
        <v>48</v>
      </c>
      <c r="N293" s="38">
        <v>5.25</v>
      </c>
      <c r="O293" s="35" t="s">
        <v>12</v>
      </c>
    </row>
    <row r="294" spans="1:15" x14ac:dyDescent="0.25">
      <c r="A294" s="35">
        <v>1249026814</v>
      </c>
      <c r="B294" s="35" t="s">
        <v>3761</v>
      </c>
      <c r="C294" s="35">
        <v>2026</v>
      </c>
      <c r="D294" s="36">
        <v>46030.568495370368</v>
      </c>
      <c r="E294" s="37" t="s">
        <v>543</v>
      </c>
      <c r="F294" s="37" t="s">
        <v>3875</v>
      </c>
      <c r="G294" s="37" t="s">
        <v>3876</v>
      </c>
      <c r="H294" s="35" t="s">
        <v>3415</v>
      </c>
      <c r="I294" s="35" t="s">
        <v>3416</v>
      </c>
      <c r="J294" s="38">
        <v>1.3125</v>
      </c>
      <c r="K294" s="35">
        <v>4</v>
      </c>
      <c r="L294" s="38">
        <f t="shared" si="4"/>
        <v>5.25</v>
      </c>
      <c r="M294" s="35" t="s">
        <v>48</v>
      </c>
      <c r="N294" s="38">
        <v>5.25</v>
      </c>
      <c r="O294" s="35" t="s">
        <v>12</v>
      </c>
    </row>
    <row r="295" spans="1:15" ht="30" x14ac:dyDescent="0.25">
      <c r="A295" s="35">
        <v>1111649125</v>
      </c>
      <c r="B295" s="35" t="s">
        <v>3631</v>
      </c>
      <c r="C295" s="35">
        <v>2023</v>
      </c>
      <c r="D295" s="36">
        <v>45045.352337962962</v>
      </c>
      <c r="E295" s="37" t="s">
        <v>3109</v>
      </c>
      <c r="F295" s="37" t="s">
        <v>6015</v>
      </c>
      <c r="G295" s="37" t="s">
        <v>3678</v>
      </c>
      <c r="H295" s="35" t="s">
        <v>3419</v>
      </c>
      <c r="I295" s="35" t="s">
        <v>3416</v>
      </c>
      <c r="J295" s="38">
        <v>5.24</v>
      </c>
      <c r="K295" s="35">
        <v>1</v>
      </c>
      <c r="L295" s="38">
        <f t="shared" si="4"/>
        <v>5.24</v>
      </c>
      <c r="M295" s="35" t="s">
        <v>48</v>
      </c>
      <c r="N295" s="38">
        <v>5.24</v>
      </c>
      <c r="O295" s="35" t="s">
        <v>12</v>
      </c>
    </row>
    <row r="296" spans="1:15" x14ac:dyDescent="0.25">
      <c r="A296" s="35" t="s">
        <v>6268</v>
      </c>
      <c r="B296" s="35" t="s">
        <v>3968</v>
      </c>
      <c r="C296" s="35">
        <v>2022</v>
      </c>
      <c r="D296" s="36">
        <v>44873.61215277778</v>
      </c>
      <c r="E296" s="35" t="s">
        <v>4233</v>
      </c>
      <c r="F296" s="43" t="s">
        <v>3844</v>
      </c>
      <c r="G296" s="43" t="s">
        <v>3560</v>
      </c>
      <c r="H296" s="35" t="s">
        <v>3419</v>
      </c>
      <c r="I296" s="35" t="s">
        <v>3530</v>
      </c>
      <c r="J296" s="38">
        <v>1.7411111111111113</v>
      </c>
      <c r="K296" s="35">
        <v>3</v>
      </c>
      <c r="L296" s="38">
        <f t="shared" si="4"/>
        <v>5.2233333333333336</v>
      </c>
      <c r="M296" s="35" t="s">
        <v>48</v>
      </c>
      <c r="N296" s="38">
        <v>5.2233333333333336</v>
      </c>
      <c r="O296" s="35" t="s">
        <v>12</v>
      </c>
    </row>
    <row r="297" spans="1:15" x14ac:dyDescent="0.25">
      <c r="A297" s="35">
        <v>1165154888</v>
      </c>
      <c r="B297" s="35" t="s">
        <v>4199</v>
      </c>
      <c r="C297" s="35">
        <v>2024</v>
      </c>
      <c r="D297" s="36">
        <v>45483.700428240743</v>
      </c>
      <c r="E297" s="37" t="s">
        <v>2118</v>
      </c>
      <c r="F297" s="37" t="s">
        <v>4960</v>
      </c>
      <c r="G297" s="37" t="s">
        <v>4412</v>
      </c>
      <c r="H297" s="35" t="s">
        <v>3419</v>
      </c>
      <c r="I297" s="35" t="s">
        <v>3530</v>
      </c>
      <c r="J297" s="38">
        <v>5.21</v>
      </c>
      <c r="K297" s="35">
        <v>1</v>
      </c>
      <c r="L297" s="38">
        <f t="shared" si="4"/>
        <v>5.21</v>
      </c>
      <c r="M297" s="35" t="s">
        <v>48</v>
      </c>
      <c r="N297" s="38">
        <v>5.21</v>
      </c>
      <c r="O297" s="35" t="s">
        <v>12</v>
      </c>
    </row>
    <row r="298" spans="1:15" x14ac:dyDescent="0.25">
      <c r="A298" s="35">
        <v>1112996514</v>
      </c>
      <c r="B298" s="35" t="s">
        <v>3527</v>
      </c>
      <c r="C298" s="35">
        <v>2023</v>
      </c>
      <c r="D298" s="36">
        <v>45063.587812500002</v>
      </c>
      <c r="E298" s="37" t="s">
        <v>3073</v>
      </c>
      <c r="F298" s="37" t="s">
        <v>5977</v>
      </c>
      <c r="G298" s="37" t="s">
        <v>3529</v>
      </c>
      <c r="H298" s="35" t="s">
        <v>3419</v>
      </c>
      <c r="I298" s="35" t="s">
        <v>3530</v>
      </c>
      <c r="J298" s="38">
        <v>2.59</v>
      </c>
      <c r="K298" s="35">
        <v>2</v>
      </c>
      <c r="L298" s="38">
        <f t="shared" si="4"/>
        <v>5.18</v>
      </c>
      <c r="M298" s="35" t="s">
        <v>48</v>
      </c>
      <c r="N298" s="38">
        <v>5.18</v>
      </c>
      <c r="O298" s="35" t="s">
        <v>12</v>
      </c>
    </row>
    <row r="299" spans="1:15" x14ac:dyDescent="0.25">
      <c r="A299" s="35">
        <v>1167431558</v>
      </c>
      <c r="B299" s="35" t="s">
        <v>4158</v>
      </c>
      <c r="C299" s="35">
        <v>2024</v>
      </c>
      <c r="D299" s="36">
        <v>45533.340405092589</v>
      </c>
      <c r="E299" s="37" t="s">
        <v>2045</v>
      </c>
      <c r="F299" s="37" t="s">
        <v>4894</v>
      </c>
      <c r="G299" s="37" t="s">
        <v>3666</v>
      </c>
      <c r="H299" s="35" t="s">
        <v>3419</v>
      </c>
      <c r="I299" s="35" t="s">
        <v>3416</v>
      </c>
      <c r="J299" s="38">
        <v>5.17</v>
      </c>
      <c r="K299" s="35">
        <v>1</v>
      </c>
      <c r="L299" s="38">
        <f t="shared" si="4"/>
        <v>5.17</v>
      </c>
      <c r="M299" s="35" t="s">
        <v>48</v>
      </c>
      <c r="N299" s="38">
        <v>5.17</v>
      </c>
      <c r="O299" s="35" t="s">
        <v>12</v>
      </c>
    </row>
    <row r="300" spans="1:15" x14ac:dyDescent="0.25">
      <c r="A300" s="35">
        <v>1167681209</v>
      </c>
      <c r="B300" s="35" t="s">
        <v>4199</v>
      </c>
      <c r="C300" s="35">
        <v>2024</v>
      </c>
      <c r="D300" s="36">
        <v>45503.465995370367</v>
      </c>
      <c r="E300" s="37" t="s">
        <v>2032</v>
      </c>
      <c r="F300" s="37" t="s">
        <v>4923</v>
      </c>
      <c r="G300" s="37" t="s">
        <v>3899</v>
      </c>
      <c r="H300" s="35" t="s">
        <v>3419</v>
      </c>
      <c r="I300" s="35" t="s">
        <v>3416</v>
      </c>
      <c r="J300" s="38">
        <v>5.17</v>
      </c>
      <c r="K300" s="35">
        <v>1</v>
      </c>
      <c r="L300" s="38">
        <f t="shared" si="4"/>
        <v>5.17</v>
      </c>
      <c r="M300" s="35" t="s">
        <v>48</v>
      </c>
      <c r="N300" s="38">
        <v>5.17</v>
      </c>
      <c r="O300" s="35" t="s">
        <v>12</v>
      </c>
    </row>
    <row r="301" spans="1:15" x14ac:dyDescent="0.25">
      <c r="A301" s="35">
        <v>1176293751</v>
      </c>
      <c r="B301" s="35" t="s">
        <v>4070</v>
      </c>
      <c r="C301" s="35">
        <v>2024</v>
      </c>
      <c r="D301" s="36">
        <v>45574.690625000003</v>
      </c>
      <c r="E301" s="37" t="s">
        <v>1855</v>
      </c>
      <c r="F301" s="37" t="s">
        <v>4832</v>
      </c>
      <c r="G301" s="37" t="s">
        <v>3905</v>
      </c>
      <c r="H301" s="35" t="s">
        <v>3419</v>
      </c>
      <c r="I301" s="35" t="s">
        <v>3453</v>
      </c>
      <c r="J301" s="38">
        <v>1.7166666666666666</v>
      </c>
      <c r="K301" s="35">
        <v>3</v>
      </c>
      <c r="L301" s="38">
        <f t="shared" si="4"/>
        <v>5.1499999999999995</v>
      </c>
      <c r="M301" s="35" t="s">
        <v>48</v>
      </c>
      <c r="N301" s="38">
        <v>5.1499999999999995</v>
      </c>
      <c r="O301" s="35" t="s">
        <v>12</v>
      </c>
    </row>
    <row r="302" spans="1:15" x14ac:dyDescent="0.25">
      <c r="A302" s="35">
        <v>1243620987</v>
      </c>
      <c r="B302" s="35" t="s">
        <v>3968</v>
      </c>
      <c r="C302" s="35">
        <v>2025</v>
      </c>
      <c r="D302" s="36">
        <v>45990.726435185177</v>
      </c>
      <c r="E302" s="37" t="s">
        <v>380</v>
      </c>
      <c r="F302" s="37" t="s">
        <v>3887</v>
      </c>
      <c r="G302" s="37" t="s">
        <v>3805</v>
      </c>
      <c r="H302" s="35" t="s">
        <v>3415</v>
      </c>
      <c r="I302" s="35" t="s">
        <v>3416</v>
      </c>
      <c r="J302" s="38">
        <v>1.2825</v>
      </c>
      <c r="K302" s="35">
        <v>4</v>
      </c>
      <c r="L302" s="38">
        <f t="shared" si="4"/>
        <v>5.13</v>
      </c>
      <c r="M302" s="35" t="s">
        <v>48</v>
      </c>
      <c r="N302" s="38">
        <v>5.13</v>
      </c>
      <c r="O302" s="35" t="s">
        <v>12</v>
      </c>
    </row>
    <row r="303" spans="1:15" x14ac:dyDescent="0.25">
      <c r="A303" s="35">
        <v>1209191236</v>
      </c>
      <c r="B303" s="35" t="s">
        <v>3527</v>
      </c>
      <c r="C303" s="35">
        <v>2025</v>
      </c>
      <c r="D303" s="36">
        <v>45789.501631944448</v>
      </c>
      <c r="E303" s="37" t="s">
        <v>208</v>
      </c>
      <c r="F303" s="37" t="s">
        <v>4328</v>
      </c>
      <c r="G303" s="37" t="s">
        <v>3551</v>
      </c>
      <c r="H303" s="35" t="s">
        <v>3415</v>
      </c>
      <c r="I303" s="35" t="s">
        <v>3416</v>
      </c>
      <c r="J303" s="38">
        <v>1.2825</v>
      </c>
      <c r="K303" s="35">
        <v>4</v>
      </c>
      <c r="L303" s="38">
        <f t="shared" si="4"/>
        <v>5.13</v>
      </c>
      <c r="M303" s="35" t="s">
        <v>48</v>
      </c>
      <c r="N303" s="38">
        <v>5.13</v>
      </c>
      <c r="O303" s="35" t="s">
        <v>12</v>
      </c>
    </row>
    <row r="304" spans="1:15" x14ac:dyDescent="0.25">
      <c r="A304" s="35">
        <v>1157804109</v>
      </c>
      <c r="B304" s="35" t="s">
        <v>3527</v>
      </c>
      <c r="C304" s="35">
        <v>2024</v>
      </c>
      <c r="D304" s="36">
        <v>45439.919004629628</v>
      </c>
      <c r="E304" s="37" t="s">
        <v>2347</v>
      </c>
      <c r="F304" s="37" t="s">
        <v>4294</v>
      </c>
      <c r="G304" s="37" t="s">
        <v>4024</v>
      </c>
      <c r="H304" s="35" t="s">
        <v>3419</v>
      </c>
      <c r="I304" s="35" t="s">
        <v>3453</v>
      </c>
      <c r="J304" s="38">
        <v>2.56</v>
      </c>
      <c r="K304" s="35">
        <v>2</v>
      </c>
      <c r="L304" s="38">
        <f t="shared" si="4"/>
        <v>5.12</v>
      </c>
      <c r="M304" s="35" t="s">
        <v>48</v>
      </c>
      <c r="N304" s="38">
        <v>5.12</v>
      </c>
      <c r="O304" s="35" t="s">
        <v>12</v>
      </c>
    </row>
    <row r="305" spans="1:15" x14ac:dyDescent="0.25">
      <c r="A305" s="35">
        <v>1157668500</v>
      </c>
      <c r="B305" s="35" t="s">
        <v>3527</v>
      </c>
      <c r="C305" s="35">
        <v>2024</v>
      </c>
      <c r="D305" s="36">
        <v>45429.583761574067</v>
      </c>
      <c r="E305" s="37" t="s">
        <v>2363</v>
      </c>
      <c r="F305" s="37" t="s">
        <v>4878</v>
      </c>
      <c r="G305" s="37" t="s">
        <v>3551</v>
      </c>
      <c r="H305" s="35" t="s">
        <v>3419</v>
      </c>
      <c r="I305" s="35" t="s">
        <v>3416</v>
      </c>
      <c r="J305" s="38">
        <v>4.954663212435233</v>
      </c>
      <c r="K305" s="35">
        <v>1</v>
      </c>
      <c r="L305" s="38">
        <f t="shared" si="4"/>
        <v>4.954663212435233</v>
      </c>
      <c r="M305" s="35" t="s">
        <v>48</v>
      </c>
      <c r="N305" s="38">
        <v>4.954663212435233</v>
      </c>
      <c r="O305" s="35" t="s">
        <v>12</v>
      </c>
    </row>
    <row r="306" spans="1:15" x14ac:dyDescent="0.25">
      <c r="A306" s="35">
        <v>1247238999</v>
      </c>
      <c r="B306" s="35" t="s">
        <v>3890</v>
      </c>
      <c r="C306" s="35">
        <v>2025</v>
      </c>
      <c r="D306" s="36">
        <v>46012.712094907409</v>
      </c>
      <c r="E306" s="37" t="s">
        <v>597</v>
      </c>
      <c r="F306" s="37" t="s">
        <v>3638</v>
      </c>
      <c r="G306" s="37" t="s">
        <v>3639</v>
      </c>
      <c r="H306" s="35" t="s">
        <v>3419</v>
      </c>
      <c r="I306" s="35" t="s">
        <v>3831</v>
      </c>
      <c r="J306" s="38">
        <v>4.95</v>
      </c>
      <c r="K306" s="35">
        <v>1</v>
      </c>
      <c r="L306" s="38">
        <f t="shared" si="4"/>
        <v>4.95</v>
      </c>
      <c r="M306" s="35" t="s">
        <v>48</v>
      </c>
      <c r="N306" s="38">
        <v>4.95</v>
      </c>
      <c r="O306" s="35" t="s">
        <v>12</v>
      </c>
    </row>
    <row r="307" spans="1:15" x14ac:dyDescent="0.25">
      <c r="A307" s="35">
        <v>1257677828</v>
      </c>
      <c r="B307" s="35" t="s">
        <v>3721</v>
      </c>
      <c r="C307" s="35">
        <v>2026</v>
      </c>
      <c r="D307" s="36">
        <v>46068.696701388893</v>
      </c>
      <c r="E307" s="37" t="s">
        <v>375</v>
      </c>
      <c r="F307" s="37" t="s">
        <v>3737</v>
      </c>
      <c r="G307" s="37" t="s">
        <v>3738</v>
      </c>
      <c r="H307" s="35" t="s">
        <v>3419</v>
      </c>
      <c r="I307" s="35" t="s">
        <v>3416</v>
      </c>
      <c r="J307" s="38">
        <v>4.8547982062780273</v>
      </c>
      <c r="K307" s="35">
        <v>1</v>
      </c>
      <c r="L307" s="38">
        <f t="shared" si="4"/>
        <v>4.8547982062780273</v>
      </c>
      <c r="M307" s="35" t="s">
        <v>48</v>
      </c>
      <c r="N307" s="38">
        <v>4.8547982062780273</v>
      </c>
      <c r="O307" s="35" t="s">
        <v>12</v>
      </c>
    </row>
    <row r="308" spans="1:15" x14ac:dyDescent="0.25">
      <c r="A308" s="35">
        <v>1177911137</v>
      </c>
      <c r="B308" s="35" t="s">
        <v>4070</v>
      </c>
      <c r="C308" s="35">
        <v>2024</v>
      </c>
      <c r="D308" s="36">
        <v>45588.548726851855</v>
      </c>
      <c r="E308" s="37" t="s">
        <v>1812</v>
      </c>
      <c r="F308" s="37" t="s">
        <v>4612</v>
      </c>
      <c r="G308" s="37" t="s">
        <v>3621</v>
      </c>
      <c r="H308" s="35" t="s">
        <v>3419</v>
      </c>
      <c r="I308" s="35" t="s">
        <v>3416</v>
      </c>
      <c r="J308" s="38">
        <v>4.8351063829787231</v>
      </c>
      <c r="K308" s="35">
        <v>1</v>
      </c>
      <c r="L308" s="38">
        <f t="shared" si="4"/>
        <v>4.8351063829787231</v>
      </c>
      <c r="M308" s="35" t="s">
        <v>48</v>
      </c>
      <c r="N308" s="38">
        <v>4.8351063829787231</v>
      </c>
      <c r="O308" s="35" t="s">
        <v>12</v>
      </c>
    </row>
    <row r="309" spans="1:15" x14ac:dyDescent="0.25">
      <c r="A309" s="35">
        <v>1257613765</v>
      </c>
      <c r="B309" s="35" t="s">
        <v>3646</v>
      </c>
      <c r="C309" s="35">
        <v>2026</v>
      </c>
      <c r="D309" s="36">
        <v>46084.364895833336</v>
      </c>
      <c r="E309" s="37" t="s">
        <v>378</v>
      </c>
      <c r="F309" s="37" t="s">
        <v>3719</v>
      </c>
      <c r="G309" s="37" t="s">
        <v>3720</v>
      </c>
      <c r="H309" s="35" t="s">
        <v>3415</v>
      </c>
      <c r="I309" s="35" t="s">
        <v>3416</v>
      </c>
      <c r="J309" s="38">
        <v>1.1499999999999999</v>
      </c>
      <c r="K309" s="35">
        <v>4</v>
      </c>
      <c r="L309" s="38">
        <f t="shared" si="4"/>
        <v>4.5999999999999996</v>
      </c>
      <c r="M309" s="35" t="s">
        <v>48</v>
      </c>
      <c r="N309" s="38">
        <v>4.5999999999999996</v>
      </c>
      <c r="O309" s="35" t="s">
        <v>12</v>
      </c>
    </row>
    <row r="310" spans="1:15" x14ac:dyDescent="0.25">
      <c r="A310" s="35">
        <v>1257189486</v>
      </c>
      <c r="B310" s="35" t="s">
        <v>3721</v>
      </c>
      <c r="C310" s="35">
        <v>2026</v>
      </c>
      <c r="D310" s="36">
        <v>46072.809849537036</v>
      </c>
      <c r="E310" s="37" t="s">
        <v>385</v>
      </c>
      <c r="F310" s="37" t="s">
        <v>3725</v>
      </c>
      <c r="G310" s="37" t="s">
        <v>3726</v>
      </c>
      <c r="H310" s="35" t="s">
        <v>3415</v>
      </c>
      <c r="I310" s="35" t="s">
        <v>3416</v>
      </c>
      <c r="J310" s="38">
        <v>1.1499999999999999</v>
      </c>
      <c r="K310" s="35">
        <v>4</v>
      </c>
      <c r="L310" s="38">
        <f t="shared" si="4"/>
        <v>4.5999999999999996</v>
      </c>
      <c r="M310" s="35" t="s">
        <v>48</v>
      </c>
      <c r="N310" s="38">
        <v>4.5999999999999996</v>
      </c>
      <c r="O310" s="35" t="s">
        <v>12</v>
      </c>
    </row>
    <row r="311" spans="1:15" x14ac:dyDescent="0.25">
      <c r="A311" s="35">
        <v>1284476874</v>
      </c>
      <c r="B311" s="35" t="s">
        <v>3412</v>
      </c>
      <c r="C311" s="35">
        <v>2026</v>
      </c>
      <c r="D311" s="36">
        <v>46199.142384259263</v>
      </c>
      <c r="E311" s="37" t="s">
        <v>49</v>
      </c>
      <c r="F311" s="37" t="s">
        <v>3454</v>
      </c>
      <c r="G311" s="37" t="s">
        <v>3455</v>
      </c>
      <c r="H311" s="35" t="s">
        <v>3419</v>
      </c>
      <c r="I311" s="35" t="s">
        <v>3453</v>
      </c>
      <c r="J311" s="38">
        <v>4.55</v>
      </c>
      <c r="K311" s="35">
        <v>1</v>
      </c>
      <c r="L311" s="38">
        <f t="shared" si="4"/>
        <v>4.55</v>
      </c>
      <c r="M311" s="35" t="s">
        <v>48</v>
      </c>
      <c r="N311" s="38">
        <v>4.55</v>
      </c>
      <c r="O311" s="35" t="s">
        <v>12</v>
      </c>
    </row>
    <row r="312" spans="1:15" x14ac:dyDescent="0.25">
      <c r="A312" s="35">
        <v>1252234284</v>
      </c>
      <c r="B312" s="35" t="s">
        <v>3761</v>
      </c>
      <c r="C312" s="35">
        <v>2026</v>
      </c>
      <c r="D312" s="36">
        <v>46041.7887962963</v>
      </c>
      <c r="E312" s="37" t="s">
        <v>477</v>
      </c>
      <c r="F312" s="37" t="s">
        <v>3804</v>
      </c>
      <c r="G312" s="37" t="s">
        <v>3805</v>
      </c>
      <c r="H312" s="35" t="s">
        <v>3419</v>
      </c>
      <c r="I312" s="35" t="s">
        <v>3453</v>
      </c>
      <c r="J312" s="38">
        <v>2.2250000000000001</v>
      </c>
      <c r="K312" s="35">
        <v>2</v>
      </c>
      <c r="L312" s="38">
        <f t="shared" si="4"/>
        <v>4.45</v>
      </c>
      <c r="M312" s="35" t="s">
        <v>48</v>
      </c>
      <c r="N312" s="38">
        <v>4.45</v>
      </c>
      <c r="O312" s="35" t="s">
        <v>12</v>
      </c>
    </row>
    <row r="313" spans="1:15" x14ac:dyDescent="0.25">
      <c r="A313" s="35">
        <v>1245818358</v>
      </c>
      <c r="B313" s="35" t="s">
        <v>3890</v>
      </c>
      <c r="C313" s="35">
        <v>2025</v>
      </c>
      <c r="D313" s="36">
        <v>46003.000081018523</v>
      </c>
      <c r="E313" s="37" t="s">
        <v>625</v>
      </c>
      <c r="F313" s="37" t="s">
        <v>3930</v>
      </c>
      <c r="G313" s="37" t="s">
        <v>3905</v>
      </c>
      <c r="H313" s="35" t="s">
        <v>3415</v>
      </c>
      <c r="I313" s="35" t="s">
        <v>3931</v>
      </c>
      <c r="J313" s="38">
        <v>1.1125</v>
      </c>
      <c r="K313" s="35">
        <v>4</v>
      </c>
      <c r="L313" s="38">
        <f t="shared" si="4"/>
        <v>4.45</v>
      </c>
      <c r="M313" s="35" t="s">
        <v>48</v>
      </c>
      <c r="N313" s="38">
        <v>4.45</v>
      </c>
      <c r="O313" s="35" t="s">
        <v>12</v>
      </c>
    </row>
    <row r="314" spans="1:15" x14ac:dyDescent="0.25">
      <c r="A314" s="35">
        <v>1248408245</v>
      </c>
      <c r="B314" s="35" t="s">
        <v>3890</v>
      </c>
      <c r="C314" s="35">
        <v>2025</v>
      </c>
      <c r="D314" s="36">
        <v>46020.736226851863</v>
      </c>
      <c r="E314" s="37" t="s">
        <v>559</v>
      </c>
      <c r="F314" s="37" t="s">
        <v>3893</v>
      </c>
      <c r="G314" s="37" t="s">
        <v>3894</v>
      </c>
      <c r="H314" s="35" t="s">
        <v>3419</v>
      </c>
      <c r="I314" s="35" t="s">
        <v>3530</v>
      </c>
      <c r="J314" s="38">
        <v>4.4319724770642202</v>
      </c>
      <c r="K314" s="35">
        <v>1</v>
      </c>
      <c r="L314" s="38">
        <f t="shared" si="4"/>
        <v>4.4319724770642202</v>
      </c>
      <c r="M314" s="35" t="s">
        <v>48</v>
      </c>
      <c r="N314" s="38">
        <v>4.4319724770642202</v>
      </c>
      <c r="O314" s="35" t="s">
        <v>12</v>
      </c>
    </row>
    <row r="315" spans="1:15" x14ac:dyDescent="0.25">
      <c r="A315" s="35">
        <v>1242930381</v>
      </c>
      <c r="B315" s="35" t="s">
        <v>3890</v>
      </c>
      <c r="C315" s="35">
        <v>2025</v>
      </c>
      <c r="D315" s="36">
        <v>45993.718287037038</v>
      </c>
      <c r="E315" s="37" t="s">
        <v>704</v>
      </c>
      <c r="F315" s="37" t="s">
        <v>3957</v>
      </c>
      <c r="G315" s="37" t="s">
        <v>3687</v>
      </c>
      <c r="H315" s="35" t="s">
        <v>3419</v>
      </c>
      <c r="I315" s="35" t="s">
        <v>3416</v>
      </c>
      <c r="J315" s="38">
        <v>2.2132994923857869</v>
      </c>
      <c r="K315" s="35">
        <v>2</v>
      </c>
      <c r="L315" s="38">
        <f t="shared" si="4"/>
        <v>4.4265989847715739</v>
      </c>
      <c r="M315" s="35" t="s">
        <v>48</v>
      </c>
      <c r="N315" s="38">
        <v>4.4265989847715739</v>
      </c>
      <c r="O315" s="35" t="s">
        <v>12</v>
      </c>
    </row>
    <row r="316" spans="1:15" x14ac:dyDescent="0.25">
      <c r="A316" s="35">
        <v>1238166844</v>
      </c>
      <c r="B316" s="35" t="s">
        <v>4070</v>
      </c>
      <c r="C316" s="35">
        <v>2025</v>
      </c>
      <c r="D316" s="36">
        <v>45957.850925925923</v>
      </c>
      <c r="E316" s="37" t="s">
        <v>832</v>
      </c>
      <c r="F316" s="37" t="s">
        <v>4081</v>
      </c>
      <c r="G316" s="37" t="s">
        <v>3792</v>
      </c>
      <c r="H316" s="35" t="s">
        <v>3419</v>
      </c>
      <c r="I316" s="35" t="s">
        <v>3416</v>
      </c>
      <c r="J316" s="38">
        <v>2.2034130434782608</v>
      </c>
      <c r="K316" s="35">
        <v>2</v>
      </c>
      <c r="L316" s="38">
        <f t="shared" si="4"/>
        <v>4.4068260869565217</v>
      </c>
      <c r="M316" s="35" t="s">
        <v>48</v>
      </c>
      <c r="N316" s="38">
        <v>4.4068260869565217</v>
      </c>
      <c r="O316" s="35" t="s">
        <v>12</v>
      </c>
    </row>
    <row r="317" spans="1:15" x14ac:dyDescent="0.25">
      <c r="A317" s="35">
        <v>1262398464</v>
      </c>
      <c r="B317" s="35" t="s">
        <v>3646</v>
      </c>
      <c r="C317" s="35">
        <v>2026</v>
      </c>
      <c r="D317" s="36">
        <v>46092.401030092587</v>
      </c>
      <c r="E317" s="37" t="s">
        <v>347</v>
      </c>
      <c r="F317" s="37" t="s">
        <v>3692</v>
      </c>
      <c r="G317" s="37" t="s">
        <v>3533</v>
      </c>
      <c r="H317" s="35" t="s">
        <v>3419</v>
      </c>
      <c r="I317" s="35" t="s">
        <v>3530</v>
      </c>
      <c r="J317" s="38">
        <v>4.4000000000000004</v>
      </c>
      <c r="K317" s="35">
        <v>1</v>
      </c>
      <c r="L317" s="38">
        <f t="shared" si="4"/>
        <v>4.4000000000000004</v>
      </c>
      <c r="M317" s="35" t="s">
        <v>48</v>
      </c>
      <c r="N317" s="38">
        <v>4.4000000000000004</v>
      </c>
      <c r="O317" s="35" t="s">
        <v>12</v>
      </c>
    </row>
    <row r="318" spans="1:15" x14ac:dyDescent="0.25">
      <c r="A318" s="35">
        <v>1255474256</v>
      </c>
      <c r="B318" s="35" t="s">
        <v>3721</v>
      </c>
      <c r="C318" s="35">
        <v>2026</v>
      </c>
      <c r="D318" s="36">
        <v>46057.46533564815</v>
      </c>
      <c r="E318" s="37" t="s">
        <v>421</v>
      </c>
      <c r="F318" s="37" t="s">
        <v>3642</v>
      </c>
      <c r="G318" s="37" t="s">
        <v>3643</v>
      </c>
      <c r="H318" s="35" t="s">
        <v>3419</v>
      </c>
      <c r="I318" s="35" t="s">
        <v>3530</v>
      </c>
      <c r="J318" s="38">
        <v>4.4000000000000004</v>
      </c>
      <c r="K318" s="35">
        <v>1</v>
      </c>
      <c r="L318" s="38">
        <f t="shared" si="4"/>
        <v>4.4000000000000004</v>
      </c>
      <c r="M318" s="35" t="s">
        <v>48</v>
      </c>
      <c r="N318" s="38">
        <v>4.4000000000000004</v>
      </c>
      <c r="O318" s="35" t="s">
        <v>12</v>
      </c>
    </row>
    <row r="319" spans="1:15" x14ac:dyDescent="0.25">
      <c r="A319" s="35">
        <v>1249955163</v>
      </c>
      <c r="B319" s="35" t="s">
        <v>3761</v>
      </c>
      <c r="C319" s="35">
        <v>2026</v>
      </c>
      <c r="D319" s="36">
        <v>46038.725844907407</v>
      </c>
      <c r="E319" s="37" t="s">
        <v>523</v>
      </c>
      <c r="F319" s="37" t="s">
        <v>3817</v>
      </c>
      <c r="G319" s="37" t="s">
        <v>3736</v>
      </c>
      <c r="H319" s="35" t="s">
        <v>3419</v>
      </c>
      <c r="I319" s="35" t="s">
        <v>3416</v>
      </c>
      <c r="J319" s="38">
        <v>4.4000000000000004</v>
      </c>
      <c r="K319" s="35">
        <v>1</v>
      </c>
      <c r="L319" s="38">
        <f t="shared" si="4"/>
        <v>4.4000000000000004</v>
      </c>
      <c r="M319" s="35" t="s">
        <v>48</v>
      </c>
      <c r="N319" s="38">
        <v>4.4000000000000004</v>
      </c>
      <c r="O319" s="35" t="s">
        <v>12</v>
      </c>
    </row>
    <row r="320" spans="1:15" x14ac:dyDescent="0.25">
      <c r="A320" s="35">
        <v>1247489911</v>
      </c>
      <c r="B320" s="35" t="s">
        <v>3890</v>
      </c>
      <c r="C320" s="35">
        <v>2025</v>
      </c>
      <c r="D320" s="36">
        <v>46014.470925925933</v>
      </c>
      <c r="E320" s="37" t="s">
        <v>576</v>
      </c>
      <c r="F320" s="37" t="s">
        <v>3454</v>
      </c>
      <c r="G320" s="37" t="s">
        <v>3455</v>
      </c>
      <c r="H320" s="35" t="s">
        <v>3419</v>
      </c>
      <c r="I320" s="35" t="s">
        <v>3453</v>
      </c>
      <c r="J320" s="38">
        <v>4.4000000000000004</v>
      </c>
      <c r="K320" s="35">
        <v>1</v>
      </c>
      <c r="L320" s="38">
        <f t="shared" si="4"/>
        <v>4.4000000000000004</v>
      </c>
      <c r="M320" s="35" t="s">
        <v>48</v>
      </c>
      <c r="N320" s="38">
        <v>4.4000000000000004</v>
      </c>
      <c r="O320" s="35" t="s">
        <v>12</v>
      </c>
    </row>
    <row r="321" spans="1:15" x14ac:dyDescent="0.25">
      <c r="A321" s="35">
        <v>1242211482</v>
      </c>
      <c r="B321" s="35" t="s">
        <v>3890</v>
      </c>
      <c r="C321" s="35">
        <v>2025</v>
      </c>
      <c r="D321" s="36">
        <v>46002.630578703705</v>
      </c>
      <c r="E321" s="37" t="s">
        <v>722</v>
      </c>
      <c r="F321" s="37" t="s">
        <v>3924</v>
      </c>
      <c r="G321" s="37" t="s">
        <v>3925</v>
      </c>
      <c r="H321" s="35" t="s">
        <v>3419</v>
      </c>
      <c r="I321" s="35" t="s">
        <v>3416</v>
      </c>
      <c r="J321" s="38">
        <v>4.4000000000000004</v>
      </c>
      <c r="K321" s="35">
        <v>1</v>
      </c>
      <c r="L321" s="38">
        <f t="shared" si="4"/>
        <v>4.4000000000000004</v>
      </c>
      <c r="M321" s="35" t="s">
        <v>48</v>
      </c>
      <c r="N321" s="38">
        <v>4.4000000000000004</v>
      </c>
      <c r="O321" s="35" t="s">
        <v>12</v>
      </c>
    </row>
    <row r="322" spans="1:15" x14ac:dyDescent="0.25">
      <c r="A322" s="35">
        <v>1244130136</v>
      </c>
      <c r="B322" s="35" t="s">
        <v>3890</v>
      </c>
      <c r="C322" s="35">
        <v>2025</v>
      </c>
      <c r="D322" s="36">
        <v>45993.006365740737</v>
      </c>
      <c r="E322" s="37" t="s">
        <v>667</v>
      </c>
      <c r="F322" s="37" t="s">
        <v>3960</v>
      </c>
      <c r="G322" s="37" t="s">
        <v>3961</v>
      </c>
      <c r="H322" s="35" t="s">
        <v>3419</v>
      </c>
      <c r="I322" s="35" t="s">
        <v>3416</v>
      </c>
      <c r="J322" s="38">
        <v>4.4000000000000004</v>
      </c>
      <c r="K322" s="35">
        <v>1</v>
      </c>
      <c r="L322" s="38">
        <f t="shared" ref="L322:L385" si="5">J322*K322</f>
        <v>4.4000000000000004</v>
      </c>
      <c r="M322" s="35" t="s">
        <v>48</v>
      </c>
      <c r="N322" s="38">
        <v>4.4000000000000004</v>
      </c>
      <c r="O322" s="35" t="s">
        <v>12</v>
      </c>
    </row>
    <row r="323" spans="1:15" x14ac:dyDescent="0.25">
      <c r="A323" s="35">
        <v>1241668804</v>
      </c>
      <c r="B323" s="35" t="s">
        <v>3968</v>
      </c>
      <c r="C323" s="35">
        <v>2025</v>
      </c>
      <c r="D323" s="36">
        <v>45985.619884259257</v>
      </c>
      <c r="E323" s="37" t="s">
        <v>742</v>
      </c>
      <c r="F323" s="37" t="s">
        <v>3982</v>
      </c>
      <c r="G323" s="37" t="s">
        <v>3729</v>
      </c>
      <c r="H323" s="35" t="s">
        <v>3415</v>
      </c>
      <c r="I323" s="35" t="s">
        <v>3416</v>
      </c>
      <c r="J323" s="38">
        <v>1.0963836477987421</v>
      </c>
      <c r="K323" s="35">
        <v>4</v>
      </c>
      <c r="L323" s="38">
        <f t="shared" si="5"/>
        <v>4.3855345911949684</v>
      </c>
      <c r="M323" s="35" t="s">
        <v>48</v>
      </c>
      <c r="N323" s="38">
        <v>4.3855345911949684</v>
      </c>
      <c r="O323" s="35" t="s">
        <v>12</v>
      </c>
    </row>
    <row r="324" spans="1:15" x14ac:dyDescent="0.25">
      <c r="A324" s="35">
        <v>1207830871</v>
      </c>
      <c r="B324" s="35" t="s">
        <v>3631</v>
      </c>
      <c r="C324" s="35">
        <v>2025</v>
      </c>
      <c r="D324" s="36">
        <v>45775.827430555553</v>
      </c>
      <c r="E324" s="37" t="s">
        <v>1260</v>
      </c>
      <c r="F324" s="37" t="s">
        <v>4340</v>
      </c>
      <c r="G324" s="37" t="s">
        <v>3718</v>
      </c>
      <c r="H324" s="35" t="s">
        <v>3419</v>
      </c>
      <c r="I324" s="35" t="s">
        <v>3416</v>
      </c>
      <c r="J324" s="38">
        <v>1.4433333333333334</v>
      </c>
      <c r="K324" s="35">
        <v>3</v>
      </c>
      <c r="L324" s="38">
        <f t="shared" si="5"/>
        <v>4.33</v>
      </c>
      <c r="M324" s="35" t="s">
        <v>48</v>
      </c>
      <c r="N324" s="38">
        <v>4.33</v>
      </c>
      <c r="O324" s="35" t="s">
        <v>12</v>
      </c>
    </row>
    <row r="325" spans="1:15" x14ac:dyDescent="0.25">
      <c r="A325" s="35">
        <v>1157075496</v>
      </c>
      <c r="B325" s="35" t="s">
        <v>3527</v>
      </c>
      <c r="C325" s="35">
        <v>2024</v>
      </c>
      <c r="D325" s="36">
        <v>45433.390486111108</v>
      </c>
      <c r="E325" s="37" t="s">
        <v>2382</v>
      </c>
      <c r="F325" s="37" t="s">
        <v>5072</v>
      </c>
      <c r="G325" s="37" t="s">
        <v>3740</v>
      </c>
      <c r="H325" s="35" t="s">
        <v>3419</v>
      </c>
      <c r="I325" s="35" t="s">
        <v>3530</v>
      </c>
      <c r="J325" s="38">
        <v>4.3233191489361706</v>
      </c>
      <c r="K325" s="35">
        <v>1</v>
      </c>
      <c r="L325" s="38">
        <f t="shared" si="5"/>
        <v>4.3233191489361706</v>
      </c>
      <c r="M325" s="35" t="s">
        <v>48</v>
      </c>
      <c r="N325" s="38">
        <v>4.3233191489361706</v>
      </c>
      <c r="O325" s="35" t="s">
        <v>12</v>
      </c>
    </row>
    <row r="326" spans="1:15" x14ac:dyDescent="0.25">
      <c r="A326" s="35">
        <v>1157075496</v>
      </c>
      <c r="B326" s="35" t="s">
        <v>3527</v>
      </c>
      <c r="C326" s="35">
        <v>2024</v>
      </c>
      <c r="D326" s="36">
        <v>45433.390486111108</v>
      </c>
      <c r="E326" s="37" t="s">
        <v>2382</v>
      </c>
      <c r="F326" s="37" t="s">
        <v>5072</v>
      </c>
      <c r="G326" s="37" t="s">
        <v>3740</v>
      </c>
      <c r="H326" s="35" t="s">
        <v>3419</v>
      </c>
      <c r="I326" s="35" t="s">
        <v>3640</v>
      </c>
      <c r="J326" s="38">
        <v>4.3233191489361706</v>
      </c>
      <c r="K326" s="35">
        <v>1</v>
      </c>
      <c r="L326" s="38">
        <f t="shared" si="5"/>
        <v>4.3233191489361706</v>
      </c>
      <c r="M326" s="35" t="s">
        <v>48</v>
      </c>
      <c r="N326" s="38">
        <v>4.3233191489361706</v>
      </c>
      <c r="O326" s="35" t="s">
        <v>12</v>
      </c>
    </row>
    <row r="327" spans="1:15" x14ac:dyDescent="0.25">
      <c r="A327" s="35">
        <v>1211690069</v>
      </c>
      <c r="B327" s="35" t="s">
        <v>3527</v>
      </c>
      <c r="C327" s="35">
        <v>2025</v>
      </c>
      <c r="D327" s="36">
        <v>45793.430671296293</v>
      </c>
      <c r="E327" s="37" t="s">
        <v>1185</v>
      </c>
      <c r="F327" s="37" t="s">
        <v>4324</v>
      </c>
      <c r="G327" s="37" t="s">
        <v>4083</v>
      </c>
      <c r="H327" s="35" t="s">
        <v>3419</v>
      </c>
      <c r="I327" s="35" t="s">
        <v>3640</v>
      </c>
      <c r="J327" s="38">
        <v>4.2610420367081119</v>
      </c>
      <c r="K327" s="35">
        <v>1</v>
      </c>
      <c r="L327" s="38">
        <f t="shared" si="5"/>
        <v>4.2610420367081119</v>
      </c>
      <c r="M327" s="35" t="s">
        <v>48</v>
      </c>
      <c r="N327" s="38">
        <v>4.2610420367081119</v>
      </c>
      <c r="O327" s="35" t="s">
        <v>12</v>
      </c>
    </row>
    <row r="328" spans="1:15" x14ac:dyDescent="0.25">
      <c r="A328" s="35">
        <v>1166850977</v>
      </c>
      <c r="B328" s="35" t="s">
        <v>4199</v>
      </c>
      <c r="C328" s="35">
        <v>2024</v>
      </c>
      <c r="D328" s="36">
        <v>45496.855173611111</v>
      </c>
      <c r="E328" s="37" t="s">
        <v>2060</v>
      </c>
      <c r="F328" s="37" t="s">
        <v>4935</v>
      </c>
      <c r="G328" s="37" t="s">
        <v>3621</v>
      </c>
      <c r="H328" s="35" t="s">
        <v>3419</v>
      </c>
      <c r="I328" s="35" t="s">
        <v>3416</v>
      </c>
      <c r="J328" s="38">
        <v>4.25</v>
      </c>
      <c r="K328" s="35">
        <v>1</v>
      </c>
      <c r="L328" s="38">
        <f t="shared" si="5"/>
        <v>4.25</v>
      </c>
      <c r="M328" s="35" t="s">
        <v>48</v>
      </c>
      <c r="N328" s="38">
        <v>4.25</v>
      </c>
      <c r="O328" s="35" t="s">
        <v>12</v>
      </c>
    </row>
    <row r="329" spans="1:15" x14ac:dyDescent="0.25">
      <c r="A329" s="35">
        <v>1136163732</v>
      </c>
      <c r="B329" s="35" t="s">
        <v>3968</v>
      </c>
      <c r="C329" s="35">
        <v>2023</v>
      </c>
      <c r="D329" s="36">
        <v>45256.518275462957</v>
      </c>
      <c r="E329" s="37" t="s">
        <v>2780</v>
      </c>
      <c r="F329" s="37" t="s">
        <v>5472</v>
      </c>
      <c r="G329" s="37" t="s">
        <v>3652</v>
      </c>
      <c r="H329" s="35" t="s">
        <v>3419</v>
      </c>
      <c r="I329" s="35" t="s">
        <v>3416</v>
      </c>
      <c r="J329" s="38">
        <v>4.24</v>
      </c>
      <c r="K329" s="35">
        <v>1</v>
      </c>
      <c r="L329" s="38">
        <f t="shared" si="5"/>
        <v>4.24</v>
      </c>
      <c r="M329" s="35" t="s">
        <v>48</v>
      </c>
      <c r="N329" s="38">
        <v>4.24</v>
      </c>
      <c r="O329" s="35" t="s">
        <v>12</v>
      </c>
    </row>
    <row r="330" spans="1:15" x14ac:dyDescent="0.25">
      <c r="A330" s="35">
        <v>1162179856</v>
      </c>
      <c r="B330" s="35" t="s">
        <v>3412</v>
      </c>
      <c r="C330" s="35">
        <v>2024</v>
      </c>
      <c r="D330" s="36">
        <v>45461.979583333326</v>
      </c>
      <c r="E330" s="37" t="s">
        <v>2226</v>
      </c>
      <c r="F330" s="37" t="s">
        <v>5005</v>
      </c>
      <c r="G330" s="37" t="s">
        <v>4561</v>
      </c>
      <c r="H330" s="35" t="s">
        <v>3419</v>
      </c>
      <c r="I330" s="35" t="s">
        <v>3530</v>
      </c>
      <c r="J330" s="38">
        <v>4.21</v>
      </c>
      <c r="K330" s="35">
        <v>1</v>
      </c>
      <c r="L330" s="38">
        <f t="shared" si="5"/>
        <v>4.21</v>
      </c>
      <c r="M330" s="35" t="s">
        <v>48</v>
      </c>
      <c r="N330" s="38">
        <v>4.21</v>
      </c>
      <c r="O330" s="35" t="s">
        <v>12</v>
      </c>
    </row>
    <row r="331" spans="1:15" x14ac:dyDescent="0.25">
      <c r="A331" s="35">
        <v>1145276964</v>
      </c>
      <c r="B331" s="35" t="s">
        <v>3721</v>
      </c>
      <c r="C331" s="35">
        <v>2024</v>
      </c>
      <c r="D331" s="36">
        <v>45338.497662037036</v>
      </c>
      <c r="E331" s="37" t="s">
        <v>2634</v>
      </c>
      <c r="F331" s="37" t="s">
        <v>4520</v>
      </c>
      <c r="G331" s="37" t="s">
        <v>5229</v>
      </c>
      <c r="H331" s="35" t="s">
        <v>3419</v>
      </c>
      <c r="I331" s="35" t="s">
        <v>3530</v>
      </c>
      <c r="J331" s="38">
        <v>4.21</v>
      </c>
      <c r="K331" s="35">
        <v>1</v>
      </c>
      <c r="L331" s="38">
        <f t="shared" si="5"/>
        <v>4.21</v>
      </c>
      <c r="M331" s="35" t="s">
        <v>48</v>
      </c>
      <c r="N331" s="38">
        <v>4.21</v>
      </c>
      <c r="O331" s="35" t="s">
        <v>12</v>
      </c>
    </row>
    <row r="332" spans="1:15" x14ac:dyDescent="0.25">
      <c r="A332" s="35">
        <v>1167473026</v>
      </c>
      <c r="B332" s="35" t="s">
        <v>4199</v>
      </c>
      <c r="C332" s="35">
        <v>2024</v>
      </c>
      <c r="D332" s="36">
        <v>45501.861828703702</v>
      </c>
      <c r="E332" s="37" t="s">
        <v>2042</v>
      </c>
      <c r="F332" s="37" t="s">
        <v>4930</v>
      </c>
      <c r="G332" s="37" t="s">
        <v>3666</v>
      </c>
      <c r="H332" s="35" t="s">
        <v>3419</v>
      </c>
      <c r="I332" s="35" t="s">
        <v>3416</v>
      </c>
      <c r="J332" s="38">
        <v>4.1921608040201006</v>
      </c>
      <c r="K332" s="35">
        <v>1</v>
      </c>
      <c r="L332" s="38">
        <f t="shared" si="5"/>
        <v>4.1921608040201006</v>
      </c>
      <c r="M332" s="35" t="s">
        <v>48</v>
      </c>
      <c r="N332" s="38">
        <v>4.1921608040201006</v>
      </c>
      <c r="O332" s="35" t="s">
        <v>12</v>
      </c>
    </row>
    <row r="333" spans="1:15" x14ac:dyDescent="0.25">
      <c r="A333" s="35">
        <v>1191858521</v>
      </c>
      <c r="B333" s="35" t="s">
        <v>3721</v>
      </c>
      <c r="C333" s="35">
        <v>2025</v>
      </c>
      <c r="D333" s="36">
        <v>45701.570659722223</v>
      </c>
      <c r="E333" s="37" t="s">
        <v>1557</v>
      </c>
      <c r="F333" s="37" t="s">
        <v>4613</v>
      </c>
      <c r="G333" s="37" t="s">
        <v>3621</v>
      </c>
      <c r="H333" s="35" t="s">
        <v>3415</v>
      </c>
      <c r="I333" s="35" t="s">
        <v>3416</v>
      </c>
      <c r="J333" s="38">
        <v>1.0241055718475074</v>
      </c>
      <c r="K333" s="35">
        <v>4</v>
      </c>
      <c r="L333" s="38">
        <f t="shared" si="5"/>
        <v>4.0964222873900296</v>
      </c>
      <c r="M333" s="35" t="s">
        <v>48</v>
      </c>
      <c r="N333" s="38">
        <v>4.0964222873900296</v>
      </c>
      <c r="O333" s="35" t="s">
        <v>12</v>
      </c>
    </row>
    <row r="334" spans="1:15" x14ac:dyDescent="0.25">
      <c r="A334" s="35">
        <v>1161278899</v>
      </c>
      <c r="B334" s="35" t="s">
        <v>4199</v>
      </c>
      <c r="C334" s="35">
        <v>2024</v>
      </c>
      <c r="D334" s="36">
        <v>45475.874652777777</v>
      </c>
      <c r="E334" s="37" t="s">
        <v>2258</v>
      </c>
      <c r="F334" s="37" t="s">
        <v>4973</v>
      </c>
      <c r="G334" s="37" t="s">
        <v>4974</v>
      </c>
      <c r="H334" s="35" t="s">
        <v>3419</v>
      </c>
      <c r="I334" s="35" t="s">
        <v>3416</v>
      </c>
      <c r="J334" s="38">
        <v>1.3566666666666665</v>
      </c>
      <c r="K334" s="35">
        <v>3</v>
      </c>
      <c r="L334" s="38">
        <f t="shared" si="5"/>
        <v>4.0699999999999994</v>
      </c>
      <c r="M334" s="35" t="s">
        <v>48</v>
      </c>
      <c r="N334" s="38">
        <v>4.0699999999999994</v>
      </c>
      <c r="O334" s="35" t="s">
        <v>12</v>
      </c>
    </row>
    <row r="335" spans="1:15" x14ac:dyDescent="0.25">
      <c r="A335" s="35">
        <v>1252378732</v>
      </c>
      <c r="B335" s="35" t="s">
        <v>3761</v>
      </c>
      <c r="C335" s="35">
        <v>2026</v>
      </c>
      <c r="D335" s="36">
        <v>46042.53702546296</v>
      </c>
      <c r="E335" s="37" t="s">
        <v>472</v>
      </c>
      <c r="F335" s="37" t="s">
        <v>3802</v>
      </c>
      <c r="G335" s="37" t="s">
        <v>3518</v>
      </c>
      <c r="H335" s="35" t="s">
        <v>3419</v>
      </c>
      <c r="I335" s="35" t="s">
        <v>3416</v>
      </c>
      <c r="J335" s="38">
        <v>4.0152777777777784</v>
      </c>
      <c r="K335" s="35">
        <v>1</v>
      </c>
      <c r="L335" s="38">
        <f t="shared" si="5"/>
        <v>4.0152777777777784</v>
      </c>
      <c r="M335" s="35" t="s">
        <v>48</v>
      </c>
      <c r="N335" s="38">
        <v>4.0152777777777784</v>
      </c>
      <c r="O335" s="35" t="s">
        <v>12</v>
      </c>
    </row>
    <row r="336" spans="1:15" x14ac:dyDescent="0.25">
      <c r="A336" s="35" t="s">
        <v>1131</v>
      </c>
      <c r="B336" s="35" t="s">
        <v>3412</v>
      </c>
      <c r="C336" s="35">
        <v>2025</v>
      </c>
      <c r="D336" s="36">
        <v>45819</v>
      </c>
      <c r="E336" s="37" t="s">
        <v>1132</v>
      </c>
      <c r="F336" s="37" t="s">
        <v>4287</v>
      </c>
      <c r="G336" s="37" t="s">
        <v>3656</v>
      </c>
      <c r="H336" s="35" t="s">
        <v>3415</v>
      </c>
      <c r="I336" s="35" t="s">
        <v>3453</v>
      </c>
      <c r="J336" s="38">
        <v>1</v>
      </c>
      <c r="K336" s="35">
        <v>4</v>
      </c>
      <c r="L336" s="38">
        <f t="shared" si="5"/>
        <v>4</v>
      </c>
      <c r="M336" s="35" t="s">
        <v>48</v>
      </c>
      <c r="N336" s="38">
        <v>4</v>
      </c>
      <c r="O336" s="35" t="s">
        <v>12</v>
      </c>
    </row>
    <row r="337" spans="1:15" ht="30" x14ac:dyDescent="0.25">
      <c r="A337" s="35" t="s">
        <v>5248</v>
      </c>
      <c r="B337" s="35" t="s">
        <v>3761</v>
      </c>
      <c r="C337" s="35">
        <v>2024</v>
      </c>
      <c r="D337" s="36">
        <v>45322.536828703713</v>
      </c>
      <c r="E337" s="37" t="s">
        <v>4233</v>
      </c>
      <c r="F337" s="37" t="s">
        <v>5249</v>
      </c>
      <c r="G337" s="37" t="s">
        <v>4326</v>
      </c>
      <c r="H337" s="35" t="s">
        <v>3415</v>
      </c>
      <c r="I337" s="35" t="s">
        <v>3416</v>
      </c>
      <c r="J337" s="38">
        <v>0.9554166666666668</v>
      </c>
      <c r="K337" s="35">
        <v>4</v>
      </c>
      <c r="L337" s="38">
        <f t="shared" si="5"/>
        <v>3.8216666666666672</v>
      </c>
      <c r="M337" s="35" t="s">
        <v>48</v>
      </c>
      <c r="N337" s="38">
        <v>3.8216666666666672</v>
      </c>
      <c r="O337" s="35" t="s">
        <v>12</v>
      </c>
    </row>
    <row r="338" spans="1:15" x14ac:dyDescent="0.25">
      <c r="A338" s="35">
        <v>1194632647</v>
      </c>
      <c r="B338" s="35" t="s">
        <v>3721</v>
      </c>
      <c r="C338" s="35">
        <v>2025</v>
      </c>
      <c r="D338" s="36">
        <v>45690.349374999998</v>
      </c>
      <c r="E338" s="37" t="s">
        <v>1493</v>
      </c>
      <c r="F338" s="37" t="s">
        <v>4633</v>
      </c>
      <c r="G338" s="37" t="s">
        <v>3529</v>
      </c>
      <c r="H338" s="35" t="s">
        <v>3419</v>
      </c>
      <c r="I338" s="35" t="s">
        <v>3416</v>
      </c>
      <c r="J338" s="38">
        <v>3.7937634408602152</v>
      </c>
      <c r="K338" s="35">
        <v>1</v>
      </c>
      <c r="L338" s="38">
        <f t="shared" si="5"/>
        <v>3.7937634408602152</v>
      </c>
      <c r="M338" s="35" t="s">
        <v>48</v>
      </c>
      <c r="N338" s="38">
        <v>3.7937634408602152</v>
      </c>
      <c r="O338" s="35" t="s">
        <v>12</v>
      </c>
    </row>
    <row r="339" spans="1:15" x14ac:dyDescent="0.25">
      <c r="A339" s="35">
        <v>1252378732</v>
      </c>
      <c r="B339" s="35" t="s">
        <v>3761</v>
      </c>
      <c r="C339" s="35">
        <v>2026</v>
      </c>
      <c r="D339" s="36">
        <v>46050.642835648148</v>
      </c>
      <c r="E339" s="37" t="s">
        <v>472</v>
      </c>
      <c r="F339" s="37" t="s">
        <v>3769</v>
      </c>
      <c r="G339" s="37" t="s">
        <v>3770</v>
      </c>
      <c r="H339" s="35" t="s">
        <v>3419</v>
      </c>
      <c r="I339" s="35" t="s">
        <v>3416</v>
      </c>
      <c r="J339" s="38">
        <v>1.8823529411764706</v>
      </c>
      <c r="K339" s="35">
        <v>2</v>
      </c>
      <c r="L339" s="38">
        <f t="shared" si="5"/>
        <v>3.7647058823529411</v>
      </c>
      <c r="M339" s="35" t="s">
        <v>48</v>
      </c>
      <c r="N339" s="38">
        <v>3.7647058823529411</v>
      </c>
      <c r="O339" s="35" t="s">
        <v>12</v>
      </c>
    </row>
    <row r="340" spans="1:15" x14ac:dyDescent="0.25">
      <c r="A340" s="35">
        <v>1159274341</v>
      </c>
      <c r="B340" s="35" t="s">
        <v>3412</v>
      </c>
      <c r="C340" s="35">
        <v>2024</v>
      </c>
      <c r="D340" s="36">
        <v>45446.591296296298</v>
      </c>
      <c r="E340" s="37" t="s">
        <v>2322</v>
      </c>
      <c r="F340" s="37" t="s">
        <v>4618</v>
      </c>
      <c r="G340" s="37" t="s">
        <v>4024</v>
      </c>
      <c r="H340" s="35" t="s">
        <v>3419</v>
      </c>
      <c r="I340" s="35" t="s">
        <v>3416</v>
      </c>
      <c r="J340" s="38">
        <v>3.7199999999999998</v>
      </c>
      <c r="K340" s="35">
        <v>1</v>
      </c>
      <c r="L340" s="38">
        <f t="shared" si="5"/>
        <v>3.7199999999999998</v>
      </c>
      <c r="M340" s="35" t="s">
        <v>48</v>
      </c>
      <c r="N340" s="38">
        <v>3.7199999999999998</v>
      </c>
      <c r="O340" s="35" t="s">
        <v>12</v>
      </c>
    </row>
    <row r="341" spans="1:15" x14ac:dyDescent="0.25">
      <c r="A341" s="35">
        <v>1252733258</v>
      </c>
      <c r="B341" s="35" t="s">
        <v>3721</v>
      </c>
      <c r="C341" s="35">
        <v>2026</v>
      </c>
      <c r="D341" s="36">
        <v>46055.96261574074</v>
      </c>
      <c r="E341" s="37" t="s">
        <v>458</v>
      </c>
      <c r="F341" s="37" t="s">
        <v>3758</v>
      </c>
      <c r="G341" s="37" t="s">
        <v>3723</v>
      </c>
      <c r="H341" s="35" t="s">
        <v>3415</v>
      </c>
      <c r="I341" s="35" t="s">
        <v>3530</v>
      </c>
      <c r="J341" s="38">
        <v>0.86250000000000004</v>
      </c>
      <c r="K341" s="35">
        <v>4</v>
      </c>
      <c r="L341" s="38">
        <f t="shared" si="5"/>
        <v>3.45</v>
      </c>
      <c r="M341" s="35" t="s">
        <v>48</v>
      </c>
      <c r="N341" s="38">
        <v>3.45</v>
      </c>
      <c r="O341" s="35" t="s">
        <v>12</v>
      </c>
    </row>
    <row r="342" spans="1:15" x14ac:dyDescent="0.25">
      <c r="A342" s="35">
        <v>1250094794</v>
      </c>
      <c r="B342" s="35" t="s">
        <v>3761</v>
      </c>
      <c r="C342" s="35">
        <v>2026</v>
      </c>
      <c r="D342" s="36">
        <v>46037.515543981484</v>
      </c>
      <c r="E342" s="37" t="s">
        <v>520</v>
      </c>
      <c r="F342" s="37" t="s">
        <v>3822</v>
      </c>
      <c r="G342" s="37" t="s">
        <v>3823</v>
      </c>
      <c r="H342" s="35" t="s">
        <v>3415</v>
      </c>
      <c r="I342" s="35" t="s">
        <v>3416</v>
      </c>
      <c r="J342" s="38">
        <v>0.86250000000000004</v>
      </c>
      <c r="K342" s="35">
        <v>4</v>
      </c>
      <c r="L342" s="38">
        <f t="shared" si="5"/>
        <v>3.45</v>
      </c>
      <c r="M342" s="35" t="s">
        <v>48</v>
      </c>
      <c r="N342" s="38">
        <v>3.45</v>
      </c>
      <c r="O342" s="35" t="s">
        <v>12</v>
      </c>
    </row>
    <row r="343" spans="1:15" x14ac:dyDescent="0.25">
      <c r="A343" s="35">
        <v>1222084678</v>
      </c>
      <c r="B343" s="35" t="s">
        <v>4199</v>
      </c>
      <c r="C343" s="35">
        <v>2025</v>
      </c>
      <c r="D343" s="36">
        <v>45861.645960648151</v>
      </c>
      <c r="E343" s="37" t="s">
        <v>1045</v>
      </c>
      <c r="F343" s="37" t="s">
        <v>4212</v>
      </c>
      <c r="G343" s="37" t="s">
        <v>4059</v>
      </c>
      <c r="H343" s="35" t="s">
        <v>3419</v>
      </c>
      <c r="I343" s="35" t="s">
        <v>3416</v>
      </c>
      <c r="J343" s="38">
        <v>3.4000000000000004</v>
      </c>
      <c r="K343" s="35">
        <v>1</v>
      </c>
      <c r="L343" s="38">
        <f t="shared" si="5"/>
        <v>3.4000000000000004</v>
      </c>
      <c r="M343" s="35" t="s">
        <v>48</v>
      </c>
      <c r="N343" s="38">
        <v>3.4000000000000004</v>
      </c>
      <c r="O343" s="35" t="s">
        <v>12</v>
      </c>
    </row>
    <row r="344" spans="1:15" x14ac:dyDescent="0.25">
      <c r="A344" s="35">
        <v>1250724952</v>
      </c>
      <c r="B344" s="35" t="s">
        <v>3721</v>
      </c>
      <c r="C344" s="35">
        <v>2026</v>
      </c>
      <c r="D344" s="36">
        <v>46068.46471064815</v>
      </c>
      <c r="E344" s="37" t="s">
        <v>505</v>
      </c>
      <c r="F344" s="37" t="s">
        <v>3739</v>
      </c>
      <c r="G344" s="37" t="s">
        <v>3740</v>
      </c>
      <c r="H344" s="35" t="s">
        <v>3419</v>
      </c>
      <c r="I344" s="35" t="s">
        <v>3640</v>
      </c>
      <c r="J344" s="38">
        <v>3.4</v>
      </c>
      <c r="K344" s="35">
        <v>1</v>
      </c>
      <c r="L344" s="38">
        <f t="shared" si="5"/>
        <v>3.4</v>
      </c>
      <c r="M344" s="35" t="s">
        <v>48</v>
      </c>
      <c r="N344" s="38">
        <v>3.4</v>
      </c>
      <c r="O344" s="35" t="s">
        <v>12</v>
      </c>
    </row>
    <row r="345" spans="1:15" ht="30" x14ac:dyDescent="0.25">
      <c r="A345" s="35">
        <v>1249717335</v>
      </c>
      <c r="B345" s="35" t="s">
        <v>3761</v>
      </c>
      <c r="C345" s="35">
        <v>2026</v>
      </c>
      <c r="D345" s="36">
        <v>46036.688344907408</v>
      </c>
      <c r="E345" s="37" t="s">
        <v>526</v>
      </c>
      <c r="F345" s="37" t="s">
        <v>3833</v>
      </c>
      <c r="G345" s="37" t="s">
        <v>3520</v>
      </c>
      <c r="H345" s="35" t="s">
        <v>3419</v>
      </c>
      <c r="I345" s="35" t="s">
        <v>3416</v>
      </c>
      <c r="J345" s="38">
        <v>3.4</v>
      </c>
      <c r="K345" s="35">
        <v>1</v>
      </c>
      <c r="L345" s="38">
        <f t="shared" si="5"/>
        <v>3.4</v>
      </c>
      <c r="M345" s="35" t="s">
        <v>48</v>
      </c>
      <c r="N345" s="38">
        <v>3.4</v>
      </c>
      <c r="O345" s="35" t="s">
        <v>12</v>
      </c>
    </row>
    <row r="346" spans="1:15" x14ac:dyDescent="0.25">
      <c r="A346" s="35">
        <v>1166414310</v>
      </c>
      <c r="B346" s="35" t="s">
        <v>4199</v>
      </c>
      <c r="C346" s="35">
        <v>2024</v>
      </c>
      <c r="D346" s="36">
        <v>45493.582800925928</v>
      </c>
      <c r="E346" s="37" t="s">
        <v>2072</v>
      </c>
      <c r="F346" s="37" t="s">
        <v>4521</v>
      </c>
      <c r="G346" s="37" t="s">
        <v>4942</v>
      </c>
      <c r="H346" s="35" t="s">
        <v>3419</v>
      </c>
      <c r="I346" s="35" t="s">
        <v>3416</v>
      </c>
      <c r="J346" s="38">
        <v>3.397120535714286</v>
      </c>
      <c r="K346" s="35">
        <v>1</v>
      </c>
      <c r="L346" s="38">
        <f t="shared" si="5"/>
        <v>3.397120535714286</v>
      </c>
      <c r="M346" s="35" t="s">
        <v>48</v>
      </c>
      <c r="N346" s="38">
        <v>3.397120535714286</v>
      </c>
      <c r="O346" s="35" t="s">
        <v>12</v>
      </c>
    </row>
    <row r="347" spans="1:15" x14ac:dyDescent="0.25">
      <c r="A347" s="35">
        <v>1266994871</v>
      </c>
      <c r="B347" s="35" t="s">
        <v>3631</v>
      </c>
      <c r="C347" s="35">
        <v>2026</v>
      </c>
      <c r="D347" s="36">
        <v>46116.358796296299</v>
      </c>
      <c r="E347" s="37" t="s">
        <v>312</v>
      </c>
      <c r="F347" s="37" t="s">
        <v>3644</v>
      </c>
      <c r="G347" s="37" t="s">
        <v>3645</v>
      </c>
      <c r="H347" s="35" t="s">
        <v>3419</v>
      </c>
      <c r="I347" s="35" t="s">
        <v>3416</v>
      </c>
      <c r="J347" s="38">
        <v>1.6749999999999998</v>
      </c>
      <c r="K347" s="35">
        <v>2</v>
      </c>
      <c r="L347" s="38">
        <f t="shared" si="5"/>
        <v>3.3499999999999996</v>
      </c>
      <c r="M347" s="35" t="s">
        <v>48</v>
      </c>
      <c r="N347" s="38">
        <v>3.3499999999999996</v>
      </c>
      <c r="O347" s="35" t="s">
        <v>12</v>
      </c>
    </row>
    <row r="348" spans="1:15" x14ac:dyDescent="0.25">
      <c r="A348" s="35">
        <v>1256139128</v>
      </c>
      <c r="B348" s="35" t="s">
        <v>3721</v>
      </c>
      <c r="C348" s="35">
        <v>2026</v>
      </c>
      <c r="D348" s="36">
        <v>46071.621631944443</v>
      </c>
      <c r="E348" s="37" t="s">
        <v>402</v>
      </c>
      <c r="F348" s="37" t="s">
        <v>3730</v>
      </c>
      <c r="G348" s="37" t="s">
        <v>3658</v>
      </c>
      <c r="H348" s="35" t="s">
        <v>3419</v>
      </c>
      <c r="I348" s="35" t="s">
        <v>3416</v>
      </c>
      <c r="J348" s="38">
        <v>1.6749999999999998</v>
      </c>
      <c r="K348" s="35">
        <v>2</v>
      </c>
      <c r="L348" s="38">
        <f t="shared" si="5"/>
        <v>3.3499999999999996</v>
      </c>
      <c r="M348" s="35" t="s">
        <v>48</v>
      </c>
      <c r="N348" s="38">
        <v>3.3499999999999996</v>
      </c>
      <c r="O348" s="35" t="s">
        <v>12</v>
      </c>
    </row>
    <row r="349" spans="1:15" x14ac:dyDescent="0.25">
      <c r="A349" s="35">
        <v>1247375996</v>
      </c>
      <c r="B349" s="35" t="s">
        <v>3761</v>
      </c>
      <c r="C349" s="35">
        <v>2026</v>
      </c>
      <c r="D349" s="36">
        <v>46031.604791666665</v>
      </c>
      <c r="E349" s="37" t="s">
        <v>588</v>
      </c>
      <c r="F349" s="37" t="s">
        <v>3863</v>
      </c>
      <c r="G349" s="37" t="s">
        <v>3621</v>
      </c>
      <c r="H349" s="35" t="s">
        <v>3415</v>
      </c>
      <c r="I349" s="35" t="s">
        <v>3416</v>
      </c>
      <c r="J349" s="38">
        <v>0.83250000000000002</v>
      </c>
      <c r="K349" s="35">
        <v>4</v>
      </c>
      <c r="L349" s="38">
        <f t="shared" si="5"/>
        <v>3.33</v>
      </c>
      <c r="M349" s="35" t="s">
        <v>48</v>
      </c>
      <c r="N349" s="38">
        <v>3.33</v>
      </c>
      <c r="O349" s="35" t="s">
        <v>12</v>
      </c>
    </row>
    <row r="350" spans="1:15" x14ac:dyDescent="0.25">
      <c r="A350" s="35">
        <v>1243793386</v>
      </c>
      <c r="B350" s="35" t="s">
        <v>3890</v>
      </c>
      <c r="C350" s="35">
        <v>2025</v>
      </c>
      <c r="D350" s="36">
        <v>46000.580868055556</v>
      </c>
      <c r="E350" s="37" t="s">
        <v>679</v>
      </c>
      <c r="F350" s="37" t="s">
        <v>3935</v>
      </c>
      <c r="G350" s="37" t="s">
        <v>3648</v>
      </c>
      <c r="H350" s="35" t="s">
        <v>3415</v>
      </c>
      <c r="I350" s="35" t="s">
        <v>3416</v>
      </c>
      <c r="J350" s="38">
        <v>0.83250000000000002</v>
      </c>
      <c r="K350" s="35">
        <v>4</v>
      </c>
      <c r="L350" s="38">
        <f t="shared" si="5"/>
        <v>3.33</v>
      </c>
      <c r="M350" s="35" t="s">
        <v>48</v>
      </c>
      <c r="N350" s="38">
        <v>3.33</v>
      </c>
      <c r="O350" s="35" t="s">
        <v>12</v>
      </c>
    </row>
    <row r="351" spans="1:15" x14ac:dyDescent="0.25">
      <c r="A351" s="35">
        <v>1194449724</v>
      </c>
      <c r="B351" s="35" t="s">
        <v>3721</v>
      </c>
      <c r="C351" s="35">
        <v>2025</v>
      </c>
      <c r="D351" s="36">
        <v>45689.079930555563</v>
      </c>
      <c r="E351" s="37" t="s">
        <v>1495</v>
      </c>
      <c r="F351" s="37" t="s">
        <v>4634</v>
      </c>
      <c r="G351" s="37" t="s">
        <v>4412</v>
      </c>
      <c r="H351" s="35" t="s">
        <v>3419</v>
      </c>
      <c r="I351" s="35" t="s">
        <v>3530</v>
      </c>
      <c r="J351" s="38">
        <v>3.33</v>
      </c>
      <c r="K351" s="35">
        <v>1</v>
      </c>
      <c r="L351" s="38">
        <f t="shared" si="5"/>
        <v>3.33</v>
      </c>
      <c r="M351" s="35" t="s">
        <v>48</v>
      </c>
      <c r="N351" s="38">
        <v>3.33</v>
      </c>
      <c r="O351" s="35" t="s">
        <v>12</v>
      </c>
    </row>
    <row r="352" spans="1:15" x14ac:dyDescent="0.25">
      <c r="A352" s="35">
        <v>1262419985</v>
      </c>
      <c r="B352" s="35" t="s">
        <v>3646</v>
      </c>
      <c r="C352" s="35">
        <v>2026</v>
      </c>
      <c r="D352" s="36">
        <v>46092.488171296303</v>
      </c>
      <c r="E352" s="37" t="s">
        <v>294</v>
      </c>
      <c r="F352" s="37" t="s">
        <v>3679</v>
      </c>
      <c r="G352" s="37" t="s">
        <v>3680</v>
      </c>
      <c r="H352" s="35" t="s">
        <v>3419</v>
      </c>
      <c r="I352" s="35" t="s">
        <v>3416</v>
      </c>
      <c r="J352" s="38">
        <v>3.2935742971887549</v>
      </c>
      <c r="K352" s="35">
        <v>1</v>
      </c>
      <c r="L352" s="38">
        <f t="shared" si="5"/>
        <v>3.2935742971887549</v>
      </c>
      <c r="M352" s="35" t="s">
        <v>48</v>
      </c>
      <c r="N352" s="38">
        <v>3.2935742971887549</v>
      </c>
      <c r="O352" s="35" t="s">
        <v>12</v>
      </c>
    </row>
    <row r="353" spans="1:15" x14ac:dyDescent="0.25">
      <c r="A353" s="35">
        <v>1262419985</v>
      </c>
      <c r="B353" s="35" t="s">
        <v>3646</v>
      </c>
      <c r="C353" s="35">
        <v>2026</v>
      </c>
      <c r="D353" s="36">
        <v>46092.488171296303</v>
      </c>
      <c r="E353" s="37" t="s">
        <v>294</v>
      </c>
      <c r="F353" s="37" t="s">
        <v>3685</v>
      </c>
      <c r="G353" s="37" t="s">
        <v>3682</v>
      </c>
      <c r="H353" s="35" t="s">
        <v>3419</v>
      </c>
      <c r="I353" s="35" t="s">
        <v>3416</v>
      </c>
      <c r="J353" s="38">
        <v>3.2935742971887549</v>
      </c>
      <c r="K353" s="35">
        <v>1</v>
      </c>
      <c r="L353" s="38">
        <f t="shared" si="5"/>
        <v>3.2935742971887549</v>
      </c>
      <c r="M353" s="35" t="s">
        <v>48</v>
      </c>
      <c r="N353" s="38">
        <v>3.2935742971887549</v>
      </c>
      <c r="O353" s="35" t="s">
        <v>12</v>
      </c>
    </row>
    <row r="354" spans="1:15" x14ac:dyDescent="0.25">
      <c r="A354" s="35">
        <v>1247020450</v>
      </c>
      <c r="B354" s="35" t="s">
        <v>3890</v>
      </c>
      <c r="C354" s="35">
        <v>2025</v>
      </c>
      <c r="D354" s="36">
        <v>46010.972314814811</v>
      </c>
      <c r="E354" s="37" t="s">
        <v>605</v>
      </c>
      <c r="F354" s="37" t="s">
        <v>3651</v>
      </c>
      <c r="G354" s="37" t="s">
        <v>3652</v>
      </c>
      <c r="H354" s="35" t="s">
        <v>3419</v>
      </c>
      <c r="I354" s="35" t="s">
        <v>3416</v>
      </c>
      <c r="J354" s="38">
        <v>3.2800000000000002</v>
      </c>
      <c r="K354" s="35">
        <v>1</v>
      </c>
      <c r="L354" s="38">
        <f t="shared" si="5"/>
        <v>3.2800000000000002</v>
      </c>
      <c r="M354" s="35" t="s">
        <v>48</v>
      </c>
      <c r="N354" s="38">
        <v>3.2800000000000002</v>
      </c>
      <c r="O354" s="35" t="s">
        <v>12</v>
      </c>
    </row>
    <row r="355" spans="1:15" x14ac:dyDescent="0.25">
      <c r="A355" s="35">
        <v>1245614245</v>
      </c>
      <c r="B355" s="35" t="s">
        <v>3890</v>
      </c>
      <c r="C355" s="35">
        <v>2025</v>
      </c>
      <c r="D355" s="36">
        <v>46001.816793981481</v>
      </c>
      <c r="E355" s="37" t="s">
        <v>628</v>
      </c>
      <c r="F355" s="37" t="s">
        <v>3932</v>
      </c>
      <c r="G355" s="37" t="s">
        <v>3457</v>
      </c>
      <c r="H355" s="35" t="s">
        <v>3419</v>
      </c>
      <c r="I355" s="35" t="s">
        <v>3530</v>
      </c>
      <c r="J355" s="38">
        <v>3.2800000000000002</v>
      </c>
      <c r="K355" s="35">
        <v>1</v>
      </c>
      <c r="L355" s="38">
        <f t="shared" si="5"/>
        <v>3.2800000000000002</v>
      </c>
      <c r="M355" s="35" t="s">
        <v>48</v>
      </c>
      <c r="N355" s="38">
        <v>3.2800000000000002</v>
      </c>
      <c r="O355" s="35" t="s">
        <v>12</v>
      </c>
    </row>
    <row r="356" spans="1:15" x14ac:dyDescent="0.25">
      <c r="A356" s="35">
        <v>1244398238</v>
      </c>
      <c r="B356" s="35" t="s">
        <v>3890</v>
      </c>
      <c r="C356" s="35">
        <v>2025</v>
      </c>
      <c r="D356" s="36">
        <v>45994.649525462963</v>
      </c>
      <c r="E356" s="37" t="s">
        <v>662</v>
      </c>
      <c r="F356" s="37" t="s">
        <v>3950</v>
      </c>
      <c r="G356" s="37" t="s">
        <v>3551</v>
      </c>
      <c r="H356" s="35" t="s">
        <v>3419</v>
      </c>
      <c r="I356" s="35" t="s">
        <v>3530</v>
      </c>
      <c r="J356" s="38">
        <v>3.2800000000000002</v>
      </c>
      <c r="K356" s="35">
        <v>1</v>
      </c>
      <c r="L356" s="38">
        <f t="shared" si="5"/>
        <v>3.2800000000000002</v>
      </c>
      <c r="M356" s="35" t="s">
        <v>48</v>
      </c>
      <c r="N356" s="38">
        <v>3.2800000000000002</v>
      </c>
      <c r="O356" s="35" t="s">
        <v>12</v>
      </c>
    </row>
    <row r="357" spans="1:15" x14ac:dyDescent="0.25">
      <c r="A357" s="35">
        <v>1243238844</v>
      </c>
      <c r="B357" s="35" t="s">
        <v>3968</v>
      </c>
      <c r="C357" s="35">
        <v>2025</v>
      </c>
      <c r="D357" s="36">
        <v>45987.877118055563</v>
      </c>
      <c r="E357" s="37" t="s">
        <v>690</v>
      </c>
      <c r="F357" s="37" t="s">
        <v>3978</v>
      </c>
      <c r="G357" s="37" t="s">
        <v>3643</v>
      </c>
      <c r="H357" s="35" t="s">
        <v>3419</v>
      </c>
      <c r="I357" s="35" t="s">
        <v>3640</v>
      </c>
      <c r="J357" s="38">
        <v>3.2800000000000002</v>
      </c>
      <c r="K357" s="35">
        <v>1</v>
      </c>
      <c r="L357" s="38">
        <f t="shared" si="5"/>
        <v>3.2800000000000002</v>
      </c>
      <c r="M357" s="35" t="s">
        <v>48</v>
      </c>
      <c r="N357" s="38">
        <v>3.2800000000000002</v>
      </c>
      <c r="O357" s="35" t="s">
        <v>12</v>
      </c>
    </row>
    <row r="358" spans="1:15" ht="30" x14ac:dyDescent="0.25">
      <c r="A358" s="35">
        <v>1243145592</v>
      </c>
      <c r="B358" s="35" t="s">
        <v>3968</v>
      </c>
      <c r="C358" s="35">
        <v>2025</v>
      </c>
      <c r="D358" s="36">
        <v>45987.466909722221</v>
      </c>
      <c r="E358" s="37" t="s">
        <v>693</v>
      </c>
      <c r="F358" s="37" t="s">
        <v>3979</v>
      </c>
      <c r="G358" s="37" t="s">
        <v>3942</v>
      </c>
      <c r="H358" s="35" t="s">
        <v>3419</v>
      </c>
      <c r="I358" s="35" t="s">
        <v>3416</v>
      </c>
      <c r="J358" s="38">
        <v>3.2800000000000002</v>
      </c>
      <c r="K358" s="35">
        <v>1</v>
      </c>
      <c r="L358" s="38">
        <f t="shared" si="5"/>
        <v>3.2800000000000002</v>
      </c>
      <c r="M358" s="35" t="s">
        <v>48</v>
      </c>
      <c r="N358" s="38">
        <v>3.2800000000000002</v>
      </c>
      <c r="O358" s="35" t="s">
        <v>12</v>
      </c>
    </row>
    <row r="359" spans="1:15" ht="30" x14ac:dyDescent="0.25">
      <c r="A359" s="35">
        <v>1239882307</v>
      </c>
      <c r="B359" s="35" t="s">
        <v>3968</v>
      </c>
      <c r="C359" s="35">
        <v>2025</v>
      </c>
      <c r="D359" s="36">
        <v>45973.517129629632</v>
      </c>
      <c r="E359" s="37" t="s">
        <v>808</v>
      </c>
      <c r="F359" s="37" t="s">
        <v>4032</v>
      </c>
      <c r="G359" s="37" t="s">
        <v>3520</v>
      </c>
      <c r="H359" s="35" t="s">
        <v>3419</v>
      </c>
      <c r="I359" s="35" t="s">
        <v>3416</v>
      </c>
      <c r="J359" s="38">
        <v>3.2800000000000002</v>
      </c>
      <c r="K359" s="35">
        <v>1</v>
      </c>
      <c r="L359" s="38">
        <f t="shared" si="5"/>
        <v>3.2800000000000002</v>
      </c>
      <c r="M359" s="35" t="s">
        <v>48</v>
      </c>
      <c r="N359" s="38">
        <v>3.2800000000000002</v>
      </c>
      <c r="O359" s="35" t="s">
        <v>12</v>
      </c>
    </row>
    <row r="360" spans="1:15" x14ac:dyDescent="0.25">
      <c r="A360" s="35">
        <v>1233634174</v>
      </c>
      <c r="B360" s="35" t="s">
        <v>4132</v>
      </c>
      <c r="C360" s="35">
        <v>2025</v>
      </c>
      <c r="D360" s="36">
        <v>45930.611273148148</v>
      </c>
      <c r="E360" s="37" t="s">
        <v>931</v>
      </c>
      <c r="F360" s="37" t="s">
        <v>4133</v>
      </c>
      <c r="G360" s="37" t="s">
        <v>4134</v>
      </c>
      <c r="H360" s="35" t="s">
        <v>3419</v>
      </c>
      <c r="I360" s="35" t="s">
        <v>3416</v>
      </c>
      <c r="J360" s="38">
        <v>3.2800000000000002</v>
      </c>
      <c r="K360" s="35">
        <v>1</v>
      </c>
      <c r="L360" s="38">
        <f t="shared" si="5"/>
        <v>3.2800000000000002</v>
      </c>
      <c r="M360" s="35" t="s">
        <v>48</v>
      </c>
      <c r="N360" s="38">
        <v>3.2800000000000002</v>
      </c>
      <c r="O360" s="35" t="s">
        <v>12</v>
      </c>
    </row>
    <row r="361" spans="1:15" x14ac:dyDescent="0.25">
      <c r="A361" s="35">
        <v>1196948257</v>
      </c>
      <c r="B361" s="35" t="s">
        <v>3721</v>
      </c>
      <c r="C361" s="35">
        <v>2025</v>
      </c>
      <c r="D361" s="36">
        <v>45703.84238425926</v>
      </c>
      <c r="E361" s="37" t="s">
        <v>1449</v>
      </c>
      <c r="F361" s="37" t="s">
        <v>3995</v>
      </c>
      <c r="G361" s="37" t="s">
        <v>3788</v>
      </c>
      <c r="H361" s="35" t="s">
        <v>3419</v>
      </c>
      <c r="I361" s="35" t="s">
        <v>3416</v>
      </c>
      <c r="J361" s="38">
        <v>3.2800000000000002</v>
      </c>
      <c r="K361" s="35">
        <v>1</v>
      </c>
      <c r="L361" s="38">
        <f t="shared" si="5"/>
        <v>3.2800000000000002</v>
      </c>
      <c r="M361" s="35" t="s">
        <v>48</v>
      </c>
      <c r="N361" s="38">
        <v>3.2800000000000002</v>
      </c>
      <c r="O361" s="35" t="s">
        <v>12</v>
      </c>
    </row>
    <row r="362" spans="1:15" x14ac:dyDescent="0.25">
      <c r="A362" s="35">
        <v>1157668500</v>
      </c>
      <c r="B362" s="35" t="s">
        <v>3527</v>
      </c>
      <c r="C362" s="35">
        <v>2024</v>
      </c>
      <c r="D362" s="36">
        <v>45429.583761574067</v>
      </c>
      <c r="E362" s="37" t="s">
        <v>2363</v>
      </c>
      <c r="F362" s="37" t="s">
        <v>5081</v>
      </c>
      <c r="G362" s="37" t="s">
        <v>5082</v>
      </c>
      <c r="H362" s="35" t="s">
        <v>3419</v>
      </c>
      <c r="I362" s="35" t="s">
        <v>3416</v>
      </c>
      <c r="J362" s="38">
        <v>3.2480569948186528</v>
      </c>
      <c r="K362" s="35">
        <v>1</v>
      </c>
      <c r="L362" s="38">
        <f t="shared" si="5"/>
        <v>3.2480569948186528</v>
      </c>
      <c r="M362" s="35" t="s">
        <v>48</v>
      </c>
      <c r="N362" s="38">
        <v>3.2480569948186528</v>
      </c>
      <c r="O362" s="35" t="s">
        <v>12</v>
      </c>
    </row>
    <row r="363" spans="1:15" x14ac:dyDescent="0.25">
      <c r="A363" s="35">
        <v>1244893411</v>
      </c>
      <c r="B363" s="35" t="s">
        <v>3890</v>
      </c>
      <c r="C363" s="35">
        <v>2025</v>
      </c>
      <c r="D363" s="36">
        <v>45997.722337962958</v>
      </c>
      <c r="E363" s="37" t="s">
        <v>647</v>
      </c>
      <c r="F363" s="37" t="s">
        <v>3943</v>
      </c>
      <c r="G363" s="37" t="s">
        <v>3790</v>
      </c>
      <c r="H363" s="35" t="s">
        <v>3419</v>
      </c>
      <c r="I363" s="35" t="s">
        <v>3530</v>
      </c>
      <c r="J363" s="38">
        <v>1.615</v>
      </c>
      <c r="K363" s="35">
        <v>2</v>
      </c>
      <c r="L363" s="38">
        <f t="shared" si="5"/>
        <v>3.23</v>
      </c>
      <c r="M363" s="35" t="s">
        <v>48</v>
      </c>
      <c r="N363" s="38">
        <v>3.23</v>
      </c>
      <c r="O363" s="35" t="s">
        <v>12</v>
      </c>
    </row>
    <row r="364" spans="1:15" x14ac:dyDescent="0.25">
      <c r="A364" s="35">
        <v>1187507001</v>
      </c>
      <c r="B364" s="35" t="s">
        <v>3890</v>
      </c>
      <c r="C364" s="35">
        <v>2024</v>
      </c>
      <c r="D364" s="36">
        <v>45649.559849537036</v>
      </c>
      <c r="E364" s="37" t="s">
        <v>1651</v>
      </c>
      <c r="F364" s="37" t="s">
        <v>4705</v>
      </c>
      <c r="G364" s="37" t="s">
        <v>4108</v>
      </c>
      <c r="H364" s="35" t="s">
        <v>3415</v>
      </c>
      <c r="I364" s="35" t="s">
        <v>3416</v>
      </c>
      <c r="J364" s="38">
        <v>0.80499999999999994</v>
      </c>
      <c r="K364" s="35">
        <v>4</v>
      </c>
      <c r="L364" s="38">
        <f t="shared" si="5"/>
        <v>3.2199999999999998</v>
      </c>
      <c r="M364" s="35" t="s">
        <v>48</v>
      </c>
      <c r="N364" s="38">
        <v>3.2199999999999998</v>
      </c>
      <c r="O364" s="35" t="s">
        <v>12</v>
      </c>
    </row>
    <row r="365" spans="1:15" x14ac:dyDescent="0.25">
      <c r="A365" s="35">
        <v>1252089479</v>
      </c>
      <c r="B365" s="35" t="s">
        <v>3761</v>
      </c>
      <c r="C365" s="35">
        <v>2026</v>
      </c>
      <c r="D365" s="36">
        <v>46050.648854166669</v>
      </c>
      <c r="E365" s="37" t="s">
        <v>479</v>
      </c>
      <c r="F365" s="37" t="s">
        <v>3767</v>
      </c>
      <c r="G365" s="37" t="s">
        <v>3768</v>
      </c>
      <c r="H365" s="35" t="s">
        <v>3419</v>
      </c>
      <c r="I365" s="35" t="s">
        <v>3416</v>
      </c>
      <c r="J365" s="38">
        <v>1.0677350427350427</v>
      </c>
      <c r="K365" s="35">
        <v>3</v>
      </c>
      <c r="L365" s="38">
        <f t="shared" si="5"/>
        <v>3.2032051282051279</v>
      </c>
      <c r="M365" s="35" t="s">
        <v>48</v>
      </c>
      <c r="N365" s="38">
        <v>3.2032051282051279</v>
      </c>
      <c r="O365" s="35" t="s">
        <v>12</v>
      </c>
    </row>
    <row r="366" spans="1:15" x14ac:dyDescent="0.25">
      <c r="A366" s="35">
        <v>1118790808</v>
      </c>
      <c r="B366" s="35" t="s">
        <v>4199</v>
      </c>
      <c r="C366" s="35">
        <v>2023</v>
      </c>
      <c r="D366" s="36">
        <v>45111.697430555563</v>
      </c>
      <c r="E366" s="37" t="s">
        <v>3004</v>
      </c>
      <c r="F366" s="37" t="s">
        <v>4550</v>
      </c>
      <c r="G366" s="37" t="s">
        <v>3652</v>
      </c>
      <c r="H366" s="35" t="s">
        <v>3419</v>
      </c>
      <c r="I366" s="35" t="s">
        <v>3416</v>
      </c>
      <c r="J366" s="38">
        <v>3.1799999999999997</v>
      </c>
      <c r="K366" s="35">
        <v>1</v>
      </c>
      <c r="L366" s="38">
        <f t="shared" si="5"/>
        <v>3.1799999999999997</v>
      </c>
      <c r="M366" s="35" t="s">
        <v>48</v>
      </c>
      <c r="N366" s="38">
        <v>3.1799999999999997</v>
      </c>
      <c r="O366" s="35" t="s">
        <v>12</v>
      </c>
    </row>
    <row r="367" spans="1:15" x14ac:dyDescent="0.25">
      <c r="A367" s="35">
        <v>1247290743</v>
      </c>
      <c r="B367" s="35" t="s">
        <v>3890</v>
      </c>
      <c r="C367" s="35">
        <v>2025</v>
      </c>
      <c r="D367" s="36">
        <v>46012.964733796303</v>
      </c>
      <c r="E367" s="37" t="s">
        <v>590</v>
      </c>
      <c r="F367" s="37" t="s">
        <v>3911</v>
      </c>
      <c r="G367" s="37" t="s">
        <v>3912</v>
      </c>
      <c r="H367" s="35" t="s">
        <v>3419</v>
      </c>
      <c r="I367" s="35" t="s">
        <v>3416</v>
      </c>
      <c r="J367" s="38">
        <v>3.1782431646306</v>
      </c>
      <c r="K367" s="35">
        <v>1</v>
      </c>
      <c r="L367" s="38">
        <f t="shared" si="5"/>
        <v>3.1782431646306</v>
      </c>
      <c r="M367" s="35" t="s">
        <v>48</v>
      </c>
      <c r="N367" s="38">
        <v>3.1782431646306</v>
      </c>
      <c r="O367" s="35" t="s">
        <v>12</v>
      </c>
    </row>
    <row r="368" spans="1:15" x14ac:dyDescent="0.25">
      <c r="A368" s="35">
        <v>1177333406</v>
      </c>
      <c r="B368" s="35" t="s">
        <v>4070</v>
      </c>
      <c r="C368" s="35">
        <v>2024</v>
      </c>
      <c r="D368" s="36">
        <v>45575.89806712963</v>
      </c>
      <c r="E368" s="37" t="s">
        <v>1821</v>
      </c>
      <c r="F368" s="37" t="s">
        <v>4382</v>
      </c>
      <c r="G368" s="37" t="s">
        <v>3621</v>
      </c>
      <c r="H368" s="35" t="s">
        <v>3419</v>
      </c>
      <c r="I368" s="35" t="s">
        <v>3416</v>
      </c>
      <c r="J368" s="38">
        <v>3.17</v>
      </c>
      <c r="K368" s="35">
        <v>1</v>
      </c>
      <c r="L368" s="38">
        <f t="shared" si="5"/>
        <v>3.17</v>
      </c>
      <c r="M368" s="35" t="s">
        <v>48</v>
      </c>
      <c r="N368" s="38">
        <v>3.17</v>
      </c>
      <c r="O368" s="35" t="s">
        <v>12</v>
      </c>
    </row>
    <row r="369" spans="1:15" x14ac:dyDescent="0.25">
      <c r="A369" s="35">
        <v>1238166844</v>
      </c>
      <c r="B369" s="35" t="s">
        <v>3968</v>
      </c>
      <c r="C369" s="35">
        <v>2025</v>
      </c>
      <c r="D369" s="36">
        <v>45967.001134259262</v>
      </c>
      <c r="E369" s="37" t="s">
        <v>832</v>
      </c>
      <c r="F369" s="37" t="s">
        <v>4062</v>
      </c>
      <c r="G369" s="37" t="s">
        <v>4063</v>
      </c>
      <c r="H369" s="35" t="s">
        <v>3419</v>
      </c>
      <c r="I369" s="35" t="s">
        <v>3416</v>
      </c>
      <c r="J369" s="38">
        <v>3.1532901554404149</v>
      </c>
      <c r="K369" s="35">
        <v>1</v>
      </c>
      <c r="L369" s="38">
        <f t="shared" si="5"/>
        <v>3.1532901554404149</v>
      </c>
      <c r="M369" s="35" t="s">
        <v>48</v>
      </c>
      <c r="N369" s="38">
        <v>3.1532901554404149</v>
      </c>
      <c r="O369" s="35" t="s">
        <v>12</v>
      </c>
    </row>
    <row r="370" spans="1:15" x14ac:dyDescent="0.25">
      <c r="A370" s="35">
        <v>1164617239</v>
      </c>
      <c r="B370" s="35" t="s">
        <v>4199</v>
      </c>
      <c r="C370" s="35">
        <v>2024</v>
      </c>
      <c r="D370" s="36">
        <v>45486.496400462966</v>
      </c>
      <c r="E370" s="37" t="s">
        <v>2135</v>
      </c>
      <c r="F370" s="37" t="s">
        <v>4958</v>
      </c>
      <c r="G370" s="37" t="s">
        <v>4108</v>
      </c>
      <c r="H370" s="35" t="s">
        <v>3419</v>
      </c>
      <c r="I370" s="35" t="s">
        <v>3416</v>
      </c>
      <c r="J370" s="38">
        <v>1.566142684401451</v>
      </c>
      <c r="K370" s="35">
        <v>2</v>
      </c>
      <c r="L370" s="38">
        <f t="shared" si="5"/>
        <v>3.132285368802902</v>
      </c>
      <c r="M370" s="35" t="s">
        <v>48</v>
      </c>
      <c r="N370" s="38">
        <v>3.132285368802902</v>
      </c>
      <c r="O370" s="35" t="s">
        <v>12</v>
      </c>
    </row>
    <row r="371" spans="1:15" x14ac:dyDescent="0.25">
      <c r="A371" s="35">
        <v>1156606050</v>
      </c>
      <c r="B371" s="35" t="s">
        <v>3527</v>
      </c>
      <c r="C371" s="35">
        <v>2024</v>
      </c>
      <c r="D371" s="36">
        <v>45429.9219212963</v>
      </c>
      <c r="E371" s="37" t="s">
        <v>2403</v>
      </c>
      <c r="F371" s="37" t="s">
        <v>5078</v>
      </c>
      <c r="G371" s="37" t="s">
        <v>4103</v>
      </c>
      <c r="H371" s="35" t="s">
        <v>3419</v>
      </c>
      <c r="I371" s="35" t="s">
        <v>3416</v>
      </c>
      <c r="J371" s="38">
        <v>3.1226139088729017</v>
      </c>
      <c r="K371" s="35">
        <v>1</v>
      </c>
      <c r="L371" s="38">
        <f t="shared" si="5"/>
        <v>3.1226139088729017</v>
      </c>
      <c r="M371" s="35" t="s">
        <v>48</v>
      </c>
      <c r="N371" s="38">
        <v>3.1226139088729017</v>
      </c>
      <c r="O371" s="35" t="s">
        <v>12</v>
      </c>
    </row>
    <row r="372" spans="1:15" x14ac:dyDescent="0.25">
      <c r="A372" s="35">
        <v>1161381058</v>
      </c>
      <c r="B372" s="35" t="s">
        <v>3412</v>
      </c>
      <c r="C372" s="35">
        <v>2024</v>
      </c>
      <c r="D372" s="36">
        <v>45462.550497685188</v>
      </c>
      <c r="E372" s="37" t="s">
        <v>2251</v>
      </c>
      <c r="F372" s="37" t="s">
        <v>5004</v>
      </c>
      <c r="G372" s="37" t="s">
        <v>3797</v>
      </c>
      <c r="H372" s="35" t="s">
        <v>3419</v>
      </c>
      <c r="I372" s="35" t="s">
        <v>3530</v>
      </c>
      <c r="J372" s="38">
        <v>1.56</v>
      </c>
      <c r="K372" s="35">
        <v>2</v>
      </c>
      <c r="L372" s="38">
        <f t="shared" si="5"/>
        <v>3.12</v>
      </c>
      <c r="M372" s="35" t="s">
        <v>48</v>
      </c>
      <c r="N372" s="38">
        <v>3.12</v>
      </c>
      <c r="O372" s="35" t="s">
        <v>12</v>
      </c>
    </row>
    <row r="373" spans="1:15" x14ac:dyDescent="0.25">
      <c r="A373" s="35">
        <v>1247290743</v>
      </c>
      <c r="B373" s="35" t="s">
        <v>3890</v>
      </c>
      <c r="C373" s="35">
        <v>2025</v>
      </c>
      <c r="D373" s="36">
        <v>46012.964733796303</v>
      </c>
      <c r="E373" s="37" t="s">
        <v>590</v>
      </c>
      <c r="F373" s="37" t="s">
        <v>3638</v>
      </c>
      <c r="G373" s="37" t="s">
        <v>3639</v>
      </c>
      <c r="H373" s="35" t="s">
        <v>3419</v>
      </c>
      <c r="I373" s="35" t="s">
        <v>3640</v>
      </c>
      <c r="J373" s="38">
        <v>3.113600930773706</v>
      </c>
      <c r="K373" s="35">
        <v>1</v>
      </c>
      <c r="L373" s="38">
        <f t="shared" si="5"/>
        <v>3.113600930773706</v>
      </c>
      <c r="M373" s="35" t="s">
        <v>48</v>
      </c>
      <c r="N373" s="38">
        <v>3.113600930773706</v>
      </c>
      <c r="O373" s="35" t="s">
        <v>12</v>
      </c>
    </row>
    <row r="374" spans="1:15" x14ac:dyDescent="0.25">
      <c r="A374" s="35" t="s">
        <v>1068</v>
      </c>
      <c r="B374" s="35" t="s">
        <v>4199</v>
      </c>
      <c r="C374" s="35">
        <v>2025</v>
      </c>
      <c r="D374" s="36">
        <v>45846</v>
      </c>
      <c r="E374" s="37" t="s">
        <v>1069</v>
      </c>
      <c r="F374" s="37" t="s">
        <v>4230</v>
      </c>
      <c r="G374" s="37" t="s">
        <v>3742</v>
      </c>
      <c r="H374" s="35" t="s">
        <v>3419</v>
      </c>
      <c r="I374" s="35" t="s">
        <v>3453</v>
      </c>
      <c r="J374" s="38">
        <v>3</v>
      </c>
      <c r="K374" s="35">
        <v>1</v>
      </c>
      <c r="L374" s="38">
        <f t="shared" si="5"/>
        <v>3</v>
      </c>
      <c r="M374" s="35" t="s">
        <v>48</v>
      </c>
      <c r="N374" s="38">
        <v>3</v>
      </c>
      <c r="O374" s="35" t="s">
        <v>12</v>
      </c>
    </row>
    <row r="375" spans="1:15" x14ac:dyDescent="0.25">
      <c r="A375" s="35">
        <v>1172043482</v>
      </c>
      <c r="B375" s="35" t="s">
        <v>4158</v>
      </c>
      <c r="C375" s="35">
        <v>2024</v>
      </c>
      <c r="D375" s="36">
        <v>45535.789594907408</v>
      </c>
      <c r="E375" s="37" t="s">
        <v>1947</v>
      </c>
      <c r="F375" s="37" t="s">
        <v>4885</v>
      </c>
      <c r="G375" s="37" t="s">
        <v>4080</v>
      </c>
      <c r="H375" s="35" t="s">
        <v>3419</v>
      </c>
      <c r="I375" s="35" t="s">
        <v>3416</v>
      </c>
      <c r="J375" s="38">
        <v>2.9699999999999998</v>
      </c>
      <c r="K375" s="35">
        <v>1</v>
      </c>
      <c r="L375" s="38">
        <f t="shared" si="5"/>
        <v>2.9699999999999998</v>
      </c>
      <c r="M375" s="35" t="s">
        <v>48</v>
      </c>
      <c r="N375" s="38">
        <v>2.9699999999999998</v>
      </c>
      <c r="O375" s="35" t="s">
        <v>12</v>
      </c>
    </row>
    <row r="376" spans="1:15" x14ac:dyDescent="0.25">
      <c r="A376" s="35">
        <v>1251425870</v>
      </c>
      <c r="B376" s="35" t="s">
        <v>3761</v>
      </c>
      <c r="C376" s="35">
        <v>2026</v>
      </c>
      <c r="D376" s="36">
        <v>46037.671273148153</v>
      </c>
      <c r="E376" s="37" t="s">
        <v>486</v>
      </c>
      <c r="F376" s="37" t="s">
        <v>3688</v>
      </c>
      <c r="G376" s="37" t="s">
        <v>3689</v>
      </c>
      <c r="H376" s="35" t="s">
        <v>3419</v>
      </c>
      <c r="I376" s="35" t="s">
        <v>3416</v>
      </c>
      <c r="J376" s="38">
        <v>2.9000000000000004</v>
      </c>
      <c r="K376" s="35">
        <v>1</v>
      </c>
      <c r="L376" s="38">
        <f t="shared" si="5"/>
        <v>2.9000000000000004</v>
      </c>
      <c r="M376" s="35" t="s">
        <v>48</v>
      </c>
      <c r="N376" s="38">
        <v>2.9000000000000004</v>
      </c>
      <c r="O376" s="35" t="s">
        <v>12</v>
      </c>
    </row>
    <row r="377" spans="1:15" x14ac:dyDescent="0.25">
      <c r="A377" s="35">
        <v>1266121863</v>
      </c>
      <c r="B377" s="35" t="s">
        <v>3646</v>
      </c>
      <c r="C377" s="35">
        <v>2026</v>
      </c>
      <c r="D377" s="36">
        <v>46112.23474537037</v>
      </c>
      <c r="E377" s="37" t="s">
        <v>318</v>
      </c>
      <c r="F377" s="37" t="s">
        <v>3651</v>
      </c>
      <c r="G377" s="37" t="s">
        <v>3652</v>
      </c>
      <c r="H377" s="35" t="s">
        <v>3419</v>
      </c>
      <c r="I377" s="35" t="s">
        <v>3416</v>
      </c>
      <c r="J377" s="38">
        <v>1.449841772151899</v>
      </c>
      <c r="K377" s="35">
        <v>2</v>
      </c>
      <c r="L377" s="38">
        <f t="shared" si="5"/>
        <v>2.899683544303798</v>
      </c>
      <c r="M377" s="35" t="s">
        <v>48</v>
      </c>
      <c r="N377" s="38">
        <v>2.899683544303798</v>
      </c>
      <c r="O377" s="35" t="s">
        <v>12</v>
      </c>
    </row>
    <row r="378" spans="1:15" ht="30" x14ac:dyDescent="0.25">
      <c r="A378" s="35">
        <v>1243812749</v>
      </c>
      <c r="B378" s="35" t="s">
        <v>3890</v>
      </c>
      <c r="C378" s="35">
        <v>2025</v>
      </c>
      <c r="D378" s="36">
        <v>45995.381608796299</v>
      </c>
      <c r="E378" s="37" t="s">
        <v>677</v>
      </c>
      <c r="F378" s="37" t="s">
        <v>3948</v>
      </c>
      <c r="G378" s="37" t="s">
        <v>3949</v>
      </c>
      <c r="H378" s="35" t="s">
        <v>3419</v>
      </c>
      <c r="I378" s="35" t="s">
        <v>3416</v>
      </c>
      <c r="J378" s="38">
        <v>2.83</v>
      </c>
      <c r="K378" s="35">
        <v>1</v>
      </c>
      <c r="L378" s="38">
        <f t="shared" si="5"/>
        <v>2.83</v>
      </c>
      <c r="M378" s="35" t="s">
        <v>48</v>
      </c>
      <c r="N378" s="38">
        <v>2.83</v>
      </c>
      <c r="O378" s="35" t="s">
        <v>12</v>
      </c>
    </row>
    <row r="379" spans="1:15" x14ac:dyDescent="0.25">
      <c r="A379" s="35">
        <v>1248886513</v>
      </c>
      <c r="B379" s="35" t="s">
        <v>3761</v>
      </c>
      <c r="C379" s="35">
        <v>2026</v>
      </c>
      <c r="D379" s="36">
        <v>46035.776909722219</v>
      </c>
      <c r="E379" s="37" t="s">
        <v>554</v>
      </c>
      <c r="F379" s="37" t="s">
        <v>3847</v>
      </c>
      <c r="G379" s="37" t="s">
        <v>3720</v>
      </c>
      <c r="H379" s="35" t="s">
        <v>3415</v>
      </c>
      <c r="I379" s="35" t="s">
        <v>3416</v>
      </c>
      <c r="J379" s="38">
        <v>0.70416666666666672</v>
      </c>
      <c r="K379" s="35">
        <v>4</v>
      </c>
      <c r="L379" s="38">
        <f t="shared" si="5"/>
        <v>2.8166666666666669</v>
      </c>
      <c r="M379" s="35" t="s">
        <v>48</v>
      </c>
      <c r="N379" s="38">
        <v>2.8166666666666669</v>
      </c>
      <c r="O379" s="35" t="s">
        <v>12</v>
      </c>
    </row>
    <row r="380" spans="1:15" x14ac:dyDescent="0.25">
      <c r="A380" s="35">
        <v>1248886513</v>
      </c>
      <c r="B380" s="35" t="s">
        <v>3761</v>
      </c>
      <c r="C380" s="35">
        <v>2026</v>
      </c>
      <c r="D380" s="36">
        <v>46035.776909722219</v>
      </c>
      <c r="E380" s="37" t="s">
        <v>554</v>
      </c>
      <c r="F380" s="37" t="s">
        <v>3848</v>
      </c>
      <c r="G380" s="37" t="s">
        <v>3720</v>
      </c>
      <c r="H380" s="35" t="s">
        <v>3415</v>
      </c>
      <c r="I380" s="35" t="s">
        <v>3416</v>
      </c>
      <c r="J380" s="38">
        <v>0.70416666666666672</v>
      </c>
      <c r="K380" s="35">
        <v>4</v>
      </c>
      <c r="L380" s="38">
        <f t="shared" si="5"/>
        <v>2.8166666666666669</v>
      </c>
      <c r="M380" s="35" t="s">
        <v>48</v>
      </c>
      <c r="N380" s="38">
        <v>2.8166666666666669</v>
      </c>
      <c r="O380" s="35" t="s">
        <v>12</v>
      </c>
    </row>
    <row r="381" spans="1:15" x14ac:dyDescent="0.25">
      <c r="A381" s="35">
        <v>1248886513</v>
      </c>
      <c r="B381" s="35" t="s">
        <v>3761</v>
      </c>
      <c r="C381" s="35">
        <v>2026</v>
      </c>
      <c r="D381" s="36">
        <v>46035.776909722219</v>
      </c>
      <c r="E381" s="37" t="s">
        <v>554</v>
      </c>
      <c r="F381" s="37" t="s">
        <v>3849</v>
      </c>
      <c r="G381" s="37" t="s">
        <v>3720</v>
      </c>
      <c r="H381" s="35" t="s">
        <v>3415</v>
      </c>
      <c r="I381" s="35" t="s">
        <v>3416</v>
      </c>
      <c r="J381" s="38">
        <v>0.70416666666666672</v>
      </c>
      <c r="K381" s="35">
        <v>4</v>
      </c>
      <c r="L381" s="38">
        <f t="shared" si="5"/>
        <v>2.8166666666666669</v>
      </c>
      <c r="M381" s="35" t="s">
        <v>48</v>
      </c>
      <c r="N381" s="38">
        <v>2.8166666666666669</v>
      </c>
      <c r="O381" s="35" t="s">
        <v>12</v>
      </c>
    </row>
    <row r="382" spans="1:15" ht="30" x14ac:dyDescent="0.25">
      <c r="A382" s="35" t="s">
        <v>6045</v>
      </c>
      <c r="B382" s="35" t="s">
        <v>3646</v>
      </c>
      <c r="C382" s="35">
        <v>2023</v>
      </c>
      <c r="D382" s="36">
        <v>45004.697442129633</v>
      </c>
      <c r="E382" s="37" t="s">
        <v>4233</v>
      </c>
      <c r="F382" s="37" t="s">
        <v>6046</v>
      </c>
      <c r="G382" s="37" t="s">
        <v>3718</v>
      </c>
      <c r="H382" s="35" t="s">
        <v>3419</v>
      </c>
      <c r="I382" s="35" t="s">
        <v>3416</v>
      </c>
      <c r="J382" s="38">
        <v>1.3770358306188926</v>
      </c>
      <c r="K382" s="35">
        <v>2</v>
      </c>
      <c r="L382" s="38">
        <f t="shared" si="5"/>
        <v>2.7540716612377851</v>
      </c>
      <c r="M382" s="35" t="s">
        <v>48</v>
      </c>
      <c r="N382" s="38">
        <v>2.7540716612377851</v>
      </c>
      <c r="O382" s="35" t="s">
        <v>12</v>
      </c>
    </row>
    <row r="383" spans="1:15" x14ac:dyDescent="0.25">
      <c r="A383" s="35">
        <v>1164096821</v>
      </c>
      <c r="B383" s="35" t="s">
        <v>4199</v>
      </c>
      <c r="C383" s="35">
        <v>2024</v>
      </c>
      <c r="D383" s="36">
        <v>45475.889560185176</v>
      </c>
      <c r="E383" s="37" t="s">
        <v>2161</v>
      </c>
      <c r="F383" s="37" t="s">
        <v>3698</v>
      </c>
      <c r="G383" s="37" t="s">
        <v>3700</v>
      </c>
      <c r="H383" s="35" t="s">
        <v>3419</v>
      </c>
      <c r="I383" s="35" t="s">
        <v>3530</v>
      </c>
      <c r="J383" s="38">
        <v>2.7199999999999998</v>
      </c>
      <c r="K383" s="35">
        <v>1</v>
      </c>
      <c r="L383" s="38">
        <f t="shared" si="5"/>
        <v>2.7199999999999998</v>
      </c>
      <c r="M383" s="35" t="s">
        <v>48</v>
      </c>
      <c r="N383" s="38">
        <v>2.7199999999999998</v>
      </c>
      <c r="O383" s="35" t="s">
        <v>12</v>
      </c>
    </row>
    <row r="384" spans="1:15" x14ac:dyDescent="0.25">
      <c r="A384" s="35">
        <v>1164060811</v>
      </c>
      <c r="B384" s="35" t="s">
        <v>4199</v>
      </c>
      <c r="C384" s="35">
        <v>2024</v>
      </c>
      <c r="D384" s="36">
        <v>45475.731261574067</v>
      </c>
      <c r="E384" s="37" t="s">
        <v>2165</v>
      </c>
      <c r="F384" s="37" t="s">
        <v>3698</v>
      </c>
      <c r="G384" s="37" t="s">
        <v>3700</v>
      </c>
      <c r="H384" s="35" t="s">
        <v>3419</v>
      </c>
      <c r="I384" s="35" t="s">
        <v>3530</v>
      </c>
      <c r="J384" s="38">
        <v>2.7199999999999998</v>
      </c>
      <c r="K384" s="35">
        <v>1</v>
      </c>
      <c r="L384" s="38">
        <f t="shared" si="5"/>
        <v>2.7199999999999998</v>
      </c>
      <c r="M384" s="35" t="s">
        <v>48</v>
      </c>
      <c r="N384" s="38">
        <v>2.7199999999999998</v>
      </c>
      <c r="O384" s="35" t="s">
        <v>12</v>
      </c>
    </row>
    <row r="385" spans="1:15" x14ac:dyDescent="0.25">
      <c r="A385" s="35">
        <v>1250212850</v>
      </c>
      <c r="B385" s="35" t="s">
        <v>3761</v>
      </c>
      <c r="C385" s="35">
        <v>2026</v>
      </c>
      <c r="D385" s="36">
        <v>46030.925115740742</v>
      </c>
      <c r="E385" s="37" t="s">
        <v>511</v>
      </c>
      <c r="F385" s="37" t="s">
        <v>3866</v>
      </c>
      <c r="G385" s="37" t="s">
        <v>3867</v>
      </c>
      <c r="H385" s="35" t="s">
        <v>3415</v>
      </c>
      <c r="I385" s="35" t="s">
        <v>3416</v>
      </c>
      <c r="J385" s="38">
        <v>0.66874999999999996</v>
      </c>
      <c r="K385" s="35">
        <v>4</v>
      </c>
      <c r="L385" s="38">
        <f t="shared" si="5"/>
        <v>2.6749999999999998</v>
      </c>
      <c r="M385" s="35" t="s">
        <v>48</v>
      </c>
      <c r="N385" s="38">
        <v>2.6749999999999998</v>
      </c>
      <c r="O385" s="35" t="s">
        <v>12</v>
      </c>
    </row>
    <row r="386" spans="1:15" x14ac:dyDescent="0.25">
      <c r="A386" s="35">
        <v>1241664035</v>
      </c>
      <c r="B386" s="35" t="s">
        <v>3968</v>
      </c>
      <c r="C386" s="35">
        <v>2025</v>
      </c>
      <c r="D386" s="36">
        <v>45978.509826388887</v>
      </c>
      <c r="E386" s="37" t="s">
        <v>744</v>
      </c>
      <c r="F386" s="37" t="s">
        <v>4018</v>
      </c>
      <c r="G386" s="37" t="s">
        <v>4019</v>
      </c>
      <c r="H386" s="35" t="s">
        <v>3419</v>
      </c>
      <c r="I386" s="35" t="s">
        <v>3453</v>
      </c>
      <c r="J386" s="38">
        <v>2.6236363636363635</v>
      </c>
      <c r="K386" s="35">
        <v>1</v>
      </c>
      <c r="L386" s="38">
        <f t="shared" ref="L386:L449" si="6">J386*K386</f>
        <v>2.6236363636363635</v>
      </c>
      <c r="M386" s="35" t="s">
        <v>48</v>
      </c>
      <c r="N386" s="38">
        <v>2.6236363636363635</v>
      </c>
      <c r="O386" s="35" t="s">
        <v>12</v>
      </c>
    </row>
    <row r="387" spans="1:15" x14ac:dyDescent="0.25">
      <c r="A387" s="35">
        <v>1243741253</v>
      </c>
      <c r="B387" s="35" t="s">
        <v>3890</v>
      </c>
      <c r="C387" s="35">
        <v>2025</v>
      </c>
      <c r="D387" s="36">
        <v>46005.516342592593</v>
      </c>
      <c r="E387" s="37" t="s">
        <v>681</v>
      </c>
      <c r="F387" s="37" t="s">
        <v>3924</v>
      </c>
      <c r="G387" s="37" t="s">
        <v>3925</v>
      </c>
      <c r="H387" s="35" t="s">
        <v>3419</v>
      </c>
      <c r="I387" s="35" t="s">
        <v>3416</v>
      </c>
      <c r="J387" s="38">
        <v>2.6150000000000002</v>
      </c>
      <c r="K387" s="35">
        <v>1</v>
      </c>
      <c r="L387" s="38">
        <f t="shared" si="6"/>
        <v>2.6150000000000002</v>
      </c>
      <c r="M387" s="35" t="s">
        <v>48</v>
      </c>
      <c r="N387" s="38">
        <v>2.6150000000000002</v>
      </c>
      <c r="O387" s="35" t="s">
        <v>12</v>
      </c>
    </row>
    <row r="388" spans="1:15" x14ac:dyDescent="0.25">
      <c r="A388" s="35">
        <v>1243741253</v>
      </c>
      <c r="B388" s="35" t="s">
        <v>3968</v>
      </c>
      <c r="C388" s="35">
        <v>2025</v>
      </c>
      <c r="D388" s="36">
        <v>45990.902175925927</v>
      </c>
      <c r="E388" s="37" t="s">
        <v>681</v>
      </c>
      <c r="F388" s="37" t="s">
        <v>3972</v>
      </c>
      <c r="G388" s="37" t="s">
        <v>3973</v>
      </c>
      <c r="H388" s="35" t="s">
        <v>3419</v>
      </c>
      <c r="I388" s="35" t="s">
        <v>3416</v>
      </c>
      <c r="J388" s="38">
        <v>2.6150000000000002</v>
      </c>
      <c r="K388" s="35">
        <v>1</v>
      </c>
      <c r="L388" s="38">
        <f t="shared" si="6"/>
        <v>2.6150000000000002</v>
      </c>
      <c r="M388" s="35" t="s">
        <v>48</v>
      </c>
      <c r="N388" s="38">
        <v>2.6150000000000002</v>
      </c>
      <c r="O388" s="35" t="s">
        <v>12</v>
      </c>
    </row>
    <row r="389" spans="1:15" x14ac:dyDescent="0.25">
      <c r="A389" s="35">
        <v>1137238654</v>
      </c>
      <c r="B389" s="35" t="s">
        <v>3890</v>
      </c>
      <c r="C389" s="35">
        <v>2023</v>
      </c>
      <c r="D389" s="36">
        <v>45265.390462962961</v>
      </c>
      <c r="E389" s="37" t="s">
        <v>2773</v>
      </c>
      <c r="F389" s="37" t="s">
        <v>4574</v>
      </c>
      <c r="G389" s="37" t="s">
        <v>3652</v>
      </c>
      <c r="H389" s="35" t="s">
        <v>3419</v>
      </c>
      <c r="I389" s="35" t="s">
        <v>3530</v>
      </c>
      <c r="J389" s="38">
        <v>2.59</v>
      </c>
      <c r="K389" s="35">
        <v>1</v>
      </c>
      <c r="L389" s="38">
        <f t="shared" si="6"/>
        <v>2.59</v>
      </c>
      <c r="M389" s="35" t="s">
        <v>48</v>
      </c>
      <c r="N389" s="38">
        <v>2.59</v>
      </c>
      <c r="O389" s="35" t="s">
        <v>12</v>
      </c>
    </row>
    <row r="390" spans="1:15" x14ac:dyDescent="0.25">
      <c r="A390" s="35">
        <v>1137238654</v>
      </c>
      <c r="B390" s="35" t="s">
        <v>3890</v>
      </c>
      <c r="C390" s="35">
        <v>2023</v>
      </c>
      <c r="D390" s="36">
        <v>45265.390462962961</v>
      </c>
      <c r="E390" s="37" t="s">
        <v>2773</v>
      </c>
      <c r="F390" s="37" t="s">
        <v>5463</v>
      </c>
      <c r="G390" s="37" t="s">
        <v>3772</v>
      </c>
      <c r="H390" s="35" t="s">
        <v>3419</v>
      </c>
      <c r="I390" s="35" t="s">
        <v>3416</v>
      </c>
      <c r="J390" s="38">
        <v>2.59</v>
      </c>
      <c r="K390" s="35">
        <v>1</v>
      </c>
      <c r="L390" s="38">
        <f t="shared" si="6"/>
        <v>2.59</v>
      </c>
      <c r="M390" s="35" t="s">
        <v>48</v>
      </c>
      <c r="N390" s="38">
        <v>2.59</v>
      </c>
      <c r="O390" s="35" t="s">
        <v>12</v>
      </c>
    </row>
    <row r="391" spans="1:15" x14ac:dyDescent="0.25">
      <c r="A391" s="35">
        <v>1241664035</v>
      </c>
      <c r="B391" s="35" t="s">
        <v>3968</v>
      </c>
      <c r="C391" s="35">
        <v>2025</v>
      </c>
      <c r="D391" s="36">
        <v>45978.509826388887</v>
      </c>
      <c r="E391" s="37" t="s">
        <v>744</v>
      </c>
      <c r="F391" s="37" t="s">
        <v>4020</v>
      </c>
      <c r="G391" s="37" t="s">
        <v>3687</v>
      </c>
      <c r="H391" s="35" t="s">
        <v>3419</v>
      </c>
      <c r="I391" s="35" t="s">
        <v>3453</v>
      </c>
      <c r="J391" s="38">
        <v>1.2781818181818183</v>
      </c>
      <c r="K391" s="35">
        <v>2</v>
      </c>
      <c r="L391" s="38">
        <f t="shared" si="6"/>
        <v>2.5563636363636366</v>
      </c>
      <c r="M391" s="35" t="s">
        <v>48</v>
      </c>
      <c r="N391" s="38">
        <v>2.5563636363636366</v>
      </c>
      <c r="O391" s="35" t="s">
        <v>12</v>
      </c>
    </row>
    <row r="392" spans="1:15" x14ac:dyDescent="0.25">
      <c r="A392" s="35">
        <v>1252378732</v>
      </c>
      <c r="B392" s="35" t="s">
        <v>3761</v>
      </c>
      <c r="C392" s="35">
        <v>2026</v>
      </c>
      <c r="D392" s="36">
        <v>46050.642835648148</v>
      </c>
      <c r="E392" s="37" t="s">
        <v>472</v>
      </c>
      <c r="F392" s="37" t="s">
        <v>3773</v>
      </c>
      <c r="G392" s="37" t="s">
        <v>3551</v>
      </c>
      <c r="H392" s="35" t="s">
        <v>3415</v>
      </c>
      <c r="I392" s="35" t="s">
        <v>3416</v>
      </c>
      <c r="J392" s="38">
        <v>0.62745098039215685</v>
      </c>
      <c r="K392" s="35">
        <v>4</v>
      </c>
      <c r="L392" s="38">
        <f t="shared" si="6"/>
        <v>2.5098039215686274</v>
      </c>
      <c r="M392" s="35" t="s">
        <v>48</v>
      </c>
      <c r="N392" s="38">
        <v>2.5098039215686274</v>
      </c>
      <c r="O392" s="35" t="s">
        <v>12</v>
      </c>
    </row>
    <row r="393" spans="1:15" x14ac:dyDescent="0.25">
      <c r="A393" s="35" t="s">
        <v>6295</v>
      </c>
      <c r="B393" s="35" t="s">
        <v>3968</v>
      </c>
      <c r="C393" s="35">
        <v>2022</v>
      </c>
      <c r="D393" s="36">
        <v>44868.391111111108</v>
      </c>
      <c r="E393" s="35" t="s">
        <v>4233</v>
      </c>
      <c r="F393" s="43" t="s">
        <v>6296</v>
      </c>
      <c r="G393" s="43" t="s">
        <v>3551</v>
      </c>
      <c r="H393" s="35" t="s">
        <v>3415</v>
      </c>
      <c r="I393" s="35" t="s">
        <v>3416</v>
      </c>
      <c r="J393" s="38">
        <v>0.62705823293172702</v>
      </c>
      <c r="K393" s="35">
        <v>4</v>
      </c>
      <c r="L393" s="38">
        <f t="shared" si="6"/>
        <v>2.5082329317269081</v>
      </c>
      <c r="M393" s="35" t="s">
        <v>48</v>
      </c>
      <c r="N393" s="38">
        <v>2.5082329317269081</v>
      </c>
      <c r="O393" s="35" t="s">
        <v>12</v>
      </c>
    </row>
    <row r="394" spans="1:15" x14ac:dyDescent="0.25">
      <c r="A394" s="35">
        <v>1261791271</v>
      </c>
      <c r="B394" s="35" t="s">
        <v>3646</v>
      </c>
      <c r="C394" s="35">
        <v>2026</v>
      </c>
      <c r="D394" s="36">
        <v>46089.398935185192</v>
      </c>
      <c r="E394" s="37" t="s">
        <v>349</v>
      </c>
      <c r="F394" s="37" t="s">
        <v>3701</v>
      </c>
      <c r="G394" s="37" t="s">
        <v>3702</v>
      </c>
      <c r="H394" s="35" t="s">
        <v>3419</v>
      </c>
      <c r="I394" s="35" t="s">
        <v>3416</v>
      </c>
      <c r="J394" s="38">
        <v>2.4666666666666668</v>
      </c>
      <c r="K394" s="35">
        <v>1</v>
      </c>
      <c r="L394" s="38">
        <f t="shared" si="6"/>
        <v>2.4666666666666668</v>
      </c>
      <c r="M394" s="35" t="s">
        <v>48</v>
      </c>
      <c r="N394" s="38">
        <v>2.4666666666666668</v>
      </c>
      <c r="O394" s="35" t="s">
        <v>12</v>
      </c>
    </row>
    <row r="395" spans="1:15" x14ac:dyDescent="0.25">
      <c r="A395" s="35">
        <v>1249242627</v>
      </c>
      <c r="B395" s="35" t="s">
        <v>3761</v>
      </c>
      <c r="C395" s="35">
        <v>2026</v>
      </c>
      <c r="D395" s="36">
        <v>46032.689803240741</v>
      </c>
      <c r="E395" s="37" t="s">
        <v>536</v>
      </c>
      <c r="F395" s="37" t="s">
        <v>3861</v>
      </c>
      <c r="G395" s="37" t="s">
        <v>3862</v>
      </c>
      <c r="H395" s="35" t="s">
        <v>3419</v>
      </c>
      <c r="I395" s="35" t="s">
        <v>3530</v>
      </c>
      <c r="J395" s="38">
        <v>1.2311224489795918</v>
      </c>
      <c r="K395" s="35">
        <v>2</v>
      </c>
      <c r="L395" s="38">
        <f t="shared" si="6"/>
        <v>2.4622448979591836</v>
      </c>
      <c r="M395" s="35" t="s">
        <v>48</v>
      </c>
      <c r="N395" s="38">
        <v>2.4622448979591836</v>
      </c>
      <c r="O395" s="35" t="s">
        <v>12</v>
      </c>
    </row>
    <row r="396" spans="1:15" x14ac:dyDescent="0.25">
      <c r="A396" s="35">
        <v>1141726253</v>
      </c>
      <c r="B396" s="35" t="s">
        <v>3761</v>
      </c>
      <c r="C396" s="35">
        <v>2024</v>
      </c>
      <c r="D396" s="36">
        <v>45304.745717592603</v>
      </c>
      <c r="E396" s="37" t="s">
        <v>2690</v>
      </c>
      <c r="F396" s="37" t="s">
        <v>5283</v>
      </c>
      <c r="G396" s="37" t="s">
        <v>5274</v>
      </c>
      <c r="H396" s="35" t="s">
        <v>3419</v>
      </c>
      <c r="I396" s="35" t="s">
        <v>3416</v>
      </c>
      <c r="J396" s="38">
        <v>2.46</v>
      </c>
      <c r="K396" s="35">
        <v>1</v>
      </c>
      <c r="L396" s="38">
        <f t="shared" si="6"/>
        <v>2.46</v>
      </c>
      <c r="M396" s="35" t="s">
        <v>48</v>
      </c>
      <c r="N396" s="38">
        <v>2.46</v>
      </c>
      <c r="O396" s="35" t="s">
        <v>2314</v>
      </c>
    </row>
    <row r="397" spans="1:15" x14ac:dyDescent="0.25">
      <c r="A397" s="35">
        <v>1282390690</v>
      </c>
      <c r="B397" s="35" t="s">
        <v>3412</v>
      </c>
      <c r="C397" s="35">
        <v>2026</v>
      </c>
      <c r="D397" s="36">
        <v>46197.547534722224</v>
      </c>
      <c r="E397" s="37" t="s">
        <v>74</v>
      </c>
      <c r="F397" s="37" t="s">
        <v>3456</v>
      </c>
      <c r="G397" s="37" t="s">
        <v>3457</v>
      </c>
      <c r="H397" s="35" t="s">
        <v>3415</v>
      </c>
      <c r="I397" s="35" t="s">
        <v>3416</v>
      </c>
      <c r="J397" s="38">
        <v>0.61250000000000004</v>
      </c>
      <c r="K397" s="35">
        <v>4</v>
      </c>
      <c r="L397" s="38">
        <f t="shared" si="6"/>
        <v>2.4500000000000002</v>
      </c>
      <c r="M397" s="35" t="s">
        <v>48</v>
      </c>
      <c r="N397" s="38">
        <v>2.4500000000000002</v>
      </c>
      <c r="O397" s="35" t="s">
        <v>12</v>
      </c>
    </row>
    <row r="398" spans="1:15" x14ac:dyDescent="0.25">
      <c r="A398" s="35">
        <v>1262629977</v>
      </c>
      <c r="B398" s="35" t="s">
        <v>3646</v>
      </c>
      <c r="C398" s="35">
        <v>2026</v>
      </c>
      <c r="D398" s="36">
        <v>46093.569895833331</v>
      </c>
      <c r="E398" s="37" t="s">
        <v>342</v>
      </c>
      <c r="F398" s="37" t="s">
        <v>3675</v>
      </c>
      <c r="G398" s="37" t="s">
        <v>3676</v>
      </c>
      <c r="H398" s="35" t="s">
        <v>3415</v>
      </c>
      <c r="I398" s="35" t="s">
        <v>3453</v>
      </c>
      <c r="J398" s="38">
        <v>0.61250000000000004</v>
      </c>
      <c r="K398" s="35">
        <v>4</v>
      </c>
      <c r="L398" s="38">
        <f t="shared" si="6"/>
        <v>2.4500000000000002</v>
      </c>
      <c r="M398" s="35" t="s">
        <v>48</v>
      </c>
      <c r="N398" s="38">
        <v>2.4500000000000002</v>
      </c>
      <c r="O398" s="35" t="s">
        <v>12</v>
      </c>
    </row>
    <row r="399" spans="1:15" x14ac:dyDescent="0.25">
      <c r="A399" s="35">
        <v>1250537633</v>
      </c>
      <c r="B399" s="35" t="s">
        <v>3761</v>
      </c>
      <c r="C399" s="35">
        <v>2026</v>
      </c>
      <c r="D399" s="36">
        <v>46041.611828703702</v>
      </c>
      <c r="E399" s="37" t="s">
        <v>508</v>
      </c>
      <c r="F399" s="37" t="s">
        <v>3806</v>
      </c>
      <c r="G399" s="37" t="s">
        <v>3807</v>
      </c>
      <c r="H399" s="35" t="s">
        <v>3415</v>
      </c>
      <c r="I399" s="35" t="s">
        <v>3416</v>
      </c>
      <c r="J399" s="38">
        <v>0.61250000000000004</v>
      </c>
      <c r="K399" s="35">
        <v>4</v>
      </c>
      <c r="L399" s="38">
        <f t="shared" si="6"/>
        <v>2.4500000000000002</v>
      </c>
      <c r="M399" s="35" t="s">
        <v>48</v>
      </c>
      <c r="N399" s="38">
        <v>2.4500000000000002</v>
      </c>
      <c r="O399" s="35" t="s">
        <v>12</v>
      </c>
    </row>
    <row r="400" spans="1:15" x14ac:dyDescent="0.25">
      <c r="A400" s="35">
        <v>1161471470</v>
      </c>
      <c r="B400" s="35" t="s">
        <v>3412</v>
      </c>
      <c r="C400" s="35">
        <v>2024</v>
      </c>
      <c r="D400" s="36">
        <v>45462.539699074077</v>
      </c>
      <c r="E400" s="37" t="s">
        <v>2245</v>
      </c>
      <c r="F400" s="37" t="s">
        <v>3986</v>
      </c>
      <c r="G400" s="37" t="s">
        <v>3805</v>
      </c>
      <c r="H400" s="35" t="s">
        <v>3419</v>
      </c>
      <c r="I400" s="35" t="s">
        <v>3453</v>
      </c>
      <c r="J400" s="38">
        <v>2.402891156462585</v>
      </c>
      <c r="K400" s="35">
        <v>1</v>
      </c>
      <c r="L400" s="38">
        <f t="shared" si="6"/>
        <v>2.402891156462585</v>
      </c>
      <c r="M400" s="35" t="s">
        <v>48</v>
      </c>
      <c r="N400" s="38">
        <v>2.402891156462585</v>
      </c>
      <c r="O400" s="35" t="s">
        <v>12</v>
      </c>
    </row>
    <row r="401" spans="1:15" x14ac:dyDescent="0.25">
      <c r="A401" s="35">
        <v>1161471470</v>
      </c>
      <c r="B401" s="35" t="s">
        <v>3412</v>
      </c>
      <c r="C401" s="35">
        <v>2024</v>
      </c>
      <c r="D401" s="36">
        <v>45462.539699074077</v>
      </c>
      <c r="E401" s="37" t="s">
        <v>2245</v>
      </c>
      <c r="F401" s="37" t="s">
        <v>3986</v>
      </c>
      <c r="G401" s="37" t="s">
        <v>3805</v>
      </c>
      <c r="H401" s="35" t="s">
        <v>3419</v>
      </c>
      <c r="I401" s="35" t="s">
        <v>3416</v>
      </c>
      <c r="J401" s="38">
        <v>2.402891156462585</v>
      </c>
      <c r="K401" s="35">
        <v>1</v>
      </c>
      <c r="L401" s="38">
        <f t="shared" si="6"/>
        <v>2.402891156462585</v>
      </c>
      <c r="M401" s="35" t="s">
        <v>48</v>
      </c>
      <c r="N401" s="38">
        <v>2.402891156462585</v>
      </c>
      <c r="O401" s="35" t="s">
        <v>12</v>
      </c>
    </row>
    <row r="402" spans="1:15" x14ac:dyDescent="0.25">
      <c r="A402" s="35">
        <v>1252277888</v>
      </c>
      <c r="B402" s="35" t="s">
        <v>3761</v>
      </c>
      <c r="C402" s="35">
        <v>2026</v>
      </c>
      <c r="D402" s="36">
        <v>46041.916689814818</v>
      </c>
      <c r="E402" s="37" t="s">
        <v>474</v>
      </c>
      <c r="F402" s="37" t="s">
        <v>3803</v>
      </c>
      <c r="G402" s="37" t="s">
        <v>3751</v>
      </c>
      <c r="H402" s="35" t="s">
        <v>3419</v>
      </c>
      <c r="I402" s="35" t="s">
        <v>3530</v>
      </c>
      <c r="J402" s="38">
        <v>2.4</v>
      </c>
      <c r="K402" s="35">
        <v>1</v>
      </c>
      <c r="L402" s="38">
        <f t="shared" si="6"/>
        <v>2.4</v>
      </c>
      <c r="M402" s="35" t="s">
        <v>48</v>
      </c>
      <c r="N402" s="38">
        <v>2.4</v>
      </c>
      <c r="O402" s="35" t="s">
        <v>12</v>
      </c>
    </row>
    <row r="403" spans="1:15" x14ac:dyDescent="0.25">
      <c r="A403" s="35">
        <v>1251407559</v>
      </c>
      <c r="B403" s="35" t="s">
        <v>3761</v>
      </c>
      <c r="C403" s="35">
        <v>2026</v>
      </c>
      <c r="D403" s="36">
        <v>46037.588912037027</v>
      </c>
      <c r="E403" s="37" t="s">
        <v>489</v>
      </c>
      <c r="F403" s="37" t="s">
        <v>3819</v>
      </c>
      <c r="G403" s="37" t="s">
        <v>3820</v>
      </c>
      <c r="H403" s="35" t="s">
        <v>3419</v>
      </c>
      <c r="I403" s="35" t="s">
        <v>3416</v>
      </c>
      <c r="J403" s="38">
        <v>2.4</v>
      </c>
      <c r="K403" s="35">
        <v>1</v>
      </c>
      <c r="L403" s="38">
        <f t="shared" si="6"/>
        <v>2.4</v>
      </c>
      <c r="M403" s="35" t="s">
        <v>48</v>
      </c>
      <c r="N403" s="38">
        <v>2.4</v>
      </c>
      <c r="O403" s="35" t="s">
        <v>12</v>
      </c>
    </row>
    <row r="404" spans="1:15" x14ac:dyDescent="0.25">
      <c r="A404" s="35">
        <v>1250045793</v>
      </c>
      <c r="B404" s="35" t="s">
        <v>3761</v>
      </c>
      <c r="C404" s="35">
        <v>2026</v>
      </c>
      <c r="D404" s="36">
        <v>46029.979988425926</v>
      </c>
      <c r="E404" s="37" t="s">
        <v>199</v>
      </c>
      <c r="F404" s="37" t="s">
        <v>3644</v>
      </c>
      <c r="G404" s="37" t="s">
        <v>3645</v>
      </c>
      <c r="H404" s="35" t="s">
        <v>3419</v>
      </c>
      <c r="I404" s="35" t="s">
        <v>3416</v>
      </c>
      <c r="J404" s="38">
        <v>2.4</v>
      </c>
      <c r="K404" s="35">
        <v>1</v>
      </c>
      <c r="L404" s="38">
        <f t="shared" si="6"/>
        <v>2.4</v>
      </c>
      <c r="M404" s="35" t="s">
        <v>48</v>
      </c>
      <c r="N404" s="38">
        <v>2.4</v>
      </c>
      <c r="O404" s="35" t="s">
        <v>12</v>
      </c>
    </row>
    <row r="405" spans="1:15" x14ac:dyDescent="0.25">
      <c r="A405" s="35">
        <v>1188500052</v>
      </c>
      <c r="B405" s="35" t="s">
        <v>3890</v>
      </c>
      <c r="C405" s="35">
        <v>2024</v>
      </c>
      <c r="D405" s="36">
        <v>45651.979224537034</v>
      </c>
      <c r="E405" s="37" t="s">
        <v>1609</v>
      </c>
      <c r="F405" s="37" t="s">
        <v>4693</v>
      </c>
      <c r="G405" s="37" t="s">
        <v>3961</v>
      </c>
      <c r="H405" s="35" t="s">
        <v>3419</v>
      </c>
      <c r="I405" s="35" t="s">
        <v>3416</v>
      </c>
      <c r="J405" s="38">
        <v>2.3940571640682999</v>
      </c>
      <c r="K405" s="35">
        <v>1</v>
      </c>
      <c r="L405" s="38">
        <f t="shared" si="6"/>
        <v>2.3940571640682999</v>
      </c>
      <c r="M405" s="35" t="s">
        <v>48</v>
      </c>
      <c r="N405" s="38">
        <v>2.3940571640682999</v>
      </c>
      <c r="O405" s="35" t="s">
        <v>12</v>
      </c>
    </row>
    <row r="406" spans="1:15" x14ac:dyDescent="0.25">
      <c r="A406" s="35">
        <v>1257677828</v>
      </c>
      <c r="B406" s="35" t="s">
        <v>3721</v>
      </c>
      <c r="C406" s="35">
        <v>2026</v>
      </c>
      <c r="D406" s="36">
        <v>46071.534895833334</v>
      </c>
      <c r="E406" s="37" t="s">
        <v>375</v>
      </c>
      <c r="F406" s="37" t="s">
        <v>3731</v>
      </c>
      <c r="G406" s="37" t="s">
        <v>3678</v>
      </c>
      <c r="H406" s="35" t="s">
        <v>3419</v>
      </c>
      <c r="I406" s="35" t="s">
        <v>3416</v>
      </c>
      <c r="J406" s="38">
        <v>2.3726457399103138</v>
      </c>
      <c r="K406" s="35">
        <v>1</v>
      </c>
      <c r="L406" s="38">
        <f t="shared" si="6"/>
        <v>2.3726457399103138</v>
      </c>
      <c r="M406" s="35" t="s">
        <v>48</v>
      </c>
      <c r="N406" s="38">
        <v>2.3726457399103138</v>
      </c>
      <c r="O406" s="35" t="s">
        <v>12</v>
      </c>
    </row>
    <row r="407" spans="1:15" x14ac:dyDescent="0.25">
      <c r="A407" s="35">
        <v>1252089479</v>
      </c>
      <c r="B407" s="35" t="s">
        <v>3761</v>
      </c>
      <c r="C407" s="35">
        <v>2026</v>
      </c>
      <c r="D407" s="36">
        <v>46041.045902777783</v>
      </c>
      <c r="E407" s="37" t="s">
        <v>479</v>
      </c>
      <c r="F407" s="37" t="s">
        <v>3811</v>
      </c>
      <c r="G407" s="37" t="s">
        <v>3518</v>
      </c>
      <c r="H407" s="35" t="s">
        <v>3419</v>
      </c>
      <c r="I407" s="35" t="s">
        <v>3416</v>
      </c>
      <c r="J407" s="38">
        <v>2.362773722627737</v>
      </c>
      <c r="K407" s="35">
        <v>1</v>
      </c>
      <c r="L407" s="38">
        <f t="shared" si="6"/>
        <v>2.362773722627737</v>
      </c>
      <c r="M407" s="35" t="s">
        <v>48</v>
      </c>
      <c r="N407" s="38">
        <v>2.362773722627737</v>
      </c>
      <c r="O407" s="35" t="s">
        <v>12</v>
      </c>
    </row>
    <row r="408" spans="1:15" x14ac:dyDescent="0.25">
      <c r="A408" s="35">
        <v>1248630308</v>
      </c>
      <c r="B408" s="35" t="s">
        <v>3761</v>
      </c>
      <c r="C408" s="35">
        <v>2026</v>
      </c>
      <c r="D408" s="36">
        <v>46030.528009259258</v>
      </c>
      <c r="E408" s="37" t="s">
        <v>556</v>
      </c>
      <c r="F408" s="37" t="s">
        <v>3877</v>
      </c>
      <c r="G408" s="37" t="s">
        <v>3742</v>
      </c>
      <c r="H408" s="35" t="s">
        <v>3419</v>
      </c>
      <c r="I408" s="35" t="s">
        <v>3453</v>
      </c>
      <c r="J408" s="38">
        <v>2.3258695652173911</v>
      </c>
      <c r="K408" s="35">
        <v>1</v>
      </c>
      <c r="L408" s="38">
        <f t="shared" si="6"/>
        <v>2.3258695652173911</v>
      </c>
      <c r="M408" s="35" t="s">
        <v>48</v>
      </c>
      <c r="N408" s="38">
        <v>2.3258695652173911</v>
      </c>
      <c r="O408" s="35" t="s">
        <v>12</v>
      </c>
    </row>
    <row r="409" spans="1:15" x14ac:dyDescent="0.25">
      <c r="A409" s="35">
        <v>1191648783</v>
      </c>
      <c r="B409" s="35" t="s">
        <v>3761</v>
      </c>
      <c r="C409" s="35">
        <v>2025</v>
      </c>
      <c r="D409" s="36">
        <v>45672.975324074083</v>
      </c>
      <c r="E409" s="37" t="s">
        <v>1570</v>
      </c>
      <c r="F409" s="37" t="s">
        <v>4664</v>
      </c>
      <c r="G409" s="37" t="s">
        <v>3621</v>
      </c>
      <c r="H409" s="35" t="s">
        <v>3419</v>
      </c>
      <c r="I409" s="35" t="s">
        <v>3416</v>
      </c>
      <c r="J409" s="38">
        <v>2.3200000000000003</v>
      </c>
      <c r="K409" s="35">
        <v>1</v>
      </c>
      <c r="L409" s="38">
        <f t="shared" si="6"/>
        <v>2.3200000000000003</v>
      </c>
      <c r="M409" s="35" t="s">
        <v>48</v>
      </c>
      <c r="N409" s="38">
        <v>2.3200000000000003</v>
      </c>
      <c r="O409" s="35" t="s">
        <v>12</v>
      </c>
    </row>
    <row r="410" spans="1:15" x14ac:dyDescent="0.25">
      <c r="A410" s="35">
        <v>1129471035</v>
      </c>
      <c r="B410" s="35" t="s">
        <v>4070</v>
      </c>
      <c r="C410" s="35">
        <v>2023</v>
      </c>
      <c r="D410" s="36">
        <v>45202.327141203707</v>
      </c>
      <c r="E410" s="37" t="s">
        <v>2865</v>
      </c>
      <c r="F410" s="37" t="s">
        <v>5617</v>
      </c>
      <c r="G410" s="37" t="s">
        <v>5446</v>
      </c>
      <c r="H410" s="35" t="s">
        <v>3415</v>
      </c>
      <c r="I410" s="35" t="s">
        <v>3416</v>
      </c>
      <c r="J410" s="38">
        <v>0.57860655737704914</v>
      </c>
      <c r="K410" s="35">
        <v>4</v>
      </c>
      <c r="L410" s="38">
        <f t="shared" si="6"/>
        <v>2.3144262295081965</v>
      </c>
      <c r="M410" s="35" t="s">
        <v>48</v>
      </c>
      <c r="N410" s="38">
        <v>2.3144262295081965</v>
      </c>
      <c r="O410" s="35" t="s">
        <v>2314</v>
      </c>
    </row>
    <row r="411" spans="1:15" x14ac:dyDescent="0.25">
      <c r="A411" s="35">
        <v>1166600625</v>
      </c>
      <c r="B411" s="35" t="s">
        <v>4199</v>
      </c>
      <c r="C411" s="35">
        <v>2024</v>
      </c>
      <c r="D411" s="36">
        <v>45502.647199074076</v>
      </c>
      <c r="E411" s="37" t="s">
        <v>2064</v>
      </c>
      <c r="F411" s="37" t="s">
        <v>4303</v>
      </c>
      <c r="G411" s="37" t="s">
        <v>3658</v>
      </c>
      <c r="H411" s="35" t="s">
        <v>3419</v>
      </c>
      <c r="I411" s="35" t="s">
        <v>3416</v>
      </c>
      <c r="J411" s="38">
        <v>2.2976744186046512</v>
      </c>
      <c r="K411" s="35">
        <v>1</v>
      </c>
      <c r="L411" s="38">
        <f t="shared" si="6"/>
        <v>2.2976744186046512</v>
      </c>
      <c r="M411" s="35" t="s">
        <v>48</v>
      </c>
      <c r="N411" s="38">
        <v>2.2976744186046512</v>
      </c>
      <c r="O411" s="35" t="s">
        <v>12</v>
      </c>
    </row>
    <row r="412" spans="1:15" x14ac:dyDescent="0.25">
      <c r="A412" s="35">
        <v>1158084187</v>
      </c>
      <c r="B412" s="35" t="s">
        <v>3527</v>
      </c>
      <c r="C412" s="35">
        <v>2024</v>
      </c>
      <c r="D412" s="36">
        <v>45441.870798611111</v>
      </c>
      <c r="E412" s="37" t="s">
        <v>2340</v>
      </c>
      <c r="F412" s="37" t="s">
        <v>5067</v>
      </c>
      <c r="G412" s="37" t="s">
        <v>4063</v>
      </c>
      <c r="H412" s="35" t="s">
        <v>3419</v>
      </c>
      <c r="I412" s="35" t="s">
        <v>3416</v>
      </c>
      <c r="J412" s="38">
        <v>1.1464406779661016</v>
      </c>
      <c r="K412" s="35">
        <v>2</v>
      </c>
      <c r="L412" s="38">
        <f t="shared" si="6"/>
        <v>2.2928813559322032</v>
      </c>
      <c r="M412" s="35" t="s">
        <v>48</v>
      </c>
      <c r="N412" s="38">
        <v>2.2928813559322032</v>
      </c>
      <c r="O412" s="35" t="s">
        <v>12</v>
      </c>
    </row>
    <row r="413" spans="1:15" x14ac:dyDescent="0.25">
      <c r="A413" s="35">
        <v>1243929990</v>
      </c>
      <c r="B413" s="35" t="s">
        <v>3968</v>
      </c>
      <c r="C413" s="35">
        <v>2025</v>
      </c>
      <c r="D413" s="36">
        <v>45991.964004629634</v>
      </c>
      <c r="E413" s="37" t="s">
        <v>674</v>
      </c>
      <c r="F413" s="37" t="s">
        <v>3969</v>
      </c>
      <c r="G413" s="37" t="s">
        <v>3970</v>
      </c>
      <c r="H413" s="35" t="s">
        <v>3419</v>
      </c>
      <c r="I413" s="35" t="s">
        <v>3416</v>
      </c>
      <c r="J413" s="38">
        <v>2.2800000000000002</v>
      </c>
      <c r="K413" s="35">
        <v>1</v>
      </c>
      <c r="L413" s="38">
        <f t="shared" si="6"/>
        <v>2.2800000000000002</v>
      </c>
      <c r="M413" s="35" t="s">
        <v>48</v>
      </c>
      <c r="N413" s="38">
        <v>2.2800000000000002</v>
      </c>
      <c r="O413" s="35" t="s">
        <v>12</v>
      </c>
    </row>
    <row r="414" spans="1:15" x14ac:dyDescent="0.25">
      <c r="A414" s="35">
        <v>1242249150</v>
      </c>
      <c r="B414" s="35" t="s">
        <v>3968</v>
      </c>
      <c r="C414" s="35">
        <v>2025</v>
      </c>
      <c r="D414" s="36">
        <v>45981.881979166668</v>
      </c>
      <c r="E414" s="37" t="s">
        <v>719</v>
      </c>
      <c r="F414" s="37" t="s">
        <v>4006</v>
      </c>
      <c r="G414" s="37" t="s">
        <v>3652</v>
      </c>
      <c r="H414" s="35" t="s">
        <v>3419</v>
      </c>
      <c r="I414" s="35" t="s">
        <v>3416</v>
      </c>
      <c r="J414" s="38">
        <v>2.2800000000000002</v>
      </c>
      <c r="K414" s="35">
        <v>1</v>
      </c>
      <c r="L414" s="38">
        <f t="shared" si="6"/>
        <v>2.2800000000000002</v>
      </c>
      <c r="M414" s="35" t="s">
        <v>48</v>
      </c>
      <c r="N414" s="38">
        <v>2.2800000000000002</v>
      </c>
      <c r="O414" s="35" t="s">
        <v>12</v>
      </c>
    </row>
    <row r="415" spans="1:15" x14ac:dyDescent="0.25">
      <c r="A415" s="35">
        <v>1192281332</v>
      </c>
      <c r="B415" s="35" t="s">
        <v>3761</v>
      </c>
      <c r="C415" s="35">
        <v>2025</v>
      </c>
      <c r="D415" s="36">
        <v>45676.509884259263</v>
      </c>
      <c r="E415" s="37" t="s">
        <v>1539</v>
      </c>
      <c r="F415" s="37" t="s">
        <v>3995</v>
      </c>
      <c r="G415" s="37" t="s">
        <v>3668</v>
      </c>
      <c r="H415" s="35" t="s">
        <v>3419</v>
      </c>
      <c r="I415" s="35" t="s">
        <v>3530</v>
      </c>
      <c r="J415" s="38">
        <v>2.23</v>
      </c>
      <c r="K415" s="35">
        <v>1</v>
      </c>
      <c r="L415" s="38">
        <f t="shared" si="6"/>
        <v>2.23</v>
      </c>
      <c r="M415" s="35" t="s">
        <v>48</v>
      </c>
      <c r="N415" s="38">
        <v>2.23</v>
      </c>
      <c r="O415" s="35" t="s">
        <v>12</v>
      </c>
    </row>
    <row r="416" spans="1:15" x14ac:dyDescent="0.25">
      <c r="A416" s="35">
        <v>1249422644</v>
      </c>
      <c r="B416" s="35" t="s">
        <v>3761</v>
      </c>
      <c r="C416" s="35">
        <v>2026</v>
      </c>
      <c r="D416" s="36">
        <v>46037.39949074074</v>
      </c>
      <c r="E416" s="37" t="s">
        <v>531</v>
      </c>
      <c r="F416" s="37" t="s">
        <v>3824</v>
      </c>
      <c r="G416" s="37" t="s">
        <v>3825</v>
      </c>
      <c r="H416" s="35" t="s">
        <v>3419</v>
      </c>
      <c r="I416" s="35" t="s">
        <v>3416</v>
      </c>
      <c r="J416" s="38">
        <v>0.73333333333333339</v>
      </c>
      <c r="K416" s="35">
        <v>3</v>
      </c>
      <c r="L416" s="38">
        <f t="shared" si="6"/>
        <v>2.2000000000000002</v>
      </c>
      <c r="M416" s="35" t="s">
        <v>48</v>
      </c>
      <c r="N416" s="38">
        <v>2.2000000000000002</v>
      </c>
      <c r="O416" s="35" t="s">
        <v>12</v>
      </c>
    </row>
    <row r="417" spans="1:15" x14ac:dyDescent="0.25">
      <c r="A417" s="35">
        <v>1249242627</v>
      </c>
      <c r="B417" s="35" t="s">
        <v>3761</v>
      </c>
      <c r="C417" s="35">
        <v>2026</v>
      </c>
      <c r="D417" s="36">
        <v>46025.785520833328</v>
      </c>
      <c r="E417" s="37" t="s">
        <v>536</v>
      </c>
      <c r="F417" s="37" t="s">
        <v>3804</v>
      </c>
      <c r="G417" s="37" t="s">
        <v>3805</v>
      </c>
      <c r="H417" s="35" t="s">
        <v>3419</v>
      </c>
      <c r="I417" s="35" t="s">
        <v>3453</v>
      </c>
      <c r="J417" s="38">
        <v>2.1796875</v>
      </c>
      <c r="K417" s="35">
        <v>1</v>
      </c>
      <c r="L417" s="38">
        <f t="shared" si="6"/>
        <v>2.1796875</v>
      </c>
      <c r="M417" s="35" t="s">
        <v>48</v>
      </c>
      <c r="N417" s="38">
        <v>2.1796875</v>
      </c>
      <c r="O417" s="35" t="s">
        <v>12</v>
      </c>
    </row>
    <row r="418" spans="1:15" x14ac:dyDescent="0.25">
      <c r="A418" s="35">
        <v>1248193531</v>
      </c>
      <c r="B418" s="35" t="s">
        <v>3761</v>
      </c>
      <c r="C418" s="35">
        <v>2026</v>
      </c>
      <c r="D418" s="36">
        <v>46033.403541666667</v>
      </c>
      <c r="E418" s="37" t="s">
        <v>565</v>
      </c>
      <c r="F418" s="37" t="s">
        <v>3860</v>
      </c>
      <c r="G418" s="37" t="s">
        <v>3551</v>
      </c>
      <c r="H418" s="35" t="s">
        <v>3419</v>
      </c>
      <c r="I418" s="35" t="s">
        <v>3416</v>
      </c>
      <c r="J418" s="38">
        <v>2.1749999999999998</v>
      </c>
      <c r="K418" s="35">
        <v>1</v>
      </c>
      <c r="L418" s="38">
        <f t="shared" si="6"/>
        <v>2.1749999999999998</v>
      </c>
      <c r="M418" s="35" t="s">
        <v>48</v>
      </c>
      <c r="N418" s="38">
        <v>2.1749999999999998</v>
      </c>
      <c r="O418" s="35" t="s">
        <v>12</v>
      </c>
    </row>
    <row r="419" spans="1:15" x14ac:dyDescent="0.25">
      <c r="A419" s="35">
        <v>1169559768</v>
      </c>
      <c r="B419" s="35" t="s">
        <v>4158</v>
      </c>
      <c r="C419" s="35">
        <v>2024</v>
      </c>
      <c r="D419" s="36">
        <v>45517.020092592589</v>
      </c>
      <c r="E419" s="37" t="s">
        <v>2006</v>
      </c>
      <c r="F419" s="37" t="s">
        <v>4912</v>
      </c>
      <c r="G419" s="37" t="s">
        <v>3846</v>
      </c>
      <c r="H419" s="35" t="s">
        <v>3419</v>
      </c>
      <c r="I419" s="35" t="s">
        <v>3530</v>
      </c>
      <c r="J419" s="38">
        <v>2.17</v>
      </c>
      <c r="K419" s="35">
        <v>1</v>
      </c>
      <c r="L419" s="38">
        <f t="shared" si="6"/>
        <v>2.17</v>
      </c>
      <c r="M419" s="35" t="s">
        <v>48</v>
      </c>
      <c r="N419" s="38">
        <v>2.17</v>
      </c>
      <c r="O419" s="35" t="s">
        <v>12</v>
      </c>
    </row>
    <row r="420" spans="1:15" x14ac:dyDescent="0.25">
      <c r="A420" s="35">
        <v>1114545520</v>
      </c>
      <c r="B420" s="35" t="s">
        <v>3412</v>
      </c>
      <c r="C420" s="35">
        <v>2023</v>
      </c>
      <c r="D420" s="36">
        <v>45079.748368055552</v>
      </c>
      <c r="E420" s="37" t="s">
        <v>3059</v>
      </c>
      <c r="F420" s="37" t="s">
        <v>5971</v>
      </c>
      <c r="G420" s="37" t="s">
        <v>3726</v>
      </c>
      <c r="H420" s="35" t="s">
        <v>3419</v>
      </c>
      <c r="I420" s="35" t="s">
        <v>3530</v>
      </c>
      <c r="J420" s="38">
        <v>2.17</v>
      </c>
      <c r="K420" s="35">
        <v>1</v>
      </c>
      <c r="L420" s="38">
        <f t="shared" si="6"/>
        <v>2.17</v>
      </c>
      <c r="M420" s="35" t="s">
        <v>48</v>
      </c>
      <c r="N420" s="38">
        <v>2.17</v>
      </c>
      <c r="O420" s="35" t="s">
        <v>12</v>
      </c>
    </row>
    <row r="421" spans="1:15" x14ac:dyDescent="0.25">
      <c r="A421" s="35">
        <v>1157668500</v>
      </c>
      <c r="B421" s="35" t="s">
        <v>3527</v>
      </c>
      <c r="C421" s="35">
        <v>2024</v>
      </c>
      <c r="D421" s="36">
        <v>45441.594351851854</v>
      </c>
      <c r="E421" s="37" t="s">
        <v>2363</v>
      </c>
      <c r="F421" s="37" t="s">
        <v>5070</v>
      </c>
      <c r="G421" s="37" t="s">
        <v>4049</v>
      </c>
      <c r="H421" s="35" t="s">
        <v>3419</v>
      </c>
      <c r="I421" s="35" t="s">
        <v>3416</v>
      </c>
      <c r="J421" s="38">
        <v>2.1470207253886011</v>
      </c>
      <c r="K421" s="35">
        <v>1</v>
      </c>
      <c r="L421" s="38">
        <f t="shared" si="6"/>
        <v>2.1470207253886011</v>
      </c>
      <c r="M421" s="35" t="s">
        <v>48</v>
      </c>
      <c r="N421" s="38">
        <v>2.1470207253886011</v>
      </c>
      <c r="O421" s="35" t="s">
        <v>12</v>
      </c>
    </row>
    <row r="422" spans="1:15" x14ac:dyDescent="0.25">
      <c r="A422" s="35">
        <v>1247290743</v>
      </c>
      <c r="B422" s="35" t="s">
        <v>3890</v>
      </c>
      <c r="C422" s="35">
        <v>2025</v>
      </c>
      <c r="D422" s="36">
        <v>46012.964733796303</v>
      </c>
      <c r="E422" s="37" t="s">
        <v>590</v>
      </c>
      <c r="F422" s="37" t="s">
        <v>3910</v>
      </c>
      <c r="G422" s="37" t="s">
        <v>3867</v>
      </c>
      <c r="H422" s="35" t="s">
        <v>3419</v>
      </c>
      <c r="I422" s="35" t="s">
        <v>3416</v>
      </c>
      <c r="J422" s="38">
        <v>2.1008726003490401</v>
      </c>
      <c r="K422" s="35">
        <v>1</v>
      </c>
      <c r="L422" s="38">
        <f t="shared" si="6"/>
        <v>2.1008726003490401</v>
      </c>
      <c r="M422" s="35" t="s">
        <v>48</v>
      </c>
      <c r="N422" s="38">
        <v>2.1008726003490401</v>
      </c>
      <c r="O422" s="35" t="s">
        <v>12</v>
      </c>
    </row>
    <row r="423" spans="1:15" x14ac:dyDescent="0.25">
      <c r="A423" s="35">
        <v>1208671570</v>
      </c>
      <c r="B423" s="35" t="s">
        <v>3631</v>
      </c>
      <c r="C423" s="35">
        <v>2025</v>
      </c>
      <c r="D423" s="36">
        <v>45774.746574074074</v>
      </c>
      <c r="E423" s="37" t="s">
        <v>1239</v>
      </c>
      <c r="F423" s="37" t="s">
        <v>4353</v>
      </c>
      <c r="G423" s="37" t="s">
        <v>4059</v>
      </c>
      <c r="H423" s="35" t="s">
        <v>3419</v>
      </c>
      <c r="I423" s="35" t="s">
        <v>3416</v>
      </c>
      <c r="J423" s="38">
        <v>2.08</v>
      </c>
      <c r="K423" s="35">
        <v>1</v>
      </c>
      <c r="L423" s="38">
        <f t="shared" si="6"/>
        <v>2.08</v>
      </c>
      <c r="M423" s="35" t="s">
        <v>48</v>
      </c>
      <c r="N423" s="38">
        <v>2.08</v>
      </c>
      <c r="O423" s="35" t="s">
        <v>12</v>
      </c>
    </row>
    <row r="424" spans="1:15" x14ac:dyDescent="0.25">
      <c r="A424" s="35">
        <v>1147461254</v>
      </c>
      <c r="B424" s="35" t="s">
        <v>3721</v>
      </c>
      <c r="C424" s="35">
        <v>2024</v>
      </c>
      <c r="D424" s="36">
        <v>45350.062800925924</v>
      </c>
      <c r="E424" s="37" t="s">
        <v>2593</v>
      </c>
      <c r="F424" s="37" t="s">
        <v>5197</v>
      </c>
      <c r="G424" s="37" t="s">
        <v>3726</v>
      </c>
      <c r="H424" s="35" t="s">
        <v>3419</v>
      </c>
      <c r="I424" s="35" t="s">
        <v>3530</v>
      </c>
      <c r="J424" s="38">
        <v>2.02</v>
      </c>
      <c r="K424" s="35">
        <v>1</v>
      </c>
      <c r="L424" s="38">
        <f t="shared" si="6"/>
        <v>2.02</v>
      </c>
      <c r="M424" s="35" t="s">
        <v>48</v>
      </c>
      <c r="N424" s="38">
        <v>2.02</v>
      </c>
      <c r="O424" s="35" t="s">
        <v>12</v>
      </c>
    </row>
    <row r="425" spans="1:15" ht="30" x14ac:dyDescent="0.25">
      <c r="A425" s="35">
        <v>1273923257</v>
      </c>
      <c r="B425" s="35" t="s">
        <v>3412</v>
      </c>
      <c r="C425" s="35">
        <v>2026</v>
      </c>
      <c r="D425" s="36">
        <v>46177.592962962961</v>
      </c>
      <c r="E425" s="37" t="s">
        <v>299</v>
      </c>
      <c r="F425" s="37" t="s">
        <v>3519</v>
      </c>
      <c r="G425" s="37" t="s">
        <v>3520</v>
      </c>
      <c r="H425" s="35" t="s">
        <v>3419</v>
      </c>
      <c r="I425" s="35" t="s">
        <v>3416</v>
      </c>
      <c r="J425" s="38">
        <v>1.95</v>
      </c>
      <c r="K425" s="35">
        <v>1</v>
      </c>
      <c r="L425" s="38">
        <f t="shared" si="6"/>
        <v>1.95</v>
      </c>
      <c r="M425" s="35" t="s">
        <v>48</v>
      </c>
      <c r="N425" s="38">
        <v>1.95</v>
      </c>
      <c r="O425" s="35" t="s">
        <v>12</v>
      </c>
    </row>
    <row r="426" spans="1:15" x14ac:dyDescent="0.25">
      <c r="A426" s="35">
        <v>1274354305</v>
      </c>
      <c r="B426" s="35" t="s">
        <v>3527</v>
      </c>
      <c r="C426" s="35">
        <v>2026</v>
      </c>
      <c r="D426" s="36">
        <v>46169.187407407408</v>
      </c>
      <c r="E426" s="37" t="s">
        <v>296</v>
      </c>
      <c r="F426" s="37" t="s">
        <v>3532</v>
      </c>
      <c r="G426" s="37" t="s">
        <v>3533</v>
      </c>
      <c r="H426" s="35" t="s">
        <v>3419</v>
      </c>
      <c r="I426" s="35" t="s">
        <v>3453</v>
      </c>
      <c r="J426" s="38">
        <v>1.95</v>
      </c>
      <c r="K426" s="35">
        <v>1</v>
      </c>
      <c r="L426" s="38">
        <f t="shared" si="6"/>
        <v>1.95</v>
      </c>
      <c r="M426" s="35" t="s">
        <v>48</v>
      </c>
      <c r="N426" s="38">
        <v>1.95</v>
      </c>
      <c r="O426" s="35" t="s">
        <v>12</v>
      </c>
    </row>
    <row r="427" spans="1:15" x14ac:dyDescent="0.25">
      <c r="A427" s="35">
        <v>1276609179</v>
      </c>
      <c r="B427" s="35" t="s">
        <v>3527</v>
      </c>
      <c r="C427" s="35">
        <v>2026</v>
      </c>
      <c r="D427" s="36">
        <v>46167.459317129629</v>
      </c>
      <c r="E427" s="37" t="s">
        <v>199</v>
      </c>
      <c r="F427" s="37" t="s">
        <v>3550</v>
      </c>
      <c r="G427" s="37" t="s">
        <v>3551</v>
      </c>
      <c r="H427" s="35" t="s">
        <v>3419</v>
      </c>
      <c r="I427" s="35" t="s">
        <v>3416</v>
      </c>
      <c r="J427" s="38">
        <v>0.97499999999999998</v>
      </c>
      <c r="K427" s="35">
        <v>2</v>
      </c>
      <c r="L427" s="38">
        <f t="shared" si="6"/>
        <v>1.95</v>
      </c>
      <c r="M427" s="35" t="s">
        <v>48</v>
      </c>
      <c r="N427" s="38">
        <v>1.95</v>
      </c>
      <c r="O427" s="35" t="s">
        <v>12</v>
      </c>
    </row>
    <row r="428" spans="1:15" x14ac:dyDescent="0.25">
      <c r="A428" s="35">
        <v>1263537193</v>
      </c>
      <c r="B428" s="35" t="s">
        <v>3631</v>
      </c>
      <c r="C428" s="35">
        <v>2026</v>
      </c>
      <c r="D428" s="36">
        <v>46117.595578703702</v>
      </c>
      <c r="E428" s="37" t="s">
        <v>333</v>
      </c>
      <c r="F428" s="37" t="s">
        <v>3641</v>
      </c>
      <c r="G428" s="37" t="s">
        <v>3621</v>
      </c>
      <c r="H428" s="35" t="s">
        <v>3419</v>
      </c>
      <c r="I428" s="35" t="s">
        <v>3416</v>
      </c>
      <c r="J428" s="38">
        <v>1.95</v>
      </c>
      <c r="K428" s="35">
        <v>1</v>
      </c>
      <c r="L428" s="38">
        <f t="shared" si="6"/>
        <v>1.95</v>
      </c>
      <c r="M428" s="35" t="s">
        <v>48</v>
      </c>
      <c r="N428" s="38">
        <v>1.95</v>
      </c>
      <c r="O428" s="35" t="s">
        <v>12</v>
      </c>
    </row>
    <row r="429" spans="1:15" x14ac:dyDescent="0.25">
      <c r="A429" s="35">
        <v>1238166844</v>
      </c>
      <c r="B429" s="35" t="s">
        <v>3968</v>
      </c>
      <c r="C429" s="35">
        <v>2025</v>
      </c>
      <c r="D429" s="36">
        <v>45967.001134259262</v>
      </c>
      <c r="E429" s="37" t="s">
        <v>832</v>
      </c>
      <c r="F429" s="37" t="s">
        <v>4065</v>
      </c>
      <c r="G429" s="37" t="s">
        <v>4066</v>
      </c>
      <c r="H429" s="35" t="s">
        <v>3419</v>
      </c>
      <c r="I429" s="35" t="s">
        <v>3416</v>
      </c>
      <c r="J429" s="38">
        <v>0.96202072538860106</v>
      </c>
      <c r="K429" s="35">
        <v>2</v>
      </c>
      <c r="L429" s="38">
        <f t="shared" si="6"/>
        <v>1.9240414507772021</v>
      </c>
      <c r="M429" s="35" t="s">
        <v>48</v>
      </c>
      <c r="N429" s="38">
        <v>1.9240414507772021</v>
      </c>
      <c r="O429" s="35" t="s">
        <v>12</v>
      </c>
    </row>
    <row r="430" spans="1:15" x14ac:dyDescent="0.25">
      <c r="A430" s="35">
        <v>1250941116</v>
      </c>
      <c r="B430" s="35" t="s">
        <v>3761</v>
      </c>
      <c r="C430" s="35">
        <v>2026</v>
      </c>
      <c r="D430" s="36">
        <v>46035.022962962961</v>
      </c>
      <c r="E430" s="37" t="s">
        <v>503</v>
      </c>
      <c r="F430" s="37" t="s">
        <v>3803</v>
      </c>
      <c r="G430" s="37" t="s">
        <v>3751</v>
      </c>
      <c r="H430" s="35" t="s">
        <v>3419</v>
      </c>
      <c r="I430" s="35" t="s">
        <v>3416</v>
      </c>
      <c r="J430" s="38">
        <v>1.9</v>
      </c>
      <c r="K430" s="35">
        <v>1</v>
      </c>
      <c r="L430" s="38">
        <f t="shared" si="6"/>
        <v>1.9</v>
      </c>
      <c r="M430" s="35" t="s">
        <v>48</v>
      </c>
      <c r="N430" s="38">
        <v>1.9</v>
      </c>
      <c r="O430" s="35" t="s">
        <v>12</v>
      </c>
    </row>
    <row r="431" spans="1:15" x14ac:dyDescent="0.25">
      <c r="A431" s="35">
        <v>1248289480</v>
      </c>
      <c r="B431" s="35" t="s">
        <v>3761</v>
      </c>
      <c r="C431" s="35">
        <v>2026</v>
      </c>
      <c r="D431" s="36">
        <v>46037.838587962964</v>
      </c>
      <c r="E431" s="37" t="s">
        <v>562</v>
      </c>
      <c r="F431" s="37" t="s">
        <v>3818</v>
      </c>
      <c r="G431" s="37" t="s">
        <v>3718</v>
      </c>
      <c r="H431" s="35" t="s">
        <v>3415</v>
      </c>
      <c r="I431" s="35" t="s">
        <v>3416</v>
      </c>
      <c r="J431" s="38">
        <v>0.47166666666666668</v>
      </c>
      <c r="K431" s="35">
        <v>4</v>
      </c>
      <c r="L431" s="38">
        <f t="shared" si="6"/>
        <v>1.8866666666666667</v>
      </c>
      <c r="M431" s="35" t="s">
        <v>48</v>
      </c>
      <c r="N431" s="38">
        <v>1.8866666666666667</v>
      </c>
      <c r="O431" s="35" t="s">
        <v>12</v>
      </c>
    </row>
    <row r="432" spans="1:15" x14ac:dyDescent="0.25">
      <c r="A432" s="35">
        <v>1242114768</v>
      </c>
      <c r="B432" s="35" t="s">
        <v>3968</v>
      </c>
      <c r="C432" s="35">
        <v>2025</v>
      </c>
      <c r="D432" s="36">
        <v>45989.871377314812</v>
      </c>
      <c r="E432" s="37" t="s">
        <v>726</v>
      </c>
      <c r="F432" s="37" t="s">
        <v>3976</v>
      </c>
      <c r="G432" s="37" t="s">
        <v>3551</v>
      </c>
      <c r="H432" s="35" t="s">
        <v>3415</v>
      </c>
      <c r="I432" s="35" t="s">
        <v>3416</v>
      </c>
      <c r="J432" s="38">
        <v>0.47166666666666668</v>
      </c>
      <c r="K432" s="35">
        <v>4</v>
      </c>
      <c r="L432" s="38">
        <f t="shared" si="6"/>
        <v>1.8866666666666667</v>
      </c>
      <c r="M432" s="35" t="s">
        <v>48</v>
      </c>
      <c r="N432" s="38">
        <v>1.8866666666666667</v>
      </c>
      <c r="O432" s="35" t="s">
        <v>12</v>
      </c>
    </row>
    <row r="433" spans="1:15" x14ac:dyDescent="0.25">
      <c r="A433" s="35">
        <v>1194954076</v>
      </c>
      <c r="B433" s="35" t="s">
        <v>3721</v>
      </c>
      <c r="C433" s="35">
        <v>2025</v>
      </c>
      <c r="D433" s="36">
        <v>45691.932106481479</v>
      </c>
      <c r="E433" s="37" t="s">
        <v>1486</v>
      </c>
      <c r="F433" s="37" t="s">
        <v>4630</v>
      </c>
      <c r="G433" s="37" t="s">
        <v>3652</v>
      </c>
      <c r="H433" s="35" t="s">
        <v>3419</v>
      </c>
      <c r="I433" s="35" t="s">
        <v>3530</v>
      </c>
      <c r="J433" s="38">
        <v>1.8660550458715599</v>
      </c>
      <c r="K433" s="35">
        <v>1</v>
      </c>
      <c r="L433" s="38">
        <f t="shared" si="6"/>
        <v>1.8660550458715599</v>
      </c>
      <c r="M433" s="35" t="s">
        <v>48</v>
      </c>
      <c r="N433" s="38">
        <v>1.8660550458715599</v>
      </c>
      <c r="O433" s="35" t="s">
        <v>12</v>
      </c>
    </row>
    <row r="434" spans="1:15" x14ac:dyDescent="0.25">
      <c r="A434" s="35">
        <v>1245357481</v>
      </c>
      <c r="B434" s="35" t="s">
        <v>3761</v>
      </c>
      <c r="C434" s="35">
        <v>2026</v>
      </c>
      <c r="D434" s="36">
        <v>46040.368807870371</v>
      </c>
      <c r="E434" s="37" t="s">
        <v>636</v>
      </c>
      <c r="F434" s="37" t="s">
        <v>3812</v>
      </c>
      <c r="G434" s="37" t="s">
        <v>3813</v>
      </c>
      <c r="H434" s="35" t="s">
        <v>3419</v>
      </c>
      <c r="I434" s="35" t="s">
        <v>3416</v>
      </c>
      <c r="J434" s="38">
        <v>0.91500000000000004</v>
      </c>
      <c r="K434" s="35">
        <v>2</v>
      </c>
      <c r="L434" s="38">
        <f t="shared" si="6"/>
        <v>1.83</v>
      </c>
      <c r="M434" s="35" t="s">
        <v>48</v>
      </c>
      <c r="N434" s="38">
        <v>1.83</v>
      </c>
      <c r="O434" s="35" t="s">
        <v>12</v>
      </c>
    </row>
    <row r="435" spans="1:15" x14ac:dyDescent="0.25">
      <c r="A435" s="35">
        <v>1246502519</v>
      </c>
      <c r="B435" s="35" t="s">
        <v>3890</v>
      </c>
      <c r="C435" s="35">
        <v>2025</v>
      </c>
      <c r="D435" s="36">
        <v>46007.604247685187</v>
      </c>
      <c r="E435" s="37" t="s">
        <v>614</v>
      </c>
      <c r="F435" s="37" t="s">
        <v>3920</v>
      </c>
      <c r="G435" s="37" t="s">
        <v>3921</v>
      </c>
      <c r="H435" s="35" t="s">
        <v>3419</v>
      </c>
      <c r="I435" s="35" t="s">
        <v>3416</v>
      </c>
      <c r="J435" s="38">
        <v>1.83</v>
      </c>
      <c r="K435" s="35">
        <v>1</v>
      </c>
      <c r="L435" s="38">
        <f t="shared" si="6"/>
        <v>1.83</v>
      </c>
      <c r="M435" s="35" t="s">
        <v>48</v>
      </c>
      <c r="N435" s="38">
        <v>1.83</v>
      </c>
      <c r="O435" s="35" t="s">
        <v>12</v>
      </c>
    </row>
    <row r="436" spans="1:15" x14ac:dyDescent="0.25">
      <c r="A436" s="35">
        <v>1208359683</v>
      </c>
      <c r="B436" s="35" t="s">
        <v>3631</v>
      </c>
      <c r="C436" s="35">
        <v>2025</v>
      </c>
      <c r="D436" s="36">
        <v>45772.771666666667</v>
      </c>
      <c r="E436" s="37" t="s">
        <v>1245</v>
      </c>
      <c r="F436" s="37" t="s">
        <v>4356</v>
      </c>
      <c r="G436" s="37" t="s">
        <v>3699</v>
      </c>
      <c r="H436" s="35" t="s">
        <v>3419</v>
      </c>
      <c r="I436" s="35" t="s">
        <v>3416</v>
      </c>
      <c r="J436" s="38">
        <v>1.83</v>
      </c>
      <c r="K436" s="35">
        <v>1</v>
      </c>
      <c r="L436" s="38">
        <f t="shared" si="6"/>
        <v>1.83</v>
      </c>
      <c r="M436" s="35" t="s">
        <v>48</v>
      </c>
      <c r="N436" s="38">
        <v>1.83</v>
      </c>
      <c r="O436" s="35" t="s">
        <v>12</v>
      </c>
    </row>
    <row r="437" spans="1:15" x14ac:dyDescent="0.25">
      <c r="A437" s="35">
        <v>1241668804</v>
      </c>
      <c r="B437" s="35" t="s">
        <v>3968</v>
      </c>
      <c r="C437" s="35">
        <v>2025</v>
      </c>
      <c r="D437" s="36">
        <v>45985.619884259257</v>
      </c>
      <c r="E437" s="37" t="s">
        <v>742</v>
      </c>
      <c r="F437" s="37" t="s">
        <v>3985</v>
      </c>
      <c r="G437" s="37" t="s">
        <v>3551</v>
      </c>
      <c r="H437" s="35" t="s">
        <v>3419</v>
      </c>
      <c r="I437" s="35" t="s">
        <v>3416</v>
      </c>
      <c r="J437" s="38">
        <v>0.57704402515723274</v>
      </c>
      <c r="K437" s="35">
        <v>3</v>
      </c>
      <c r="L437" s="38">
        <f t="shared" si="6"/>
        <v>1.7311320754716983</v>
      </c>
      <c r="M437" s="35" t="s">
        <v>48</v>
      </c>
      <c r="N437" s="38">
        <v>1.7311320754716981</v>
      </c>
      <c r="O437" s="35" t="s">
        <v>12</v>
      </c>
    </row>
    <row r="438" spans="1:15" x14ac:dyDescent="0.25">
      <c r="A438" s="35">
        <v>1185772848</v>
      </c>
      <c r="B438" s="35" t="s">
        <v>3890</v>
      </c>
      <c r="C438" s="35">
        <v>2024</v>
      </c>
      <c r="D438" s="36">
        <v>45632.122939814813</v>
      </c>
      <c r="E438" s="37" t="s">
        <v>1697</v>
      </c>
      <c r="F438" s="37" t="s">
        <v>4742</v>
      </c>
      <c r="G438" s="37" t="s">
        <v>3973</v>
      </c>
      <c r="H438" s="35" t="s">
        <v>3419</v>
      </c>
      <c r="I438" s="35" t="s">
        <v>3530</v>
      </c>
      <c r="J438" s="38">
        <v>1.72</v>
      </c>
      <c r="K438" s="35">
        <v>1</v>
      </c>
      <c r="L438" s="38">
        <f t="shared" si="6"/>
        <v>1.72</v>
      </c>
      <c r="M438" s="35" t="s">
        <v>48</v>
      </c>
      <c r="N438" s="38">
        <v>1.72</v>
      </c>
      <c r="O438" s="35" t="s">
        <v>12</v>
      </c>
    </row>
    <row r="439" spans="1:15" x14ac:dyDescent="0.25">
      <c r="A439" s="35">
        <v>1178326480</v>
      </c>
      <c r="B439" s="35" t="s">
        <v>4070</v>
      </c>
      <c r="C439" s="35">
        <v>2024</v>
      </c>
      <c r="D439" s="36">
        <v>45579.611516203702</v>
      </c>
      <c r="E439" s="37" t="s">
        <v>1791</v>
      </c>
      <c r="F439" s="37" t="s">
        <v>4791</v>
      </c>
      <c r="G439" s="37" t="s">
        <v>4766</v>
      </c>
      <c r="H439" s="35" t="s">
        <v>3419</v>
      </c>
      <c r="I439" s="35" t="s">
        <v>3530</v>
      </c>
      <c r="J439" s="38">
        <v>1.72</v>
      </c>
      <c r="K439" s="35">
        <v>1</v>
      </c>
      <c r="L439" s="38">
        <f t="shared" si="6"/>
        <v>1.72</v>
      </c>
      <c r="M439" s="35" t="s">
        <v>48</v>
      </c>
      <c r="N439" s="38">
        <v>1.72</v>
      </c>
      <c r="O439" s="35" t="s">
        <v>12</v>
      </c>
    </row>
    <row r="440" spans="1:15" x14ac:dyDescent="0.25">
      <c r="A440" s="35">
        <v>1154047676</v>
      </c>
      <c r="B440" s="35" t="s">
        <v>3631</v>
      </c>
      <c r="C440" s="35">
        <v>2024</v>
      </c>
      <c r="D440" s="36">
        <v>45401.856585648151</v>
      </c>
      <c r="E440" s="37" t="s">
        <v>2472</v>
      </c>
      <c r="F440" s="37" t="s">
        <v>5145</v>
      </c>
      <c r="G440" s="37" t="s">
        <v>4450</v>
      </c>
      <c r="H440" s="35" t="s">
        <v>3419</v>
      </c>
      <c r="I440" s="35" t="s">
        <v>3416</v>
      </c>
      <c r="J440" s="38">
        <v>1.72</v>
      </c>
      <c r="K440" s="35">
        <v>1</v>
      </c>
      <c r="L440" s="38">
        <f t="shared" si="6"/>
        <v>1.72</v>
      </c>
      <c r="M440" s="35" t="s">
        <v>48</v>
      </c>
      <c r="N440" s="38">
        <v>1.72</v>
      </c>
      <c r="O440" s="35" t="s">
        <v>12</v>
      </c>
    </row>
    <row r="441" spans="1:15" x14ac:dyDescent="0.25">
      <c r="A441" s="35">
        <v>1150911053</v>
      </c>
      <c r="B441" s="35" t="s">
        <v>3646</v>
      </c>
      <c r="C441" s="35">
        <v>2024</v>
      </c>
      <c r="D441" s="36">
        <v>45377.517395833333</v>
      </c>
      <c r="E441" s="37" t="s">
        <v>2539</v>
      </c>
      <c r="F441" s="37" t="s">
        <v>5167</v>
      </c>
      <c r="G441" s="37" t="s">
        <v>3652</v>
      </c>
      <c r="H441" s="35" t="s">
        <v>3419</v>
      </c>
      <c r="I441" s="35" t="s">
        <v>3416</v>
      </c>
      <c r="J441" s="38">
        <v>1.72</v>
      </c>
      <c r="K441" s="35">
        <v>1</v>
      </c>
      <c r="L441" s="38">
        <f t="shared" si="6"/>
        <v>1.72</v>
      </c>
      <c r="M441" s="35" t="s">
        <v>48</v>
      </c>
      <c r="N441" s="38">
        <v>1.72</v>
      </c>
      <c r="O441" s="35" t="s">
        <v>12</v>
      </c>
    </row>
    <row r="442" spans="1:15" x14ac:dyDescent="0.25">
      <c r="A442" s="35">
        <v>1145804280</v>
      </c>
      <c r="B442" s="35" t="s">
        <v>3721</v>
      </c>
      <c r="C442" s="35">
        <v>2024</v>
      </c>
      <c r="D442" s="36">
        <v>45336.939675925933</v>
      </c>
      <c r="E442" s="37" t="s">
        <v>2619</v>
      </c>
      <c r="F442" s="37" t="s">
        <v>5230</v>
      </c>
      <c r="G442" s="37" t="s">
        <v>4409</v>
      </c>
      <c r="H442" s="35" t="s">
        <v>3419</v>
      </c>
      <c r="I442" s="35" t="s">
        <v>3530</v>
      </c>
      <c r="J442" s="38">
        <v>1.72</v>
      </c>
      <c r="K442" s="35">
        <v>1</v>
      </c>
      <c r="L442" s="38">
        <f t="shared" si="6"/>
        <v>1.72</v>
      </c>
      <c r="M442" s="35" t="s">
        <v>48</v>
      </c>
      <c r="N442" s="38">
        <v>1.72</v>
      </c>
      <c r="O442" s="35" t="s">
        <v>12</v>
      </c>
    </row>
    <row r="443" spans="1:15" x14ac:dyDescent="0.25">
      <c r="A443" s="35">
        <v>1282631998</v>
      </c>
      <c r="B443" s="35" t="s">
        <v>3412</v>
      </c>
      <c r="C443" s="35">
        <v>2026</v>
      </c>
      <c r="D443" s="36">
        <v>46189.490752314807</v>
      </c>
      <c r="E443" s="37" t="s">
        <v>58</v>
      </c>
      <c r="F443" s="37" t="s">
        <v>3461</v>
      </c>
      <c r="G443" s="37" t="s">
        <v>3462</v>
      </c>
      <c r="H443" s="35" t="s">
        <v>3419</v>
      </c>
      <c r="I443" s="35" t="s">
        <v>3416</v>
      </c>
      <c r="J443" s="38">
        <v>1.7</v>
      </c>
      <c r="K443" s="35">
        <v>1</v>
      </c>
      <c r="L443" s="38">
        <f t="shared" si="6"/>
        <v>1.7</v>
      </c>
      <c r="M443" s="35" t="s">
        <v>48</v>
      </c>
      <c r="N443" s="38">
        <v>1.7</v>
      </c>
      <c r="O443" s="35" t="s">
        <v>12</v>
      </c>
    </row>
    <row r="444" spans="1:15" x14ac:dyDescent="0.25">
      <c r="A444" s="35">
        <v>1280248997</v>
      </c>
      <c r="B444" s="35" t="s">
        <v>3412</v>
      </c>
      <c r="C444" s="35">
        <v>2026</v>
      </c>
      <c r="D444" s="36">
        <v>46178.387569444443</v>
      </c>
      <c r="E444" s="37" t="s">
        <v>141</v>
      </c>
      <c r="F444" s="37" t="s">
        <v>3517</v>
      </c>
      <c r="G444" s="37" t="s">
        <v>3518</v>
      </c>
      <c r="H444" s="35" t="s">
        <v>3419</v>
      </c>
      <c r="I444" s="35" t="s">
        <v>3416</v>
      </c>
      <c r="J444" s="38">
        <v>1.7</v>
      </c>
      <c r="K444" s="35">
        <v>1</v>
      </c>
      <c r="L444" s="38">
        <f t="shared" si="6"/>
        <v>1.7</v>
      </c>
      <c r="M444" s="35" t="s">
        <v>48</v>
      </c>
      <c r="N444" s="38">
        <v>1.7</v>
      </c>
      <c r="O444" s="35" t="s">
        <v>12</v>
      </c>
    </row>
    <row r="445" spans="1:15" x14ac:dyDescent="0.25">
      <c r="A445" s="35">
        <v>1275996078</v>
      </c>
      <c r="B445" s="35" t="s">
        <v>3527</v>
      </c>
      <c r="C445" s="35">
        <v>2026</v>
      </c>
      <c r="D445" s="36">
        <v>46170.765706018516</v>
      </c>
      <c r="E445" s="37" t="s">
        <v>282</v>
      </c>
      <c r="F445" s="37" t="s">
        <v>3528</v>
      </c>
      <c r="G445" s="37" t="s">
        <v>3529</v>
      </c>
      <c r="H445" s="35" t="s">
        <v>3419</v>
      </c>
      <c r="I445" s="35" t="s">
        <v>3530</v>
      </c>
      <c r="J445" s="38">
        <v>1.7</v>
      </c>
      <c r="K445" s="35">
        <v>1</v>
      </c>
      <c r="L445" s="38">
        <f t="shared" si="6"/>
        <v>1.7</v>
      </c>
      <c r="M445" s="35" t="s">
        <v>48</v>
      </c>
      <c r="N445" s="38">
        <v>1.7</v>
      </c>
      <c r="O445" s="35" t="s">
        <v>12</v>
      </c>
    </row>
    <row r="446" spans="1:15" ht="30" x14ac:dyDescent="0.25">
      <c r="A446" s="35">
        <v>1121864735</v>
      </c>
      <c r="B446" s="35" t="s">
        <v>4158</v>
      </c>
      <c r="C446" s="35">
        <v>2023</v>
      </c>
      <c r="D446" s="36">
        <v>45139.472013888888</v>
      </c>
      <c r="E446" s="37" t="s">
        <v>2932</v>
      </c>
      <c r="F446" s="37" t="s">
        <v>5670</v>
      </c>
      <c r="G446" s="37" t="s">
        <v>4264</v>
      </c>
      <c r="H446" s="35" t="s">
        <v>3419</v>
      </c>
      <c r="I446" s="35" t="s">
        <v>3416</v>
      </c>
      <c r="J446" s="38">
        <v>1.68</v>
      </c>
      <c r="K446" s="35">
        <v>1</v>
      </c>
      <c r="L446" s="38">
        <f t="shared" si="6"/>
        <v>1.68</v>
      </c>
      <c r="M446" s="35" t="s">
        <v>48</v>
      </c>
      <c r="N446" s="38">
        <v>1.68</v>
      </c>
      <c r="O446" s="35" t="s">
        <v>12</v>
      </c>
    </row>
    <row r="447" spans="1:15" x14ac:dyDescent="0.25">
      <c r="A447" s="35">
        <v>1250212850</v>
      </c>
      <c r="B447" s="35" t="s">
        <v>3761</v>
      </c>
      <c r="C447" s="35">
        <v>2026</v>
      </c>
      <c r="D447" s="36">
        <v>46042.813969907409</v>
      </c>
      <c r="E447" s="37" t="s">
        <v>511</v>
      </c>
      <c r="F447" s="37" t="s">
        <v>3798</v>
      </c>
      <c r="G447" s="37" t="s">
        <v>3668</v>
      </c>
      <c r="H447" s="35" t="s">
        <v>3419</v>
      </c>
      <c r="I447" s="35" t="s">
        <v>3416</v>
      </c>
      <c r="J447" s="38">
        <v>0.55492424242424243</v>
      </c>
      <c r="K447" s="35">
        <v>3</v>
      </c>
      <c r="L447" s="38">
        <f t="shared" si="6"/>
        <v>1.6647727272727273</v>
      </c>
      <c r="M447" s="35" t="s">
        <v>48</v>
      </c>
      <c r="N447" s="38">
        <v>1.6647727272727273</v>
      </c>
      <c r="O447" s="35" t="s">
        <v>12</v>
      </c>
    </row>
    <row r="448" spans="1:15" x14ac:dyDescent="0.25">
      <c r="A448" s="35">
        <v>1157668500</v>
      </c>
      <c r="B448" s="35" t="s">
        <v>3527</v>
      </c>
      <c r="C448" s="35">
        <v>2024</v>
      </c>
      <c r="D448" s="36">
        <v>45441.594351851854</v>
      </c>
      <c r="E448" s="37" t="s">
        <v>2363</v>
      </c>
      <c r="F448" s="37" t="s">
        <v>5068</v>
      </c>
      <c r="G448" s="37" t="s">
        <v>4860</v>
      </c>
      <c r="H448" s="35" t="s">
        <v>3419</v>
      </c>
      <c r="I448" s="35" t="s">
        <v>3416</v>
      </c>
      <c r="J448" s="38">
        <v>1.6515544041450778</v>
      </c>
      <c r="K448" s="35">
        <v>1</v>
      </c>
      <c r="L448" s="38">
        <f t="shared" si="6"/>
        <v>1.6515544041450778</v>
      </c>
      <c r="M448" s="35" t="s">
        <v>48</v>
      </c>
      <c r="N448" s="38">
        <v>1.6515544041450778</v>
      </c>
      <c r="O448" s="35" t="s">
        <v>12</v>
      </c>
    </row>
    <row r="449" spans="1:15" x14ac:dyDescent="0.25">
      <c r="A449" s="35">
        <v>1262419985</v>
      </c>
      <c r="B449" s="35" t="s">
        <v>3646</v>
      </c>
      <c r="C449" s="35">
        <v>2026</v>
      </c>
      <c r="D449" s="36">
        <v>46098.444849537038</v>
      </c>
      <c r="E449" s="37" t="s">
        <v>294</v>
      </c>
      <c r="F449" s="37" t="s">
        <v>3665</v>
      </c>
      <c r="G449" s="37" t="s">
        <v>3666</v>
      </c>
      <c r="H449" s="35" t="s">
        <v>3419</v>
      </c>
      <c r="I449" s="35" t="s">
        <v>3416</v>
      </c>
      <c r="J449" s="38">
        <v>0.54632587859424919</v>
      </c>
      <c r="K449" s="35">
        <v>3</v>
      </c>
      <c r="L449" s="38">
        <f t="shared" si="6"/>
        <v>1.6389776357827475</v>
      </c>
      <c r="M449" s="35" t="s">
        <v>48</v>
      </c>
      <c r="N449" s="38">
        <v>1.6389776357827475</v>
      </c>
      <c r="O449" s="35" t="s">
        <v>12</v>
      </c>
    </row>
    <row r="450" spans="1:15" x14ac:dyDescent="0.25">
      <c r="A450" s="35">
        <v>1262419985</v>
      </c>
      <c r="B450" s="35" t="s">
        <v>3646</v>
      </c>
      <c r="C450" s="35">
        <v>2026</v>
      </c>
      <c r="D450" s="36">
        <v>46092.488171296303</v>
      </c>
      <c r="E450" s="37" t="s">
        <v>294</v>
      </c>
      <c r="F450" s="37" t="s">
        <v>3688</v>
      </c>
      <c r="G450" s="37" t="s">
        <v>3689</v>
      </c>
      <c r="H450" s="35" t="s">
        <v>3419</v>
      </c>
      <c r="I450" s="35" t="s">
        <v>3416</v>
      </c>
      <c r="J450" s="38">
        <v>0.80943775100401605</v>
      </c>
      <c r="K450" s="35">
        <v>2</v>
      </c>
      <c r="L450" s="38">
        <f t="shared" ref="L450:L513" si="7">J450*K450</f>
        <v>1.6188755020080321</v>
      </c>
      <c r="M450" s="35" t="s">
        <v>48</v>
      </c>
      <c r="N450" s="38">
        <v>1.6188755020080321</v>
      </c>
      <c r="O450" s="35" t="s">
        <v>12</v>
      </c>
    </row>
    <row r="451" spans="1:15" x14ac:dyDescent="0.25">
      <c r="A451" s="35">
        <v>1160773693</v>
      </c>
      <c r="B451" s="35" t="s">
        <v>3412</v>
      </c>
      <c r="C451" s="35">
        <v>2024</v>
      </c>
      <c r="D451" s="36">
        <v>45463.427719907406</v>
      </c>
      <c r="E451" s="37" t="s">
        <v>2272</v>
      </c>
      <c r="F451" s="37" t="s">
        <v>5003</v>
      </c>
      <c r="G451" s="37" t="s">
        <v>3810</v>
      </c>
      <c r="H451" s="35" t="s">
        <v>3419</v>
      </c>
      <c r="I451" s="35" t="s">
        <v>3416</v>
      </c>
      <c r="J451" s="38">
        <v>1.6119266055045871</v>
      </c>
      <c r="K451" s="35">
        <v>1</v>
      </c>
      <c r="L451" s="38">
        <f t="shared" si="7"/>
        <v>1.6119266055045871</v>
      </c>
      <c r="M451" s="35" t="s">
        <v>48</v>
      </c>
      <c r="N451" s="38">
        <v>1.6119266055045871</v>
      </c>
      <c r="O451" s="35" t="s">
        <v>12</v>
      </c>
    </row>
    <row r="452" spans="1:15" x14ac:dyDescent="0.25">
      <c r="A452" s="35">
        <v>1164075103</v>
      </c>
      <c r="B452" s="35" t="s">
        <v>4199</v>
      </c>
      <c r="C452" s="35">
        <v>2024</v>
      </c>
      <c r="D452" s="36">
        <v>45482.769826388889</v>
      </c>
      <c r="E452" s="37" t="s">
        <v>2163</v>
      </c>
      <c r="F452" s="37" t="s">
        <v>4961</v>
      </c>
      <c r="G452" s="37" t="s">
        <v>3551</v>
      </c>
      <c r="H452" s="35" t="s">
        <v>3415</v>
      </c>
      <c r="I452" s="35" t="s">
        <v>3416</v>
      </c>
      <c r="J452" s="38">
        <v>0.40048487237607178</v>
      </c>
      <c r="K452" s="35">
        <v>4</v>
      </c>
      <c r="L452" s="38">
        <f t="shared" si="7"/>
        <v>1.6019394895042871</v>
      </c>
      <c r="M452" s="35" t="s">
        <v>48</v>
      </c>
      <c r="N452" s="38">
        <v>1.6019394895042871</v>
      </c>
      <c r="O452" s="35" t="s">
        <v>12</v>
      </c>
    </row>
    <row r="453" spans="1:15" x14ac:dyDescent="0.25">
      <c r="A453" s="35">
        <v>1247427520</v>
      </c>
      <c r="B453" s="35" t="s">
        <v>3890</v>
      </c>
      <c r="C453" s="35">
        <v>2025</v>
      </c>
      <c r="D453" s="36">
        <v>46013.905682870369</v>
      </c>
      <c r="E453" s="37" t="s">
        <v>583</v>
      </c>
      <c r="F453" s="37" t="s">
        <v>3902</v>
      </c>
      <c r="G453" s="37" t="s">
        <v>3903</v>
      </c>
      <c r="H453" s="35" t="s">
        <v>3419</v>
      </c>
      <c r="I453" s="35" t="s">
        <v>3416</v>
      </c>
      <c r="J453" s="38">
        <v>1.58</v>
      </c>
      <c r="K453" s="35">
        <v>1</v>
      </c>
      <c r="L453" s="38">
        <f t="shared" si="7"/>
        <v>1.58</v>
      </c>
      <c r="M453" s="35" t="s">
        <v>48</v>
      </c>
      <c r="N453" s="38">
        <v>1.58</v>
      </c>
      <c r="O453" s="35" t="s">
        <v>12</v>
      </c>
    </row>
    <row r="454" spans="1:15" x14ac:dyDescent="0.25">
      <c r="A454" s="35">
        <v>1189233462</v>
      </c>
      <c r="B454" s="35" t="s">
        <v>3890</v>
      </c>
      <c r="C454" s="35">
        <v>2024</v>
      </c>
      <c r="D454" s="36">
        <v>45656.909062500003</v>
      </c>
      <c r="E454" s="37" t="s">
        <v>1600</v>
      </c>
      <c r="F454" s="37" t="s">
        <v>3743</v>
      </c>
      <c r="G454" s="37" t="s">
        <v>4450</v>
      </c>
      <c r="H454" s="35" t="s">
        <v>3419</v>
      </c>
      <c r="I454" s="35" t="s">
        <v>3416</v>
      </c>
      <c r="J454" s="38">
        <v>1.53</v>
      </c>
      <c r="K454" s="35">
        <v>1</v>
      </c>
      <c r="L454" s="38">
        <f t="shared" si="7"/>
        <v>1.53</v>
      </c>
      <c r="M454" s="35" t="s">
        <v>48</v>
      </c>
      <c r="N454" s="38">
        <v>1.53</v>
      </c>
      <c r="O454" s="35" t="s">
        <v>12</v>
      </c>
    </row>
    <row r="455" spans="1:15" x14ac:dyDescent="0.25">
      <c r="A455" s="35" t="s">
        <v>1068</v>
      </c>
      <c r="B455" s="35" t="s">
        <v>4199</v>
      </c>
      <c r="C455" s="35">
        <v>2025</v>
      </c>
      <c r="D455" s="36">
        <v>45846</v>
      </c>
      <c r="E455" s="37" t="s">
        <v>1069</v>
      </c>
      <c r="F455" s="37" t="s">
        <v>3909</v>
      </c>
      <c r="G455" s="37" t="s">
        <v>3862</v>
      </c>
      <c r="H455" s="35" t="s">
        <v>3419</v>
      </c>
      <c r="I455" s="35" t="s">
        <v>4226</v>
      </c>
      <c r="J455" s="38">
        <v>0.5</v>
      </c>
      <c r="K455" s="35">
        <v>3</v>
      </c>
      <c r="L455" s="38">
        <f t="shared" si="7"/>
        <v>1.5</v>
      </c>
      <c r="M455" s="35" t="s">
        <v>48</v>
      </c>
      <c r="N455" s="38">
        <v>1.5</v>
      </c>
      <c r="O455" s="35" t="s">
        <v>12</v>
      </c>
    </row>
    <row r="456" spans="1:15" x14ac:dyDescent="0.25">
      <c r="A456" s="35">
        <v>1191858521</v>
      </c>
      <c r="B456" s="35" t="s">
        <v>3721</v>
      </c>
      <c r="C456" s="35">
        <v>2025</v>
      </c>
      <c r="D456" s="36">
        <v>45701.570659722223</v>
      </c>
      <c r="E456" s="37" t="s">
        <v>1557</v>
      </c>
      <c r="F456" s="37" t="s">
        <v>4614</v>
      </c>
      <c r="G456" s="37" t="s">
        <v>3551</v>
      </c>
      <c r="H456" s="35" t="s">
        <v>3419</v>
      </c>
      <c r="I456" s="35" t="s">
        <v>3416</v>
      </c>
      <c r="J456" s="38">
        <v>0.48510263929618769</v>
      </c>
      <c r="K456" s="35">
        <v>3</v>
      </c>
      <c r="L456" s="38">
        <f t="shared" si="7"/>
        <v>1.4553079178885631</v>
      </c>
      <c r="M456" s="35" t="s">
        <v>48</v>
      </c>
      <c r="N456" s="38">
        <v>1.4553079178885631</v>
      </c>
      <c r="O456" s="35" t="s">
        <v>12</v>
      </c>
    </row>
    <row r="457" spans="1:15" x14ac:dyDescent="0.25">
      <c r="A457" s="35">
        <v>1140297528</v>
      </c>
      <c r="B457" s="35" t="s">
        <v>3761</v>
      </c>
      <c r="C457" s="35">
        <v>2024</v>
      </c>
      <c r="D457" s="36">
        <v>45293.539201388892</v>
      </c>
      <c r="E457" s="37" t="s">
        <v>2710</v>
      </c>
      <c r="F457" s="37" t="s">
        <v>5290</v>
      </c>
      <c r="G457" s="37" t="s">
        <v>5291</v>
      </c>
      <c r="H457" s="35" t="s">
        <v>3415</v>
      </c>
      <c r="I457" s="35" t="s">
        <v>3416</v>
      </c>
      <c r="J457" s="38">
        <v>0.35499999999999998</v>
      </c>
      <c r="K457" s="35">
        <v>4</v>
      </c>
      <c r="L457" s="38">
        <f t="shared" si="7"/>
        <v>1.42</v>
      </c>
      <c r="M457" s="35" t="s">
        <v>48</v>
      </c>
      <c r="N457" s="38">
        <v>1.42</v>
      </c>
      <c r="O457" s="35" t="s">
        <v>2314</v>
      </c>
    </row>
    <row r="458" spans="1:15" x14ac:dyDescent="0.25">
      <c r="A458" s="35">
        <v>1123516625</v>
      </c>
      <c r="B458" s="35" t="s">
        <v>4158</v>
      </c>
      <c r="C458" s="35">
        <v>2023</v>
      </c>
      <c r="D458" s="36">
        <v>45152.870983796303</v>
      </c>
      <c r="E458" s="37" t="s">
        <v>2921</v>
      </c>
      <c r="F458" s="37" t="s">
        <v>5668</v>
      </c>
      <c r="G458" s="37" t="s">
        <v>5274</v>
      </c>
      <c r="H458" s="35" t="s">
        <v>3419</v>
      </c>
      <c r="I458" s="35" t="s">
        <v>3416</v>
      </c>
      <c r="J458" s="38">
        <v>0.47333333333333333</v>
      </c>
      <c r="K458" s="35">
        <v>3</v>
      </c>
      <c r="L458" s="38">
        <f t="shared" si="7"/>
        <v>1.42</v>
      </c>
      <c r="M458" s="35" t="s">
        <v>48</v>
      </c>
      <c r="N458" s="38">
        <v>1.42</v>
      </c>
      <c r="O458" s="35" t="s">
        <v>2314</v>
      </c>
    </row>
    <row r="459" spans="1:15" x14ac:dyDescent="0.25">
      <c r="A459" s="35">
        <v>1143352743</v>
      </c>
      <c r="B459" s="35" t="s">
        <v>3761</v>
      </c>
      <c r="C459" s="35">
        <v>2024</v>
      </c>
      <c r="D459" s="36">
        <v>45317.886423611111</v>
      </c>
      <c r="E459" s="37" t="s">
        <v>2673</v>
      </c>
      <c r="F459" s="37" t="s">
        <v>5273</v>
      </c>
      <c r="G459" s="37" t="s">
        <v>5274</v>
      </c>
      <c r="H459" s="35" t="s">
        <v>3419</v>
      </c>
      <c r="I459" s="35" t="s">
        <v>3416</v>
      </c>
      <c r="J459" s="38">
        <v>0.7</v>
      </c>
      <c r="K459" s="35">
        <v>2</v>
      </c>
      <c r="L459" s="38">
        <f t="shared" si="7"/>
        <v>1.4</v>
      </c>
      <c r="M459" s="35" t="s">
        <v>48</v>
      </c>
      <c r="N459" s="38">
        <v>1.4</v>
      </c>
      <c r="O459" s="35" t="s">
        <v>2314</v>
      </c>
    </row>
    <row r="460" spans="1:15" x14ac:dyDescent="0.25">
      <c r="A460" s="35">
        <v>1241668804</v>
      </c>
      <c r="B460" s="35" t="s">
        <v>3968</v>
      </c>
      <c r="C460" s="35">
        <v>2025</v>
      </c>
      <c r="D460" s="36">
        <v>45978.588969907411</v>
      </c>
      <c r="E460" s="37" t="s">
        <v>742</v>
      </c>
      <c r="F460" s="37" t="s">
        <v>4016</v>
      </c>
      <c r="G460" s="37" t="s">
        <v>4017</v>
      </c>
      <c r="H460" s="35" t="s">
        <v>3415</v>
      </c>
      <c r="I460" s="35" t="s">
        <v>3416</v>
      </c>
      <c r="J460" s="38">
        <v>0.34728773584905659</v>
      </c>
      <c r="K460" s="35">
        <v>4</v>
      </c>
      <c r="L460" s="38">
        <f t="shared" si="7"/>
        <v>1.3891509433962264</v>
      </c>
      <c r="M460" s="35" t="s">
        <v>48</v>
      </c>
      <c r="N460" s="38">
        <v>1.3891509433962259</v>
      </c>
      <c r="O460" s="35" t="s">
        <v>12</v>
      </c>
    </row>
    <row r="461" spans="1:15" x14ac:dyDescent="0.25">
      <c r="A461" s="35">
        <v>1248289480</v>
      </c>
      <c r="B461" s="35" t="s">
        <v>3890</v>
      </c>
      <c r="C461" s="35">
        <v>2025</v>
      </c>
      <c r="D461" s="36">
        <v>46019.966168981482</v>
      </c>
      <c r="E461" s="37" t="s">
        <v>562</v>
      </c>
      <c r="F461" s="37" t="s">
        <v>3897</v>
      </c>
      <c r="G461" s="37" t="s">
        <v>3720</v>
      </c>
      <c r="H461" s="35" t="s">
        <v>3419</v>
      </c>
      <c r="I461" s="35" t="s">
        <v>3416</v>
      </c>
      <c r="J461" s="38">
        <v>1.3866666666666669</v>
      </c>
      <c r="K461" s="35">
        <v>1</v>
      </c>
      <c r="L461" s="38">
        <f t="shared" si="7"/>
        <v>1.3866666666666669</v>
      </c>
      <c r="M461" s="35" t="s">
        <v>48</v>
      </c>
      <c r="N461" s="38">
        <v>1.3866666666666669</v>
      </c>
      <c r="O461" s="35" t="s">
        <v>12</v>
      </c>
    </row>
    <row r="462" spans="1:15" x14ac:dyDescent="0.25">
      <c r="A462" s="35">
        <v>1245445493</v>
      </c>
      <c r="B462" s="35" t="s">
        <v>3890</v>
      </c>
      <c r="C462" s="35">
        <v>2025</v>
      </c>
      <c r="D462" s="36">
        <v>46000.833483796298</v>
      </c>
      <c r="E462" s="37" t="s">
        <v>631</v>
      </c>
      <c r="F462" s="37" t="s">
        <v>3934</v>
      </c>
      <c r="G462" s="37" t="s">
        <v>3551</v>
      </c>
      <c r="H462" s="35" t="s">
        <v>3419</v>
      </c>
      <c r="I462" s="35" t="s">
        <v>3416</v>
      </c>
      <c r="J462" s="38">
        <v>1.377849264705882</v>
      </c>
      <c r="K462" s="35">
        <v>1</v>
      </c>
      <c r="L462" s="38">
        <f t="shared" si="7"/>
        <v>1.377849264705882</v>
      </c>
      <c r="M462" s="35" t="s">
        <v>48</v>
      </c>
      <c r="N462" s="38">
        <v>1.377849264705882</v>
      </c>
      <c r="O462" s="35" t="s">
        <v>12</v>
      </c>
    </row>
    <row r="463" spans="1:15" x14ac:dyDescent="0.25">
      <c r="A463" s="35">
        <v>1250212850</v>
      </c>
      <c r="B463" s="35" t="s">
        <v>3761</v>
      </c>
      <c r="C463" s="35">
        <v>2026</v>
      </c>
      <c r="D463" s="36">
        <v>46030.925115740742</v>
      </c>
      <c r="E463" s="37" t="s">
        <v>511</v>
      </c>
      <c r="F463" s="37" t="s">
        <v>3868</v>
      </c>
      <c r="G463" s="37" t="s">
        <v>3869</v>
      </c>
      <c r="H463" s="35" t="s">
        <v>3419</v>
      </c>
      <c r="I463" s="35" t="s">
        <v>3530</v>
      </c>
      <c r="J463" s="38">
        <v>0.65160256410256401</v>
      </c>
      <c r="K463" s="35">
        <v>2</v>
      </c>
      <c r="L463" s="38">
        <f t="shared" si="7"/>
        <v>1.303205128205128</v>
      </c>
      <c r="M463" s="35" t="s">
        <v>48</v>
      </c>
      <c r="N463" s="38">
        <v>1.303205128205128</v>
      </c>
      <c r="O463" s="35" t="s">
        <v>12</v>
      </c>
    </row>
    <row r="464" spans="1:15" x14ac:dyDescent="0.25">
      <c r="A464" s="35">
        <v>1194632647</v>
      </c>
      <c r="B464" s="35" t="s">
        <v>3721</v>
      </c>
      <c r="C464" s="35">
        <v>2025</v>
      </c>
      <c r="D464" s="36">
        <v>45690.349374999998</v>
      </c>
      <c r="E464" s="37" t="s">
        <v>1493</v>
      </c>
      <c r="F464" s="37" t="s">
        <v>4631</v>
      </c>
      <c r="G464" s="37" t="s">
        <v>4561</v>
      </c>
      <c r="H464" s="35" t="s">
        <v>3419</v>
      </c>
      <c r="I464" s="35" t="s">
        <v>3530</v>
      </c>
      <c r="J464" s="38">
        <v>1.286021505376344</v>
      </c>
      <c r="K464" s="35">
        <v>1</v>
      </c>
      <c r="L464" s="38">
        <f t="shared" si="7"/>
        <v>1.286021505376344</v>
      </c>
      <c r="M464" s="35" t="s">
        <v>48</v>
      </c>
      <c r="N464" s="38">
        <v>1.286021505376344</v>
      </c>
      <c r="O464" s="35" t="s">
        <v>12</v>
      </c>
    </row>
    <row r="465" spans="1:15" x14ac:dyDescent="0.25">
      <c r="A465" s="35">
        <v>1246778711</v>
      </c>
      <c r="B465" s="35" t="s">
        <v>3761</v>
      </c>
      <c r="C465" s="35">
        <v>2026</v>
      </c>
      <c r="D465" s="36">
        <v>46036.520324074074</v>
      </c>
      <c r="E465" s="37" t="s">
        <v>612</v>
      </c>
      <c r="F465" s="37" t="s">
        <v>3844</v>
      </c>
      <c r="G465" s="37" t="s">
        <v>3560</v>
      </c>
      <c r="H465" s="35" t="s">
        <v>3419</v>
      </c>
      <c r="I465" s="35" t="s">
        <v>3416</v>
      </c>
      <c r="J465" s="38">
        <v>1.2825</v>
      </c>
      <c r="K465" s="35">
        <v>1</v>
      </c>
      <c r="L465" s="38">
        <f t="shared" si="7"/>
        <v>1.2825</v>
      </c>
      <c r="M465" s="35" t="s">
        <v>48</v>
      </c>
      <c r="N465" s="38">
        <v>1.2825</v>
      </c>
      <c r="O465" s="35" t="s">
        <v>12</v>
      </c>
    </row>
    <row r="466" spans="1:15" x14ac:dyDescent="0.25">
      <c r="A466" s="35">
        <v>1137933892</v>
      </c>
      <c r="B466" s="35" t="s">
        <v>3890</v>
      </c>
      <c r="C466" s="35">
        <v>2023</v>
      </c>
      <c r="D466" s="36">
        <v>45271.777094907397</v>
      </c>
      <c r="E466" s="37" t="s">
        <v>2764</v>
      </c>
      <c r="F466" s="37" t="s">
        <v>5457</v>
      </c>
      <c r="G466" s="37" t="s">
        <v>5274</v>
      </c>
      <c r="H466" s="35" t="s">
        <v>3419</v>
      </c>
      <c r="I466" s="35" t="s">
        <v>3416</v>
      </c>
      <c r="J466" s="38">
        <v>0.64</v>
      </c>
      <c r="K466" s="35">
        <v>2</v>
      </c>
      <c r="L466" s="38">
        <f t="shared" si="7"/>
        <v>1.28</v>
      </c>
      <c r="M466" s="35" t="s">
        <v>48</v>
      </c>
      <c r="N466" s="38">
        <v>1.28</v>
      </c>
      <c r="O466" s="35" t="s">
        <v>2314</v>
      </c>
    </row>
    <row r="467" spans="1:15" x14ac:dyDescent="0.25">
      <c r="A467" s="35">
        <v>1124550278</v>
      </c>
      <c r="B467" s="35" t="s">
        <v>4158</v>
      </c>
      <c r="C467" s="35">
        <v>2023</v>
      </c>
      <c r="D467" s="36">
        <v>45162.49658564815</v>
      </c>
      <c r="E467" s="37" t="s">
        <v>2911</v>
      </c>
      <c r="F467" s="37" t="s">
        <v>5656</v>
      </c>
      <c r="G467" s="37" t="s">
        <v>5274</v>
      </c>
      <c r="H467" s="35" t="s">
        <v>3419</v>
      </c>
      <c r="I467" s="35" t="s">
        <v>3416</v>
      </c>
      <c r="J467" s="38">
        <v>0.63839999999999997</v>
      </c>
      <c r="K467" s="35">
        <v>2</v>
      </c>
      <c r="L467" s="38">
        <f t="shared" si="7"/>
        <v>1.2767999999999999</v>
      </c>
      <c r="M467" s="35" t="s">
        <v>48</v>
      </c>
      <c r="N467" s="38">
        <v>1.2767999999999999</v>
      </c>
      <c r="O467" s="35" t="s">
        <v>2314</v>
      </c>
    </row>
    <row r="468" spans="1:15" x14ac:dyDescent="0.25">
      <c r="A468" s="35">
        <v>1158084187</v>
      </c>
      <c r="B468" s="35" t="s">
        <v>3527</v>
      </c>
      <c r="C468" s="35">
        <v>2024</v>
      </c>
      <c r="D468" s="36">
        <v>45432.950949074067</v>
      </c>
      <c r="E468" s="37" t="s">
        <v>2340</v>
      </c>
      <c r="F468" s="37" t="s">
        <v>5074</v>
      </c>
      <c r="G468" s="37" t="s">
        <v>3529</v>
      </c>
      <c r="H468" s="35" t="s">
        <v>3419</v>
      </c>
      <c r="I468" s="35" t="s">
        <v>3530</v>
      </c>
      <c r="J468" s="38">
        <v>1.274157303370786</v>
      </c>
      <c r="K468" s="35">
        <v>1</v>
      </c>
      <c r="L468" s="38">
        <f t="shared" si="7"/>
        <v>1.274157303370786</v>
      </c>
      <c r="M468" s="35" t="s">
        <v>48</v>
      </c>
      <c r="N468" s="38">
        <v>1.274157303370786</v>
      </c>
      <c r="O468" s="35" t="s">
        <v>12</v>
      </c>
    </row>
    <row r="469" spans="1:15" ht="30" x14ac:dyDescent="0.25">
      <c r="A469" s="35" t="s">
        <v>5648</v>
      </c>
      <c r="B469" s="35" t="s">
        <v>4132</v>
      </c>
      <c r="C469" s="35">
        <v>2023</v>
      </c>
      <c r="D469" s="36">
        <v>45173.764317129629</v>
      </c>
      <c r="E469" s="37" t="s">
        <v>4233</v>
      </c>
      <c r="F469" s="37" t="s">
        <v>5649</v>
      </c>
      <c r="G469" s="37" t="s">
        <v>3871</v>
      </c>
      <c r="H469" s="35" t="s">
        <v>3419</v>
      </c>
      <c r="I469" s="35" t="s">
        <v>3530</v>
      </c>
      <c r="J469" s="38">
        <v>1.25</v>
      </c>
      <c r="K469" s="35">
        <v>1</v>
      </c>
      <c r="L469" s="38">
        <f t="shared" si="7"/>
        <v>1.25</v>
      </c>
      <c r="M469" s="35" t="s">
        <v>48</v>
      </c>
      <c r="N469" s="38">
        <v>1.25</v>
      </c>
      <c r="O469" s="35" t="s">
        <v>12</v>
      </c>
    </row>
    <row r="470" spans="1:15" x14ac:dyDescent="0.25">
      <c r="A470" s="35">
        <v>1194632647</v>
      </c>
      <c r="B470" s="35" t="s">
        <v>3721</v>
      </c>
      <c r="C470" s="35">
        <v>2025</v>
      </c>
      <c r="D470" s="36">
        <v>45701.463229166664</v>
      </c>
      <c r="E470" s="37" t="s">
        <v>1493</v>
      </c>
      <c r="F470" s="37" t="s">
        <v>4615</v>
      </c>
      <c r="G470" s="37" t="s">
        <v>4017</v>
      </c>
      <c r="H470" s="35" t="s">
        <v>3415</v>
      </c>
      <c r="I470" s="35" t="s">
        <v>3530</v>
      </c>
      <c r="J470" s="38">
        <v>0.31157407407407406</v>
      </c>
      <c r="K470" s="35">
        <v>4</v>
      </c>
      <c r="L470" s="38">
        <f t="shared" si="7"/>
        <v>1.2462962962962962</v>
      </c>
      <c r="M470" s="35" t="s">
        <v>48</v>
      </c>
      <c r="N470" s="38">
        <v>1.2462962962962962</v>
      </c>
      <c r="O470" s="35" t="s">
        <v>12</v>
      </c>
    </row>
    <row r="471" spans="1:15" x14ac:dyDescent="0.25">
      <c r="A471" s="35">
        <v>1158084187</v>
      </c>
      <c r="B471" s="35" t="s">
        <v>3527</v>
      </c>
      <c r="C471" s="35">
        <v>2024</v>
      </c>
      <c r="D471" s="36">
        <v>45441.870798611111</v>
      </c>
      <c r="E471" s="37" t="s">
        <v>2340</v>
      </c>
      <c r="F471" s="37" t="s">
        <v>5066</v>
      </c>
      <c r="G471" s="37" t="s">
        <v>3652</v>
      </c>
      <c r="H471" s="35" t="s">
        <v>3419</v>
      </c>
      <c r="I471" s="35" t="s">
        <v>3530</v>
      </c>
      <c r="J471" s="38">
        <v>1.2067796610169492</v>
      </c>
      <c r="K471" s="35">
        <v>1</v>
      </c>
      <c r="L471" s="38">
        <f t="shared" si="7"/>
        <v>1.2067796610169492</v>
      </c>
      <c r="M471" s="35" t="s">
        <v>48</v>
      </c>
      <c r="N471" s="38">
        <v>1.2067796610169492</v>
      </c>
      <c r="O471" s="35" t="s">
        <v>12</v>
      </c>
    </row>
    <row r="472" spans="1:15" x14ac:dyDescent="0.25">
      <c r="A472" s="35">
        <v>1158084187</v>
      </c>
      <c r="B472" s="35" t="s">
        <v>3527</v>
      </c>
      <c r="C472" s="35">
        <v>2024</v>
      </c>
      <c r="D472" s="36">
        <v>45441.870798611111</v>
      </c>
      <c r="E472" s="37" t="s">
        <v>2340</v>
      </c>
      <c r="F472" s="37" t="s">
        <v>5068</v>
      </c>
      <c r="G472" s="37" t="s">
        <v>3529</v>
      </c>
      <c r="H472" s="35" t="s">
        <v>3419</v>
      </c>
      <c r="I472" s="35" t="s">
        <v>3416</v>
      </c>
      <c r="J472" s="38">
        <v>0.60338983050847461</v>
      </c>
      <c r="K472" s="35">
        <v>2</v>
      </c>
      <c r="L472" s="38">
        <f t="shared" si="7"/>
        <v>1.2067796610169492</v>
      </c>
      <c r="M472" s="35" t="s">
        <v>48</v>
      </c>
      <c r="N472" s="38">
        <v>1.2067796610169492</v>
      </c>
      <c r="O472" s="35" t="s">
        <v>12</v>
      </c>
    </row>
    <row r="473" spans="1:15" x14ac:dyDescent="0.25">
      <c r="A473" s="35">
        <v>1244111848</v>
      </c>
      <c r="B473" s="35" t="s">
        <v>3890</v>
      </c>
      <c r="C473" s="35">
        <v>2025</v>
      </c>
      <c r="D473" s="36">
        <v>46000.469085648147</v>
      </c>
      <c r="E473" s="37" t="s">
        <v>672</v>
      </c>
      <c r="F473" s="37" t="s">
        <v>3938</v>
      </c>
      <c r="G473" s="37" t="s">
        <v>3939</v>
      </c>
      <c r="H473" s="35" t="s">
        <v>3419</v>
      </c>
      <c r="I473" s="35" t="s">
        <v>3416</v>
      </c>
      <c r="J473" s="38">
        <v>0.39777777777777779</v>
      </c>
      <c r="K473" s="35">
        <v>3</v>
      </c>
      <c r="L473" s="38">
        <f t="shared" si="7"/>
        <v>1.1933333333333334</v>
      </c>
      <c r="M473" s="35" t="s">
        <v>48</v>
      </c>
      <c r="N473" s="38">
        <v>1.1933333333333334</v>
      </c>
      <c r="O473" s="35" t="s">
        <v>12</v>
      </c>
    </row>
    <row r="474" spans="1:15" x14ac:dyDescent="0.25">
      <c r="A474" s="35">
        <v>1251259881</v>
      </c>
      <c r="B474" s="35" t="s">
        <v>3761</v>
      </c>
      <c r="C474" s="35">
        <v>2026</v>
      </c>
      <c r="D474" s="36">
        <v>46036.763379629629</v>
      </c>
      <c r="E474" s="37" t="s">
        <v>491</v>
      </c>
      <c r="F474" s="37" t="s">
        <v>3826</v>
      </c>
      <c r="G474" s="37" t="s">
        <v>3720</v>
      </c>
      <c r="H474" s="35" t="s">
        <v>3419</v>
      </c>
      <c r="I474" s="35" t="s">
        <v>3416</v>
      </c>
      <c r="J474" s="38">
        <v>1.1875</v>
      </c>
      <c r="K474" s="35">
        <v>1</v>
      </c>
      <c r="L474" s="38">
        <f t="shared" si="7"/>
        <v>1.1875</v>
      </c>
      <c r="M474" s="35" t="s">
        <v>48</v>
      </c>
      <c r="N474" s="38">
        <v>1.1875</v>
      </c>
      <c r="O474" s="35" t="s">
        <v>12</v>
      </c>
    </row>
    <row r="475" spans="1:15" x14ac:dyDescent="0.25">
      <c r="A475" s="35">
        <v>1251259881</v>
      </c>
      <c r="B475" s="35" t="s">
        <v>3761</v>
      </c>
      <c r="C475" s="35">
        <v>2026</v>
      </c>
      <c r="D475" s="36">
        <v>46036.763379629629</v>
      </c>
      <c r="E475" s="37" t="s">
        <v>491</v>
      </c>
      <c r="F475" s="37" t="s">
        <v>3827</v>
      </c>
      <c r="G475" s="37" t="s">
        <v>3757</v>
      </c>
      <c r="H475" s="35" t="s">
        <v>3419</v>
      </c>
      <c r="I475" s="35" t="s">
        <v>3416</v>
      </c>
      <c r="J475" s="38">
        <v>1.1875</v>
      </c>
      <c r="K475" s="35">
        <v>1</v>
      </c>
      <c r="L475" s="38">
        <f t="shared" si="7"/>
        <v>1.1875</v>
      </c>
      <c r="M475" s="35" t="s">
        <v>48</v>
      </c>
      <c r="N475" s="38">
        <v>1.1875</v>
      </c>
      <c r="O475" s="35" t="s">
        <v>12</v>
      </c>
    </row>
    <row r="476" spans="1:15" x14ac:dyDescent="0.25">
      <c r="A476" s="35">
        <v>1251259881</v>
      </c>
      <c r="B476" s="35" t="s">
        <v>3761</v>
      </c>
      <c r="C476" s="35">
        <v>2026</v>
      </c>
      <c r="D476" s="36">
        <v>46036.763379629629</v>
      </c>
      <c r="E476" s="37" t="s">
        <v>491</v>
      </c>
      <c r="F476" s="37" t="s">
        <v>3827</v>
      </c>
      <c r="G476" s="37" t="s">
        <v>3757</v>
      </c>
      <c r="H476" s="35" t="s">
        <v>3419</v>
      </c>
      <c r="I476" s="35" t="s">
        <v>3828</v>
      </c>
      <c r="J476" s="38">
        <v>1.1875</v>
      </c>
      <c r="K476" s="35">
        <v>1</v>
      </c>
      <c r="L476" s="38">
        <f t="shared" si="7"/>
        <v>1.1875</v>
      </c>
      <c r="M476" s="35" t="s">
        <v>48</v>
      </c>
      <c r="N476" s="38">
        <v>1.1875</v>
      </c>
      <c r="O476" s="35" t="s">
        <v>12</v>
      </c>
    </row>
    <row r="477" spans="1:15" x14ac:dyDescent="0.25">
      <c r="A477" s="35">
        <v>1251259881</v>
      </c>
      <c r="B477" s="35" t="s">
        <v>3761</v>
      </c>
      <c r="C477" s="35">
        <v>2026</v>
      </c>
      <c r="D477" s="36">
        <v>46036.763379629629</v>
      </c>
      <c r="E477" s="37" t="s">
        <v>491</v>
      </c>
      <c r="F477" s="37" t="s">
        <v>3829</v>
      </c>
      <c r="G477" s="37" t="s">
        <v>3830</v>
      </c>
      <c r="H477" s="35" t="s">
        <v>3415</v>
      </c>
      <c r="I477" s="35" t="s">
        <v>3831</v>
      </c>
      <c r="J477" s="38">
        <v>0.296875</v>
      </c>
      <c r="K477" s="35">
        <v>4</v>
      </c>
      <c r="L477" s="38">
        <f t="shared" si="7"/>
        <v>1.1875</v>
      </c>
      <c r="M477" s="35" t="s">
        <v>48</v>
      </c>
      <c r="N477" s="38">
        <v>1.1875</v>
      </c>
      <c r="O477" s="35" t="s">
        <v>12</v>
      </c>
    </row>
    <row r="478" spans="1:15" x14ac:dyDescent="0.25">
      <c r="A478" s="35">
        <v>1161471470</v>
      </c>
      <c r="B478" s="35" t="s">
        <v>3412</v>
      </c>
      <c r="C478" s="35">
        <v>2024</v>
      </c>
      <c r="D478" s="36">
        <v>45457.632800925923</v>
      </c>
      <c r="E478" s="37" t="s">
        <v>2245</v>
      </c>
      <c r="F478" s="37" t="s">
        <v>5019</v>
      </c>
      <c r="G478" s="37" t="s">
        <v>4561</v>
      </c>
      <c r="H478" s="35" t="s">
        <v>3419</v>
      </c>
      <c r="I478" s="35" t="s">
        <v>3530</v>
      </c>
      <c r="J478" s="38">
        <v>0.59254563894523327</v>
      </c>
      <c r="K478" s="35">
        <v>2</v>
      </c>
      <c r="L478" s="38">
        <f t="shared" si="7"/>
        <v>1.1850912778904665</v>
      </c>
      <c r="M478" s="35" t="s">
        <v>48</v>
      </c>
      <c r="N478" s="38">
        <v>1.185091277890467</v>
      </c>
      <c r="O478" s="35" t="s">
        <v>12</v>
      </c>
    </row>
    <row r="479" spans="1:15" x14ac:dyDescent="0.25">
      <c r="A479" s="35">
        <v>1251259881</v>
      </c>
      <c r="B479" s="35" t="s">
        <v>3761</v>
      </c>
      <c r="C479" s="35">
        <v>2026</v>
      </c>
      <c r="D479" s="36">
        <v>46043.453287037039</v>
      </c>
      <c r="E479" s="37" t="s">
        <v>491</v>
      </c>
      <c r="F479" s="37" t="s">
        <v>3791</v>
      </c>
      <c r="G479" s="37" t="s">
        <v>3792</v>
      </c>
      <c r="H479" s="35" t="s">
        <v>3415</v>
      </c>
      <c r="I479" s="35" t="s">
        <v>3416</v>
      </c>
      <c r="J479" s="38">
        <v>0.2866161616161616</v>
      </c>
      <c r="K479" s="35">
        <v>4</v>
      </c>
      <c r="L479" s="38">
        <f t="shared" si="7"/>
        <v>1.1464646464646464</v>
      </c>
      <c r="M479" s="35" t="s">
        <v>48</v>
      </c>
      <c r="N479" s="38">
        <v>1.1464646464646464</v>
      </c>
      <c r="O479" s="35" t="s">
        <v>12</v>
      </c>
    </row>
    <row r="480" spans="1:15" x14ac:dyDescent="0.25">
      <c r="A480" s="35">
        <v>1258407112</v>
      </c>
      <c r="B480" s="35" t="s">
        <v>3721</v>
      </c>
      <c r="C480" s="35">
        <v>2026</v>
      </c>
      <c r="D480" s="36">
        <v>46072.602141203701</v>
      </c>
      <c r="E480" s="37" t="s">
        <v>318</v>
      </c>
      <c r="F480" s="37" t="s">
        <v>3727</v>
      </c>
      <c r="G480" s="37" t="s">
        <v>3691</v>
      </c>
      <c r="H480" s="35" t="s">
        <v>3419</v>
      </c>
      <c r="I480" s="35" t="s">
        <v>3416</v>
      </c>
      <c r="J480" s="38">
        <v>1.142657342657343</v>
      </c>
      <c r="K480" s="35">
        <v>1</v>
      </c>
      <c r="L480" s="38">
        <f t="shared" si="7"/>
        <v>1.142657342657343</v>
      </c>
      <c r="M480" s="35" t="s">
        <v>48</v>
      </c>
      <c r="N480" s="38">
        <v>1.142657342657343</v>
      </c>
      <c r="O480" s="35" t="s">
        <v>12</v>
      </c>
    </row>
    <row r="481" spans="1:15" ht="30" x14ac:dyDescent="0.25">
      <c r="A481" s="35" t="s">
        <v>6064</v>
      </c>
      <c r="B481" s="35" t="s">
        <v>3646</v>
      </c>
      <c r="C481" s="35">
        <v>2023</v>
      </c>
      <c r="D481" s="36">
        <v>44986.710590277777</v>
      </c>
      <c r="E481" s="37" t="s">
        <v>4233</v>
      </c>
      <c r="F481" s="37" t="s">
        <v>4961</v>
      </c>
      <c r="G481" s="37" t="s">
        <v>3551</v>
      </c>
      <c r="H481" s="35" t="s">
        <v>3415</v>
      </c>
      <c r="I481" s="35" t="s">
        <v>3416</v>
      </c>
      <c r="J481" s="38">
        <v>0.28110615762881302</v>
      </c>
      <c r="K481" s="35">
        <v>4</v>
      </c>
      <c r="L481" s="38">
        <f t="shared" si="7"/>
        <v>1.1244246305152521</v>
      </c>
      <c r="M481" s="35" t="s">
        <v>48</v>
      </c>
      <c r="N481" s="38">
        <v>1.1244246305152521</v>
      </c>
      <c r="O481" s="35" t="s">
        <v>12</v>
      </c>
    </row>
    <row r="482" spans="1:15" ht="30" x14ac:dyDescent="0.25">
      <c r="A482" s="35" t="s">
        <v>4593</v>
      </c>
      <c r="B482" s="35" t="s">
        <v>3721</v>
      </c>
      <c r="C482" s="35">
        <v>2025</v>
      </c>
      <c r="D482" s="36">
        <v>45706.873831018522</v>
      </c>
      <c r="E482" s="37" t="s">
        <v>4233</v>
      </c>
      <c r="F482" s="37" t="s">
        <v>4594</v>
      </c>
      <c r="G482" s="37" t="s">
        <v>4480</v>
      </c>
      <c r="H482" s="35" t="s">
        <v>3415</v>
      </c>
      <c r="I482" s="35" t="s">
        <v>3416</v>
      </c>
      <c r="J482" s="38">
        <v>0.28054767650572399</v>
      </c>
      <c r="K482" s="35">
        <v>4</v>
      </c>
      <c r="L482" s="38">
        <f t="shared" si="7"/>
        <v>1.1221907060228959</v>
      </c>
      <c r="M482" s="35" t="s">
        <v>48</v>
      </c>
      <c r="N482" s="38">
        <v>1.1221907060228959</v>
      </c>
      <c r="O482" s="35" t="s">
        <v>12</v>
      </c>
    </row>
    <row r="483" spans="1:15" ht="30" x14ac:dyDescent="0.25">
      <c r="A483" s="35">
        <v>1244990507</v>
      </c>
      <c r="B483" s="35" t="s">
        <v>3890</v>
      </c>
      <c r="C483" s="35">
        <v>2025</v>
      </c>
      <c r="D483" s="36">
        <v>45998.380682870367</v>
      </c>
      <c r="E483" s="37" t="s">
        <v>645</v>
      </c>
      <c r="F483" s="37" t="s">
        <v>3941</v>
      </c>
      <c r="G483" s="37" t="s">
        <v>3942</v>
      </c>
      <c r="H483" s="35" t="s">
        <v>3419</v>
      </c>
      <c r="I483" s="35" t="s">
        <v>3416</v>
      </c>
      <c r="J483" s="38">
        <v>1.1109554140127389</v>
      </c>
      <c r="K483" s="35">
        <v>1</v>
      </c>
      <c r="L483" s="38">
        <f t="shared" si="7"/>
        <v>1.1109554140127389</v>
      </c>
      <c r="M483" s="35" t="s">
        <v>48</v>
      </c>
      <c r="N483" s="38">
        <v>1.1109554140127389</v>
      </c>
      <c r="O483" s="35" t="s">
        <v>12</v>
      </c>
    </row>
    <row r="484" spans="1:15" x14ac:dyDescent="0.25">
      <c r="A484" s="35">
        <v>1250212850</v>
      </c>
      <c r="B484" s="35" t="s">
        <v>3761</v>
      </c>
      <c r="C484" s="35">
        <v>2026</v>
      </c>
      <c r="D484" s="36">
        <v>46042.813969907409</v>
      </c>
      <c r="E484" s="37" t="s">
        <v>511</v>
      </c>
      <c r="F484" s="37" t="s">
        <v>3697</v>
      </c>
      <c r="G484" s="37" t="s">
        <v>3799</v>
      </c>
      <c r="H484" s="35" t="s">
        <v>3415</v>
      </c>
      <c r="I484" s="35" t="s">
        <v>3416</v>
      </c>
      <c r="J484" s="38">
        <v>0.27746212121212122</v>
      </c>
      <c r="K484" s="35">
        <v>4</v>
      </c>
      <c r="L484" s="38">
        <f t="shared" si="7"/>
        <v>1.1098484848484849</v>
      </c>
      <c r="M484" s="35" t="s">
        <v>48</v>
      </c>
      <c r="N484" s="38">
        <v>1.1098484848484849</v>
      </c>
      <c r="O484" s="35" t="s">
        <v>12</v>
      </c>
    </row>
    <row r="485" spans="1:15" x14ac:dyDescent="0.25">
      <c r="A485" s="35">
        <v>1250212850</v>
      </c>
      <c r="B485" s="35" t="s">
        <v>3761</v>
      </c>
      <c r="C485" s="35">
        <v>2026</v>
      </c>
      <c r="D485" s="36">
        <v>46042.813969907409</v>
      </c>
      <c r="E485" s="37" t="s">
        <v>511</v>
      </c>
      <c r="F485" s="37" t="s">
        <v>3800</v>
      </c>
      <c r="G485" s="37" t="s">
        <v>3720</v>
      </c>
      <c r="H485" s="35" t="s">
        <v>3415</v>
      </c>
      <c r="I485" s="35" t="s">
        <v>3416</v>
      </c>
      <c r="J485" s="38">
        <v>0.27746212121212122</v>
      </c>
      <c r="K485" s="35">
        <v>4</v>
      </c>
      <c r="L485" s="38">
        <f t="shared" si="7"/>
        <v>1.1098484848484849</v>
      </c>
      <c r="M485" s="35" t="s">
        <v>48</v>
      </c>
      <c r="N485" s="38">
        <v>1.1098484848484849</v>
      </c>
      <c r="O485" s="35" t="s">
        <v>12</v>
      </c>
    </row>
    <row r="486" spans="1:15" x14ac:dyDescent="0.25">
      <c r="A486" s="35">
        <v>1241668804</v>
      </c>
      <c r="B486" s="35" t="s">
        <v>3968</v>
      </c>
      <c r="C486" s="35">
        <v>2025</v>
      </c>
      <c r="D486" s="36">
        <v>45985.619884259257</v>
      </c>
      <c r="E486" s="37" t="s">
        <v>742</v>
      </c>
      <c r="F486" s="37" t="s">
        <v>3983</v>
      </c>
      <c r="G486" s="37" t="s">
        <v>3984</v>
      </c>
      <c r="H486" s="35" t="s">
        <v>3419</v>
      </c>
      <c r="I486" s="35" t="s">
        <v>3416</v>
      </c>
      <c r="J486" s="38">
        <v>1.0963836477987421</v>
      </c>
      <c r="K486" s="35">
        <v>1</v>
      </c>
      <c r="L486" s="38">
        <f t="shared" si="7"/>
        <v>1.0963836477987421</v>
      </c>
      <c r="M486" s="35" t="s">
        <v>48</v>
      </c>
      <c r="N486" s="38">
        <v>1.0963836477987421</v>
      </c>
      <c r="O486" s="35" t="s">
        <v>12</v>
      </c>
    </row>
    <row r="487" spans="1:15" x14ac:dyDescent="0.25">
      <c r="A487" s="35">
        <v>1198652187</v>
      </c>
      <c r="B487" s="35" t="s">
        <v>3646</v>
      </c>
      <c r="C487" s="35">
        <v>2025</v>
      </c>
      <c r="D487" s="36">
        <v>45723.602418981478</v>
      </c>
      <c r="E487" s="37" t="s">
        <v>1421</v>
      </c>
      <c r="F487" s="37" t="s">
        <v>4559</v>
      </c>
      <c r="G487" s="37" t="s">
        <v>3945</v>
      </c>
      <c r="H487" s="35" t="s">
        <v>3419</v>
      </c>
      <c r="I487" s="35" t="s">
        <v>3416</v>
      </c>
      <c r="J487" s="38">
        <v>0.54195583596214514</v>
      </c>
      <c r="K487" s="35">
        <v>2</v>
      </c>
      <c r="L487" s="38">
        <f t="shared" si="7"/>
        <v>1.0839116719242903</v>
      </c>
      <c r="M487" s="35" t="s">
        <v>48</v>
      </c>
      <c r="N487" s="38">
        <v>1.0839116719242903</v>
      </c>
      <c r="O487" s="35" t="s">
        <v>12</v>
      </c>
    </row>
    <row r="488" spans="1:15" x14ac:dyDescent="0.25">
      <c r="A488" s="35">
        <v>1258407112</v>
      </c>
      <c r="B488" s="35" t="s">
        <v>3646</v>
      </c>
      <c r="C488" s="35">
        <v>2026</v>
      </c>
      <c r="D488" s="36">
        <v>46084.430081018516</v>
      </c>
      <c r="E488" s="37" t="s">
        <v>318</v>
      </c>
      <c r="F488" s="37" t="s">
        <v>3713</v>
      </c>
      <c r="G488" s="37" t="s">
        <v>3714</v>
      </c>
      <c r="H488" s="35" t="s">
        <v>3419</v>
      </c>
      <c r="I488" s="35" t="s">
        <v>3416</v>
      </c>
      <c r="J488" s="38">
        <v>0.5396174863387978</v>
      </c>
      <c r="K488" s="35">
        <v>2</v>
      </c>
      <c r="L488" s="38">
        <f t="shared" si="7"/>
        <v>1.0792349726775956</v>
      </c>
      <c r="M488" s="35" t="s">
        <v>48</v>
      </c>
      <c r="N488" s="38">
        <v>1.0792349726775956</v>
      </c>
      <c r="O488" s="35" t="s">
        <v>12</v>
      </c>
    </row>
    <row r="489" spans="1:15" x14ac:dyDescent="0.25">
      <c r="A489" s="35">
        <v>1254403240</v>
      </c>
      <c r="B489" s="35" t="s">
        <v>3721</v>
      </c>
      <c r="C489" s="35">
        <v>2026</v>
      </c>
      <c r="D489" s="36">
        <v>46074.426145833335</v>
      </c>
      <c r="E489" s="37" t="s">
        <v>437</v>
      </c>
      <c r="F489" s="37" t="s">
        <v>3722</v>
      </c>
      <c r="G489" s="37" t="s">
        <v>3723</v>
      </c>
      <c r="H489" s="35" t="s">
        <v>3419</v>
      </c>
      <c r="I489" s="35" t="s">
        <v>3530</v>
      </c>
      <c r="J489" s="38">
        <v>1.0777777777777779</v>
      </c>
      <c r="K489" s="35">
        <v>1</v>
      </c>
      <c r="L489" s="38">
        <f t="shared" si="7"/>
        <v>1.0777777777777779</v>
      </c>
      <c r="M489" s="35" t="s">
        <v>48</v>
      </c>
      <c r="N489" s="38">
        <v>1.0777777777777779</v>
      </c>
      <c r="O489" s="35" t="s">
        <v>12</v>
      </c>
    </row>
    <row r="490" spans="1:15" x14ac:dyDescent="0.25">
      <c r="A490" s="35">
        <v>1156561021</v>
      </c>
      <c r="B490" s="35" t="s">
        <v>3527</v>
      </c>
      <c r="C490" s="35">
        <v>2024</v>
      </c>
      <c r="D490" s="36">
        <v>45420.366469907407</v>
      </c>
      <c r="E490" s="37" t="s">
        <v>2408</v>
      </c>
      <c r="F490" s="37" t="s">
        <v>5121</v>
      </c>
      <c r="G490" s="37" t="s">
        <v>4220</v>
      </c>
      <c r="H490" s="35" t="s">
        <v>3419</v>
      </c>
      <c r="I490" s="35" t="s">
        <v>3416</v>
      </c>
      <c r="J490" s="38">
        <v>1.0724089635854339</v>
      </c>
      <c r="K490" s="35">
        <v>1</v>
      </c>
      <c r="L490" s="38">
        <f t="shared" si="7"/>
        <v>1.0724089635854339</v>
      </c>
      <c r="M490" s="35" t="s">
        <v>48</v>
      </c>
      <c r="N490" s="38">
        <v>1.0724089635854339</v>
      </c>
      <c r="O490" s="35" t="s">
        <v>12</v>
      </c>
    </row>
    <row r="491" spans="1:15" ht="30" x14ac:dyDescent="0.25">
      <c r="A491" s="35">
        <v>1211690069</v>
      </c>
      <c r="B491" s="35" t="s">
        <v>3527</v>
      </c>
      <c r="C491" s="35">
        <v>2025</v>
      </c>
      <c r="D491" s="36">
        <v>45798.698495370372</v>
      </c>
      <c r="E491" s="37" t="s">
        <v>1185</v>
      </c>
      <c r="F491" s="37" t="s">
        <v>4311</v>
      </c>
      <c r="G491" s="37" t="s">
        <v>3520</v>
      </c>
      <c r="H491" s="35" t="s">
        <v>3419</v>
      </c>
      <c r="I491" s="35" t="s">
        <v>3416</v>
      </c>
      <c r="J491" s="38">
        <v>1.0679573712255772</v>
      </c>
      <c r="K491" s="35">
        <v>1</v>
      </c>
      <c r="L491" s="38">
        <f t="shared" si="7"/>
        <v>1.0679573712255772</v>
      </c>
      <c r="M491" s="35" t="s">
        <v>48</v>
      </c>
      <c r="N491" s="38">
        <v>1.0679573712255772</v>
      </c>
      <c r="O491" s="35" t="s">
        <v>12</v>
      </c>
    </row>
    <row r="492" spans="1:15" x14ac:dyDescent="0.25">
      <c r="A492" s="35">
        <v>1211757537</v>
      </c>
      <c r="B492" s="35" t="s">
        <v>3527</v>
      </c>
      <c r="C492" s="35">
        <v>2025</v>
      </c>
      <c r="D492" s="36">
        <v>45793.788981481477</v>
      </c>
      <c r="E492" s="37" t="s">
        <v>92</v>
      </c>
      <c r="F492" s="37" t="s">
        <v>4323</v>
      </c>
      <c r="G492" s="37" t="s">
        <v>3551</v>
      </c>
      <c r="H492" s="35" t="s">
        <v>3415</v>
      </c>
      <c r="I492" s="35" t="s">
        <v>3416</v>
      </c>
      <c r="J492" s="38">
        <v>0.26621951219512202</v>
      </c>
      <c r="K492" s="35">
        <v>4</v>
      </c>
      <c r="L492" s="38">
        <f t="shared" si="7"/>
        <v>1.0648780487804881</v>
      </c>
      <c r="M492" s="35" t="s">
        <v>48</v>
      </c>
      <c r="N492" s="38">
        <v>1.0648780487804881</v>
      </c>
      <c r="O492" s="35" t="s">
        <v>12</v>
      </c>
    </row>
    <row r="493" spans="1:15" ht="30" x14ac:dyDescent="0.25">
      <c r="A493" s="35">
        <v>1262419985</v>
      </c>
      <c r="B493" s="35" t="s">
        <v>3646</v>
      </c>
      <c r="C493" s="35">
        <v>2026</v>
      </c>
      <c r="D493" s="36">
        <v>46092.488171296303</v>
      </c>
      <c r="E493" s="37" t="s">
        <v>294</v>
      </c>
      <c r="F493" s="37" t="s">
        <v>3677</v>
      </c>
      <c r="G493" s="37" t="s">
        <v>3678</v>
      </c>
      <c r="H493" s="35" t="s">
        <v>3419</v>
      </c>
      <c r="I493" s="35" t="s">
        <v>3416</v>
      </c>
      <c r="J493" s="38">
        <v>1.060642570281124</v>
      </c>
      <c r="K493" s="35">
        <v>1</v>
      </c>
      <c r="L493" s="38">
        <f t="shared" si="7"/>
        <v>1.060642570281124</v>
      </c>
      <c r="M493" s="35" t="s">
        <v>48</v>
      </c>
      <c r="N493" s="38">
        <v>1.060642570281124</v>
      </c>
      <c r="O493" s="35" t="s">
        <v>12</v>
      </c>
    </row>
    <row r="494" spans="1:15" x14ac:dyDescent="0.25">
      <c r="A494" s="35">
        <v>1262419985</v>
      </c>
      <c r="B494" s="35" t="s">
        <v>3646</v>
      </c>
      <c r="C494" s="35">
        <v>2026</v>
      </c>
      <c r="D494" s="36">
        <v>46092.488171296303</v>
      </c>
      <c r="E494" s="37" t="s">
        <v>294</v>
      </c>
      <c r="F494" s="37" t="s">
        <v>3681</v>
      </c>
      <c r="G494" s="37" t="s">
        <v>3682</v>
      </c>
      <c r="H494" s="35" t="s">
        <v>3419</v>
      </c>
      <c r="I494" s="35" t="s">
        <v>3416</v>
      </c>
      <c r="J494" s="38">
        <v>1.060642570281124</v>
      </c>
      <c r="K494" s="35">
        <v>1</v>
      </c>
      <c r="L494" s="38">
        <f t="shared" si="7"/>
        <v>1.060642570281124</v>
      </c>
      <c r="M494" s="35" t="s">
        <v>48</v>
      </c>
      <c r="N494" s="38">
        <v>1.060642570281124</v>
      </c>
      <c r="O494" s="35" t="s">
        <v>12</v>
      </c>
    </row>
    <row r="495" spans="1:15" x14ac:dyDescent="0.25">
      <c r="A495" s="35">
        <v>1262419985</v>
      </c>
      <c r="B495" s="35" t="s">
        <v>3646</v>
      </c>
      <c r="C495" s="35">
        <v>2026</v>
      </c>
      <c r="D495" s="36">
        <v>46092.488171296303</v>
      </c>
      <c r="E495" s="37" t="s">
        <v>294</v>
      </c>
      <c r="F495" s="37" t="s">
        <v>3690</v>
      </c>
      <c r="G495" s="37" t="s">
        <v>3691</v>
      </c>
      <c r="H495" s="35" t="s">
        <v>3419</v>
      </c>
      <c r="I495" s="35" t="s">
        <v>3416</v>
      </c>
      <c r="J495" s="38">
        <v>1.060642570281124</v>
      </c>
      <c r="K495" s="35">
        <v>1</v>
      </c>
      <c r="L495" s="38">
        <f t="shared" si="7"/>
        <v>1.060642570281124</v>
      </c>
      <c r="M495" s="35" t="s">
        <v>48</v>
      </c>
      <c r="N495" s="38">
        <v>1.060642570281124</v>
      </c>
      <c r="O495" s="35" t="s">
        <v>12</v>
      </c>
    </row>
    <row r="496" spans="1:15" x14ac:dyDescent="0.25">
      <c r="A496" s="35">
        <v>1137320064</v>
      </c>
      <c r="B496" s="35" t="s">
        <v>3890</v>
      </c>
      <c r="C496" s="35">
        <v>2023</v>
      </c>
      <c r="D496" s="36">
        <v>45265.961192129631</v>
      </c>
      <c r="E496" s="37" t="s">
        <v>2770</v>
      </c>
      <c r="F496" s="37" t="s">
        <v>5462</v>
      </c>
      <c r="G496" s="37" t="s">
        <v>5274</v>
      </c>
      <c r="H496" s="35" t="s">
        <v>3415</v>
      </c>
      <c r="I496" s="35" t="s">
        <v>3416</v>
      </c>
      <c r="J496" s="38">
        <v>0.26153846153846155</v>
      </c>
      <c r="K496" s="35">
        <v>4</v>
      </c>
      <c r="L496" s="38">
        <f t="shared" si="7"/>
        <v>1.0461538461538462</v>
      </c>
      <c r="M496" s="35" t="s">
        <v>48</v>
      </c>
      <c r="N496" s="38">
        <v>1.0461538461538462</v>
      </c>
      <c r="O496" s="35" t="s">
        <v>2314</v>
      </c>
    </row>
    <row r="497" spans="1:15" ht="30" x14ac:dyDescent="0.25">
      <c r="A497" s="35">
        <v>1250941116</v>
      </c>
      <c r="B497" s="35" t="s">
        <v>3761</v>
      </c>
      <c r="C497" s="35">
        <v>2026</v>
      </c>
      <c r="D497" s="36">
        <v>46035.022962962961</v>
      </c>
      <c r="E497" s="37" t="s">
        <v>503</v>
      </c>
      <c r="F497" s="37" t="s">
        <v>3858</v>
      </c>
      <c r="G497" s="37" t="s">
        <v>3859</v>
      </c>
      <c r="H497" s="35" t="s">
        <v>3419</v>
      </c>
      <c r="I497" s="35" t="s">
        <v>3416</v>
      </c>
      <c r="J497" s="38">
        <v>1</v>
      </c>
      <c r="K497" s="35">
        <v>1</v>
      </c>
      <c r="L497" s="38">
        <f t="shared" si="7"/>
        <v>1</v>
      </c>
      <c r="M497" s="35" t="s">
        <v>48</v>
      </c>
      <c r="N497" s="38">
        <v>1</v>
      </c>
      <c r="O497" s="35" t="s">
        <v>12</v>
      </c>
    </row>
    <row r="498" spans="1:15" x14ac:dyDescent="0.25">
      <c r="A498" s="35" t="s">
        <v>1068</v>
      </c>
      <c r="B498" s="35" t="s">
        <v>4199</v>
      </c>
      <c r="C498" s="35">
        <v>2025</v>
      </c>
      <c r="D498" s="36">
        <v>45846</v>
      </c>
      <c r="E498" s="37" t="s">
        <v>1069</v>
      </c>
      <c r="F498" s="37" t="s">
        <v>3909</v>
      </c>
      <c r="G498" s="37" t="s">
        <v>3862</v>
      </c>
      <c r="H498" s="35" t="s">
        <v>3419</v>
      </c>
      <c r="I498" s="35" t="s">
        <v>3453</v>
      </c>
      <c r="J498" s="38">
        <v>1</v>
      </c>
      <c r="K498" s="35">
        <v>1</v>
      </c>
      <c r="L498" s="38">
        <f t="shared" si="7"/>
        <v>1</v>
      </c>
      <c r="M498" s="35" t="s">
        <v>48</v>
      </c>
      <c r="N498" s="38">
        <v>1</v>
      </c>
      <c r="O498" s="35" t="s">
        <v>12</v>
      </c>
    </row>
    <row r="499" spans="1:15" x14ac:dyDescent="0.25">
      <c r="A499" s="35">
        <v>1111494927</v>
      </c>
      <c r="B499" s="35" t="s">
        <v>3631</v>
      </c>
      <c r="C499" s="35">
        <v>2023</v>
      </c>
      <c r="D499" s="36">
        <v>45042.423900462964</v>
      </c>
      <c r="E499" s="37" t="s">
        <v>3112</v>
      </c>
      <c r="F499" s="37" t="s">
        <v>6017</v>
      </c>
      <c r="G499" s="37" t="s">
        <v>3652</v>
      </c>
      <c r="H499" s="35" t="s">
        <v>3419</v>
      </c>
      <c r="I499" s="35" t="s">
        <v>3416</v>
      </c>
      <c r="J499" s="38">
        <v>0.9916666666666667</v>
      </c>
      <c r="K499" s="35">
        <v>1</v>
      </c>
      <c r="L499" s="38">
        <f t="shared" si="7"/>
        <v>0.9916666666666667</v>
      </c>
      <c r="M499" s="35" t="s">
        <v>48</v>
      </c>
      <c r="N499" s="38">
        <v>0.9916666666666667</v>
      </c>
      <c r="O499" s="35" t="s">
        <v>12</v>
      </c>
    </row>
    <row r="500" spans="1:15" x14ac:dyDescent="0.25">
      <c r="A500" s="35">
        <v>1111494927</v>
      </c>
      <c r="B500" s="35" t="s">
        <v>3631</v>
      </c>
      <c r="C500" s="35">
        <v>2023</v>
      </c>
      <c r="D500" s="36">
        <v>45042.423900462964</v>
      </c>
      <c r="E500" s="37" t="s">
        <v>3112</v>
      </c>
      <c r="F500" s="37" t="s">
        <v>6018</v>
      </c>
      <c r="G500" s="37" t="s">
        <v>3726</v>
      </c>
      <c r="H500" s="35" t="s">
        <v>3419</v>
      </c>
      <c r="I500" s="35" t="s">
        <v>3530</v>
      </c>
      <c r="J500" s="38">
        <v>0.9916666666666667</v>
      </c>
      <c r="K500" s="35">
        <v>1</v>
      </c>
      <c r="L500" s="38">
        <f t="shared" si="7"/>
        <v>0.9916666666666667</v>
      </c>
      <c r="M500" s="35" t="s">
        <v>48</v>
      </c>
      <c r="N500" s="38">
        <v>0.9916666666666667</v>
      </c>
      <c r="O500" s="35" t="s">
        <v>12</v>
      </c>
    </row>
    <row r="501" spans="1:15" x14ac:dyDescent="0.25">
      <c r="A501" s="35">
        <v>1138956630</v>
      </c>
      <c r="B501" s="35" t="s">
        <v>3890</v>
      </c>
      <c r="C501" s="35">
        <v>2023</v>
      </c>
      <c r="D501" s="36">
        <v>45280.595150462963</v>
      </c>
      <c r="E501" s="37" t="s">
        <v>2737</v>
      </c>
      <c r="F501" s="37" t="s">
        <v>5444</v>
      </c>
      <c r="G501" s="37" t="s">
        <v>5274</v>
      </c>
      <c r="H501" s="35" t="s">
        <v>3419</v>
      </c>
      <c r="I501" s="35" t="s">
        <v>3416</v>
      </c>
      <c r="J501" s="38">
        <v>0.495</v>
      </c>
      <c r="K501" s="35">
        <v>2</v>
      </c>
      <c r="L501" s="38">
        <f t="shared" si="7"/>
        <v>0.99</v>
      </c>
      <c r="M501" s="35" t="s">
        <v>48</v>
      </c>
      <c r="N501" s="38">
        <v>0.99</v>
      </c>
      <c r="O501" s="35" t="s">
        <v>2314</v>
      </c>
    </row>
    <row r="502" spans="1:15" x14ac:dyDescent="0.25">
      <c r="A502" s="35">
        <v>1138956630</v>
      </c>
      <c r="B502" s="35" t="s">
        <v>3890</v>
      </c>
      <c r="C502" s="35">
        <v>2023</v>
      </c>
      <c r="D502" s="36">
        <v>45280.595150462963</v>
      </c>
      <c r="E502" s="37" t="s">
        <v>2737</v>
      </c>
      <c r="F502" s="37" t="s">
        <v>5445</v>
      </c>
      <c r="G502" s="37" t="s">
        <v>5446</v>
      </c>
      <c r="H502" s="35" t="s">
        <v>3415</v>
      </c>
      <c r="I502" s="35" t="s">
        <v>3416</v>
      </c>
      <c r="J502" s="38">
        <v>0.2475</v>
      </c>
      <c r="K502" s="35">
        <v>4</v>
      </c>
      <c r="L502" s="38">
        <f t="shared" si="7"/>
        <v>0.99</v>
      </c>
      <c r="M502" s="35" t="s">
        <v>48</v>
      </c>
      <c r="N502" s="38">
        <v>0.99</v>
      </c>
      <c r="O502" s="35" t="s">
        <v>2314</v>
      </c>
    </row>
    <row r="503" spans="1:15" x14ac:dyDescent="0.25">
      <c r="A503" s="35">
        <v>1242114768</v>
      </c>
      <c r="B503" s="35" t="s">
        <v>3968</v>
      </c>
      <c r="C503" s="35">
        <v>2025</v>
      </c>
      <c r="D503" s="36">
        <v>45989.871377314812</v>
      </c>
      <c r="E503" s="37" t="s">
        <v>726</v>
      </c>
      <c r="F503" s="37" t="s">
        <v>3665</v>
      </c>
      <c r="G503" s="37" t="s">
        <v>3666</v>
      </c>
      <c r="H503" s="35" t="s">
        <v>3419</v>
      </c>
      <c r="I503" s="35" t="s">
        <v>3416</v>
      </c>
      <c r="J503" s="38">
        <v>0.94333333333333336</v>
      </c>
      <c r="K503" s="35">
        <v>1</v>
      </c>
      <c r="L503" s="38">
        <f t="shared" si="7"/>
        <v>0.94333333333333336</v>
      </c>
      <c r="M503" s="35" t="s">
        <v>48</v>
      </c>
      <c r="N503" s="38">
        <v>0.94333333333333336</v>
      </c>
      <c r="O503" s="35" t="s">
        <v>12</v>
      </c>
    </row>
    <row r="504" spans="1:15" x14ac:dyDescent="0.25">
      <c r="A504" s="35">
        <v>1261791271</v>
      </c>
      <c r="B504" s="35" t="s">
        <v>3646</v>
      </c>
      <c r="C504" s="35">
        <v>2026</v>
      </c>
      <c r="D504" s="36">
        <v>46089.398935185192</v>
      </c>
      <c r="E504" s="37" t="s">
        <v>349</v>
      </c>
      <c r="F504" s="37" t="s">
        <v>3698</v>
      </c>
      <c r="G504" s="37" t="s">
        <v>3700</v>
      </c>
      <c r="H504" s="35" t="s">
        <v>3419</v>
      </c>
      <c r="I504" s="35" t="s">
        <v>3416</v>
      </c>
      <c r="J504" s="38">
        <v>0.41111111111111109</v>
      </c>
      <c r="K504" s="35">
        <v>2</v>
      </c>
      <c r="L504" s="38">
        <f t="shared" si="7"/>
        <v>0.82222222222222219</v>
      </c>
      <c r="M504" s="35" t="s">
        <v>48</v>
      </c>
      <c r="N504" s="38">
        <v>0.82222222222222219</v>
      </c>
      <c r="O504" s="35" t="s">
        <v>12</v>
      </c>
    </row>
    <row r="505" spans="1:15" x14ac:dyDescent="0.25">
      <c r="A505" s="35">
        <v>1258407112</v>
      </c>
      <c r="B505" s="35" t="s">
        <v>3646</v>
      </c>
      <c r="C505" s="35">
        <v>2026</v>
      </c>
      <c r="D505" s="36">
        <v>46084.430081018516</v>
      </c>
      <c r="E505" s="37" t="s">
        <v>318</v>
      </c>
      <c r="F505" s="37" t="s">
        <v>3711</v>
      </c>
      <c r="G505" s="37" t="s">
        <v>3712</v>
      </c>
      <c r="H505" s="35" t="s">
        <v>3419</v>
      </c>
      <c r="I505" s="35" t="s">
        <v>3416</v>
      </c>
      <c r="J505" s="38">
        <v>0.2698087431693989</v>
      </c>
      <c r="K505" s="35">
        <v>3</v>
      </c>
      <c r="L505" s="38">
        <f t="shared" si="7"/>
        <v>0.80942622950819665</v>
      </c>
      <c r="M505" s="35" t="s">
        <v>48</v>
      </c>
      <c r="N505" s="38">
        <v>0.80942622950819676</v>
      </c>
      <c r="O505" s="35" t="s">
        <v>12</v>
      </c>
    </row>
    <row r="506" spans="1:15" x14ac:dyDescent="0.25">
      <c r="A506" s="35">
        <v>1244111848</v>
      </c>
      <c r="B506" s="35" t="s">
        <v>3890</v>
      </c>
      <c r="C506" s="35">
        <v>2025</v>
      </c>
      <c r="D506" s="36">
        <v>46000.469085648147</v>
      </c>
      <c r="E506" s="37" t="s">
        <v>672</v>
      </c>
      <c r="F506" s="37" t="s">
        <v>3936</v>
      </c>
      <c r="G506" s="37" t="s">
        <v>3937</v>
      </c>
      <c r="H506" s="35" t="s">
        <v>3419</v>
      </c>
      <c r="I506" s="35" t="s">
        <v>3416</v>
      </c>
      <c r="J506" s="38">
        <v>0.39777777777777779</v>
      </c>
      <c r="K506" s="35">
        <v>2</v>
      </c>
      <c r="L506" s="38">
        <f t="shared" si="7"/>
        <v>0.79555555555555557</v>
      </c>
      <c r="M506" s="35" t="s">
        <v>48</v>
      </c>
      <c r="N506" s="38">
        <v>0.79555555555555557</v>
      </c>
      <c r="O506" s="35" t="s">
        <v>12</v>
      </c>
    </row>
    <row r="507" spans="1:15" x14ac:dyDescent="0.25">
      <c r="A507" s="35">
        <v>1249045481</v>
      </c>
      <c r="B507" s="35" t="s">
        <v>3761</v>
      </c>
      <c r="C507" s="35">
        <v>2026</v>
      </c>
      <c r="D507" s="36">
        <v>46024.666724537034</v>
      </c>
      <c r="E507" s="37" t="s">
        <v>541</v>
      </c>
      <c r="F507" s="37" t="s">
        <v>3884</v>
      </c>
      <c r="G507" s="37" t="s">
        <v>3700</v>
      </c>
      <c r="H507" s="35" t="s">
        <v>3415</v>
      </c>
      <c r="I507" s="35" t="s">
        <v>3453</v>
      </c>
      <c r="J507" s="38">
        <v>0.19791666666666671</v>
      </c>
      <c r="K507" s="35">
        <v>4</v>
      </c>
      <c r="L507" s="38">
        <f t="shared" si="7"/>
        <v>0.79166666666666685</v>
      </c>
      <c r="M507" s="35" t="s">
        <v>48</v>
      </c>
      <c r="N507" s="38">
        <v>0.79166666666666674</v>
      </c>
      <c r="O507" s="35" t="s">
        <v>12</v>
      </c>
    </row>
    <row r="508" spans="1:15" x14ac:dyDescent="0.25">
      <c r="A508" s="35">
        <v>1136792833</v>
      </c>
      <c r="B508" s="35" t="s">
        <v>3890</v>
      </c>
      <c r="C508" s="35">
        <v>2023</v>
      </c>
      <c r="D508" s="36">
        <v>45261.610497685193</v>
      </c>
      <c r="E508" s="37" t="s">
        <v>2775</v>
      </c>
      <c r="F508" s="37" t="s">
        <v>5465</v>
      </c>
      <c r="G508" s="37" t="s">
        <v>5274</v>
      </c>
      <c r="H508" s="35" t="s">
        <v>3419</v>
      </c>
      <c r="I508" s="35" t="s">
        <v>3416</v>
      </c>
      <c r="J508" s="38">
        <v>0.37744360902255636</v>
      </c>
      <c r="K508" s="35">
        <v>2</v>
      </c>
      <c r="L508" s="38">
        <f t="shared" si="7"/>
        <v>0.75488721804511272</v>
      </c>
      <c r="M508" s="35" t="s">
        <v>48</v>
      </c>
      <c r="N508" s="38">
        <v>0.75488721804511272</v>
      </c>
      <c r="O508" s="35" t="s">
        <v>2314</v>
      </c>
    </row>
    <row r="509" spans="1:15" x14ac:dyDescent="0.25">
      <c r="A509" s="35">
        <v>1249242627</v>
      </c>
      <c r="B509" s="35" t="s">
        <v>3761</v>
      </c>
      <c r="C509" s="35">
        <v>2026</v>
      </c>
      <c r="D509" s="36">
        <v>46025.785520833328</v>
      </c>
      <c r="E509" s="37" t="s">
        <v>536</v>
      </c>
      <c r="F509" s="37" t="s">
        <v>3883</v>
      </c>
      <c r="G509" s="37" t="s">
        <v>3682</v>
      </c>
      <c r="H509" s="35" t="s">
        <v>3419</v>
      </c>
      <c r="I509" s="35" t="s">
        <v>3416</v>
      </c>
      <c r="J509" s="38">
        <v>0.7265625</v>
      </c>
      <c r="K509" s="35">
        <v>1</v>
      </c>
      <c r="L509" s="38">
        <f t="shared" si="7"/>
        <v>0.7265625</v>
      </c>
      <c r="M509" s="35" t="s">
        <v>48</v>
      </c>
      <c r="N509" s="38">
        <v>0.7265625</v>
      </c>
      <c r="O509" s="35" t="s">
        <v>12</v>
      </c>
    </row>
    <row r="510" spans="1:15" x14ac:dyDescent="0.25">
      <c r="A510" s="35">
        <v>1192929609</v>
      </c>
      <c r="B510" s="35" t="s">
        <v>3761</v>
      </c>
      <c r="C510" s="35">
        <v>2025</v>
      </c>
      <c r="D510" s="36">
        <v>45680.570196759261</v>
      </c>
      <c r="E510" s="37" t="s">
        <v>1523</v>
      </c>
      <c r="F510" s="37" t="s">
        <v>4652</v>
      </c>
      <c r="G510" s="37" t="s">
        <v>3970</v>
      </c>
      <c r="H510" s="35" t="s">
        <v>3419</v>
      </c>
      <c r="I510" s="35" t="s">
        <v>3416</v>
      </c>
      <c r="J510" s="38">
        <v>0.69951140065146578</v>
      </c>
      <c r="K510" s="35">
        <v>1</v>
      </c>
      <c r="L510" s="38">
        <f t="shared" si="7"/>
        <v>0.69951140065146578</v>
      </c>
      <c r="M510" s="35" t="s">
        <v>48</v>
      </c>
      <c r="N510" s="38">
        <v>0.69951140065146578</v>
      </c>
      <c r="O510" s="35" t="s">
        <v>12</v>
      </c>
    </row>
    <row r="511" spans="1:15" x14ac:dyDescent="0.25">
      <c r="A511" s="35">
        <v>1192929609</v>
      </c>
      <c r="B511" s="35" t="s">
        <v>3761</v>
      </c>
      <c r="C511" s="35">
        <v>2025</v>
      </c>
      <c r="D511" s="36">
        <v>45680.570196759261</v>
      </c>
      <c r="E511" s="37" t="s">
        <v>1523</v>
      </c>
      <c r="F511" s="37" t="s">
        <v>4653</v>
      </c>
      <c r="G511" s="37" t="s">
        <v>3726</v>
      </c>
      <c r="H511" s="35" t="s">
        <v>3419</v>
      </c>
      <c r="I511" s="35" t="s">
        <v>3530</v>
      </c>
      <c r="J511" s="38">
        <v>0.69951140065146578</v>
      </c>
      <c r="K511" s="35">
        <v>1</v>
      </c>
      <c r="L511" s="38">
        <f t="shared" si="7"/>
        <v>0.69951140065146578</v>
      </c>
      <c r="M511" s="35" t="s">
        <v>48</v>
      </c>
      <c r="N511" s="38">
        <v>0.69951140065146578</v>
      </c>
      <c r="O511" s="35" t="s">
        <v>12</v>
      </c>
    </row>
    <row r="512" spans="1:15" x14ac:dyDescent="0.25">
      <c r="A512" s="35">
        <v>1192929609</v>
      </c>
      <c r="B512" s="35" t="s">
        <v>3761</v>
      </c>
      <c r="C512" s="35">
        <v>2025</v>
      </c>
      <c r="D512" s="36">
        <v>45680.570196759261</v>
      </c>
      <c r="E512" s="37" t="s">
        <v>1523</v>
      </c>
      <c r="F512" s="37" t="s">
        <v>3692</v>
      </c>
      <c r="G512" s="37" t="s">
        <v>4654</v>
      </c>
      <c r="H512" s="35" t="s">
        <v>3419</v>
      </c>
      <c r="I512" s="35" t="s">
        <v>3416</v>
      </c>
      <c r="J512" s="38">
        <v>0.69951140065146578</v>
      </c>
      <c r="K512" s="35">
        <v>1</v>
      </c>
      <c r="L512" s="38">
        <f t="shared" si="7"/>
        <v>0.69951140065146578</v>
      </c>
      <c r="M512" s="35" t="s">
        <v>48</v>
      </c>
      <c r="N512" s="38">
        <v>0.69951140065146578</v>
      </c>
      <c r="O512" s="35" t="s">
        <v>12</v>
      </c>
    </row>
    <row r="513" spans="1:15" x14ac:dyDescent="0.25">
      <c r="A513" s="35">
        <v>1242317669</v>
      </c>
      <c r="B513" s="35" t="s">
        <v>3968</v>
      </c>
      <c r="C513" s="35">
        <v>2025</v>
      </c>
      <c r="D513" s="36">
        <v>45982.51253472222</v>
      </c>
      <c r="E513" s="37" t="s">
        <v>318</v>
      </c>
      <c r="F513" s="37" t="s">
        <v>3995</v>
      </c>
      <c r="G513" s="37" t="s">
        <v>3668</v>
      </c>
      <c r="H513" s="35" t="s">
        <v>3419</v>
      </c>
      <c r="I513" s="35" t="s">
        <v>3416</v>
      </c>
      <c r="J513" s="38">
        <v>0.69275362318840583</v>
      </c>
      <c r="K513" s="35">
        <v>1</v>
      </c>
      <c r="L513" s="38">
        <f t="shared" si="7"/>
        <v>0.69275362318840583</v>
      </c>
      <c r="M513" s="35" t="s">
        <v>48</v>
      </c>
      <c r="N513" s="38">
        <v>0.69275362318840583</v>
      </c>
      <c r="O513" s="35" t="s">
        <v>12</v>
      </c>
    </row>
    <row r="514" spans="1:15" x14ac:dyDescent="0.25">
      <c r="A514" s="35">
        <v>1137320064</v>
      </c>
      <c r="B514" s="35" t="s">
        <v>3890</v>
      </c>
      <c r="C514" s="35">
        <v>2023</v>
      </c>
      <c r="D514" s="36">
        <v>45265.961192129631</v>
      </c>
      <c r="E514" s="37" t="s">
        <v>2770</v>
      </c>
      <c r="F514" s="37" t="s">
        <v>5461</v>
      </c>
      <c r="G514" s="37" t="s">
        <v>5274</v>
      </c>
      <c r="H514" s="35" t="s">
        <v>3419</v>
      </c>
      <c r="I514" s="35" t="s">
        <v>3416</v>
      </c>
      <c r="J514" s="38">
        <v>0.65384615384615374</v>
      </c>
      <c r="K514" s="35">
        <v>1</v>
      </c>
      <c r="L514" s="38">
        <f t="shared" ref="L514:L577" si="8">J514*K514</f>
        <v>0.65384615384615374</v>
      </c>
      <c r="M514" s="35" t="s">
        <v>48</v>
      </c>
      <c r="N514" s="38">
        <v>0.65384615384615374</v>
      </c>
      <c r="O514" s="35" t="s">
        <v>2314</v>
      </c>
    </row>
    <row r="515" spans="1:15" x14ac:dyDescent="0.25">
      <c r="A515" s="35">
        <v>1158084187</v>
      </c>
      <c r="B515" s="35" t="s">
        <v>3527</v>
      </c>
      <c r="C515" s="35">
        <v>2024</v>
      </c>
      <c r="D515" s="36">
        <v>45432.950949074067</v>
      </c>
      <c r="E515" s="37" t="s">
        <v>2340</v>
      </c>
      <c r="F515" s="37" t="s">
        <v>5073</v>
      </c>
      <c r="G515" s="37" t="s">
        <v>3652</v>
      </c>
      <c r="H515" s="35" t="s">
        <v>3419</v>
      </c>
      <c r="I515" s="35" t="s">
        <v>3530</v>
      </c>
      <c r="J515" s="38">
        <v>0.63707865168539324</v>
      </c>
      <c r="K515" s="35">
        <v>1</v>
      </c>
      <c r="L515" s="38">
        <f t="shared" si="8"/>
        <v>0.63707865168539324</v>
      </c>
      <c r="M515" s="35" t="s">
        <v>48</v>
      </c>
      <c r="N515" s="38">
        <v>0.63707865168539324</v>
      </c>
      <c r="O515" s="35" t="s">
        <v>12</v>
      </c>
    </row>
    <row r="516" spans="1:15" x14ac:dyDescent="0.25">
      <c r="A516" s="35">
        <v>1158084187</v>
      </c>
      <c r="B516" s="35" t="s">
        <v>3527</v>
      </c>
      <c r="C516" s="35">
        <v>2024</v>
      </c>
      <c r="D516" s="36">
        <v>45432.950949074067</v>
      </c>
      <c r="E516" s="37" t="s">
        <v>2340</v>
      </c>
      <c r="F516" s="37" t="s">
        <v>5075</v>
      </c>
      <c r="G516" s="37" t="s">
        <v>4063</v>
      </c>
      <c r="H516" s="35" t="s">
        <v>3419</v>
      </c>
      <c r="I516" s="35" t="s">
        <v>3530</v>
      </c>
      <c r="J516" s="38">
        <v>0.63707865168539324</v>
      </c>
      <c r="K516" s="35">
        <v>1</v>
      </c>
      <c r="L516" s="38">
        <f t="shared" si="8"/>
        <v>0.63707865168539324</v>
      </c>
      <c r="M516" s="35" t="s">
        <v>48</v>
      </c>
      <c r="N516" s="38">
        <v>0.63707865168539324</v>
      </c>
      <c r="O516" s="35" t="s">
        <v>12</v>
      </c>
    </row>
    <row r="517" spans="1:15" x14ac:dyDescent="0.25">
      <c r="A517" s="35">
        <v>1252378732</v>
      </c>
      <c r="B517" s="35" t="s">
        <v>3761</v>
      </c>
      <c r="C517" s="35">
        <v>2026</v>
      </c>
      <c r="D517" s="36">
        <v>46050.642835648148</v>
      </c>
      <c r="E517" s="37" t="s">
        <v>472</v>
      </c>
      <c r="F517" s="37" t="s">
        <v>3771</v>
      </c>
      <c r="G517" s="37" t="s">
        <v>3772</v>
      </c>
      <c r="H517" s="35" t="s">
        <v>3419</v>
      </c>
      <c r="I517" s="35" t="s">
        <v>3416</v>
      </c>
      <c r="J517" s="38">
        <v>0.62745098039215685</v>
      </c>
      <c r="K517" s="35">
        <v>1</v>
      </c>
      <c r="L517" s="38">
        <f t="shared" si="8"/>
        <v>0.62745098039215685</v>
      </c>
      <c r="M517" s="35" t="s">
        <v>48</v>
      </c>
      <c r="N517" s="38">
        <v>0.62745098039215685</v>
      </c>
      <c r="O517" s="35" t="s">
        <v>12</v>
      </c>
    </row>
    <row r="518" spans="1:15" x14ac:dyDescent="0.25">
      <c r="A518" s="35">
        <v>1251259881</v>
      </c>
      <c r="B518" s="35" t="s">
        <v>3761</v>
      </c>
      <c r="C518" s="35">
        <v>2026</v>
      </c>
      <c r="D518" s="36">
        <v>46036.763379629629</v>
      </c>
      <c r="E518" s="37" t="s">
        <v>491</v>
      </c>
      <c r="F518" s="37" t="s">
        <v>3832</v>
      </c>
      <c r="G518" s="37" t="s">
        <v>3797</v>
      </c>
      <c r="H518" s="35" t="s">
        <v>3419</v>
      </c>
      <c r="I518" s="35" t="s">
        <v>3416</v>
      </c>
      <c r="J518" s="38">
        <v>0.625</v>
      </c>
      <c r="K518" s="35">
        <v>1</v>
      </c>
      <c r="L518" s="38">
        <f t="shared" si="8"/>
        <v>0.625</v>
      </c>
      <c r="M518" s="35" t="s">
        <v>48</v>
      </c>
      <c r="N518" s="38">
        <v>0.625</v>
      </c>
      <c r="O518" s="35" t="s">
        <v>12</v>
      </c>
    </row>
    <row r="519" spans="1:15" x14ac:dyDescent="0.25">
      <c r="A519" s="35">
        <v>1192929609</v>
      </c>
      <c r="B519" s="35" t="s">
        <v>3721</v>
      </c>
      <c r="C519" s="35">
        <v>2025</v>
      </c>
      <c r="D519" s="36">
        <v>45710.620532407411</v>
      </c>
      <c r="E519" s="37" t="s">
        <v>1523</v>
      </c>
      <c r="F519" s="37" t="s">
        <v>4588</v>
      </c>
      <c r="G519" s="37" t="s">
        <v>3723</v>
      </c>
      <c r="H519" s="35" t="s">
        <v>3419</v>
      </c>
      <c r="I519" s="35" t="s">
        <v>3453</v>
      </c>
      <c r="J519" s="38">
        <v>0.30952380952380953</v>
      </c>
      <c r="K519" s="35">
        <v>2</v>
      </c>
      <c r="L519" s="38">
        <f t="shared" si="8"/>
        <v>0.61904761904761907</v>
      </c>
      <c r="M519" s="35" t="s">
        <v>48</v>
      </c>
      <c r="N519" s="38">
        <v>0.61904761904761907</v>
      </c>
      <c r="O519" s="35" t="s">
        <v>12</v>
      </c>
    </row>
    <row r="520" spans="1:15" x14ac:dyDescent="0.25">
      <c r="A520" s="35">
        <v>1252089479</v>
      </c>
      <c r="B520" s="35" t="s">
        <v>3761</v>
      </c>
      <c r="C520" s="35">
        <v>2026</v>
      </c>
      <c r="D520" s="36">
        <v>46041.045902777783</v>
      </c>
      <c r="E520" s="37" t="s">
        <v>479</v>
      </c>
      <c r="F520" s="37" t="s">
        <v>3808</v>
      </c>
      <c r="G520" s="37" t="s">
        <v>3726</v>
      </c>
      <c r="H520" s="35" t="s">
        <v>3419</v>
      </c>
      <c r="I520" s="35" t="s">
        <v>3530</v>
      </c>
      <c r="J520" s="38">
        <v>0.6058394160583942</v>
      </c>
      <c r="K520" s="35">
        <v>1</v>
      </c>
      <c r="L520" s="38">
        <f t="shared" si="8"/>
        <v>0.6058394160583942</v>
      </c>
      <c r="M520" s="35" t="s">
        <v>48</v>
      </c>
      <c r="N520" s="38">
        <v>0.6058394160583942</v>
      </c>
      <c r="O520" s="35" t="s">
        <v>12</v>
      </c>
    </row>
    <row r="521" spans="1:15" x14ac:dyDescent="0.25">
      <c r="A521" s="35">
        <v>1252089479</v>
      </c>
      <c r="B521" s="35" t="s">
        <v>3761</v>
      </c>
      <c r="C521" s="35">
        <v>2026</v>
      </c>
      <c r="D521" s="36">
        <v>46041.045902777783</v>
      </c>
      <c r="E521" s="37" t="s">
        <v>479</v>
      </c>
      <c r="F521" s="37" t="s">
        <v>3809</v>
      </c>
      <c r="G521" s="37" t="s">
        <v>3810</v>
      </c>
      <c r="H521" s="35" t="s">
        <v>3419</v>
      </c>
      <c r="I521" s="35" t="s">
        <v>3530</v>
      </c>
      <c r="J521" s="38">
        <v>0.6058394160583942</v>
      </c>
      <c r="K521" s="35">
        <v>1</v>
      </c>
      <c r="L521" s="38">
        <f t="shared" si="8"/>
        <v>0.6058394160583942</v>
      </c>
      <c r="M521" s="35" t="s">
        <v>48</v>
      </c>
      <c r="N521" s="38">
        <v>0.6058394160583942</v>
      </c>
      <c r="O521" s="35" t="s">
        <v>12</v>
      </c>
    </row>
    <row r="522" spans="1:15" x14ac:dyDescent="0.25">
      <c r="A522" s="35">
        <v>1188500052</v>
      </c>
      <c r="B522" s="35" t="s">
        <v>3890</v>
      </c>
      <c r="C522" s="35">
        <v>2024</v>
      </c>
      <c r="D522" s="36">
        <v>45651.979224537034</v>
      </c>
      <c r="E522" s="37" t="s">
        <v>1609</v>
      </c>
      <c r="F522" s="37" t="s">
        <v>4692</v>
      </c>
      <c r="G522" s="37" t="s">
        <v>3726</v>
      </c>
      <c r="H522" s="35" t="s">
        <v>3419</v>
      </c>
      <c r="I522" s="35" t="s">
        <v>3530</v>
      </c>
      <c r="J522" s="38">
        <v>0.60152190051967336</v>
      </c>
      <c r="K522" s="35">
        <v>1</v>
      </c>
      <c r="L522" s="38">
        <f t="shared" si="8"/>
        <v>0.60152190051967336</v>
      </c>
      <c r="M522" s="35" t="s">
        <v>48</v>
      </c>
      <c r="N522" s="38">
        <v>0.60152190051967336</v>
      </c>
      <c r="O522" s="35" t="s">
        <v>12</v>
      </c>
    </row>
    <row r="523" spans="1:15" x14ac:dyDescent="0.25">
      <c r="A523" s="35">
        <v>1178747825</v>
      </c>
      <c r="B523" s="35" t="s">
        <v>4070</v>
      </c>
      <c r="C523" s="35">
        <v>2024</v>
      </c>
      <c r="D523" s="36">
        <v>45582.36078703704</v>
      </c>
      <c r="E523" s="37" t="s">
        <v>294</v>
      </c>
      <c r="F523" s="37" t="s">
        <v>4788</v>
      </c>
      <c r="G523" s="37" t="s">
        <v>3712</v>
      </c>
      <c r="H523" s="35" t="s">
        <v>3419</v>
      </c>
      <c r="I523" s="35" t="s">
        <v>3416</v>
      </c>
      <c r="J523" s="38">
        <v>0.29728682170542642</v>
      </c>
      <c r="K523" s="35">
        <v>2</v>
      </c>
      <c r="L523" s="38">
        <f t="shared" si="8"/>
        <v>0.59457364341085284</v>
      </c>
      <c r="M523" s="35" t="s">
        <v>48</v>
      </c>
      <c r="N523" s="38">
        <v>0.59457364341085273</v>
      </c>
      <c r="O523" s="35" t="s">
        <v>12</v>
      </c>
    </row>
    <row r="524" spans="1:15" x14ac:dyDescent="0.25">
      <c r="A524" s="35">
        <v>1266121863</v>
      </c>
      <c r="B524" s="35" t="s">
        <v>3646</v>
      </c>
      <c r="C524" s="35">
        <v>2026</v>
      </c>
      <c r="D524" s="36">
        <v>46112.23474537037</v>
      </c>
      <c r="E524" s="37" t="s">
        <v>318</v>
      </c>
      <c r="F524" s="37" t="s">
        <v>3649</v>
      </c>
      <c r="G524" s="37" t="s">
        <v>3650</v>
      </c>
      <c r="H524" s="35" t="s">
        <v>3415</v>
      </c>
      <c r="I524" s="35" t="s">
        <v>3416</v>
      </c>
      <c r="J524" s="38">
        <v>0.14794303797468361</v>
      </c>
      <c r="K524" s="35">
        <v>4</v>
      </c>
      <c r="L524" s="38">
        <f t="shared" si="8"/>
        <v>0.59177215189873444</v>
      </c>
      <c r="M524" s="35" t="s">
        <v>48</v>
      </c>
      <c r="N524" s="38">
        <v>0.59177215189873422</v>
      </c>
      <c r="O524" s="35" t="s">
        <v>12</v>
      </c>
    </row>
    <row r="525" spans="1:15" x14ac:dyDescent="0.25">
      <c r="A525" s="35">
        <v>1259925283</v>
      </c>
      <c r="B525" s="35" t="s">
        <v>3646</v>
      </c>
      <c r="C525" s="35">
        <v>2026</v>
      </c>
      <c r="D525" s="36">
        <v>46090.421585648146</v>
      </c>
      <c r="E525" s="37" t="s">
        <v>363</v>
      </c>
      <c r="F525" s="37" t="s">
        <v>3697</v>
      </c>
      <c r="G525" s="37" t="s">
        <v>3689</v>
      </c>
      <c r="H525" s="35" t="s">
        <v>3419</v>
      </c>
      <c r="I525" s="35" t="s">
        <v>3530</v>
      </c>
      <c r="J525" s="38">
        <v>0.58630952380952384</v>
      </c>
      <c r="K525" s="35">
        <v>1</v>
      </c>
      <c r="L525" s="38">
        <f t="shared" si="8"/>
        <v>0.58630952380952384</v>
      </c>
      <c r="M525" s="35" t="s">
        <v>48</v>
      </c>
      <c r="N525" s="38">
        <v>0.58630952380952384</v>
      </c>
      <c r="O525" s="35" t="s">
        <v>12</v>
      </c>
    </row>
    <row r="526" spans="1:15" x14ac:dyDescent="0.25">
      <c r="A526" s="35">
        <v>1194632647</v>
      </c>
      <c r="B526" s="35" t="s">
        <v>3721</v>
      </c>
      <c r="C526" s="35">
        <v>2025</v>
      </c>
      <c r="D526" s="36">
        <v>45690.349374999998</v>
      </c>
      <c r="E526" s="37" t="s">
        <v>1493</v>
      </c>
      <c r="F526" s="37" t="s">
        <v>4632</v>
      </c>
      <c r="G526" s="37" t="s">
        <v>3901</v>
      </c>
      <c r="H526" s="35" t="s">
        <v>3419</v>
      </c>
      <c r="I526" s="35" t="s">
        <v>3530</v>
      </c>
      <c r="J526" s="38">
        <v>0.57870967741935486</v>
      </c>
      <c r="K526" s="35">
        <v>1</v>
      </c>
      <c r="L526" s="38">
        <f t="shared" si="8"/>
        <v>0.57870967741935486</v>
      </c>
      <c r="M526" s="35" t="s">
        <v>48</v>
      </c>
      <c r="N526" s="38">
        <v>0.57870967741935486</v>
      </c>
      <c r="O526" s="35" t="s">
        <v>12</v>
      </c>
    </row>
    <row r="527" spans="1:15" x14ac:dyDescent="0.25">
      <c r="A527" s="35">
        <v>1248066770</v>
      </c>
      <c r="B527" s="35" t="s">
        <v>3890</v>
      </c>
      <c r="C527" s="35">
        <v>2025</v>
      </c>
      <c r="D527" s="36">
        <v>46018.698194444441</v>
      </c>
      <c r="E527" s="37" t="s">
        <v>567</v>
      </c>
      <c r="F527" s="37" t="s">
        <v>3898</v>
      </c>
      <c r="G527" s="37" t="s">
        <v>3899</v>
      </c>
      <c r="H527" s="35" t="s">
        <v>3419</v>
      </c>
      <c r="I527" s="35" t="s">
        <v>3416</v>
      </c>
      <c r="J527" s="38">
        <v>0.57869822485207101</v>
      </c>
      <c r="K527" s="35">
        <v>1</v>
      </c>
      <c r="L527" s="38">
        <f t="shared" si="8"/>
        <v>0.57869822485207101</v>
      </c>
      <c r="M527" s="35" t="s">
        <v>48</v>
      </c>
      <c r="N527" s="38">
        <v>0.57869822485207101</v>
      </c>
      <c r="O527" s="35" t="s">
        <v>12</v>
      </c>
    </row>
    <row r="528" spans="1:15" x14ac:dyDescent="0.25">
      <c r="A528" s="35">
        <v>1216632811</v>
      </c>
      <c r="B528" s="35" t="s">
        <v>3412</v>
      </c>
      <c r="C528" s="35">
        <v>2025</v>
      </c>
      <c r="D528" s="36">
        <v>45838.494502314818</v>
      </c>
      <c r="E528" s="37" t="s">
        <v>1121</v>
      </c>
      <c r="F528" s="37" t="s">
        <v>4266</v>
      </c>
      <c r="G528" s="37" t="s">
        <v>3882</v>
      </c>
      <c r="H528" s="35" t="s">
        <v>3419</v>
      </c>
      <c r="I528" s="35" t="s">
        <v>3453</v>
      </c>
      <c r="J528" s="38">
        <v>0.28633578431372547</v>
      </c>
      <c r="K528" s="35">
        <v>2</v>
      </c>
      <c r="L528" s="38">
        <f t="shared" si="8"/>
        <v>0.57267156862745094</v>
      </c>
      <c r="M528" s="35" t="s">
        <v>48</v>
      </c>
      <c r="N528" s="38">
        <v>0.57267156862745094</v>
      </c>
      <c r="O528" s="35" t="s">
        <v>12</v>
      </c>
    </row>
    <row r="529" spans="1:15" x14ac:dyDescent="0.25">
      <c r="A529" s="35">
        <v>1216632811</v>
      </c>
      <c r="B529" s="35" t="s">
        <v>3412</v>
      </c>
      <c r="C529" s="35">
        <v>2025</v>
      </c>
      <c r="D529" s="36">
        <v>45838.494502314818</v>
      </c>
      <c r="E529" s="37" t="s">
        <v>1121</v>
      </c>
      <c r="F529" s="37" t="s">
        <v>4267</v>
      </c>
      <c r="G529" s="37" t="s">
        <v>4268</v>
      </c>
      <c r="H529" s="35" t="s">
        <v>3419</v>
      </c>
      <c r="I529" s="35" t="s">
        <v>3416</v>
      </c>
      <c r="J529" s="38">
        <v>0.57267156862745094</v>
      </c>
      <c r="K529" s="35">
        <v>1</v>
      </c>
      <c r="L529" s="38">
        <f t="shared" si="8"/>
        <v>0.57267156862745094</v>
      </c>
      <c r="M529" s="35" t="s">
        <v>48</v>
      </c>
      <c r="N529" s="38">
        <v>0.57267156862745094</v>
      </c>
      <c r="O529" s="35" t="s">
        <v>12</v>
      </c>
    </row>
    <row r="530" spans="1:15" x14ac:dyDescent="0.25">
      <c r="A530" s="35">
        <v>1238166844</v>
      </c>
      <c r="B530" s="35" t="s">
        <v>4070</v>
      </c>
      <c r="C530" s="35">
        <v>2025</v>
      </c>
      <c r="D530" s="36">
        <v>45957.850925925923</v>
      </c>
      <c r="E530" s="37" t="s">
        <v>832</v>
      </c>
      <c r="F530" s="37" t="s">
        <v>4079</v>
      </c>
      <c r="G530" s="37" t="s">
        <v>4080</v>
      </c>
      <c r="H530" s="35" t="s">
        <v>3419</v>
      </c>
      <c r="I530" s="35" t="s">
        <v>3416</v>
      </c>
      <c r="J530" s="38">
        <v>0.55782608695652169</v>
      </c>
      <c r="K530" s="35">
        <v>1</v>
      </c>
      <c r="L530" s="38">
        <f t="shared" si="8"/>
        <v>0.55782608695652169</v>
      </c>
      <c r="M530" s="35" t="s">
        <v>48</v>
      </c>
      <c r="N530" s="38">
        <v>0.55782608695652169</v>
      </c>
      <c r="O530" s="35" t="s">
        <v>12</v>
      </c>
    </row>
    <row r="531" spans="1:15" ht="30" x14ac:dyDescent="0.25">
      <c r="A531" s="35">
        <v>1188500052</v>
      </c>
      <c r="B531" s="35" t="s">
        <v>3761</v>
      </c>
      <c r="C531" s="35">
        <v>2025</v>
      </c>
      <c r="D531" s="36">
        <v>45664.515497685185</v>
      </c>
      <c r="E531" s="37" t="s">
        <v>1609</v>
      </c>
      <c r="F531" s="37" t="s">
        <v>4681</v>
      </c>
      <c r="G531" s="37" t="s">
        <v>4682</v>
      </c>
      <c r="H531" s="35" t="s">
        <v>3419</v>
      </c>
      <c r="I531" s="35" t="s">
        <v>3416</v>
      </c>
      <c r="J531" s="38">
        <v>0.55374336804873259</v>
      </c>
      <c r="K531" s="35">
        <v>1</v>
      </c>
      <c r="L531" s="38">
        <f t="shared" si="8"/>
        <v>0.55374336804873259</v>
      </c>
      <c r="M531" s="35" t="s">
        <v>48</v>
      </c>
      <c r="N531" s="38">
        <v>0.55374336804873259</v>
      </c>
      <c r="O531" s="35" t="s">
        <v>12</v>
      </c>
    </row>
    <row r="532" spans="1:15" x14ac:dyDescent="0.25">
      <c r="A532" s="35">
        <v>1262419985</v>
      </c>
      <c r="B532" s="35" t="s">
        <v>3646</v>
      </c>
      <c r="C532" s="35">
        <v>2026</v>
      </c>
      <c r="D532" s="36">
        <v>46098.444849537038</v>
      </c>
      <c r="E532" s="37" t="s">
        <v>294</v>
      </c>
      <c r="F532" s="37" t="s">
        <v>3667</v>
      </c>
      <c r="G532" s="37" t="s">
        <v>3668</v>
      </c>
      <c r="H532" s="35" t="s">
        <v>3419</v>
      </c>
      <c r="I532" s="35" t="s">
        <v>3640</v>
      </c>
      <c r="J532" s="38">
        <v>0.54632587859424919</v>
      </c>
      <c r="K532" s="35">
        <v>1</v>
      </c>
      <c r="L532" s="38">
        <f t="shared" si="8"/>
        <v>0.54632587859424919</v>
      </c>
      <c r="M532" s="35" t="s">
        <v>48</v>
      </c>
      <c r="N532" s="38">
        <v>0.54632587859424919</v>
      </c>
      <c r="O532" s="35" t="s">
        <v>12</v>
      </c>
    </row>
    <row r="533" spans="1:15" x14ac:dyDescent="0.25">
      <c r="A533" s="35">
        <v>1166492703</v>
      </c>
      <c r="B533" s="35" t="s">
        <v>4199</v>
      </c>
      <c r="C533" s="35">
        <v>2024</v>
      </c>
      <c r="D533" s="36">
        <v>45494.410393518519</v>
      </c>
      <c r="E533" s="37" t="s">
        <v>2068</v>
      </c>
      <c r="F533" s="37" t="s">
        <v>4941</v>
      </c>
      <c r="G533" s="37" t="s">
        <v>3621</v>
      </c>
      <c r="H533" s="35" t="s">
        <v>3419</v>
      </c>
      <c r="I533" s="35" t="s">
        <v>3416</v>
      </c>
      <c r="J533" s="38">
        <v>0.54181957186544338</v>
      </c>
      <c r="K533" s="35">
        <v>1</v>
      </c>
      <c r="L533" s="38">
        <f t="shared" si="8"/>
        <v>0.54181957186544338</v>
      </c>
      <c r="M533" s="35" t="s">
        <v>48</v>
      </c>
      <c r="N533" s="38">
        <v>0.54181957186544338</v>
      </c>
      <c r="O533" s="35" t="s">
        <v>12</v>
      </c>
    </row>
    <row r="534" spans="1:15" x14ac:dyDescent="0.25">
      <c r="A534" s="35">
        <v>1258407112</v>
      </c>
      <c r="B534" s="35" t="s">
        <v>3646</v>
      </c>
      <c r="C534" s="35">
        <v>2026</v>
      </c>
      <c r="D534" s="36">
        <v>46084.430081018516</v>
      </c>
      <c r="E534" s="37" t="s">
        <v>318</v>
      </c>
      <c r="F534" s="37" t="s">
        <v>3715</v>
      </c>
      <c r="G534" s="37" t="s">
        <v>3716</v>
      </c>
      <c r="H534" s="35" t="s">
        <v>3419</v>
      </c>
      <c r="I534" s="35" t="s">
        <v>3416</v>
      </c>
      <c r="J534" s="38">
        <v>0.2698087431693989</v>
      </c>
      <c r="K534" s="35">
        <v>2</v>
      </c>
      <c r="L534" s="38">
        <f t="shared" si="8"/>
        <v>0.5396174863387978</v>
      </c>
      <c r="M534" s="35" t="s">
        <v>48</v>
      </c>
      <c r="N534" s="38">
        <v>0.5396174863387978</v>
      </c>
      <c r="O534" s="35" t="s">
        <v>12</v>
      </c>
    </row>
    <row r="535" spans="1:15" x14ac:dyDescent="0.25">
      <c r="A535" s="35">
        <v>1247290743</v>
      </c>
      <c r="B535" s="35" t="s">
        <v>3890</v>
      </c>
      <c r="C535" s="35">
        <v>2025</v>
      </c>
      <c r="D535" s="36">
        <v>46012.964733796303</v>
      </c>
      <c r="E535" s="37" t="s">
        <v>590</v>
      </c>
      <c r="F535" s="37" t="s">
        <v>3909</v>
      </c>
      <c r="G535" s="37" t="s">
        <v>3862</v>
      </c>
      <c r="H535" s="35" t="s">
        <v>3419</v>
      </c>
      <c r="I535" s="35" t="s">
        <v>3416</v>
      </c>
      <c r="J535" s="38">
        <v>0.53868528214077949</v>
      </c>
      <c r="K535" s="35">
        <v>1</v>
      </c>
      <c r="L535" s="38">
        <f t="shared" si="8"/>
        <v>0.53868528214077949</v>
      </c>
      <c r="M535" s="35" t="s">
        <v>48</v>
      </c>
      <c r="N535" s="38">
        <v>0.53868528214077949</v>
      </c>
      <c r="O535" s="35" t="s">
        <v>12</v>
      </c>
    </row>
    <row r="536" spans="1:15" x14ac:dyDescent="0.25">
      <c r="A536" s="35">
        <v>1119858259</v>
      </c>
      <c r="B536" s="35" t="s">
        <v>4199</v>
      </c>
      <c r="C536" s="35">
        <v>2023</v>
      </c>
      <c r="D536" s="36">
        <v>45121.475081018521</v>
      </c>
      <c r="E536" s="37" t="s">
        <v>2971</v>
      </c>
      <c r="F536" s="37" t="s">
        <v>5719</v>
      </c>
      <c r="G536" s="37" t="s">
        <v>3678</v>
      </c>
      <c r="H536" s="35" t="s">
        <v>3419</v>
      </c>
      <c r="I536" s="35" t="s">
        <v>3416</v>
      </c>
      <c r="J536" s="38">
        <v>0.26434782608695651</v>
      </c>
      <c r="K536" s="35">
        <v>2</v>
      </c>
      <c r="L536" s="38">
        <f t="shared" si="8"/>
        <v>0.52869565217391301</v>
      </c>
      <c r="M536" s="35" t="s">
        <v>48</v>
      </c>
      <c r="N536" s="38">
        <v>0.52869565217391301</v>
      </c>
      <c r="O536" s="35" t="s">
        <v>12</v>
      </c>
    </row>
    <row r="537" spans="1:15" x14ac:dyDescent="0.25">
      <c r="A537" s="35">
        <v>1119858259</v>
      </c>
      <c r="B537" s="35" t="s">
        <v>4199</v>
      </c>
      <c r="C537" s="35">
        <v>2023</v>
      </c>
      <c r="D537" s="36">
        <v>45121.475081018521</v>
      </c>
      <c r="E537" s="37" t="s">
        <v>2971</v>
      </c>
      <c r="F537" s="37" t="s">
        <v>5720</v>
      </c>
      <c r="G537" s="37" t="s">
        <v>3712</v>
      </c>
      <c r="H537" s="35" t="s">
        <v>3419</v>
      </c>
      <c r="I537" s="35" t="s">
        <v>3416</v>
      </c>
      <c r="J537" s="38">
        <v>0.52869565217391301</v>
      </c>
      <c r="K537" s="35">
        <v>1</v>
      </c>
      <c r="L537" s="38">
        <f t="shared" si="8"/>
        <v>0.52869565217391301</v>
      </c>
      <c r="M537" s="35" t="s">
        <v>48</v>
      </c>
      <c r="N537" s="38">
        <v>0.52869565217391301</v>
      </c>
      <c r="O537" s="35" t="s">
        <v>12</v>
      </c>
    </row>
    <row r="538" spans="1:15" x14ac:dyDescent="0.25">
      <c r="A538" s="35">
        <v>1244111848</v>
      </c>
      <c r="B538" s="35" t="s">
        <v>3890</v>
      </c>
      <c r="C538" s="35">
        <v>2025</v>
      </c>
      <c r="D538" s="36">
        <v>45992.950150462973</v>
      </c>
      <c r="E538" s="37" t="s">
        <v>672</v>
      </c>
      <c r="F538" s="37" t="s">
        <v>3962</v>
      </c>
      <c r="G538" s="37" t="s">
        <v>3963</v>
      </c>
      <c r="H538" s="35" t="s">
        <v>3419</v>
      </c>
      <c r="I538" s="35" t="s">
        <v>3828</v>
      </c>
      <c r="J538" s="38">
        <v>0.25800000000000001</v>
      </c>
      <c r="K538" s="35">
        <v>2</v>
      </c>
      <c r="L538" s="38">
        <f t="shared" si="8"/>
        <v>0.51600000000000001</v>
      </c>
      <c r="M538" s="35" t="s">
        <v>48</v>
      </c>
      <c r="N538" s="38">
        <v>0.51600000000000001</v>
      </c>
      <c r="O538" s="35" t="s">
        <v>12</v>
      </c>
    </row>
    <row r="539" spans="1:15" x14ac:dyDescent="0.25">
      <c r="A539" s="35">
        <v>1244111848</v>
      </c>
      <c r="B539" s="35" t="s">
        <v>3890</v>
      </c>
      <c r="C539" s="35">
        <v>2025</v>
      </c>
      <c r="D539" s="36">
        <v>45992.950150462973</v>
      </c>
      <c r="E539" s="37" t="s">
        <v>672</v>
      </c>
      <c r="F539" s="37" t="s">
        <v>3962</v>
      </c>
      <c r="G539" s="37" t="s">
        <v>3963</v>
      </c>
      <c r="H539" s="35" t="s">
        <v>3419</v>
      </c>
      <c r="I539" s="35" t="s">
        <v>3530</v>
      </c>
      <c r="J539" s="38">
        <v>0.51600000000000001</v>
      </c>
      <c r="K539" s="35">
        <v>1</v>
      </c>
      <c r="L539" s="38">
        <f t="shared" si="8"/>
        <v>0.51600000000000001</v>
      </c>
      <c r="M539" s="35" t="s">
        <v>48</v>
      </c>
      <c r="N539" s="38">
        <v>0.51600000000000001</v>
      </c>
      <c r="O539" s="35" t="s">
        <v>12</v>
      </c>
    </row>
    <row r="540" spans="1:15" x14ac:dyDescent="0.25">
      <c r="A540" s="35">
        <v>1244111848</v>
      </c>
      <c r="B540" s="35" t="s">
        <v>3890</v>
      </c>
      <c r="C540" s="35">
        <v>2025</v>
      </c>
      <c r="D540" s="36">
        <v>45992.950150462973</v>
      </c>
      <c r="E540" s="37" t="s">
        <v>672</v>
      </c>
      <c r="F540" s="37" t="s">
        <v>3962</v>
      </c>
      <c r="G540" s="37" t="s">
        <v>3963</v>
      </c>
      <c r="H540" s="35" t="s">
        <v>3419</v>
      </c>
      <c r="I540" s="35" t="s">
        <v>3831</v>
      </c>
      <c r="J540" s="38">
        <v>0.51600000000000001</v>
      </c>
      <c r="K540" s="35">
        <v>1</v>
      </c>
      <c r="L540" s="38">
        <f t="shared" si="8"/>
        <v>0.51600000000000001</v>
      </c>
      <c r="M540" s="35" t="s">
        <v>48</v>
      </c>
      <c r="N540" s="38">
        <v>0.51600000000000001</v>
      </c>
      <c r="O540" s="35" t="s">
        <v>12</v>
      </c>
    </row>
    <row r="541" spans="1:15" x14ac:dyDescent="0.25">
      <c r="A541" s="35">
        <v>1157668500</v>
      </c>
      <c r="B541" s="35" t="s">
        <v>3527</v>
      </c>
      <c r="C541" s="35">
        <v>2024</v>
      </c>
      <c r="D541" s="36">
        <v>45429.583761574067</v>
      </c>
      <c r="E541" s="37" t="s">
        <v>2363</v>
      </c>
      <c r="F541" s="37" t="s">
        <v>4632</v>
      </c>
      <c r="G541" s="37" t="s">
        <v>3901</v>
      </c>
      <c r="H541" s="35" t="s">
        <v>3419</v>
      </c>
      <c r="I541" s="35" t="s">
        <v>3530</v>
      </c>
      <c r="J541" s="38">
        <v>0.4954663212435233</v>
      </c>
      <c r="K541" s="35">
        <v>1</v>
      </c>
      <c r="L541" s="38">
        <f t="shared" si="8"/>
        <v>0.4954663212435233</v>
      </c>
      <c r="M541" s="35" t="s">
        <v>48</v>
      </c>
      <c r="N541" s="38">
        <v>0.4954663212435233</v>
      </c>
      <c r="O541" s="35" t="s">
        <v>12</v>
      </c>
    </row>
    <row r="542" spans="1:15" x14ac:dyDescent="0.25">
      <c r="A542" s="35">
        <v>1229234217</v>
      </c>
      <c r="B542" s="35" t="s">
        <v>4132</v>
      </c>
      <c r="C542" s="35">
        <v>2025</v>
      </c>
      <c r="D542" s="36">
        <v>45903.860138888893</v>
      </c>
      <c r="E542" s="37" t="s">
        <v>972</v>
      </c>
      <c r="F542" s="37" t="s">
        <v>4157</v>
      </c>
      <c r="G542" s="37" t="s">
        <v>3619</v>
      </c>
      <c r="H542" s="35" t="s">
        <v>3419</v>
      </c>
      <c r="I542" s="35" t="s">
        <v>3416</v>
      </c>
      <c r="J542" s="38">
        <v>0.4279069767441861</v>
      </c>
      <c r="K542" s="35">
        <v>1</v>
      </c>
      <c r="L542" s="38">
        <f t="shared" si="8"/>
        <v>0.4279069767441861</v>
      </c>
      <c r="M542" s="35" t="s">
        <v>48</v>
      </c>
      <c r="N542" s="38">
        <v>0.4279069767441861</v>
      </c>
      <c r="O542" s="35" t="s">
        <v>12</v>
      </c>
    </row>
    <row r="543" spans="1:15" x14ac:dyDescent="0.25">
      <c r="A543" s="35">
        <v>1261791271</v>
      </c>
      <c r="B543" s="35" t="s">
        <v>3646</v>
      </c>
      <c r="C543" s="35">
        <v>2026</v>
      </c>
      <c r="D543" s="36">
        <v>46089.398935185192</v>
      </c>
      <c r="E543" s="37" t="s">
        <v>349</v>
      </c>
      <c r="F543" s="37" t="s">
        <v>3698</v>
      </c>
      <c r="G543" s="37" t="s">
        <v>3699</v>
      </c>
      <c r="H543" s="35" t="s">
        <v>3419</v>
      </c>
      <c r="I543" s="35" t="s">
        <v>3416</v>
      </c>
      <c r="J543" s="38">
        <v>0.41111111111111109</v>
      </c>
      <c r="K543" s="35">
        <v>1</v>
      </c>
      <c r="L543" s="38">
        <f t="shared" si="8"/>
        <v>0.41111111111111109</v>
      </c>
      <c r="M543" s="35" t="s">
        <v>48</v>
      </c>
      <c r="N543" s="38">
        <v>0.41111111111111109</v>
      </c>
      <c r="O543" s="35" t="s">
        <v>12</v>
      </c>
    </row>
    <row r="544" spans="1:15" ht="30" x14ac:dyDescent="0.25">
      <c r="A544" s="35">
        <v>1111494927</v>
      </c>
      <c r="B544" s="35" t="s">
        <v>3631</v>
      </c>
      <c r="C544" s="35">
        <v>2023</v>
      </c>
      <c r="D544" s="36">
        <v>45042.423900462964</v>
      </c>
      <c r="E544" s="37" t="s">
        <v>3112</v>
      </c>
      <c r="F544" s="37" t="s">
        <v>6016</v>
      </c>
      <c r="G544" s="37" t="s">
        <v>3678</v>
      </c>
      <c r="H544" s="35" t="s">
        <v>3419</v>
      </c>
      <c r="I544" s="35" t="s">
        <v>3416</v>
      </c>
      <c r="J544" s="38">
        <v>0.39666666666666667</v>
      </c>
      <c r="K544" s="35">
        <v>1</v>
      </c>
      <c r="L544" s="38">
        <f t="shared" si="8"/>
        <v>0.39666666666666667</v>
      </c>
      <c r="M544" s="35" t="s">
        <v>48</v>
      </c>
      <c r="N544" s="38">
        <v>0.39666666666666667</v>
      </c>
      <c r="O544" s="35" t="s">
        <v>12</v>
      </c>
    </row>
    <row r="545" spans="1:15" x14ac:dyDescent="0.25">
      <c r="A545" s="35">
        <v>1136792833</v>
      </c>
      <c r="B545" s="35" t="s">
        <v>3890</v>
      </c>
      <c r="C545" s="35">
        <v>2023</v>
      </c>
      <c r="D545" s="36">
        <v>45261.610497685193</v>
      </c>
      <c r="E545" s="37" t="s">
        <v>2775</v>
      </c>
      <c r="F545" s="37" t="s">
        <v>5464</v>
      </c>
      <c r="G545" s="37" t="s">
        <v>5274</v>
      </c>
      <c r="H545" s="35" t="s">
        <v>3419</v>
      </c>
      <c r="I545" s="35" t="s">
        <v>3416</v>
      </c>
      <c r="J545" s="38">
        <v>0.37744360902255636</v>
      </c>
      <c r="K545" s="35">
        <v>1</v>
      </c>
      <c r="L545" s="38">
        <f t="shared" si="8"/>
        <v>0.37744360902255636</v>
      </c>
      <c r="M545" s="35" t="s">
        <v>48</v>
      </c>
      <c r="N545" s="38">
        <v>0.37744360902255636</v>
      </c>
      <c r="O545" s="35" t="s">
        <v>2314</v>
      </c>
    </row>
    <row r="546" spans="1:15" x14ac:dyDescent="0.25">
      <c r="A546" s="35">
        <v>1249242627</v>
      </c>
      <c r="B546" s="35" t="s">
        <v>3761</v>
      </c>
      <c r="C546" s="35">
        <v>2026</v>
      </c>
      <c r="D546" s="36">
        <v>46025.785520833328</v>
      </c>
      <c r="E546" s="37" t="s">
        <v>536</v>
      </c>
      <c r="F546" s="37" t="s">
        <v>3881</v>
      </c>
      <c r="G546" s="37" t="s">
        <v>3882</v>
      </c>
      <c r="H546" s="35" t="s">
        <v>3415</v>
      </c>
      <c r="I546" s="35" t="s">
        <v>3453</v>
      </c>
      <c r="J546" s="38">
        <v>9.08203125E-2</v>
      </c>
      <c r="K546" s="35">
        <v>4</v>
      </c>
      <c r="L546" s="38">
        <f t="shared" si="8"/>
        <v>0.36328125</v>
      </c>
      <c r="M546" s="35" t="s">
        <v>48</v>
      </c>
      <c r="N546" s="38">
        <v>0.36328125</v>
      </c>
      <c r="O546" s="35" t="s">
        <v>12</v>
      </c>
    </row>
    <row r="547" spans="1:15" x14ac:dyDescent="0.25">
      <c r="A547" s="35">
        <v>1245445493</v>
      </c>
      <c r="B547" s="35" t="s">
        <v>3890</v>
      </c>
      <c r="C547" s="35">
        <v>2025</v>
      </c>
      <c r="D547" s="36">
        <v>46010.800474537034</v>
      </c>
      <c r="E547" s="37" t="s">
        <v>631</v>
      </c>
      <c r="F547" s="37" t="s">
        <v>3914</v>
      </c>
      <c r="G547" s="37" t="s">
        <v>3867</v>
      </c>
      <c r="H547" s="35" t="s">
        <v>3419</v>
      </c>
      <c r="I547" s="35" t="s">
        <v>3416</v>
      </c>
      <c r="J547" s="38">
        <v>0.3625919117647059</v>
      </c>
      <c r="K547" s="35">
        <v>1</v>
      </c>
      <c r="L547" s="38">
        <f t="shared" si="8"/>
        <v>0.3625919117647059</v>
      </c>
      <c r="M547" s="35" t="s">
        <v>48</v>
      </c>
      <c r="N547" s="38">
        <v>0.3625919117647059</v>
      </c>
      <c r="O547" s="35" t="s">
        <v>12</v>
      </c>
    </row>
    <row r="548" spans="1:15" x14ac:dyDescent="0.25">
      <c r="A548" s="35">
        <v>1245445493</v>
      </c>
      <c r="B548" s="35" t="s">
        <v>3890</v>
      </c>
      <c r="C548" s="35">
        <v>2025</v>
      </c>
      <c r="D548" s="36">
        <v>46000.833483796298</v>
      </c>
      <c r="E548" s="37" t="s">
        <v>631</v>
      </c>
      <c r="F548" s="37" t="s">
        <v>3933</v>
      </c>
      <c r="G548" s="37" t="s">
        <v>3699</v>
      </c>
      <c r="H548" s="35" t="s">
        <v>3419</v>
      </c>
      <c r="I548" s="35" t="s">
        <v>3416</v>
      </c>
      <c r="J548" s="38">
        <v>0.3625919117647059</v>
      </c>
      <c r="K548" s="35">
        <v>1</v>
      </c>
      <c r="L548" s="38">
        <f t="shared" si="8"/>
        <v>0.3625919117647059</v>
      </c>
      <c r="M548" s="35" t="s">
        <v>48</v>
      </c>
      <c r="N548" s="38">
        <v>0.3625919117647059</v>
      </c>
      <c r="O548" s="35" t="s">
        <v>12</v>
      </c>
    </row>
    <row r="549" spans="1:15" x14ac:dyDescent="0.25">
      <c r="A549" s="35">
        <v>1129471035</v>
      </c>
      <c r="B549" s="35" t="s">
        <v>4070</v>
      </c>
      <c r="C549" s="35">
        <v>2023</v>
      </c>
      <c r="D549" s="36">
        <v>45202.327141203707</v>
      </c>
      <c r="E549" s="37" t="s">
        <v>2865</v>
      </c>
      <c r="F549" s="37" t="s">
        <v>5616</v>
      </c>
      <c r="G549" s="37" t="s">
        <v>5274</v>
      </c>
      <c r="H549" s="35" t="s">
        <v>3419</v>
      </c>
      <c r="I549" s="35" t="s">
        <v>3416</v>
      </c>
      <c r="J549" s="38">
        <v>0.17803278688524588</v>
      </c>
      <c r="K549" s="35">
        <v>2</v>
      </c>
      <c r="L549" s="38">
        <f t="shared" si="8"/>
        <v>0.35606557377049175</v>
      </c>
      <c r="M549" s="35" t="s">
        <v>48</v>
      </c>
      <c r="N549" s="38">
        <v>0.35606557377049175</v>
      </c>
      <c r="O549" s="35" t="s">
        <v>2314</v>
      </c>
    </row>
    <row r="550" spans="1:15" x14ac:dyDescent="0.25">
      <c r="A550" s="35">
        <v>1252378732</v>
      </c>
      <c r="B550" s="35" t="s">
        <v>3761</v>
      </c>
      <c r="C550" s="35">
        <v>2026</v>
      </c>
      <c r="D550" s="36">
        <v>46042.53702546296</v>
      </c>
      <c r="E550" s="37" t="s">
        <v>472</v>
      </c>
      <c r="F550" s="37" t="s">
        <v>3801</v>
      </c>
      <c r="G550" s="37" t="s">
        <v>3652</v>
      </c>
      <c r="H550" s="35" t="s">
        <v>3419</v>
      </c>
      <c r="I550" s="35" t="s">
        <v>3416</v>
      </c>
      <c r="J550" s="38">
        <v>0.34027777777777779</v>
      </c>
      <c r="K550" s="35">
        <v>1</v>
      </c>
      <c r="L550" s="38">
        <f t="shared" si="8"/>
        <v>0.34027777777777779</v>
      </c>
      <c r="M550" s="35" t="s">
        <v>48</v>
      </c>
      <c r="N550" s="38">
        <v>0.34027777777777779</v>
      </c>
      <c r="O550" s="35" t="s">
        <v>12</v>
      </c>
    </row>
    <row r="551" spans="1:15" x14ac:dyDescent="0.25">
      <c r="A551" s="35">
        <v>1181893231</v>
      </c>
      <c r="B551" s="35" t="s">
        <v>3968</v>
      </c>
      <c r="C551" s="35">
        <v>2024</v>
      </c>
      <c r="D551" s="36">
        <v>45605.970972222232</v>
      </c>
      <c r="E551" s="37" t="s">
        <v>1742</v>
      </c>
      <c r="F551" s="37" t="s">
        <v>4632</v>
      </c>
      <c r="G551" s="37" t="s">
        <v>3959</v>
      </c>
      <c r="H551" s="35" t="s">
        <v>3419</v>
      </c>
      <c r="I551" s="35" t="s">
        <v>3416</v>
      </c>
      <c r="J551" s="38">
        <v>0.1552152317880795</v>
      </c>
      <c r="K551" s="35">
        <v>2</v>
      </c>
      <c r="L551" s="38">
        <f t="shared" si="8"/>
        <v>0.310430463576159</v>
      </c>
      <c r="M551" s="35" t="s">
        <v>48</v>
      </c>
      <c r="N551" s="38">
        <v>0.31043046357615889</v>
      </c>
      <c r="O551" s="35" t="s">
        <v>12</v>
      </c>
    </row>
    <row r="552" spans="1:15" x14ac:dyDescent="0.25">
      <c r="A552" s="35">
        <v>1257677828</v>
      </c>
      <c r="B552" s="35" t="s">
        <v>3721</v>
      </c>
      <c r="C552" s="35">
        <v>2026</v>
      </c>
      <c r="D552" s="36">
        <v>46068.696701388893</v>
      </c>
      <c r="E552" s="37" t="s">
        <v>375</v>
      </c>
      <c r="F552" s="37" t="s">
        <v>3734</v>
      </c>
      <c r="G552" s="37" t="s">
        <v>3680</v>
      </c>
      <c r="H552" s="35" t="s">
        <v>3419</v>
      </c>
      <c r="I552" s="35" t="s">
        <v>3416</v>
      </c>
      <c r="J552" s="38">
        <v>0.30418535127055307</v>
      </c>
      <c r="K552" s="35">
        <v>1</v>
      </c>
      <c r="L552" s="38">
        <f t="shared" si="8"/>
        <v>0.30418535127055307</v>
      </c>
      <c r="M552" s="35" t="s">
        <v>48</v>
      </c>
      <c r="N552" s="38">
        <v>0.30418535127055307</v>
      </c>
      <c r="O552" s="35" t="s">
        <v>12</v>
      </c>
    </row>
    <row r="553" spans="1:15" x14ac:dyDescent="0.25">
      <c r="A553" s="35">
        <v>1257677828</v>
      </c>
      <c r="B553" s="35" t="s">
        <v>3721</v>
      </c>
      <c r="C553" s="35">
        <v>2026</v>
      </c>
      <c r="D553" s="36">
        <v>46068.696701388893</v>
      </c>
      <c r="E553" s="37" t="s">
        <v>375</v>
      </c>
      <c r="F553" s="37" t="s">
        <v>3735</v>
      </c>
      <c r="G553" s="37" t="s">
        <v>3736</v>
      </c>
      <c r="H553" s="35" t="s">
        <v>3419</v>
      </c>
      <c r="I553" s="35" t="s">
        <v>3416</v>
      </c>
      <c r="J553" s="38">
        <v>0.30418535127055307</v>
      </c>
      <c r="K553" s="35">
        <v>1</v>
      </c>
      <c r="L553" s="38">
        <f t="shared" si="8"/>
        <v>0.30418535127055307</v>
      </c>
      <c r="M553" s="35" t="s">
        <v>48</v>
      </c>
      <c r="N553" s="38">
        <v>0.30418535127055307</v>
      </c>
      <c r="O553" s="35" t="s">
        <v>12</v>
      </c>
    </row>
    <row r="554" spans="1:15" x14ac:dyDescent="0.25">
      <c r="A554" s="35">
        <v>1136792833</v>
      </c>
      <c r="B554" s="35" t="s">
        <v>3890</v>
      </c>
      <c r="C554" s="35">
        <v>2023</v>
      </c>
      <c r="D554" s="36">
        <v>45261.610497685193</v>
      </c>
      <c r="E554" s="37" t="s">
        <v>2775</v>
      </c>
      <c r="F554" s="37" t="s">
        <v>5469</v>
      </c>
      <c r="G554" s="37" t="s">
        <v>5274</v>
      </c>
      <c r="H554" s="35" t="s">
        <v>3419</v>
      </c>
      <c r="I554" s="35" t="s">
        <v>3416</v>
      </c>
      <c r="J554" s="38">
        <v>0.15097744360902254</v>
      </c>
      <c r="K554" s="35">
        <v>2</v>
      </c>
      <c r="L554" s="38">
        <f t="shared" si="8"/>
        <v>0.30195488721804509</v>
      </c>
      <c r="M554" s="35" t="s">
        <v>48</v>
      </c>
      <c r="N554" s="38">
        <v>0.30195488721804509</v>
      </c>
      <c r="O554" s="35" t="s">
        <v>2314</v>
      </c>
    </row>
    <row r="555" spans="1:15" x14ac:dyDescent="0.25">
      <c r="A555" s="35">
        <v>1129471035</v>
      </c>
      <c r="B555" s="35" t="s">
        <v>4070</v>
      </c>
      <c r="C555" s="35">
        <v>2023</v>
      </c>
      <c r="D555" s="36">
        <v>45202.327141203707</v>
      </c>
      <c r="E555" s="37" t="s">
        <v>2865</v>
      </c>
      <c r="F555" s="37" t="s">
        <v>5613</v>
      </c>
      <c r="G555" s="37" t="s">
        <v>5274</v>
      </c>
      <c r="H555" s="35" t="s">
        <v>3419</v>
      </c>
      <c r="I555" s="35" t="s">
        <v>3416</v>
      </c>
      <c r="J555" s="38">
        <v>0.29672131147540981</v>
      </c>
      <c r="K555" s="35">
        <v>1</v>
      </c>
      <c r="L555" s="38">
        <f t="shared" si="8"/>
        <v>0.29672131147540981</v>
      </c>
      <c r="M555" s="35" t="s">
        <v>48</v>
      </c>
      <c r="N555" s="38">
        <v>0.29672131147540981</v>
      </c>
      <c r="O555" s="35" t="s">
        <v>2314</v>
      </c>
    </row>
    <row r="556" spans="1:15" x14ac:dyDescent="0.25">
      <c r="A556" s="35">
        <v>1129471035</v>
      </c>
      <c r="B556" s="35" t="s">
        <v>4070</v>
      </c>
      <c r="C556" s="35">
        <v>2023</v>
      </c>
      <c r="D556" s="36">
        <v>45202.327141203707</v>
      </c>
      <c r="E556" s="37" t="s">
        <v>2865</v>
      </c>
      <c r="F556" s="37" t="s">
        <v>5615</v>
      </c>
      <c r="G556" s="37" t="s">
        <v>5274</v>
      </c>
      <c r="H556" s="35" t="s">
        <v>3419</v>
      </c>
      <c r="I556" s="35" t="s">
        <v>3416</v>
      </c>
      <c r="J556" s="38">
        <v>0.14836065573770491</v>
      </c>
      <c r="K556" s="35">
        <v>2</v>
      </c>
      <c r="L556" s="38">
        <f t="shared" si="8"/>
        <v>0.29672131147540981</v>
      </c>
      <c r="M556" s="35" t="s">
        <v>48</v>
      </c>
      <c r="N556" s="38">
        <v>0.29672131147540981</v>
      </c>
      <c r="O556" s="35" t="s">
        <v>2314</v>
      </c>
    </row>
    <row r="557" spans="1:15" x14ac:dyDescent="0.25">
      <c r="A557" s="35">
        <v>1251259881</v>
      </c>
      <c r="B557" s="35" t="s">
        <v>3761</v>
      </c>
      <c r="C557" s="35">
        <v>2026</v>
      </c>
      <c r="D557" s="36">
        <v>46043.453287037039</v>
      </c>
      <c r="E557" s="37" t="s">
        <v>491</v>
      </c>
      <c r="F557" s="37" t="s">
        <v>3789</v>
      </c>
      <c r="G557" s="37" t="s">
        <v>3790</v>
      </c>
      <c r="H557" s="35" t="s">
        <v>3419</v>
      </c>
      <c r="I557" s="35" t="s">
        <v>3530</v>
      </c>
      <c r="J557" s="38">
        <v>0.2866161616161616</v>
      </c>
      <c r="K557" s="35">
        <v>1</v>
      </c>
      <c r="L557" s="38">
        <f t="shared" si="8"/>
        <v>0.2866161616161616</v>
      </c>
      <c r="M557" s="35" t="s">
        <v>48</v>
      </c>
      <c r="N557" s="38">
        <v>0.2866161616161616</v>
      </c>
      <c r="O557" s="35" t="s">
        <v>12</v>
      </c>
    </row>
    <row r="558" spans="1:15" x14ac:dyDescent="0.25">
      <c r="A558" s="35">
        <v>1136792833</v>
      </c>
      <c r="B558" s="35" t="s">
        <v>3890</v>
      </c>
      <c r="C558" s="35">
        <v>2023</v>
      </c>
      <c r="D558" s="36">
        <v>45261.610497685193</v>
      </c>
      <c r="E558" s="37" t="s">
        <v>2775</v>
      </c>
      <c r="F558" s="37" t="s">
        <v>5466</v>
      </c>
      <c r="G558" s="37" t="s">
        <v>5274</v>
      </c>
      <c r="H558" s="35" t="s">
        <v>3419</v>
      </c>
      <c r="I558" s="35" t="s">
        <v>3416</v>
      </c>
      <c r="J558" s="38">
        <v>9.4360902255639104E-2</v>
      </c>
      <c r="K558" s="35">
        <v>3</v>
      </c>
      <c r="L558" s="38">
        <f t="shared" si="8"/>
        <v>0.28308270676691732</v>
      </c>
      <c r="M558" s="35" t="s">
        <v>48</v>
      </c>
      <c r="N558" s="38">
        <v>0.28308270676691732</v>
      </c>
      <c r="O558" s="35" t="s">
        <v>2314</v>
      </c>
    </row>
    <row r="559" spans="1:15" x14ac:dyDescent="0.25">
      <c r="A559" s="35">
        <v>1136792833</v>
      </c>
      <c r="B559" s="35" t="s">
        <v>3890</v>
      </c>
      <c r="C559" s="35">
        <v>2023</v>
      </c>
      <c r="D559" s="36">
        <v>45261.610497685193</v>
      </c>
      <c r="E559" s="37" t="s">
        <v>2775</v>
      </c>
      <c r="F559" s="37" t="s">
        <v>5467</v>
      </c>
      <c r="G559" s="37" t="s">
        <v>5274</v>
      </c>
      <c r="H559" s="35" t="s">
        <v>3419</v>
      </c>
      <c r="I559" s="35" t="s">
        <v>3416</v>
      </c>
      <c r="J559" s="38">
        <v>9.4360902255639104E-2</v>
      </c>
      <c r="K559" s="35">
        <v>3</v>
      </c>
      <c r="L559" s="38">
        <f t="shared" si="8"/>
        <v>0.28308270676691732</v>
      </c>
      <c r="M559" s="35" t="s">
        <v>48</v>
      </c>
      <c r="N559" s="38">
        <v>0.28308270676691732</v>
      </c>
      <c r="O559" s="35" t="s">
        <v>2314</v>
      </c>
    </row>
    <row r="560" spans="1:15" x14ac:dyDescent="0.25">
      <c r="A560" s="35">
        <v>1136792833</v>
      </c>
      <c r="B560" s="35" t="s">
        <v>3890</v>
      </c>
      <c r="C560" s="35">
        <v>2023</v>
      </c>
      <c r="D560" s="36">
        <v>45261.610497685193</v>
      </c>
      <c r="E560" s="37" t="s">
        <v>2775</v>
      </c>
      <c r="F560" s="37" t="s">
        <v>5468</v>
      </c>
      <c r="G560" s="37" t="s">
        <v>5274</v>
      </c>
      <c r="H560" s="35" t="s">
        <v>3419</v>
      </c>
      <c r="I560" s="35" t="s">
        <v>3416</v>
      </c>
      <c r="J560" s="38">
        <v>9.4360902255639104E-2</v>
      </c>
      <c r="K560" s="35">
        <v>3</v>
      </c>
      <c r="L560" s="38">
        <f t="shared" si="8"/>
        <v>0.28308270676691732</v>
      </c>
      <c r="M560" s="35" t="s">
        <v>48</v>
      </c>
      <c r="N560" s="38">
        <v>0.28308270676691732</v>
      </c>
      <c r="O560" s="35" t="s">
        <v>2314</v>
      </c>
    </row>
    <row r="561" spans="1:15" x14ac:dyDescent="0.25">
      <c r="A561" s="35">
        <v>1262419985</v>
      </c>
      <c r="B561" s="35" t="s">
        <v>3646</v>
      </c>
      <c r="C561" s="35">
        <v>2026</v>
      </c>
      <c r="D561" s="36">
        <v>46092.488171296303</v>
      </c>
      <c r="E561" s="37" t="s">
        <v>294</v>
      </c>
      <c r="F561" s="37" t="s">
        <v>3683</v>
      </c>
      <c r="G561" s="37" t="s">
        <v>3684</v>
      </c>
      <c r="H561" s="35" t="s">
        <v>3419</v>
      </c>
      <c r="I561" s="35" t="s">
        <v>3416</v>
      </c>
      <c r="J561" s="38">
        <v>0.27911646586345379</v>
      </c>
      <c r="K561" s="35">
        <v>1</v>
      </c>
      <c r="L561" s="38">
        <f t="shared" si="8"/>
        <v>0.27911646586345379</v>
      </c>
      <c r="M561" s="35" t="s">
        <v>48</v>
      </c>
      <c r="N561" s="38">
        <v>0.27911646586345379</v>
      </c>
      <c r="O561" s="35" t="s">
        <v>12</v>
      </c>
    </row>
    <row r="562" spans="1:15" x14ac:dyDescent="0.25">
      <c r="A562" s="35">
        <v>1262419985</v>
      </c>
      <c r="B562" s="35" t="s">
        <v>3646</v>
      </c>
      <c r="C562" s="35">
        <v>2026</v>
      </c>
      <c r="D562" s="36">
        <v>46092.488171296303</v>
      </c>
      <c r="E562" s="37" t="s">
        <v>294</v>
      </c>
      <c r="F562" s="37" t="s">
        <v>3686</v>
      </c>
      <c r="G562" s="37" t="s">
        <v>3687</v>
      </c>
      <c r="H562" s="35" t="s">
        <v>3419</v>
      </c>
      <c r="I562" s="35" t="s">
        <v>3416</v>
      </c>
      <c r="J562" s="38">
        <v>0.27911646586345379</v>
      </c>
      <c r="K562" s="35">
        <v>1</v>
      </c>
      <c r="L562" s="38">
        <f t="shared" si="8"/>
        <v>0.27911646586345379</v>
      </c>
      <c r="M562" s="35" t="s">
        <v>48</v>
      </c>
      <c r="N562" s="38">
        <v>0.27911646586345379</v>
      </c>
      <c r="O562" s="35" t="s">
        <v>12</v>
      </c>
    </row>
    <row r="563" spans="1:15" x14ac:dyDescent="0.25">
      <c r="A563" s="35">
        <v>1238166844</v>
      </c>
      <c r="B563" s="35" t="s">
        <v>4070</v>
      </c>
      <c r="C563" s="35">
        <v>2025</v>
      </c>
      <c r="D563" s="36">
        <v>45957.850925925923</v>
      </c>
      <c r="E563" s="37" t="s">
        <v>832</v>
      </c>
      <c r="F563" s="37" t="s">
        <v>4078</v>
      </c>
      <c r="G563" s="37" t="s">
        <v>3973</v>
      </c>
      <c r="H563" s="35" t="s">
        <v>3419</v>
      </c>
      <c r="I563" s="35" t="s">
        <v>3416</v>
      </c>
      <c r="J563" s="38">
        <v>0.27891304347826079</v>
      </c>
      <c r="K563" s="35">
        <v>1</v>
      </c>
      <c r="L563" s="38">
        <f t="shared" si="8"/>
        <v>0.27891304347826079</v>
      </c>
      <c r="M563" s="35" t="s">
        <v>48</v>
      </c>
      <c r="N563" s="38">
        <v>0.27891304347826079</v>
      </c>
      <c r="O563" s="35" t="s">
        <v>12</v>
      </c>
    </row>
    <row r="564" spans="1:15" x14ac:dyDescent="0.25">
      <c r="A564" s="35">
        <v>1258407112</v>
      </c>
      <c r="B564" s="35" t="s">
        <v>3646</v>
      </c>
      <c r="C564" s="35">
        <v>2026</v>
      </c>
      <c r="D564" s="36">
        <v>46084.430081018516</v>
      </c>
      <c r="E564" s="37" t="s">
        <v>318</v>
      </c>
      <c r="F564" s="37" t="s">
        <v>3717</v>
      </c>
      <c r="G564" s="37" t="s">
        <v>3718</v>
      </c>
      <c r="H564" s="35" t="s">
        <v>3419</v>
      </c>
      <c r="I564" s="35" t="s">
        <v>3453</v>
      </c>
      <c r="J564" s="38">
        <v>0.2698087431693989</v>
      </c>
      <c r="K564" s="35">
        <v>1</v>
      </c>
      <c r="L564" s="38">
        <f t="shared" si="8"/>
        <v>0.2698087431693989</v>
      </c>
      <c r="M564" s="35" t="s">
        <v>48</v>
      </c>
      <c r="N564" s="38">
        <v>0.2698087431693989</v>
      </c>
      <c r="O564" s="35" t="s">
        <v>12</v>
      </c>
    </row>
    <row r="565" spans="1:15" x14ac:dyDescent="0.25">
      <c r="A565" s="35">
        <v>1124550278</v>
      </c>
      <c r="B565" s="35" t="s">
        <v>4158</v>
      </c>
      <c r="C565" s="35">
        <v>2023</v>
      </c>
      <c r="D565" s="36">
        <v>45162.49658564815</v>
      </c>
      <c r="E565" s="37" t="s">
        <v>2911</v>
      </c>
      <c r="F565" s="37" t="s">
        <v>5657</v>
      </c>
      <c r="G565" s="37" t="s">
        <v>5291</v>
      </c>
      <c r="H565" s="35" t="s">
        <v>3415</v>
      </c>
      <c r="I565" s="35" t="s">
        <v>3416</v>
      </c>
      <c r="J565" s="38">
        <v>6.7199999999999996E-2</v>
      </c>
      <c r="K565" s="35">
        <v>4</v>
      </c>
      <c r="L565" s="38">
        <f t="shared" si="8"/>
        <v>0.26879999999999998</v>
      </c>
      <c r="M565" s="35" t="s">
        <v>48</v>
      </c>
      <c r="N565" s="38">
        <v>0.26879999999999998</v>
      </c>
      <c r="O565" s="35" t="s">
        <v>2314</v>
      </c>
    </row>
    <row r="566" spans="1:15" x14ac:dyDescent="0.25">
      <c r="A566" s="35">
        <v>1136792833</v>
      </c>
      <c r="B566" s="35" t="s">
        <v>3890</v>
      </c>
      <c r="C566" s="35">
        <v>2023</v>
      </c>
      <c r="D566" s="36">
        <v>45261.610497685193</v>
      </c>
      <c r="E566" s="37" t="s">
        <v>2775</v>
      </c>
      <c r="F566" s="37" t="s">
        <v>5470</v>
      </c>
      <c r="G566" s="37" t="s">
        <v>5274</v>
      </c>
      <c r="H566" s="35" t="s">
        <v>3419</v>
      </c>
      <c r="I566" s="35" t="s">
        <v>3416</v>
      </c>
      <c r="J566" s="38">
        <v>0.11323308270676691</v>
      </c>
      <c r="K566" s="35">
        <v>2</v>
      </c>
      <c r="L566" s="38">
        <f t="shared" si="8"/>
        <v>0.22646616541353382</v>
      </c>
      <c r="M566" s="35" t="s">
        <v>48</v>
      </c>
      <c r="N566" s="38">
        <v>0.22646616541353382</v>
      </c>
      <c r="O566" s="35" t="s">
        <v>2314</v>
      </c>
    </row>
    <row r="567" spans="1:15" x14ac:dyDescent="0.25">
      <c r="A567" s="35">
        <v>1164617239</v>
      </c>
      <c r="B567" s="35" t="s">
        <v>4199</v>
      </c>
      <c r="C567" s="35">
        <v>2024</v>
      </c>
      <c r="D567" s="36">
        <v>45479.823391203703</v>
      </c>
      <c r="E567" s="37" t="s">
        <v>2135</v>
      </c>
      <c r="F567" s="37" t="s">
        <v>4964</v>
      </c>
      <c r="G567" s="37" t="s">
        <v>3551</v>
      </c>
      <c r="H567" s="35" t="s">
        <v>3419</v>
      </c>
      <c r="I567" s="35" t="s">
        <v>3416</v>
      </c>
      <c r="J567" s="38">
        <v>0.215068870523416</v>
      </c>
      <c r="K567" s="35">
        <v>1</v>
      </c>
      <c r="L567" s="38">
        <f t="shared" si="8"/>
        <v>0.215068870523416</v>
      </c>
      <c r="M567" s="35" t="s">
        <v>48</v>
      </c>
      <c r="N567" s="38">
        <v>0.215068870523416</v>
      </c>
      <c r="O567" s="35" t="s">
        <v>12</v>
      </c>
    </row>
    <row r="568" spans="1:15" x14ac:dyDescent="0.25">
      <c r="A568" s="35">
        <v>1129471035</v>
      </c>
      <c r="B568" s="35" t="s">
        <v>4070</v>
      </c>
      <c r="C568" s="35">
        <v>2023</v>
      </c>
      <c r="D568" s="36">
        <v>45202.327141203707</v>
      </c>
      <c r="E568" s="37" t="s">
        <v>2865</v>
      </c>
      <c r="F568" s="37" t="s">
        <v>5618</v>
      </c>
      <c r="G568" s="37" t="s">
        <v>5274</v>
      </c>
      <c r="H568" s="35" t="s">
        <v>3419</v>
      </c>
      <c r="I568" s="35" t="s">
        <v>3416</v>
      </c>
      <c r="J568" s="38">
        <v>0.10385245901639345</v>
      </c>
      <c r="K568" s="35">
        <v>2</v>
      </c>
      <c r="L568" s="38">
        <f t="shared" si="8"/>
        <v>0.2077049180327869</v>
      </c>
      <c r="M568" s="35" t="s">
        <v>48</v>
      </c>
      <c r="N568" s="38">
        <v>0.2077049180327869</v>
      </c>
      <c r="O568" s="35" t="s">
        <v>2314</v>
      </c>
    </row>
    <row r="569" spans="1:15" x14ac:dyDescent="0.25">
      <c r="A569" s="35">
        <v>1129471035</v>
      </c>
      <c r="B569" s="35" t="s">
        <v>4070</v>
      </c>
      <c r="C569" s="35">
        <v>2023</v>
      </c>
      <c r="D569" s="36">
        <v>45202.327141203707</v>
      </c>
      <c r="E569" s="37" t="s">
        <v>2865</v>
      </c>
      <c r="F569" s="37" t="s">
        <v>5614</v>
      </c>
      <c r="G569" s="37" t="s">
        <v>5274</v>
      </c>
      <c r="H569" s="35" t="s">
        <v>3419</v>
      </c>
      <c r="I569" s="35" t="s">
        <v>3416</v>
      </c>
      <c r="J569" s="38">
        <v>0.14836065573770491</v>
      </c>
      <c r="K569" s="35">
        <v>1</v>
      </c>
      <c r="L569" s="38">
        <f t="shared" si="8"/>
        <v>0.14836065573770491</v>
      </c>
      <c r="M569" s="35" t="s">
        <v>48</v>
      </c>
      <c r="N569" s="38">
        <v>0.14836065573770491</v>
      </c>
      <c r="O569" s="35" t="s">
        <v>2314</v>
      </c>
    </row>
    <row r="570" spans="1:15" x14ac:dyDescent="0.25">
      <c r="A570" s="35">
        <v>1124550278</v>
      </c>
      <c r="B570" s="35" t="s">
        <v>4158</v>
      </c>
      <c r="C570" s="35">
        <v>2023</v>
      </c>
      <c r="D570" s="36">
        <v>45162.49658564815</v>
      </c>
      <c r="E570" s="37" t="s">
        <v>2911</v>
      </c>
      <c r="F570" s="37" t="s">
        <v>5658</v>
      </c>
      <c r="G570" s="37" t="s">
        <v>5274</v>
      </c>
      <c r="H570" s="35" t="s">
        <v>3419</v>
      </c>
      <c r="I570" s="35" t="s">
        <v>3416</v>
      </c>
      <c r="J570" s="38">
        <v>0.13439999999999999</v>
      </c>
      <c r="K570" s="35">
        <v>1</v>
      </c>
      <c r="L570" s="38">
        <f t="shared" si="8"/>
        <v>0.13439999999999999</v>
      </c>
      <c r="M570" s="35" t="s">
        <v>48</v>
      </c>
      <c r="N570" s="38">
        <v>0.13439999999999999</v>
      </c>
      <c r="O570" s="35" t="s">
        <v>2314</v>
      </c>
    </row>
    <row r="571" spans="1:15" x14ac:dyDescent="0.25">
      <c r="A571" s="35">
        <v>1285152349</v>
      </c>
      <c r="B571" s="35" t="s">
        <v>3412</v>
      </c>
      <c r="C571" s="35">
        <v>2026</v>
      </c>
      <c r="D571" s="36">
        <v>46202.848217592589</v>
      </c>
      <c r="E571" s="37" t="s">
        <v>8</v>
      </c>
      <c r="F571" s="37" t="s">
        <v>3413</v>
      </c>
      <c r="G571" s="37" t="s">
        <v>3414</v>
      </c>
      <c r="H571" s="35" t="s">
        <v>3415</v>
      </c>
      <c r="I571" s="35" t="s">
        <v>3416</v>
      </c>
      <c r="J571" s="38">
        <v>1.1025</v>
      </c>
      <c r="K571" s="35">
        <v>4</v>
      </c>
      <c r="L571" s="38">
        <f t="shared" si="8"/>
        <v>4.41</v>
      </c>
      <c r="M571" s="35" t="s">
        <v>11</v>
      </c>
      <c r="N571" s="38"/>
      <c r="O571" s="35" t="s">
        <v>12</v>
      </c>
    </row>
    <row r="572" spans="1:15" x14ac:dyDescent="0.25">
      <c r="A572" s="42" t="s">
        <v>6724</v>
      </c>
      <c r="B572" s="42" t="s">
        <v>3412</v>
      </c>
      <c r="C572" s="35">
        <v>2026</v>
      </c>
      <c r="D572" s="36">
        <v>46201.815868055557</v>
      </c>
      <c r="E572" s="41" t="s">
        <v>6719</v>
      </c>
      <c r="F572" s="41" t="s">
        <v>6721</v>
      </c>
      <c r="G572" s="37" t="s">
        <v>3421</v>
      </c>
      <c r="H572" s="35" t="s">
        <v>3419</v>
      </c>
      <c r="I572" s="35" t="s">
        <v>3416</v>
      </c>
      <c r="J572" s="38">
        <v>590</v>
      </c>
      <c r="K572" s="35">
        <v>1</v>
      </c>
      <c r="L572" s="38">
        <f t="shared" si="8"/>
        <v>590</v>
      </c>
      <c r="M572" s="35" t="s">
        <v>11</v>
      </c>
      <c r="N572" s="38"/>
      <c r="O572" s="35" t="s">
        <v>16</v>
      </c>
    </row>
    <row r="573" spans="1:15" x14ac:dyDescent="0.25">
      <c r="A573" s="42" t="s">
        <v>6725</v>
      </c>
      <c r="B573" s="42" t="s">
        <v>3412</v>
      </c>
      <c r="C573" s="35">
        <v>2026</v>
      </c>
      <c r="D573" s="36">
        <v>46201.815868055557</v>
      </c>
      <c r="E573" s="41" t="s">
        <v>6720</v>
      </c>
      <c r="F573" s="41" t="s">
        <v>6722</v>
      </c>
      <c r="G573" s="41" t="s">
        <v>6723</v>
      </c>
      <c r="H573" s="35" t="s">
        <v>3419</v>
      </c>
      <c r="I573" s="35" t="s">
        <v>3416</v>
      </c>
      <c r="J573" s="38">
        <v>449.95</v>
      </c>
      <c r="K573" s="35">
        <v>2</v>
      </c>
      <c r="L573" s="38">
        <f t="shared" si="8"/>
        <v>899.9</v>
      </c>
      <c r="M573" s="35" t="s">
        <v>11</v>
      </c>
      <c r="N573" s="38"/>
      <c r="O573" s="35" t="s">
        <v>12</v>
      </c>
    </row>
    <row r="574" spans="1:15" x14ac:dyDescent="0.25">
      <c r="A574" s="35">
        <v>1284988797</v>
      </c>
      <c r="B574" s="35" t="s">
        <v>3412</v>
      </c>
      <c r="C574" s="35">
        <v>2026</v>
      </c>
      <c r="D574" s="36">
        <v>46201.815868055557</v>
      </c>
      <c r="E574" s="37" t="s">
        <v>13</v>
      </c>
      <c r="F574" s="37" t="s">
        <v>3417</v>
      </c>
      <c r="G574" s="37" t="s">
        <v>3418</v>
      </c>
      <c r="H574" s="35" t="s">
        <v>3419</v>
      </c>
      <c r="I574" s="35" t="s">
        <v>3416</v>
      </c>
      <c r="J574" s="38">
        <v>1.7</v>
      </c>
      <c r="K574" s="35">
        <v>1</v>
      </c>
      <c r="L574" s="38">
        <f t="shared" si="8"/>
        <v>1.7</v>
      </c>
      <c r="M574" s="35" t="s">
        <v>11</v>
      </c>
      <c r="N574" s="38"/>
      <c r="O574" s="35" t="s">
        <v>16</v>
      </c>
    </row>
    <row r="575" spans="1:15" x14ac:dyDescent="0.25">
      <c r="A575" s="35">
        <v>1284988792</v>
      </c>
      <c r="B575" s="35" t="s">
        <v>3412</v>
      </c>
      <c r="C575" s="35">
        <v>2026</v>
      </c>
      <c r="D575" s="36">
        <v>46201.815868055557</v>
      </c>
      <c r="E575" s="37" t="s">
        <v>17</v>
      </c>
      <c r="F575" s="37" t="s">
        <v>3417</v>
      </c>
      <c r="G575" s="37" t="s">
        <v>3418</v>
      </c>
      <c r="H575" s="35" t="s">
        <v>3419</v>
      </c>
      <c r="I575" s="35" t="s">
        <v>3416</v>
      </c>
      <c r="J575" s="38">
        <v>1.65</v>
      </c>
      <c r="K575" s="35">
        <v>1</v>
      </c>
      <c r="L575" s="38">
        <f t="shared" si="8"/>
        <v>1.65</v>
      </c>
      <c r="M575" s="35" t="s">
        <v>11</v>
      </c>
      <c r="N575" s="38"/>
      <c r="O575" s="35" t="s">
        <v>16</v>
      </c>
    </row>
    <row r="576" spans="1:15" x14ac:dyDescent="0.25">
      <c r="A576" s="35">
        <v>1284986651</v>
      </c>
      <c r="B576" s="35" t="s">
        <v>3412</v>
      </c>
      <c r="C576" s="35">
        <v>2026</v>
      </c>
      <c r="D576" s="36">
        <v>46201.815868055557</v>
      </c>
      <c r="E576" s="37" t="s">
        <v>19</v>
      </c>
      <c r="F576" s="37" t="s">
        <v>3420</v>
      </c>
      <c r="G576" s="37" t="s">
        <v>3421</v>
      </c>
      <c r="H576" s="35" t="s">
        <v>3419</v>
      </c>
      <c r="I576" s="35" t="s">
        <v>3416</v>
      </c>
      <c r="J576" s="38">
        <v>6.7282386595831616</v>
      </c>
      <c r="K576" s="35">
        <v>2</v>
      </c>
      <c r="L576" s="38">
        <f t="shared" si="8"/>
        <v>13.456477319166323</v>
      </c>
      <c r="M576" s="35" t="s">
        <v>11</v>
      </c>
      <c r="N576" s="38"/>
      <c r="O576" s="35" t="s">
        <v>16</v>
      </c>
    </row>
    <row r="577" spans="1:15" x14ac:dyDescent="0.25">
      <c r="A577" s="35">
        <v>1284986651</v>
      </c>
      <c r="B577" s="35" t="s">
        <v>3412</v>
      </c>
      <c r="C577" s="35">
        <v>2026</v>
      </c>
      <c r="D577" s="36">
        <v>46201.815868055557</v>
      </c>
      <c r="E577" s="37" t="s">
        <v>19</v>
      </c>
      <c r="F577" s="37" t="s">
        <v>3422</v>
      </c>
      <c r="G577" s="37" t="s">
        <v>3421</v>
      </c>
      <c r="H577" s="35" t="s">
        <v>3419</v>
      </c>
      <c r="I577" s="35" t="s">
        <v>3416</v>
      </c>
      <c r="J577" s="38">
        <v>0.30894973436861473</v>
      </c>
      <c r="K577" s="35">
        <v>3</v>
      </c>
      <c r="L577" s="38">
        <f t="shared" si="8"/>
        <v>0.92684920310584418</v>
      </c>
      <c r="M577" s="35" t="s">
        <v>11</v>
      </c>
      <c r="N577" s="38"/>
      <c r="O577" s="35" t="s">
        <v>16</v>
      </c>
    </row>
    <row r="578" spans="1:15" x14ac:dyDescent="0.25">
      <c r="A578" s="35">
        <v>1284986651</v>
      </c>
      <c r="B578" s="35" t="s">
        <v>3412</v>
      </c>
      <c r="C578" s="35">
        <v>2026</v>
      </c>
      <c r="D578" s="36">
        <v>46201.815868055557</v>
      </c>
      <c r="E578" s="37" t="s">
        <v>19</v>
      </c>
      <c r="F578" s="37" t="s">
        <v>3423</v>
      </c>
      <c r="G578" s="37" t="s">
        <v>3418</v>
      </c>
      <c r="H578" s="35" t="s">
        <v>3419</v>
      </c>
      <c r="I578" s="35" t="s">
        <v>3416</v>
      </c>
      <c r="J578" s="38">
        <v>0.3661626481405803</v>
      </c>
      <c r="K578" s="35">
        <v>2</v>
      </c>
      <c r="L578" s="38">
        <f t="shared" ref="L578:L641" si="9">J578*K578</f>
        <v>0.73232529628116061</v>
      </c>
      <c r="M578" s="35" t="s">
        <v>11</v>
      </c>
      <c r="N578" s="38"/>
      <c r="O578" s="35" t="s">
        <v>16</v>
      </c>
    </row>
    <row r="579" spans="1:15" x14ac:dyDescent="0.25">
      <c r="A579" s="35">
        <v>1284986651</v>
      </c>
      <c r="B579" s="35" t="s">
        <v>3412</v>
      </c>
      <c r="C579" s="35">
        <v>2026</v>
      </c>
      <c r="D579" s="36">
        <v>46201.815868055557</v>
      </c>
      <c r="E579" s="37" t="s">
        <v>19</v>
      </c>
      <c r="F579" s="37" t="s">
        <v>3424</v>
      </c>
      <c r="G579" s="37" t="s">
        <v>3418</v>
      </c>
      <c r="H579" s="35" t="s">
        <v>3419</v>
      </c>
      <c r="I579" s="35" t="s">
        <v>3416</v>
      </c>
      <c r="J579" s="38">
        <v>13.158970167552109</v>
      </c>
      <c r="K579" s="35">
        <v>3</v>
      </c>
      <c r="L579" s="38">
        <f t="shared" si="9"/>
        <v>39.476910502656324</v>
      </c>
      <c r="M579" s="35" t="s">
        <v>11</v>
      </c>
      <c r="N579" s="38"/>
      <c r="O579" s="35" t="s">
        <v>16</v>
      </c>
    </row>
    <row r="580" spans="1:15" x14ac:dyDescent="0.25">
      <c r="A580" s="35">
        <v>1284986651</v>
      </c>
      <c r="B580" s="35" t="s">
        <v>3412</v>
      </c>
      <c r="C580" s="35">
        <v>2026</v>
      </c>
      <c r="D580" s="36">
        <v>46201.815868055557</v>
      </c>
      <c r="E580" s="37" t="s">
        <v>19</v>
      </c>
      <c r="F580" s="37" t="s">
        <v>3425</v>
      </c>
      <c r="G580" s="37" t="s">
        <v>3421</v>
      </c>
      <c r="H580" s="35" t="s">
        <v>3419</v>
      </c>
      <c r="I580" s="35" t="s">
        <v>3416</v>
      </c>
      <c r="J580" s="38">
        <v>0.20596648957907651</v>
      </c>
      <c r="K580" s="35">
        <v>3</v>
      </c>
      <c r="L580" s="38">
        <f t="shared" si="9"/>
        <v>0.61789946873722956</v>
      </c>
      <c r="M580" s="35" t="s">
        <v>11</v>
      </c>
      <c r="N580" s="38"/>
      <c r="O580" s="35" t="s">
        <v>16</v>
      </c>
    </row>
    <row r="581" spans="1:15" x14ac:dyDescent="0.25">
      <c r="A581" s="35">
        <v>1284986651</v>
      </c>
      <c r="B581" s="35" t="s">
        <v>3412</v>
      </c>
      <c r="C581" s="35">
        <v>2026</v>
      </c>
      <c r="D581" s="36">
        <v>46201.815868055557</v>
      </c>
      <c r="E581" s="37" t="s">
        <v>19</v>
      </c>
      <c r="F581" s="37" t="s">
        <v>3426</v>
      </c>
      <c r="G581" s="37" t="s">
        <v>3421</v>
      </c>
      <c r="H581" s="35" t="s">
        <v>3419</v>
      </c>
      <c r="I581" s="35" t="s">
        <v>3416</v>
      </c>
      <c r="J581" s="38">
        <v>0.26317940335104212</v>
      </c>
      <c r="K581" s="35">
        <v>3</v>
      </c>
      <c r="L581" s="38">
        <f t="shared" si="9"/>
        <v>0.7895382100531263</v>
      </c>
      <c r="M581" s="35" t="s">
        <v>11</v>
      </c>
      <c r="N581" s="38"/>
      <c r="O581" s="35" t="s">
        <v>16</v>
      </c>
    </row>
    <row r="582" spans="1:15" x14ac:dyDescent="0.25">
      <c r="A582" s="35">
        <v>1284986254</v>
      </c>
      <c r="B582" s="35" t="s">
        <v>3412</v>
      </c>
      <c r="C582" s="35">
        <v>2026</v>
      </c>
      <c r="D582" s="36">
        <v>46201.815868055557</v>
      </c>
      <c r="E582" s="37" t="s">
        <v>21</v>
      </c>
      <c r="F582" s="37" t="s">
        <v>3427</v>
      </c>
      <c r="G582" s="37" t="s">
        <v>3421</v>
      </c>
      <c r="H582" s="35" t="s">
        <v>3419</v>
      </c>
      <c r="I582" s="35" t="s">
        <v>3416</v>
      </c>
      <c r="J582" s="38">
        <v>3.4719799498746871</v>
      </c>
      <c r="K582" s="35">
        <v>2</v>
      </c>
      <c r="L582" s="38">
        <f t="shared" si="9"/>
        <v>6.9439598997493741</v>
      </c>
      <c r="M582" s="35" t="s">
        <v>11</v>
      </c>
      <c r="N582" s="38"/>
      <c r="O582" s="35" t="s">
        <v>16</v>
      </c>
    </row>
    <row r="583" spans="1:15" x14ac:dyDescent="0.25">
      <c r="A583" s="35">
        <v>1284986254</v>
      </c>
      <c r="B583" s="35" t="s">
        <v>3412</v>
      </c>
      <c r="C583" s="35">
        <v>2026</v>
      </c>
      <c r="D583" s="36">
        <v>46201.815868055557</v>
      </c>
      <c r="E583" s="37" t="s">
        <v>21</v>
      </c>
      <c r="F583" s="37" t="s">
        <v>3428</v>
      </c>
      <c r="G583" s="37" t="s">
        <v>3421</v>
      </c>
      <c r="H583" s="35" t="s">
        <v>3419</v>
      </c>
      <c r="I583" s="35" t="s">
        <v>3416</v>
      </c>
      <c r="J583" s="38">
        <v>3.4719799498746871</v>
      </c>
      <c r="K583" s="35">
        <v>2</v>
      </c>
      <c r="L583" s="38">
        <f t="shared" si="9"/>
        <v>6.9439598997493741</v>
      </c>
      <c r="M583" s="35" t="s">
        <v>11</v>
      </c>
      <c r="N583" s="38"/>
      <c r="O583" s="35" t="s">
        <v>16</v>
      </c>
    </row>
    <row r="584" spans="1:15" x14ac:dyDescent="0.25">
      <c r="A584" s="35">
        <v>1284986254</v>
      </c>
      <c r="B584" s="35" t="s">
        <v>3412</v>
      </c>
      <c r="C584" s="35">
        <v>2026</v>
      </c>
      <c r="D584" s="36">
        <v>46201.815868055557</v>
      </c>
      <c r="E584" s="37" t="s">
        <v>21</v>
      </c>
      <c r="F584" s="37" t="s">
        <v>3429</v>
      </c>
      <c r="G584" s="37" t="s">
        <v>3418</v>
      </c>
      <c r="H584" s="35" t="s">
        <v>3419</v>
      </c>
      <c r="I584" s="35" t="s">
        <v>3416</v>
      </c>
      <c r="J584" s="38">
        <v>0.529624060150376</v>
      </c>
      <c r="K584" s="35">
        <v>1</v>
      </c>
      <c r="L584" s="38">
        <f t="shared" si="9"/>
        <v>0.529624060150376</v>
      </c>
      <c r="M584" s="35" t="s">
        <v>11</v>
      </c>
      <c r="N584" s="38"/>
      <c r="O584" s="35" t="s">
        <v>16</v>
      </c>
    </row>
    <row r="585" spans="1:15" x14ac:dyDescent="0.25">
      <c r="A585" s="35">
        <v>1284986254</v>
      </c>
      <c r="B585" s="35" t="s">
        <v>3412</v>
      </c>
      <c r="C585" s="35">
        <v>2026</v>
      </c>
      <c r="D585" s="36">
        <v>46201.815868055557</v>
      </c>
      <c r="E585" s="37" t="s">
        <v>21</v>
      </c>
      <c r="F585" s="37" t="s">
        <v>3430</v>
      </c>
      <c r="G585" s="37" t="s">
        <v>3418</v>
      </c>
      <c r="H585" s="35" t="s">
        <v>3419</v>
      </c>
      <c r="I585" s="35" t="s">
        <v>3416</v>
      </c>
      <c r="J585" s="38">
        <v>1.6477192982456139</v>
      </c>
      <c r="K585" s="35">
        <v>1</v>
      </c>
      <c r="L585" s="38">
        <f t="shared" si="9"/>
        <v>1.6477192982456139</v>
      </c>
      <c r="M585" s="35" t="s">
        <v>11</v>
      </c>
      <c r="N585" s="38"/>
      <c r="O585" s="35" t="s">
        <v>16</v>
      </c>
    </row>
    <row r="586" spans="1:15" x14ac:dyDescent="0.25">
      <c r="A586" s="35">
        <v>1284986254</v>
      </c>
      <c r="B586" s="35" t="s">
        <v>3412</v>
      </c>
      <c r="C586" s="35">
        <v>2026</v>
      </c>
      <c r="D586" s="36">
        <v>46201.815868055557</v>
      </c>
      <c r="E586" s="37" t="s">
        <v>21</v>
      </c>
      <c r="F586" s="37" t="s">
        <v>3420</v>
      </c>
      <c r="G586" s="37" t="s">
        <v>3421</v>
      </c>
      <c r="H586" s="35" t="s">
        <v>3415</v>
      </c>
      <c r="I586" s="35" t="s">
        <v>3416</v>
      </c>
      <c r="J586" s="38">
        <v>7.0028070175438586</v>
      </c>
      <c r="K586" s="35">
        <v>4</v>
      </c>
      <c r="L586" s="38">
        <f t="shared" si="9"/>
        <v>28.011228070175434</v>
      </c>
      <c r="M586" s="35" t="s">
        <v>11</v>
      </c>
      <c r="N586" s="38"/>
      <c r="O586" s="35" t="s">
        <v>16</v>
      </c>
    </row>
    <row r="587" spans="1:15" x14ac:dyDescent="0.25">
      <c r="A587" s="35">
        <v>1284986254</v>
      </c>
      <c r="B587" s="35" t="s">
        <v>3412</v>
      </c>
      <c r="C587" s="35">
        <v>2026</v>
      </c>
      <c r="D587" s="36">
        <v>46201.815868055557</v>
      </c>
      <c r="E587" s="37" t="s">
        <v>21</v>
      </c>
      <c r="F587" s="37" t="s">
        <v>3431</v>
      </c>
      <c r="G587" s="37" t="s">
        <v>3418</v>
      </c>
      <c r="H587" s="35" t="s">
        <v>3419</v>
      </c>
      <c r="I587" s="35" t="s">
        <v>3416</v>
      </c>
      <c r="J587" s="38">
        <v>2.8835087719298249</v>
      </c>
      <c r="K587" s="35">
        <v>1</v>
      </c>
      <c r="L587" s="38">
        <f t="shared" si="9"/>
        <v>2.8835087719298249</v>
      </c>
      <c r="M587" s="35" t="s">
        <v>11</v>
      </c>
      <c r="N587" s="38"/>
      <c r="O587" s="35" t="s">
        <v>16</v>
      </c>
    </row>
    <row r="588" spans="1:15" x14ac:dyDescent="0.25">
      <c r="A588" s="35">
        <v>1284983295</v>
      </c>
      <c r="B588" s="35" t="s">
        <v>3412</v>
      </c>
      <c r="C588" s="35">
        <v>2026</v>
      </c>
      <c r="D588" s="36">
        <v>46201.815868055557</v>
      </c>
      <c r="E588" s="37" t="s">
        <v>23</v>
      </c>
      <c r="F588" s="37" t="s">
        <v>3432</v>
      </c>
      <c r="G588" s="37" t="s">
        <v>3418</v>
      </c>
      <c r="H588" s="35" t="s">
        <v>3419</v>
      </c>
      <c r="I588" s="35" t="s">
        <v>3416</v>
      </c>
      <c r="J588" s="38">
        <v>24.53</v>
      </c>
      <c r="K588" s="35">
        <v>2</v>
      </c>
      <c r="L588" s="38">
        <f t="shared" si="9"/>
        <v>49.06</v>
      </c>
      <c r="M588" s="35" t="s">
        <v>11</v>
      </c>
      <c r="N588" s="38"/>
      <c r="O588" s="35" t="s">
        <v>16</v>
      </c>
    </row>
    <row r="589" spans="1:15" x14ac:dyDescent="0.25">
      <c r="A589" s="35">
        <v>1284982979</v>
      </c>
      <c r="B589" s="35" t="s">
        <v>3412</v>
      </c>
      <c r="C589" s="35">
        <v>2026</v>
      </c>
      <c r="D589" s="36">
        <v>46201.815868055557</v>
      </c>
      <c r="E589" s="37" t="s">
        <v>25</v>
      </c>
      <c r="F589" s="37" t="s">
        <v>3432</v>
      </c>
      <c r="G589" s="37" t="s">
        <v>3418</v>
      </c>
      <c r="H589" s="35" t="s">
        <v>3419</v>
      </c>
      <c r="I589" s="35" t="s">
        <v>3416</v>
      </c>
      <c r="J589" s="38">
        <v>16.45</v>
      </c>
      <c r="K589" s="35">
        <v>1</v>
      </c>
      <c r="L589" s="38">
        <f t="shared" si="9"/>
        <v>16.45</v>
      </c>
      <c r="M589" s="35" t="s">
        <v>11</v>
      </c>
      <c r="N589" s="38"/>
      <c r="O589" s="35" t="s">
        <v>16</v>
      </c>
    </row>
    <row r="590" spans="1:15" x14ac:dyDescent="0.25">
      <c r="A590" s="35">
        <v>1284982829</v>
      </c>
      <c r="B590" s="35" t="s">
        <v>3412</v>
      </c>
      <c r="C590" s="35">
        <v>2026</v>
      </c>
      <c r="D590" s="36">
        <v>46201.815868055557</v>
      </c>
      <c r="E590" s="37" t="s">
        <v>27</v>
      </c>
      <c r="F590" s="37" t="s">
        <v>3428</v>
      </c>
      <c r="G590" s="37" t="s">
        <v>3421</v>
      </c>
      <c r="H590" s="35" t="s">
        <v>3419</v>
      </c>
      <c r="I590" s="35" t="s">
        <v>3416</v>
      </c>
      <c r="J590" s="38">
        <v>2.6969832402234641</v>
      </c>
      <c r="K590" s="35">
        <v>1</v>
      </c>
      <c r="L590" s="38">
        <f t="shared" si="9"/>
        <v>2.6969832402234641</v>
      </c>
      <c r="M590" s="35" t="s">
        <v>11</v>
      </c>
      <c r="N590" s="38"/>
      <c r="O590" s="35" t="s">
        <v>16</v>
      </c>
    </row>
    <row r="591" spans="1:15" x14ac:dyDescent="0.25">
      <c r="A591" s="35">
        <v>1284982829</v>
      </c>
      <c r="B591" s="35" t="s">
        <v>3412</v>
      </c>
      <c r="C591" s="35">
        <v>2026</v>
      </c>
      <c r="D591" s="36">
        <v>46201.815868055557</v>
      </c>
      <c r="E591" s="37" t="s">
        <v>27</v>
      </c>
      <c r="F591" s="37" t="s">
        <v>3433</v>
      </c>
      <c r="G591" s="37" t="s">
        <v>3418</v>
      </c>
      <c r="H591" s="35" t="s">
        <v>3419</v>
      </c>
      <c r="I591" s="35" t="s">
        <v>3416</v>
      </c>
      <c r="J591" s="38">
        <v>0.5430167597765363</v>
      </c>
      <c r="K591" s="35">
        <v>1</v>
      </c>
      <c r="L591" s="38">
        <f t="shared" si="9"/>
        <v>0.5430167597765363</v>
      </c>
      <c r="M591" s="35" t="s">
        <v>11</v>
      </c>
      <c r="N591" s="38"/>
      <c r="O591" s="35" t="s">
        <v>16</v>
      </c>
    </row>
    <row r="592" spans="1:15" x14ac:dyDescent="0.25">
      <c r="A592" s="35">
        <v>1284982814</v>
      </c>
      <c r="B592" s="35" t="s">
        <v>3412</v>
      </c>
      <c r="C592" s="35">
        <v>2026</v>
      </c>
      <c r="D592" s="36">
        <v>46201.815868055557</v>
      </c>
      <c r="E592" s="37" t="s">
        <v>29</v>
      </c>
      <c r="F592" s="37" t="s">
        <v>3417</v>
      </c>
      <c r="G592" s="37" t="s">
        <v>3418</v>
      </c>
      <c r="H592" s="35" t="s">
        <v>3419</v>
      </c>
      <c r="I592" s="35" t="s">
        <v>3416</v>
      </c>
      <c r="J592" s="38">
        <v>0.54545454545454541</v>
      </c>
      <c r="K592" s="35">
        <v>1</v>
      </c>
      <c r="L592" s="38">
        <f t="shared" si="9"/>
        <v>0.54545454545454541</v>
      </c>
      <c r="M592" s="35" t="s">
        <v>11</v>
      </c>
      <c r="N592" s="38"/>
      <c r="O592" s="35" t="s">
        <v>16</v>
      </c>
    </row>
    <row r="593" spans="1:15" x14ac:dyDescent="0.25">
      <c r="A593" s="35">
        <v>1284982814</v>
      </c>
      <c r="B593" s="35" t="s">
        <v>3412</v>
      </c>
      <c r="C593" s="35">
        <v>2026</v>
      </c>
      <c r="D593" s="36">
        <v>46201.815868055557</v>
      </c>
      <c r="E593" s="37" t="s">
        <v>29</v>
      </c>
      <c r="F593" s="37" t="s">
        <v>3434</v>
      </c>
      <c r="G593" s="37" t="s">
        <v>3435</v>
      </c>
      <c r="H593" s="35" t="s">
        <v>3419</v>
      </c>
      <c r="I593" s="35" t="s">
        <v>3416</v>
      </c>
      <c r="J593" s="38">
        <v>1.454545454545455</v>
      </c>
      <c r="K593" s="35">
        <v>1</v>
      </c>
      <c r="L593" s="38">
        <f t="shared" si="9"/>
        <v>1.454545454545455</v>
      </c>
      <c r="M593" s="35" t="s">
        <v>11</v>
      </c>
      <c r="N593" s="38"/>
      <c r="O593" s="35" t="s">
        <v>16</v>
      </c>
    </row>
    <row r="594" spans="1:15" x14ac:dyDescent="0.25">
      <c r="A594" s="35">
        <v>1284982624</v>
      </c>
      <c r="B594" s="35" t="s">
        <v>3412</v>
      </c>
      <c r="C594" s="35">
        <v>2026</v>
      </c>
      <c r="D594" s="36">
        <v>46201.815868055557</v>
      </c>
      <c r="E594" s="37" t="s">
        <v>31</v>
      </c>
      <c r="F594" s="37" t="s">
        <v>3429</v>
      </c>
      <c r="G594" s="37" t="s">
        <v>3418</v>
      </c>
      <c r="H594" s="35" t="s">
        <v>3419</v>
      </c>
      <c r="I594" s="35" t="s">
        <v>3416</v>
      </c>
      <c r="J594" s="38">
        <v>1.4450000000000001</v>
      </c>
      <c r="K594" s="35">
        <v>2</v>
      </c>
      <c r="L594" s="38">
        <f t="shared" si="9"/>
        <v>2.89</v>
      </c>
      <c r="M594" s="35" t="s">
        <v>11</v>
      </c>
      <c r="N594" s="38"/>
      <c r="O594" s="35" t="s">
        <v>16</v>
      </c>
    </row>
    <row r="595" spans="1:15" x14ac:dyDescent="0.25">
      <c r="A595" s="35">
        <v>1284982290</v>
      </c>
      <c r="B595" s="35" t="s">
        <v>3412</v>
      </c>
      <c r="C595" s="35">
        <v>2026</v>
      </c>
      <c r="D595" s="36">
        <v>46201.815868055557</v>
      </c>
      <c r="E595" s="37" t="s">
        <v>33</v>
      </c>
      <c r="F595" s="37" t="s">
        <v>3434</v>
      </c>
      <c r="G595" s="37" t="s">
        <v>3435</v>
      </c>
      <c r="H595" s="35" t="s">
        <v>3419</v>
      </c>
      <c r="I595" s="35" t="s">
        <v>3416</v>
      </c>
      <c r="J595" s="38">
        <v>0.11812499999999999</v>
      </c>
      <c r="K595" s="35">
        <v>2</v>
      </c>
      <c r="L595" s="38">
        <f t="shared" si="9"/>
        <v>0.23624999999999999</v>
      </c>
      <c r="M595" s="35" t="s">
        <v>11</v>
      </c>
      <c r="N595" s="38"/>
      <c r="O595" s="35" t="s">
        <v>16</v>
      </c>
    </row>
    <row r="596" spans="1:15" x14ac:dyDescent="0.25">
      <c r="A596" s="35">
        <v>1284982290</v>
      </c>
      <c r="B596" s="35" t="s">
        <v>3412</v>
      </c>
      <c r="C596" s="35">
        <v>2026</v>
      </c>
      <c r="D596" s="36">
        <v>46201.815868055557</v>
      </c>
      <c r="E596" s="37" t="s">
        <v>33</v>
      </c>
      <c r="F596" s="37" t="s">
        <v>3436</v>
      </c>
      <c r="G596" s="37" t="s">
        <v>3418</v>
      </c>
      <c r="H596" s="35" t="s">
        <v>3419</v>
      </c>
      <c r="I596" s="35" t="s">
        <v>3416</v>
      </c>
      <c r="J596" s="38">
        <v>1.1812499999999999</v>
      </c>
      <c r="K596" s="35">
        <v>1</v>
      </c>
      <c r="L596" s="38">
        <f t="shared" si="9"/>
        <v>1.1812499999999999</v>
      </c>
      <c r="M596" s="35" t="s">
        <v>11</v>
      </c>
      <c r="N596" s="38"/>
      <c r="O596" s="35" t="s">
        <v>16</v>
      </c>
    </row>
    <row r="597" spans="1:15" x14ac:dyDescent="0.25">
      <c r="A597" s="35">
        <v>1284982290</v>
      </c>
      <c r="B597" s="35" t="s">
        <v>3412</v>
      </c>
      <c r="C597" s="35">
        <v>2026</v>
      </c>
      <c r="D597" s="36">
        <v>46201.815868055557</v>
      </c>
      <c r="E597" s="37" t="s">
        <v>33</v>
      </c>
      <c r="F597" s="37" t="s">
        <v>3437</v>
      </c>
      <c r="G597" s="37" t="s">
        <v>3418</v>
      </c>
      <c r="H597" s="35" t="s">
        <v>3419</v>
      </c>
      <c r="I597" s="35" t="s">
        <v>3416</v>
      </c>
      <c r="J597" s="38">
        <v>4.0162499999999994</v>
      </c>
      <c r="K597" s="35">
        <v>2</v>
      </c>
      <c r="L597" s="38">
        <f t="shared" si="9"/>
        <v>8.0324999999999989</v>
      </c>
      <c r="M597" s="35" t="s">
        <v>11</v>
      </c>
      <c r="N597" s="38"/>
      <c r="O597" s="35" t="s">
        <v>16</v>
      </c>
    </row>
    <row r="598" spans="1:15" x14ac:dyDescent="0.25">
      <c r="A598" s="35">
        <v>1284981397</v>
      </c>
      <c r="B598" s="35" t="s">
        <v>3412</v>
      </c>
      <c r="C598" s="35">
        <v>2026</v>
      </c>
      <c r="D598" s="36">
        <v>46201.815868055557</v>
      </c>
      <c r="E598" s="37" t="s">
        <v>35</v>
      </c>
      <c r="F598" s="37" t="s">
        <v>3438</v>
      </c>
      <c r="G598" s="37" t="s">
        <v>3435</v>
      </c>
      <c r="H598" s="35" t="s">
        <v>3419</v>
      </c>
      <c r="I598" s="35" t="s">
        <v>3416</v>
      </c>
      <c r="J598" s="38">
        <v>0.53920844327176776</v>
      </c>
      <c r="K598" s="35">
        <v>3</v>
      </c>
      <c r="L598" s="38">
        <f t="shared" si="9"/>
        <v>1.6176253298153034</v>
      </c>
      <c r="M598" s="35" t="s">
        <v>11</v>
      </c>
      <c r="N598" s="38"/>
      <c r="O598" s="35" t="s">
        <v>16</v>
      </c>
    </row>
    <row r="599" spans="1:15" x14ac:dyDescent="0.25">
      <c r="A599" s="35">
        <v>1284981397</v>
      </c>
      <c r="B599" s="35" t="s">
        <v>3412</v>
      </c>
      <c r="C599" s="35">
        <v>2026</v>
      </c>
      <c r="D599" s="36">
        <v>46201.815868055557</v>
      </c>
      <c r="E599" s="37" t="s">
        <v>35</v>
      </c>
      <c r="F599" s="37" t="s">
        <v>3439</v>
      </c>
      <c r="G599" s="37" t="s">
        <v>3418</v>
      </c>
      <c r="H599" s="35" t="s">
        <v>3419</v>
      </c>
      <c r="I599" s="35" t="s">
        <v>3416</v>
      </c>
      <c r="J599" s="38">
        <v>1.7144063324538259</v>
      </c>
      <c r="K599" s="35">
        <v>1</v>
      </c>
      <c r="L599" s="38">
        <f t="shared" si="9"/>
        <v>1.7144063324538259</v>
      </c>
      <c r="M599" s="35" t="s">
        <v>11</v>
      </c>
      <c r="N599" s="38"/>
      <c r="O599" s="35" t="s">
        <v>16</v>
      </c>
    </row>
    <row r="600" spans="1:15" x14ac:dyDescent="0.25">
      <c r="A600" s="35">
        <v>1284981397</v>
      </c>
      <c r="B600" s="35" t="s">
        <v>3412</v>
      </c>
      <c r="C600" s="35">
        <v>2026</v>
      </c>
      <c r="D600" s="36">
        <v>46201.815868055557</v>
      </c>
      <c r="E600" s="37" t="s">
        <v>35</v>
      </c>
      <c r="F600" s="37" t="s">
        <v>3440</v>
      </c>
      <c r="G600" s="37" t="s">
        <v>3435</v>
      </c>
      <c r="H600" s="35" t="s">
        <v>3419</v>
      </c>
      <c r="I600" s="35" t="s">
        <v>3416</v>
      </c>
      <c r="J600" s="38">
        <v>0.47007915567282321</v>
      </c>
      <c r="K600" s="35">
        <v>3</v>
      </c>
      <c r="L600" s="38">
        <f t="shared" si="9"/>
        <v>1.4102374670184696</v>
      </c>
      <c r="M600" s="35" t="s">
        <v>11</v>
      </c>
      <c r="N600" s="38"/>
      <c r="O600" s="35" t="s">
        <v>16</v>
      </c>
    </row>
    <row r="601" spans="1:15" x14ac:dyDescent="0.25">
      <c r="A601" s="35">
        <v>1284981397</v>
      </c>
      <c r="B601" s="35" t="s">
        <v>3412</v>
      </c>
      <c r="C601" s="35">
        <v>2026</v>
      </c>
      <c r="D601" s="36">
        <v>46201.815868055557</v>
      </c>
      <c r="E601" s="37" t="s">
        <v>35</v>
      </c>
      <c r="F601" s="37" t="s">
        <v>3441</v>
      </c>
      <c r="G601" s="37" t="s">
        <v>3421</v>
      </c>
      <c r="H601" s="35" t="s">
        <v>3419</v>
      </c>
      <c r="I601" s="35" t="s">
        <v>3416</v>
      </c>
      <c r="J601" s="38">
        <v>0.49773087071240107</v>
      </c>
      <c r="K601" s="35">
        <v>1</v>
      </c>
      <c r="L601" s="38">
        <f t="shared" si="9"/>
        <v>0.49773087071240107</v>
      </c>
      <c r="M601" s="35" t="s">
        <v>11</v>
      </c>
      <c r="N601" s="38"/>
      <c r="O601" s="35" t="s">
        <v>16</v>
      </c>
    </row>
    <row r="602" spans="1:15" x14ac:dyDescent="0.25">
      <c r="A602" s="35">
        <v>1284981025</v>
      </c>
      <c r="B602" s="35" t="s">
        <v>3412</v>
      </c>
      <c r="C602" s="35">
        <v>2026</v>
      </c>
      <c r="D602" s="36">
        <v>46201.815868055557</v>
      </c>
      <c r="E602" s="37" t="s">
        <v>8</v>
      </c>
      <c r="F602" s="37" t="s">
        <v>3442</v>
      </c>
      <c r="G602" s="37" t="s">
        <v>3421</v>
      </c>
      <c r="H602" s="35" t="s">
        <v>3419</v>
      </c>
      <c r="I602" s="35" t="s">
        <v>3416</v>
      </c>
      <c r="J602" s="38">
        <v>22.95</v>
      </c>
      <c r="K602" s="35">
        <v>2</v>
      </c>
      <c r="L602" s="38">
        <f t="shared" si="9"/>
        <v>45.9</v>
      </c>
      <c r="M602" s="42" t="s">
        <v>11</v>
      </c>
      <c r="N602" s="38"/>
      <c r="O602" s="35" t="s">
        <v>16</v>
      </c>
    </row>
    <row r="603" spans="1:15" x14ac:dyDescent="0.25">
      <c r="A603" s="35">
        <v>1284981025</v>
      </c>
      <c r="B603" s="35" t="s">
        <v>3412</v>
      </c>
      <c r="C603" s="35">
        <v>2026</v>
      </c>
      <c r="D603" s="36">
        <v>46201.815868055557</v>
      </c>
      <c r="E603" s="37" t="s">
        <v>8</v>
      </c>
      <c r="F603" s="37" t="s">
        <v>3443</v>
      </c>
      <c r="G603" s="37" t="s">
        <v>3435</v>
      </c>
      <c r="H603" s="35" t="s">
        <v>3419</v>
      </c>
      <c r="I603" s="35" t="s">
        <v>3416</v>
      </c>
      <c r="J603" s="38">
        <v>1.4</v>
      </c>
      <c r="K603" s="35">
        <v>3</v>
      </c>
      <c r="L603" s="38">
        <f t="shared" si="9"/>
        <v>4.1999999999999993</v>
      </c>
      <c r="M603" s="42" t="s">
        <v>11</v>
      </c>
      <c r="N603" s="38"/>
      <c r="O603" s="35" t="s">
        <v>16</v>
      </c>
    </row>
    <row r="604" spans="1:15" x14ac:dyDescent="0.25">
      <c r="A604" s="35">
        <v>1284981025</v>
      </c>
      <c r="B604" s="35" t="s">
        <v>3412</v>
      </c>
      <c r="C604" s="35">
        <v>2026</v>
      </c>
      <c r="D604" s="36">
        <v>46201.815868055557</v>
      </c>
      <c r="E604" s="37" t="s">
        <v>8</v>
      </c>
      <c r="F604" s="37" t="s">
        <v>3444</v>
      </c>
      <c r="G604" s="37" t="s">
        <v>3435</v>
      </c>
      <c r="H604" s="35" t="s">
        <v>3419</v>
      </c>
      <c r="I604" s="35" t="s">
        <v>3416</v>
      </c>
      <c r="J604" s="38">
        <v>4.7</v>
      </c>
      <c r="K604" s="35">
        <v>3</v>
      </c>
      <c r="L604" s="38">
        <f t="shared" si="9"/>
        <v>14.100000000000001</v>
      </c>
      <c r="M604" s="42" t="s">
        <v>11</v>
      </c>
      <c r="N604" s="38"/>
      <c r="O604" s="35" t="s">
        <v>16</v>
      </c>
    </row>
    <row r="605" spans="1:15" x14ac:dyDescent="0.25">
      <c r="A605" s="35">
        <v>1284981025</v>
      </c>
      <c r="B605" s="35" t="s">
        <v>3412</v>
      </c>
      <c r="C605" s="35">
        <v>2026</v>
      </c>
      <c r="D605" s="36">
        <v>46201.815868055557</v>
      </c>
      <c r="E605" s="37" t="s">
        <v>8</v>
      </c>
      <c r="F605" s="37" t="s">
        <v>3445</v>
      </c>
      <c r="G605" s="37" t="s">
        <v>3435</v>
      </c>
      <c r="H605" s="35" t="s">
        <v>3419</v>
      </c>
      <c r="I605" s="35" t="s">
        <v>3416</v>
      </c>
      <c r="J605" s="38">
        <v>4.95</v>
      </c>
      <c r="K605" s="35">
        <v>1</v>
      </c>
      <c r="L605" s="38">
        <f t="shared" si="9"/>
        <v>4.95</v>
      </c>
      <c r="M605" s="42" t="s">
        <v>11</v>
      </c>
      <c r="N605" s="38"/>
      <c r="O605" s="35" t="s">
        <v>16</v>
      </c>
    </row>
    <row r="606" spans="1:15" x14ac:dyDescent="0.25">
      <c r="A606" s="35">
        <v>1284969484</v>
      </c>
      <c r="B606" s="35" t="s">
        <v>3412</v>
      </c>
      <c r="C606" s="35">
        <v>2026</v>
      </c>
      <c r="D606" s="36">
        <v>46201.778460648151</v>
      </c>
      <c r="E606" s="37" t="s">
        <v>39</v>
      </c>
      <c r="F606" s="37" t="s">
        <v>3446</v>
      </c>
      <c r="G606" s="37" t="s">
        <v>3435</v>
      </c>
      <c r="H606" s="35" t="s">
        <v>3419</v>
      </c>
      <c r="I606" s="35" t="s">
        <v>3416</v>
      </c>
      <c r="J606" s="38">
        <v>62.520833333333343</v>
      </c>
      <c r="K606" s="35">
        <v>1</v>
      </c>
      <c r="L606" s="38">
        <f t="shared" si="9"/>
        <v>62.520833333333343</v>
      </c>
      <c r="M606" s="35" t="s">
        <v>11</v>
      </c>
      <c r="N606" s="38"/>
      <c r="O606" s="35" t="s">
        <v>16</v>
      </c>
    </row>
    <row r="607" spans="1:15" x14ac:dyDescent="0.25">
      <c r="A607" s="35">
        <v>1284969484</v>
      </c>
      <c r="B607" s="35" t="s">
        <v>3412</v>
      </c>
      <c r="C607" s="35">
        <v>2026</v>
      </c>
      <c r="D607" s="36">
        <v>46201.778460648151</v>
      </c>
      <c r="E607" s="37" t="s">
        <v>39</v>
      </c>
      <c r="F607" s="37" t="s">
        <v>3447</v>
      </c>
      <c r="G607" s="37" t="s">
        <v>3448</v>
      </c>
      <c r="H607" s="35" t="s">
        <v>3419</v>
      </c>
      <c r="I607" s="35" t="s">
        <v>3416</v>
      </c>
      <c r="J607" s="38">
        <v>237.57916666666671</v>
      </c>
      <c r="K607" s="35">
        <v>1</v>
      </c>
      <c r="L607" s="38">
        <f t="shared" si="9"/>
        <v>237.57916666666671</v>
      </c>
      <c r="M607" s="35" t="s">
        <v>11</v>
      </c>
      <c r="N607" s="38"/>
      <c r="O607" s="35" t="s">
        <v>16</v>
      </c>
    </row>
    <row r="608" spans="1:15" x14ac:dyDescent="0.25">
      <c r="A608" s="35">
        <v>1284968616</v>
      </c>
      <c r="B608" s="35" t="s">
        <v>3412</v>
      </c>
      <c r="C608" s="35">
        <v>2026</v>
      </c>
      <c r="D608" s="36">
        <v>46201.748252314806</v>
      </c>
      <c r="E608" s="37" t="s">
        <v>41</v>
      </c>
      <c r="F608" s="37" t="s">
        <v>3449</v>
      </c>
      <c r="G608" s="37" t="s">
        <v>3448</v>
      </c>
      <c r="H608" s="35" t="s">
        <v>3419</v>
      </c>
      <c r="I608" s="35" t="s">
        <v>3416</v>
      </c>
      <c r="J608" s="38">
        <v>236</v>
      </c>
      <c r="K608" s="35">
        <v>1</v>
      </c>
      <c r="L608" s="38">
        <f t="shared" si="9"/>
        <v>236</v>
      </c>
      <c r="M608" s="35" t="s">
        <v>11</v>
      </c>
      <c r="N608" s="38"/>
      <c r="O608" s="35" t="s">
        <v>16</v>
      </c>
    </row>
    <row r="609" spans="1:15" x14ac:dyDescent="0.25">
      <c r="A609" s="35">
        <v>1284926434</v>
      </c>
      <c r="B609" s="35" t="s">
        <v>3412</v>
      </c>
      <c r="C609" s="35">
        <v>2026</v>
      </c>
      <c r="D609" s="36">
        <v>46201.748252314806</v>
      </c>
      <c r="E609" s="37" t="s">
        <v>43</v>
      </c>
      <c r="F609" s="37" t="s">
        <v>3450</v>
      </c>
      <c r="G609" s="37" t="s">
        <v>3418</v>
      </c>
      <c r="H609" s="35" t="s">
        <v>3419</v>
      </c>
      <c r="I609" s="35" t="s">
        <v>3416</v>
      </c>
      <c r="J609" s="38">
        <v>1.083333333333333</v>
      </c>
      <c r="K609" s="35">
        <v>3</v>
      </c>
      <c r="L609" s="38">
        <f t="shared" si="9"/>
        <v>3.2499999999999991</v>
      </c>
      <c r="M609" s="35" t="s">
        <v>11</v>
      </c>
      <c r="N609" s="38"/>
      <c r="O609" s="35" t="s">
        <v>16</v>
      </c>
    </row>
    <row r="610" spans="1:15" x14ac:dyDescent="0.25">
      <c r="A610" s="35">
        <v>1284125120</v>
      </c>
      <c r="B610" s="35" t="s">
        <v>3412</v>
      </c>
      <c r="C610" s="35">
        <v>2026</v>
      </c>
      <c r="D610" s="36">
        <v>46197.379247685189</v>
      </c>
      <c r="E610" s="37" t="s">
        <v>51</v>
      </c>
      <c r="F610" s="37" t="s">
        <v>3458</v>
      </c>
      <c r="G610" s="37" t="s">
        <v>3414</v>
      </c>
      <c r="H610" s="35" t="s">
        <v>3415</v>
      </c>
      <c r="I610" s="35" t="s">
        <v>3416</v>
      </c>
      <c r="J610" s="38">
        <v>0.70250000000000001</v>
      </c>
      <c r="K610" s="35">
        <v>4</v>
      </c>
      <c r="L610" s="38">
        <f t="shared" si="9"/>
        <v>2.81</v>
      </c>
      <c r="M610" s="35" t="s">
        <v>11</v>
      </c>
      <c r="N610" s="38"/>
      <c r="O610" s="35" t="s">
        <v>12</v>
      </c>
    </row>
    <row r="611" spans="1:15" x14ac:dyDescent="0.25">
      <c r="A611" s="35">
        <v>1283958909</v>
      </c>
      <c r="B611" s="35" t="s">
        <v>3412</v>
      </c>
      <c r="C611" s="35">
        <v>2026</v>
      </c>
      <c r="D611" s="36">
        <v>46196.436608796299</v>
      </c>
      <c r="E611" s="37" t="s">
        <v>54</v>
      </c>
      <c r="F611" s="37" t="s">
        <v>3459</v>
      </c>
      <c r="G611" s="37" t="s">
        <v>3448</v>
      </c>
      <c r="H611" s="35" t="s">
        <v>3419</v>
      </c>
      <c r="I611" s="35" t="s">
        <v>3416</v>
      </c>
      <c r="J611" s="38">
        <v>6.3533333333333326</v>
      </c>
      <c r="K611" s="35">
        <v>3</v>
      </c>
      <c r="L611" s="38">
        <f t="shared" si="9"/>
        <v>19.059999999999999</v>
      </c>
      <c r="M611" s="35" t="s">
        <v>11</v>
      </c>
      <c r="N611" s="38"/>
      <c r="O611" s="35" t="s">
        <v>16</v>
      </c>
    </row>
    <row r="612" spans="1:15" x14ac:dyDescent="0.25">
      <c r="A612" s="35">
        <v>1283814659</v>
      </c>
      <c r="B612" s="35" t="s">
        <v>3412</v>
      </c>
      <c r="C612" s="35">
        <v>2026</v>
      </c>
      <c r="D612" s="36">
        <v>46195.758530092593</v>
      </c>
      <c r="E612" s="37" t="s">
        <v>8</v>
      </c>
      <c r="F612" s="37" t="s">
        <v>3460</v>
      </c>
      <c r="G612" s="37" t="s">
        <v>3421</v>
      </c>
      <c r="H612" s="35" t="s">
        <v>3419</v>
      </c>
      <c r="I612" s="35" t="s">
        <v>3416</v>
      </c>
      <c r="J612" s="38">
        <v>65</v>
      </c>
      <c r="K612" s="35">
        <v>1</v>
      </c>
      <c r="L612" s="38">
        <f t="shared" si="9"/>
        <v>65</v>
      </c>
      <c r="M612" s="42" t="s">
        <v>11</v>
      </c>
      <c r="N612" s="38"/>
      <c r="O612" s="35" t="s">
        <v>16</v>
      </c>
    </row>
    <row r="613" spans="1:15" x14ac:dyDescent="0.25">
      <c r="A613" s="35">
        <v>1282393287</v>
      </c>
      <c r="B613" s="35" t="s">
        <v>3412</v>
      </c>
      <c r="C613" s="35">
        <v>2026</v>
      </c>
      <c r="D613" s="36">
        <v>46188.384050925917</v>
      </c>
      <c r="E613" s="37" t="s">
        <v>61</v>
      </c>
      <c r="F613" s="37" t="s">
        <v>3463</v>
      </c>
      <c r="G613" s="37" t="s">
        <v>3418</v>
      </c>
      <c r="H613" s="35" t="s">
        <v>3419</v>
      </c>
      <c r="I613" s="35" t="s">
        <v>3416</v>
      </c>
      <c r="J613" s="38">
        <v>3.45</v>
      </c>
      <c r="K613" s="35">
        <v>1</v>
      </c>
      <c r="L613" s="38">
        <f t="shared" si="9"/>
        <v>3.45</v>
      </c>
      <c r="M613" s="42" t="s">
        <v>11</v>
      </c>
      <c r="N613" s="38"/>
      <c r="O613" s="35" t="s">
        <v>16</v>
      </c>
    </row>
    <row r="614" spans="1:15" x14ac:dyDescent="0.25">
      <c r="A614" s="35">
        <v>1282393284</v>
      </c>
      <c r="B614" s="35" t="s">
        <v>3412</v>
      </c>
      <c r="C614" s="35">
        <v>2026</v>
      </c>
      <c r="D614" s="36">
        <v>46188.384050925917</v>
      </c>
      <c r="E614" s="37" t="s">
        <v>64</v>
      </c>
      <c r="F614" s="37" t="s">
        <v>3464</v>
      </c>
      <c r="G614" s="37" t="s">
        <v>3421</v>
      </c>
      <c r="H614" s="35" t="s">
        <v>3419</v>
      </c>
      <c r="I614" s="35" t="s">
        <v>3416</v>
      </c>
      <c r="J614" s="38">
        <v>4.4233333333333329</v>
      </c>
      <c r="K614" s="35">
        <v>3</v>
      </c>
      <c r="L614" s="38">
        <f t="shared" si="9"/>
        <v>13.27</v>
      </c>
      <c r="M614" s="35" t="s">
        <v>11</v>
      </c>
      <c r="N614" s="38"/>
      <c r="O614" s="35" t="s">
        <v>16</v>
      </c>
    </row>
    <row r="615" spans="1:15" x14ac:dyDescent="0.25">
      <c r="A615" s="35">
        <v>1282393282</v>
      </c>
      <c r="B615" s="35" t="s">
        <v>3412</v>
      </c>
      <c r="C615" s="35">
        <v>2026</v>
      </c>
      <c r="D615" s="36">
        <v>46188.384050925917</v>
      </c>
      <c r="E615" s="37" t="s">
        <v>66</v>
      </c>
      <c r="F615" s="37" t="s">
        <v>3465</v>
      </c>
      <c r="G615" s="37" t="s">
        <v>3418</v>
      </c>
      <c r="H615" s="35" t="s">
        <v>3419</v>
      </c>
      <c r="I615" s="35" t="s">
        <v>3416</v>
      </c>
      <c r="J615" s="38">
        <v>67.06</v>
      </c>
      <c r="K615" s="35">
        <v>1</v>
      </c>
      <c r="L615" s="38">
        <f t="shared" si="9"/>
        <v>67.06</v>
      </c>
      <c r="M615" s="35" t="s">
        <v>11</v>
      </c>
      <c r="N615" s="38"/>
      <c r="O615" s="35" t="s">
        <v>16</v>
      </c>
    </row>
    <row r="616" spans="1:15" x14ac:dyDescent="0.25">
      <c r="A616" s="35">
        <v>1282393281</v>
      </c>
      <c r="B616" s="35" t="s">
        <v>3412</v>
      </c>
      <c r="C616" s="35">
        <v>2026</v>
      </c>
      <c r="D616" s="36">
        <v>46188.384050925917</v>
      </c>
      <c r="E616" s="37" t="s">
        <v>68</v>
      </c>
      <c r="F616" s="37" t="s">
        <v>3463</v>
      </c>
      <c r="G616" s="37" t="s">
        <v>3418</v>
      </c>
      <c r="H616" s="35" t="s">
        <v>3419</v>
      </c>
      <c r="I616" s="35" t="s">
        <v>3416</v>
      </c>
      <c r="J616" s="38">
        <v>3.6749999999999998</v>
      </c>
      <c r="K616" s="35">
        <v>2</v>
      </c>
      <c r="L616" s="38">
        <f t="shared" si="9"/>
        <v>7.35</v>
      </c>
      <c r="M616" s="35" t="s">
        <v>11</v>
      </c>
      <c r="N616" s="38"/>
      <c r="O616" s="35" t="s">
        <v>16</v>
      </c>
    </row>
    <row r="617" spans="1:15" x14ac:dyDescent="0.25">
      <c r="A617" s="35">
        <v>1282393280</v>
      </c>
      <c r="B617" s="35" t="s">
        <v>3412</v>
      </c>
      <c r="C617" s="35">
        <v>2026</v>
      </c>
      <c r="D617" s="36">
        <v>46188.384050925917</v>
      </c>
      <c r="E617" s="37" t="s">
        <v>70</v>
      </c>
      <c r="F617" s="37" t="s">
        <v>3466</v>
      </c>
      <c r="G617" s="37" t="s">
        <v>3435</v>
      </c>
      <c r="H617" s="35" t="s">
        <v>3419</v>
      </c>
      <c r="I617" s="35" t="s">
        <v>3416</v>
      </c>
      <c r="J617" s="38">
        <v>0.93333333333333324</v>
      </c>
      <c r="K617" s="35">
        <v>3</v>
      </c>
      <c r="L617" s="38">
        <f t="shared" si="9"/>
        <v>2.8</v>
      </c>
      <c r="M617" s="35" t="s">
        <v>11</v>
      </c>
      <c r="N617" s="38"/>
      <c r="O617" s="35" t="s">
        <v>16</v>
      </c>
    </row>
    <row r="618" spans="1:15" x14ac:dyDescent="0.25">
      <c r="A618" s="35">
        <v>1282393042</v>
      </c>
      <c r="B618" s="35" t="s">
        <v>3412</v>
      </c>
      <c r="C618" s="35">
        <v>2026</v>
      </c>
      <c r="D618" s="36">
        <v>46188.38</v>
      </c>
      <c r="E618" s="37" t="s">
        <v>72</v>
      </c>
      <c r="F618" s="37" t="s">
        <v>3467</v>
      </c>
      <c r="G618" s="37" t="s">
        <v>3448</v>
      </c>
      <c r="H618" s="35" t="s">
        <v>3419</v>
      </c>
      <c r="I618" s="35" t="s">
        <v>3416</v>
      </c>
      <c r="J618" s="38">
        <v>62.35</v>
      </c>
      <c r="K618" s="35">
        <v>1</v>
      </c>
      <c r="L618" s="38">
        <f t="shared" si="9"/>
        <v>62.35</v>
      </c>
      <c r="M618" s="35" t="s">
        <v>11</v>
      </c>
      <c r="N618" s="38"/>
      <c r="O618" s="35" t="s">
        <v>16</v>
      </c>
    </row>
    <row r="619" spans="1:15" x14ac:dyDescent="0.25">
      <c r="A619" s="35">
        <v>1282329702</v>
      </c>
      <c r="B619" s="35" t="s">
        <v>3412</v>
      </c>
      <c r="C619" s="35">
        <v>2026</v>
      </c>
      <c r="D619" s="36">
        <v>46187.898935185192</v>
      </c>
      <c r="E619" s="37" t="s">
        <v>76</v>
      </c>
      <c r="F619" s="37" t="s">
        <v>3468</v>
      </c>
      <c r="G619" s="37" t="s">
        <v>3435</v>
      </c>
      <c r="H619" s="35" t="s">
        <v>3419</v>
      </c>
      <c r="I619" s="35" t="s">
        <v>3416</v>
      </c>
      <c r="J619" s="38">
        <v>1.9833333333333329</v>
      </c>
      <c r="K619" s="35">
        <v>3</v>
      </c>
      <c r="L619" s="38">
        <f t="shared" si="9"/>
        <v>5.9499999999999993</v>
      </c>
      <c r="M619" s="35" t="s">
        <v>11</v>
      </c>
      <c r="N619" s="38"/>
      <c r="O619" s="35" t="s">
        <v>16</v>
      </c>
    </row>
    <row r="620" spans="1:15" x14ac:dyDescent="0.25">
      <c r="A620" s="35">
        <v>1282325871</v>
      </c>
      <c r="B620" s="35" t="s">
        <v>3412</v>
      </c>
      <c r="C620" s="35">
        <v>2026</v>
      </c>
      <c r="D620" s="36">
        <v>46187.898935185192</v>
      </c>
      <c r="E620" s="37" t="s">
        <v>79</v>
      </c>
      <c r="F620" s="37" t="s">
        <v>3469</v>
      </c>
      <c r="G620" s="37" t="s">
        <v>3421</v>
      </c>
      <c r="H620" s="35" t="s">
        <v>3419</v>
      </c>
      <c r="I620" s="35" t="s">
        <v>3416</v>
      </c>
      <c r="J620" s="38">
        <v>1.1685208816705339</v>
      </c>
      <c r="K620" s="35">
        <v>2</v>
      </c>
      <c r="L620" s="38">
        <f t="shared" si="9"/>
        <v>2.3370417633410678</v>
      </c>
      <c r="M620" s="35" t="s">
        <v>11</v>
      </c>
      <c r="N620" s="38"/>
      <c r="O620" s="35" t="s">
        <v>16</v>
      </c>
    </row>
    <row r="621" spans="1:15" x14ac:dyDescent="0.25">
      <c r="A621" s="35">
        <v>1282325871</v>
      </c>
      <c r="B621" s="35" t="s">
        <v>3412</v>
      </c>
      <c r="C621" s="35">
        <v>2026</v>
      </c>
      <c r="D621" s="36">
        <v>46187.898935185192</v>
      </c>
      <c r="E621" s="37" t="s">
        <v>79</v>
      </c>
      <c r="F621" s="37" t="s">
        <v>3470</v>
      </c>
      <c r="G621" s="37" t="s">
        <v>3435</v>
      </c>
      <c r="H621" s="35" t="s">
        <v>3419</v>
      </c>
      <c r="I621" s="35" t="s">
        <v>3416</v>
      </c>
      <c r="J621" s="38">
        <v>58.426044083526683</v>
      </c>
      <c r="K621" s="35">
        <v>1</v>
      </c>
      <c r="L621" s="38">
        <f t="shared" si="9"/>
        <v>58.426044083526683</v>
      </c>
      <c r="M621" s="35" t="s">
        <v>11</v>
      </c>
      <c r="N621" s="38"/>
      <c r="O621" s="35" t="s">
        <v>16</v>
      </c>
    </row>
    <row r="622" spans="1:15" x14ac:dyDescent="0.25">
      <c r="A622" s="35">
        <v>1282325871</v>
      </c>
      <c r="B622" s="35" t="s">
        <v>3412</v>
      </c>
      <c r="C622" s="35">
        <v>2026</v>
      </c>
      <c r="D622" s="36">
        <v>46187.898935185192</v>
      </c>
      <c r="E622" s="37" t="s">
        <v>79</v>
      </c>
      <c r="F622" s="37" t="s">
        <v>3471</v>
      </c>
      <c r="G622" s="37" t="s">
        <v>3435</v>
      </c>
      <c r="H622" s="35" t="s">
        <v>3419</v>
      </c>
      <c r="I622" s="35" t="s">
        <v>3416</v>
      </c>
      <c r="J622" s="38">
        <v>0.22047563805104409</v>
      </c>
      <c r="K622" s="35">
        <v>5</v>
      </c>
      <c r="L622" s="38">
        <f t="shared" si="9"/>
        <v>1.1023781902552203</v>
      </c>
      <c r="M622" s="35" t="s">
        <v>11</v>
      </c>
      <c r="N622" s="38"/>
      <c r="O622" s="35" t="s">
        <v>16</v>
      </c>
    </row>
    <row r="623" spans="1:15" x14ac:dyDescent="0.25">
      <c r="A623" s="35">
        <v>1282325871</v>
      </c>
      <c r="B623" s="35" t="s">
        <v>3412</v>
      </c>
      <c r="C623" s="35">
        <v>2026</v>
      </c>
      <c r="D623" s="36">
        <v>46187.898935185192</v>
      </c>
      <c r="E623" s="37" t="s">
        <v>79</v>
      </c>
      <c r="F623" s="37" t="s">
        <v>3472</v>
      </c>
      <c r="G623" s="37" t="s">
        <v>3421</v>
      </c>
      <c r="H623" s="35" t="s">
        <v>3419</v>
      </c>
      <c r="I623" s="35" t="s">
        <v>3416</v>
      </c>
      <c r="J623" s="38">
        <v>0.34173723897911829</v>
      </c>
      <c r="K623" s="35">
        <v>2</v>
      </c>
      <c r="L623" s="38">
        <f t="shared" si="9"/>
        <v>0.68347447795823657</v>
      </c>
      <c r="M623" s="35" t="s">
        <v>11</v>
      </c>
      <c r="N623" s="38"/>
      <c r="O623" s="35" t="s">
        <v>16</v>
      </c>
    </row>
    <row r="624" spans="1:15" x14ac:dyDescent="0.25">
      <c r="A624" s="35">
        <v>1282325871</v>
      </c>
      <c r="B624" s="35" t="s">
        <v>3412</v>
      </c>
      <c r="C624" s="35">
        <v>2026</v>
      </c>
      <c r="D624" s="36">
        <v>46187.898935185192</v>
      </c>
      <c r="E624" s="37" t="s">
        <v>79</v>
      </c>
      <c r="F624" s="37" t="s">
        <v>3473</v>
      </c>
      <c r="G624" s="37" t="s">
        <v>3435</v>
      </c>
      <c r="H624" s="35" t="s">
        <v>3419</v>
      </c>
      <c r="I624" s="35" t="s">
        <v>3416</v>
      </c>
      <c r="J624" s="38">
        <v>0.82678364269141535</v>
      </c>
      <c r="K624" s="35">
        <v>3</v>
      </c>
      <c r="L624" s="38">
        <f t="shared" si="9"/>
        <v>2.480350928074246</v>
      </c>
      <c r="M624" s="35" t="s">
        <v>11</v>
      </c>
      <c r="N624" s="38"/>
      <c r="O624" s="35" t="s">
        <v>16</v>
      </c>
    </row>
    <row r="625" spans="1:15" x14ac:dyDescent="0.25">
      <c r="A625" s="35">
        <v>1282325871</v>
      </c>
      <c r="B625" s="35" t="s">
        <v>3412</v>
      </c>
      <c r="C625" s="35">
        <v>2026</v>
      </c>
      <c r="D625" s="36">
        <v>46187.898935185192</v>
      </c>
      <c r="E625" s="37" t="s">
        <v>79</v>
      </c>
      <c r="F625" s="37" t="s">
        <v>3474</v>
      </c>
      <c r="G625" s="37" t="s">
        <v>3421</v>
      </c>
      <c r="H625" s="35" t="s">
        <v>3419</v>
      </c>
      <c r="I625" s="35" t="s">
        <v>3416</v>
      </c>
      <c r="J625" s="38">
        <v>0.51811774941995359</v>
      </c>
      <c r="K625" s="35">
        <v>3</v>
      </c>
      <c r="L625" s="38">
        <f t="shared" si="9"/>
        <v>1.5543532482598608</v>
      </c>
      <c r="M625" s="35" t="s">
        <v>11</v>
      </c>
      <c r="N625" s="38"/>
      <c r="O625" s="35" t="s">
        <v>16</v>
      </c>
    </row>
    <row r="626" spans="1:15" x14ac:dyDescent="0.25">
      <c r="A626" s="35">
        <v>1282325871</v>
      </c>
      <c r="B626" s="35" t="s">
        <v>3412</v>
      </c>
      <c r="C626" s="35">
        <v>2026</v>
      </c>
      <c r="D626" s="36">
        <v>46187.898935185192</v>
      </c>
      <c r="E626" s="37" t="s">
        <v>79</v>
      </c>
      <c r="F626" s="37" t="s">
        <v>3475</v>
      </c>
      <c r="G626" s="37" t="s">
        <v>3421</v>
      </c>
      <c r="H626" s="35" t="s">
        <v>3419</v>
      </c>
      <c r="I626" s="35" t="s">
        <v>3416</v>
      </c>
      <c r="J626" s="38">
        <v>1.20159222737819</v>
      </c>
      <c r="K626" s="35">
        <v>3</v>
      </c>
      <c r="L626" s="38">
        <f t="shared" si="9"/>
        <v>3.6047766821345704</v>
      </c>
      <c r="M626" s="35" t="s">
        <v>11</v>
      </c>
      <c r="N626" s="38"/>
      <c r="O626" s="35" t="s">
        <v>16</v>
      </c>
    </row>
    <row r="627" spans="1:15" x14ac:dyDescent="0.25">
      <c r="A627" s="35">
        <v>1282325871</v>
      </c>
      <c r="B627" s="35" t="s">
        <v>3412</v>
      </c>
      <c r="C627" s="35">
        <v>2026</v>
      </c>
      <c r="D627" s="36">
        <v>46187.898935185192</v>
      </c>
      <c r="E627" s="37" t="s">
        <v>79</v>
      </c>
      <c r="F627" s="37" t="s">
        <v>3476</v>
      </c>
      <c r="G627" s="37" t="s">
        <v>3421</v>
      </c>
      <c r="H627" s="35" t="s">
        <v>3419</v>
      </c>
      <c r="I627" s="35" t="s">
        <v>3416</v>
      </c>
      <c r="J627" s="38">
        <v>1.8079002320185611</v>
      </c>
      <c r="K627" s="35">
        <v>1</v>
      </c>
      <c r="L627" s="38">
        <f t="shared" si="9"/>
        <v>1.8079002320185611</v>
      </c>
      <c r="M627" s="35" t="s">
        <v>11</v>
      </c>
      <c r="N627" s="38"/>
      <c r="O627" s="35" t="s">
        <v>16</v>
      </c>
    </row>
    <row r="628" spans="1:15" x14ac:dyDescent="0.25">
      <c r="A628" s="35">
        <v>1282325871</v>
      </c>
      <c r="B628" s="35" t="s">
        <v>3412</v>
      </c>
      <c r="C628" s="35">
        <v>2026</v>
      </c>
      <c r="D628" s="36">
        <v>46187.898935185192</v>
      </c>
      <c r="E628" s="37" t="s">
        <v>79</v>
      </c>
      <c r="F628" s="37" t="s">
        <v>3477</v>
      </c>
      <c r="G628" s="37" t="s">
        <v>3421</v>
      </c>
      <c r="H628" s="35" t="s">
        <v>3419</v>
      </c>
      <c r="I628" s="35" t="s">
        <v>3416</v>
      </c>
      <c r="J628" s="38">
        <v>0.51811774941995359</v>
      </c>
      <c r="K628" s="35">
        <v>3</v>
      </c>
      <c r="L628" s="38">
        <f t="shared" si="9"/>
        <v>1.5543532482598608</v>
      </c>
      <c r="M628" s="35" t="s">
        <v>11</v>
      </c>
      <c r="N628" s="38"/>
      <c r="O628" s="35" t="s">
        <v>16</v>
      </c>
    </row>
    <row r="629" spans="1:15" x14ac:dyDescent="0.25">
      <c r="A629" s="35">
        <v>1282325871</v>
      </c>
      <c r="B629" s="35" t="s">
        <v>3412</v>
      </c>
      <c r="C629" s="35">
        <v>2026</v>
      </c>
      <c r="D629" s="36">
        <v>46187.898935185192</v>
      </c>
      <c r="E629" s="37" t="s">
        <v>79</v>
      </c>
      <c r="F629" s="37" t="s">
        <v>3478</v>
      </c>
      <c r="G629" s="37" t="s">
        <v>3418</v>
      </c>
      <c r="H629" s="35" t="s">
        <v>3415</v>
      </c>
      <c r="I629" s="35" t="s">
        <v>3416</v>
      </c>
      <c r="J629" s="38">
        <v>0.15433294663573091</v>
      </c>
      <c r="K629" s="35">
        <v>4</v>
      </c>
      <c r="L629" s="38">
        <f t="shared" si="9"/>
        <v>0.61733178654292364</v>
      </c>
      <c r="M629" s="35" t="s">
        <v>11</v>
      </c>
      <c r="N629" s="38"/>
      <c r="O629" s="35" t="s">
        <v>16</v>
      </c>
    </row>
    <row r="630" spans="1:15" x14ac:dyDescent="0.25">
      <c r="A630" s="35">
        <v>1282325871</v>
      </c>
      <c r="B630" s="35" t="s">
        <v>3412</v>
      </c>
      <c r="C630" s="35">
        <v>2026</v>
      </c>
      <c r="D630" s="36">
        <v>46187.898935185192</v>
      </c>
      <c r="E630" s="37" t="s">
        <v>79</v>
      </c>
      <c r="F630" s="37" t="s">
        <v>3479</v>
      </c>
      <c r="G630" s="37" t="s">
        <v>3435</v>
      </c>
      <c r="H630" s="35" t="s">
        <v>3419</v>
      </c>
      <c r="I630" s="35" t="s">
        <v>3416</v>
      </c>
      <c r="J630" s="38">
        <v>1.1354495359628769</v>
      </c>
      <c r="K630" s="35">
        <v>1</v>
      </c>
      <c r="L630" s="38">
        <f t="shared" si="9"/>
        <v>1.1354495359628769</v>
      </c>
      <c r="M630" s="35" t="s">
        <v>11</v>
      </c>
      <c r="N630" s="38"/>
      <c r="O630" s="35" t="s">
        <v>16</v>
      </c>
    </row>
    <row r="631" spans="1:15" x14ac:dyDescent="0.25">
      <c r="A631" s="35">
        <v>1282325871</v>
      </c>
      <c r="B631" s="35" t="s">
        <v>3412</v>
      </c>
      <c r="C631" s="35">
        <v>2026</v>
      </c>
      <c r="D631" s="36">
        <v>46187.898935185192</v>
      </c>
      <c r="E631" s="37" t="s">
        <v>79</v>
      </c>
      <c r="F631" s="37" t="s">
        <v>3480</v>
      </c>
      <c r="G631" s="37" t="s">
        <v>3435</v>
      </c>
      <c r="H631" s="35" t="s">
        <v>3419</v>
      </c>
      <c r="I631" s="35" t="s">
        <v>3416</v>
      </c>
      <c r="J631" s="38">
        <v>0.71654582366589326</v>
      </c>
      <c r="K631" s="35">
        <v>1</v>
      </c>
      <c r="L631" s="38">
        <f t="shared" si="9"/>
        <v>0.71654582366589326</v>
      </c>
      <c r="M631" s="35" t="s">
        <v>11</v>
      </c>
      <c r="N631" s="38"/>
      <c r="O631" s="35" t="s">
        <v>16</v>
      </c>
    </row>
    <row r="632" spans="1:15" x14ac:dyDescent="0.25">
      <c r="A632" s="35">
        <v>1281467267</v>
      </c>
      <c r="B632" s="35" t="s">
        <v>3412</v>
      </c>
      <c r="C632" s="35">
        <v>2026</v>
      </c>
      <c r="D632" s="36">
        <v>46183.843449074076</v>
      </c>
      <c r="E632" s="37" t="s">
        <v>81</v>
      </c>
      <c r="F632" s="37" t="s">
        <v>3481</v>
      </c>
      <c r="G632" s="37" t="s">
        <v>3435</v>
      </c>
      <c r="H632" s="35" t="s">
        <v>3419</v>
      </c>
      <c r="I632" s="35" t="s">
        <v>3416</v>
      </c>
      <c r="J632" s="38">
        <v>4.6444444444444439</v>
      </c>
      <c r="K632" s="35">
        <v>1</v>
      </c>
      <c r="L632" s="38">
        <f t="shared" si="9"/>
        <v>4.6444444444444439</v>
      </c>
      <c r="M632" s="35" t="s">
        <v>11</v>
      </c>
      <c r="N632" s="38"/>
      <c r="O632" s="35" t="s">
        <v>16</v>
      </c>
    </row>
    <row r="633" spans="1:15" x14ac:dyDescent="0.25">
      <c r="A633" s="35">
        <v>1281467267</v>
      </c>
      <c r="B633" s="35" t="s">
        <v>3412</v>
      </c>
      <c r="C633" s="35">
        <v>2026</v>
      </c>
      <c r="D633" s="36">
        <v>46183.843449074076</v>
      </c>
      <c r="E633" s="37" t="s">
        <v>81</v>
      </c>
      <c r="F633" s="37" t="s">
        <v>3482</v>
      </c>
      <c r="G633" s="37" t="s">
        <v>3421</v>
      </c>
      <c r="H633" s="35" t="s">
        <v>3419</v>
      </c>
      <c r="I633" s="35" t="s">
        <v>3416</v>
      </c>
      <c r="J633" s="38">
        <v>5.8055555555555554</v>
      </c>
      <c r="K633" s="35">
        <v>1</v>
      </c>
      <c r="L633" s="38">
        <f t="shared" si="9"/>
        <v>5.8055555555555554</v>
      </c>
      <c r="M633" s="35" t="s">
        <v>11</v>
      </c>
      <c r="N633" s="38"/>
      <c r="O633" s="35" t="s">
        <v>16</v>
      </c>
    </row>
    <row r="634" spans="1:15" x14ac:dyDescent="0.25">
      <c r="A634" s="35">
        <v>1281431764</v>
      </c>
      <c r="B634" s="35" t="s">
        <v>3412</v>
      </c>
      <c r="C634" s="35">
        <v>2026</v>
      </c>
      <c r="D634" s="36">
        <v>46183.691041666672</v>
      </c>
      <c r="E634" s="37" t="s">
        <v>64</v>
      </c>
      <c r="F634" s="37" t="s">
        <v>3476</v>
      </c>
      <c r="G634" s="37" t="s">
        <v>3421</v>
      </c>
      <c r="H634" s="35" t="s">
        <v>3419</v>
      </c>
      <c r="I634" s="35" t="s">
        <v>3416</v>
      </c>
      <c r="J634" s="38">
        <v>2.2250000000000001</v>
      </c>
      <c r="K634" s="35">
        <v>2</v>
      </c>
      <c r="L634" s="38">
        <f t="shared" si="9"/>
        <v>4.45</v>
      </c>
      <c r="M634" s="35" t="s">
        <v>11</v>
      </c>
      <c r="N634" s="38"/>
      <c r="O634" s="35" t="s">
        <v>16</v>
      </c>
    </row>
    <row r="635" spans="1:15" x14ac:dyDescent="0.25">
      <c r="A635" s="35">
        <v>1281426334</v>
      </c>
      <c r="B635" s="35" t="s">
        <v>3412</v>
      </c>
      <c r="C635" s="35">
        <v>2026</v>
      </c>
      <c r="D635" s="36">
        <v>46183.691041666672</v>
      </c>
      <c r="E635" s="37" t="s">
        <v>86</v>
      </c>
      <c r="F635" s="37" t="s">
        <v>3483</v>
      </c>
      <c r="G635" s="37" t="s">
        <v>3435</v>
      </c>
      <c r="H635" s="35" t="s">
        <v>3419</v>
      </c>
      <c r="I635" s="35" t="s">
        <v>3416</v>
      </c>
      <c r="J635" s="38">
        <v>1.583333333333333</v>
      </c>
      <c r="K635" s="35">
        <v>3</v>
      </c>
      <c r="L635" s="38">
        <f t="shared" si="9"/>
        <v>4.7499999999999991</v>
      </c>
      <c r="M635" s="35" t="s">
        <v>11</v>
      </c>
      <c r="N635" s="38"/>
      <c r="O635" s="35" t="s">
        <v>16</v>
      </c>
    </row>
    <row r="636" spans="1:15" x14ac:dyDescent="0.25">
      <c r="A636" s="35">
        <v>1281426128</v>
      </c>
      <c r="B636" s="35" t="s">
        <v>3412</v>
      </c>
      <c r="C636" s="35">
        <v>2026</v>
      </c>
      <c r="D636" s="36">
        <v>46183.691041666672</v>
      </c>
      <c r="E636" s="37" t="s">
        <v>35</v>
      </c>
      <c r="F636" s="37" t="s">
        <v>3484</v>
      </c>
      <c r="G636" s="37" t="s">
        <v>3435</v>
      </c>
      <c r="H636" s="35" t="s">
        <v>3419</v>
      </c>
      <c r="I636" s="35" t="s">
        <v>3416</v>
      </c>
      <c r="J636" s="38">
        <v>0.30104391468005021</v>
      </c>
      <c r="K636" s="35">
        <v>3</v>
      </c>
      <c r="L636" s="38">
        <f t="shared" si="9"/>
        <v>0.90313174404015062</v>
      </c>
      <c r="M636" s="35" t="s">
        <v>11</v>
      </c>
      <c r="N636" s="38"/>
      <c r="O636" s="35" t="s">
        <v>16</v>
      </c>
    </row>
    <row r="637" spans="1:15" x14ac:dyDescent="0.25">
      <c r="A637" s="35">
        <v>1281426128</v>
      </c>
      <c r="B637" s="35" t="s">
        <v>3412</v>
      </c>
      <c r="C637" s="35">
        <v>2026</v>
      </c>
      <c r="D637" s="36">
        <v>46183.691041666672</v>
      </c>
      <c r="E637" s="37" t="s">
        <v>35</v>
      </c>
      <c r="F637" s="37" t="s">
        <v>3485</v>
      </c>
      <c r="G637" s="37" t="s">
        <v>3435</v>
      </c>
      <c r="H637" s="35" t="s">
        <v>3419</v>
      </c>
      <c r="I637" s="35" t="s">
        <v>3416</v>
      </c>
      <c r="J637" s="38">
        <v>0.47306900878293612</v>
      </c>
      <c r="K637" s="35">
        <v>3</v>
      </c>
      <c r="L637" s="38">
        <f t="shared" si="9"/>
        <v>1.4192070263488084</v>
      </c>
      <c r="M637" s="35" t="s">
        <v>11</v>
      </c>
      <c r="N637" s="38"/>
      <c r="O637" s="35" t="s">
        <v>16</v>
      </c>
    </row>
    <row r="638" spans="1:15" x14ac:dyDescent="0.25">
      <c r="A638" s="35">
        <v>1281426128</v>
      </c>
      <c r="B638" s="35" t="s">
        <v>3412</v>
      </c>
      <c r="C638" s="35">
        <v>2026</v>
      </c>
      <c r="D638" s="36">
        <v>46183.691041666672</v>
      </c>
      <c r="E638" s="37" t="s">
        <v>35</v>
      </c>
      <c r="F638" s="37" t="s">
        <v>3486</v>
      </c>
      <c r="G638" s="37" t="s">
        <v>3421</v>
      </c>
      <c r="H638" s="35" t="s">
        <v>3419</v>
      </c>
      <c r="I638" s="35" t="s">
        <v>3416</v>
      </c>
      <c r="J638" s="38">
        <v>0.47306900878293612</v>
      </c>
      <c r="K638" s="35">
        <v>3</v>
      </c>
      <c r="L638" s="38">
        <f t="shared" si="9"/>
        <v>1.4192070263488084</v>
      </c>
      <c r="M638" s="35" t="s">
        <v>11</v>
      </c>
      <c r="N638" s="38"/>
      <c r="O638" s="35" t="s">
        <v>16</v>
      </c>
    </row>
    <row r="639" spans="1:15" x14ac:dyDescent="0.25">
      <c r="A639" s="35">
        <v>1281426128</v>
      </c>
      <c r="B639" s="35" t="s">
        <v>3412</v>
      </c>
      <c r="C639" s="35">
        <v>2026</v>
      </c>
      <c r="D639" s="36">
        <v>46183.691041666672</v>
      </c>
      <c r="E639" s="37" t="s">
        <v>35</v>
      </c>
      <c r="F639" s="37" t="s">
        <v>3487</v>
      </c>
      <c r="G639" s="37" t="s">
        <v>3435</v>
      </c>
      <c r="H639" s="35" t="s">
        <v>3419</v>
      </c>
      <c r="I639" s="35" t="s">
        <v>3416</v>
      </c>
      <c r="J639" s="38">
        <v>2.128810539523212</v>
      </c>
      <c r="K639" s="35">
        <v>3</v>
      </c>
      <c r="L639" s="38">
        <f t="shared" si="9"/>
        <v>6.3864316185696364</v>
      </c>
      <c r="M639" s="35" t="s">
        <v>11</v>
      </c>
      <c r="N639" s="38"/>
      <c r="O639" s="35" t="s">
        <v>16</v>
      </c>
    </row>
    <row r="640" spans="1:15" x14ac:dyDescent="0.25">
      <c r="A640" s="35">
        <v>1281426128</v>
      </c>
      <c r="B640" s="35" t="s">
        <v>3412</v>
      </c>
      <c r="C640" s="35">
        <v>2026</v>
      </c>
      <c r="D640" s="36">
        <v>46183.691041666672</v>
      </c>
      <c r="E640" s="37" t="s">
        <v>35</v>
      </c>
      <c r="F640" s="37" t="s">
        <v>3488</v>
      </c>
      <c r="G640" s="37" t="s">
        <v>3435</v>
      </c>
      <c r="H640" s="35" t="s">
        <v>3419</v>
      </c>
      <c r="I640" s="35" t="s">
        <v>3416</v>
      </c>
      <c r="J640" s="38">
        <v>0.36555332496863241</v>
      </c>
      <c r="K640" s="35">
        <v>3</v>
      </c>
      <c r="L640" s="38">
        <f t="shared" si="9"/>
        <v>1.0966599749058972</v>
      </c>
      <c r="M640" s="35" t="s">
        <v>11</v>
      </c>
      <c r="N640" s="38"/>
      <c r="O640" s="35" t="s">
        <v>16</v>
      </c>
    </row>
    <row r="641" spans="1:15" x14ac:dyDescent="0.25">
      <c r="A641" s="35">
        <v>1281426128</v>
      </c>
      <c r="B641" s="35" t="s">
        <v>3412</v>
      </c>
      <c r="C641" s="35">
        <v>2026</v>
      </c>
      <c r="D641" s="36">
        <v>46183.691041666672</v>
      </c>
      <c r="E641" s="37" t="s">
        <v>35</v>
      </c>
      <c r="F641" s="37" t="s">
        <v>3489</v>
      </c>
      <c r="G641" s="37" t="s">
        <v>3435</v>
      </c>
      <c r="H641" s="35" t="s">
        <v>3419</v>
      </c>
      <c r="I641" s="35" t="s">
        <v>3416</v>
      </c>
      <c r="J641" s="38">
        <v>24.717855708908409</v>
      </c>
      <c r="K641" s="35">
        <v>3</v>
      </c>
      <c r="L641" s="38">
        <f t="shared" si="9"/>
        <v>74.153567126725221</v>
      </c>
      <c r="M641" s="35" t="s">
        <v>11</v>
      </c>
      <c r="N641" s="38"/>
      <c r="O641" s="35" t="s">
        <v>16</v>
      </c>
    </row>
    <row r="642" spans="1:15" x14ac:dyDescent="0.25">
      <c r="A642" s="35">
        <v>1281426128</v>
      </c>
      <c r="B642" s="35" t="s">
        <v>3412</v>
      </c>
      <c r="C642" s="35">
        <v>2026</v>
      </c>
      <c r="D642" s="36">
        <v>46183.691041666672</v>
      </c>
      <c r="E642" s="37" t="s">
        <v>35</v>
      </c>
      <c r="F642" s="37" t="s">
        <v>3490</v>
      </c>
      <c r="G642" s="37" t="s">
        <v>3435</v>
      </c>
      <c r="H642" s="35" t="s">
        <v>3419</v>
      </c>
      <c r="I642" s="35" t="s">
        <v>3416</v>
      </c>
      <c r="J642" s="38">
        <v>0.31179548306148053</v>
      </c>
      <c r="K642" s="35">
        <v>1</v>
      </c>
      <c r="L642" s="38">
        <f t="shared" ref="L642:L705" si="10">J642*K642</f>
        <v>0.31179548306148053</v>
      </c>
      <c r="M642" s="35" t="s">
        <v>11</v>
      </c>
      <c r="N642" s="38"/>
      <c r="O642" s="35" t="s">
        <v>16</v>
      </c>
    </row>
    <row r="643" spans="1:15" x14ac:dyDescent="0.25">
      <c r="A643" s="35">
        <v>1281332356</v>
      </c>
      <c r="B643" s="35" t="s">
        <v>3412</v>
      </c>
      <c r="C643" s="35">
        <v>2026</v>
      </c>
      <c r="D643" s="36">
        <v>46183.323761574073</v>
      </c>
      <c r="E643" s="37" t="s">
        <v>64</v>
      </c>
      <c r="F643" s="37" t="s">
        <v>3491</v>
      </c>
      <c r="G643" s="37" t="s">
        <v>3421</v>
      </c>
      <c r="H643" s="35" t="s">
        <v>3419</v>
      </c>
      <c r="I643" s="35" t="s">
        <v>3416</v>
      </c>
      <c r="J643" s="38">
        <v>2.0299999999999998</v>
      </c>
      <c r="K643" s="35">
        <v>1</v>
      </c>
      <c r="L643" s="38">
        <f t="shared" si="10"/>
        <v>2.0299999999999998</v>
      </c>
      <c r="M643" s="35" t="s">
        <v>11</v>
      </c>
      <c r="N643" s="38"/>
      <c r="O643" s="35" t="s">
        <v>16</v>
      </c>
    </row>
    <row r="644" spans="1:15" x14ac:dyDescent="0.25">
      <c r="A644" s="35">
        <v>1281325913</v>
      </c>
      <c r="B644" s="35" t="s">
        <v>3412</v>
      </c>
      <c r="C644" s="35">
        <v>2026</v>
      </c>
      <c r="D644" s="36">
        <v>46183.29378472222</v>
      </c>
      <c r="E644" s="37" t="s">
        <v>64</v>
      </c>
      <c r="F644" s="37" t="s">
        <v>3482</v>
      </c>
      <c r="G644" s="37" t="s">
        <v>3421</v>
      </c>
      <c r="H644" s="35" t="s">
        <v>3419</v>
      </c>
      <c r="I644" s="35" t="s">
        <v>3416</v>
      </c>
      <c r="J644" s="38">
        <v>5.9833333333333334</v>
      </c>
      <c r="K644" s="35">
        <v>3</v>
      </c>
      <c r="L644" s="38">
        <f t="shared" si="10"/>
        <v>17.95</v>
      </c>
      <c r="M644" s="35" t="s">
        <v>11</v>
      </c>
      <c r="N644" s="38"/>
      <c r="O644" s="35" t="s">
        <v>16</v>
      </c>
    </row>
    <row r="645" spans="1:15" x14ac:dyDescent="0.25">
      <c r="A645" s="35">
        <v>1280926007</v>
      </c>
      <c r="B645" s="35" t="s">
        <v>3412</v>
      </c>
      <c r="C645" s="35">
        <v>2026</v>
      </c>
      <c r="D645" s="36">
        <v>46181.486041666663</v>
      </c>
      <c r="E645" s="37" t="s">
        <v>89</v>
      </c>
      <c r="F645" s="37" t="s">
        <v>3492</v>
      </c>
      <c r="G645" s="37" t="s">
        <v>3418</v>
      </c>
      <c r="H645" s="35" t="s">
        <v>3419</v>
      </c>
      <c r="I645" s="35" t="s">
        <v>3416</v>
      </c>
      <c r="J645" s="38">
        <v>7.45</v>
      </c>
      <c r="K645" s="35">
        <v>1</v>
      </c>
      <c r="L645" s="38">
        <f t="shared" si="10"/>
        <v>7.45</v>
      </c>
      <c r="M645" s="35" t="s">
        <v>11</v>
      </c>
      <c r="N645" s="38"/>
      <c r="O645" s="35" t="s">
        <v>16</v>
      </c>
    </row>
    <row r="646" spans="1:15" x14ac:dyDescent="0.25">
      <c r="A646" s="35">
        <v>1280879493</v>
      </c>
      <c r="B646" s="35" t="s">
        <v>3412</v>
      </c>
      <c r="C646" s="35">
        <v>2026</v>
      </c>
      <c r="D646" s="36">
        <v>46181.421354166669</v>
      </c>
      <c r="E646" s="37" t="s">
        <v>35</v>
      </c>
      <c r="F646" s="37" t="s">
        <v>3493</v>
      </c>
      <c r="G646" s="37" t="s">
        <v>3435</v>
      </c>
      <c r="H646" s="35" t="s">
        <v>3419</v>
      </c>
      <c r="I646" s="35" t="s">
        <v>3416</v>
      </c>
      <c r="J646" s="38">
        <v>1.0751774949765569</v>
      </c>
      <c r="K646" s="35">
        <v>3</v>
      </c>
      <c r="L646" s="38">
        <f t="shared" si="10"/>
        <v>3.2255324849296709</v>
      </c>
      <c r="M646" s="35" t="s">
        <v>11</v>
      </c>
      <c r="N646" s="38"/>
      <c r="O646" s="35" t="s">
        <v>16</v>
      </c>
    </row>
    <row r="647" spans="1:15" x14ac:dyDescent="0.25">
      <c r="A647" s="35">
        <v>1280879493</v>
      </c>
      <c r="B647" s="35" t="s">
        <v>3412</v>
      </c>
      <c r="C647" s="35">
        <v>2026</v>
      </c>
      <c r="D647" s="36">
        <v>46181.421354166669</v>
      </c>
      <c r="E647" s="37" t="s">
        <v>35</v>
      </c>
      <c r="F647" s="37" t="s">
        <v>3494</v>
      </c>
      <c r="G647" s="37" t="s">
        <v>3435</v>
      </c>
      <c r="H647" s="35" t="s">
        <v>3419</v>
      </c>
      <c r="I647" s="35" t="s">
        <v>3416</v>
      </c>
      <c r="J647" s="38">
        <v>13.15446751507033</v>
      </c>
      <c r="K647" s="35">
        <v>1</v>
      </c>
      <c r="L647" s="38">
        <f t="shared" si="10"/>
        <v>13.15446751507033</v>
      </c>
      <c r="M647" s="35" t="s">
        <v>11</v>
      </c>
      <c r="N647" s="38"/>
      <c r="O647" s="35" t="s">
        <v>16</v>
      </c>
    </row>
    <row r="648" spans="1:15" x14ac:dyDescent="0.25">
      <c r="A648" s="35">
        <v>1280668188</v>
      </c>
      <c r="B648" s="35" t="s">
        <v>3412</v>
      </c>
      <c r="C648" s="35">
        <v>2026</v>
      </c>
      <c r="D648" s="36">
        <v>46180.392916666657</v>
      </c>
      <c r="E648" s="37" t="s">
        <v>95</v>
      </c>
      <c r="F648" s="37" t="s">
        <v>3495</v>
      </c>
      <c r="G648" s="37" t="s">
        <v>3421</v>
      </c>
      <c r="H648" s="35" t="s">
        <v>3419</v>
      </c>
      <c r="I648" s="35" t="s">
        <v>3416</v>
      </c>
      <c r="J648" s="38">
        <v>112.06</v>
      </c>
      <c r="K648" s="35">
        <v>1</v>
      </c>
      <c r="L648" s="38">
        <f t="shared" si="10"/>
        <v>112.06</v>
      </c>
      <c r="M648" s="35" t="s">
        <v>11</v>
      </c>
      <c r="N648" s="38"/>
      <c r="O648" s="35" t="s">
        <v>16</v>
      </c>
    </row>
    <row r="649" spans="1:15" x14ac:dyDescent="0.25">
      <c r="A649" s="35">
        <v>1280656915</v>
      </c>
      <c r="B649" s="35" t="s">
        <v>3412</v>
      </c>
      <c r="C649" s="35">
        <v>2026</v>
      </c>
      <c r="D649" s="36">
        <v>46180.350960648153</v>
      </c>
      <c r="E649" s="37" t="s">
        <v>8</v>
      </c>
      <c r="F649" s="37" t="s">
        <v>3496</v>
      </c>
      <c r="G649" s="37" t="s">
        <v>3421</v>
      </c>
      <c r="H649" s="35" t="s">
        <v>3419</v>
      </c>
      <c r="I649" s="35" t="s">
        <v>3416</v>
      </c>
      <c r="J649" s="38">
        <v>92.75</v>
      </c>
      <c r="K649" s="35">
        <v>1</v>
      </c>
      <c r="L649" s="38">
        <f t="shared" si="10"/>
        <v>92.75</v>
      </c>
      <c r="M649" s="42" t="s">
        <v>11</v>
      </c>
      <c r="N649" s="38"/>
      <c r="O649" s="35" t="s">
        <v>16</v>
      </c>
    </row>
    <row r="650" spans="1:15" x14ac:dyDescent="0.25">
      <c r="A650" s="35">
        <v>1280654053</v>
      </c>
      <c r="B650" s="35" t="s">
        <v>3412</v>
      </c>
      <c r="C650" s="35">
        <v>2026</v>
      </c>
      <c r="D650" s="36">
        <v>46180.337268518517</v>
      </c>
      <c r="E650" s="37" t="s">
        <v>100</v>
      </c>
      <c r="F650" s="37" t="s">
        <v>3482</v>
      </c>
      <c r="G650" s="37" t="s">
        <v>3421</v>
      </c>
      <c r="H650" s="35" t="s">
        <v>3419</v>
      </c>
      <c r="I650" s="35" t="s">
        <v>3416</v>
      </c>
      <c r="J650" s="38">
        <v>5.4647435897435894</v>
      </c>
      <c r="K650" s="35">
        <v>2</v>
      </c>
      <c r="L650" s="38">
        <f t="shared" si="10"/>
        <v>10.929487179487179</v>
      </c>
      <c r="M650" s="35" t="s">
        <v>11</v>
      </c>
      <c r="N650" s="38"/>
      <c r="O650" s="35" t="s">
        <v>16</v>
      </c>
    </row>
    <row r="651" spans="1:15" x14ac:dyDescent="0.25">
      <c r="A651" s="35">
        <v>1280654053</v>
      </c>
      <c r="B651" s="35" t="s">
        <v>3412</v>
      </c>
      <c r="C651" s="35">
        <v>2026</v>
      </c>
      <c r="D651" s="36">
        <v>46180.337268518517</v>
      </c>
      <c r="E651" s="37" t="s">
        <v>100</v>
      </c>
      <c r="F651" s="37" t="s">
        <v>3497</v>
      </c>
      <c r="G651" s="37" t="s">
        <v>3421</v>
      </c>
      <c r="H651" s="35" t="s">
        <v>3419</v>
      </c>
      <c r="I651" s="35" t="s">
        <v>3416</v>
      </c>
      <c r="J651" s="38">
        <v>5.4647435897435894</v>
      </c>
      <c r="K651" s="35">
        <v>1</v>
      </c>
      <c r="L651" s="38">
        <f t="shared" si="10"/>
        <v>5.4647435897435894</v>
      </c>
      <c r="M651" s="35" t="s">
        <v>11</v>
      </c>
      <c r="N651" s="38"/>
      <c r="O651" s="35" t="s">
        <v>16</v>
      </c>
    </row>
    <row r="652" spans="1:15" x14ac:dyDescent="0.25">
      <c r="A652" s="35">
        <v>1280654053</v>
      </c>
      <c r="B652" s="35" t="s">
        <v>3412</v>
      </c>
      <c r="C652" s="35">
        <v>2026</v>
      </c>
      <c r="D652" s="36">
        <v>46180.337268518517</v>
      </c>
      <c r="E652" s="37" t="s">
        <v>100</v>
      </c>
      <c r="F652" s="37" t="s">
        <v>3498</v>
      </c>
      <c r="G652" s="37" t="s">
        <v>3421</v>
      </c>
      <c r="H652" s="35" t="s">
        <v>3419</v>
      </c>
      <c r="I652" s="35" t="s">
        <v>3416</v>
      </c>
      <c r="J652" s="38">
        <v>0.21858974358974359</v>
      </c>
      <c r="K652" s="35">
        <v>3</v>
      </c>
      <c r="L652" s="38">
        <f t="shared" si="10"/>
        <v>0.65576923076923077</v>
      </c>
      <c r="M652" s="35" t="s">
        <v>11</v>
      </c>
      <c r="N652" s="38"/>
      <c r="O652" s="35" t="s">
        <v>16</v>
      </c>
    </row>
    <row r="653" spans="1:15" x14ac:dyDescent="0.25">
      <c r="A653" s="35">
        <v>1280654047</v>
      </c>
      <c r="B653" s="35" t="s">
        <v>3412</v>
      </c>
      <c r="C653" s="35">
        <v>2026</v>
      </c>
      <c r="D653" s="36">
        <v>46180.337268518517</v>
      </c>
      <c r="E653" s="37" t="s">
        <v>102</v>
      </c>
      <c r="F653" s="37" t="s">
        <v>3482</v>
      </c>
      <c r="G653" s="37" t="s">
        <v>3421</v>
      </c>
      <c r="H653" s="35" t="s">
        <v>3419</v>
      </c>
      <c r="I653" s="35" t="s">
        <v>3416</v>
      </c>
      <c r="J653" s="38">
        <v>5.7249999999999996</v>
      </c>
      <c r="K653" s="35">
        <v>2</v>
      </c>
      <c r="L653" s="38">
        <f t="shared" si="10"/>
        <v>11.45</v>
      </c>
      <c r="M653" s="35" t="s">
        <v>11</v>
      </c>
      <c r="N653" s="38"/>
      <c r="O653" s="35" t="s">
        <v>16</v>
      </c>
    </row>
    <row r="654" spans="1:15" x14ac:dyDescent="0.25">
      <c r="A654" s="35">
        <v>1280652580</v>
      </c>
      <c r="B654" s="35" t="s">
        <v>3412</v>
      </c>
      <c r="C654" s="35">
        <v>2026</v>
      </c>
      <c r="D654" s="36">
        <v>46180.337268518517</v>
      </c>
      <c r="E654" s="37" t="s">
        <v>104</v>
      </c>
      <c r="F654" s="37" t="s">
        <v>3499</v>
      </c>
      <c r="G654" s="37" t="s">
        <v>3418</v>
      </c>
      <c r="H654" s="35" t="s">
        <v>3419</v>
      </c>
      <c r="I654" s="35" t="s">
        <v>3416</v>
      </c>
      <c r="J654" s="38">
        <v>1.480272108843538</v>
      </c>
      <c r="K654" s="35">
        <v>2</v>
      </c>
      <c r="L654" s="38">
        <f t="shared" si="10"/>
        <v>2.960544217687076</v>
      </c>
      <c r="M654" s="35" t="s">
        <v>11</v>
      </c>
      <c r="N654" s="38"/>
      <c r="O654" s="35" t="s">
        <v>16</v>
      </c>
    </row>
    <row r="655" spans="1:15" x14ac:dyDescent="0.25">
      <c r="A655" s="35">
        <v>1280652580</v>
      </c>
      <c r="B655" s="35" t="s">
        <v>3412</v>
      </c>
      <c r="C655" s="35">
        <v>2026</v>
      </c>
      <c r="D655" s="36">
        <v>46180.337268518517</v>
      </c>
      <c r="E655" s="37" t="s">
        <v>104</v>
      </c>
      <c r="F655" s="37" t="s">
        <v>3500</v>
      </c>
      <c r="G655" s="37" t="s">
        <v>3418</v>
      </c>
      <c r="H655" s="35" t="s">
        <v>3419</v>
      </c>
      <c r="I655" s="35" t="s">
        <v>3416</v>
      </c>
      <c r="J655" s="38">
        <v>2.9605442176870751</v>
      </c>
      <c r="K655" s="35">
        <v>1</v>
      </c>
      <c r="L655" s="38">
        <f t="shared" si="10"/>
        <v>2.9605442176870751</v>
      </c>
      <c r="M655" s="35" t="s">
        <v>11</v>
      </c>
      <c r="N655" s="38"/>
      <c r="O655" s="35" t="s">
        <v>16</v>
      </c>
    </row>
    <row r="656" spans="1:15" x14ac:dyDescent="0.25">
      <c r="A656" s="35">
        <v>1280652580</v>
      </c>
      <c r="B656" s="35" t="s">
        <v>3412</v>
      </c>
      <c r="C656" s="35">
        <v>2026</v>
      </c>
      <c r="D656" s="36">
        <v>46180.337268518517</v>
      </c>
      <c r="E656" s="37" t="s">
        <v>104</v>
      </c>
      <c r="F656" s="37" t="s">
        <v>3501</v>
      </c>
      <c r="G656" s="37" t="s">
        <v>3421</v>
      </c>
      <c r="H656" s="35" t="s">
        <v>3419</v>
      </c>
      <c r="I656" s="35" t="s">
        <v>3416</v>
      </c>
      <c r="J656" s="38">
        <v>0.44408163265306122</v>
      </c>
      <c r="K656" s="35">
        <v>3</v>
      </c>
      <c r="L656" s="38">
        <f t="shared" si="10"/>
        <v>1.3322448979591837</v>
      </c>
      <c r="M656" s="35" t="s">
        <v>11</v>
      </c>
      <c r="N656" s="38"/>
      <c r="O656" s="35" t="s">
        <v>16</v>
      </c>
    </row>
    <row r="657" spans="1:15" x14ac:dyDescent="0.25">
      <c r="A657" s="35">
        <v>1280652580</v>
      </c>
      <c r="B657" s="35" t="s">
        <v>3412</v>
      </c>
      <c r="C657" s="35">
        <v>2026</v>
      </c>
      <c r="D657" s="36">
        <v>46180.337268518517</v>
      </c>
      <c r="E657" s="37" t="s">
        <v>104</v>
      </c>
      <c r="F657" s="37" t="s">
        <v>3502</v>
      </c>
      <c r="G657" s="37" t="s">
        <v>3421</v>
      </c>
      <c r="H657" s="35" t="s">
        <v>3419</v>
      </c>
      <c r="I657" s="35" t="s">
        <v>3416</v>
      </c>
      <c r="J657" s="38">
        <v>0.44408163265306122</v>
      </c>
      <c r="K657" s="35">
        <v>3</v>
      </c>
      <c r="L657" s="38">
        <f t="shared" si="10"/>
        <v>1.3322448979591837</v>
      </c>
      <c r="M657" s="35" t="s">
        <v>11</v>
      </c>
      <c r="N657" s="38"/>
      <c r="O657" s="35" t="s">
        <v>16</v>
      </c>
    </row>
    <row r="658" spans="1:15" x14ac:dyDescent="0.25">
      <c r="A658" s="35">
        <v>1280652580</v>
      </c>
      <c r="B658" s="35" t="s">
        <v>3412</v>
      </c>
      <c r="C658" s="35">
        <v>2026</v>
      </c>
      <c r="D658" s="36">
        <v>46180.337268518517</v>
      </c>
      <c r="E658" s="37" t="s">
        <v>104</v>
      </c>
      <c r="F658" s="37" t="s">
        <v>3503</v>
      </c>
      <c r="G658" s="37" t="s">
        <v>3421</v>
      </c>
      <c r="H658" s="35" t="s">
        <v>3419</v>
      </c>
      <c r="I658" s="35" t="s">
        <v>3416</v>
      </c>
      <c r="J658" s="38">
        <v>0.44408163265306122</v>
      </c>
      <c r="K658" s="35">
        <v>3</v>
      </c>
      <c r="L658" s="38">
        <f t="shared" si="10"/>
        <v>1.3322448979591837</v>
      </c>
      <c r="M658" s="35" t="s">
        <v>11</v>
      </c>
      <c r="N658" s="38"/>
      <c r="O658" s="35" t="s">
        <v>16</v>
      </c>
    </row>
    <row r="659" spans="1:15" x14ac:dyDescent="0.25">
      <c r="A659" s="35">
        <v>1280652580</v>
      </c>
      <c r="B659" s="35" t="s">
        <v>3412</v>
      </c>
      <c r="C659" s="35">
        <v>2026</v>
      </c>
      <c r="D659" s="36">
        <v>46180.337268518517</v>
      </c>
      <c r="E659" s="37" t="s">
        <v>104</v>
      </c>
      <c r="F659" s="37" t="s">
        <v>3504</v>
      </c>
      <c r="G659" s="37" t="s">
        <v>3421</v>
      </c>
      <c r="H659" s="35" t="s">
        <v>3419</v>
      </c>
      <c r="I659" s="35" t="s">
        <v>3416</v>
      </c>
      <c r="J659" s="38">
        <v>5.9210884353741502</v>
      </c>
      <c r="K659" s="35">
        <v>2</v>
      </c>
      <c r="L659" s="38">
        <f t="shared" si="10"/>
        <v>11.8421768707483</v>
      </c>
      <c r="M659" s="35" t="s">
        <v>11</v>
      </c>
      <c r="N659" s="38"/>
      <c r="O659" s="35" t="s">
        <v>16</v>
      </c>
    </row>
    <row r="660" spans="1:15" x14ac:dyDescent="0.25">
      <c r="A660" s="35">
        <v>1280650991</v>
      </c>
      <c r="B660" s="35" t="s">
        <v>3412</v>
      </c>
      <c r="C660" s="35">
        <v>2026</v>
      </c>
      <c r="D660" s="36">
        <v>46180.337268518517</v>
      </c>
      <c r="E660" s="37" t="s">
        <v>106</v>
      </c>
      <c r="F660" s="37" t="s">
        <v>3500</v>
      </c>
      <c r="G660" s="37" t="s">
        <v>3418</v>
      </c>
      <c r="H660" s="35" t="s">
        <v>3419</v>
      </c>
      <c r="I660" s="35" t="s">
        <v>3416</v>
      </c>
      <c r="J660" s="38">
        <v>3.4</v>
      </c>
      <c r="K660" s="35">
        <v>1</v>
      </c>
      <c r="L660" s="38">
        <f t="shared" si="10"/>
        <v>3.4</v>
      </c>
      <c r="M660" s="35" t="s">
        <v>11</v>
      </c>
      <c r="N660" s="38"/>
      <c r="O660" s="35" t="s">
        <v>16</v>
      </c>
    </row>
    <row r="661" spans="1:15" x14ac:dyDescent="0.25">
      <c r="A661" s="35">
        <v>1280650986</v>
      </c>
      <c r="B661" s="35" t="s">
        <v>3412</v>
      </c>
      <c r="C661" s="35">
        <v>2026</v>
      </c>
      <c r="D661" s="36">
        <v>46180.337268518517</v>
      </c>
      <c r="E661" s="37" t="s">
        <v>108</v>
      </c>
      <c r="F661" s="37" t="s">
        <v>3505</v>
      </c>
      <c r="G661" s="37" t="s">
        <v>3421</v>
      </c>
      <c r="H661" s="35" t="s">
        <v>3419</v>
      </c>
      <c r="I661" s="35" t="s">
        <v>3416</v>
      </c>
      <c r="J661" s="38">
        <v>9.4499999999999993</v>
      </c>
      <c r="K661" s="35">
        <v>1</v>
      </c>
      <c r="L661" s="38">
        <f t="shared" si="10"/>
        <v>9.4499999999999993</v>
      </c>
      <c r="M661" s="35" t="s">
        <v>11</v>
      </c>
      <c r="N661" s="38"/>
      <c r="O661" s="35" t="s">
        <v>16</v>
      </c>
    </row>
    <row r="662" spans="1:15" x14ac:dyDescent="0.25">
      <c r="A662" s="35">
        <v>1280650981</v>
      </c>
      <c r="B662" s="35" t="s">
        <v>3412</v>
      </c>
      <c r="C662" s="35">
        <v>2026</v>
      </c>
      <c r="D662" s="36">
        <v>46180.337268518517</v>
      </c>
      <c r="E662" s="37" t="s">
        <v>110</v>
      </c>
      <c r="F662" s="37" t="s">
        <v>3506</v>
      </c>
      <c r="G662" s="37" t="s">
        <v>3418</v>
      </c>
      <c r="H662" s="35" t="s">
        <v>3419</v>
      </c>
      <c r="I662" s="35" t="s">
        <v>3416</v>
      </c>
      <c r="J662" s="38">
        <v>48.199674616006469</v>
      </c>
      <c r="K662" s="35">
        <v>1</v>
      </c>
      <c r="L662" s="38">
        <f t="shared" si="10"/>
        <v>48.199674616006469</v>
      </c>
      <c r="M662" s="35" t="s">
        <v>11</v>
      </c>
      <c r="N662" s="38"/>
      <c r="O662" s="35" t="s">
        <v>16</v>
      </c>
    </row>
    <row r="663" spans="1:15" x14ac:dyDescent="0.25">
      <c r="A663" s="35">
        <v>1280650981</v>
      </c>
      <c r="B663" s="35" t="s">
        <v>3412</v>
      </c>
      <c r="C663" s="35">
        <v>2026</v>
      </c>
      <c r="D663" s="36">
        <v>46180.337268518517</v>
      </c>
      <c r="E663" s="37" t="s">
        <v>110</v>
      </c>
      <c r="F663" s="37" t="s">
        <v>3507</v>
      </c>
      <c r="G663" s="37" t="s">
        <v>3421</v>
      </c>
      <c r="H663" s="35" t="s">
        <v>3419</v>
      </c>
      <c r="I663" s="35" t="s">
        <v>3416</v>
      </c>
      <c r="J663" s="38">
        <v>19.27344179466451</v>
      </c>
      <c r="K663" s="35">
        <v>3</v>
      </c>
      <c r="L663" s="38">
        <f t="shared" si="10"/>
        <v>57.820325383993534</v>
      </c>
      <c r="M663" s="35" t="s">
        <v>11</v>
      </c>
      <c r="N663" s="38"/>
      <c r="O663" s="35" t="s">
        <v>16</v>
      </c>
    </row>
    <row r="664" spans="1:15" x14ac:dyDescent="0.25">
      <c r="A664" s="35">
        <v>1280650978</v>
      </c>
      <c r="B664" s="35" t="s">
        <v>3412</v>
      </c>
      <c r="C664" s="35">
        <v>2026</v>
      </c>
      <c r="D664" s="36">
        <v>46180.337268518517</v>
      </c>
      <c r="E664" s="37" t="s">
        <v>112</v>
      </c>
      <c r="F664" s="37" t="s">
        <v>3508</v>
      </c>
      <c r="G664" s="37" t="s">
        <v>3421</v>
      </c>
      <c r="H664" s="35" t="s">
        <v>3419</v>
      </c>
      <c r="I664" s="35" t="s">
        <v>3416</v>
      </c>
      <c r="J664" s="38">
        <v>9.35</v>
      </c>
      <c r="K664" s="35">
        <v>1</v>
      </c>
      <c r="L664" s="38">
        <f t="shared" si="10"/>
        <v>9.35</v>
      </c>
      <c r="M664" s="35" t="s">
        <v>11</v>
      </c>
      <c r="N664" s="38"/>
      <c r="O664" s="35" t="s">
        <v>16</v>
      </c>
    </row>
    <row r="665" spans="1:15" x14ac:dyDescent="0.25">
      <c r="A665" s="35">
        <v>1280650976</v>
      </c>
      <c r="B665" s="35" t="s">
        <v>3412</v>
      </c>
      <c r="C665" s="35">
        <v>2026</v>
      </c>
      <c r="D665" s="36">
        <v>46180.337268518517</v>
      </c>
      <c r="E665" s="37" t="s">
        <v>114</v>
      </c>
      <c r="F665" s="37" t="s">
        <v>3509</v>
      </c>
      <c r="G665" s="37" t="s">
        <v>3418</v>
      </c>
      <c r="H665" s="35" t="s">
        <v>3419</v>
      </c>
      <c r="I665" s="35" t="s">
        <v>3416</v>
      </c>
      <c r="J665" s="38">
        <v>3.9833333333333329</v>
      </c>
      <c r="K665" s="35">
        <v>3</v>
      </c>
      <c r="L665" s="38">
        <f t="shared" si="10"/>
        <v>11.95</v>
      </c>
      <c r="M665" s="35" t="s">
        <v>11</v>
      </c>
      <c r="N665" s="38"/>
      <c r="O665" s="35" t="s">
        <v>16</v>
      </c>
    </row>
    <row r="666" spans="1:15" x14ac:dyDescent="0.25">
      <c r="A666" s="35">
        <v>1280650972</v>
      </c>
      <c r="B666" s="35" t="s">
        <v>3412</v>
      </c>
      <c r="C666" s="35">
        <v>2026</v>
      </c>
      <c r="D666" s="36">
        <v>46180.337268518517</v>
      </c>
      <c r="E666" s="37" t="s">
        <v>116</v>
      </c>
      <c r="F666" s="37" t="s">
        <v>3492</v>
      </c>
      <c r="G666" s="37" t="s">
        <v>3418</v>
      </c>
      <c r="H666" s="35" t="s">
        <v>3419</v>
      </c>
      <c r="I666" s="35" t="s">
        <v>3416</v>
      </c>
      <c r="J666" s="38">
        <v>7.15</v>
      </c>
      <c r="K666" s="35">
        <v>1</v>
      </c>
      <c r="L666" s="38">
        <f t="shared" si="10"/>
        <v>7.15</v>
      </c>
      <c r="M666" s="35" t="s">
        <v>11</v>
      </c>
      <c r="N666" s="38"/>
      <c r="O666" s="35" t="s">
        <v>16</v>
      </c>
    </row>
    <row r="667" spans="1:15" x14ac:dyDescent="0.25">
      <c r="A667" s="35">
        <v>1280650970</v>
      </c>
      <c r="B667" s="35" t="s">
        <v>3412</v>
      </c>
      <c r="C667" s="35">
        <v>2026</v>
      </c>
      <c r="D667" s="36">
        <v>46180.337268518517</v>
      </c>
      <c r="E667" s="37" t="s">
        <v>118</v>
      </c>
      <c r="F667" s="37" t="s">
        <v>3508</v>
      </c>
      <c r="G667" s="37" t="s">
        <v>3421</v>
      </c>
      <c r="H667" s="35" t="s">
        <v>3419</v>
      </c>
      <c r="I667" s="35" t="s">
        <v>3416</v>
      </c>
      <c r="J667" s="38">
        <v>10.95</v>
      </c>
      <c r="K667" s="35">
        <v>1</v>
      </c>
      <c r="L667" s="38">
        <f t="shared" si="10"/>
        <v>10.95</v>
      </c>
      <c r="M667" s="35" t="s">
        <v>11</v>
      </c>
      <c r="N667" s="38"/>
      <c r="O667" s="35" t="s">
        <v>16</v>
      </c>
    </row>
    <row r="668" spans="1:15" x14ac:dyDescent="0.25">
      <c r="A668" s="35">
        <v>1280650965</v>
      </c>
      <c r="B668" s="35" t="s">
        <v>3412</v>
      </c>
      <c r="C668" s="35">
        <v>2026</v>
      </c>
      <c r="D668" s="36">
        <v>46180.337268518517</v>
      </c>
      <c r="E668" s="37" t="s">
        <v>35</v>
      </c>
      <c r="F668" s="37" t="s">
        <v>3510</v>
      </c>
      <c r="G668" s="37" t="s">
        <v>3435</v>
      </c>
      <c r="H668" s="35" t="s">
        <v>3419</v>
      </c>
      <c r="I668" s="35" t="s">
        <v>3416</v>
      </c>
      <c r="J668" s="38">
        <v>1.6105882352941181</v>
      </c>
      <c r="K668" s="35">
        <v>3</v>
      </c>
      <c r="L668" s="38">
        <f t="shared" si="10"/>
        <v>4.8317647058823541</v>
      </c>
      <c r="M668" s="35" t="s">
        <v>11</v>
      </c>
      <c r="N668" s="38"/>
      <c r="O668" s="35" t="s">
        <v>16</v>
      </c>
    </row>
    <row r="669" spans="1:15" x14ac:dyDescent="0.25">
      <c r="A669" s="35">
        <v>1280650965</v>
      </c>
      <c r="B669" s="35" t="s">
        <v>3412</v>
      </c>
      <c r="C669" s="35">
        <v>2026</v>
      </c>
      <c r="D669" s="36">
        <v>46180.337268518517</v>
      </c>
      <c r="E669" s="37" t="s">
        <v>35</v>
      </c>
      <c r="F669" s="37" t="s">
        <v>3511</v>
      </c>
      <c r="G669" s="37" t="s">
        <v>3435</v>
      </c>
      <c r="H669" s="35" t="s">
        <v>3419</v>
      </c>
      <c r="I669" s="35" t="s">
        <v>3416</v>
      </c>
      <c r="J669" s="38">
        <v>1.386895424836601</v>
      </c>
      <c r="K669" s="35">
        <v>3</v>
      </c>
      <c r="L669" s="38">
        <f t="shared" si="10"/>
        <v>4.1606862745098034</v>
      </c>
      <c r="M669" s="35" t="s">
        <v>11</v>
      </c>
      <c r="N669" s="38"/>
      <c r="O669" s="35" t="s">
        <v>16</v>
      </c>
    </row>
    <row r="670" spans="1:15" x14ac:dyDescent="0.25">
      <c r="A670" s="35">
        <v>1280650965</v>
      </c>
      <c r="B670" s="35" t="s">
        <v>3412</v>
      </c>
      <c r="C670" s="35">
        <v>2026</v>
      </c>
      <c r="D670" s="36">
        <v>46180.337268518517</v>
      </c>
      <c r="E670" s="37" t="s">
        <v>35</v>
      </c>
      <c r="F670" s="37" t="s">
        <v>3512</v>
      </c>
      <c r="G670" s="37" t="s">
        <v>3418</v>
      </c>
      <c r="H670" s="35" t="s">
        <v>3419</v>
      </c>
      <c r="I670" s="35" t="s">
        <v>3416</v>
      </c>
      <c r="J670" s="38">
        <v>1.6105882352941181</v>
      </c>
      <c r="K670" s="35">
        <v>2</v>
      </c>
      <c r="L670" s="38">
        <f t="shared" si="10"/>
        <v>3.2211764705882362</v>
      </c>
      <c r="M670" s="35" t="s">
        <v>11</v>
      </c>
      <c r="N670" s="38"/>
      <c r="O670" s="35" t="s">
        <v>16</v>
      </c>
    </row>
    <row r="671" spans="1:15" x14ac:dyDescent="0.25">
      <c r="A671" s="35">
        <v>1280650965</v>
      </c>
      <c r="B671" s="35" t="s">
        <v>3412</v>
      </c>
      <c r="C671" s="35">
        <v>2026</v>
      </c>
      <c r="D671" s="36">
        <v>46180.337268518517</v>
      </c>
      <c r="E671" s="37" t="s">
        <v>35</v>
      </c>
      <c r="F671" s="37" t="s">
        <v>3513</v>
      </c>
      <c r="G671" s="37" t="s">
        <v>3435</v>
      </c>
      <c r="H671" s="35" t="s">
        <v>3419</v>
      </c>
      <c r="I671" s="35" t="s">
        <v>3416</v>
      </c>
      <c r="J671" s="38">
        <v>0.49212418300653599</v>
      </c>
      <c r="K671" s="35">
        <v>3</v>
      </c>
      <c r="L671" s="38">
        <f t="shared" si="10"/>
        <v>1.476372549019608</v>
      </c>
      <c r="M671" s="35" t="s">
        <v>11</v>
      </c>
      <c r="N671" s="38"/>
      <c r="O671" s="35" t="s">
        <v>16</v>
      </c>
    </row>
    <row r="672" spans="1:15" x14ac:dyDescent="0.25">
      <c r="A672" s="35">
        <v>1280650957</v>
      </c>
      <c r="B672" s="35" t="s">
        <v>3412</v>
      </c>
      <c r="C672" s="35">
        <v>2026</v>
      </c>
      <c r="D672" s="36">
        <v>46180.337268518517</v>
      </c>
      <c r="E672" s="37" t="s">
        <v>121</v>
      </c>
      <c r="F672" s="37" t="s">
        <v>3514</v>
      </c>
      <c r="G672" s="37" t="s">
        <v>3418</v>
      </c>
      <c r="H672" s="35" t="s">
        <v>3419</v>
      </c>
      <c r="I672" s="35" t="s">
        <v>3416</v>
      </c>
      <c r="J672" s="38">
        <v>2.4500000000000002</v>
      </c>
      <c r="K672" s="35">
        <v>1</v>
      </c>
      <c r="L672" s="38">
        <f t="shared" si="10"/>
        <v>2.4500000000000002</v>
      </c>
      <c r="M672" s="35" t="s">
        <v>11</v>
      </c>
      <c r="N672" s="38"/>
      <c r="O672" s="35" t="s">
        <v>16</v>
      </c>
    </row>
    <row r="673" spans="1:15" x14ac:dyDescent="0.25">
      <c r="A673" s="35">
        <v>1280650954</v>
      </c>
      <c r="B673" s="35" t="s">
        <v>3412</v>
      </c>
      <c r="C673" s="35">
        <v>2026</v>
      </c>
      <c r="D673" s="36">
        <v>46180.337268518517</v>
      </c>
      <c r="E673" s="37" t="s">
        <v>123</v>
      </c>
      <c r="F673" s="37" t="s">
        <v>3504</v>
      </c>
      <c r="G673" s="37" t="s">
        <v>3421</v>
      </c>
      <c r="H673" s="35" t="s">
        <v>3419</v>
      </c>
      <c r="I673" s="35" t="s">
        <v>3416</v>
      </c>
      <c r="J673" s="38">
        <v>4.0075000000000003</v>
      </c>
      <c r="K673" s="35">
        <v>1</v>
      </c>
      <c r="L673" s="38">
        <f t="shared" si="10"/>
        <v>4.0075000000000003</v>
      </c>
      <c r="M673" s="35" t="s">
        <v>11</v>
      </c>
      <c r="N673" s="38"/>
      <c r="O673" s="35" t="s">
        <v>16</v>
      </c>
    </row>
    <row r="674" spans="1:15" x14ac:dyDescent="0.25">
      <c r="A674" s="35">
        <v>1280650954</v>
      </c>
      <c r="B674" s="35" t="s">
        <v>3412</v>
      </c>
      <c r="C674" s="35">
        <v>2026</v>
      </c>
      <c r="D674" s="36">
        <v>46180.337268518517</v>
      </c>
      <c r="E674" s="37" t="s">
        <v>123</v>
      </c>
      <c r="F674" s="37" t="s">
        <v>3492</v>
      </c>
      <c r="G674" s="37" t="s">
        <v>3418</v>
      </c>
      <c r="H674" s="35" t="s">
        <v>3419</v>
      </c>
      <c r="I674" s="35" t="s">
        <v>3416</v>
      </c>
      <c r="J674" s="38">
        <v>7.4424999999999999</v>
      </c>
      <c r="K674" s="35">
        <v>1</v>
      </c>
      <c r="L674" s="38">
        <f t="shared" si="10"/>
        <v>7.4424999999999999</v>
      </c>
      <c r="M674" s="35" t="s">
        <v>11</v>
      </c>
      <c r="N674" s="38"/>
      <c r="O674" s="35" t="s">
        <v>16</v>
      </c>
    </row>
    <row r="675" spans="1:15" x14ac:dyDescent="0.25">
      <c r="A675" s="35">
        <v>1280650952</v>
      </c>
      <c r="B675" s="35" t="s">
        <v>3412</v>
      </c>
      <c r="C675" s="35">
        <v>2026</v>
      </c>
      <c r="D675" s="36">
        <v>46180.337268518517</v>
      </c>
      <c r="E675" s="37" t="s">
        <v>125</v>
      </c>
      <c r="F675" s="37" t="s">
        <v>3508</v>
      </c>
      <c r="G675" s="37" t="s">
        <v>3421</v>
      </c>
      <c r="H675" s="35" t="s">
        <v>3419</v>
      </c>
      <c r="I675" s="35" t="s">
        <v>3416</v>
      </c>
      <c r="J675" s="38">
        <v>9.4499999999999993</v>
      </c>
      <c r="K675" s="35">
        <v>1</v>
      </c>
      <c r="L675" s="38">
        <f t="shared" si="10"/>
        <v>9.4499999999999993</v>
      </c>
      <c r="M675" s="35" t="s">
        <v>11</v>
      </c>
      <c r="N675" s="38"/>
      <c r="O675" s="35" t="s">
        <v>16</v>
      </c>
    </row>
    <row r="676" spans="1:15" x14ac:dyDescent="0.25">
      <c r="A676" s="35">
        <v>1280650949</v>
      </c>
      <c r="B676" s="35" t="s">
        <v>3412</v>
      </c>
      <c r="C676" s="35">
        <v>2026</v>
      </c>
      <c r="D676" s="36">
        <v>46180.337268518517</v>
      </c>
      <c r="E676" s="37" t="s">
        <v>127</v>
      </c>
      <c r="F676" s="37" t="s">
        <v>3515</v>
      </c>
      <c r="G676" s="37" t="s">
        <v>3418</v>
      </c>
      <c r="H676" s="35" t="s">
        <v>3419</v>
      </c>
      <c r="I676" s="35" t="s">
        <v>3416</v>
      </c>
      <c r="J676" s="38">
        <v>2.58</v>
      </c>
      <c r="K676" s="35">
        <v>1</v>
      </c>
      <c r="L676" s="38">
        <f t="shared" si="10"/>
        <v>2.58</v>
      </c>
      <c r="M676" s="35" t="s">
        <v>11</v>
      </c>
      <c r="N676" s="38"/>
      <c r="O676" s="35" t="s">
        <v>16</v>
      </c>
    </row>
    <row r="677" spans="1:15" x14ac:dyDescent="0.25">
      <c r="A677" s="35">
        <v>1280650949</v>
      </c>
      <c r="B677" s="35" t="s">
        <v>3412</v>
      </c>
      <c r="C677" s="35">
        <v>2026</v>
      </c>
      <c r="D677" s="36">
        <v>46180.337268518517</v>
      </c>
      <c r="E677" s="37" t="s">
        <v>127</v>
      </c>
      <c r="F677" s="37" t="s">
        <v>3500</v>
      </c>
      <c r="G677" s="37" t="s">
        <v>3418</v>
      </c>
      <c r="H677" s="35" t="s">
        <v>3419</v>
      </c>
      <c r="I677" s="35" t="s">
        <v>3416</v>
      </c>
      <c r="J677" s="38">
        <v>3.87</v>
      </c>
      <c r="K677" s="35">
        <v>1</v>
      </c>
      <c r="L677" s="38">
        <f t="shared" si="10"/>
        <v>3.87</v>
      </c>
      <c r="M677" s="35" t="s">
        <v>11</v>
      </c>
      <c r="N677" s="38"/>
      <c r="O677" s="35" t="s">
        <v>16</v>
      </c>
    </row>
    <row r="678" spans="1:15" x14ac:dyDescent="0.25">
      <c r="A678" s="35">
        <v>1280650948</v>
      </c>
      <c r="B678" s="35" t="s">
        <v>3412</v>
      </c>
      <c r="C678" s="35">
        <v>2026</v>
      </c>
      <c r="D678" s="36">
        <v>46180.337268518517</v>
      </c>
      <c r="E678" s="37" t="s">
        <v>129</v>
      </c>
      <c r="F678" s="37" t="s">
        <v>3515</v>
      </c>
      <c r="G678" s="37" t="s">
        <v>3418</v>
      </c>
      <c r="H678" s="35" t="s">
        <v>3419</v>
      </c>
      <c r="I678" s="35" t="s">
        <v>3416</v>
      </c>
      <c r="J678" s="38">
        <v>2.5499999999999998</v>
      </c>
      <c r="K678" s="35">
        <v>1</v>
      </c>
      <c r="L678" s="38">
        <f t="shared" si="10"/>
        <v>2.5499999999999998</v>
      </c>
      <c r="M678" s="35" t="s">
        <v>11</v>
      </c>
      <c r="N678" s="38"/>
      <c r="O678" s="35" t="s">
        <v>16</v>
      </c>
    </row>
    <row r="679" spans="1:15" x14ac:dyDescent="0.25">
      <c r="A679" s="35">
        <v>1280650946</v>
      </c>
      <c r="B679" s="35" t="s">
        <v>3412</v>
      </c>
      <c r="C679" s="35">
        <v>2026</v>
      </c>
      <c r="D679" s="36">
        <v>46180.337268518517</v>
      </c>
      <c r="E679" s="37" t="s">
        <v>131</v>
      </c>
      <c r="F679" s="37" t="s">
        <v>3514</v>
      </c>
      <c r="G679" s="37" t="s">
        <v>3418</v>
      </c>
      <c r="H679" s="35" t="s">
        <v>3419</v>
      </c>
      <c r="I679" s="35" t="s">
        <v>3416</v>
      </c>
      <c r="J679" s="38">
        <v>2.4500000000000002</v>
      </c>
      <c r="K679" s="35">
        <v>1</v>
      </c>
      <c r="L679" s="38">
        <f t="shared" si="10"/>
        <v>2.4500000000000002</v>
      </c>
      <c r="M679" s="35" t="s">
        <v>11</v>
      </c>
      <c r="N679" s="38"/>
      <c r="O679" s="35" t="s">
        <v>16</v>
      </c>
    </row>
    <row r="680" spans="1:15" x14ac:dyDescent="0.25">
      <c r="A680" s="35">
        <v>1280650944</v>
      </c>
      <c r="B680" s="35" t="s">
        <v>3412</v>
      </c>
      <c r="C680" s="35">
        <v>2026</v>
      </c>
      <c r="D680" s="36">
        <v>46180.337268518517</v>
      </c>
      <c r="E680" s="37" t="s">
        <v>133</v>
      </c>
      <c r="F680" s="37" t="s">
        <v>3514</v>
      </c>
      <c r="G680" s="37" t="s">
        <v>3418</v>
      </c>
      <c r="H680" s="35" t="s">
        <v>3419</v>
      </c>
      <c r="I680" s="35" t="s">
        <v>3416</v>
      </c>
      <c r="J680" s="38">
        <v>1.8783907056798621</v>
      </c>
      <c r="K680" s="35">
        <v>1</v>
      </c>
      <c r="L680" s="38">
        <f t="shared" si="10"/>
        <v>1.8783907056798621</v>
      </c>
      <c r="M680" s="35" t="s">
        <v>11</v>
      </c>
      <c r="N680" s="38"/>
      <c r="O680" s="35" t="s">
        <v>16</v>
      </c>
    </row>
    <row r="681" spans="1:15" x14ac:dyDescent="0.25">
      <c r="A681" s="35">
        <v>1280650944</v>
      </c>
      <c r="B681" s="35" t="s">
        <v>3412</v>
      </c>
      <c r="C681" s="35">
        <v>2026</v>
      </c>
      <c r="D681" s="36">
        <v>46180.337268518517</v>
      </c>
      <c r="E681" s="37" t="s">
        <v>133</v>
      </c>
      <c r="F681" s="37" t="s">
        <v>3505</v>
      </c>
      <c r="G681" s="37" t="s">
        <v>3421</v>
      </c>
      <c r="H681" s="35" t="s">
        <v>3419</v>
      </c>
      <c r="I681" s="35" t="s">
        <v>3416</v>
      </c>
      <c r="J681" s="38">
        <v>11.19160929432014</v>
      </c>
      <c r="K681" s="35">
        <v>1</v>
      </c>
      <c r="L681" s="38">
        <f t="shared" si="10"/>
        <v>11.19160929432014</v>
      </c>
      <c r="M681" s="35" t="s">
        <v>11</v>
      </c>
      <c r="N681" s="38"/>
      <c r="O681" s="35" t="s">
        <v>16</v>
      </c>
    </row>
    <row r="682" spans="1:15" x14ac:dyDescent="0.25">
      <c r="A682" s="35">
        <v>1280650938</v>
      </c>
      <c r="B682" s="35" t="s">
        <v>3412</v>
      </c>
      <c r="C682" s="35">
        <v>2026</v>
      </c>
      <c r="D682" s="36">
        <v>46180.337268518517</v>
      </c>
      <c r="E682" s="37" t="s">
        <v>135</v>
      </c>
      <c r="F682" s="37" t="s">
        <v>3512</v>
      </c>
      <c r="G682" s="37" t="s">
        <v>3418</v>
      </c>
      <c r="H682" s="35" t="s">
        <v>3419</v>
      </c>
      <c r="I682" s="35" t="s">
        <v>3416</v>
      </c>
      <c r="J682" s="38">
        <v>1.3529411764705881</v>
      </c>
      <c r="K682" s="35">
        <v>1</v>
      </c>
      <c r="L682" s="38">
        <f t="shared" si="10"/>
        <v>1.3529411764705881</v>
      </c>
      <c r="M682" s="35" t="s">
        <v>11</v>
      </c>
      <c r="N682" s="38"/>
      <c r="O682" s="35" t="s">
        <v>16</v>
      </c>
    </row>
    <row r="683" spans="1:15" x14ac:dyDescent="0.25">
      <c r="A683" s="35">
        <v>1280650938</v>
      </c>
      <c r="B683" s="35" t="s">
        <v>3412</v>
      </c>
      <c r="C683" s="35">
        <v>2026</v>
      </c>
      <c r="D683" s="36">
        <v>46180.337268518517</v>
      </c>
      <c r="E683" s="37" t="s">
        <v>135</v>
      </c>
      <c r="F683" s="37" t="s">
        <v>3499</v>
      </c>
      <c r="G683" s="37" t="s">
        <v>3418</v>
      </c>
      <c r="H683" s="35" t="s">
        <v>3419</v>
      </c>
      <c r="I683" s="35" t="s">
        <v>3416</v>
      </c>
      <c r="J683" s="38">
        <v>0.94705882352941173</v>
      </c>
      <c r="K683" s="35">
        <v>1</v>
      </c>
      <c r="L683" s="38">
        <f t="shared" si="10"/>
        <v>0.94705882352941173</v>
      </c>
      <c r="M683" s="35" t="s">
        <v>11</v>
      </c>
      <c r="N683" s="38"/>
      <c r="O683" s="35" t="s">
        <v>16</v>
      </c>
    </row>
    <row r="684" spans="1:15" x14ac:dyDescent="0.25">
      <c r="A684" s="35">
        <v>1280650937</v>
      </c>
      <c r="B684" s="35" t="s">
        <v>3412</v>
      </c>
      <c r="C684" s="35">
        <v>2026</v>
      </c>
      <c r="D684" s="36">
        <v>46180.337268518517</v>
      </c>
      <c r="E684" s="37" t="s">
        <v>137</v>
      </c>
      <c r="F684" s="37" t="s">
        <v>3515</v>
      </c>
      <c r="G684" s="37" t="s">
        <v>3418</v>
      </c>
      <c r="H684" s="35" t="s">
        <v>3419</v>
      </c>
      <c r="I684" s="35" t="s">
        <v>3416</v>
      </c>
      <c r="J684" s="38">
        <v>2.25</v>
      </c>
      <c r="K684" s="35">
        <v>1</v>
      </c>
      <c r="L684" s="38">
        <f t="shared" si="10"/>
        <v>2.25</v>
      </c>
      <c r="M684" s="35" t="s">
        <v>11</v>
      </c>
      <c r="N684" s="38"/>
      <c r="O684" s="35" t="s">
        <v>16</v>
      </c>
    </row>
    <row r="685" spans="1:15" x14ac:dyDescent="0.25">
      <c r="A685" s="35">
        <v>1280650896</v>
      </c>
      <c r="B685" s="35" t="s">
        <v>3412</v>
      </c>
      <c r="C685" s="35">
        <v>2026</v>
      </c>
      <c r="D685" s="36">
        <v>46180.337268518517</v>
      </c>
      <c r="E685" s="37" t="s">
        <v>139</v>
      </c>
      <c r="F685" s="37" t="s">
        <v>3506</v>
      </c>
      <c r="G685" s="37" t="s">
        <v>3418</v>
      </c>
      <c r="H685" s="35" t="s">
        <v>3419</v>
      </c>
      <c r="I685" s="35" t="s">
        <v>3416</v>
      </c>
      <c r="J685" s="38">
        <v>51.21753968253968</v>
      </c>
      <c r="K685" s="35">
        <v>2</v>
      </c>
      <c r="L685" s="38">
        <f t="shared" si="10"/>
        <v>102.43507936507936</v>
      </c>
      <c r="M685" s="35" t="s">
        <v>11</v>
      </c>
      <c r="N685" s="38"/>
      <c r="O685" s="35" t="s">
        <v>16</v>
      </c>
    </row>
    <row r="686" spans="1:15" x14ac:dyDescent="0.25">
      <c r="A686" s="35">
        <v>1280650896</v>
      </c>
      <c r="B686" s="35" t="s">
        <v>3412</v>
      </c>
      <c r="C686" s="35">
        <v>2026</v>
      </c>
      <c r="D686" s="36">
        <v>46180.337268518517</v>
      </c>
      <c r="E686" s="37" t="s">
        <v>139</v>
      </c>
      <c r="F686" s="37" t="s">
        <v>3516</v>
      </c>
      <c r="G686" s="37" t="s">
        <v>3421</v>
      </c>
      <c r="H686" s="35" t="s">
        <v>3419</v>
      </c>
      <c r="I686" s="35" t="s">
        <v>3416</v>
      </c>
      <c r="J686" s="38">
        <v>10.032301587301591</v>
      </c>
      <c r="K686" s="35">
        <v>2</v>
      </c>
      <c r="L686" s="38">
        <f t="shared" si="10"/>
        <v>20.064603174603182</v>
      </c>
      <c r="M686" s="35" t="s">
        <v>11</v>
      </c>
      <c r="N686" s="38"/>
      <c r="O686" s="35" t="s">
        <v>16</v>
      </c>
    </row>
    <row r="687" spans="1:15" x14ac:dyDescent="0.25">
      <c r="A687" s="35">
        <v>1280650896</v>
      </c>
      <c r="B687" s="35" t="s">
        <v>3412</v>
      </c>
      <c r="C687" s="35">
        <v>2026</v>
      </c>
      <c r="D687" s="36">
        <v>46180.337268518517</v>
      </c>
      <c r="E687" s="37" t="s">
        <v>139</v>
      </c>
      <c r="F687" s="37" t="s">
        <v>3516</v>
      </c>
      <c r="G687" s="37" t="s">
        <v>3421</v>
      </c>
      <c r="H687" s="35" t="s">
        <v>3419</v>
      </c>
      <c r="I687" s="35" t="s">
        <v>3416</v>
      </c>
      <c r="J687" s="38">
        <v>10.56031746031746</v>
      </c>
      <c r="K687" s="35">
        <v>1</v>
      </c>
      <c r="L687" s="38">
        <f t="shared" si="10"/>
        <v>10.56031746031746</v>
      </c>
      <c r="M687" s="35" t="s">
        <v>11</v>
      </c>
      <c r="N687" s="38"/>
      <c r="O687" s="35" t="s">
        <v>16</v>
      </c>
    </row>
    <row r="688" spans="1:15" x14ac:dyDescent="0.25">
      <c r="A688" s="35">
        <v>1279743782</v>
      </c>
      <c r="B688" s="35" t="s">
        <v>3412</v>
      </c>
      <c r="C688" s="35">
        <v>2026</v>
      </c>
      <c r="D688" s="36">
        <v>46175.912928240738</v>
      </c>
      <c r="E688" s="37" t="s">
        <v>144</v>
      </c>
      <c r="F688" s="37" t="s">
        <v>3521</v>
      </c>
      <c r="G688" s="37" t="s">
        <v>3421</v>
      </c>
      <c r="H688" s="35" t="s">
        <v>3419</v>
      </c>
      <c r="I688" s="35" t="s">
        <v>3416</v>
      </c>
      <c r="J688" s="38">
        <v>6.45</v>
      </c>
      <c r="K688" s="35">
        <v>1</v>
      </c>
      <c r="L688" s="38">
        <f t="shared" si="10"/>
        <v>6.45</v>
      </c>
      <c r="M688" s="35" t="s">
        <v>11</v>
      </c>
      <c r="N688" s="38"/>
      <c r="O688" s="35" t="s">
        <v>16</v>
      </c>
    </row>
    <row r="689" spans="1:15" x14ac:dyDescent="0.25">
      <c r="A689" s="35">
        <v>1279736097</v>
      </c>
      <c r="B689" s="35" t="s">
        <v>3412</v>
      </c>
      <c r="C689" s="35">
        <v>2026</v>
      </c>
      <c r="D689" s="36">
        <v>46175.910115740742</v>
      </c>
      <c r="E689" s="37" t="s">
        <v>102</v>
      </c>
      <c r="F689" s="37" t="s">
        <v>3522</v>
      </c>
      <c r="G689" s="37" t="s">
        <v>3435</v>
      </c>
      <c r="H689" s="35" t="s">
        <v>3419</v>
      </c>
      <c r="I689" s="35" t="s">
        <v>3416</v>
      </c>
      <c r="J689" s="38">
        <v>1.65</v>
      </c>
      <c r="K689" s="35">
        <v>1</v>
      </c>
      <c r="L689" s="38">
        <f t="shared" si="10"/>
        <v>1.65</v>
      </c>
      <c r="M689" s="35" t="s">
        <v>11</v>
      </c>
      <c r="N689" s="38"/>
      <c r="O689" s="35" t="s">
        <v>16</v>
      </c>
    </row>
    <row r="690" spans="1:15" x14ac:dyDescent="0.25">
      <c r="A690" s="35">
        <v>1279736097</v>
      </c>
      <c r="B690" s="35" t="s">
        <v>3412</v>
      </c>
      <c r="C690" s="35">
        <v>2026</v>
      </c>
      <c r="D690" s="36">
        <v>46175.910115740742</v>
      </c>
      <c r="E690" s="37" t="s">
        <v>102</v>
      </c>
      <c r="F690" s="37" t="s">
        <v>3521</v>
      </c>
      <c r="G690" s="37" t="s">
        <v>3421</v>
      </c>
      <c r="H690" s="35" t="s">
        <v>3419</v>
      </c>
      <c r="I690" s="35" t="s">
        <v>3416</v>
      </c>
      <c r="J690" s="38">
        <v>7.15</v>
      </c>
      <c r="K690" s="35">
        <v>2</v>
      </c>
      <c r="L690" s="38">
        <f t="shared" si="10"/>
        <v>14.3</v>
      </c>
      <c r="M690" s="35" t="s">
        <v>11</v>
      </c>
      <c r="N690" s="38"/>
      <c r="O690" s="35" t="s">
        <v>16</v>
      </c>
    </row>
    <row r="691" spans="1:15" x14ac:dyDescent="0.25">
      <c r="A691" s="35">
        <v>1279736075</v>
      </c>
      <c r="B691" s="35" t="s">
        <v>3412</v>
      </c>
      <c r="C691" s="35">
        <v>2026</v>
      </c>
      <c r="D691" s="36">
        <v>46175.910115740742</v>
      </c>
      <c r="E691" s="37" t="s">
        <v>147</v>
      </c>
      <c r="F691" s="37" t="s">
        <v>3521</v>
      </c>
      <c r="G691" s="37" t="s">
        <v>3421</v>
      </c>
      <c r="H691" s="35" t="s">
        <v>3419</v>
      </c>
      <c r="I691" s="35" t="s">
        <v>3416</v>
      </c>
      <c r="J691" s="38">
        <v>5.7249999999999996</v>
      </c>
      <c r="K691" s="35">
        <v>2</v>
      </c>
      <c r="L691" s="38">
        <f t="shared" si="10"/>
        <v>11.45</v>
      </c>
      <c r="M691" s="35" t="s">
        <v>11</v>
      </c>
      <c r="N691" s="38"/>
      <c r="O691" s="35" t="s">
        <v>16</v>
      </c>
    </row>
    <row r="692" spans="1:15" x14ac:dyDescent="0.25">
      <c r="A692" s="35">
        <v>1279593576</v>
      </c>
      <c r="B692" s="35" t="s">
        <v>3412</v>
      </c>
      <c r="C692" s="35">
        <v>2026</v>
      </c>
      <c r="D692" s="36">
        <v>46175.768020833333</v>
      </c>
      <c r="E692" s="37" t="s">
        <v>149</v>
      </c>
      <c r="F692" s="37" t="s">
        <v>3523</v>
      </c>
      <c r="G692" s="37" t="s">
        <v>3418</v>
      </c>
      <c r="H692" s="35" t="s">
        <v>3419</v>
      </c>
      <c r="I692" s="35" t="s">
        <v>3416</v>
      </c>
      <c r="J692" s="38">
        <v>2.8794258373205741</v>
      </c>
      <c r="K692" s="35">
        <v>1</v>
      </c>
      <c r="L692" s="38">
        <f t="shared" si="10"/>
        <v>2.8794258373205741</v>
      </c>
      <c r="M692" s="35" t="s">
        <v>11</v>
      </c>
      <c r="N692" s="38"/>
      <c r="O692" s="35" t="s">
        <v>16</v>
      </c>
    </row>
    <row r="693" spans="1:15" x14ac:dyDescent="0.25">
      <c r="A693" s="35">
        <v>1279593576</v>
      </c>
      <c r="B693" s="35" t="s">
        <v>3412</v>
      </c>
      <c r="C693" s="35">
        <v>2026</v>
      </c>
      <c r="D693" s="36">
        <v>46175.768020833333</v>
      </c>
      <c r="E693" s="37" t="s">
        <v>149</v>
      </c>
      <c r="F693" s="37" t="s">
        <v>3524</v>
      </c>
      <c r="G693" s="37" t="s">
        <v>3421</v>
      </c>
      <c r="H693" s="35" t="s">
        <v>3419</v>
      </c>
      <c r="I693" s="35" t="s">
        <v>3416</v>
      </c>
      <c r="J693" s="38">
        <v>0.66057416267942592</v>
      </c>
      <c r="K693" s="35">
        <v>1</v>
      </c>
      <c r="L693" s="38">
        <f t="shared" si="10"/>
        <v>0.66057416267942592</v>
      </c>
      <c r="M693" s="35" t="s">
        <v>11</v>
      </c>
      <c r="N693" s="38"/>
      <c r="O693" s="35" t="s">
        <v>16</v>
      </c>
    </row>
    <row r="694" spans="1:15" x14ac:dyDescent="0.25">
      <c r="A694" s="35">
        <v>1279515389</v>
      </c>
      <c r="B694" s="35" t="s">
        <v>3412</v>
      </c>
      <c r="C694" s="35">
        <v>2026</v>
      </c>
      <c r="D694" s="36">
        <v>46174.920011574082</v>
      </c>
      <c r="E694" s="37" t="s">
        <v>151</v>
      </c>
      <c r="F694" s="37" t="s">
        <v>3525</v>
      </c>
      <c r="G694" s="37" t="s">
        <v>3421</v>
      </c>
      <c r="H694" s="35" t="s">
        <v>3419</v>
      </c>
      <c r="I694" s="35" t="s">
        <v>3416</v>
      </c>
      <c r="J694" s="38">
        <v>67.010000000000005</v>
      </c>
      <c r="K694" s="35">
        <v>1</v>
      </c>
      <c r="L694" s="38">
        <f t="shared" si="10"/>
        <v>67.010000000000005</v>
      </c>
      <c r="M694" s="35" t="s">
        <v>11</v>
      </c>
      <c r="N694" s="38"/>
      <c r="O694" s="35" t="s">
        <v>16</v>
      </c>
    </row>
    <row r="695" spans="1:15" x14ac:dyDescent="0.25">
      <c r="A695" s="35">
        <v>1279514045</v>
      </c>
      <c r="B695" s="35" t="s">
        <v>3412</v>
      </c>
      <c r="C695" s="35">
        <v>2026</v>
      </c>
      <c r="D695" s="36">
        <v>46174.920011574082</v>
      </c>
      <c r="E695" s="37" t="s">
        <v>154</v>
      </c>
      <c r="F695" s="37" t="s">
        <v>3526</v>
      </c>
      <c r="G695" s="37" t="s">
        <v>3418</v>
      </c>
      <c r="H695" s="35" t="s">
        <v>3419</v>
      </c>
      <c r="I695" s="35" t="s">
        <v>3416</v>
      </c>
      <c r="J695" s="38">
        <v>7.4000000000000012</v>
      </c>
      <c r="K695" s="35">
        <v>3</v>
      </c>
      <c r="L695" s="38">
        <f t="shared" si="10"/>
        <v>22.200000000000003</v>
      </c>
      <c r="M695" s="35" t="s">
        <v>11</v>
      </c>
      <c r="N695" s="38"/>
      <c r="O695" s="35" t="s">
        <v>16</v>
      </c>
    </row>
    <row r="696" spans="1:15" x14ac:dyDescent="0.25">
      <c r="A696" s="35">
        <v>1278501372</v>
      </c>
      <c r="B696" s="35" t="s">
        <v>3527</v>
      </c>
      <c r="C696" s="35">
        <v>2026</v>
      </c>
      <c r="D696" s="36">
        <v>46170.446585648147</v>
      </c>
      <c r="E696" s="37" t="s">
        <v>156</v>
      </c>
      <c r="F696" s="37" t="s">
        <v>3521</v>
      </c>
      <c r="G696" s="37" t="s">
        <v>3421</v>
      </c>
      <c r="H696" s="35" t="s">
        <v>3419</v>
      </c>
      <c r="I696" s="35" t="s">
        <v>3416</v>
      </c>
      <c r="J696" s="38">
        <v>6.7249999999999996</v>
      </c>
      <c r="K696" s="35">
        <v>2</v>
      </c>
      <c r="L696" s="38">
        <f t="shared" si="10"/>
        <v>13.45</v>
      </c>
      <c r="M696" s="35" t="s">
        <v>11</v>
      </c>
      <c r="N696" s="38"/>
      <c r="O696" s="35" t="s">
        <v>16</v>
      </c>
    </row>
    <row r="697" spans="1:15" x14ac:dyDescent="0.25">
      <c r="A697" s="35">
        <v>1278500695</v>
      </c>
      <c r="B697" s="35" t="s">
        <v>3527</v>
      </c>
      <c r="C697" s="35">
        <v>2026</v>
      </c>
      <c r="D697" s="36">
        <v>46170.443842592591</v>
      </c>
      <c r="E697" s="37" t="s">
        <v>159</v>
      </c>
      <c r="F697" s="37" t="s">
        <v>3531</v>
      </c>
      <c r="G697" s="37" t="s">
        <v>3421</v>
      </c>
      <c r="H697" s="35" t="s">
        <v>3419</v>
      </c>
      <c r="I697" s="35" t="s">
        <v>3416</v>
      </c>
      <c r="J697" s="38">
        <v>24.06</v>
      </c>
      <c r="K697" s="35">
        <v>1</v>
      </c>
      <c r="L697" s="38">
        <f t="shared" si="10"/>
        <v>24.06</v>
      </c>
      <c r="M697" s="35" t="s">
        <v>11</v>
      </c>
      <c r="N697" s="38"/>
      <c r="O697" s="35" t="s">
        <v>16</v>
      </c>
    </row>
    <row r="698" spans="1:15" x14ac:dyDescent="0.25">
      <c r="A698" s="35">
        <v>1278427135</v>
      </c>
      <c r="B698" s="35" t="s">
        <v>3527</v>
      </c>
      <c r="C698" s="35">
        <v>2026</v>
      </c>
      <c r="D698" s="36">
        <v>46170.443842592591</v>
      </c>
      <c r="E698" s="37" t="s">
        <v>161</v>
      </c>
      <c r="F698" s="37" t="s">
        <v>3531</v>
      </c>
      <c r="G698" s="37" t="s">
        <v>3421</v>
      </c>
      <c r="H698" s="35" t="s">
        <v>3419</v>
      </c>
      <c r="I698" s="35" t="s">
        <v>3416</v>
      </c>
      <c r="J698" s="38">
        <v>24.53</v>
      </c>
      <c r="K698" s="35">
        <v>2</v>
      </c>
      <c r="L698" s="38">
        <f t="shared" si="10"/>
        <v>49.06</v>
      </c>
      <c r="M698" s="35" t="s">
        <v>11</v>
      </c>
      <c r="N698" s="38"/>
      <c r="O698" s="35" t="s">
        <v>16</v>
      </c>
    </row>
    <row r="699" spans="1:15" x14ac:dyDescent="0.25">
      <c r="A699" s="35">
        <v>1278141189</v>
      </c>
      <c r="B699" s="35" t="s">
        <v>3527</v>
      </c>
      <c r="C699" s="35">
        <v>2026</v>
      </c>
      <c r="D699" s="36">
        <v>46168.955972222233</v>
      </c>
      <c r="E699" s="37" t="s">
        <v>166</v>
      </c>
      <c r="F699" s="37" t="s">
        <v>3523</v>
      </c>
      <c r="G699" s="37" t="s">
        <v>3418</v>
      </c>
      <c r="H699" s="35" t="s">
        <v>3419</v>
      </c>
      <c r="I699" s="35" t="s">
        <v>3416</v>
      </c>
      <c r="J699" s="38">
        <v>3.14</v>
      </c>
      <c r="K699" s="35">
        <v>1</v>
      </c>
      <c r="L699" s="38">
        <f t="shared" si="10"/>
        <v>3.14</v>
      </c>
      <c r="M699" s="35" t="s">
        <v>11</v>
      </c>
      <c r="N699" s="38"/>
      <c r="O699" s="35" t="s">
        <v>16</v>
      </c>
    </row>
    <row r="700" spans="1:15" x14ac:dyDescent="0.25">
      <c r="A700" s="35">
        <v>1278141184</v>
      </c>
      <c r="B700" s="35" t="s">
        <v>3527</v>
      </c>
      <c r="C700" s="35">
        <v>2026</v>
      </c>
      <c r="D700" s="36">
        <v>46168.955972222233</v>
      </c>
      <c r="E700" s="37" t="s">
        <v>168</v>
      </c>
      <c r="F700" s="37" t="s">
        <v>3523</v>
      </c>
      <c r="G700" s="37" t="s">
        <v>3418</v>
      </c>
      <c r="H700" s="35" t="s">
        <v>3419</v>
      </c>
      <c r="I700" s="35" t="s">
        <v>3416</v>
      </c>
      <c r="J700" s="38">
        <v>3.14</v>
      </c>
      <c r="K700" s="35">
        <v>1</v>
      </c>
      <c r="L700" s="38">
        <f t="shared" si="10"/>
        <v>3.14</v>
      </c>
      <c r="M700" s="35" t="s">
        <v>11</v>
      </c>
      <c r="N700" s="38"/>
      <c r="O700" s="35" t="s">
        <v>16</v>
      </c>
    </row>
    <row r="701" spans="1:15" x14ac:dyDescent="0.25">
      <c r="A701" s="35">
        <v>1277856677</v>
      </c>
      <c r="B701" s="35" t="s">
        <v>3527</v>
      </c>
      <c r="C701" s="35">
        <v>2026</v>
      </c>
      <c r="D701" s="36">
        <v>46167.473645833343</v>
      </c>
      <c r="E701" s="37" t="s">
        <v>170</v>
      </c>
      <c r="F701" s="37" t="s">
        <v>3436</v>
      </c>
      <c r="G701" s="37" t="s">
        <v>3418</v>
      </c>
      <c r="H701" s="35" t="s">
        <v>3419</v>
      </c>
      <c r="I701" s="35" t="s">
        <v>3416</v>
      </c>
      <c r="J701" s="38">
        <v>2.4265007776049772</v>
      </c>
      <c r="K701" s="35">
        <v>1</v>
      </c>
      <c r="L701" s="38">
        <f t="shared" si="10"/>
        <v>2.4265007776049772</v>
      </c>
      <c r="M701" s="35" t="s">
        <v>11</v>
      </c>
      <c r="N701" s="38"/>
      <c r="O701" s="35" t="s">
        <v>16</v>
      </c>
    </row>
    <row r="702" spans="1:15" x14ac:dyDescent="0.25">
      <c r="A702" s="35">
        <v>1277856677</v>
      </c>
      <c r="B702" s="35" t="s">
        <v>3527</v>
      </c>
      <c r="C702" s="35">
        <v>2026</v>
      </c>
      <c r="D702" s="36">
        <v>46167.473645833343</v>
      </c>
      <c r="E702" s="37" t="s">
        <v>170</v>
      </c>
      <c r="F702" s="37" t="s">
        <v>3536</v>
      </c>
      <c r="G702" s="37" t="s">
        <v>3418</v>
      </c>
      <c r="H702" s="35" t="s">
        <v>3419</v>
      </c>
      <c r="I702" s="35" t="s">
        <v>3416</v>
      </c>
      <c r="J702" s="38">
        <v>1.8137480559875581</v>
      </c>
      <c r="K702" s="35">
        <v>2</v>
      </c>
      <c r="L702" s="38">
        <f t="shared" si="10"/>
        <v>3.6274961119751161</v>
      </c>
      <c r="M702" s="35" t="s">
        <v>11</v>
      </c>
      <c r="N702" s="38"/>
      <c r="O702" s="35" t="s">
        <v>16</v>
      </c>
    </row>
    <row r="703" spans="1:15" x14ac:dyDescent="0.25">
      <c r="A703" s="35">
        <v>1277856677</v>
      </c>
      <c r="B703" s="35" t="s">
        <v>3527</v>
      </c>
      <c r="C703" s="35">
        <v>2026</v>
      </c>
      <c r="D703" s="36">
        <v>46167.473645833343</v>
      </c>
      <c r="E703" s="37" t="s">
        <v>170</v>
      </c>
      <c r="F703" s="37" t="s">
        <v>3537</v>
      </c>
      <c r="G703" s="37" t="s">
        <v>3418</v>
      </c>
      <c r="H703" s="35" t="s">
        <v>3419</v>
      </c>
      <c r="I703" s="35" t="s">
        <v>3416</v>
      </c>
      <c r="J703" s="38">
        <v>1.826003110419907</v>
      </c>
      <c r="K703" s="35">
        <v>1</v>
      </c>
      <c r="L703" s="38">
        <f t="shared" si="10"/>
        <v>1.826003110419907</v>
      </c>
      <c r="M703" s="35" t="s">
        <v>11</v>
      </c>
      <c r="N703" s="38"/>
      <c r="O703" s="35" t="s">
        <v>16</v>
      </c>
    </row>
    <row r="704" spans="1:15" x14ac:dyDescent="0.25">
      <c r="A704" s="35">
        <v>1277855906</v>
      </c>
      <c r="B704" s="35" t="s">
        <v>3527</v>
      </c>
      <c r="C704" s="35">
        <v>2026</v>
      </c>
      <c r="D704" s="36">
        <v>46167.473645833343</v>
      </c>
      <c r="E704" s="37" t="s">
        <v>173</v>
      </c>
      <c r="F704" s="37" t="s">
        <v>3538</v>
      </c>
      <c r="G704" s="37" t="s">
        <v>3418</v>
      </c>
      <c r="H704" s="35" t="s">
        <v>3419</v>
      </c>
      <c r="I704" s="35" t="s">
        <v>3416</v>
      </c>
      <c r="J704" s="38">
        <v>1.7749999999999999</v>
      </c>
      <c r="K704" s="35">
        <v>2</v>
      </c>
      <c r="L704" s="38">
        <f t="shared" si="10"/>
        <v>3.55</v>
      </c>
      <c r="M704" s="35" t="s">
        <v>11</v>
      </c>
      <c r="N704" s="38"/>
      <c r="O704" s="35" t="s">
        <v>16</v>
      </c>
    </row>
    <row r="705" spans="1:15" x14ac:dyDescent="0.25">
      <c r="A705" s="35">
        <v>1277855753</v>
      </c>
      <c r="B705" s="35" t="s">
        <v>3527</v>
      </c>
      <c r="C705" s="35">
        <v>2026</v>
      </c>
      <c r="D705" s="36">
        <v>46167.473645833343</v>
      </c>
      <c r="E705" s="37" t="s">
        <v>175</v>
      </c>
      <c r="F705" s="37" t="s">
        <v>3536</v>
      </c>
      <c r="G705" s="37" t="s">
        <v>3418</v>
      </c>
      <c r="H705" s="35" t="s">
        <v>3419</v>
      </c>
      <c r="I705" s="35" t="s">
        <v>3416</v>
      </c>
      <c r="J705" s="38">
        <v>1.11002508361204</v>
      </c>
      <c r="K705" s="35">
        <v>1</v>
      </c>
      <c r="L705" s="38">
        <f t="shared" si="10"/>
        <v>1.11002508361204</v>
      </c>
      <c r="M705" s="35" t="s">
        <v>11</v>
      </c>
      <c r="N705" s="38"/>
      <c r="O705" s="35" t="s">
        <v>16</v>
      </c>
    </row>
    <row r="706" spans="1:15" x14ac:dyDescent="0.25">
      <c r="A706" s="35">
        <v>1277855753</v>
      </c>
      <c r="B706" s="35" t="s">
        <v>3527</v>
      </c>
      <c r="C706" s="35">
        <v>2026</v>
      </c>
      <c r="D706" s="36">
        <v>46167.473645833343</v>
      </c>
      <c r="E706" s="37" t="s">
        <v>175</v>
      </c>
      <c r="F706" s="37" t="s">
        <v>3539</v>
      </c>
      <c r="G706" s="37" t="s">
        <v>3435</v>
      </c>
      <c r="H706" s="35" t="s">
        <v>3419</v>
      </c>
      <c r="I706" s="35" t="s">
        <v>3416</v>
      </c>
      <c r="J706" s="38">
        <v>3.3525</v>
      </c>
      <c r="K706" s="35">
        <v>2</v>
      </c>
      <c r="L706" s="38">
        <f t="shared" ref="L706:L769" si="11">J706*K706</f>
        <v>6.7050000000000001</v>
      </c>
      <c r="M706" s="35" t="s">
        <v>11</v>
      </c>
      <c r="N706" s="38"/>
      <c r="O706" s="35" t="s">
        <v>16</v>
      </c>
    </row>
    <row r="707" spans="1:15" x14ac:dyDescent="0.25">
      <c r="A707" s="35">
        <v>1277855753</v>
      </c>
      <c r="B707" s="35" t="s">
        <v>3527</v>
      </c>
      <c r="C707" s="35">
        <v>2026</v>
      </c>
      <c r="D707" s="36">
        <v>46167.473645833343</v>
      </c>
      <c r="E707" s="37" t="s">
        <v>175</v>
      </c>
      <c r="F707" s="37" t="s">
        <v>3521</v>
      </c>
      <c r="G707" s="37" t="s">
        <v>3421</v>
      </c>
      <c r="H707" s="35" t="s">
        <v>3419</v>
      </c>
      <c r="I707" s="35" t="s">
        <v>3416</v>
      </c>
      <c r="J707" s="38">
        <v>5.5949749163879599</v>
      </c>
      <c r="K707" s="35">
        <v>1</v>
      </c>
      <c r="L707" s="38">
        <f t="shared" si="11"/>
        <v>5.5949749163879599</v>
      </c>
      <c r="M707" s="35" t="s">
        <v>11</v>
      </c>
      <c r="N707" s="38"/>
      <c r="O707" s="35" t="s">
        <v>16</v>
      </c>
    </row>
    <row r="708" spans="1:15" x14ac:dyDescent="0.25">
      <c r="A708" s="35">
        <v>1277854593</v>
      </c>
      <c r="B708" s="35" t="s">
        <v>3527</v>
      </c>
      <c r="C708" s="35">
        <v>2026</v>
      </c>
      <c r="D708" s="36">
        <v>46167.473645833343</v>
      </c>
      <c r="E708" s="37" t="s">
        <v>177</v>
      </c>
      <c r="F708" s="37" t="s">
        <v>3540</v>
      </c>
      <c r="G708" s="37" t="s">
        <v>3418</v>
      </c>
      <c r="H708" s="35" t="s">
        <v>3419</v>
      </c>
      <c r="I708" s="35" t="s">
        <v>3416</v>
      </c>
      <c r="J708" s="38">
        <v>21.45</v>
      </c>
      <c r="K708" s="35">
        <v>1</v>
      </c>
      <c r="L708" s="38">
        <f t="shared" si="11"/>
        <v>21.45</v>
      </c>
      <c r="M708" s="35" t="s">
        <v>11</v>
      </c>
      <c r="N708" s="38"/>
      <c r="O708" s="35" t="s">
        <v>16</v>
      </c>
    </row>
    <row r="709" spans="1:15" x14ac:dyDescent="0.25">
      <c r="A709" s="35">
        <v>1277844004</v>
      </c>
      <c r="B709" s="35" t="s">
        <v>3527</v>
      </c>
      <c r="C709" s="35">
        <v>2026</v>
      </c>
      <c r="D709" s="36">
        <v>46167.473645833343</v>
      </c>
      <c r="E709" s="37" t="s">
        <v>179</v>
      </c>
      <c r="F709" s="37" t="s">
        <v>3541</v>
      </c>
      <c r="G709" s="37" t="s">
        <v>3421</v>
      </c>
      <c r="H709" s="35" t="s">
        <v>3419</v>
      </c>
      <c r="I709" s="35" t="s">
        <v>3416</v>
      </c>
      <c r="J709" s="38">
        <v>6.4442231075697212</v>
      </c>
      <c r="K709" s="35">
        <v>1</v>
      </c>
      <c r="L709" s="38">
        <f t="shared" si="11"/>
        <v>6.4442231075697212</v>
      </c>
      <c r="M709" s="35" t="s">
        <v>11</v>
      </c>
      <c r="N709" s="38"/>
      <c r="O709" s="35" t="s">
        <v>16</v>
      </c>
    </row>
    <row r="710" spans="1:15" x14ac:dyDescent="0.25">
      <c r="A710" s="35">
        <v>1277844004</v>
      </c>
      <c r="B710" s="35" t="s">
        <v>3527</v>
      </c>
      <c r="C710" s="35">
        <v>2026</v>
      </c>
      <c r="D710" s="36">
        <v>46167.473645833343</v>
      </c>
      <c r="E710" s="37" t="s">
        <v>179</v>
      </c>
      <c r="F710" s="37" t="s">
        <v>3542</v>
      </c>
      <c r="G710" s="37" t="s">
        <v>3421</v>
      </c>
      <c r="H710" s="35" t="s">
        <v>3419</v>
      </c>
      <c r="I710" s="35" t="s">
        <v>3416</v>
      </c>
      <c r="J710" s="38">
        <v>2.5776892430278881E-2</v>
      </c>
      <c r="K710" s="35">
        <v>1</v>
      </c>
      <c r="L710" s="38">
        <f t="shared" si="11"/>
        <v>2.5776892430278881E-2</v>
      </c>
      <c r="M710" s="35" t="s">
        <v>11</v>
      </c>
      <c r="N710" s="38"/>
      <c r="O710" s="35" t="s">
        <v>16</v>
      </c>
    </row>
    <row r="711" spans="1:15" x14ac:dyDescent="0.25">
      <c r="A711" s="35">
        <v>1277842511</v>
      </c>
      <c r="B711" s="35" t="s">
        <v>3527</v>
      </c>
      <c r="C711" s="35">
        <v>2026</v>
      </c>
      <c r="D711" s="36">
        <v>46167.473645833343</v>
      </c>
      <c r="E711" s="37" t="s">
        <v>181</v>
      </c>
      <c r="F711" s="37" t="s">
        <v>3543</v>
      </c>
      <c r="G711" s="37" t="s">
        <v>3421</v>
      </c>
      <c r="H711" s="35" t="s">
        <v>3419</v>
      </c>
      <c r="I711" s="35" t="s">
        <v>3416</v>
      </c>
      <c r="J711" s="38">
        <v>0.97274509803921561</v>
      </c>
      <c r="K711" s="35">
        <v>3</v>
      </c>
      <c r="L711" s="38">
        <f t="shared" si="11"/>
        <v>2.9182352941176468</v>
      </c>
      <c r="M711" s="35" t="s">
        <v>11</v>
      </c>
      <c r="N711" s="38"/>
      <c r="O711" s="35" t="s">
        <v>16</v>
      </c>
    </row>
    <row r="712" spans="1:15" x14ac:dyDescent="0.25">
      <c r="A712" s="35">
        <v>1277842511</v>
      </c>
      <c r="B712" s="35" t="s">
        <v>3527</v>
      </c>
      <c r="C712" s="35">
        <v>2026</v>
      </c>
      <c r="D712" s="36">
        <v>46167.473645833343</v>
      </c>
      <c r="E712" s="37" t="s">
        <v>181</v>
      </c>
      <c r="F712" s="37" t="s">
        <v>3544</v>
      </c>
      <c r="G712" s="37" t="s">
        <v>3421</v>
      </c>
      <c r="H712" s="35" t="s">
        <v>3419</v>
      </c>
      <c r="I712" s="35" t="s">
        <v>3416</v>
      </c>
      <c r="J712" s="38">
        <v>0.53058823529411769</v>
      </c>
      <c r="K712" s="35">
        <v>3</v>
      </c>
      <c r="L712" s="38">
        <f t="shared" si="11"/>
        <v>1.591764705882353</v>
      </c>
      <c r="M712" s="35" t="s">
        <v>11</v>
      </c>
      <c r="N712" s="38"/>
      <c r="O712" s="35" t="s">
        <v>16</v>
      </c>
    </row>
    <row r="713" spans="1:15" x14ac:dyDescent="0.25">
      <c r="A713" s="35">
        <v>1277835312</v>
      </c>
      <c r="B713" s="35" t="s">
        <v>3527</v>
      </c>
      <c r="C713" s="35">
        <v>2026</v>
      </c>
      <c r="D713" s="36">
        <v>46167.473645833343</v>
      </c>
      <c r="E713" s="37" t="s">
        <v>183</v>
      </c>
      <c r="F713" s="37" t="s">
        <v>3545</v>
      </c>
      <c r="G713" s="37" t="s">
        <v>3418</v>
      </c>
      <c r="H713" s="35" t="s">
        <v>3419</v>
      </c>
      <c r="I713" s="35" t="s">
        <v>3416</v>
      </c>
      <c r="J713" s="38">
        <v>0.69830508474576269</v>
      </c>
      <c r="K713" s="35">
        <v>3</v>
      </c>
      <c r="L713" s="38">
        <f t="shared" si="11"/>
        <v>2.094915254237288</v>
      </c>
      <c r="M713" s="35" t="s">
        <v>11</v>
      </c>
      <c r="N713" s="38"/>
      <c r="O713" s="35" t="s">
        <v>16</v>
      </c>
    </row>
    <row r="714" spans="1:15" x14ac:dyDescent="0.25">
      <c r="A714" s="35">
        <v>1277835312</v>
      </c>
      <c r="B714" s="35" t="s">
        <v>3527</v>
      </c>
      <c r="C714" s="35">
        <v>2026</v>
      </c>
      <c r="D714" s="36">
        <v>46167.473645833343</v>
      </c>
      <c r="E714" s="37" t="s">
        <v>183</v>
      </c>
      <c r="F714" s="37" t="s">
        <v>3539</v>
      </c>
      <c r="G714" s="37" t="s">
        <v>3435</v>
      </c>
      <c r="H714" s="35" t="s">
        <v>3419</v>
      </c>
      <c r="I714" s="35" t="s">
        <v>3416</v>
      </c>
      <c r="J714" s="38">
        <v>4.0734463276836159</v>
      </c>
      <c r="K714" s="35">
        <v>1</v>
      </c>
      <c r="L714" s="38">
        <f t="shared" si="11"/>
        <v>4.0734463276836159</v>
      </c>
      <c r="M714" s="35" t="s">
        <v>11</v>
      </c>
      <c r="N714" s="38"/>
      <c r="O714" s="35" t="s">
        <v>16</v>
      </c>
    </row>
    <row r="715" spans="1:15" x14ac:dyDescent="0.25">
      <c r="A715" s="35">
        <v>1277835312</v>
      </c>
      <c r="B715" s="35" t="s">
        <v>3527</v>
      </c>
      <c r="C715" s="35">
        <v>2026</v>
      </c>
      <c r="D715" s="36">
        <v>46167.473645833343</v>
      </c>
      <c r="E715" s="37" t="s">
        <v>183</v>
      </c>
      <c r="F715" s="37" t="s">
        <v>3546</v>
      </c>
      <c r="G715" s="37" t="s">
        <v>3435</v>
      </c>
      <c r="H715" s="35" t="s">
        <v>3419</v>
      </c>
      <c r="I715" s="35" t="s">
        <v>3416</v>
      </c>
      <c r="J715" s="38">
        <v>0.64011299435028257</v>
      </c>
      <c r="K715" s="35">
        <v>1</v>
      </c>
      <c r="L715" s="38">
        <f t="shared" si="11"/>
        <v>0.64011299435028257</v>
      </c>
      <c r="M715" s="35" t="s">
        <v>11</v>
      </c>
      <c r="N715" s="38"/>
      <c r="O715" s="35" t="s">
        <v>16</v>
      </c>
    </row>
    <row r="716" spans="1:15" x14ac:dyDescent="0.25">
      <c r="A716" s="35">
        <v>1277835312</v>
      </c>
      <c r="B716" s="35" t="s">
        <v>3527</v>
      </c>
      <c r="C716" s="35">
        <v>2026</v>
      </c>
      <c r="D716" s="36">
        <v>46167.473645833343</v>
      </c>
      <c r="E716" s="37" t="s">
        <v>183</v>
      </c>
      <c r="F716" s="37" t="s">
        <v>3547</v>
      </c>
      <c r="G716" s="37" t="s">
        <v>3418</v>
      </c>
      <c r="H716" s="35" t="s">
        <v>3419</v>
      </c>
      <c r="I716" s="35" t="s">
        <v>3416</v>
      </c>
      <c r="J716" s="38">
        <v>1.163841807909604</v>
      </c>
      <c r="K716" s="35">
        <v>3</v>
      </c>
      <c r="L716" s="38">
        <f t="shared" si="11"/>
        <v>3.4915254237288122</v>
      </c>
      <c r="M716" s="35" t="s">
        <v>11</v>
      </c>
      <c r="N716" s="38"/>
      <c r="O716" s="35" t="s">
        <v>16</v>
      </c>
    </row>
    <row r="717" spans="1:15" x14ac:dyDescent="0.25">
      <c r="A717" s="35">
        <v>1277823599</v>
      </c>
      <c r="B717" s="35" t="s">
        <v>3527</v>
      </c>
      <c r="C717" s="35">
        <v>2026</v>
      </c>
      <c r="D717" s="36">
        <v>46167.473645833343</v>
      </c>
      <c r="E717" s="37" t="s">
        <v>185</v>
      </c>
      <c r="F717" s="37" t="s">
        <v>3548</v>
      </c>
      <c r="G717" s="37" t="s">
        <v>3435</v>
      </c>
      <c r="H717" s="35" t="s">
        <v>3419</v>
      </c>
      <c r="I717" s="35" t="s">
        <v>3416</v>
      </c>
      <c r="J717" s="38">
        <v>0.70452476572958511</v>
      </c>
      <c r="K717" s="35">
        <v>3</v>
      </c>
      <c r="L717" s="38">
        <f t="shared" si="11"/>
        <v>2.1135742971887552</v>
      </c>
      <c r="M717" s="35" t="s">
        <v>11</v>
      </c>
      <c r="N717" s="38"/>
      <c r="O717" s="35" t="s">
        <v>16</v>
      </c>
    </row>
    <row r="718" spans="1:15" x14ac:dyDescent="0.25">
      <c r="A718" s="35">
        <v>1277823599</v>
      </c>
      <c r="B718" s="35" t="s">
        <v>3527</v>
      </c>
      <c r="C718" s="35">
        <v>2026</v>
      </c>
      <c r="D718" s="36">
        <v>46167.473645833343</v>
      </c>
      <c r="E718" s="37" t="s">
        <v>185</v>
      </c>
      <c r="F718" s="37" t="s">
        <v>3549</v>
      </c>
      <c r="G718" s="37" t="s">
        <v>3421</v>
      </c>
      <c r="H718" s="35" t="s">
        <v>3419</v>
      </c>
      <c r="I718" s="35" t="s">
        <v>3416</v>
      </c>
      <c r="J718" s="38">
        <v>2.2688085676037479</v>
      </c>
      <c r="K718" s="35">
        <v>3</v>
      </c>
      <c r="L718" s="38">
        <f t="shared" si="11"/>
        <v>6.8064257028112438</v>
      </c>
      <c r="M718" s="35" t="s">
        <v>11</v>
      </c>
      <c r="N718" s="38"/>
      <c r="O718" s="35" t="s">
        <v>16</v>
      </c>
    </row>
    <row r="719" spans="1:15" x14ac:dyDescent="0.25">
      <c r="A719" s="35">
        <v>1277236340</v>
      </c>
      <c r="B719" s="35" t="s">
        <v>3527</v>
      </c>
      <c r="C719" s="35">
        <v>2026</v>
      </c>
      <c r="D719" s="36">
        <v>46164.638993055552</v>
      </c>
      <c r="E719" s="37" t="s">
        <v>187</v>
      </c>
      <c r="F719" s="37" t="s">
        <v>3552</v>
      </c>
      <c r="G719" s="37" t="s">
        <v>3435</v>
      </c>
      <c r="H719" s="35" t="s">
        <v>3419</v>
      </c>
      <c r="I719" s="35" t="s">
        <v>3416</v>
      </c>
      <c r="J719" s="38">
        <v>1.95</v>
      </c>
      <c r="K719" s="35">
        <v>1</v>
      </c>
      <c r="L719" s="38">
        <f t="shared" si="11"/>
        <v>1.95</v>
      </c>
      <c r="M719" s="35" t="s">
        <v>11</v>
      </c>
      <c r="N719" s="38"/>
      <c r="O719" s="35" t="s">
        <v>16</v>
      </c>
    </row>
    <row r="720" spans="1:15" x14ac:dyDescent="0.25">
      <c r="A720" s="35">
        <v>1277231573</v>
      </c>
      <c r="B720" s="35" t="s">
        <v>3527</v>
      </c>
      <c r="C720" s="35">
        <v>2026</v>
      </c>
      <c r="D720" s="36">
        <v>46164.638993055552</v>
      </c>
      <c r="E720" s="37" t="s">
        <v>190</v>
      </c>
      <c r="F720" s="37" t="s">
        <v>3552</v>
      </c>
      <c r="G720" s="37" t="s">
        <v>3435</v>
      </c>
      <c r="H720" s="35" t="s">
        <v>3419</v>
      </c>
      <c r="I720" s="35" t="s">
        <v>3416</v>
      </c>
      <c r="J720" s="38">
        <v>1.4550000000000001</v>
      </c>
      <c r="K720" s="35">
        <v>2</v>
      </c>
      <c r="L720" s="38">
        <f t="shared" si="11"/>
        <v>2.91</v>
      </c>
      <c r="M720" s="35" t="s">
        <v>11</v>
      </c>
      <c r="N720" s="38"/>
      <c r="O720" s="35" t="s">
        <v>16</v>
      </c>
    </row>
    <row r="721" spans="1:15" x14ac:dyDescent="0.25">
      <c r="A721" s="35">
        <v>1276666850</v>
      </c>
      <c r="B721" s="35" t="s">
        <v>3527</v>
      </c>
      <c r="C721" s="35">
        <v>2026</v>
      </c>
      <c r="D721" s="36">
        <v>46161.828912037039</v>
      </c>
      <c r="E721" s="37" t="s">
        <v>195</v>
      </c>
      <c r="F721" s="37" t="s">
        <v>3553</v>
      </c>
      <c r="G721" s="37" t="s">
        <v>3554</v>
      </c>
      <c r="H721" s="35" t="s">
        <v>3419</v>
      </c>
      <c r="I721" s="35" t="s">
        <v>3416</v>
      </c>
      <c r="J721" s="38">
        <v>2.7250000000000001</v>
      </c>
      <c r="K721" s="35">
        <v>2</v>
      </c>
      <c r="L721" s="38">
        <f t="shared" si="11"/>
        <v>5.45</v>
      </c>
      <c r="M721" s="35" t="s">
        <v>11</v>
      </c>
      <c r="N721" s="38"/>
      <c r="O721" s="35" t="s">
        <v>12</v>
      </c>
    </row>
    <row r="722" spans="1:15" x14ac:dyDescent="0.25">
      <c r="A722" s="35">
        <v>1276611355</v>
      </c>
      <c r="B722" s="35" t="s">
        <v>3527</v>
      </c>
      <c r="C722" s="35">
        <v>2026</v>
      </c>
      <c r="D722" s="36">
        <v>46161.447129629632</v>
      </c>
      <c r="E722" s="37" t="s">
        <v>197</v>
      </c>
      <c r="F722" s="37" t="s">
        <v>3555</v>
      </c>
      <c r="G722" s="37" t="s">
        <v>3418</v>
      </c>
      <c r="H722" s="35" t="s">
        <v>3419</v>
      </c>
      <c r="I722" s="35" t="s">
        <v>3416</v>
      </c>
      <c r="J722" s="38">
        <v>1.75</v>
      </c>
      <c r="K722" s="35">
        <v>1</v>
      </c>
      <c r="L722" s="38">
        <f t="shared" si="11"/>
        <v>1.75</v>
      </c>
      <c r="M722" s="35" t="s">
        <v>11</v>
      </c>
      <c r="N722" s="38"/>
      <c r="O722" s="35" t="s">
        <v>16</v>
      </c>
    </row>
    <row r="723" spans="1:15" x14ac:dyDescent="0.25">
      <c r="A723" s="35">
        <v>1276596993</v>
      </c>
      <c r="B723" s="35" t="s">
        <v>3527</v>
      </c>
      <c r="C723" s="35">
        <v>2026</v>
      </c>
      <c r="D723" s="36">
        <v>46161.447129629632</v>
      </c>
      <c r="E723" s="37" t="s">
        <v>201</v>
      </c>
      <c r="F723" s="37" t="s">
        <v>3556</v>
      </c>
      <c r="G723" s="37" t="s">
        <v>3435</v>
      </c>
      <c r="H723" s="35" t="s">
        <v>3419</v>
      </c>
      <c r="I723" s="35" t="s">
        <v>3416</v>
      </c>
      <c r="J723" s="38">
        <v>28.5</v>
      </c>
      <c r="K723" s="35">
        <v>2</v>
      </c>
      <c r="L723" s="38">
        <f t="shared" si="11"/>
        <v>57</v>
      </c>
      <c r="M723" s="35" t="s">
        <v>11</v>
      </c>
      <c r="N723" s="38"/>
      <c r="O723" s="35" t="s">
        <v>16</v>
      </c>
    </row>
    <row r="724" spans="1:15" x14ac:dyDescent="0.25">
      <c r="A724" s="35">
        <v>1276595473</v>
      </c>
      <c r="B724" s="35" t="s">
        <v>3527</v>
      </c>
      <c r="C724" s="35">
        <v>2026</v>
      </c>
      <c r="D724" s="36">
        <v>46161.447129629632</v>
      </c>
      <c r="E724" s="37" t="s">
        <v>203</v>
      </c>
      <c r="F724" s="37" t="s">
        <v>3459</v>
      </c>
      <c r="G724" s="37" t="s">
        <v>3418</v>
      </c>
      <c r="H724" s="35" t="s">
        <v>3419</v>
      </c>
      <c r="I724" s="35" t="s">
        <v>3416</v>
      </c>
      <c r="J724" s="38">
        <v>5.3198780487804882</v>
      </c>
      <c r="K724" s="35">
        <v>1</v>
      </c>
      <c r="L724" s="38">
        <f t="shared" si="11"/>
        <v>5.3198780487804882</v>
      </c>
      <c r="M724" s="35" t="s">
        <v>11</v>
      </c>
      <c r="N724" s="38"/>
      <c r="O724" s="35" t="s">
        <v>16</v>
      </c>
    </row>
    <row r="725" spans="1:15" x14ac:dyDescent="0.25">
      <c r="A725" s="35">
        <v>1276595473</v>
      </c>
      <c r="B725" s="35" t="s">
        <v>3527</v>
      </c>
      <c r="C725" s="35">
        <v>2026</v>
      </c>
      <c r="D725" s="36">
        <v>46161.447129629632</v>
      </c>
      <c r="E725" s="37" t="s">
        <v>203</v>
      </c>
      <c r="F725" s="37" t="s">
        <v>3557</v>
      </c>
      <c r="G725" s="37" t="s">
        <v>3418</v>
      </c>
      <c r="H725" s="35" t="s">
        <v>3419</v>
      </c>
      <c r="I725" s="35" t="s">
        <v>3416</v>
      </c>
      <c r="J725" s="38">
        <v>0.23012195121951221</v>
      </c>
      <c r="K725" s="35">
        <v>1</v>
      </c>
      <c r="L725" s="38">
        <f t="shared" si="11"/>
        <v>0.23012195121951221</v>
      </c>
      <c r="M725" s="35" t="s">
        <v>11</v>
      </c>
      <c r="N725" s="38"/>
      <c r="O725" s="35" t="s">
        <v>16</v>
      </c>
    </row>
    <row r="726" spans="1:15" x14ac:dyDescent="0.25">
      <c r="A726" s="35">
        <v>1276449169</v>
      </c>
      <c r="B726" s="35" t="s">
        <v>3527</v>
      </c>
      <c r="C726" s="35">
        <v>2026</v>
      </c>
      <c r="D726" s="36">
        <v>46160.68954861111</v>
      </c>
      <c r="E726" s="37" t="s">
        <v>205</v>
      </c>
      <c r="F726" s="37" t="s">
        <v>3558</v>
      </c>
      <c r="G726" s="37" t="s">
        <v>3535</v>
      </c>
      <c r="H726" s="35" t="s">
        <v>3419</v>
      </c>
      <c r="I726" s="35" t="s">
        <v>3416</v>
      </c>
      <c r="J726" s="38">
        <v>14.34</v>
      </c>
      <c r="K726" s="35">
        <v>1</v>
      </c>
      <c r="L726" s="38">
        <f t="shared" si="11"/>
        <v>14.34</v>
      </c>
      <c r="M726" s="35" t="s">
        <v>11</v>
      </c>
      <c r="N726" s="38"/>
      <c r="O726" s="35" t="s">
        <v>12</v>
      </c>
    </row>
    <row r="727" spans="1:15" x14ac:dyDescent="0.25">
      <c r="A727" s="35">
        <v>1276440581</v>
      </c>
      <c r="B727" s="35" t="s">
        <v>3527</v>
      </c>
      <c r="C727" s="35">
        <v>2026</v>
      </c>
      <c r="D727" s="36">
        <v>46160.68954861111</v>
      </c>
      <c r="E727" s="37" t="s">
        <v>104</v>
      </c>
      <c r="F727" s="37" t="s">
        <v>3558</v>
      </c>
      <c r="G727" s="37" t="s">
        <v>3535</v>
      </c>
      <c r="H727" s="35" t="s">
        <v>3419</v>
      </c>
      <c r="I727" s="35" t="s">
        <v>3416</v>
      </c>
      <c r="J727" s="38">
        <v>16.353333333333339</v>
      </c>
      <c r="K727" s="35">
        <v>3</v>
      </c>
      <c r="L727" s="38">
        <f t="shared" si="11"/>
        <v>49.060000000000016</v>
      </c>
      <c r="M727" s="35" t="s">
        <v>11</v>
      </c>
      <c r="N727" s="38"/>
      <c r="O727" s="35" t="s">
        <v>12</v>
      </c>
    </row>
    <row r="728" spans="1:15" x14ac:dyDescent="0.25">
      <c r="A728" s="35">
        <v>1276426649</v>
      </c>
      <c r="B728" s="35" t="s">
        <v>3527</v>
      </c>
      <c r="C728" s="35">
        <v>2026</v>
      </c>
      <c r="D728" s="36">
        <v>46160.631331018521</v>
      </c>
      <c r="E728" s="37" t="s">
        <v>208</v>
      </c>
      <c r="F728" s="37" t="s">
        <v>3559</v>
      </c>
      <c r="G728" s="37" t="s">
        <v>3560</v>
      </c>
      <c r="H728" s="35" t="s">
        <v>3419</v>
      </c>
      <c r="I728" s="35" t="s">
        <v>3416</v>
      </c>
      <c r="J728" s="38">
        <v>11.45</v>
      </c>
      <c r="K728" s="35">
        <v>1</v>
      </c>
      <c r="L728" s="38">
        <f t="shared" si="11"/>
        <v>11.45</v>
      </c>
      <c r="M728" s="35" t="s">
        <v>11</v>
      </c>
      <c r="N728" s="38"/>
      <c r="O728" s="35" t="s">
        <v>12</v>
      </c>
    </row>
    <row r="729" spans="1:15" x14ac:dyDescent="0.25">
      <c r="A729" s="35">
        <v>1276426574</v>
      </c>
      <c r="B729" s="35" t="s">
        <v>3527</v>
      </c>
      <c r="C729" s="35">
        <v>2026</v>
      </c>
      <c r="D729" s="36">
        <v>46160.631331018521</v>
      </c>
      <c r="E729" s="37" t="s">
        <v>212</v>
      </c>
      <c r="F729" s="37" t="s">
        <v>3559</v>
      </c>
      <c r="G729" s="37" t="s">
        <v>3560</v>
      </c>
      <c r="H729" s="35" t="s">
        <v>3419</v>
      </c>
      <c r="I729" s="35" t="s">
        <v>3416</v>
      </c>
      <c r="J729" s="38">
        <v>9.44</v>
      </c>
      <c r="K729" s="35">
        <v>1</v>
      </c>
      <c r="L729" s="38">
        <f t="shared" si="11"/>
        <v>9.44</v>
      </c>
      <c r="M729" s="35" t="s">
        <v>11</v>
      </c>
      <c r="N729" s="38"/>
      <c r="O729" s="35" t="s">
        <v>12</v>
      </c>
    </row>
    <row r="730" spans="1:15" x14ac:dyDescent="0.25">
      <c r="A730" s="35">
        <v>1276420896</v>
      </c>
      <c r="B730" s="35" t="s">
        <v>3527</v>
      </c>
      <c r="C730" s="35">
        <v>2026</v>
      </c>
      <c r="D730" s="36">
        <v>46160.619097222218</v>
      </c>
      <c r="E730" s="37" t="s">
        <v>214</v>
      </c>
      <c r="F730" s="37" t="s">
        <v>3561</v>
      </c>
      <c r="G730" s="37" t="s">
        <v>3562</v>
      </c>
      <c r="H730" s="35" t="s">
        <v>3419</v>
      </c>
      <c r="I730" s="35" t="s">
        <v>3416</v>
      </c>
      <c r="J730" s="38">
        <v>24.15</v>
      </c>
      <c r="K730" s="35">
        <v>1</v>
      </c>
      <c r="L730" s="38">
        <f t="shared" si="11"/>
        <v>24.15</v>
      </c>
      <c r="M730" s="35" t="s">
        <v>11</v>
      </c>
      <c r="N730" s="38"/>
      <c r="O730" s="35" t="s">
        <v>16</v>
      </c>
    </row>
    <row r="731" spans="1:15" x14ac:dyDescent="0.25">
      <c r="A731" s="35">
        <v>1276368338</v>
      </c>
      <c r="B731" s="35" t="s">
        <v>3527</v>
      </c>
      <c r="C731" s="35">
        <v>2026</v>
      </c>
      <c r="D731" s="36">
        <v>46160.441874999997</v>
      </c>
      <c r="E731" s="37" t="s">
        <v>61</v>
      </c>
      <c r="F731" s="37" t="s">
        <v>3563</v>
      </c>
      <c r="G731" s="37" t="s">
        <v>3421</v>
      </c>
      <c r="H731" s="35" t="s">
        <v>3419</v>
      </c>
      <c r="I731" s="35" t="s">
        <v>3416</v>
      </c>
      <c r="J731" s="38">
        <v>2.48</v>
      </c>
      <c r="K731" s="35">
        <v>3</v>
      </c>
      <c r="L731" s="38">
        <f t="shared" si="11"/>
        <v>7.4399999999999995</v>
      </c>
      <c r="M731" s="42" t="s">
        <v>11</v>
      </c>
      <c r="N731" s="38"/>
      <c r="O731" s="35" t="s">
        <v>16</v>
      </c>
    </row>
    <row r="732" spans="1:15" x14ac:dyDescent="0.25">
      <c r="A732" s="35">
        <v>1276368338</v>
      </c>
      <c r="B732" s="35" t="s">
        <v>3527</v>
      </c>
      <c r="C732" s="35">
        <v>2026</v>
      </c>
      <c r="D732" s="36">
        <v>46160.441874999997</v>
      </c>
      <c r="E732" s="37" t="s">
        <v>61</v>
      </c>
      <c r="F732" s="37" t="s">
        <v>3564</v>
      </c>
      <c r="G732" s="37" t="s">
        <v>3421</v>
      </c>
      <c r="H732" s="35" t="s">
        <v>3419</v>
      </c>
      <c r="I732" s="35" t="s">
        <v>3416</v>
      </c>
      <c r="J732" s="38">
        <v>0.15</v>
      </c>
      <c r="K732" s="35">
        <v>3</v>
      </c>
      <c r="L732" s="38">
        <f t="shared" si="11"/>
        <v>0.44999999999999996</v>
      </c>
      <c r="M732" s="42" t="s">
        <v>11</v>
      </c>
      <c r="N732" s="38"/>
      <c r="O732" s="35" t="s">
        <v>16</v>
      </c>
    </row>
    <row r="733" spans="1:15" x14ac:dyDescent="0.25">
      <c r="A733" s="35">
        <v>1276368255</v>
      </c>
      <c r="B733" s="35" t="s">
        <v>3527</v>
      </c>
      <c r="C733" s="35">
        <v>2026</v>
      </c>
      <c r="D733" s="36">
        <v>46160.441874999997</v>
      </c>
      <c r="E733" s="37" t="s">
        <v>116</v>
      </c>
      <c r="F733" s="37" t="s">
        <v>3565</v>
      </c>
      <c r="G733" s="37" t="s">
        <v>3418</v>
      </c>
      <c r="H733" s="35" t="s">
        <v>3419</v>
      </c>
      <c r="I733" s="35" t="s">
        <v>3416</v>
      </c>
      <c r="J733" s="38">
        <v>21.15</v>
      </c>
      <c r="K733" s="35">
        <v>1</v>
      </c>
      <c r="L733" s="38">
        <f t="shared" si="11"/>
        <v>21.15</v>
      </c>
      <c r="M733" s="35" t="s">
        <v>11</v>
      </c>
      <c r="N733" s="38"/>
      <c r="O733" s="35" t="s">
        <v>16</v>
      </c>
    </row>
    <row r="734" spans="1:15" x14ac:dyDescent="0.25">
      <c r="A734" s="35">
        <v>1276365871</v>
      </c>
      <c r="B734" s="35" t="s">
        <v>3527</v>
      </c>
      <c r="C734" s="35">
        <v>2026</v>
      </c>
      <c r="D734" s="36">
        <v>46160.431203703702</v>
      </c>
      <c r="E734" s="37" t="s">
        <v>61</v>
      </c>
      <c r="F734" s="37" t="s">
        <v>3566</v>
      </c>
      <c r="G734" s="37" t="s">
        <v>3421</v>
      </c>
      <c r="H734" s="35" t="s">
        <v>3419</v>
      </c>
      <c r="I734" s="35" t="s">
        <v>3416</v>
      </c>
      <c r="J734" s="38">
        <v>7.94</v>
      </c>
      <c r="K734" s="35">
        <v>2</v>
      </c>
      <c r="L734" s="38">
        <f t="shared" si="11"/>
        <v>15.88</v>
      </c>
      <c r="M734" s="42" t="s">
        <v>11</v>
      </c>
      <c r="N734" s="38"/>
      <c r="O734" s="35" t="s">
        <v>16</v>
      </c>
    </row>
    <row r="735" spans="1:15" x14ac:dyDescent="0.25">
      <c r="A735" s="35">
        <v>1276365871</v>
      </c>
      <c r="B735" s="35" t="s">
        <v>3527</v>
      </c>
      <c r="C735" s="35">
        <v>2026</v>
      </c>
      <c r="D735" s="36">
        <v>46160.431203703702</v>
      </c>
      <c r="E735" s="37" t="s">
        <v>61</v>
      </c>
      <c r="F735" s="37" t="s">
        <v>3567</v>
      </c>
      <c r="G735" s="37" t="s">
        <v>3421</v>
      </c>
      <c r="H735" s="35" t="s">
        <v>3419</v>
      </c>
      <c r="I735" s="35" t="s">
        <v>3416</v>
      </c>
      <c r="J735" s="38">
        <v>7</v>
      </c>
      <c r="K735" s="35">
        <v>2</v>
      </c>
      <c r="L735" s="38">
        <f t="shared" si="11"/>
        <v>14</v>
      </c>
      <c r="M735" s="42" t="s">
        <v>11</v>
      </c>
      <c r="N735" s="38"/>
      <c r="O735" s="35" t="s">
        <v>16</v>
      </c>
    </row>
    <row r="736" spans="1:15" x14ac:dyDescent="0.25">
      <c r="A736" s="35">
        <v>1276364502</v>
      </c>
      <c r="B736" s="35" t="s">
        <v>3527</v>
      </c>
      <c r="C736" s="35">
        <v>2026</v>
      </c>
      <c r="D736" s="36">
        <v>46160.427233796298</v>
      </c>
      <c r="E736" s="37" t="s">
        <v>217</v>
      </c>
      <c r="F736" s="37" t="s">
        <v>3568</v>
      </c>
      <c r="G736" s="37" t="s">
        <v>3421</v>
      </c>
      <c r="H736" s="35" t="s">
        <v>3419</v>
      </c>
      <c r="I736" s="35" t="s">
        <v>3416</v>
      </c>
      <c r="J736" s="38">
        <v>1.95</v>
      </c>
      <c r="K736" s="35">
        <v>1</v>
      </c>
      <c r="L736" s="38">
        <f t="shared" si="11"/>
        <v>1.95</v>
      </c>
      <c r="M736" s="35" t="s">
        <v>11</v>
      </c>
      <c r="N736" s="38"/>
      <c r="O736" s="35" t="s">
        <v>16</v>
      </c>
    </row>
    <row r="737" spans="1:15" x14ac:dyDescent="0.25">
      <c r="A737" s="35">
        <v>1276364490</v>
      </c>
      <c r="B737" s="35" t="s">
        <v>3527</v>
      </c>
      <c r="C737" s="35">
        <v>2026</v>
      </c>
      <c r="D737" s="36">
        <v>46160.427233796298</v>
      </c>
      <c r="E737" s="37" t="s">
        <v>219</v>
      </c>
      <c r="F737" s="37" t="s">
        <v>3568</v>
      </c>
      <c r="G737" s="37" t="s">
        <v>3421</v>
      </c>
      <c r="H737" s="35" t="s">
        <v>3419</v>
      </c>
      <c r="I737" s="35" t="s">
        <v>3416</v>
      </c>
      <c r="J737" s="38">
        <v>1.7250000000000001</v>
      </c>
      <c r="K737" s="35">
        <v>2</v>
      </c>
      <c r="L737" s="38">
        <f t="shared" si="11"/>
        <v>3.45</v>
      </c>
      <c r="M737" s="35" t="s">
        <v>11</v>
      </c>
      <c r="N737" s="38"/>
      <c r="O737" s="35" t="s">
        <v>16</v>
      </c>
    </row>
    <row r="738" spans="1:15" x14ac:dyDescent="0.25">
      <c r="A738" s="35">
        <v>1276364321</v>
      </c>
      <c r="B738" s="35" t="s">
        <v>3527</v>
      </c>
      <c r="C738" s="35">
        <v>2026</v>
      </c>
      <c r="D738" s="36">
        <v>46160.427233796298</v>
      </c>
      <c r="E738" s="37" t="s">
        <v>221</v>
      </c>
      <c r="F738" s="37" t="s">
        <v>3552</v>
      </c>
      <c r="G738" s="37" t="s">
        <v>3435</v>
      </c>
      <c r="H738" s="35" t="s">
        <v>3419</v>
      </c>
      <c r="I738" s="35" t="s">
        <v>3416</v>
      </c>
      <c r="J738" s="38">
        <v>0.5033333333333333</v>
      </c>
      <c r="K738" s="35">
        <v>3</v>
      </c>
      <c r="L738" s="38">
        <f t="shared" si="11"/>
        <v>1.5099999999999998</v>
      </c>
      <c r="M738" s="35" t="s">
        <v>11</v>
      </c>
      <c r="N738" s="38"/>
      <c r="O738" s="35" t="s">
        <v>16</v>
      </c>
    </row>
    <row r="739" spans="1:15" x14ac:dyDescent="0.25">
      <c r="A739" s="35">
        <v>1276364037</v>
      </c>
      <c r="B739" s="35" t="s">
        <v>3527</v>
      </c>
      <c r="C739" s="35">
        <v>2026</v>
      </c>
      <c r="D739" s="36">
        <v>46160.427233796298</v>
      </c>
      <c r="E739" s="37" t="s">
        <v>223</v>
      </c>
      <c r="F739" s="37" t="s">
        <v>3569</v>
      </c>
      <c r="G739" s="37" t="s">
        <v>3435</v>
      </c>
      <c r="H739" s="35" t="s">
        <v>3419</v>
      </c>
      <c r="I739" s="35" t="s">
        <v>3416</v>
      </c>
      <c r="J739" s="38">
        <v>0.83333333333333337</v>
      </c>
      <c r="K739" s="35">
        <v>3</v>
      </c>
      <c r="L739" s="38">
        <f t="shared" si="11"/>
        <v>2.5</v>
      </c>
      <c r="M739" s="35" t="s">
        <v>11</v>
      </c>
      <c r="N739" s="38"/>
      <c r="O739" s="35" t="s">
        <v>16</v>
      </c>
    </row>
    <row r="740" spans="1:15" x14ac:dyDescent="0.25">
      <c r="A740" s="35">
        <v>1276363015</v>
      </c>
      <c r="B740" s="35" t="s">
        <v>3527</v>
      </c>
      <c r="C740" s="35">
        <v>2026</v>
      </c>
      <c r="D740" s="36">
        <v>46160.420995370368</v>
      </c>
      <c r="E740" s="37" t="s">
        <v>225</v>
      </c>
      <c r="F740" s="37" t="s">
        <v>3570</v>
      </c>
      <c r="G740" s="37" t="s">
        <v>3418</v>
      </c>
      <c r="H740" s="35" t="s">
        <v>3419</v>
      </c>
      <c r="I740" s="35" t="s">
        <v>3416</v>
      </c>
      <c r="J740" s="38">
        <v>1.1318181818181821</v>
      </c>
      <c r="K740" s="35">
        <v>1</v>
      </c>
      <c r="L740" s="38">
        <f t="shared" si="11"/>
        <v>1.1318181818181821</v>
      </c>
      <c r="M740" s="35" t="s">
        <v>11</v>
      </c>
      <c r="N740" s="38"/>
      <c r="O740" s="35" t="s">
        <v>16</v>
      </c>
    </row>
    <row r="741" spans="1:15" x14ac:dyDescent="0.25">
      <c r="A741" s="35">
        <v>1276363015</v>
      </c>
      <c r="B741" s="35" t="s">
        <v>3527</v>
      </c>
      <c r="C741" s="35">
        <v>2026</v>
      </c>
      <c r="D741" s="36">
        <v>46160.420995370368</v>
      </c>
      <c r="E741" s="37" t="s">
        <v>225</v>
      </c>
      <c r="F741" s="37" t="s">
        <v>3571</v>
      </c>
      <c r="G741" s="37" t="s">
        <v>3418</v>
      </c>
      <c r="H741" s="35" t="s">
        <v>3419</v>
      </c>
      <c r="I741" s="35" t="s">
        <v>3416</v>
      </c>
      <c r="J741" s="38">
        <v>1.697727272727273</v>
      </c>
      <c r="K741" s="35">
        <v>1</v>
      </c>
      <c r="L741" s="38">
        <f t="shared" si="11"/>
        <v>1.697727272727273</v>
      </c>
      <c r="M741" s="35" t="s">
        <v>11</v>
      </c>
      <c r="N741" s="38"/>
      <c r="O741" s="35" t="s">
        <v>16</v>
      </c>
    </row>
    <row r="742" spans="1:15" x14ac:dyDescent="0.25">
      <c r="A742" s="35">
        <v>1276363015</v>
      </c>
      <c r="B742" s="35" t="s">
        <v>3527</v>
      </c>
      <c r="C742" s="35">
        <v>2026</v>
      </c>
      <c r="D742" s="36">
        <v>46160.420995370368</v>
      </c>
      <c r="E742" s="37" t="s">
        <v>225</v>
      </c>
      <c r="F742" s="37" t="s">
        <v>3572</v>
      </c>
      <c r="G742" s="37" t="s">
        <v>3421</v>
      </c>
      <c r="H742" s="35" t="s">
        <v>3419</v>
      </c>
      <c r="I742" s="35" t="s">
        <v>3416</v>
      </c>
      <c r="J742" s="38">
        <v>0.56590909090909092</v>
      </c>
      <c r="K742" s="35">
        <v>1</v>
      </c>
      <c r="L742" s="38">
        <f t="shared" si="11"/>
        <v>0.56590909090909092</v>
      </c>
      <c r="M742" s="35" t="s">
        <v>11</v>
      </c>
      <c r="N742" s="38"/>
      <c r="O742" s="35" t="s">
        <v>16</v>
      </c>
    </row>
    <row r="743" spans="1:15" x14ac:dyDescent="0.25">
      <c r="A743" s="35">
        <v>1276363015</v>
      </c>
      <c r="B743" s="35" t="s">
        <v>3527</v>
      </c>
      <c r="C743" s="35">
        <v>2026</v>
      </c>
      <c r="D743" s="36">
        <v>46160.420995370368</v>
      </c>
      <c r="E743" s="37" t="s">
        <v>225</v>
      </c>
      <c r="F743" s="37" t="s">
        <v>3566</v>
      </c>
      <c r="G743" s="37" t="s">
        <v>3421</v>
      </c>
      <c r="H743" s="35" t="s">
        <v>3419</v>
      </c>
      <c r="I743" s="35" t="s">
        <v>3416</v>
      </c>
      <c r="J743" s="38">
        <v>9.0545454545454547</v>
      </c>
      <c r="K743" s="35">
        <v>1</v>
      </c>
      <c r="L743" s="38">
        <f t="shared" si="11"/>
        <v>9.0545454545454547</v>
      </c>
      <c r="M743" s="35" t="s">
        <v>11</v>
      </c>
      <c r="N743" s="38"/>
      <c r="O743" s="35" t="s">
        <v>16</v>
      </c>
    </row>
    <row r="744" spans="1:15" x14ac:dyDescent="0.25">
      <c r="A744" s="35">
        <v>1276361995</v>
      </c>
      <c r="B744" s="35" t="s">
        <v>3527</v>
      </c>
      <c r="C744" s="35">
        <v>2026</v>
      </c>
      <c r="D744" s="36">
        <v>46160.420995370368</v>
      </c>
      <c r="E744" s="37" t="s">
        <v>227</v>
      </c>
      <c r="F744" s="37" t="s">
        <v>3573</v>
      </c>
      <c r="G744" s="37" t="s">
        <v>3421</v>
      </c>
      <c r="H744" s="35" t="s">
        <v>3419</v>
      </c>
      <c r="I744" s="35" t="s">
        <v>3416</v>
      </c>
      <c r="J744" s="38">
        <v>4.8285714285714283</v>
      </c>
      <c r="K744" s="35">
        <v>1</v>
      </c>
      <c r="L744" s="38">
        <f t="shared" si="11"/>
        <v>4.8285714285714283</v>
      </c>
      <c r="M744" s="35" t="s">
        <v>11</v>
      </c>
      <c r="N744" s="38"/>
      <c r="O744" s="35" t="s">
        <v>16</v>
      </c>
    </row>
    <row r="745" spans="1:15" x14ac:dyDescent="0.25">
      <c r="A745" s="35">
        <v>1276361995</v>
      </c>
      <c r="B745" s="35" t="s">
        <v>3527</v>
      </c>
      <c r="C745" s="35">
        <v>2026</v>
      </c>
      <c r="D745" s="36">
        <v>46160.420995370368</v>
      </c>
      <c r="E745" s="37" t="s">
        <v>227</v>
      </c>
      <c r="F745" s="37" t="s">
        <v>3574</v>
      </c>
      <c r="G745" s="37" t="s">
        <v>3421</v>
      </c>
      <c r="H745" s="35" t="s">
        <v>3419</v>
      </c>
      <c r="I745" s="35" t="s">
        <v>3416</v>
      </c>
      <c r="J745" s="38">
        <v>3.621428571428571</v>
      </c>
      <c r="K745" s="35">
        <v>1</v>
      </c>
      <c r="L745" s="38">
        <f t="shared" si="11"/>
        <v>3.621428571428571</v>
      </c>
      <c r="M745" s="35" t="s">
        <v>11</v>
      </c>
      <c r="N745" s="38"/>
      <c r="O745" s="35" t="s">
        <v>16</v>
      </c>
    </row>
    <row r="746" spans="1:15" x14ac:dyDescent="0.25">
      <c r="A746" s="35">
        <v>1276361207</v>
      </c>
      <c r="B746" s="35" t="s">
        <v>3527</v>
      </c>
      <c r="C746" s="35">
        <v>2026</v>
      </c>
      <c r="D746" s="36">
        <v>46160.420995370368</v>
      </c>
      <c r="E746" s="37" t="s">
        <v>190</v>
      </c>
      <c r="F746" s="37" t="s">
        <v>3575</v>
      </c>
      <c r="G746" s="37" t="s">
        <v>3418</v>
      </c>
      <c r="H746" s="35" t="s">
        <v>3419</v>
      </c>
      <c r="I746" s="35" t="s">
        <v>3416</v>
      </c>
      <c r="J746" s="38">
        <v>0.82097421203438381</v>
      </c>
      <c r="K746" s="35">
        <v>3</v>
      </c>
      <c r="L746" s="38">
        <f t="shared" si="11"/>
        <v>2.4629226361031513</v>
      </c>
      <c r="M746" s="35" t="s">
        <v>11</v>
      </c>
      <c r="N746" s="38"/>
      <c r="O746" s="35" t="s">
        <v>16</v>
      </c>
    </row>
    <row r="747" spans="1:15" x14ac:dyDescent="0.25">
      <c r="A747" s="35">
        <v>1276361207</v>
      </c>
      <c r="B747" s="35" t="s">
        <v>3527</v>
      </c>
      <c r="C747" s="35">
        <v>2026</v>
      </c>
      <c r="D747" s="36">
        <v>46160.420995370368</v>
      </c>
      <c r="E747" s="37" t="s">
        <v>190</v>
      </c>
      <c r="F747" s="37" t="s">
        <v>3557</v>
      </c>
      <c r="G747" s="37" t="s">
        <v>3418</v>
      </c>
      <c r="H747" s="35" t="s">
        <v>3419</v>
      </c>
      <c r="I747" s="35" t="s">
        <v>3416</v>
      </c>
      <c r="J747" s="38">
        <v>0.21232091690544411</v>
      </c>
      <c r="K747" s="35">
        <v>1</v>
      </c>
      <c r="L747" s="38">
        <f t="shared" si="11"/>
        <v>0.21232091690544411</v>
      </c>
      <c r="M747" s="35" t="s">
        <v>11</v>
      </c>
      <c r="N747" s="38"/>
      <c r="O747" s="35" t="s">
        <v>16</v>
      </c>
    </row>
    <row r="748" spans="1:15" x14ac:dyDescent="0.25">
      <c r="A748" s="35">
        <v>1276361207</v>
      </c>
      <c r="B748" s="35" t="s">
        <v>3527</v>
      </c>
      <c r="C748" s="35">
        <v>2026</v>
      </c>
      <c r="D748" s="36">
        <v>46160.420995370368</v>
      </c>
      <c r="E748" s="37" t="s">
        <v>190</v>
      </c>
      <c r="F748" s="37" t="s">
        <v>3576</v>
      </c>
      <c r="G748" s="37" t="s">
        <v>3562</v>
      </c>
      <c r="H748" s="35" t="s">
        <v>3419</v>
      </c>
      <c r="I748" s="35" t="s">
        <v>3416</v>
      </c>
      <c r="J748" s="38">
        <v>0.69358166189111747</v>
      </c>
      <c r="K748" s="35">
        <v>3</v>
      </c>
      <c r="L748" s="38">
        <f t="shared" si="11"/>
        <v>2.0807449856733524</v>
      </c>
      <c r="M748" s="35" t="s">
        <v>11</v>
      </c>
      <c r="N748" s="38"/>
      <c r="O748" s="35" t="s">
        <v>16</v>
      </c>
    </row>
    <row r="749" spans="1:15" x14ac:dyDescent="0.25">
      <c r="A749" s="35">
        <v>1276361207</v>
      </c>
      <c r="B749" s="35" t="s">
        <v>3527</v>
      </c>
      <c r="C749" s="35">
        <v>2026</v>
      </c>
      <c r="D749" s="36">
        <v>46160.420995370368</v>
      </c>
      <c r="E749" s="37" t="s">
        <v>190</v>
      </c>
      <c r="F749" s="37" t="s">
        <v>3577</v>
      </c>
      <c r="G749" s="37" t="s">
        <v>3421</v>
      </c>
      <c r="H749" s="35" t="s">
        <v>3419</v>
      </c>
      <c r="I749" s="35" t="s">
        <v>3416</v>
      </c>
      <c r="J749" s="38">
        <v>0.1840114613180516</v>
      </c>
      <c r="K749" s="35">
        <v>1</v>
      </c>
      <c r="L749" s="38">
        <f t="shared" si="11"/>
        <v>0.1840114613180516</v>
      </c>
      <c r="M749" s="35" t="s">
        <v>11</v>
      </c>
      <c r="N749" s="38"/>
      <c r="O749" s="35" t="s">
        <v>16</v>
      </c>
    </row>
    <row r="750" spans="1:15" x14ac:dyDescent="0.25">
      <c r="A750" s="35">
        <v>1276361197</v>
      </c>
      <c r="B750" s="35" t="s">
        <v>3527</v>
      </c>
      <c r="C750" s="35">
        <v>2026</v>
      </c>
      <c r="D750" s="36">
        <v>46160.420995370368</v>
      </c>
      <c r="E750" s="37" t="s">
        <v>229</v>
      </c>
      <c r="F750" s="37" t="s">
        <v>3574</v>
      </c>
      <c r="G750" s="37" t="s">
        <v>3421</v>
      </c>
      <c r="H750" s="35" t="s">
        <v>3419</v>
      </c>
      <c r="I750" s="35" t="s">
        <v>3416</v>
      </c>
      <c r="J750" s="38">
        <v>3.375</v>
      </c>
      <c r="K750" s="35">
        <v>1</v>
      </c>
      <c r="L750" s="38">
        <f t="shared" si="11"/>
        <v>3.375</v>
      </c>
      <c r="M750" s="35" t="s">
        <v>11</v>
      </c>
      <c r="N750" s="38"/>
      <c r="O750" s="35" t="s">
        <v>16</v>
      </c>
    </row>
    <row r="751" spans="1:15" x14ac:dyDescent="0.25">
      <c r="A751" s="35">
        <v>1276361197</v>
      </c>
      <c r="B751" s="35" t="s">
        <v>3527</v>
      </c>
      <c r="C751" s="35">
        <v>2026</v>
      </c>
      <c r="D751" s="36">
        <v>46160.420995370368</v>
      </c>
      <c r="E751" s="37" t="s">
        <v>229</v>
      </c>
      <c r="F751" s="37" t="s">
        <v>3578</v>
      </c>
      <c r="G751" s="37" t="s">
        <v>3421</v>
      </c>
      <c r="H751" s="35" t="s">
        <v>3419</v>
      </c>
      <c r="I751" s="35" t="s">
        <v>3416</v>
      </c>
      <c r="J751" s="38">
        <v>1.6875</v>
      </c>
      <c r="K751" s="35">
        <v>3</v>
      </c>
      <c r="L751" s="38">
        <f t="shared" si="11"/>
        <v>5.0625</v>
      </c>
      <c r="M751" s="35" t="s">
        <v>11</v>
      </c>
      <c r="N751" s="38"/>
      <c r="O751" s="35" t="s">
        <v>16</v>
      </c>
    </row>
    <row r="752" spans="1:15" x14ac:dyDescent="0.25">
      <c r="A752" s="35">
        <v>1276361197</v>
      </c>
      <c r="B752" s="35" t="s">
        <v>3527</v>
      </c>
      <c r="C752" s="35">
        <v>2026</v>
      </c>
      <c r="D752" s="36">
        <v>46160.420995370368</v>
      </c>
      <c r="E752" s="37" t="s">
        <v>229</v>
      </c>
      <c r="F752" s="37" t="s">
        <v>3577</v>
      </c>
      <c r="G752" s="37" t="s">
        <v>3421</v>
      </c>
      <c r="H752" s="35" t="s">
        <v>3419</v>
      </c>
      <c r="I752" s="35" t="s">
        <v>3416</v>
      </c>
      <c r="J752" s="38">
        <v>0.33750000000000002</v>
      </c>
      <c r="K752" s="35">
        <v>2</v>
      </c>
      <c r="L752" s="38">
        <f t="shared" si="11"/>
        <v>0.67500000000000004</v>
      </c>
      <c r="M752" s="35" t="s">
        <v>11</v>
      </c>
      <c r="N752" s="38"/>
      <c r="O752" s="35" t="s">
        <v>16</v>
      </c>
    </row>
    <row r="753" spans="1:15" x14ac:dyDescent="0.25">
      <c r="A753" s="35">
        <v>1276361197</v>
      </c>
      <c r="B753" s="35" t="s">
        <v>3527</v>
      </c>
      <c r="C753" s="35">
        <v>2026</v>
      </c>
      <c r="D753" s="36">
        <v>46160.420995370368</v>
      </c>
      <c r="E753" s="37" t="s">
        <v>229</v>
      </c>
      <c r="F753" s="37" t="s">
        <v>3573</v>
      </c>
      <c r="G753" s="37" t="s">
        <v>3421</v>
      </c>
      <c r="H753" s="35" t="s">
        <v>3419</v>
      </c>
      <c r="I753" s="35" t="s">
        <v>3416</v>
      </c>
      <c r="J753" s="38">
        <v>3.9375</v>
      </c>
      <c r="K753" s="35">
        <v>1</v>
      </c>
      <c r="L753" s="38">
        <f t="shared" si="11"/>
        <v>3.9375</v>
      </c>
      <c r="M753" s="35" t="s">
        <v>11</v>
      </c>
      <c r="N753" s="38"/>
      <c r="O753" s="35" t="s">
        <v>16</v>
      </c>
    </row>
    <row r="754" spans="1:15" x14ac:dyDescent="0.25">
      <c r="A754" s="35">
        <v>1276361160</v>
      </c>
      <c r="B754" s="35" t="s">
        <v>3527</v>
      </c>
      <c r="C754" s="35">
        <v>2026</v>
      </c>
      <c r="D754" s="36">
        <v>46160.420995370368</v>
      </c>
      <c r="E754" s="37" t="s">
        <v>231</v>
      </c>
      <c r="F754" s="37" t="s">
        <v>3579</v>
      </c>
      <c r="G754" s="37" t="s">
        <v>3421</v>
      </c>
      <c r="H754" s="35" t="s">
        <v>3419</v>
      </c>
      <c r="I754" s="35" t="s">
        <v>3416</v>
      </c>
      <c r="J754" s="38">
        <v>76.29554140127388</v>
      </c>
      <c r="K754" s="35">
        <v>1</v>
      </c>
      <c r="L754" s="38">
        <f t="shared" si="11"/>
        <v>76.29554140127388</v>
      </c>
      <c r="M754" s="35" t="s">
        <v>11</v>
      </c>
      <c r="N754" s="38"/>
      <c r="O754" s="35" t="s">
        <v>16</v>
      </c>
    </row>
    <row r="755" spans="1:15" x14ac:dyDescent="0.25">
      <c r="A755" s="35">
        <v>1276361160</v>
      </c>
      <c r="B755" s="35" t="s">
        <v>3527</v>
      </c>
      <c r="C755" s="35">
        <v>2026</v>
      </c>
      <c r="D755" s="36">
        <v>46160.420995370368</v>
      </c>
      <c r="E755" s="37" t="s">
        <v>231</v>
      </c>
      <c r="F755" s="37" t="s">
        <v>3574</v>
      </c>
      <c r="G755" s="37" t="s">
        <v>3421</v>
      </c>
      <c r="H755" s="35" t="s">
        <v>3419</v>
      </c>
      <c r="I755" s="35" t="s">
        <v>3416</v>
      </c>
      <c r="J755" s="38">
        <v>4.359745222929936</v>
      </c>
      <c r="K755" s="35">
        <v>1</v>
      </c>
      <c r="L755" s="38">
        <f t="shared" si="11"/>
        <v>4.359745222929936</v>
      </c>
      <c r="M755" s="35" t="s">
        <v>11</v>
      </c>
      <c r="N755" s="38"/>
      <c r="O755" s="35" t="s">
        <v>16</v>
      </c>
    </row>
    <row r="756" spans="1:15" x14ac:dyDescent="0.25">
      <c r="A756" s="35">
        <v>1276361160</v>
      </c>
      <c r="B756" s="35" t="s">
        <v>3527</v>
      </c>
      <c r="C756" s="35">
        <v>2026</v>
      </c>
      <c r="D756" s="36">
        <v>46160.420995370368</v>
      </c>
      <c r="E756" s="37" t="s">
        <v>231</v>
      </c>
      <c r="F756" s="37" t="s">
        <v>3573</v>
      </c>
      <c r="G756" s="37" t="s">
        <v>3421</v>
      </c>
      <c r="H756" s="35" t="s">
        <v>3419</v>
      </c>
      <c r="I756" s="35" t="s">
        <v>3416</v>
      </c>
      <c r="J756" s="38">
        <v>4.9047133757961783</v>
      </c>
      <c r="K756" s="35">
        <v>1</v>
      </c>
      <c r="L756" s="38">
        <f t="shared" si="11"/>
        <v>4.9047133757961783</v>
      </c>
      <c r="M756" s="35" t="s">
        <v>11</v>
      </c>
      <c r="N756" s="38"/>
      <c r="O756" s="35" t="s">
        <v>16</v>
      </c>
    </row>
    <row r="757" spans="1:15" x14ac:dyDescent="0.25">
      <c r="A757" s="35">
        <v>1276361133</v>
      </c>
      <c r="B757" s="35" t="s">
        <v>3527</v>
      </c>
      <c r="C757" s="35">
        <v>2026</v>
      </c>
      <c r="D757" s="36">
        <v>46160.420995370368</v>
      </c>
      <c r="E757" s="37" t="s">
        <v>106</v>
      </c>
      <c r="F757" s="37" t="s">
        <v>3580</v>
      </c>
      <c r="G757" s="37" t="s">
        <v>3418</v>
      </c>
      <c r="H757" s="35" t="s">
        <v>3419</v>
      </c>
      <c r="I757" s="35" t="s">
        <v>3416</v>
      </c>
      <c r="J757" s="38">
        <v>8.4333333333333336</v>
      </c>
      <c r="K757" s="35">
        <v>3</v>
      </c>
      <c r="L757" s="38">
        <f t="shared" si="11"/>
        <v>25.3</v>
      </c>
      <c r="M757" s="35" t="s">
        <v>11</v>
      </c>
      <c r="N757" s="38"/>
      <c r="O757" s="35" t="s">
        <v>16</v>
      </c>
    </row>
    <row r="758" spans="1:15" x14ac:dyDescent="0.25">
      <c r="A758" s="35">
        <v>1276350182</v>
      </c>
      <c r="B758" s="35" t="s">
        <v>3527</v>
      </c>
      <c r="C758" s="35">
        <v>2026</v>
      </c>
      <c r="D758" s="36">
        <v>46160.41138888889</v>
      </c>
      <c r="E758" s="37" t="s">
        <v>233</v>
      </c>
      <c r="F758" s="37" t="s">
        <v>3524</v>
      </c>
      <c r="G758" s="37" t="s">
        <v>3421</v>
      </c>
      <c r="H758" s="35" t="s">
        <v>3419</v>
      </c>
      <c r="I758" s="35" t="s">
        <v>3416</v>
      </c>
      <c r="J758" s="38">
        <v>0.73266990291262135</v>
      </c>
      <c r="K758" s="35">
        <v>2</v>
      </c>
      <c r="L758" s="38">
        <f t="shared" si="11"/>
        <v>1.4653398058252427</v>
      </c>
      <c r="M758" s="35" t="s">
        <v>11</v>
      </c>
      <c r="N758" s="38"/>
      <c r="O758" s="35" t="s">
        <v>16</v>
      </c>
    </row>
    <row r="759" spans="1:15" x14ac:dyDescent="0.25">
      <c r="A759" s="35">
        <v>1276350182</v>
      </c>
      <c r="B759" s="35" t="s">
        <v>3527</v>
      </c>
      <c r="C759" s="35">
        <v>2026</v>
      </c>
      <c r="D759" s="36">
        <v>46160.41138888889</v>
      </c>
      <c r="E759" s="37" t="s">
        <v>233</v>
      </c>
      <c r="F759" s="37" t="s">
        <v>3581</v>
      </c>
      <c r="G759" s="37" t="s">
        <v>3421</v>
      </c>
      <c r="H759" s="35" t="s">
        <v>3419</v>
      </c>
      <c r="I759" s="35" t="s">
        <v>3416</v>
      </c>
      <c r="J759" s="38">
        <v>0.68155339805825255</v>
      </c>
      <c r="K759" s="35">
        <v>3</v>
      </c>
      <c r="L759" s="38">
        <f t="shared" si="11"/>
        <v>2.0446601941747575</v>
      </c>
      <c r="M759" s="35" t="s">
        <v>11</v>
      </c>
      <c r="N759" s="38"/>
      <c r="O759" s="35" t="s">
        <v>16</v>
      </c>
    </row>
    <row r="760" spans="1:15" x14ac:dyDescent="0.25">
      <c r="A760" s="35">
        <v>1276349689</v>
      </c>
      <c r="B760" s="35" t="s">
        <v>3527</v>
      </c>
      <c r="C760" s="35">
        <v>2026</v>
      </c>
      <c r="D760" s="36">
        <v>46160.41138888889</v>
      </c>
      <c r="E760" s="37" t="s">
        <v>235</v>
      </c>
      <c r="F760" s="37" t="s">
        <v>3459</v>
      </c>
      <c r="G760" s="37" t="s">
        <v>3418</v>
      </c>
      <c r="H760" s="35" t="s">
        <v>3419</v>
      </c>
      <c r="I760" s="35" t="s">
        <v>3416</v>
      </c>
      <c r="J760" s="38">
        <v>5.6749999999999998</v>
      </c>
      <c r="K760" s="35">
        <v>2</v>
      </c>
      <c r="L760" s="38">
        <f t="shared" si="11"/>
        <v>11.35</v>
      </c>
      <c r="M760" s="35" t="s">
        <v>11</v>
      </c>
      <c r="N760" s="38"/>
      <c r="O760" s="35" t="s">
        <v>16</v>
      </c>
    </row>
    <row r="761" spans="1:15" x14ac:dyDescent="0.25">
      <c r="A761" s="35">
        <v>1276288887</v>
      </c>
      <c r="B761" s="35" t="s">
        <v>3527</v>
      </c>
      <c r="C761" s="35">
        <v>2026</v>
      </c>
      <c r="D761" s="36">
        <v>46159.898784722223</v>
      </c>
      <c r="E761" s="37" t="s">
        <v>237</v>
      </c>
      <c r="F761" s="37" t="s">
        <v>3567</v>
      </c>
      <c r="G761" s="37" t="s">
        <v>3421</v>
      </c>
      <c r="H761" s="35" t="s">
        <v>3415</v>
      </c>
      <c r="I761" s="35" t="s">
        <v>3416</v>
      </c>
      <c r="J761" s="38">
        <v>8.4498150887573971</v>
      </c>
      <c r="K761" s="35">
        <v>4</v>
      </c>
      <c r="L761" s="38">
        <f t="shared" si="11"/>
        <v>33.799260355029588</v>
      </c>
      <c r="M761" s="35" t="s">
        <v>11</v>
      </c>
      <c r="N761" s="38"/>
      <c r="O761" s="35" t="s">
        <v>16</v>
      </c>
    </row>
    <row r="762" spans="1:15" x14ac:dyDescent="0.25">
      <c r="A762" s="35">
        <v>1276288887</v>
      </c>
      <c r="B762" s="35" t="s">
        <v>3527</v>
      </c>
      <c r="C762" s="35">
        <v>2026</v>
      </c>
      <c r="D762" s="36">
        <v>46159.898784722223</v>
      </c>
      <c r="E762" s="37" t="s">
        <v>237</v>
      </c>
      <c r="F762" s="37" t="s">
        <v>3566</v>
      </c>
      <c r="G762" s="37" t="s">
        <v>3421</v>
      </c>
      <c r="H762" s="35" t="s">
        <v>3415</v>
      </c>
      <c r="I762" s="35" t="s">
        <v>3416</v>
      </c>
      <c r="J762" s="38">
        <v>9.5126849112426033</v>
      </c>
      <c r="K762" s="35">
        <v>4</v>
      </c>
      <c r="L762" s="38">
        <f t="shared" si="11"/>
        <v>38.050739644970413</v>
      </c>
      <c r="M762" s="35" t="s">
        <v>11</v>
      </c>
      <c r="N762" s="38"/>
      <c r="O762" s="35" t="s">
        <v>16</v>
      </c>
    </row>
    <row r="763" spans="1:15" x14ac:dyDescent="0.25">
      <c r="A763" s="35">
        <v>1276247604</v>
      </c>
      <c r="B763" s="35" t="s">
        <v>3527</v>
      </c>
      <c r="C763" s="35">
        <v>2026</v>
      </c>
      <c r="D763" s="36">
        <v>46159.785844907397</v>
      </c>
      <c r="E763" s="37" t="s">
        <v>240</v>
      </c>
      <c r="F763" s="37" t="s">
        <v>3582</v>
      </c>
      <c r="G763" s="37" t="s">
        <v>3435</v>
      </c>
      <c r="H763" s="35" t="s">
        <v>3419</v>
      </c>
      <c r="I763" s="35" t="s">
        <v>3416</v>
      </c>
      <c r="J763" s="38">
        <v>19.95</v>
      </c>
      <c r="K763" s="35">
        <v>1</v>
      </c>
      <c r="L763" s="38">
        <f t="shared" si="11"/>
        <v>19.95</v>
      </c>
      <c r="M763" s="35" t="s">
        <v>11</v>
      </c>
      <c r="N763" s="38"/>
      <c r="O763" s="35" t="s">
        <v>16</v>
      </c>
    </row>
    <row r="764" spans="1:15" x14ac:dyDescent="0.25">
      <c r="A764" s="35">
        <v>1276247424</v>
      </c>
      <c r="B764" s="35" t="s">
        <v>3527</v>
      </c>
      <c r="C764" s="35">
        <v>2026</v>
      </c>
      <c r="D764" s="36">
        <v>46159.785844907397</v>
      </c>
      <c r="E764" s="37" t="s">
        <v>242</v>
      </c>
      <c r="F764" s="37" t="s">
        <v>3582</v>
      </c>
      <c r="G764" s="37" t="s">
        <v>3435</v>
      </c>
      <c r="H764" s="35" t="s">
        <v>3419</v>
      </c>
      <c r="I764" s="35" t="s">
        <v>3416</v>
      </c>
      <c r="J764" s="38">
        <v>20.350000000000001</v>
      </c>
      <c r="K764" s="35">
        <v>1</v>
      </c>
      <c r="L764" s="38">
        <f t="shared" si="11"/>
        <v>20.350000000000001</v>
      </c>
      <c r="M764" s="35" t="s">
        <v>11</v>
      </c>
      <c r="N764" s="38"/>
      <c r="O764" s="35" t="s">
        <v>16</v>
      </c>
    </row>
    <row r="765" spans="1:15" x14ac:dyDescent="0.25">
      <c r="A765" s="35">
        <v>1276244956</v>
      </c>
      <c r="B765" s="35" t="s">
        <v>3527</v>
      </c>
      <c r="C765" s="35">
        <v>2026</v>
      </c>
      <c r="D765" s="36">
        <v>46159.785844907397</v>
      </c>
      <c r="E765" s="37" t="s">
        <v>8</v>
      </c>
      <c r="F765" s="37" t="s">
        <v>3582</v>
      </c>
      <c r="G765" s="37" t="s">
        <v>3435</v>
      </c>
      <c r="H765" s="35" t="s">
        <v>3419</v>
      </c>
      <c r="I765" s="35" t="s">
        <v>3416</v>
      </c>
      <c r="J765" s="38">
        <v>24.75</v>
      </c>
      <c r="K765" s="35">
        <v>1</v>
      </c>
      <c r="L765" s="38">
        <f t="shared" si="11"/>
        <v>24.75</v>
      </c>
      <c r="M765" s="42" t="s">
        <v>11</v>
      </c>
      <c r="N765" s="38"/>
      <c r="O765" s="35" t="s">
        <v>16</v>
      </c>
    </row>
    <row r="766" spans="1:15" x14ac:dyDescent="0.25">
      <c r="A766" s="35">
        <v>1276244802</v>
      </c>
      <c r="B766" s="35" t="s">
        <v>3527</v>
      </c>
      <c r="C766" s="35">
        <v>2026</v>
      </c>
      <c r="D766" s="36">
        <v>46159.785844907397</v>
      </c>
      <c r="E766" s="37" t="s">
        <v>35</v>
      </c>
      <c r="F766" s="37" t="s">
        <v>3583</v>
      </c>
      <c r="G766" s="37" t="s">
        <v>3418</v>
      </c>
      <c r="H766" s="35" t="s">
        <v>3419</v>
      </c>
      <c r="I766" s="35" t="s">
        <v>3416</v>
      </c>
      <c r="J766" s="38">
        <v>1.9633333333333329</v>
      </c>
      <c r="K766" s="35">
        <v>3</v>
      </c>
      <c r="L766" s="38">
        <f t="shared" si="11"/>
        <v>5.8899999999999988</v>
      </c>
      <c r="M766" s="35" t="s">
        <v>11</v>
      </c>
      <c r="N766" s="38"/>
      <c r="O766" s="35" t="s">
        <v>16</v>
      </c>
    </row>
    <row r="767" spans="1:15" x14ac:dyDescent="0.25">
      <c r="A767" s="35">
        <v>1276238993</v>
      </c>
      <c r="B767" s="35" t="s">
        <v>3527</v>
      </c>
      <c r="C767" s="35">
        <v>2026</v>
      </c>
      <c r="D767" s="36">
        <v>46159.764386574083</v>
      </c>
      <c r="E767" s="37" t="s">
        <v>247</v>
      </c>
      <c r="F767" s="37" t="s">
        <v>3584</v>
      </c>
      <c r="G767" s="37" t="s">
        <v>3435</v>
      </c>
      <c r="H767" s="35" t="s">
        <v>3419</v>
      </c>
      <c r="I767" s="35" t="s">
        <v>3416</v>
      </c>
      <c r="J767" s="38">
        <v>1.6358547008547011</v>
      </c>
      <c r="K767" s="35">
        <v>1</v>
      </c>
      <c r="L767" s="38">
        <f t="shared" si="11"/>
        <v>1.6358547008547011</v>
      </c>
      <c r="M767" s="35" t="s">
        <v>11</v>
      </c>
      <c r="N767" s="38"/>
      <c r="O767" s="35" t="s">
        <v>16</v>
      </c>
    </row>
    <row r="768" spans="1:15" x14ac:dyDescent="0.25">
      <c r="A768" s="35">
        <v>1276238993</v>
      </c>
      <c r="B768" s="35" t="s">
        <v>3527</v>
      </c>
      <c r="C768" s="35">
        <v>2026</v>
      </c>
      <c r="D768" s="36">
        <v>46159.764386574083</v>
      </c>
      <c r="E768" s="37" t="s">
        <v>247</v>
      </c>
      <c r="F768" s="37" t="s">
        <v>3585</v>
      </c>
      <c r="G768" s="37" t="s">
        <v>3435</v>
      </c>
      <c r="H768" s="35" t="s">
        <v>3419</v>
      </c>
      <c r="I768" s="35" t="s">
        <v>3416</v>
      </c>
      <c r="J768" s="38">
        <v>0.92320512820512812</v>
      </c>
      <c r="K768" s="35">
        <v>1</v>
      </c>
      <c r="L768" s="38">
        <f t="shared" si="11"/>
        <v>0.92320512820512812</v>
      </c>
      <c r="M768" s="35" t="s">
        <v>11</v>
      </c>
      <c r="N768" s="38"/>
      <c r="O768" s="35" t="s">
        <v>16</v>
      </c>
    </row>
    <row r="769" spans="1:15" x14ac:dyDescent="0.25">
      <c r="A769" s="35">
        <v>1276238993</v>
      </c>
      <c r="B769" s="35" t="s">
        <v>3527</v>
      </c>
      <c r="C769" s="35">
        <v>2026</v>
      </c>
      <c r="D769" s="36">
        <v>46159.764386574083</v>
      </c>
      <c r="E769" s="37" t="s">
        <v>247</v>
      </c>
      <c r="F769" s="37" t="s">
        <v>3525</v>
      </c>
      <c r="G769" s="37" t="s">
        <v>3435</v>
      </c>
      <c r="H769" s="35" t="s">
        <v>3419</v>
      </c>
      <c r="I769" s="35" t="s">
        <v>3416</v>
      </c>
      <c r="J769" s="38">
        <v>0.61547008547008542</v>
      </c>
      <c r="K769" s="35">
        <v>2</v>
      </c>
      <c r="L769" s="38">
        <f t="shared" si="11"/>
        <v>1.2309401709401708</v>
      </c>
      <c r="M769" s="35" t="s">
        <v>11</v>
      </c>
      <c r="N769" s="38"/>
      <c r="O769" s="35" t="s">
        <v>16</v>
      </c>
    </row>
    <row r="770" spans="1:15" x14ac:dyDescent="0.25">
      <c r="A770" s="35">
        <v>1276219583</v>
      </c>
      <c r="B770" s="35" t="s">
        <v>3527</v>
      </c>
      <c r="C770" s="35">
        <v>2026</v>
      </c>
      <c r="D770" s="36">
        <v>46159.764386574083</v>
      </c>
      <c r="E770" s="37" t="s">
        <v>249</v>
      </c>
      <c r="F770" s="37" t="s">
        <v>3523</v>
      </c>
      <c r="G770" s="37" t="s">
        <v>3418</v>
      </c>
      <c r="H770" s="35" t="s">
        <v>3419</v>
      </c>
      <c r="I770" s="35" t="s">
        <v>3416</v>
      </c>
      <c r="J770" s="38">
        <v>0.58333333333333337</v>
      </c>
      <c r="K770" s="35">
        <v>3</v>
      </c>
      <c r="L770" s="38">
        <f t="shared" ref="L770:L833" si="12">J770*K770</f>
        <v>1.75</v>
      </c>
      <c r="M770" s="35" t="s">
        <v>11</v>
      </c>
      <c r="N770" s="38"/>
      <c r="O770" s="35" t="s">
        <v>16</v>
      </c>
    </row>
    <row r="771" spans="1:15" x14ac:dyDescent="0.25">
      <c r="A771" s="35">
        <v>1276219580</v>
      </c>
      <c r="B771" s="35" t="s">
        <v>3527</v>
      </c>
      <c r="C771" s="35">
        <v>2026</v>
      </c>
      <c r="D771" s="36">
        <v>46159.764386574083</v>
      </c>
      <c r="E771" s="37" t="s">
        <v>253</v>
      </c>
      <c r="F771" s="37" t="s">
        <v>3586</v>
      </c>
      <c r="G771" s="37" t="s">
        <v>3418</v>
      </c>
      <c r="H771" s="35" t="s">
        <v>3419</v>
      </c>
      <c r="I771" s="35" t="s">
        <v>3416</v>
      </c>
      <c r="J771" s="38">
        <v>3.6362704918032791</v>
      </c>
      <c r="K771" s="35">
        <v>1</v>
      </c>
      <c r="L771" s="38">
        <f t="shared" si="12"/>
        <v>3.6362704918032791</v>
      </c>
      <c r="M771" s="35" t="s">
        <v>11</v>
      </c>
      <c r="N771" s="38"/>
      <c r="O771" s="35" t="s">
        <v>16</v>
      </c>
    </row>
    <row r="772" spans="1:15" x14ac:dyDescent="0.25">
      <c r="A772" s="35">
        <v>1276219580</v>
      </c>
      <c r="B772" s="35" t="s">
        <v>3527</v>
      </c>
      <c r="C772" s="35">
        <v>2026</v>
      </c>
      <c r="D772" s="36">
        <v>46159.764386574083</v>
      </c>
      <c r="E772" s="37" t="s">
        <v>253</v>
      </c>
      <c r="F772" s="37" t="s">
        <v>3587</v>
      </c>
      <c r="G772" s="37" t="s">
        <v>3418</v>
      </c>
      <c r="H772" s="35" t="s">
        <v>3419</v>
      </c>
      <c r="I772" s="35" t="s">
        <v>3416</v>
      </c>
      <c r="J772" s="38">
        <v>3.915983606557377</v>
      </c>
      <c r="K772" s="35">
        <v>2</v>
      </c>
      <c r="L772" s="38">
        <f t="shared" si="12"/>
        <v>7.831967213114754</v>
      </c>
      <c r="M772" s="35" t="s">
        <v>11</v>
      </c>
      <c r="N772" s="38"/>
      <c r="O772" s="35" t="s">
        <v>16</v>
      </c>
    </row>
    <row r="773" spans="1:15" x14ac:dyDescent="0.25">
      <c r="A773" s="35">
        <v>1276219580</v>
      </c>
      <c r="B773" s="35" t="s">
        <v>3527</v>
      </c>
      <c r="C773" s="35">
        <v>2026</v>
      </c>
      <c r="D773" s="36">
        <v>46159.764386574083</v>
      </c>
      <c r="E773" s="37" t="s">
        <v>253</v>
      </c>
      <c r="F773" s="37" t="s">
        <v>3588</v>
      </c>
      <c r="G773" s="37" t="s">
        <v>3418</v>
      </c>
      <c r="H773" s="35" t="s">
        <v>3419</v>
      </c>
      <c r="I773" s="35" t="s">
        <v>3416</v>
      </c>
      <c r="J773" s="38">
        <v>2.1817622950819668</v>
      </c>
      <c r="K773" s="35">
        <v>1</v>
      </c>
      <c r="L773" s="38">
        <f t="shared" si="12"/>
        <v>2.1817622950819668</v>
      </c>
      <c r="M773" s="35" t="s">
        <v>11</v>
      </c>
      <c r="N773" s="38"/>
      <c r="O773" s="35" t="s">
        <v>16</v>
      </c>
    </row>
    <row r="774" spans="1:15" x14ac:dyDescent="0.25">
      <c r="A774" s="35">
        <v>1276219579</v>
      </c>
      <c r="B774" s="35" t="s">
        <v>3527</v>
      </c>
      <c r="C774" s="35">
        <v>2026</v>
      </c>
      <c r="D774" s="36">
        <v>46159.764386574083</v>
      </c>
      <c r="E774" s="37" t="s">
        <v>255</v>
      </c>
      <c r="F774" s="37" t="s">
        <v>3589</v>
      </c>
      <c r="G774" s="37" t="s">
        <v>3418</v>
      </c>
      <c r="H774" s="35" t="s">
        <v>3419</v>
      </c>
      <c r="I774" s="35" t="s">
        <v>3416</v>
      </c>
      <c r="J774" s="38">
        <v>3.45</v>
      </c>
      <c r="K774" s="35">
        <v>1</v>
      </c>
      <c r="L774" s="38">
        <f t="shared" si="12"/>
        <v>3.45</v>
      </c>
      <c r="M774" s="35" t="s">
        <v>11</v>
      </c>
      <c r="N774" s="38"/>
      <c r="O774" s="35" t="s">
        <v>16</v>
      </c>
    </row>
    <row r="775" spans="1:15" x14ac:dyDescent="0.25">
      <c r="A775" s="35">
        <v>1276219576</v>
      </c>
      <c r="B775" s="35" t="s">
        <v>3527</v>
      </c>
      <c r="C775" s="35">
        <v>2026</v>
      </c>
      <c r="D775" s="36">
        <v>46159.764386574083</v>
      </c>
      <c r="E775" s="37" t="s">
        <v>257</v>
      </c>
      <c r="F775" s="37" t="s">
        <v>3590</v>
      </c>
      <c r="G775" s="37" t="s">
        <v>3421</v>
      </c>
      <c r="H775" s="35" t="s">
        <v>3419</v>
      </c>
      <c r="I775" s="35" t="s">
        <v>3416</v>
      </c>
      <c r="J775" s="38">
        <v>1.183544303797468</v>
      </c>
      <c r="K775" s="35">
        <v>3</v>
      </c>
      <c r="L775" s="38">
        <f t="shared" si="12"/>
        <v>3.550632911392404</v>
      </c>
      <c r="M775" s="35" t="s">
        <v>11</v>
      </c>
      <c r="N775" s="38"/>
      <c r="O775" s="35" t="s">
        <v>16</v>
      </c>
    </row>
    <row r="776" spans="1:15" x14ac:dyDescent="0.25">
      <c r="A776" s="35">
        <v>1276219576</v>
      </c>
      <c r="B776" s="35" t="s">
        <v>3527</v>
      </c>
      <c r="C776" s="35">
        <v>2026</v>
      </c>
      <c r="D776" s="36">
        <v>46159.764386574083</v>
      </c>
      <c r="E776" s="37" t="s">
        <v>257</v>
      </c>
      <c r="F776" s="37" t="s">
        <v>3591</v>
      </c>
      <c r="G776" s="37" t="s">
        <v>3421</v>
      </c>
      <c r="H776" s="35" t="s">
        <v>3419</v>
      </c>
      <c r="I776" s="35" t="s">
        <v>3416</v>
      </c>
      <c r="J776" s="38">
        <v>2.899683544303798</v>
      </c>
      <c r="K776" s="35">
        <v>2</v>
      </c>
      <c r="L776" s="38">
        <f t="shared" si="12"/>
        <v>5.7993670886075961</v>
      </c>
      <c r="M776" s="35" t="s">
        <v>11</v>
      </c>
      <c r="N776" s="38"/>
      <c r="O776" s="35" t="s">
        <v>16</v>
      </c>
    </row>
    <row r="777" spans="1:15" x14ac:dyDescent="0.25">
      <c r="A777" s="35">
        <v>1276219574</v>
      </c>
      <c r="B777" s="35" t="s">
        <v>3527</v>
      </c>
      <c r="C777" s="35">
        <v>2026</v>
      </c>
      <c r="D777" s="36">
        <v>46159.764386574083</v>
      </c>
      <c r="E777" s="37" t="s">
        <v>259</v>
      </c>
      <c r="F777" s="37" t="s">
        <v>3591</v>
      </c>
      <c r="G777" s="37" t="s">
        <v>3421</v>
      </c>
      <c r="H777" s="35" t="s">
        <v>3419</v>
      </c>
      <c r="I777" s="35" t="s">
        <v>3416</v>
      </c>
      <c r="J777" s="38">
        <v>3.45</v>
      </c>
      <c r="K777" s="35">
        <v>1</v>
      </c>
      <c r="L777" s="38">
        <f t="shared" si="12"/>
        <v>3.45</v>
      </c>
      <c r="M777" s="35" t="s">
        <v>11</v>
      </c>
      <c r="N777" s="38"/>
      <c r="O777" s="35" t="s">
        <v>16</v>
      </c>
    </row>
    <row r="778" spans="1:15" x14ac:dyDescent="0.25">
      <c r="A778" s="35">
        <v>1276219573</v>
      </c>
      <c r="B778" s="35" t="s">
        <v>3527</v>
      </c>
      <c r="C778" s="35">
        <v>2026</v>
      </c>
      <c r="D778" s="36">
        <v>46159.764386574083</v>
      </c>
      <c r="E778" s="37" t="s">
        <v>261</v>
      </c>
      <c r="F778" s="37" t="s">
        <v>3586</v>
      </c>
      <c r="G778" s="37" t="s">
        <v>3418</v>
      </c>
      <c r="H778" s="35" t="s">
        <v>3419</v>
      </c>
      <c r="I778" s="35" t="s">
        <v>3416</v>
      </c>
      <c r="J778" s="38">
        <v>4.2807692307692307</v>
      </c>
      <c r="K778" s="35">
        <v>1</v>
      </c>
      <c r="L778" s="38">
        <f t="shared" si="12"/>
        <v>4.2807692307692307</v>
      </c>
      <c r="M778" s="35" t="s">
        <v>11</v>
      </c>
      <c r="N778" s="38"/>
      <c r="O778" s="35" t="s">
        <v>16</v>
      </c>
    </row>
    <row r="779" spans="1:15" x14ac:dyDescent="0.25">
      <c r="A779" s="35">
        <v>1276219573</v>
      </c>
      <c r="B779" s="35" t="s">
        <v>3527</v>
      </c>
      <c r="C779" s="35">
        <v>2026</v>
      </c>
      <c r="D779" s="36">
        <v>46159.764386574083</v>
      </c>
      <c r="E779" s="37" t="s">
        <v>261</v>
      </c>
      <c r="F779" s="37" t="s">
        <v>3589</v>
      </c>
      <c r="G779" s="37" t="s">
        <v>3418</v>
      </c>
      <c r="H779" s="35" t="s">
        <v>3419</v>
      </c>
      <c r="I779" s="35" t="s">
        <v>3416</v>
      </c>
      <c r="J779" s="38">
        <v>3.6692307692307691</v>
      </c>
      <c r="K779" s="35">
        <v>1</v>
      </c>
      <c r="L779" s="38">
        <f t="shared" si="12"/>
        <v>3.6692307692307691</v>
      </c>
      <c r="M779" s="35" t="s">
        <v>11</v>
      </c>
      <c r="N779" s="38"/>
      <c r="O779" s="35" t="s">
        <v>16</v>
      </c>
    </row>
    <row r="780" spans="1:15" x14ac:dyDescent="0.25">
      <c r="A780" s="35">
        <v>1276219569</v>
      </c>
      <c r="B780" s="35" t="s">
        <v>3527</v>
      </c>
      <c r="C780" s="35">
        <v>2026</v>
      </c>
      <c r="D780" s="36">
        <v>46159.764386574083</v>
      </c>
      <c r="E780" s="37" t="s">
        <v>19</v>
      </c>
      <c r="F780" s="37" t="s">
        <v>3588</v>
      </c>
      <c r="G780" s="37" t="s">
        <v>3418</v>
      </c>
      <c r="H780" s="35" t="s">
        <v>3419</v>
      </c>
      <c r="I780" s="35" t="s">
        <v>3416</v>
      </c>
      <c r="J780" s="38">
        <v>1.521970954356846</v>
      </c>
      <c r="K780" s="35">
        <v>1</v>
      </c>
      <c r="L780" s="38">
        <f t="shared" si="12"/>
        <v>1.521970954356846</v>
      </c>
      <c r="M780" s="35" t="s">
        <v>11</v>
      </c>
      <c r="N780" s="38"/>
      <c r="O780" s="35" t="s">
        <v>16</v>
      </c>
    </row>
    <row r="781" spans="1:15" x14ac:dyDescent="0.25">
      <c r="A781" s="35">
        <v>1276219569</v>
      </c>
      <c r="B781" s="35" t="s">
        <v>3527</v>
      </c>
      <c r="C781" s="35">
        <v>2026</v>
      </c>
      <c r="D781" s="36">
        <v>46159.764386574083</v>
      </c>
      <c r="E781" s="37" t="s">
        <v>19</v>
      </c>
      <c r="F781" s="37" t="s">
        <v>3587</v>
      </c>
      <c r="G781" s="37" t="s">
        <v>3418</v>
      </c>
      <c r="H781" s="35" t="s">
        <v>3419</v>
      </c>
      <c r="I781" s="35" t="s">
        <v>3416</v>
      </c>
      <c r="J781" s="38">
        <v>3.7984232365145232</v>
      </c>
      <c r="K781" s="35">
        <v>1</v>
      </c>
      <c r="L781" s="38">
        <f t="shared" si="12"/>
        <v>3.7984232365145232</v>
      </c>
      <c r="M781" s="35" t="s">
        <v>11</v>
      </c>
      <c r="N781" s="38"/>
      <c r="O781" s="35" t="s">
        <v>16</v>
      </c>
    </row>
    <row r="782" spans="1:15" x14ac:dyDescent="0.25">
      <c r="A782" s="35">
        <v>1276219569</v>
      </c>
      <c r="B782" s="35" t="s">
        <v>3527</v>
      </c>
      <c r="C782" s="35">
        <v>2026</v>
      </c>
      <c r="D782" s="36">
        <v>46159.764386574083</v>
      </c>
      <c r="E782" s="37" t="s">
        <v>19</v>
      </c>
      <c r="F782" s="37" t="s">
        <v>3592</v>
      </c>
      <c r="G782" s="37" t="s">
        <v>3418</v>
      </c>
      <c r="H782" s="35" t="s">
        <v>3419</v>
      </c>
      <c r="I782" s="35" t="s">
        <v>3416</v>
      </c>
      <c r="J782" s="38">
        <v>0.94960580912863068</v>
      </c>
      <c r="K782" s="35">
        <v>1</v>
      </c>
      <c r="L782" s="38">
        <f t="shared" si="12"/>
        <v>0.94960580912863068</v>
      </c>
      <c r="M782" s="35" t="s">
        <v>11</v>
      </c>
      <c r="N782" s="38"/>
      <c r="O782" s="35" t="s">
        <v>16</v>
      </c>
    </row>
    <row r="783" spans="1:15" x14ac:dyDescent="0.25">
      <c r="A783" s="35">
        <v>1276219568</v>
      </c>
      <c r="B783" s="35" t="s">
        <v>3527</v>
      </c>
      <c r="C783" s="35">
        <v>2026</v>
      </c>
      <c r="D783" s="36">
        <v>46159.764386574083</v>
      </c>
      <c r="E783" s="37" t="s">
        <v>264</v>
      </c>
      <c r="F783" s="37" t="s">
        <v>3593</v>
      </c>
      <c r="G783" s="37" t="s">
        <v>3435</v>
      </c>
      <c r="H783" s="35" t="s">
        <v>3419</v>
      </c>
      <c r="I783" s="35" t="s">
        <v>3416</v>
      </c>
      <c r="J783" s="38">
        <v>2.04</v>
      </c>
      <c r="K783" s="35">
        <v>1</v>
      </c>
      <c r="L783" s="38">
        <f t="shared" si="12"/>
        <v>2.04</v>
      </c>
      <c r="M783" s="35" t="s">
        <v>11</v>
      </c>
      <c r="N783" s="38"/>
      <c r="O783" s="35" t="s">
        <v>16</v>
      </c>
    </row>
    <row r="784" spans="1:15" x14ac:dyDescent="0.25">
      <c r="A784" s="35">
        <v>1276219568</v>
      </c>
      <c r="B784" s="35" t="s">
        <v>3527</v>
      </c>
      <c r="C784" s="35">
        <v>2026</v>
      </c>
      <c r="D784" s="36">
        <v>46159.764386574083</v>
      </c>
      <c r="E784" s="37" t="s">
        <v>264</v>
      </c>
      <c r="F784" s="37" t="s">
        <v>3594</v>
      </c>
      <c r="G784" s="37" t="s">
        <v>3595</v>
      </c>
      <c r="H784" s="35" t="s">
        <v>3419</v>
      </c>
      <c r="I784" s="35" t="s">
        <v>3416</v>
      </c>
      <c r="J784" s="38">
        <v>8.16</v>
      </c>
      <c r="K784" s="35">
        <v>1</v>
      </c>
      <c r="L784" s="38">
        <f t="shared" si="12"/>
        <v>8.16</v>
      </c>
      <c r="M784" s="35" t="s">
        <v>11</v>
      </c>
      <c r="N784" s="38"/>
      <c r="O784" s="35" t="s">
        <v>12</v>
      </c>
    </row>
    <row r="785" spans="1:15" x14ac:dyDescent="0.25">
      <c r="A785" s="35">
        <v>1276219564</v>
      </c>
      <c r="B785" s="35" t="s">
        <v>3527</v>
      </c>
      <c r="C785" s="35">
        <v>2026</v>
      </c>
      <c r="D785" s="36">
        <v>46159.764386574083</v>
      </c>
      <c r="E785" s="37" t="s">
        <v>267</v>
      </c>
      <c r="F785" s="37" t="s">
        <v>3593</v>
      </c>
      <c r="G785" s="37" t="s">
        <v>3435</v>
      </c>
      <c r="H785" s="35" t="s">
        <v>3419</v>
      </c>
      <c r="I785" s="35" t="s">
        <v>3416</v>
      </c>
      <c r="J785" s="38">
        <v>4.4400000000000004</v>
      </c>
      <c r="K785" s="35">
        <v>1</v>
      </c>
      <c r="L785" s="38">
        <f t="shared" si="12"/>
        <v>4.4400000000000004</v>
      </c>
      <c r="M785" s="35" t="s">
        <v>11</v>
      </c>
      <c r="N785" s="38"/>
      <c r="O785" s="35" t="s">
        <v>16</v>
      </c>
    </row>
    <row r="786" spans="1:15" x14ac:dyDescent="0.25">
      <c r="A786" s="35">
        <v>1276219563</v>
      </c>
      <c r="B786" s="35" t="s">
        <v>3527</v>
      </c>
      <c r="C786" s="35">
        <v>2026</v>
      </c>
      <c r="D786" s="36">
        <v>46159.764386574083</v>
      </c>
      <c r="E786" s="37" t="s">
        <v>269</v>
      </c>
      <c r="F786" s="37" t="s">
        <v>3596</v>
      </c>
      <c r="G786" s="37" t="s">
        <v>3418</v>
      </c>
      <c r="H786" s="35" t="s">
        <v>3419</v>
      </c>
      <c r="I786" s="35" t="s">
        <v>3416</v>
      </c>
      <c r="J786" s="38">
        <v>8.6999999999999993</v>
      </c>
      <c r="K786" s="35">
        <v>1</v>
      </c>
      <c r="L786" s="38">
        <f t="shared" si="12"/>
        <v>8.6999999999999993</v>
      </c>
      <c r="M786" s="35" t="s">
        <v>11</v>
      </c>
      <c r="N786" s="38"/>
      <c r="O786" s="35" t="s">
        <v>16</v>
      </c>
    </row>
    <row r="787" spans="1:15" x14ac:dyDescent="0.25">
      <c r="A787" s="35">
        <v>1276219562</v>
      </c>
      <c r="B787" s="35" t="s">
        <v>3527</v>
      </c>
      <c r="C787" s="35">
        <v>2026</v>
      </c>
      <c r="D787" s="36">
        <v>46159.764386574083</v>
      </c>
      <c r="E787" s="37" t="s">
        <v>43</v>
      </c>
      <c r="F787" s="37" t="s">
        <v>3597</v>
      </c>
      <c r="G787" s="37" t="s">
        <v>3418</v>
      </c>
      <c r="H787" s="35" t="s">
        <v>3419</v>
      </c>
      <c r="I787" s="35" t="s">
        <v>3416</v>
      </c>
      <c r="J787" s="38">
        <v>1.4833333333333329</v>
      </c>
      <c r="K787" s="35">
        <v>3</v>
      </c>
      <c r="L787" s="38">
        <f t="shared" si="12"/>
        <v>4.4499999999999993</v>
      </c>
      <c r="M787" s="35" t="s">
        <v>11</v>
      </c>
      <c r="N787" s="38"/>
      <c r="O787" s="35" t="s">
        <v>16</v>
      </c>
    </row>
    <row r="788" spans="1:15" x14ac:dyDescent="0.25">
      <c r="A788" s="35">
        <v>1276219561</v>
      </c>
      <c r="B788" s="35" t="s">
        <v>3527</v>
      </c>
      <c r="C788" s="35">
        <v>2026</v>
      </c>
      <c r="D788" s="36">
        <v>46159.764386574083</v>
      </c>
      <c r="E788" s="37" t="s">
        <v>271</v>
      </c>
      <c r="F788" s="37" t="s">
        <v>3593</v>
      </c>
      <c r="G788" s="37" t="s">
        <v>3435</v>
      </c>
      <c r="H788" s="35" t="s">
        <v>3419</v>
      </c>
      <c r="I788" s="35" t="s">
        <v>3416</v>
      </c>
      <c r="J788" s="38">
        <v>4.1900000000000004</v>
      </c>
      <c r="K788" s="35">
        <v>1</v>
      </c>
      <c r="L788" s="38">
        <f t="shared" si="12"/>
        <v>4.1900000000000004</v>
      </c>
      <c r="M788" s="35" t="s">
        <v>11</v>
      </c>
      <c r="N788" s="38"/>
      <c r="O788" s="35" t="s">
        <v>16</v>
      </c>
    </row>
    <row r="789" spans="1:15" x14ac:dyDescent="0.25">
      <c r="A789" s="35">
        <v>1276219560</v>
      </c>
      <c r="B789" s="35" t="s">
        <v>3527</v>
      </c>
      <c r="C789" s="35">
        <v>2026</v>
      </c>
      <c r="D789" s="36">
        <v>46159.764386574083</v>
      </c>
      <c r="E789" s="37" t="s">
        <v>173</v>
      </c>
      <c r="F789" s="37" t="s">
        <v>3584</v>
      </c>
      <c r="G789" s="37" t="s">
        <v>3435</v>
      </c>
      <c r="H789" s="35" t="s">
        <v>3419</v>
      </c>
      <c r="I789" s="35" t="s">
        <v>3416</v>
      </c>
      <c r="J789" s="38">
        <v>1.717834394904459</v>
      </c>
      <c r="K789" s="35">
        <v>2</v>
      </c>
      <c r="L789" s="38">
        <f t="shared" si="12"/>
        <v>3.435668789808918</v>
      </c>
      <c r="M789" s="35" t="s">
        <v>11</v>
      </c>
      <c r="N789" s="38"/>
      <c r="O789" s="35" t="s">
        <v>16</v>
      </c>
    </row>
    <row r="790" spans="1:15" x14ac:dyDescent="0.25">
      <c r="A790" s="35">
        <v>1276219560</v>
      </c>
      <c r="B790" s="35" t="s">
        <v>3527</v>
      </c>
      <c r="C790" s="35">
        <v>2026</v>
      </c>
      <c r="D790" s="36">
        <v>46159.764386574083</v>
      </c>
      <c r="E790" s="37" t="s">
        <v>173</v>
      </c>
      <c r="F790" s="37" t="s">
        <v>3598</v>
      </c>
      <c r="G790" s="37" t="s">
        <v>3435</v>
      </c>
      <c r="H790" s="35" t="s">
        <v>3419</v>
      </c>
      <c r="I790" s="35" t="s">
        <v>3416</v>
      </c>
      <c r="J790" s="38">
        <v>1.9547770700636939</v>
      </c>
      <c r="K790" s="35">
        <v>3</v>
      </c>
      <c r="L790" s="38">
        <f t="shared" si="12"/>
        <v>5.8643312101910823</v>
      </c>
      <c r="M790" s="35" t="s">
        <v>11</v>
      </c>
      <c r="N790" s="38"/>
      <c r="O790" s="35" t="s">
        <v>16</v>
      </c>
    </row>
    <row r="791" spans="1:15" x14ac:dyDescent="0.25">
      <c r="A791" s="35">
        <v>1276219554</v>
      </c>
      <c r="B791" s="35" t="s">
        <v>3527</v>
      </c>
      <c r="C791" s="35">
        <v>2026</v>
      </c>
      <c r="D791" s="36">
        <v>46159.764386574083</v>
      </c>
      <c r="E791" s="37" t="s">
        <v>273</v>
      </c>
      <c r="F791" s="37" t="s">
        <v>3555</v>
      </c>
      <c r="G791" s="37" t="s">
        <v>3418</v>
      </c>
      <c r="H791" s="35" t="s">
        <v>3419</v>
      </c>
      <c r="I791" s="35" t="s">
        <v>3416</v>
      </c>
      <c r="J791" s="38">
        <v>0.98333333333333339</v>
      </c>
      <c r="K791" s="35">
        <v>2</v>
      </c>
      <c r="L791" s="38">
        <f t="shared" si="12"/>
        <v>1.9666666666666668</v>
      </c>
      <c r="M791" s="35" t="s">
        <v>11</v>
      </c>
      <c r="N791" s="38"/>
      <c r="O791" s="35" t="s">
        <v>16</v>
      </c>
    </row>
    <row r="792" spans="1:15" x14ac:dyDescent="0.25">
      <c r="A792" s="35">
        <v>1276219554</v>
      </c>
      <c r="B792" s="35" t="s">
        <v>3527</v>
      </c>
      <c r="C792" s="35">
        <v>2026</v>
      </c>
      <c r="D792" s="36">
        <v>46159.764386574083</v>
      </c>
      <c r="E792" s="37" t="s">
        <v>273</v>
      </c>
      <c r="F792" s="37" t="s">
        <v>3585</v>
      </c>
      <c r="G792" s="37" t="s">
        <v>3435</v>
      </c>
      <c r="H792" s="35" t="s">
        <v>3419</v>
      </c>
      <c r="I792" s="35" t="s">
        <v>3416</v>
      </c>
      <c r="J792" s="38">
        <v>0.98333333333333339</v>
      </c>
      <c r="K792" s="35">
        <v>1</v>
      </c>
      <c r="L792" s="38">
        <f t="shared" si="12"/>
        <v>0.98333333333333339</v>
      </c>
      <c r="M792" s="35" t="s">
        <v>11</v>
      </c>
      <c r="N792" s="38"/>
      <c r="O792" s="35" t="s">
        <v>16</v>
      </c>
    </row>
    <row r="793" spans="1:15" x14ac:dyDescent="0.25">
      <c r="A793" s="35">
        <v>1276219520</v>
      </c>
      <c r="B793" s="35" t="s">
        <v>3527</v>
      </c>
      <c r="C793" s="35">
        <v>2026</v>
      </c>
      <c r="D793" s="36">
        <v>46159.764386574083</v>
      </c>
      <c r="E793" s="37" t="s">
        <v>183</v>
      </c>
      <c r="F793" s="37" t="s">
        <v>3586</v>
      </c>
      <c r="G793" s="37" t="s">
        <v>3418</v>
      </c>
      <c r="H793" s="35" t="s">
        <v>3419</v>
      </c>
      <c r="I793" s="35" t="s">
        <v>3416</v>
      </c>
      <c r="J793" s="38">
        <v>4.6694356005788711</v>
      </c>
      <c r="K793" s="35">
        <v>1</v>
      </c>
      <c r="L793" s="38">
        <f t="shared" si="12"/>
        <v>4.6694356005788711</v>
      </c>
      <c r="M793" s="35" t="s">
        <v>11</v>
      </c>
      <c r="N793" s="38"/>
      <c r="O793" s="35" t="s">
        <v>16</v>
      </c>
    </row>
    <row r="794" spans="1:15" x14ac:dyDescent="0.25">
      <c r="A794" s="35">
        <v>1276219520</v>
      </c>
      <c r="B794" s="35" t="s">
        <v>3527</v>
      </c>
      <c r="C794" s="35">
        <v>2026</v>
      </c>
      <c r="D794" s="36">
        <v>46159.764386574083</v>
      </c>
      <c r="E794" s="37" t="s">
        <v>183</v>
      </c>
      <c r="F794" s="37" t="s">
        <v>3588</v>
      </c>
      <c r="G794" s="37" t="s">
        <v>3418</v>
      </c>
      <c r="H794" s="35" t="s">
        <v>3419</v>
      </c>
      <c r="I794" s="35" t="s">
        <v>3416</v>
      </c>
      <c r="J794" s="38">
        <v>2.1065123010130251</v>
      </c>
      <c r="K794" s="35">
        <v>1</v>
      </c>
      <c r="L794" s="38">
        <f t="shared" si="12"/>
        <v>2.1065123010130251</v>
      </c>
      <c r="M794" s="35" t="s">
        <v>11</v>
      </c>
      <c r="N794" s="38"/>
      <c r="O794" s="35" t="s">
        <v>16</v>
      </c>
    </row>
    <row r="795" spans="1:15" x14ac:dyDescent="0.25">
      <c r="A795" s="35">
        <v>1276219520</v>
      </c>
      <c r="B795" s="35" t="s">
        <v>3527</v>
      </c>
      <c r="C795" s="35">
        <v>2026</v>
      </c>
      <c r="D795" s="36">
        <v>46159.764386574083</v>
      </c>
      <c r="E795" s="37" t="s">
        <v>183</v>
      </c>
      <c r="F795" s="37" t="s">
        <v>3589</v>
      </c>
      <c r="G795" s="37" t="s">
        <v>3418</v>
      </c>
      <c r="H795" s="35" t="s">
        <v>3419</v>
      </c>
      <c r="I795" s="35" t="s">
        <v>3416</v>
      </c>
      <c r="J795" s="38">
        <v>3.5108538350217078</v>
      </c>
      <c r="K795" s="35">
        <v>1</v>
      </c>
      <c r="L795" s="38">
        <f t="shared" si="12"/>
        <v>3.5108538350217078</v>
      </c>
      <c r="M795" s="35" t="s">
        <v>11</v>
      </c>
      <c r="N795" s="38"/>
      <c r="O795" s="35" t="s">
        <v>16</v>
      </c>
    </row>
    <row r="796" spans="1:15" x14ac:dyDescent="0.25">
      <c r="A796" s="35">
        <v>1276219520</v>
      </c>
      <c r="B796" s="35" t="s">
        <v>3527</v>
      </c>
      <c r="C796" s="35">
        <v>2026</v>
      </c>
      <c r="D796" s="36">
        <v>46159.764386574083</v>
      </c>
      <c r="E796" s="37" t="s">
        <v>183</v>
      </c>
      <c r="F796" s="37" t="s">
        <v>3592</v>
      </c>
      <c r="G796" s="37" t="s">
        <v>3418</v>
      </c>
      <c r="H796" s="35" t="s">
        <v>3419</v>
      </c>
      <c r="I796" s="35" t="s">
        <v>3416</v>
      </c>
      <c r="J796" s="38">
        <v>2.340569223347805</v>
      </c>
      <c r="K796" s="35">
        <v>1</v>
      </c>
      <c r="L796" s="38">
        <f t="shared" si="12"/>
        <v>2.340569223347805</v>
      </c>
      <c r="M796" s="35" t="s">
        <v>11</v>
      </c>
      <c r="N796" s="38"/>
      <c r="O796" s="35" t="s">
        <v>16</v>
      </c>
    </row>
    <row r="797" spans="1:15" x14ac:dyDescent="0.25">
      <c r="A797" s="35">
        <v>1276219520</v>
      </c>
      <c r="B797" s="35" t="s">
        <v>3527</v>
      </c>
      <c r="C797" s="35">
        <v>2026</v>
      </c>
      <c r="D797" s="36">
        <v>46159.764386574083</v>
      </c>
      <c r="E797" s="37" t="s">
        <v>183</v>
      </c>
      <c r="F797" s="37" t="s">
        <v>3525</v>
      </c>
      <c r="G797" s="37" t="s">
        <v>3435</v>
      </c>
      <c r="H797" s="35" t="s">
        <v>3419</v>
      </c>
      <c r="I797" s="35" t="s">
        <v>3416</v>
      </c>
      <c r="J797" s="38">
        <v>0.58514230583695126</v>
      </c>
      <c r="K797" s="35">
        <v>1</v>
      </c>
      <c r="L797" s="38">
        <f t="shared" si="12"/>
        <v>0.58514230583695126</v>
      </c>
      <c r="M797" s="35" t="s">
        <v>11</v>
      </c>
      <c r="N797" s="38"/>
      <c r="O797" s="35" t="s">
        <v>16</v>
      </c>
    </row>
    <row r="798" spans="1:15" x14ac:dyDescent="0.25">
      <c r="A798" s="35">
        <v>1276219520</v>
      </c>
      <c r="B798" s="35" t="s">
        <v>3527</v>
      </c>
      <c r="C798" s="35">
        <v>2026</v>
      </c>
      <c r="D798" s="36">
        <v>46159.764386574083</v>
      </c>
      <c r="E798" s="37" t="s">
        <v>183</v>
      </c>
      <c r="F798" s="37" t="s">
        <v>3585</v>
      </c>
      <c r="G798" s="37" t="s">
        <v>3435</v>
      </c>
      <c r="H798" s="35" t="s">
        <v>3419</v>
      </c>
      <c r="I798" s="35" t="s">
        <v>3416</v>
      </c>
      <c r="J798" s="38">
        <v>0.87771345875542695</v>
      </c>
      <c r="K798" s="35">
        <v>1</v>
      </c>
      <c r="L798" s="38">
        <f t="shared" si="12"/>
        <v>0.87771345875542695</v>
      </c>
      <c r="M798" s="35" t="s">
        <v>11</v>
      </c>
      <c r="N798" s="38"/>
      <c r="O798" s="35" t="s">
        <v>16</v>
      </c>
    </row>
    <row r="799" spans="1:15" x14ac:dyDescent="0.25">
      <c r="A799" s="35">
        <v>1276219520</v>
      </c>
      <c r="B799" s="35" t="s">
        <v>3527</v>
      </c>
      <c r="C799" s="35">
        <v>2026</v>
      </c>
      <c r="D799" s="36">
        <v>46159.764386574083</v>
      </c>
      <c r="E799" s="37" t="s">
        <v>183</v>
      </c>
      <c r="F799" s="37" t="s">
        <v>3599</v>
      </c>
      <c r="G799" s="37" t="s">
        <v>3435</v>
      </c>
      <c r="H799" s="35" t="s">
        <v>3419</v>
      </c>
      <c r="I799" s="35" t="s">
        <v>3416</v>
      </c>
      <c r="J799" s="38">
        <v>3.4991509889049688</v>
      </c>
      <c r="K799" s="35">
        <v>3</v>
      </c>
      <c r="L799" s="38">
        <f t="shared" si="12"/>
        <v>10.497452966714906</v>
      </c>
      <c r="M799" s="35" t="s">
        <v>11</v>
      </c>
      <c r="N799" s="38"/>
      <c r="O799" s="35" t="s">
        <v>16</v>
      </c>
    </row>
    <row r="800" spans="1:15" x14ac:dyDescent="0.25">
      <c r="A800" s="35">
        <v>1276219520</v>
      </c>
      <c r="B800" s="35" t="s">
        <v>3527</v>
      </c>
      <c r="C800" s="35">
        <v>2026</v>
      </c>
      <c r="D800" s="36">
        <v>46159.764386574083</v>
      </c>
      <c r="E800" s="37" t="s">
        <v>183</v>
      </c>
      <c r="F800" s="37" t="s">
        <v>3600</v>
      </c>
      <c r="G800" s="37" t="s">
        <v>3435</v>
      </c>
      <c r="H800" s="35" t="s">
        <v>3419</v>
      </c>
      <c r="I800" s="35" t="s">
        <v>3416</v>
      </c>
      <c r="J800" s="38">
        <v>0.29257115291847557</v>
      </c>
      <c r="K800" s="35">
        <v>3</v>
      </c>
      <c r="L800" s="38">
        <f t="shared" si="12"/>
        <v>0.87771345875542672</v>
      </c>
      <c r="M800" s="35" t="s">
        <v>11</v>
      </c>
      <c r="N800" s="38"/>
      <c r="O800" s="35" t="s">
        <v>16</v>
      </c>
    </row>
    <row r="801" spans="1:15" x14ac:dyDescent="0.25">
      <c r="A801" s="35">
        <v>1276219520</v>
      </c>
      <c r="B801" s="35" t="s">
        <v>3527</v>
      </c>
      <c r="C801" s="35">
        <v>2026</v>
      </c>
      <c r="D801" s="36">
        <v>46159.764386574083</v>
      </c>
      <c r="E801" s="37" t="s">
        <v>183</v>
      </c>
      <c r="F801" s="37" t="s">
        <v>3601</v>
      </c>
      <c r="G801" s="37" t="s">
        <v>3435</v>
      </c>
      <c r="H801" s="35" t="s">
        <v>3419</v>
      </c>
      <c r="I801" s="35" t="s">
        <v>3416</v>
      </c>
      <c r="J801" s="38">
        <v>0.58514230583695126</v>
      </c>
      <c r="K801" s="35">
        <v>3</v>
      </c>
      <c r="L801" s="38">
        <f t="shared" si="12"/>
        <v>1.7554269175108539</v>
      </c>
      <c r="M801" s="35" t="s">
        <v>11</v>
      </c>
      <c r="N801" s="38"/>
      <c r="O801" s="35" t="s">
        <v>16</v>
      </c>
    </row>
    <row r="802" spans="1:15" x14ac:dyDescent="0.25">
      <c r="A802" s="35">
        <v>1276219520</v>
      </c>
      <c r="B802" s="35" t="s">
        <v>3527</v>
      </c>
      <c r="C802" s="35">
        <v>2026</v>
      </c>
      <c r="D802" s="36">
        <v>46159.764386574083</v>
      </c>
      <c r="E802" s="37" t="s">
        <v>183</v>
      </c>
      <c r="F802" s="37" t="s">
        <v>3602</v>
      </c>
      <c r="G802" s="37" t="s">
        <v>3435</v>
      </c>
      <c r="H802" s="35" t="s">
        <v>3419</v>
      </c>
      <c r="I802" s="35" t="s">
        <v>3416</v>
      </c>
      <c r="J802" s="38">
        <v>1.3458273034249879</v>
      </c>
      <c r="K802" s="35">
        <v>3</v>
      </c>
      <c r="L802" s="38">
        <f t="shared" si="12"/>
        <v>4.0374819102749635</v>
      </c>
      <c r="M802" s="35" t="s">
        <v>11</v>
      </c>
      <c r="N802" s="38"/>
      <c r="O802" s="35" t="s">
        <v>16</v>
      </c>
    </row>
    <row r="803" spans="1:15" x14ac:dyDescent="0.25">
      <c r="A803" s="35">
        <v>1276219520</v>
      </c>
      <c r="B803" s="35" t="s">
        <v>3527</v>
      </c>
      <c r="C803" s="35">
        <v>2026</v>
      </c>
      <c r="D803" s="36">
        <v>46159.764386574083</v>
      </c>
      <c r="E803" s="37" t="s">
        <v>183</v>
      </c>
      <c r="F803" s="37" t="s">
        <v>3603</v>
      </c>
      <c r="G803" s="37" t="s">
        <v>3421</v>
      </c>
      <c r="H803" s="35" t="s">
        <v>3419</v>
      </c>
      <c r="I803" s="35" t="s">
        <v>3416</v>
      </c>
      <c r="J803" s="38">
        <v>1.170284611673903</v>
      </c>
      <c r="K803" s="35">
        <v>3</v>
      </c>
      <c r="L803" s="38">
        <f t="shared" si="12"/>
        <v>3.5108538350217087</v>
      </c>
      <c r="M803" s="35" t="s">
        <v>11</v>
      </c>
      <c r="N803" s="38"/>
      <c r="O803" s="35" t="s">
        <v>16</v>
      </c>
    </row>
    <row r="804" spans="1:15" x14ac:dyDescent="0.25">
      <c r="A804" s="35">
        <v>1276219520</v>
      </c>
      <c r="B804" s="35" t="s">
        <v>3527</v>
      </c>
      <c r="C804" s="35">
        <v>2026</v>
      </c>
      <c r="D804" s="36">
        <v>46159.764386574083</v>
      </c>
      <c r="E804" s="37" t="s">
        <v>183</v>
      </c>
      <c r="F804" s="37" t="s">
        <v>3604</v>
      </c>
      <c r="G804" s="37" t="s">
        <v>3418</v>
      </c>
      <c r="H804" s="35" t="s">
        <v>3419</v>
      </c>
      <c r="I804" s="35" t="s">
        <v>3416</v>
      </c>
      <c r="J804" s="38">
        <v>5.5003376748673416</v>
      </c>
      <c r="K804" s="35">
        <v>1</v>
      </c>
      <c r="L804" s="38">
        <f t="shared" si="12"/>
        <v>5.5003376748673416</v>
      </c>
      <c r="M804" s="35" t="s">
        <v>11</v>
      </c>
      <c r="N804" s="38"/>
      <c r="O804" s="35" t="s">
        <v>16</v>
      </c>
    </row>
    <row r="805" spans="1:15" x14ac:dyDescent="0.25">
      <c r="A805" s="35">
        <v>1276219520</v>
      </c>
      <c r="B805" s="35" t="s">
        <v>3527</v>
      </c>
      <c r="C805" s="35">
        <v>2026</v>
      </c>
      <c r="D805" s="36">
        <v>46159.764386574083</v>
      </c>
      <c r="E805" s="37" t="s">
        <v>183</v>
      </c>
      <c r="F805" s="37" t="s">
        <v>3605</v>
      </c>
      <c r="G805" s="37" t="s">
        <v>3418</v>
      </c>
      <c r="H805" s="35" t="s">
        <v>3419</v>
      </c>
      <c r="I805" s="35" t="s">
        <v>3416</v>
      </c>
      <c r="J805" s="38">
        <v>0.52662807525325617</v>
      </c>
      <c r="K805" s="35">
        <v>3</v>
      </c>
      <c r="L805" s="38">
        <f t="shared" si="12"/>
        <v>1.5798842257597685</v>
      </c>
      <c r="M805" s="35" t="s">
        <v>11</v>
      </c>
      <c r="N805" s="38"/>
      <c r="O805" s="35" t="s">
        <v>16</v>
      </c>
    </row>
    <row r="806" spans="1:15" x14ac:dyDescent="0.25">
      <c r="A806" s="35">
        <v>1276219520</v>
      </c>
      <c r="B806" s="35" t="s">
        <v>3527</v>
      </c>
      <c r="C806" s="35">
        <v>2026</v>
      </c>
      <c r="D806" s="36">
        <v>46159.764386574083</v>
      </c>
      <c r="E806" s="37" t="s">
        <v>183</v>
      </c>
      <c r="F806" s="37" t="s">
        <v>3606</v>
      </c>
      <c r="G806" s="37" t="s">
        <v>3435</v>
      </c>
      <c r="H806" s="35" t="s">
        <v>3419</v>
      </c>
      <c r="I806" s="35" t="s">
        <v>3416</v>
      </c>
      <c r="J806" s="38">
        <v>0.52662807525325617</v>
      </c>
      <c r="K806" s="35">
        <v>3</v>
      </c>
      <c r="L806" s="38">
        <f t="shared" si="12"/>
        <v>1.5798842257597685</v>
      </c>
      <c r="M806" s="35" t="s">
        <v>11</v>
      </c>
      <c r="N806" s="38"/>
      <c r="O806" s="35" t="s">
        <v>16</v>
      </c>
    </row>
    <row r="807" spans="1:15" x14ac:dyDescent="0.25">
      <c r="A807" s="35">
        <v>1276219520</v>
      </c>
      <c r="B807" s="35" t="s">
        <v>3527</v>
      </c>
      <c r="C807" s="35">
        <v>2026</v>
      </c>
      <c r="D807" s="36">
        <v>46159.764386574083</v>
      </c>
      <c r="E807" s="37" t="s">
        <v>183</v>
      </c>
      <c r="F807" s="37" t="s">
        <v>3607</v>
      </c>
      <c r="G807" s="37" t="s">
        <v>3435</v>
      </c>
      <c r="H807" s="35" t="s">
        <v>3419</v>
      </c>
      <c r="I807" s="35" t="s">
        <v>3416</v>
      </c>
      <c r="J807" s="38">
        <v>1.2287988422575979</v>
      </c>
      <c r="K807" s="35">
        <v>1</v>
      </c>
      <c r="L807" s="38">
        <f t="shared" si="12"/>
        <v>1.2287988422575979</v>
      </c>
      <c r="M807" s="35" t="s">
        <v>11</v>
      </c>
      <c r="N807" s="38"/>
      <c r="O807" s="35" t="s">
        <v>16</v>
      </c>
    </row>
    <row r="808" spans="1:15" x14ac:dyDescent="0.25">
      <c r="A808" s="35">
        <v>1276219520</v>
      </c>
      <c r="B808" s="35" t="s">
        <v>3527</v>
      </c>
      <c r="C808" s="35">
        <v>2026</v>
      </c>
      <c r="D808" s="36">
        <v>46159.764386574083</v>
      </c>
      <c r="E808" s="37" t="s">
        <v>183</v>
      </c>
      <c r="F808" s="37" t="s">
        <v>3608</v>
      </c>
      <c r="G808" s="37" t="s">
        <v>3421</v>
      </c>
      <c r="H808" s="35" t="s">
        <v>3419</v>
      </c>
      <c r="I808" s="35" t="s">
        <v>3416</v>
      </c>
      <c r="J808" s="38">
        <v>0.64365653642064646</v>
      </c>
      <c r="K808" s="35">
        <v>1</v>
      </c>
      <c r="L808" s="38">
        <f t="shared" si="12"/>
        <v>0.64365653642064646</v>
      </c>
      <c r="M808" s="35" t="s">
        <v>11</v>
      </c>
      <c r="N808" s="38"/>
      <c r="O808" s="35" t="s">
        <v>16</v>
      </c>
    </row>
    <row r="809" spans="1:15" x14ac:dyDescent="0.25">
      <c r="A809" s="35">
        <v>1276219520</v>
      </c>
      <c r="B809" s="35" t="s">
        <v>3527</v>
      </c>
      <c r="C809" s="35">
        <v>2026</v>
      </c>
      <c r="D809" s="36">
        <v>46159.764386574083</v>
      </c>
      <c r="E809" s="37" t="s">
        <v>183</v>
      </c>
      <c r="F809" s="37" t="s">
        <v>3609</v>
      </c>
      <c r="G809" s="37" t="s">
        <v>3435</v>
      </c>
      <c r="H809" s="35" t="s">
        <v>3419</v>
      </c>
      <c r="I809" s="35" t="s">
        <v>3416</v>
      </c>
      <c r="J809" s="38">
        <v>1.1117703810902071</v>
      </c>
      <c r="K809" s="35">
        <v>1</v>
      </c>
      <c r="L809" s="38">
        <f t="shared" si="12"/>
        <v>1.1117703810902071</v>
      </c>
      <c r="M809" s="35" t="s">
        <v>11</v>
      </c>
      <c r="N809" s="38"/>
      <c r="O809" s="35" t="s">
        <v>16</v>
      </c>
    </row>
    <row r="810" spans="1:15" x14ac:dyDescent="0.25">
      <c r="A810" s="35">
        <v>1276219520</v>
      </c>
      <c r="B810" s="35" t="s">
        <v>3527</v>
      </c>
      <c r="C810" s="35">
        <v>2026</v>
      </c>
      <c r="D810" s="36">
        <v>46159.764386574083</v>
      </c>
      <c r="E810" s="37" t="s">
        <v>183</v>
      </c>
      <c r="F810" s="37" t="s">
        <v>3610</v>
      </c>
      <c r="G810" s="37" t="s">
        <v>3435</v>
      </c>
      <c r="H810" s="35" t="s">
        <v>3419</v>
      </c>
      <c r="I810" s="35" t="s">
        <v>3416</v>
      </c>
      <c r="J810" s="38">
        <v>0.17554269175108539</v>
      </c>
      <c r="K810" s="35">
        <v>6</v>
      </c>
      <c r="L810" s="38">
        <f t="shared" si="12"/>
        <v>1.0532561505065123</v>
      </c>
      <c r="M810" s="35" t="s">
        <v>11</v>
      </c>
      <c r="N810" s="38"/>
      <c r="O810" s="35" t="s">
        <v>16</v>
      </c>
    </row>
    <row r="811" spans="1:15" x14ac:dyDescent="0.25">
      <c r="A811" s="35">
        <v>1276219520</v>
      </c>
      <c r="B811" s="35" t="s">
        <v>3527</v>
      </c>
      <c r="C811" s="35">
        <v>2026</v>
      </c>
      <c r="D811" s="36">
        <v>46159.764386574083</v>
      </c>
      <c r="E811" s="37" t="s">
        <v>183</v>
      </c>
      <c r="F811" s="37" t="s">
        <v>3611</v>
      </c>
      <c r="G811" s="37" t="s">
        <v>3435</v>
      </c>
      <c r="H811" s="35" t="s">
        <v>3419</v>
      </c>
      <c r="I811" s="35" t="s">
        <v>3416</v>
      </c>
      <c r="J811" s="38">
        <v>0.17554269175108539</v>
      </c>
      <c r="K811" s="35">
        <v>6</v>
      </c>
      <c r="L811" s="38">
        <f t="shared" si="12"/>
        <v>1.0532561505065123</v>
      </c>
      <c r="M811" s="35" t="s">
        <v>11</v>
      </c>
      <c r="N811" s="38"/>
      <c r="O811" s="35" t="s">
        <v>16</v>
      </c>
    </row>
    <row r="812" spans="1:15" x14ac:dyDescent="0.25">
      <c r="A812" s="35">
        <v>1276151760</v>
      </c>
      <c r="B812" s="35" t="s">
        <v>3527</v>
      </c>
      <c r="C812" s="35">
        <v>2026</v>
      </c>
      <c r="D812" s="36">
        <v>46159.487928240742</v>
      </c>
      <c r="E812" s="37" t="s">
        <v>276</v>
      </c>
      <c r="F812" s="37" t="s">
        <v>3612</v>
      </c>
      <c r="G812" s="37" t="s">
        <v>3435</v>
      </c>
      <c r="H812" s="35" t="s">
        <v>3419</v>
      </c>
      <c r="I812" s="35" t="s">
        <v>3416</v>
      </c>
      <c r="J812" s="38">
        <v>82.06</v>
      </c>
      <c r="K812" s="35">
        <v>1</v>
      </c>
      <c r="L812" s="38">
        <f t="shared" si="12"/>
        <v>82.06</v>
      </c>
      <c r="M812" s="35" t="s">
        <v>11</v>
      </c>
      <c r="N812" s="38"/>
      <c r="O812" s="35" t="s">
        <v>16</v>
      </c>
    </row>
    <row r="813" spans="1:15" x14ac:dyDescent="0.25">
      <c r="A813" s="35">
        <v>1276142537</v>
      </c>
      <c r="B813" s="35" t="s">
        <v>3527</v>
      </c>
      <c r="C813" s="35">
        <v>2026</v>
      </c>
      <c r="D813" s="36">
        <v>46159.487928240742</v>
      </c>
      <c r="E813" s="37" t="s">
        <v>278</v>
      </c>
      <c r="F813" s="37" t="s">
        <v>3613</v>
      </c>
      <c r="G813" s="37" t="s">
        <v>3435</v>
      </c>
      <c r="H813" s="35" t="s">
        <v>3419</v>
      </c>
      <c r="I813" s="35" t="s">
        <v>3416</v>
      </c>
      <c r="J813" s="38">
        <v>122.06</v>
      </c>
      <c r="K813" s="35">
        <v>1</v>
      </c>
      <c r="L813" s="38">
        <f t="shared" si="12"/>
        <v>122.06</v>
      </c>
      <c r="M813" s="35" t="s">
        <v>11</v>
      </c>
      <c r="N813" s="38"/>
      <c r="O813" s="35" t="s">
        <v>16</v>
      </c>
    </row>
    <row r="814" spans="1:15" x14ac:dyDescent="0.25">
      <c r="A814" s="35">
        <v>1276141010</v>
      </c>
      <c r="B814" s="35" t="s">
        <v>3527</v>
      </c>
      <c r="C814" s="35">
        <v>2026</v>
      </c>
      <c r="D814" s="36">
        <v>46159.487928240742</v>
      </c>
      <c r="E814" s="37" t="s">
        <v>61</v>
      </c>
      <c r="F814" s="37" t="s">
        <v>3614</v>
      </c>
      <c r="G814" s="37" t="s">
        <v>3421</v>
      </c>
      <c r="H814" s="35" t="s">
        <v>3419</v>
      </c>
      <c r="I814" s="35" t="s">
        <v>3416</v>
      </c>
      <c r="J814" s="38">
        <v>29.95</v>
      </c>
      <c r="K814" s="35">
        <v>1</v>
      </c>
      <c r="L814" s="38">
        <f t="shared" si="12"/>
        <v>29.95</v>
      </c>
      <c r="M814" s="42" t="s">
        <v>11</v>
      </c>
      <c r="N814" s="38"/>
      <c r="O814" s="35" t="s">
        <v>16</v>
      </c>
    </row>
    <row r="815" spans="1:15" x14ac:dyDescent="0.25">
      <c r="A815" s="35">
        <v>1276140995</v>
      </c>
      <c r="B815" s="35" t="s">
        <v>3527</v>
      </c>
      <c r="C815" s="35">
        <v>2026</v>
      </c>
      <c r="D815" s="36">
        <v>46159.487928240742</v>
      </c>
      <c r="E815" s="37" t="s">
        <v>8</v>
      </c>
      <c r="F815" s="37" t="s">
        <v>3614</v>
      </c>
      <c r="G815" s="37" t="s">
        <v>3421</v>
      </c>
      <c r="H815" s="35" t="s">
        <v>3419</v>
      </c>
      <c r="I815" s="35" t="s">
        <v>3416</v>
      </c>
      <c r="J815" s="38">
        <v>28.5</v>
      </c>
      <c r="K815" s="35">
        <v>2</v>
      </c>
      <c r="L815" s="38">
        <f t="shared" si="12"/>
        <v>57</v>
      </c>
      <c r="M815" s="42" t="s">
        <v>11</v>
      </c>
      <c r="N815" s="38"/>
      <c r="O815" s="35" t="s">
        <v>16</v>
      </c>
    </row>
    <row r="816" spans="1:15" x14ac:dyDescent="0.25">
      <c r="A816" s="35">
        <v>1275963226</v>
      </c>
      <c r="B816" s="35" t="s">
        <v>3527</v>
      </c>
      <c r="C816" s="35">
        <v>2026</v>
      </c>
      <c r="D816" s="36">
        <v>46158.846608796302</v>
      </c>
      <c r="E816" s="37" t="s">
        <v>285</v>
      </c>
      <c r="F816" s="37" t="s">
        <v>3615</v>
      </c>
      <c r="G816" s="37" t="s">
        <v>3616</v>
      </c>
      <c r="H816" s="35" t="s">
        <v>3419</v>
      </c>
      <c r="I816" s="35" t="s">
        <v>3416</v>
      </c>
      <c r="J816" s="38">
        <v>1.6636363636363629</v>
      </c>
      <c r="K816" s="35">
        <v>3</v>
      </c>
      <c r="L816" s="38">
        <f t="shared" si="12"/>
        <v>4.9909090909090885</v>
      </c>
      <c r="M816" s="35" t="s">
        <v>11</v>
      </c>
      <c r="N816" s="38"/>
      <c r="O816" s="35" t="s">
        <v>12</v>
      </c>
    </row>
    <row r="817" spans="1:15" x14ac:dyDescent="0.25">
      <c r="A817" s="35">
        <v>1275963226</v>
      </c>
      <c r="B817" s="35" t="s">
        <v>3527</v>
      </c>
      <c r="C817" s="35">
        <v>2026</v>
      </c>
      <c r="D817" s="36">
        <v>46158.846608796302</v>
      </c>
      <c r="E817" s="37" t="s">
        <v>285</v>
      </c>
      <c r="F817" s="37" t="s">
        <v>3617</v>
      </c>
      <c r="G817" s="37" t="s">
        <v>3535</v>
      </c>
      <c r="H817" s="35" t="s">
        <v>3419</v>
      </c>
      <c r="I817" s="35" t="s">
        <v>3416</v>
      </c>
      <c r="J817" s="38">
        <v>2.079545454545455</v>
      </c>
      <c r="K817" s="35">
        <v>2</v>
      </c>
      <c r="L817" s="38">
        <f t="shared" si="12"/>
        <v>4.1590909090909101</v>
      </c>
      <c r="M817" s="35" t="s">
        <v>11</v>
      </c>
      <c r="N817" s="38"/>
      <c r="O817" s="35" t="s">
        <v>12</v>
      </c>
    </row>
    <row r="818" spans="1:15" x14ac:dyDescent="0.25">
      <c r="A818" s="35">
        <v>1275846152</v>
      </c>
      <c r="B818" s="35" t="s">
        <v>3527</v>
      </c>
      <c r="C818" s="35">
        <v>2026</v>
      </c>
      <c r="D818" s="36">
        <v>46157.878240740742</v>
      </c>
      <c r="E818" s="37" t="s">
        <v>287</v>
      </c>
      <c r="F818" s="37" t="s">
        <v>3618</v>
      </c>
      <c r="G818" s="37" t="s">
        <v>3619</v>
      </c>
      <c r="H818" s="35" t="s">
        <v>3415</v>
      </c>
      <c r="I818" s="35" t="s">
        <v>3416</v>
      </c>
      <c r="J818" s="38">
        <v>0.51249999999999996</v>
      </c>
      <c r="K818" s="35">
        <v>4</v>
      </c>
      <c r="L818" s="38">
        <f t="shared" si="12"/>
        <v>2.0499999999999998</v>
      </c>
      <c r="M818" s="35" t="s">
        <v>11</v>
      </c>
      <c r="N818" s="38"/>
      <c r="O818" s="35" t="s">
        <v>12</v>
      </c>
    </row>
    <row r="819" spans="1:15" x14ac:dyDescent="0.25">
      <c r="A819" s="35">
        <v>1275845928</v>
      </c>
      <c r="B819" s="35" t="s">
        <v>3527</v>
      </c>
      <c r="C819" s="35">
        <v>2026</v>
      </c>
      <c r="D819" s="36">
        <v>46157.878240740742</v>
      </c>
      <c r="E819" s="37" t="s">
        <v>290</v>
      </c>
      <c r="F819" s="37" t="s">
        <v>3620</v>
      </c>
      <c r="G819" s="37" t="s">
        <v>3621</v>
      </c>
      <c r="H819" s="35" t="s">
        <v>3415</v>
      </c>
      <c r="I819" s="35" t="s">
        <v>3416</v>
      </c>
      <c r="J819" s="38">
        <v>0.51249999999999996</v>
      </c>
      <c r="K819" s="35">
        <v>4</v>
      </c>
      <c r="L819" s="38">
        <f t="shared" si="12"/>
        <v>2.0499999999999998</v>
      </c>
      <c r="M819" s="35" t="s">
        <v>11</v>
      </c>
      <c r="N819" s="38"/>
      <c r="O819" s="35" t="s">
        <v>12</v>
      </c>
    </row>
    <row r="820" spans="1:15" x14ac:dyDescent="0.25">
      <c r="A820" s="35">
        <v>1275843154</v>
      </c>
      <c r="B820" s="35" t="s">
        <v>3527</v>
      </c>
      <c r="C820" s="35">
        <v>2026</v>
      </c>
      <c r="D820" s="36">
        <v>46157.878240740742</v>
      </c>
      <c r="E820" s="37" t="s">
        <v>61</v>
      </c>
      <c r="F820" s="37" t="s">
        <v>3622</v>
      </c>
      <c r="G820" s="37" t="s">
        <v>3616</v>
      </c>
      <c r="H820" s="35" t="s">
        <v>3419</v>
      </c>
      <c r="I820" s="35" t="s">
        <v>3416</v>
      </c>
      <c r="J820" s="38">
        <v>9.4499999999999993</v>
      </c>
      <c r="K820" s="35">
        <v>2</v>
      </c>
      <c r="L820" s="38">
        <f t="shared" si="12"/>
        <v>18.899999999999999</v>
      </c>
      <c r="M820" s="42" t="s">
        <v>11</v>
      </c>
      <c r="N820" s="38"/>
      <c r="O820" s="35" t="s">
        <v>12</v>
      </c>
    </row>
    <row r="821" spans="1:15" x14ac:dyDescent="0.25">
      <c r="A821" s="35">
        <v>1275840855</v>
      </c>
      <c r="B821" s="35" t="s">
        <v>3527</v>
      </c>
      <c r="C821" s="35">
        <v>2026</v>
      </c>
      <c r="D821" s="36">
        <v>46157.878240740742</v>
      </c>
      <c r="E821" s="37" t="s">
        <v>292</v>
      </c>
      <c r="F821" s="37" t="s">
        <v>3623</v>
      </c>
      <c r="G821" s="37" t="s">
        <v>3624</v>
      </c>
      <c r="H821" s="35" t="s">
        <v>3415</v>
      </c>
      <c r="I821" s="35" t="s">
        <v>3416</v>
      </c>
      <c r="J821" s="38">
        <v>0.46249999999999991</v>
      </c>
      <c r="K821" s="35">
        <v>4</v>
      </c>
      <c r="L821" s="38">
        <f t="shared" si="12"/>
        <v>1.8499999999999996</v>
      </c>
      <c r="M821" s="35" t="s">
        <v>11</v>
      </c>
      <c r="N821" s="38"/>
      <c r="O821" s="35" t="s">
        <v>12</v>
      </c>
    </row>
    <row r="822" spans="1:15" x14ac:dyDescent="0.25">
      <c r="A822" s="35">
        <v>1275840500</v>
      </c>
      <c r="B822" s="35" t="s">
        <v>3527</v>
      </c>
      <c r="C822" s="35">
        <v>2026</v>
      </c>
      <c r="D822" s="36">
        <v>46157.878240740742</v>
      </c>
      <c r="E822" s="37" t="s">
        <v>285</v>
      </c>
      <c r="F822" s="37" t="s">
        <v>3625</v>
      </c>
      <c r="G822" s="37" t="s">
        <v>3616</v>
      </c>
      <c r="H822" s="35" t="s">
        <v>3415</v>
      </c>
      <c r="I822" s="35" t="s">
        <v>3416</v>
      </c>
      <c r="J822" s="38">
        <v>1.627941176470588</v>
      </c>
      <c r="K822" s="35">
        <v>4</v>
      </c>
      <c r="L822" s="38">
        <f t="shared" si="12"/>
        <v>6.511764705882352</v>
      </c>
      <c r="M822" s="35" t="s">
        <v>11</v>
      </c>
      <c r="N822" s="38"/>
      <c r="O822" s="35" t="s">
        <v>12</v>
      </c>
    </row>
    <row r="823" spans="1:15" x14ac:dyDescent="0.25">
      <c r="A823" s="35">
        <v>1275840500</v>
      </c>
      <c r="B823" s="35" t="s">
        <v>3527</v>
      </c>
      <c r="C823" s="35">
        <v>2026</v>
      </c>
      <c r="D823" s="36">
        <v>46157.878240740742</v>
      </c>
      <c r="E823" s="37" t="s">
        <v>285</v>
      </c>
      <c r="F823" s="37" t="s">
        <v>3626</v>
      </c>
      <c r="G823" s="37" t="s">
        <v>3616</v>
      </c>
      <c r="H823" s="35" t="s">
        <v>3419</v>
      </c>
      <c r="I823" s="35" t="s">
        <v>3416</v>
      </c>
      <c r="J823" s="38">
        <v>2.170588235294117</v>
      </c>
      <c r="K823" s="35">
        <v>2</v>
      </c>
      <c r="L823" s="38">
        <f t="shared" si="12"/>
        <v>4.3411764705882341</v>
      </c>
      <c r="M823" s="35" t="s">
        <v>11</v>
      </c>
      <c r="N823" s="38"/>
      <c r="O823" s="35" t="s">
        <v>12</v>
      </c>
    </row>
    <row r="824" spans="1:15" x14ac:dyDescent="0.25">
      <c r="A824" s="35">
        <v>1275840500</v>
      </c>
      <c r="B824" s="35" t="s">
        <v>3527</v>
      </c>
      <c r="C824" s="35">
        <v>2026</v>
      </c>
      <c r="D824" s="36">
        <v>46157.878240740742</v>
      </c>
      <c r="E824" s="37" t="s">
        <v>285</v>
      </c>
      <c r="F824" s="37" t="s">
        <v>3627</v>
      </c>
      <c r="G824" s="37" t="s">
        <v>3628</v>
      </c>
      <c r="H824" s="35" t="s">
        <v>3419</v>
      </c>
      <c r="I824" s="35" t="s">
        <v>3416</v>
      </c>
      <c r="J824" s="38">
        <v>3.7985294117647062</v>
      </c>
      <c r="K824" s="35">
        <v>2</v>
      </c>
      <c r="L824" s="38">
        <f t="shared" si="12"/>
        <v>7.5970588235294123</v>
      </c>
      <c r="M824" s="35" t="s">
        <v>11</v>
      </c>
      <c r="N824" s="38"/>
      <c r="O824" s="35" t="s">
        <v>12</v>
      </c>
    </row>
    <row r="825" spans="1:15" x14ac:dyDescent="0.25">
      <c r="A825" s="35">
        <v>1275840114</v>
      </c>
      <c r="B825" s="35" t="s">
        <v>3527</v>
      </c>
      <c r="C825" s="35">
        <v>2026</v>
      </c>
      <c r="D825" s="36">
        <v>46157.878240740742</v>
      </c>
      <c r="E825" s="37" t="s">
        <v>294</v>
      </c>
      <c r="F825" s="37" t="s">
        <v>3629</v>
      </c>
      <c r="G825" s="37" t="s">
        <v>3630</v>
      </c>
      <c r="H825" s="35" t="s">
        <v>3415</v>
      </c>
      <c r="I825" s="35" t="s">
        <v>3416</v>
      </c>
      <c r="J825" s="38">
        <v>4.0625</v>
      </c>
      <c r="K825" s="35">
        <v>4</v>
      </c>
      <c r="L825" s="38">
        <f t="shared" si="12"/>
        <v>16.25</v>
      </c>
      <c r="M825" s="35" t="s">
        <v>11</v>
      </c>
      <c r="N825" s="38"/>
      <c r="O825" s="35" t="s">
        <v>12</v>
      </c>
    </row>
    <row r="826" spans="1:15" x14ac:dyDescent="0.25">
      <c r="A826" s="35">
        <v>1270673758</v>
      </c>
      <c r="B826" s="35" t="s">
        <v>3631</v>
      </c>
      <c r="C826" s="35">
        <v>2026</v>
      </c>
      <c r="D826" s="36">
        <v>46134.497939814813</v>
      </c>
      <c r="E826" s="37" t="s">
        <v>303</v>
      </c>
      <c r="F826" s="37" t="s">
        <v>3632</v>
      </c>
      <c r="G826" s="37" t="s">
        <v>3633</v>
      </c>
      <c r="H826" s="35" t="s">
        <v>3419</v>
      </c>
      <c r="I826" s="35" t="s">
        <v>3416</v>
      </c>
      <c r="J826" s="38">
        <v>6.3900000000000006</v>
      </c>
      <c r="K826" s="35">
        <v>1</v>
      </c>
      <c r="L826" s="38">
        <f t="shared" si="12"/>
        <v>6.3900000000000006</v>
      </c>
      <c r="M826" s="35" t="s">
        <v>11</v>
      </c>
      <c r="N826" s="38"/>
      <c r="O826" s="35" t="s">
        <v>12</v>
      </c>
    </row>
    <row r="827" spans="1:15" x14ac:dyDescent="0.25">
      <c r="A827" s="35">
        <v>1270672711</v>
      </c>
      <c r="B827" s="35" t="s">
        <v>3631</v>
      </c>
      <c r="C827" s="35">
        <v>2026</v>
      </c>
      <c r="D827" s="36">
        <v>46134.497939814813</v>
      </c>
      <c r="E827" s="37" t="s">
        <v>35</v>
      </c>
      <c r="F827" s="37" t="s">
        <v>3634</v>
      </c>
      <c r="G827" s="37" t="s">
        <v>3635</v>
      </c>
      <c r="H827" s="35" t="s">
        <v>3415</v>
      </c>
      <c r="I827" s="35" t="s">
        <v>3416</v>
      </c>
      <c r="J827" s="38">
        <v>5.3425000000000002</v>
      </c>
      <c r="K827" s="35">
        <v>4</v>
      </c>
      <c r="L827" s="38">
        <f t="shared" si="12"/>
        <v>21.37</v>
      </c>
      <c r="M827" s="35" t="s">
        <v>11</v>
      </c>
      <c r="N827" s="38"/>
      <c r="O827" s="35" t="s">
        <v>12</v>
      </c>
    </row>
    <row r="828" spans="1:15" x14ac:dyDescent="0.25">
      <c r="A828" s="35">
        <v>1265242239</v>
      </c>
      <c r="B828" s="35" t="s">
        <v>3646</v>
      </c>
      <c r="C828" s="35">
        <v>2026</v>
      </c>
      <c r="D828" s="36">
        <v>46107.948449074072</v>
      </c>
      <c r="E828" s="37" t="s">
        <v>320</v>
      </c>
      <c r="F828" s="37" t="s">
        <v>3653</v>
      </c>
      <c r="G828" s="37" t="s">
        <v>3654</v>
      </c>
      <c r="H828" s="35" t="s">
        <v>3415</v>
      </c>
      <c r="I828" s="35" t="s">
        <v>3416</v>
      </c>
      <c r="J828" s="38">
        <v>1.1125</v>
      </c>
      <c r="K828" s="35">
        <v>4</v>
      </c>
      <c r="L828" s="38">
        <f t="shared" si="12"/>
        <v>4.45</v>
      </c>
      <c r="M828" s="35" t="s">
        <v>11</v>
      </c>
      <c r="N828" s="38"/>
      <c r="O828" s="35" t="s">
        <v>12</v>
      </c>
    </row>
    <row r="829" spans="1:15" x14ac:dyDescent="0.25">
      <c r="A829" s="35">
        <v>1265192498</v>
      </c>
      <c r="B829" s="35" t="s">
        <v>3646</v>
      </c>
      <c r="C829" s="35">
        <v>2026</v>
      </c>
      <c r="D829" s="36">
        <v>46107.661527777767</v>
      </c>
      <c r="E829" s="37" t="s">
        <v>323</v>
      </c>
      <c r="F829" s="37" t="s">
        <v>3655</v>
      </c>
      <c r="G829" s="37" t="s">
        <v>3656</v>
      </c>
      <c r="H829" s="35" t="s">
        <v>3419</v>
      </c>
      <c r="I829" s="35" t="s">
        <v>3453</v>
      </c>
      <c r="J829" s="38">
        <v>121.9220532646048</v>
      </c>
      <c r="K829" s="35">
        <v>1</v>
      </c>
      <c r="L829" s="38">
        <f t="shared" si="12"/>
        <v>121.9220532646048</v>
      </c>
      <c r="M829" s="35" t="s">
        <v>11</v>
      </c>
      <c r="N829" s="38"/>
      <c r="O829" s="35" t="s">
        <v>12</v>
      </c>
    </row>
    <row r="830" spans="1:15" x14ac:dyDescent="0.25">
      <c r="A830" s="35">
        <v>1265192498</v>
      </c>
      <c r="B830" s="35" t="s">
        <v>3646</v>
      </c>
      <c r="C830" s="35">
        <v>2026</v>
      </c>
      <c r="D830" s="36">
        <v>46107.661527777767</v>
      </c>
      <c r="E830" s="37" t="s">
        <v>323</v>
      </c>
      <c r="F830" s="37" t="s">
        <v>3653</v>
      </c>
      <c r="G830" s="37" t="s">
        <v>3654</v>
      </c>
      <c r="H830" s="35" t="s">
        <v>3419</v>
      </c>
      <c r="I830" s="35" t="s">
        <v>3416</v>
      </c>
      <c r="J830" s="38">
        <v>1.537946735395189</v>
      </c>
      <c r="K830" s="35">
        <v>1</v>
      </c>
      <c r="L830" s="38">
        <f t="shared" si="12"/>
        <v>1.537946735395189</v>
      </c>
      <c r="M830" s="35" t="s">
        <v>11</v>
      </c>
      <c r="N830" s="38"/>
      <c r="O830" s="35" t="s">
        <v>12</v>
      </c>
    </row>
    <row r="831" spans="1:15" x14ac:dyDescent="0.25">
      <c r="A831" s="35">
        <v>1264242539</v>
      </c>
      <c r="B831" s="35" t="s">
        <v>3646</v>
      </c>
      <c r="C831" s="35">
        <v>2026</v>
      </c>
      <c r="D831" s="36">
        <v>46102.422442129631</v>
      </c>
      <c r="E831" s="37" t="s">
        <v>328</v>
      </c>
      <c r="F831" s="37" t="s">
        <v>3657</v>
      </c>
      <c r="G831" s="37" t="s">
        <v>3658</v>
      </c>
      <c r="H831" s="35" t="s">
        <v>3419</v>
      </c>
      <c r="I831" s="35" t="s">
        <v>3416</v>
      </c>
      <c r="J831" s="38">
        <v>3.6749999999999998</v>
      </c>
      <c r="K831" s="35">
        <v>2</v>
      </c>
      <c r="L831" s="38">
        <f t="shared" si="12"/>
        <v>7.35</v>
      </c>
      <c r="M831" s="35" t="s">
        <v>11</v>
      </c>
      <c r="N831" s="38"/>
      <c r="O831" s="35" t="s">
        <v>12</v>
      </c>
    </row>
    <row r="832" spans="1:15" x14ac:dyDescent="0.25">
      <c r="A832" s="35">
        <v>1264228159</v>
      </c>
      <c r="B832" s="35" t="s">
        <v>3646</v>
      </c>
      <c r="C832" s="35">
        <v>2026</v>
      </c>
      <c r="D832" s="36">
        <v>46102.422442129631</v>
      </c>
      <c r="E832" s="37" t="s">
        <v>331</v>
      </c>
      <c r="F832" s="37" t="s">
        <v>3659</v>
      </c>
      <c r="G832" s="37" t="s">
        <v>3660</v>
      </c>
      <c r="H832" s="35" t="s">
        <v>3419</v>
      </c>
      <c r="I832" s="35" t="s">
        <v>3416</v>
      </c>
      <c r="J832" s="38">
        <v>5.2938405797101442</v>
      </c>
      <c r="K832" s="35">
        <v>2</v>
      </c>
      <c r="L832" s="38">
        <f t="shared" si="12"/>
        <v>10.587681159420288</v>
      </c>
      <c r="M832" s="35" t="s">
        <v>11</v>
      </c>
      <c r="N832" s="38"/>
      <c r="O832" s="35" t="s">
        <v>12</v>
      </c>
    </row>
    <row r="833" spans="1:15" x14ac:dyDescent="0.25">
      <c r="A833" s="35">
        <v>1264228159</v>
      </c>
      <c r="B833" s="35" t="s">
        <v>3646</v>
      </c>
      <c r="C833" s="35">
        <v>2026</v>
      </c>
      <c r="D833" s="36">
        <v>46102.422442129631</v>
      </c>
      <c r="E833" s="37" t="s">
        <v>331</v>
      </c>
      <c r="F833" s="37" t="s">
        <v>3661</v>
      </c>
      <c r="G833" s="37" t="s">
        <v>3662</v>
      </c>
      <c r="H833" s="35" t="s">
        <v>3419</v>
      </c>
      <c r="I833" s="35" t="s">
        <v>3416</v>
      </c>
      <c r="J833" s="38">
        <v>3.9007246376811588</v>
      </c>
      <c r="K833" s="35">
        <v>3</v>
      </c>
      <c r="L833" s="38">
        <f t="shared" si="12"/>
        <v>11.702173913043477</v>
      </c>
      <c r="M833" s="35" t="s">
        <v>11</v>
      </c>
      <c r="N833" s="38"/>
      <c r="O833" s="35" t="s">
        <v>12</v>
      </c>
    </row>
    <row r="834" spans="1:15" x14ac:dyDescent="0.25">
      <c r="A834" s="35">
        <v>1264228159</v>
      </c>
      <c r="B834" s="35" t="s">
        <v>3646</v>
      </c>
      <c r="C834" s="35">
        <v>2026</v>
      </c>
      <c r="D834" s="36">
        <v>46102.422442129631</v>
      </c>
      <c r="E834" s="37" t="s">
        <v>331</v>
      </c>
      <c r="F834" s="37" t="s">
        <v>3663</v>
      </c>
      <c r="G834" s="37" t="s">
        <v>3664</v>
      </c>
      <c r="H834" s="35" t="s">
        <v>3419</v>
      </c>
      <c r="I834" s="35" t="s">
        <v>3416</v>
      </c>
      <c r="J834" s="38">
        <v>8.0800724637681149</v>
      </c>
      <c r="K834" s="35">
        <v>2</v>
      </c>
      <c r="L834" s="38">
        <f t="shared" ref="L834:L897" si="13">J834*K834</f>
        <v>16.16014492753623</v>
      </c>
      <c r="M834" s="35" t="s">
        <v>11</v>
      </c>
      <c r="N834" s="38"/>
      <c r="O834" s="35" t="s">
        <v>12</v>
      </c>
    </row>
    <row r="835" spans="1:15" x14ac:dyDescent="0.25">
      <c r="A835" s="35">
        <v>1262889786</v>
      </c>
      <c r="B835" s="35" t="s">
        <v>3646</v>
      </c>
      <c r="C835" s="35">
        <v>2026</v>
      </c>
      <c r="D835" s="36">
        <v>46094.876469907409</v>
      </c>
      <c r="E835" s="37" t="s">
        <v>64</v>
      </c>
      <c r="F835" s="37" t="s">
        <v>3669</v>
      </c>
      <c r="G835" s="37" t="s">
        <v>3670</v>
      </c>
      <c r="H835" s="35" t="s">
        <v>3415</v>
      </c>
      <c r="I835" s="35" t="s">
        <v>3416</v>
      </c>
      <c r="J835" s="38">
        <v>1.2725</v>
      </c>
      <c r="K835" s="35">
        <v>4</v>
      </c>
      <c r="L835" s="38">
        <f t="shared" si="13"/>
        <v>5.09</v>
      </c>
      <c r="M835" s="35" t="s">
        <v>11</v>
      </c>
      <c r="N835" s="38"/>
      <c r="O835" s="35" t="s">
        <v>12</v>
      </c>
    </row>
    <row r="836" spans="1:15" x14ac:dyDescent="0.25">
      <c r="A836" s="35">
        <v>1262888434</v>
      </c>
      <c r="B836" s="35" t="s">
        <v>3646</v>
      </c>
      <c r="C836" s="35">
        <v>2026</v>
      </c>
      <c r="D836" s="36">
        <v>46094.876469907409</v>
      </c>
      <c r="E836" s="37" t="s">
        <v>285</v>
      </c>
      <c r="F836" s="37" t="s">
        <v>3671</v>
      </c>
      <c r="G836" s="37" t="s">
        <v>3672</v>
      </c>
      <c r="H836" s="35" t="s">
        <v>3415</v>
      </c>
      <c r="I836" s="35" t="s">
        <v>3416</v>
      </c>
      <c r="J836" s="38">
        <v>6.0125000000000002</v>
      </c>
      <c r="K836" s="35">
        <v>4</v>
      </c>
      <c r="L836" s="38">
        <f t="shared" si="13"/>
        <v>24.05</v>
      </c>
      <c r="M836" s="35" t="s">
        <v>11</v>
      </c>
      <c r="N836" s="38"/>
      <c r="O836" s="35" t="s">
        <v>12</v>
      </c>
    </row>
    <row r="837" spans="1:15" x14ac:dyDescent="0.25">
      <c r="A837" s="35">
        <v>1262887894</v>
      </c>
      <c r="B837" s="35" t="s">
        <v>3646</v>
      </c>
      <c r="C837" s="35">
        <v>2026</v>
      </c>
      <c r="D837" s="36">
        <v>46094.876469907409</v>
      </c>
      <c r="E837" s="37" t="s">
        <v>340</v>
      </c>
      <c r="F837" s="37" t="s">
        <v>3673</v>
      </c>
      <c r="G837" s="37" t="s">
        <v>3674</v>
      </c>
      <c r="H837" s="35" t="s">
        <v>3419</v>
      </c>
      <c r="I837" s="35" t="s">
        <v>3416</v>
      </c>
      <c r="J837" s="38">
        <v>10.715</v>
      </c>
      <c r="K837" s="35">
        <v>2</v>
      </c>
      <c r="L837" s="38">
        <f t="shared" si="13"/>
        <v>21.43</v>
      </c>
      <c r="M837" s="35" t="s">
        <v>11</v>
      </c>
      <c r="N837" s="38"/>
      <c r="O837" s="35" t="s">
        <v>12</v>
      </c>
    </row>
    <row r="838" spans="1:15" x14ac:dyDescent="0.25">
      <c r="A838" s="35">
        <v>1261362738</v>
      </c>
      <c r="B838" s="35" t="s">
        <v>3646</v>
      </c>
      <c r="C838" s="35">
        <v>2026</v>
      </c>
      <c r="D838" s="36">
        <v>46087.248715277783</v>
      </c>
      <c r="E838" s="37" t="s">
        <v>8</v>
      </c>
      <c r="F838" s="37" t="s">
        <v>3703</v>
      </c>
      <c r="G838" s="37" t="s">
        <v>3670</v>
      </c>
      <c r="H838" s="35" t="s">
        <v>3419</v>
      </c>
      <c r="I838" s="35" t="s">
        <v>3416</v>
      </c>
      <c r="J838" s="38">
        <v>3.4</v>
      </c>
      <c r="K838" s="35">
        <v>2</v>
      </c>
      <c r="L838" s="38">
        <f t="shared" si="13"/>
        <v>6.8</v>
      </c>
      <c r="M838" s="42" t="s">
        <v>11</v>
      </c>
      <c r="N838" s="38"/>
      <c r="O838" s="35" t="s">
        <v>12</v>
      </c>
    </row>
    <row r="839" spans="1:15" x14ac:dyDescent="0.25">
      <c r="A839" s="35">
        <v>1261362700</v>
      </c>
      <c r="B839" s="35" t="s">
        <v>3646</v>
      </c>
      <c r="C839" s="35">
        <v>2026</v>
      </c>
      <c r="D839" s="36">
        <v>46087.248715277783</v>
      </c>
      <c r="E839" s="37" t="s">
        <v>51</v>
      </c>
      <c r="F839" s="37" t="s">
        <v>3704</v>
      </c>
      <c r="G839" s="37" t="s">
        <v>3670</v>
      </c>
      <c r="H839" s="35" t="s">
        <v>3415</v>
      </c>
      <c r="I839" s="35" t="s">
        <v>3416</v>
      </c>
      <c r="J839" s="38">
        <v>1.8625</v>
      </c>
      <c r="K839" s="35">
        <v>4</v>
      </c>
      <c r="L839" s="38">
        <f t="shared" si="13"/>
        <v>7.45</v>
      </c>
      <c r="M839" s="35" t="s">
        <v>11</v>
      </c>
      <c r="N839" s="38"/>
      <c r="O839" s="35" t="s">
        <v>12</v>
      </c>
    </row>
    <row r="840" spans="1:15" x14ac:dyDescent="0.25">
      <c r="A840" s="35">
        <v>1261092661</v>
      </c>
      <c r="B840" s="35" t="s">
        <v>3646</v>
      </c>
      <c r="C840" s="35">
        <v>2026</v>
      </c>
      <c r="D840" s="36">
        <v>46085.935706018521</v>
      </c>
      <c r="E840" s="37" t="s">
        <v>170</v>
      </c>
      <c r="F840" s="37" t="s">
        <v>3705</v>
      </c>
      <c r="G840" s="37" t="s">
        <v>3670</v>
      </c>
      <c r="H840" s="35" t="s">
        <v>3415</v>
      </c>
      <c r="I840" s="35" t="s">
        <v>3416</v>
      </c>
      <c r="J840" s="38">
        <v>0.25083333333333341</v>
      </c>
      <c r="K840" s="35">
        <v>4</v>
      </c>
      <c r="L840" s="38">
        <f t="shared" si="13"/>
        <v>1.0033333333333336</v>
      </c>
      <c r="M840" s="35" t="s">
        <v>11</v>
      </c>
      <c r="N840" s="38"/>
      <c r="O840" s="35" t="s">
        <v>12</v>
      </c>
    </row>
    <row r="841" spans="1:15" x14ac:dyDescent="0.25">
      <c r="A841" s="35">
        <v>1261092661</v>
      </c>
      <c r="B841" s="35" t="s">
        <v>3646</v>
      </c>
      <c r="C841" s="35">
        <v>2026</v>
      </c>
      <c r="D841" s="36">
        <v>46085.935706018521</v>
      </c>
      <c r="E841" s="37" t="s">
        <v>170</v>
      </c>
      <c r="F841" s="37" t="s">
        <v>3706</v>
      </c>
      <c r="G841" s="37" t="s">
        <v>3670</v>
      </c>
      <c r="H841" s="35" t="s">
        <v>3419</v>
      </c>
      <c r="I841" s="35" t="s">
        <v>3416</v>
      </c>
      <c r="J841" s="38">
        <v>1.71724358974359</v>
      </c>
      <c r="K841" s="35">
        <v>1</v>
      </c>
      <c r="L841" s="38">
        <f t="shared" si="13"/>
        <v>1.71724358974359</v>
      </c>
      <c r="M841" s="35" t="s">
        <v>11</v>
      </c>
      <c r="N841" s="38"/>
      <c r="O841" s="35" t="s">
        <v>12</v>
      </c>
    </row>
    <row r="842" spans="1:15" x14ac:dyDescent="0.25">
      <c r="A842" s="35">
        <v>1261092661</v>
      </c>
      <c r="B842" s="35" t="s">
        <v>3646</v>
      </c>
      <c r="C842" s="35">
        <v>2026</v>
      </c>
      <c r="D842" s="36">
        <v>46085.935706018521</v>
      </c>
      <c r="E842" s="37" t="s">
        <v>170</v>
      </c>
      <c r="F842" s="37" t="s">
        <v>3707</v>
      </c>
      <c r="G842" s="37" t="s">
        <v>3708</v>
      </c>
      <c r="H842" s="35" t="s">
        <v>3419</v>
      </c>
      <c r="I842" s="35" t="s">
        <v>3416</v>
      </c>
      <c r="J842" s="38">
        <v>0.28942307692307689</v>
      </c>
      <c r="K842" s="35">
        <v>1</v>
      </c>
      <c r="L842" s="38">
        <f t="shared" si="13"/>
        <v>0.28942307692307689</v>
      </c>
      <c r="M842" s="35" t="s">
        <v>11</v>
      </c>
      <c r="N842" s="38"/>
      <c r="O842" s="35" t="s">
        <v>12</v>
      </c>
    </row>
    <row r="843" spans="1:15" x14ac:dyDescent="0.25">
      <c r="A843" s="35">
        <v>1256847267</v>
      </c>
      <c r="B843" s="35" t="s">
        <v>3721</v>
      </c>
      <c r="C843" s="35">
        <v>2026</v>
      </c>
      <c r="D843" s="36">
        <v>46064.805486111109</v>
      </c>
      <c r="E843" s="37" t="s">
        <v>388</v>
      </c>
      <c r="F843" s="37" t="s">
        <v>3745</v>
      </c>
      <c r="G843" s="37" t="s">
        <v>3672</v>
      </c>
      <c r="H843" s="35" t="s">
        <v>3419</v>
      </c>
      <c r="I843" s="35" t="s">
        <v>3416</v>
      </c>
      <c r="J843" s="38">
        <v>33.43</v>
      </c>
      <c r="K843" s="35">
        <v>1</v>
      </c>
      <c r="L843" s="38">
        <f t="shared" si="13"/>
        <v>33.43</v>
      </c>
      <c r="M843" s="35" t="s">
        <v>11</v>
      </c>
      <c r="N843" s="38"/>
      <c r="O843" s="35" t="s">
        <v>12</v>
      </c>
    </row>
    <row r="844" spans="1:15" ht="30" x14ac:dyDescent="0.25">
      <c r="A844" s="35">
        <v>1256802315</v>
      </c>
      <c r="B844" s="35" t="s">
        <v>3721</v>
      </c>
      <c r="C844" s="35">
        <v>2026</v>
      </c>
      <c r="D844" s="36">
        <v>46063.906041666669</v>
      </c>
      <c r="E844" s="37" t="s">
        <v>391</v>
      </c>
      <c r="F844" s="37" t="s">
        <v>3747</v>
      </c>
      <c r="G844" s="37" t="s">
        <v>3748</v>
      </c>
      <c r="H844" s="35" t="s">
        <v>3419</v>
      </c>
      <c r="I844" s="35" t="s">
        <v>3416</v>
      </c>
      <c r="J844" s="38">
        <v>55.9</v>
      </c>
      <c r="K844" s="35">
        <v>1</v>
      </c>
      <c r="L844" s="38">
        <f t="shared" si="13"/>
        <v>55.9</v>
      </c>
      <c r="M844" s="35" t="s">
        <v>11</v>
      </c>
      <c r="N844" s="38"/>
      <c r="O844" s="35" t="s">
        <v>12</v>
      </c>
    </row>
    <row r="845" spans="1:15" ht="30" x14ac:dyDescent="0.25">
      <c r="A845" s="35">
        <v>1256231608</v>
      </c>
      <c r="B845" s="35" t="s">
        <v>3721</v>
      </c>
      <c r="C845" s="35">
        <v>2026</v>
      </c>
      <c r="D845" s="36">
        <v>46061.515844907408</v>
      </c>
      <c r="E845" s="37" t="s">
        <v>400</v>
      </c>
      <c r="F845" s="37" t="s">
        <v>3747</v>
      </c>
      <c r="G845" s="37" t="s">
        <v>3748</v>
      </c>
      <c r="H845" s="35" t="s">
        <v>3419</v>
      </c>
      <c r="I845" s="35" t="s">
        <v>3416</v>
      </c>
      <c r="J845" s="38">
        <v>63.539120892300318</v>
      </c>
      <c r="K845" s="35">
        <v>1</v>
      </c>
      <c r="L845" s="38">
        <f t="shared" si="13"/>
        <v>63.539120892300318</v>
      </c>
      <c r="M845" s="35" t="s">
        <v>11</v>
      </c>
      <c r="N845" s="38"/>
      <c r="O845" s="35" t="s">
        <v>12</v>
      </c>
    </row>
    <row r="846" spans="1:15" x14ac:dyDescent="0.25">
      <c r="A846" s="35">
        <v>1256231608</v>
      </c>
      <c r="B846" s="35" t="s">
        <v>3721</v>
      </c>
      <c r="C846" s="35">
        <v>2026</v>
      </c>
      <c r="D846" s="36">
        <v>46061.515844907408</v>
      </c>
      <c r="E846" s="37" t="s">
        <v>400</v>
      </c>
      <c r="F846" s="37" t="s">
        <v>3752</v>
      </c>
      <c r="G846" s="37" t="s">
        <v>3535</v>
      </c>
      <c r="H846" s="35" t="s">
        <v>3419</v>
      </c>
      <c r="I846" s="35" t="s">
        <v>3416</v>
      </c>
      <c r="J846" s="38">
        <v>26.270879107699692</v>
      </c>
      <c r="K846" s="35">
        <v>1</v>
      </c>
      <c r="L846" s="38">
        <f t="shared" si="13"/>
        <v>26.270879107699692</v>
      </c>
      <c r="M846" s="35" t="s">
        <v>11</v>
      </c>
      <c r="N846" s="38"/>
      <c r="O846" s="35" t="s">
        <v>12</v>
      </c>
    </row>
    <row r="847" spans="1:15" ht="30" x14ac:dyDescent="0.25">
      <c r="A847" s="35">
        <v>1255847996</v>
      </c>
      <c r="B847" s="35" t="s">
        <v>3721</v>
      </c>
      <c r="C847" s="35">
        <v>2026</v>
      </c>
      <c r="D847" s="36">
        <v>46059.65828703704</v>
      </c>
      <c r="E847" s="37" t="s">
        <v>412</v>
      </c>
      <c r="F847" s="37" t="s">
        <v>3747</v>
      </c>
      <c r="G847" s="37" t="s">
        <v>3748</v>
      </c>
      <c r="H847" s="35" t="s">
        <v>3419</v>
      </c>
      <c r="I847" s="35" t="s">
        <v>3416</v>
      </c>
      <c r="J847" s="38">
        <v>62.38</v>
      </c>
      <c r="K847" s="35">
        <v>1</v>
      </c>
      <c r="L847" s="38">
        <f t="shared" si="13"/>
        <v>62.38</v>
      </c>
      <c r="M847" s="35" t="s">
        <v>11</v>
      </c>
      <c r="N847" s="38"/>
      <c r="O847" s="35" t="s">
        <v>12</v>
      </c>
    </row>
    <row r="848" spans="1:15" x14ac:dyDescent="0.25">
      <c r="A848" s="35">
        <v>1255562695</v>
      </c>
      <c r="B848" s="35" t="s">
        <v>3721</v>
      </c>
      <c r="C848" s="35">
        <v>2026</v>
      </c>
      <c r="D848" s="36">
        <v>46057.963645833333</v>
      </c>
      <c r="E848" s="37" t="s">
        <v>414</v>
      </c>
      <c r="F848" s="37" t="s">
        <v>3754</v>
      </c>
      <c r="G848" s="37" t="s">
        <v>3755</v>
      </c>
      <c r="H848" s="35" t="s">
        <v>3415</v>
      </c>
      <c r="I848" s="35" t="s">
        <v>3453</v>
      </c>
      <c r="J848" s="38">
        <v>4.3525</v>
      </c>
      <c r="K848" s="35">
        <v>4</v>
      </c>
      <c r="L848" s="38">
        <f t="shared" si="13"/>
        <v>17.41</v>
      </c>
      <c r="M848" s="35" t="s">
        <v>11</v>
      </c>
      <c r="N848" s="38"/>
      <c r="O848" s="35" t="s">
        <v>12</v>
      </c>
    </row>
    <row r="849" spans="1:15" x14ac:dyDescent="0.25">
      <c r="A849" s="35">
        <v>1255553836</v>
      </c>
      <c r="B849" s="35" t="s">
        <v>3721</v>
      </c>
      <c r="C849" s="35">
        <v>2026</v>
      </c>
      <c r="D849" s="36">
        <v>46057.796354166669</v>
      </c>
      <c r="E849" s="37" t="s">
        <v>417</v>
      </c>
      <c r="F849" s="37" t="s">
        <v>3756</v>
      </c>
      <c r="G849" s="37" t="s">
        <v>3757</v>
      </c>
      <c r="H849" s="35" t="s">
        <v>3419</v>
      </c>
      <c r="I849" s="35" t="s">
        <v>3416</v>
      </c>
      <c r="J849" s="38">
        <v>16.715</v>
      </c>
      <c r="K849" s="35">
        <v>2</v>
      </c>
      <c r="L849" s="38">
        <f t="shared" si="13"/>
        <v>33.43</v>
      </c>
      <c r="M849" s="35" t="s">
        <v>11</v>
      </c>
      <c r="N849" s="38"/>
      <c r="O849" s="35" t="s">
        <v>12</v>
      </c>
    </row>
    <row r="850" spans="1:15" x14ac:dyDescent="0.25">
      <c r="A850" s="35">
        <v>1254926624</v>
      </c>
      <c r="B850" s="35" t="s">
        <v>3721</v>
      </c>
      <c r="C850" s="35">
        <v>2026</v>
      </c>
      <c r="D850" s="36">
        <v>46054.787233796298</v>
      </c>
      <c r="E850" s="37" t="s">
        <v>8</v>
      </c>
      <c r="F850" s="37" t="s">
        <v>3759</v>
      </c>
      <c r="G850" s="37" t="s">
        <v>3760</v>
      </c>
      <c r="H850" s="35" t="s">
        <v>3415</v>
      </c>
      <c r="I850" s="35" t="s">
        <v>3416</v>
      </c>
      <c r="J850" s="38">
        <v>0.35</v>
      </c>
      <c r="K850" s="35">
        <v>4</v>
      </c>
      <c r="L850" s="38">
        <f t="shared" si="13"/>
        <v>1.4</v>
      </c>
      <c r="M850" s="42" t="s">
        <v>11</v>
      </c>
      <c r="N850" s="38"/>
      <c r="O850" s="35" t="s">
        <v>12</v>
      </c>
    </row>
    <row r="851" spans="1:15" x14ac:dyDescent="0.25">
      <c r="A851" s="35">
        <v>1254783097</v>
      </c>
      <c r="B851" s="35" t="s">
        <v>3721</v>
      </c>
      <c r="C851" s="35">
        <v>2026</v>
      </c>
      <c r="D851" s="36">
        <v>46054.065798611111</v>
      </c>
      <c r="E851" s="37" t="s">
        <v>432</v>
      </c>
      <c r="F851" s="37" t="s">
        <v>3534</v>
      </c>
      <c r="G851" s="37" t="s">
        <v>3535</v>
      </c>
      <c r="H851" s="35" t="s">
        <v>3419</v>
      </c>
      <c r="I851" s="35" t="s">
        <v>3416</v>
      </c>
      <c r="J851" s="38">
        <v>4.45</v>
      </c>
      <c r="K851" s="35">
        <v>1</v>
      </c>
      <c r="L851" s="38">
        <f t="shared" si="13"/>
        <v>4.45</v>
      </c>
      <c r="M851" s="35" t="s">
        <v>11</v>
      </c>
      <c r="N851" s="38"/>
      <c r="O851" s="35" t="s">
        <v>12</v>
      </c>
    </row>
    <row r="852" spans="1:15" x14ac:dyDescent="0.25">
      <c r="A852" s="35">
        <v>1254712460</v>
      </c>
      <c r="B852" s="35" t="s">
        <v>3761</v>
      </c>
      <c r="C852" s="35">
        <v>2026</v>
      </c>
      <c r="D852" s="36">
        <v>46053.795138888891</v>
      </c>
      <c r="E852" s="37" t="s">
        <v>434</v>
      </c>
      <c r="F852" s="37" t="s">
        <v>3534</v>
      </c>
      <c r="G852" s="37" t="s">
        <v>3535</v>
      </c>
      <c r="H852" s="35" t="s">
        <v>3419</v>
      </c>
      <c r="I852" s="35" t="s">
        <v>3416</v>
      </c>
      <c r="J852" s="38">
        <v>3.7250000000000001</v>
      </c>
      <c r="K852" s="35">
        <v>2</v>
      </c>
      <c r="L852" s="38">
        <f t="shared" si="13"/>
        <v>7.45</v>
      </c>
      <c r="M852" s="35" t="s">
        <v>11</v>
      </c>
      <c r="N852" s="38"/>
      <c r="O852" s="35" t="s">
        <v>12</v>
      </c>
    </row>
    <row r="853" spans="1:15" x14ac:dyDescent="0.25">
      <c r="A853" s="35">
        <v>1254395151</v>
      </c>
      <c r="B853" s="35" t="s">
        <v>3761</v>
      </c>
      <c r="C853" s="35">
        <v>2026</v>
      </c>
      <c r="D853" s="36">
        <v>46052.467245370368</v>
      </c>
      <c r="E853" s="37" t="s">
        <v>440</v>
      </c>
      <c r="F853" s="37" t="s">
        <v>3762</v>
      </c>
      <c r="G853" s="37" t="s">
        <v>3621</v>
      </c>
      <c r="H853" s="35" t="s">
        <v>3419</v>
      </c>
      <c r="I853" s="35" t="s">
        <v>3416</v>
      </c>
      <c r="J853" s="38">
        <v>0.27427514346118997</v>
      </c>
      <c r="K853" s="35">
        <v>1</v>
      </c>
      <c r="L853" s="38">
        <f t="shared" si="13"/>
        <v>0.27427514346118997</v>
      </c>
      <c r="M853" s="35" t="s">
        <v>11</v>
      </c>
      <c r="N853" s="38"/>
      <c r="O853" s="35" t="s">
        <v>12</v>
      </c>
    </row>
    <row r="854" spans="1:15" x14ac:dyDescent="0.25">
      <c r="A854" s="35">
        <v>1254395151</v>
      </c>
      <c r="B854" s="35" t="s">
        <v>3761</v>
      </c>
      <c r="C854" s="35">
        <v>2026</v>
      </c>
      <c r="D854" s="36">
        <v>46052.467245370368</v>
      </c>
      <c r="E854" s="37" t="s">
        <v>440</v>
      </c>
      <c r="F854" s="37" t="s">
        <v>3763</v>
      </c>
      <c r="G854" s="37" t="s">
        <v>3535</v>
      </c>
      <c r="H854" s="35" t="s">
        <v>3419</v>
      </c>
      <c r="I854" s="35" t="s">
        <v>3416</v>
      </c>
      <c r="J854" s="38">
        <v>24.125241618846271</v>
      </c>
      <c r="K854" s="35">
        <v>3</v>
      </c>
      <c r="L854" s="38">
        <f t="shared" si="13"/>
        <v>72.37572485653881</v>
      </c>
      <c r="M854" s="35" t="s">
        <v>11</v>
      </c>
      <c r="N854" s="38"/>
      <c r="O854" s="35" t="s">
        <v>12</v>
      </c>
    </row>
    <row r="855" spans="1:15" ht="30" x14ac:dyDescent="0.25">
      <c r="A855" s="35">
        <v>1254143197</v>
      </c>
      <c r="B855" s="35" t="s">
        <v>3761</v>
      </c>
      <c r="C855" s="35">
        <v>2026</v>
      </c>
      <c r="D855" s="36">
        <v>46051.277175925927</v>
      </c>
      <c r="E855" s="37" t="s">
        <v>442</v>
      </c>
      <c r="F855" s="37" t="s">
        <v>3764</v>
      </c>
      <c r="G855" s="37" t="s">
        <v>3765</v>
      </c>
      <c r="H855" s="35" t="s">
        <v>3415</v>
      </c>
      <c r="I855" s="35" t="s">
        <v>3416</v>
      </c>
      <c r="J855" s="38">
        <v>1.3025</v>
      </c>
      <c r="K855" s="35">
        <v>4</v>
      </c>
      <c r="L855" s="38">
        <f t="shared" si="13"/>
        <v>5.21</v>
      </c>
      <c r="M855" s="35" t="s">
        <v>11</v>
      </c>
      <c r="N855" s="38"/>
      <c r="O855" s="35" t="s">
        <v>12</v>
      </c>
    </row>
    <row r="856" spans="1:15" x14ac:dyDescent="0.25">
      <c r="A856" s="35">
        <v>1254002338</v>
      </c>
      <c r="B856" s="35" t="s">
        <v>3761</v>
      </c>
      <c r="C856" s="35">
        <v>2026</v>
      </c>
      <c r="D856" s="36">
        <v>46050.434976851851</v>
      </c>
      <c r="E856" s="37" t="s">
        <v>61</v>
      </c>
      <c r="F856" s="37" t="s">
        <v>3774</v>
      </c>
      <c r="G856" s="37" t="s">
        <v>3760</v>
      </c>
      <c r="H856" s="35" t="s">
        <v>3415</v>
      </c>
      <c r="I856" s="35" t="s">
        <v>3416</v>
      </c>
      <c r="J856" s="38">
        <v>4.9400000000000004</v>
      </c>
      <c r="K856" s="35">
        <v>4</v>
      </c>
      <c r="L856" s="38">
        <f t="shared" si="13"/>
        <v>19.760000000000002</v>
      </c>
      <c r="M856" s="42" t="s">
        <v>11</v>
      </c>
      <c r="N856" s="38"/>
      <c r="O856" s="35" t="s">
        <v>12</v>
      </c>
    </row>
    <row r="857" spans="1:15" x14ac:dyDescent="0.25">
      <c r="A857" s="35">
        <v>1253991394</v>
      </c>
      <c r="B857" s="35" t="s">
        <v>3761</v>
      </c>
      <c r="C857" s="35">
        <v>2026</v>
      </c>
      <c r="D857" s="36">
        <v>46050.434108796297</v>
      </c>
      <c r="E857" s="37" t="s">
        <v>446</v>
      </c>
      <c r="F857" s="37" t="s">
        <v>3775</v>
      </c>
      <c r="G857" s="37" t="s">
        <v>3776</v>
      </c>
      <c r="H857" s="35" t="s">
        <v>3419</v>
      </c>
      <c r="I857" s="35" t="s">
        <v>3416</v>
      </c>
      <c r="J857" s="38">
        <v>2.4500000000000002</v>
      </c>
      <c r="K857" s="35">
        <v>1</v>
      </c>
      <c r="L857" s="38">
        <f t="shared" si="13"/>
        <v>2.4500000000000002</v>
      </c>
      <c r="M857" s="35" t="s">
        <v>11</v>
      </c>
      <c r="N857" s="38"/>
      <c r="O857" s="35" t="s">
        <v>12</v>
      </c>
    </row>
    <row r="858" spans="1:15" x14ac:dyDescent="0.25">
      <c r="A858" s="35">
        <v>1253991384</v>
      </c>
      <c r="B858" s="35" t="s">
        <v>3761</v>
      </c>
      <c r="C858" s="35">
        <v>2026</v>
      </c>
      <c r="D858" s="36">
        <v>46050.434108796297</v>
      </c>
      <c r="E858" s="37" t="s">
        <v>448</v>
      </c>
      <c r="F858" s="37" t="s">
        <v>3775</v>
      </c>
      <c r="G858" s="37" t="s">
        <v>3776</v>
      </c>
      <c r="H858" s="35" t="s">
        <v>3419</v>
      </c>
      <c r="I858" s="35" t="s">
        <v>3416</v>
      </c>
      <c r="J858" s="38">
        <v>1.383333333333334</v>
      </c>
      <c r="K858" s="35">
        <v>3</v>
      </c>
      <c r="L858" s="38">
        <f t="shared" si="13"/>
        <v>4.1500000000000021</v>
      </c>
      <c r="M858" s="35" t="s">
        <v>11</v>
      </c>
      <c r="N858" s="38"/>
      <c r="O858" s="35" t="s">
        <v>12</v>
      </c>
    </row>
    <row r="859" spans="1:15" ht="30" x14ac:dyDescent="0.25">
      <c r="A859" s="35">
        <v>1253991180</v>
      </c>
      <c r="B859" s="35" t="s">
        <v>3761</v>
      </c>
      <c r="C859" s="35">
        <v>2026</v>
      </c>
      <c r="D859" s="36">
        <v>46050.434108796297</v>
      </c>
      <c r="E859" s="37" t="s">
        <v>8</v>
      </c>
      <c r="F859" s="37" t="s">
        <v>3777</v>
      </c>
      <c r="G859" s="37" t="s">
        <v>3778</v>
      </c>
      <c r="H859" s="35" t="s">
        <v>3415</v>
      </c>
      <c r="I859" s="35" t="s">
        <v>3416</v>
      </c>
      <c r="J859" s="38">
        <v>0.7</v>
      </c>
      <c r="K859" s="35">
        <v>4</v>
      </c>
      <c r="L859" s="38">
        <f t="shared" si="13"/>
        <v>2.8</v>
      </c>
      <c r="M859" s="42" t="s">
        <v>11</v>
      </c>
      <c r="N859" s="38"/>
      <c r="O859" s="35" t="s">
        <v>12</v>
      </c>
    </row>
    <row r="860" spans="1:15" x14ac:dyDescent="0.25">
      <c r="A860" s="35">
        <v>1253986679</v>
      </c>
      <c r="B860" s="35" t="s">
        <v>3761</v>
      </c>
      <c r="C860" s="35">
        <v>2026</v>
      </c>
      <c r="D860" s="36">
        <v>46050.434108796297</v>
      </c>
      <c r="E860" s="37" t="s">
        <v>61</v>
      </c>
      <c r="F860" s="37" t="s">
        <v>3779</v>
      </c>
      <c r="G860" s="37" t="s">
        <v>3760</v>
      </c>
      <c r="H860" s="35" t="s">
        <v>3415</v>
      </c>
      <c r="I860" s="35" t="s">
        <v>3416</v>
      </c>
      <c r="J860" s="38">
        <v>0.6</v>
      </c>
      <c r="K860" s="35">
        <v>4</v>
      </c>
      <c r="L860" s="38">
        <f t="shared" si="13"/>
        <v>2.4</v>
      </c>
      <c r="M860" s="42" t="s">
        <v>11</v>
      </c>
      <c r="N860" s="38"/>
      <c r="O860" s="35" t="s">
        <v>12</v>
      </c>
    </row>
    <row r="861" spans="1:15" x14ac:dyDescent="0.25">
      <c r="A861" s="35">
        <v>1253986679</v>
      </c>
      <c r="B861" s="35" t="s">
        <v>3761</v>
      </c>
      <c r="C861" s="35">
        <v>2026</v>
      </c>
      <c r="D861" s="36">
        <v>46050.434108796297</v>
      </c>
      <c r="E861" s="37" t="s">
        <v>61</v>
      </c>
      <c r="F861" s="37" t="s">
        <v>3780</v>
      </c>
      <c r="G861" s="37" t="s">
        <v>3535</v>
      </c>
      <c r="H861" s="35" t="s">
        <v>3419</v>
      </c>
      <c r="I861" s="35" t="s">
        <v>3416</v>
      </c>
      <c r="J861" s="38">
        <v>0.75</v>
      </c>
      <c r="K861" s="35">
        <v>2</v>
      </c>
      <c r="L861" s="38">
        <f t="shared" si="13"/>
        <v>1.5</v>
      </c>
      <c r="M861" s="42" t="s">
        <v>11</v>
      </c>
      <c r="N861" s="38"/>
      <c r="O861" s="35" t="s">
        <v>12</v>
      </c>
    </row>
    <row r="862" spans="1:15" x14ac:dyDescent="0.25">
      <c r="A862" s="35">
        <v>1253986679</v>
      </c>
      <c r="B862" s="35" t="s">
        <v>3761</v>
      </c>
      <c r="C862" s="35">
        <v>2026</v>
      </c>
      <c r="D862" s="36">
        <v>46050.434108796297</v>
      </c>
      <c r="E862" s="37" t="s">
        <v>61</v>
      </c>
      <c r="F862" s="37" t="s">
        <v>3780</v>
      </c>
      <c r="G862" s="37" t="s">
        <v>3535</v>
      </c>
      <c r="H862" s="35" t="s">
        <v>3419</v>
      </c>
      <c r="I862" s="35" t="s">
        <v>3416</v>
      </c>
      <c r="J862" s="38">
        <v>0.75</v>
      </c>
      <c r="K862" s="35">
        <v>2</v>
      </c>
      <c r="L862" s="38">
        <f t="shared" si="13"/>
        <v>1.5</v>
      </c>
      <c r="M862" s="42" t="s">
        <v>11</v>
      </c>
      <c r="N862" s="38"/>
      <c r="O862" s="35" t="s">
        <v>12</v>
      </c>
    </row>
    <row r="863" spans="1:15" x14ac:dyDescent="0.25">
      <c r="A863" s="35">
        <v>1253986679</v>
      </c>
      <c r="B863" s="35" t="s">
        <v>3761</v>
      </c>
      <c r="C863" s="35">
        <v>2026</v>
      </c>
      <c r="D863" s="36">
        <v>46050.434108796297</v>
      </c>
      <c r="E863" s="37" t="s">
        <v>61</v>
      </c>
      <c r="F863" s="37" t="s">
        <v>3781</v>
      </c>
      <c r="G863" s="37" t="s">
        <v>3760</v>
      </c>
      <c r="H863" s="35" t="s">
        <v>3415</v>
      </c>
      <c r="I863" s="35" t="s">
        <v>3416</v>
      </c>
      <c r="J863" s="38">
        <v>0.15</v>
      </c>
      <c r="K863" s="35">
        <v>4</v>
      </c>
      <c r="L863" s="38">
        <f t="shared" si="13"/>
        <v>0.6</v>
      </c>
      <c r="M863" s="42" t="s">
        <v>11</v>
      </c>
      <c r="N863" s="38"/>
      <c r="O863" s="35" t="s">
        <v>12</v>
      </c>
    </row>
    <row r="864" spans="1:15" x14ac:dyDescent="0.25">
      <c r="A864" s="35">
        <v>1253986679</v>
      </c>
      <c r="B864" s="35" t="s">
        <v>3761</v>
      </c>
      <c r="C864" s="35">
        <v>2026</v>
      </c>
      <c r="D864" s="36">
        <v>46050.434108796297</v>
      </c>
      <c r="E864" s="37" t="s">
        <v>61</v>
      </c>
      <c r="F864" s="37" t="s">
        <v>3782</v>
      </c>
      <c r="G864" s="37" t="s">
        <v>3760</v>
      </c>
      <c r="H864" s="35" t="s">
        <v>3415</v>
      </c>
      <c r="I864" s="35" t="s">
        <v>3416</v>
      </c>
      <c r="J864" s="38">
        <v>0.6</v>
      </c>
      <c r="K864" s="35">
        <v>4</v>
      </c>
      <c r="L864" s="38">
        <f t="shared" si="13"/>
        <v>2.4</v>
      </c>
      <c r="M864" s="42" t="s">
        <v>11</v>
      </c>
      <c r="N864" s="38"/>
      <c r="O864" s="35" t="s">
        <v>12</v>
      </c>
    </row>
    <row r="865" spans="1:15" x14ac:dyDescent="0.25">
      <c r="A865" s="35">
        <v>1253572152</v>
      </c>
      <c r="B865" s="35" t="s">
        <v>3761</v>
      </c>
      <c r="C865" s="35">
        <v>2026</v>
      </c>
      <c r="D865" s="36">
        <v>46048.875798611109</v>
      </c>
      <c r="E865" s="37" t="s">
        <v>453</v>
      </c>
      <c r="F865" s="37" t="s">
        <v>3783</v>
      </c>
      <c r="G865" s="37" t="s">
        <v>2045</v>
      </c>
      <c r="H865" s="35" t="s">
        <v>3419</v>
      </c>
      <c r="I865" s="35" t="s">
        <v>3453</v>
      </c>
      <c r="J865" s="38">
        <v>116.99</v>
      </c>
      <c r="K865" s="35">
        <v>1</v>
      </c>
      <c r="L865" s="38">
        <f t="shared" si="13"/>
        <v>116.99</v>
      </c>
      <c r="M865" s="35" t="s">
        <v>11</v>
      </c>
      <c r="N865" s="38"/>
      <c r="O865" s="35" t="s">
        <v>12</v>
      </c>
    </row>
    <row r="866" spans="1:15" x14ac:dyDescent="0.25">
      <c r="A866" s="35">
        <v>1252837493</v>
      </c>
      <c r="B866" s="35" t="s">
        <v>3761</v>
      </c>
      <c r="C866" s="35">
        <v>2026</v>
      </c>
      <c r="D866" s="36">
        <v>46044.678761574083</v>
      </c>
      <c r="E866" s="37" t="s">
        <v>318</v>
      </c>
      <c r="F866" s="37" t="s">
        <v>3785</v>
      </c>
      <c r="G866" s="37" t="s">
        <v>3786</v>
      </c>
      <c r="H866" s="35" t="s">
        <v>3419</v>
      </c>
      <c r="I866" s="35" t="s">
        <v>3453</v>
      </c>
      <c r="J866" s="38">
        <v>327.54401760685369</v>
      </c>
      <c r="K866" s="35">
        <v>1</v>
      </c>
      <c r="L866" s="38">
        <f t="shared" si="13"/>
        <v>327.54401760685369</v>
      </c>
      <c r="M866" s="35" t="s">
        <v>11</v>
      </c>
      <c r="N866" s="38"/>
      <c r="O866" s="35" t="s">
        <v>12</v>
      </c>
    </row>
    <row r="867" spans="1:15" x14ac:dyDescent="0.25">
      <c r="A867" s="35">
        <v>1252837493</v>
      </c>
      <c r="B867" s="35" t="s">
        <v>3761</v>
      </c>
      <c r="C867" s="35">
        <v>2026</v>
      </c>
      <c r="D867" s="36">
        <v>46044.678761574083</v>
      </c>
      <c r="E867" s="37" t="s">
        <v>318</v>
      </c>
      <c r="F867" s="37" t="s">
        <v>3785</v>
      </c>
      <c r="G867" s="37" t="s">
        <v>3786</v>
      </c>
      <c r="H867" s="35" t="s">
        <v>3419</v>
      </c>
      <c r="I867" s="35" t="s">
        <v>3453</v>
      </c>
      <c r="J867" s="38">
        <v>322.42598239314623</v>
      </c>
      <c r="K867" s="35">
        <v>1</v>
      </c>
      <c r="L867" s="38">
        <f t="shared" si="13"/>
        <v>322.42598239314623</v>
      </c>
      <c r="M867" s="35" t="s">
        <v>11</v>
      </c>
      <c r="N867" s="38"/>
      <c r="O867" s="35" t="s">
        <v>12</v>
      </c>
    </row>
    <row r="868" spans="1:15" x14ac:dyDescent="0.25">
      <c r="A868" s="35">
        <v>1252582075</v>
      </c>
      <c r="B868" s="35" t="s">
        <v>3761</v>
      </c>
      <c r="C868" s="35">
        <v>2026</v>
      </c>
      <c r="D868" s="36">
        <v>46043.496736111112</v>
      </c>
      <c r="E868" s="37" t="s">
        <v>460</v>
      </c>
      <c r="F868" s="37" t="s">
        <v>3787</v>
      </c>
      <c r="G868" s="37" t="s">
        <v>3788</v>
      </c>
      <c r="H868" s="35" t="s">
        <v>3419</v>
      </c>
      <c r="I868" s="35" t="s">
        <v>3416</v>
      </c>
      <c r="J868" s="38">
        <v>7.44</v>
      </c>
      <c r="K868" s="35">
        <v>1</v>
      </c>
      <c r="L868" s="38">
        <f t="shared" si="13"/>
        <v>7.44</v>
      </c>
      <c r="M868" s="35" t="s">
        <v>11</v>
      </c>
      <c r="N868" s="38"/>
      <c r="O868" s="35" t="s">
        <v>12</v>
      </c>
    </row>
    <row r="869" spans="1:15" x14ac:dyDescent="0.25">
      <c r="A869" s="35">
        <v>1252580960</v>
      </c>
      <c r="B869" s="35" t="s">
        <v>3761</v>
      </c>
      <c r="C869" s="35">
        <v>2026</v>
      </c>
      <c r="D869" s="36">
        <v>46043.496736111112</v>
      </c>
      <c r="E869" s="37" t="s">
        <v>463</v>
      </c>
      <c r="F869" s="37" t="s">
        <v>3787</v>
      </c>
      <c r="G869" s="37" t="s">
        <v>3788</v>
      </c>
      <c r="H869" s="35" t="s">
        <v>3419</v>
      </c>
      <c r="I869" s="35" t="s">
        <v>3416</v>
      </c>
      <c r="J869" s="38">
        <v>6.44</v>
      </c>
      <c r="K869" s="35">
        <v>1</v>
      </c>
      <c r="L869" s="38">
        <f t="shared" si="13"/>
        <v>6.44</v>
      </c>
      <c r="M869" s="35" t="s">
        <v>11</v>
      </c>
      <c r="N869" s="38"/>
      <c r="O869" s="35" t="s">
        <v>12</v>
      </c>
    </row>
    <row r="870" spans="1:15" x14ac:dyDescent="0.25">
      <c r="A870" s="35">
        <v>1252502785</v>
      </c>
      <c r="B870" s="35" t="s">
        <v>3761</v>
      </c>
      <c r="C870" s="35">
        <v>2026</v>
      </c>
      <c r="D870" s="36">
        <v>46043.359363425923</v>
      </c>
      <c r="E870" s="37" t="s">
        <v>467</v>
      </c>
      <c r="F870" s="37" t="s">
        <v>3793</v>
      </c>
      <c r="G870" s="37" t="s">
        <v>3794</v>
      </c>
      <c r="H870" s="35" t="s">
        <v>3419</v>
      </c>
      <c r="I870" s="35" t="s">
        <v>3416</v>
      </c>
      <c r="J870" s="38">
        <v>10.79158761160714</v>
      </c>
      <c r="K870" s="35">
        <v>2</v>
      </c>
      <c r="L870" s="38">
        <f t="shared" si="13"/>
        <v>21.58317522321428</v>
      </c>
      <c r="M870" s="35" t="s">
        <v>11</v>
      </c>
      <c r="N870" s="38"/>
      <c r="O870" s="35" t="s">
        <v>12</v>
      </c>
    </row>
    <row r="871" spans="1:15" x14ac:dyDescent="0.25">
      <c r="A871" s="35">
        <v>1252502785</v>
      </c>
      <c r="B871" s="35" t="s">
        <v>3761</v>
      </c>
      <c r="C871" s="35">
        <v>2026</v>
      </c>
      <c r="D871" s="36">
        <v>46043.359363425923</v>
      </c>
      <c r="E871" s="37" t="s">
        <v>467</v>
      </c>
      <c r="F871" s="37" t="s">
        <v>3793</v>
      </c>
      <c r="G871" s="37" t="s">
        <v>3794</v>
      </c>
      <c r="H871" s="35" t="s">
        <v>3419</v>
      </c>
      <c r="I871" s="35" t="s">
        <v>3416</v>
      </c>
      <c r="J871" s="38">
        <v>10.34341238839286</v>
      </c>
      <c r="K871" s="35">
        <v>2</v>
      </c>
      <c r="L871" s="38">
        <f t="shared" si="13"/>
        <v>20.68682477678572</v>
      </c>
      <c r="M871" s="35" t="s">
        <v>11</v>
      </c>
      <c r="N871" s="38"/>
      <c r="O871" s="35" t="s">
        <v>12</v>
      </c>
    </row>
    <row r="872" spans="1:15" x14ac:dyDescent="0.25">
      <c r="A872" s="35">
        <v>1252489296</v>
      </c>
      <c r="B872" s="35" t="s">
        <v>3761</v>
      </c>
      <c r="C872" s="35">
        <v>2026</v>
      </c>
      <c r="D872" s="36">
        <v>46042.941550925927</v>
      </c>
      <c r="E872" s="37" t="s">
        <v>469</v>
      </c>
      <c r="F872" s="37" t="s">
        <v>3795</v>
      </c>
      <c r="G872" s="37" t="s">
        <v>3794</v>
      </c>
      <c r="H872" s="35" t="s">
        <v>3415</v>
      </c>
      <c r="I872" s="35" t="s">
        <v>3416</v>
      </c>
      <c r="J872" s="38">
        <v>3.103540922087205</v>
      </c>
      <c r="K872" s="35">
        <v>4</v>
      </c>
      <c r="L872" s="38">
        <f t="shared" si="13"/>
        <v>12.41416368834882</v>
      </c>
      <c r="M872" s="35" t="s">
        <v>11</v>
      </c>
      <c r="N872" s="38"/>
      <c r="O872" s="35" t="s">
        <v>12</v>
      </c>
    </row>
    <row r="873" spans="1:15" x14ac:dyDescent="0.25">
      <c r="A873" s="35">
        <v>1252489296</v>
      </c>
      <c r="B873" s="35" t="s">
        <v>3761</v>
      </c>
      <c r="C873" s="35">
        <v>2026</v>
      </c>
      <c r="D873" s="36">
        <v>46042.941550925927</v>
      </c>
      <c r="E873" s="37" t="s">
        <v>469</v>
      </c>
      <c r="F873" s="37" t="s">
        <v>3796</v>
      </c>
      <c r="G873" s="37" t="s">
        <v>3797</v>
      </c>
      <c r="H873" s="35" t="s">
        <v>3415</v>
      </c>
      <c r="I873" s="35" t="s">
        <v>3453</v>
      </c>
      <c r="J873" s="38">
        <v>25.938959077912791</v>
      </c>
      <c r="K873" s="35">
        <v>4</v>
      </c>
      <c r="L873" s="38">
        <f t="shared" si="13"/>
        <v>103.75583631165117</v>
      </c>
      <c r="M873" s="35" t="s">
        <v>11</v>
      </c>
      <c r="N873" s="38"/>
      <c r="O873" s="35" t="s">
        <v>12</v>
      </c>
    </row>
    <row r="874" spans="1:15" x14ac:dyDescent="0.25">
      <c r="A874" s="35">
        <v>1251821338</v>
      </c>
      <c r="B874" s="35" t="s">
        <v>3761</v>
      </c>
      <c r="C874" s="35">
        <v>2026</v>
      </c>
      <c r="D874" s="36">
        <v>46039.99291666667</v>
      </c>
      <c r="E874" s="37" t="s">
        <v>481</v>
      </c>
      <c r="F874" s="37" t="s">
        <v>3814</v>
      </c>
      <c r="G874" s="37" t="s">
        <v>3755</v>
      </c>
      <c r="H874" s="35" t="s">
        <v>3419</v>
      </c>
      <c r="I874" s="35" t="s">
        <v>3416</v>
      </c>
      <c r="J874" s="38">
        <v>0.1182389937106918</v>
      </c>
      <c r="K874" s="35">
        <v>2</v>
      </c>
      <c r="L874" s="38">
        <f t="shared" si="13"/>
        <v>0.2364779874213836</v>
      </c>
      <c r="M874" s="35" t="s">
        <v>11</v>
      </c>
      <c r="N874" s="38"/>
      <c r="O874" s="35" t="s">
        <v>12</v>
      </c>
    </row>
    <row r="875" spans="1:15" x14ac:dyDescent="0.25">
      <c r="A875" s="35">
        <v>1251821338</v>
      </c>
      <c r="B875" s="35" t="s">
        <v>3761</v>
      </c>
      <c r="C875" s="35">
        <v>2026</v>
      </c>
      <c r="D875" s="36">
        <v>46039.99291666667</v>
      </c>
      <c r="E875" s="37" t="s">
        <v>481</v>
      </c>
      <c r="F875" s="37" t="s">
        <v>3815</v>
      </c>
      <c r="G875" s="37" t="s">
        <v>3816</v>
      </c>
      <c r="H875" s="35" t="s">
        <v>3419</v>
      </c>
      <c r="I875" s="35" t="s">
        <v>3416</v>
      </c>
      <c r="J875" s="38">
        <v>9.1635220125786159</v>
      </c>
      <c r="K875" s="35">
        <v>1</v>
      </c>
      <c r="L875" s="38">
        <f t="shared" si="13"/>
        <v>9.1635220125786159</v>
      </c>
      <c r="M875" s="35" t="s">
        <v>11</v>
      </c>
      <c r="N875" s="38"/>
      <c r="O875" s="35" t="s">
        <v>12</v>
      </c>
    </row>
    <row r="876" spans="1:15" x14ac:dyDescent="0.25">
      <c r="A876" s="35">
        <v>1251202625</v>
      </c>
      <c r="B876" s="35" t="s">
        <v>3761</v>
      </c>
      <c r="C876" s="35">
        <v>2026</v>
      </c>
      <c r="D876" s="36">
        <v>46036.544999999998</v>
      </c>
      <c r="E876" s="37" t="s">
        <v>8</v>
      </c>
      <c r="F876" s="37" t="s">
        <v>3835</v>
      </c>
      <c r="G876" s="37" t="s">
        <v>3710</v>
      </c>
      <c r="H876" s="35" t="s">
        <v>3415</v>
      </c>
      <c r="I876" s="35" t="s">
        <v>3416</v>
      </c>
      <c r="J876" s="38">
        <v>0.05</v>
      </c>
      <c r="K876" s="35">
        <v>4</v>
      </c>
      <c r="L876" s="38">
        <f t="shared" si="13"/>
        <v>0.2</v>
      </c>
      <c r="M876" s="42" t="s">
        <v>11</v>
      </c>
      <c r="N876" s="38"/>
      <c r="O876" s="35" t="s">
        <v>12</v>
      </c>
    </row>
    <row r="877" spans="1:15" x14ac:dyDescent="0.25">
      <c r="A877" s="35">
        <v>1251202598</v>
      </c>
      <c r="B877" s="35" t="s">
        <v>3761</v>
      </c>
      <c r="C877" s="35">
        <v>2026</v>
      </c>
      <c r="D877" s="36">
        <v>46036.544999999998</v>
      </c>
      <c r="E877" s="37" t="s">
        <v>494</v>
      </c>
      <c r="F877" s="37" t="s">
        <v>3836</v>
      </c>
      <c r="G877" s="37" t="s">
        <v>3837</v>
      </c>
      <c r="H877" s="35" t="s">
        <v>3419</v>
      </c>
      <c r="I877" s="35" t="s">
        <v>3453</v>
      </c>
      <c r="J877" s="38">
        <v>2.726281433921883</v>
      </c>
      <c r="K877" s="35">
        <v>1</v>
      </c>
      <c r="L877" s="38">
        <f t="shared" si="13"/>
        <v>2.726281433921883</v>
      </c>
      <c r="M877" s="35" t="s">
        <v>11</v>
      </c>
      <c r="N877" s="38"/>
      <c r="O877" s="35" t="s">
        <v>12</v>
      </c>
    </row>
    <row r="878" spans="1:15" x14ac:dyDescent="0.25">
      <c r="A878" s="35">
        <v>1251202598</v>
      </c>
      <c r="B878" s="35" t="s">
        <v>3761</v>
      </c>
      <c r="C878" s="35">
        <v>2026</v>
      </c>
      <c r="D878" s="36">
        <v>46036.544999999998</v>
      </c>
      <c r="E878" s="37" t="s">
        <v>494</v>
      </c>
      <c r="F878" s="37" t="s">
        <v>3838</v>
      </c>
      <c r="G878" s="37" t="s">
        <v>3839</v>
      </c>
      <c r="H878" s="35" t="s">
        <v>3415</v>
      </c>
      <c r="I878" s="35" t="s">
        <v>3453</v>
      </c>
      <c r="J878" s="38">
        <v>4.3534296415195293</v>
      </c>
      <c r="K878" s="35">
        <v>4</v>
      </c>
      <c r="L878" s="38">
        <f t="shared" si="13"/>
        <v>17.413718566078117</v>
      </c>
      <c r="M878" s="35" t="s">
        <v>11</v>
      </c>
      <c r="N878" s="38"/>
      <c r="O878" s="35" t="s">
        <v>12</v>
      </c>
    </row>
    <row r="879" spans="1:15" x14ac:dyDescent="0.25">
      <c r="A879" s="35">
        <v>1251202381</v>
      </c>
      <c r="B879" s="35" t="s">
        <v>3761</v>
      </c>
      <c r="C879" s="35">
        <v>2026</v>
      </c>
      <c r="D879" s="36">
        <v>46036.544999999998</v>
      </c>
      <c r="E879" s="37" t="s">
        <v>414</v>
      </c>
      <c r="F879" s="37" t="s">
        <v>3840</v>
      </c>
      <c r="G879" s="37" t="s">
        <v>2045</v>
      </c>
      <c r="H879" s="35" t="s">
        <v>3419</v>
      </c>
      <c r="I879" s="35" t="s">
        <v>3453</v>
      </c>
      <c r="J879" s="38">
        <v>6.4258003010536884</v>
      </c>
      <c r="K879" s="35">
        <v>1</v>
      </c>
      <c r="L879" s="38">
        <f t="shared" si="13"/>
        <v>6.4258003010536884</v>
      </c>
      <c r="M879" s="35" t="s">
        <v>11</v>
      </c>
      <c r="N879" s="38"/>
      <c r="O879" s="35" t="s">
        <v>12</v>
      </c>
    </row>
    <row r="880" spans="1:15" x14ac:dyDescent="0.25">
      <c r="A880" s="35">
        <v>1251202381</v>
      </c>
      <c r="B880" s="35" t="s">
        <v>3761</v>
      </c>
      <c r="C880" s="35">
        <v>2026</v>
      </c>
      <c r="D880" s="36">
        <v>46036.544999999998</v>
      </c>
      <c r="E880" s="37" t="s">
        <v>414</v>
      </c>
      <c r="F880" s="37" t="s">
        <v>3841</v>
      </c>
      <c r="G880" s="37" t="s">
        <v>3842</v>
      </c>
      <c r="H880" s="35" t="s">
        <v>3415</v>
      </c>
      <c r="I880" s="35" t="s">
        <v>3453</v>
      </c>
      <c r="J880" s="38">
        <v>2.1347817360762669</v>
      </c>
      <c r="K880" s="35">
        <v>4</v>
      </c>
      <c r="L880" s="38">
        <f t="shared" si="13"/>
        <v>8.5391269443050675</v>
      </c>
      <c r="M880" s="35" t="s">
        <v>11</v>
      </c>
      <c r="N880" s="38"/>
      <c r="O880" s="35" t="s">
        <v>12</v>
      </c>
    </row>
    <row r="881" spans="1:15" x14ac:dyDescent="0.25">
      <c r="A881" s="35">
        <v>1251202381</v>
      </c>
      <c r="B881" s="35" t="s">
        <v>3761</v>
      </c>
      <c r="C881" s="35">
        <v>2026</v>
      </c>
      <c r="D881" s="36">
        <v>46036.544999999998</v>
      </c>
      <c r="E881" s="37" t="s">
        <v>414</v>
      </c>
      <c r="F881" s="37" t="s">
        <v>3843</v>
      </c>
      <c r="G881" s="37" t="s">
        <v>3560</v>
      </c>
      <c r="H881" s="35" t="s">
        <v>3419</v>
      </c>
      <c r="I881" s="35" t="s">
        <v>3416</v>
      </c>
      <c r="J881" s="38">
        <v>3.207536377320622</v>
      </c>
      <c r="K881" s="35">
        <v>2</v>
      </c>
      <c r="L881" s="38">
        <f t="shared" si="13"/>
        <v>6.415072754641244</v>
      </c>
      <c r="M881" s="35" t="s">
        <v>11</v>
      </c>
      <c r="N881" s="38"/>
      <c r="O881" s="35" t="s">
        <v>12</v>
      </c>
    </row>
    <row r="882" spans="1:15" x14ac:dyDescent="0.25">
      <c r="A882" s="35">
        <v>1250998236</v>
      </c>
      <c r="B882" s="35" t="s">
        <v>3761</v>
      </c>
      <c r="C882" s="35">
        <v>2026</v>
      </c>
      <c r="D882" s="36">
        <v>46035.474861111114</v>
      </c>
      <c r="E882" s="37" t="s">
        <v>303</v>
      </c>
      <c r="F882" s="37" t="s">
        <v>3850</v>
      </c>
      <c r="G882" s="37" t="s">
        <v>3851</v>
      </c>
      <c r="H882" s="35" t="s">
        <v>3415</v>
      </c>
      <c r="I882" s="35" t="s">
        <v>3416</v>
      </c>
      <c r="J882" s="38">
        <v>0.45</v>
      </c>
      <c r="K882" s="35">
        <v>4</v>
      </c>
      <c r="L882" s="38">
        <f t="shared" si="13"/>
        <v>1.8</v>
      </c>
      <c r="M882" s="35" t="s">
        <v>11</v>
      </c>
      <c r="N882" s="38"/>
      <c r="O882" s="35" t="s">
        <v>12</v>
      </c>
    </row>
    <row r="883" spans="1:15" x14ac:dyDescent="0.25">
      <c r="A883" s="35">
        <v>1250996062</v>
      </c>
      <c r="B883" s="35" t="s">
        <v>3761</v>
      </c>
      <c r="C883" s="35">
        <v>2026</v>
      </c>
      <c r="D883" s="36">
        <v>46035.474861111114</v>
      </c>
      <c r="E883" s="37" t="s">
        <v>414</v>
      </c>
      <c r="F883" s="37" t="s">
        <v>3852</v>
      </c>
      <c r="G883" s="37" t="s">
        <v>3794</v>
      </c>
      <c r="H883" s="35" t="s">
        <v>3419</v>
      </c>
      <c r="I883" s="35" t="s">
        <v>3416</v>
      </c>
      <c r="J883" s="38">
        <v>4.4737374581939804</v>
      </c>
      <c r="K883" s="35">
        <v>2</v>
      </c>
      <c r="L883" s="38">
        <f t="shared" si="13"/>
        <v>8.9474749163879608</v>
      </c>
      <c r="M883" s="35" t="s">
        <v>11</v>
      </c>
      <c r="N883" s="38"/>
      <c r="O883" s="35" t="s">
        <v>12</v>
      </c>
    </row>
    <row r="884" spans="1:15" x14ac:dyDescent="0.25">
      <c r="A884" s="35">
        <v>1250996062</v>
      </c>
      <c r="B884" s="35" t="s">
        <v>3761</v>
      </c>
      <c r="C884" s="35">
        <v>2026</v>
      </c>
      <c r="D884" s="36">
        <v>46035.474861111114</v>
      </c>
      <c r="E884" s="37" t="s">
        <v>414</v>
      </c>
      <c r="F884" s="37" t="s">
        <v>3853</v>
      </c>
      <c r="G884" s="37" t="s">
        <v>3794</v>
      </c>
      <c r="H884" s="35" t="s">
        <v>3419</v>
      </c>
      <c r="I884" s="35" t="s">
        <v>3416</v>
      </c>
      <c r="J884" s="38">
        <v>2.2312625418060201</v>
      </c>
      <c r="K884" s="35">
        <v>2</v>
      </c>
      <c r="L884" s="38">
        <f t="shared" si="13"/>
        <v>4.4625250836120403</v>
      </c>
      <c r="M884" s="35" t="s">
        <v>11</v>
      </c>
      <c r="N884" s="38"/>
      <c r="O884" s="35" t="s">
        <v>12</v>
      </c>
    </row>
    <row r="885" spans="1:15" x14ac:dyDescent="0.25">
      <c r="A885" s="35">
        <v>1250993041</v>
      </c>
      <c r="B885" s="35" t="s">
        <v>3761</v>
      </c>
      <c r="C885" s="35">
        <v>2026</v>
      </c>
      <c r="D885" s="36">
        <v>46035.474861111114</v>
      </c>
      <c r="E885" s="37" t="s">
        <v>499</v>
      </c>
      <c r="F885" s="37" t="s">
        <v>3854</v>
      </c>
      <c r="G885" s="37" t="s">
        <v>3855</v>
      </c>
      <c r="H885" s="35" t="s">
        <v>3419</v>
      </c>
      <c r="I885" s="35" t="s">
        <v>3416</v>
      </c>
      <c r="J885" s="38">
        <v>53.516666666666673</v>
      </c>
      <c r="K885" s="35">
        <v>3</v>
      </c>
      <c r="L885" s="38">
        <f t="shared" si="13"/>
        <v>160.55000000000001</v>
      </c>
      <c r="M885" s="35" t="s">
        <v>11</v>
      </c>
      <c r="N885" s="38"/>
      <c r="O885" s="35" t="s">
        <v>12</v>
      </c>
    </row>
    <row r="886" spans="1:15" x14ac:dyDescent="0.25">
      <c r="A886" s="35">
        <v>1250947586</v>
      </c>
      <c r="B886" s="35" t="s">
        <v>3761</v>
      </c>
      <c r="C886" s="35">
        <v>2026</v>
      </c>
      <c r="D886" s="36">
        <v>46035.296990740739</v>
      </c>
      <c r="E886" s="37" t="s">
        <v>501</v>
      </c>
      <c r="F886" s="37" t="s">
        <v>3856</v>
      </c>
      <c r="G886" s="37" t="s">
        <v>3857</v>
      </c>
      <c r="H886" s="35" t="s">
        <v>3419</v>
      </c>
      <c r="I886" s="35" t="s">
        <v>3416</v>
      </c>
      <c r="J886" s="38">
        <v>53.38</v>
      </c>
      <c r="K886" s="35">
        <v>1</v>
      </c>
      <c r="L886" s="38">
        <f t="shared" si="13"/>
        <v>53.38</v>
      </c>
      <c r="M886" s="35" t="s">
        <v>11</v>
      </c>
      <c r="N886" s="38"/>
      <c r="O886" s="35" t="s">
        <v>12</v>
      </c>
    </row>
    <row r="887" spans="1:15" x14ac:dyDescent="0.25">
      <c r="A887" s="35">
        <v>1250180858</v>
      </c>
      <c r="B887" s="35" t="s">
        <v>3761</v>
      </c>
      <c r="C887" s="35">
        <v>2026</v>
      </c>
      <c r="D887" s="36">
        <v>46030.902025462958</v>
      </c>
      <c r="E887" s="37" t="s">
        <v>514</v>
      </c>
      <c r="F887" s="37" t="s">
        <v>3870</v>
      </c>
      <c r="G887" s="37" t="s">
        <v>3871</v>
      </c>
      <c r="H887" s="35" t="s">
        <v>3419</v>
      </c>
      <c r="I887" s="35" t="s">
        <v>3416</v>
      </c>
      <c r="J887" s="38">
        <v>25.45</v>
      </c>
      <c r="K887" s="35">
        <v>1</v>
      </c>
      <c r="L887" s="38">
        <f t="shared" si="13"/>
        <v>25.45</v>
      </c>
      <c r="M887" s="35" t="s">
        <v>11</v>
      </c>
      <c r="N887" s="38"/>
      <c r="O887" s="35" t="s">
        <v>12</v>
      </c>
    </row>
    <row r="888" spans="1:15" x14ac:dyDescent="0.25">
      <c r="A888" s="35">
        <v>1250180793</v>
      </c>
      <c r="B888" s="35" t="s">
        <v>3761</v>
      </c>
      <c r="C888" s="35">
        <v>2026</v>
      </c>
      <c r="D888" s="36">
        <v>46030.902025462958</v>
      </c>
      <c r="E888" s="37" t="s">
        <v>516</v>
      </c>
      <c r="F888" s="37" t="s">
        <v>3872</v>
      </c>
      <c r="G888" s="37" t="s">
        <v>3873</v>
      </c>
      <c r="H888" s="35" t="s">
        <v>3419</v>
      </c>
      <c r="I888" s="35" t="s">
        <v>3416</v>
      </c>
      <c r="J888" s="38">
        <v>5.95</v>
      </c>
      <c r="K888" s="35">
        <v>1</v>
      </c>
      <c r="L888" s="38">
        <f t="shared" si="13"/>
        <v>5.95</v>
      </c>
      <c r="M888" s="35" t="s">
        <v>11</v>
      </c>
      <c r="N888" s="38"/>
      <c r="O888" s="35" t="s">
        <v>12</v>
      </c>
    </row>
    <row r="889" spans="1:15" x14ac:dyDescent="0.25">
      <c r="A889" s="35">
        <v>1250175970</v>
      </c>
      <c r="B889" s="35" t="s">
        <v>3761</v>
      </c>
      <c r="C889" s="35">
        <v>2026</v>
      </c>
      <c r="D889" s="36">
        <v>46030.902025462958</v>
      </c>
      <c r="E889" s="37" t="s">
        <v>518</v>
      </c>
      <c r="F889" s="37" t="s">
        <v>3874</v>
      </c>
      <c r="G889" s="37" t="s">
        <v>3624</v>
      </c>
      <c r="H889" s="35" t="s">
        <v>3415</v>
      </c>
      <c r="I889" s="35" t="s">
        <v>3416</v>
      </c>
      <c r="J889" s="38">
        <v>3.3125</v>
      </c>
      <c r="K889" s="35">
        <v>4</v>
      </c>
      <c r="L889" s="38">
        <f t="shared" si="13"/>
        <v>13.25</v>
      </c>
      <c r="M889" s="35" t="s">
        <v>11</v>
      </c>
      <c r="N889" s="38"/>
      <c r="O889" s="35" t="s">
        <v>12</v>
      </c>
    </row>
    <row r="890" spans="1:15" x14ac:dyDescent="0.25">
      <c r="A890" s="35" t="s">
        <v>545</v>
      </c>
      <c r="B890" s="35" t="s">
        <v>3761</v>
      </c>
      <c r="C890" s="35">
        <v>2026</v>
      </c>
      <c r="D890" s="36">
        <v>46023</v>
      </c>
      <c r="E890" s="37" t="s">
        <v>546</v>
      </c>
      <c r="F890" s="37" t="s">
        <v>3885</v>
      </c>
      <c r="G890" s="37" t="s">
        <v>3886</v>
      </c>
      <c r="H890" s="35" t="s">
        <v>3419</v>
      </c>
      <c r="I890" s="35" t="s">
        <v>3453</v>
      </c>
      <c r="J890" s="38">
        <v>330</v>
      </c>
      <c r="K890" s="35">
        <v>1</v>
      </c>
      <c r="L890" s="38">
        <f t="shared" si="13"/>
        <v>330</v>
      </c>
      <c r="M890" s="35" t="s">
        <v>11</v>
      </c>
      <c r="N890" s="38"/>
      <c r="O890" s="35" t="s">
        <v>12</v>
      </c>
    </row>
    <row r="891" spans="1:15" x14ac:dyDescent="0.25">
      <c r="A891" s="35" t="s">
        <v>549</v>
      </c>
      <c r="B891" s="35" t="s">
        <v>3761</v>
      </c>
      <c r="C891" s="35">
        <v>2026</v>
      </c>
      <c r="D891" s="36">
        <v>46023</v>
      </c>
      <c r="E891" s="37" t="s">
        <v>550</v>
      </c>
      <c r="F891" s="37" t="s">
        <v>3887</v>
      </c>
      <c r="G891" s="37" t="s">
        <v>3805</v>
      </c>
      <c r="H891" s="35" t="s">
        <v>3419</v>
      </c>
      <c r="I891" s="35" t="s">
        <v>3453</v>
      </c>
      <c r="J891" s="38">
        <v>2.5</v>
      </c>
      <c r="K891" s="35">
        <v>3</v>
      </c>
      <c r="L891" s="38">
        <f t="shared" si="13"/>
        <v>7.5</v>
      </c>
      <c r="M891" s="35" t="s">
        <v>11</v>
      </c>
      <c r="N891" s="38"/>
      <c r="O891" s="35" t="s">
        <v>12</v>
      </c>
    </row>
    <row r="892" spans="1:15" x14ac:dyDescent="0.25">
      <c r="A892" s="35" t="s">
        <v>549</v>
      </c>
      <c r="B892" s="35" t="s">
        <v>3761</v>
      </c>
      <c r="C892" s="35">
        <v>2026</v>
      </c>
      <c r="D892" s="36">
        <v>46023</v>
      </c>
      <c r="E892" s="37" t="s">
        <v>550</v>
      </c>
      <c r="F892" s="37" t="s">
        <v>3888</v>
      </c>
      <c r="G892" s="37" t="s">
        <v>3889</v>
      </c>
      <c r="H892" s="35" t="s">
        <v>3419</v>
      </c>
      <c r="I892" s="35" t="s">
        <v>3453</v>
      </c>
      <c r="J892" s="38">
        <v>6</v>
      </c>
      <c r="K892" s="35">
        <v>4</v>
      </c>
      <c r="L892" s="38">
        <f t="shared" si="13"/>
        <v>24</v>
      </c>
      <c r="M892" s="35" t="s">
        <v>11</v>
      </c>
      <c r="N892" s="38"/>
      <c r="O892" s="35" t="s">
        <v>12</v>
      </c>
    </row>
    <row r="893" spans="1:15" x14ac:dyDescent="0.25">
      <c r="A893" s="35" t="s">
        <v>552</v>
      </c>
      <c r="B893" s="35" t="s">
        <v>3761</v>
      </c>
      <c r="C893" s="35">
        <v>2026</v>
      </c>
      <c r="D893" s="36">
        <v>46023</v>
      </c>
      <c r="E893" s="37" t="s">
        <v>553</v>
      </c>
      <c r="F893" s="37" t="s">
        <v>3885</v>
      </c>
      <c r="G893" s="37" t="s">
        <v>3886</v>
      </c>
      <c r="H893" s="35" t="s">
        <v>3419</v>
      </c>
      <c r="I893" s="35" t="s">
        <v>3453</v>
      </c>
      <c r="J893" s="38">
        <v>350</v>
      </c>
      <c r="K893" s="35">
        <v>2</v>
      </c>
      <c r="L893" s="38">
        <f t="shared" si="13"/>
        <v>700</v>
      </c>
      <c r="M893" s="35" t="s">
        <v>11</v>
      </c>
      <c r="N893" s="38"/>
      <c r="O893" s="35" t="s">
        <v>12</v>
      </c>
    </row>
    <row r="894" spans="1:15" x14ac:dyDescent="0.25">
      <c r="A894" s="35">
        <v>1247673365</v>
      </c>
      <c r="B894" s="35" t="s">
        <v>3890</v>
      </c>
      <c r="C894" s="35">
        <v>2025</v>
      </c>
      <c r="D894" s="36">
        <v>46015.729305555556</v>
      </c>
      <c r="E894" s="37" t="s">
        <v>573</v>
      </c>
      <c r="F894" s="37" t="s">
        <v>3864</v>
      </c>
      <c r="G894" s="37" t="s">
        <v>3901</v>
      </c>
      <c r="H894" s="35" t="s">
        <v>3419</v>
      </c>
      <c r="I894" s="35" t="s">
        <v>3416</v>
      </c>
      <c r="J894" s="38">
        <v>8.3933333333333326</v>
      </c>
      <c r="K894" s="35">
        <v>3</v>
      </c>
      <c r="L894" s="38">
        <f t="shared" si="13"/>
        <v>25.18</v>
      </c>
      <c r="M894" s="35" t="s">
        <v>11</v>
      </c>
      <c r="N894" s="38"/>
      <c r="O894" s="35" t="s">
        <v>12</v>
      </c>
    </row>
    <row r="895" spans="1:15" x14ac:dyDescent="0.25">
      <c r="A895" s="35">
        <v>1247407412</v>
      </c>
      <c r="B895" s="35" t="s">
        <v>3890</v>
      </c>
      <c r="C895" s="35">
        <v>2025</v>
      </c>
      <c r="D895" s="36">
        <v>46013.817789351851</v>
      </c>
      <c r="E895" s="37" t="s">
        <v>586</v>
      </c>
      <c r="F895" s="37" t="s">
        <v>3904</v>
      </c>
      <c r="G895" s="37" t="s">
        <v>3905</v>
      </c>
      <c r="H895" s="35" t="s">
        <v>3419</v>
      </c>
      <c r="I895" s="35" t="s">
        <v>3416</v>
      </c>
      <c r="J895" s="38">
        <v>10.97666666666667</v>
      </c>
      <c r="K895" s="35">
        <v>3</v>
      </c>
      <c r="L895" s="38">
        <f t="shared" si="13"/>
        <v>32.930000000000007</v>
      </c>
      <c r="M895" s="35" t="s">
        <v>11</v>
      </c>
      <c r="N895" s="38"/>
      <c r="O895" s="35" t="s">
        <v>12</v>
      </c>
    </row>
    <row r="896" spans="1:15" x14ac:dyDescent="0.25">
      <c r="A896" s="35">
        <v>1247238483</v>
      </c>
      <c r="B896" s="35" t="s">
        <v>3890</v>
      </c>
      <c r="C896" s="35">
        <v>2025</v>
      </c>
      <c r="D896" s="36">
        <v>46012.979155092587</v>
      </c>
      <c r="E896" s="37" t="s">
        <v>181</v>
      </c>
      <c r="F896" s="37" t="s">
        <v>3906</v>
      </c>
      <c r="G896" s="37" t="s">
        <v>3907</v>
      </c>
      <c r="H896" s="35" t="s">
        <v>3419</v>
      </c>
      <c r="I896" s="35" t="s">
        <v>3416</v>
      </c>
      <c r="J896" s="38">
        <v>1.2677848101265821</v>
      </c>
      <c r="K896" s="35">
        <v>2</v>
      </c>
      <c r="L896" s="38">
        <f t="shared" si="13"/>
        <v>2.5355696202531641</v>
      </c>
      <c r="M896" s="35" t="s">
        <v>11</v>
      </c>
      <c r="N896" s="38"/>
      <c r="O896" s="35" t="s">
        <v>12</v>
      </c>
    </row>
    <row r="897" spans="1:15" x14ac:dyDescent="0.25">
      <c r="A897" s="35">
        <v>1247238483</v>
      </c>
      <c r="B897" s="35" t="s">
        <v>3890</v>
      </c>
      <c r="C897" s="35">
        <v>2025</v>
      </c>
      <c r="D897" s="36">
        <v>46012.979155092587</v>
      </c>
      <c r="E897" s="37" t="s">
        <v>181</v>
      </c>
      <c r="F897" s="37" t="s">
        <v>3908</v>
      </c>
      <c r="G897" s="37" t="s">
        <v>3905</v>
      </c>
      <c r="H897" s="35" t="s">
        <v>3415</v>
      </c>
      <c r="I897" s="35" t="s">
        <v>3416</v>
      </c>
      <c r="J897" s="38">
        <v>0.88360759493670882</v>
      </c>
      <c r="K897" s="35">
        <v>4</v>
      </c>
      <c r="L897" s="38">
        <f t="shared" si="13"/>
        <v>3.5344303797468353</v>
      </c>
      <c r="M897" s="35" t="s">
        <v>11</v>
      </c>
      <c r="N897" s="38"/>
      <c r="O897" s="35" t="s">
        <v>12</v>
      </c>
    </row>
    <row r="898" spans="1:15" x14ac:dyDescent="0.25">
      <c r="A898" s="35" t="s">
        <v>602</v>
      </c>
      <c r="B898" s="35" t="s">
        <v>3890</v>
      </c>
      <c r="C898" s="35">
        <v>2025</v>
      </c>
      <c r="D898" s="36">
        <v>46011</v>
      </c>
      <c r="E898" s="37" t="s">
        <v>603</v>
      </c>
      <c r="F898" s="37" t="s">
        <v>3785</v>
      </c>
      <c r="G898" s="37" t="s">
        <v>3786</v>
      </c>
      <c r="H898" s="35" t="s">
        <v>3419</v>
      </c>
      <c r="I898" s="35" t="s">
        <v>3453</v>
      </c>
      <c r="J898" s="38">
        <v>310</v>
      </c>
      <c r="K898" s="35">
        <v>1</v>
      </c>
      <c r="L898" s="38">
        <f t="shared" ref="L898:L961" si="14">J898*K898</f>
        <v>310</v>
      </c>
      <c r="M898" s="35" t="s">
        <v>11</v>
      </c>
      <c r="N898" s="38"/>
      <c r="O898" s="35" t="s">
        <v>12</v>
      </c>
    </row>
    <row r="899" spans="1:15" x14ac:dyDescent="0.25">
      <c r="A899" s="35">
        <v>1246782050</v>
      </c>
      <c r="B899" s="35" t="s">
        <v>3890</v>
      </c>
      <c r="C899" s="35">
        <v>2025</v>
      </c>
      <c r="D899" s="36">
        <v>46009.435439814813</v>
      </c>
      <c r="E899" s="37" t="s">
        <v>442</v>
      </c>
      <c r="F899" s="37" t="s">
        <v>3915</v>
      </c>
      <c r="G899" s="37" t="s">
        <v>3916</v>
      </c>
      <c r="H899" s="35" t="s">
        <v>3419</v>
      </c>
      <c r="I899" s="35" t="s">
        <v>3416</v>
      </c>
      <c r="J899" s="38">
        <v>3.5454325175672401</v>
      </c>
      <c r="K899" s="35">
        <v>1</v>
      </c>
      <c r="L899" s="38">
        <f t="shared" si="14"/>
        <v>3.5454325175672401</v>
      </c>
      <c r="M899" s="35" t="s">
        <v>11</v>
      </c>
      <c r="N899" s="38"/>
      <c r="O899" s="35" t="s">
        <v>12</v>
      </c>
    </row>
    <row r="900" spans="1:15" ht="30" x14ac:dyDescent="0.25">
      <c r="A900" s="35">
        <v>1246782050</v>
      </c>
      <c r="B900" s="35" t="s">
        <v>3890</v>
      </c>
      <c r="C900" s="35">
        <v>2025</v>
      </c>
      <c r="D900" s="36">
        <v>46009.435439814813</v>
      </c>
      <c r="E900" s="37" t="s">
        <v>442</v>
      </c>
      <c r="F900" s="37" t="s">
        <v>3917</v>
      </c>
      <c r="G900" s="37" t="s">
        <v>3918</v>
      </c>
      <c r="H900" s="35" t="s">
        <v>3419</v>
      </c>
      <c r="I900" s="35" t="s">
        <v>3416</v>
      </c>
      <c r="J900" s="38">
        <v>13.14097407317664</v>
      </c>
      <c r="K900" s="35">
        <v>1</v>
      </c>
      <c r="L900" s="38">
        <f t="shared" si="14"/>
        <v>13.14097407317664</v>
      </c>
      <c r="M900" s="35" t="s">
        <v>11</v>
      </c>
      <c r="N900" s="38"/>
      <c r="O900" s="35" t="s">
        <v>12</v>
      </c>
    </row>
    <row r="901" spans="1:15" ht="30" x14ac:dyDescent="0.25">
      <c r="A901" s="35">
        <v>1246782050</v>
      </c>
      <c r="B901" s="35" t="s">
        <v>3890</v>
      </c>
      <c r="C901" s="35">
        <v>2025</v>
      </c>
      <c r="D901" s="36">
        <v>46009.435439814813</v>
      </c>
      <c r="E901" s="37" t="s">
        <v>442</v>
      </c>
      <c r="F901" s="37" t="s">
        <v>3917</v>
      </c>
      <c r="G901" s="37" t="s">
        <v>3918</v>
      </c>
      <c r="H901" s="35" t="s">
        <v>3419</v>
      </c>
      <c r="I901" s="35" t="s">
        <v>3416</v>
      </c>
      <c r="J901" s="38">
        <v>13.484080445844439</v>
      </c>
      <c r="K901" s="35">
        <v>1</v>
      </c>
      <c r="L901" s="38">
        <f t="shared" si="14"/>
        <v>13.484080445844439</v>
      </c>
      <c r="M901" s="35" t="s">
        <v>11</v>
      </c>
      <c r="N901" s="38"/>
      <c r="O901" s="35" t="s">
        <v>12</v>
      </c>
    </row>
    <row r="902" spans="1:15" ht="30" x14ac:dyDescent="0.25">
      <c r="A902" s="35">
        <v>1246782050</v>
      </c>
      <c r="B902" s="35" t="s">
        <v>3890</v>
      </c>
      <c r="C902" s="35">
        <v>2025</v>
      </c>
      <c r="D902" s="36">
        <v>46009.435439814813</v>
      </c>
      <c r="E902" s="37" t="s">
        <v>442</v>
      </c>
      <c r="F902" s="37" t="s">
        <v>3917</v>
      </c>
      <c r="G902" s="37" t="s">
        <v>3918</v>
      </c>
      <c r="H902" s="35" t="s">
        <v>3419</v>
      </c>
      <c r="I902" s="35" t="s">
        <v>3416</v>
      </c>
      <c r="J902" s="38">
        <v>13.484080445844439</v>
      </c>
      <c r="K902" s="35">
        <v>1</v>
      </c>
      <c r="L902" s="38">
        <f t="shared" si="14"/>
        <v>13.484080445844439</v>
      </c>
      <c r="M902" s="35" t="s">
        <v>11</v>
      </c>
      <c r="N902" s="38"/>
      <c r="O902" s="35" t="s">
        <v>12</v>
      </c>
    </row>
    <row r="903" spans="1:15" x14ac:dyDescent="0.25">
      <c r="A903" s="35">
        <v>1246782050</v>
      </c>
      <c r="B903" s="35" t="s">
        <v>3890</v>
      </c>
      <c r="C903" s="35">
        <v>2025</v>
      </c>
      <c r="D903" s="36">
        <v>46009.435439814813</v>
      </c>
      <c r="E903" s="37" t="s">
        <v>442</v>
      </c>
      <c r="F903" s="37" t="s">
        <v>3915</v>
      </c>
      <c r="G903" s="37" t="s">
        <v>3916</v>
      </c>
      <c r="H903" s="35" t="s">
        <v>3419</v>
      </c>
      <c r="I903" s="35" t="s">
        <v>3416</v>
      </c>
      <c r="J903" s="38">
        <v>3.5454325175672401</v>
      </c>
      <c r="K903" s="35">
        <v>1</v>
      </c>
      <c r="L903" s="38">
        <f t="shared" si="14"/>
        <v>3.5454325175672401</v>
      </c>
      <c r="M903" s="35" t="s">
        <v>11</v>
      </c>
      <c r="N903" s="38"/>
      <c r="O903" s="35" t="s">
        <v>12</v>
      </c>
    </row>
    <row r="904" spans="1:15" x14ac:dyDescent="0.25">
      <c r="A904" s="35">
        <v>1246390151</v>
      </c>
      <c r="B904" s="35" t="s">
        <v>3890</v>
      </c>
      <c r="C904" s="35">
        <v>2025</v>
      </c>
      <c r="D904" s="36">
        <v>46006.930590277778</v>
      </c>
      <c r="E904" s="37" t="s">
        <v>617</v>
      </c>
      <c r="F904" s="37" t="s">
        <v>3785</v>
      </c>
      <c r="G904" s="37" t="s">
        <v>3786</v>
      </c>
      <c r="H904" s="35" t="s">
        <v>3419</v>
      </c>
      <c r="I904" s="35" t="s">
        <v>3453</v>
      </c>
      <c r="J904" s="38">
        <v>334</v>
      </c>
      <c r="K904" s="35">
        <v>1</v>
      </c>
      <c r="L904" s="38">
        <f t="shared" si="14"/>
        <v>334</v>
      </c>
      <c r="M904" s="35" t="s">
        <v>11</v>
      </c>
      <c r="N904" s="38"/>
      <c r="O904" s="35" t="s">
        <v>12</v>
      </c>
    </row>
    <row r="905" spans="1:15" x14ac:dyDescent="0.25">
      <c r="A905" s="35">
        <v>1246389998</v>
      </c>
      <c r="B905" s="35" t="s">
        <v>3890</v>
      </c>
      <c r="C905" s="35">
        <v>2025</v>
      </c>
      <c r="D905" s="36">
        <v>46006.765914351847</v>
      </c>
      <c r="E905" s="37" t="s">
        <v>620</v>
      </c>
      <c r="F905" s="37" t="s">
        <v>3922</v>
      </c>
      <c r="G905" s="37" t="s">
        <v>3923</v>
      </c>
      <c r="H905" s="35" t="s">
        <v>3419</v>
      </c>
      <c r="I905" s="35" t="s">
        <v>3530</v>
      </c>
      <c r="J905" s="38">
        <v>1.53</v>
      </c>
      <c r="K905" s="35">
        <v>1</v>
      </c>
      <c r="L905" s="38">
        <f t="shared" si="14"/>
        <v>1.53</v>
      </c>
      <c r="M905" s="35" t="s">
        <v>11</v>
      </c>
      <c r="N905" s="38"/>
      <c r="O905" s="35" t="s">
        <v>12</v>
      </c>
    </row>
    <row r="906" spans="1:15" ht="30" x14ac:dyDescent="0.25">
      <c r="A906" s="35">
        <v>1246129625</v>
      </c>
      <c r="B906" s="35" t="s">
        <v>3890</v>
      </c>
      <c r="C906" s="35">
        <v>2025</v>
      </c>
      <c r="D906" s="36">
        <v>46005.291909722233</v>
      </c>
      <c r="E906" s="37" t="s">
        <v>61</v>
      </c>
      <c r="F906" s="37" t="s">
        <v>3926</v>
      </c>
      <c r="G906" s="37" t="s">
        <v>3927</v>
      </c>
      <c r="H906" s="35" t="s">
        <v>3419</v>
      </c>
      <c r="I906" s="35" t="s">
        <v>3416</v>
      </c>
      <c r="J906" s="38">
        <v>10</v>
      </c>
      <c r="K906" s="35">
        <v>2</v>
      </c>
      <c r="L906" s="38">
        <f t="shared" si="14"/>
        <v>20</v>
      </c>
      <c r="M906" s="42" t="s">
        <v>11</v>
      </c>
      <c r="N906" s="38"/>
      <c r="O906" s="35" t="s">
        <v>12</v>
      </c>
    </row>
    <row r="907" spans="1:15" ht="30" x14ac:dyDescent="0.25">
      <c r="A907" s="35">
        <v>1246129625</v>
      </c>
      <c r="B907" s="35" t="s">
        <v>3890</v>
      </c>
      <c r="C907" s="35">
        <v>2025</v>
      </c>
      <c r="D907" s="36">
        <v>46005.291909722233</v>
      </c>
      <c r="E907" s="37" t="s">
        <v>61</v>
      </c>
      <c r="F907" s="37" t="s">
        <v>3917</v>
      </c>
      <c r="G907" s="37" t="s">
        <v>3918</v>
      </c>
      <c r="H907" s="35" t="s">
        <v>3419</v>
      </c>
      <c r="I907" s="35" t="s">
        <v>3416</v>
      </c>
      <c r="J907" s="38">
        <v>11</v>
      </c>
      <c r="K907" s="35">
        <v>1</v>
      </c>
      <c r="L907" s="38">
        <f t="shared" si="14"/>
        <v>11</v>
      </c>
      <c r="M907" s="42" t="s">
        <v>11</v>
      </c>
      <c r="N907" s="38"/>
      <c r="O907" s="35" t="s">
        <v>12</v>
      </c>
    </row>
    <row r="908" spans="1:15" x14ac:dyDescent="0.25">
      <c r="A908" s="35">
        <v>1246129492</v>
      </c>
      <c r="B908" s="35" t="s">
        <v>3890</v>
      </c>
      <c r="C908" s="35">
        <v>2025</v>
      </c>
      <c r="D908" s="36">
        <v>46005.291909722233</v>
      </c>
      <c r="E908" s="37" t="s">
        <v>212</v>
      </c>
      <c r="F908" s="37" t="s">
        <v>3928</v>
      </c>
      <c r="G908" s="37" t="s">
        <v>3929</v>
      </c>
      <c r="H908" s="35" t="s">
        <v>3415</v>
      </c>
      <c r="I908" s="35" t="s">
        <v>3416</v>
      </c>
      <c r="J908" s="38">
        <v>6.0724999999999998</v>
      </c>
      <c r="K908" s="35">
        <v>4</v>
      </c>
      <c r="L908" s="38">
        <f t="shared" si="14"/>
        <v>24.29</v>
      </c>
      <c r="M908" s="35" t="s">
        <v>11</v>
      </c>
      <c r="N908" s="38"/>
      <c r="O908" s="35" t="s">
        <v>12</v>
      </c>
    </row>
    <row r="909" spans="1:15" x14ac:dyDescent="0.25">
      <c r="A909" s="35">
        <v>1245264371</v>
      </c>
      <c r="B909" s="35" t="s">
        <v>3890</v>
      </c>
      <c r="C909" s="35">
        <v>2025</v>
      </c>
      <c r="D909" s="36">
        <v>45999.761261574073</v>
      </c>
      <c r="E909" s="37" t="s">
        <v>141</v>
      </c>
      <c r="F909" s="37" t="s">
        <v>3940</v>
      </c>
      <c r="G909" s="37" t="s">
        <v>3929</v>
      </c>
      <c r="H909" s="35" t="s">
        <v>3419</v>
      </c>
      <c r="I909" s="35" t="s">
        <v>3416</v>
      </c>
      <c r="J909" s="38">
        <v>15.28</v>
      </c>
      <c r="K909" s="35">
        <v>1</v>
      </c>
      <c r="L909" s="38">
        <f t="shared" si="14"/>
        <v>15.28</v>
      </c>
      <c r="M909" s="35" t="s">
        <v>11</v>
      </c>
      <c r="N909" s="38"/>
      <c r="O909" s="35" t="s">
        <v>12</v>
      </c>
    </row>
    <row r="910" spans="1:15" x14ac:dyDescent="0.25">
      <c r="A910" s="35">
        <v>1245010552</v>
      </c>
      <c r="B910" s="35" t="s">
        <v>3890</v>
      </c>
      <c r="C910" s="35">
        <v>2025</v>
      </c>
      <c r="D910" s="36">
        <v>45998.454398148147</v>
      </c>
      <c r="E910" s="37" t="s">
        <v>640</v>
      </c>
      <c r="F910" s="37" t="s">
        <v>3940</v>
      </c>
      <c r="G910" s="37" t="s">
        <v>3929</v>
      </c>
      <c r="H910" s="35" t="s">
        <v>3419</v>
      </c>
      <c r="I910" s="35" t="s">
        <v>3416</v>
      </c>
      <c r="J910" s="38">
        <v>19.32</v>
      </c>
      <c r="K910" s="35">
        <v>1</v>
      </c>
      <c r="L910" s="38">
        <f t="shared" si="14"/>
        <v>19.32</v>
      </c>
      <c r="M910" s="35" t="s">
        <v>11</v>
      </c>
      <c r="N910" s="38"/>
      <c r="O910" s="35" t="s">
        <v>12</v>
      </c>
    </row>
    <row r="911" spans="1:15" x14ac:dyDescent="0.25">
      <c r="A911" s="35">
        <v>1244994033</v>
      </c>
      <c r="B911" s="35" t="s">
        <v>3890</v>
      </c>
      <c r="C911" s="35">
        <v>2025</v>
      </c>
      <c r="D911" s="36">
        <v>45998.453726851847</v>
      </c>
      <c r="E911" s="37" t="s">
        <v>643</v>
      </c>
      <c r="F911" s="37" t="s">
        <v>3940</v>
      </c>
      <c r="G911" s="37" t="s">
        <v>3929</v>
      </c>
      <c r="H911" s="35" t="s">
        <v>3419</v>
      </c>
      <c r="I911" s="35" t="s">
        <v>3416</v>
      </c>
      <c r="J911" s="38">
        <v>18.329999999999998</v>
      </c>
      <c r="K911" s="35">
        <v>1</v>
      </c>
      <c r="L911" s="38">
        <f t="shared" si="14"/>
        <v>18.329999999999998</v>
      </c>
      <c r="M911" s="35" t="s">
        <v>11</v>
      </c>
      <c r="N911" s="38"/>
      <c r="O911" s="35" t="s">
        <v>12</v>
      </c>
    </row>
    <row r="912" spans="1:15" x14ac:dyDescent="0.25">
      <c r="A912" s="35" t="s">
        <v>653</v>
      </c>
      <c r="B912" s="35" t="s">
        <v>3890</v>
      </c>
      <c r="C912" s="35">
        <v>2025</v>
      </c>
      <c r="D912" s="36">
        <v>45994</v>
      </c>
      <c r="E912" s="37" t="s">
        <v>654</v>
      </c>
      <c r="F912" s="37" t="s">
        <v>3951</v>
      </c>
      <c r="G912" s="37" t="s">
        <v>3952</v>
      </c>
      <c r="H912" s="35" t="s">
        <v>3419</v>
      </c>
      <c r="I912" s="35" t="s">
        <v>3416</v>
      </c>
      <c r="J912" s="38">
        <v>600</v>
      </c>
      <c r="K912" s="35">
        <v>1</v>
      </c>
      <c r="L912" s="38">
        <f t="shared" si="14"/>
        <v>600</v>
      </c>
      <c r="M912" s="35" t="s">
        <v>11</v>
      </c>
      <c r="N912" s="38"/>
      <c r="O912" s="35" t="s">
        <v>12</v>
      </c>
    </row>
    <row r="913" spans="1:15" ht="30" x14ac:dyDescent="0.25">
      <c r="A913" s="35">
        <v>1243580885</v>
      </c>
      <c r="B913" s="35" t="s">
        <v>3968</v>
      </c>
      <c r="C913" s="35">
        <v>2025</v>
      </c>
      <c r="D913" s="36">
        <v>45989.897824074083</v>
      </c>
      <c r="E913" s="37" t="s">
        <v>685</v>
      </c>
      <c r="F913" s="37" t="s">
        <v>3974</v>
      </c>
      <c r="G913" s="37" t="s">
        <v>3975</v>
      </c>
      <c r="H913" s="35" t="s">
        <v>3415</v>
      </c>
      <c r="I913" s="35" t="s">
        <v>3416</v>
      </c>
      <c r="J913" s="38">
        <v>78.872500000000002</v>
      </c>
      <c r="K913" s="35">
        <v>4</v>
      </c>
      <c r="L913" s="38">
        <f t="shared" si="14"/>
        <v>315.49</v>
      </c>
      <c r="M913" s="35" t="s">
        <v>11</v>
      </c>
      <c r="N913" s="38"/>
      <c r="O913" s="35" t="s">
        <v>12</v>
      </c>
    </row>
    <row r="914" spans="1:15" x14ac:dyDescent="0.25">
      <c r="A914" s="35">
        <v>1242778113</v>
      </c>
      <c r="B914" s="35" t="s">
        <v>3968</v>
      </c>
      <c r="C914" s="35">
        <v>2025</v>
      </c>
      <c r="D914" s="36">
        <v>45985.358206018522</v>
      </c>
      <c r="E914" s="37" t="s">
        <v>706</v>
      </c>
      <c r="F914" s="37" t="s">
        <v>3988</v>
      </c>
      <c r="G914" s="37" t="s">
        <v>3687</v>
      </c>
      <c r="H914" s="35" t="s">
        <v>3419</v>
      </c>
      <c r="I914" s="35" t="s">
        <v>3416</v>
      </c>
      <c r="J914" s="38">
        <v>3.33</v>
      </c>
      <c r="K914" s="35">
        <v>1</v>
      </c>
      <c r="L914" s="38">
        <f t="shared" si="14"/>
        <v>3.33</v>
      </c>
      <c r="M914" s="35" t="s">
        <v>11</v>
      </c>
      <c r="N914" s="38"/>
      <c r="O914" s="35" t="s">
        <v>12</v>
      </c>
    </row>
    <row r="915" spans="1:15" x14ac:dyDescent="0.25">
      <c r="A915" s="35">
        <v>1242739223</v>
      </c>
      <c r="B915" s="35" t="s">
        <v>3968</v>
      </c>
      <c r="C915" s="35">
        <v>2025</v>
      </c>
      <c r="D915" s="36">
        <v>45985.358206018522</v>
      </c>
      <c r="E915" s="37" t="s">
        <v>469</v>
      </c>
      <c r="F915" s="37" t="s">
        <v>3989</v>
      </c>
      <c r="G915" s="37" t="s">
        <v>3788</v>
      </c>
      <c r="H915" s="35" t="s">
        <v>3419</v>
      </c>
      <c r="I915" s="35" t="s">
        <v>3453</v>
      </c>
      <c r="J915" s="38">
        <v>2.8607142857142862</v>
      </c>
      <c r="K915" s="35">
        <v>2</v>
      </c>
      <c r="L915" s="38">
        <f t="shared" si="14"/>
        <v>5.7214285714285724</v>
      </c>
      <c r="M915" s="35" t="s">
        <v>11</v>
      </c>
      <c r="N915" s="38"/>
      <c r="O915" s="35" t="s">
        <v>12</v>
      </c>
    </row>
    <row r="916" spans="1:15" ht="30" x14ac:dyDescent="0.25">
      <c r="A916" s="35">
        <v>1242739223</v>
      </c>
      <c r="B916" s="35" t="s">
        <v>3968</v>
      </c>
      <c r="C916" s="35">
        <v>2025</v>
      </c>
      <c r="D916" s="36">
        <v>45985.358206018522</v>
      </c>
      <c r="E916" s="37" t="s">
        <v>469</v>
      </c>
      <c r="F916" s="37" t="s">
        <v>3990</v>
      </c>
      <c r="G916" s="37" t="s">
        <v>3991</v>
      </c>
      <c r="H916" s="35" t="s">
        <v>3419</v>
      </c>
      <c r="I916" s="35" t="s">
        <v>3416</v>
      </c>
      <c r="J916" s="38">
        <v>0.25428571428571428</v>
      </c>
      <c r="K916" s="35">
        <v>2</v>
      </c>
      <c r="L916" s="38">
        <f t="shared" si="14"/>
        <v>0.50857142857142856</v>
      </c>
      <c r="M916" s="35" t="s">
        <v>11</v>
      </c>
      <c r="N916" s="38"/>
      <c r="O916" s="35" t="s">
        <v>12</v>
      </c>
    </row>
    <row r="917" spans="1:15" x14ac:dyDescent="0.25">
      <c r="A917" s="35">
        <v>1242523059</v>
      </c>
      <c r="B917" s="35" t="s">
        <v>3968</v>
      </c>
      <c r="C917" s="35">
        <v>2025</v>
      </c>
      <c r="D917" s="36">
        <v>45983.712870370371</v>
      </c>
      <c r="E917" s="37" t="s">
        <v>242</v>
      </c>
      <c r="F917" s="37" t="s">
        <v>3992</v>
      </c>
      <c r="G917" s="37" t="s">
        <v>3993</v>
      </c>
      <c r="H917" s="35" t="s">
        <v>3419</v>
      </c>
      <c r="I917" s="35" t="s">
        <v>3416</v>
      </c>
      <c r="J917" s="38">
        <v>14.29</v>
      </c>
      <c r="K917" s="35">
        <v>1</v>
      </c>
      <c r="L917" s="38">
        <f t="shared" si="14"/>
        <v>14.29</v>
      </c>
      <c r="M917" s="35" t="s">
        <v>11</v>
      </c>
      <c r="N917" s="38"/>
      <c r="O917" s="35" t="s">
        <v>12</v>
      </c>
    </row>
    <row r="918" spans="1:15" x14ac:dyDescent="0.25">
      <c r="A918" s="35">
        <v>1242522935</v>
      </c>
      <c r="B918" s="35" t="s">
        <v>3968</v>
      </c>
      <c r="C918" s="35">
        <v>2025</v>
      </c>
      <c r="D918" s="36">
        <v>45983.712870370371</v>
      </c>
      <c r="E918" s="37" t="s">
        <v>285</v>
      </c>
      <c r="F918" s="37" t="s">
        <v>3994</v>
      </c>
      <c r="G918" s="37" t="s">
        <v>3879</v>
      </c>
      <c r="H918" s="35" t="s">
        <v>3415</v>
      </c>
      <c r="I918" s="35" t="s">
        <v>3416</v>
      </c>
      <c r="J918" s="38">
        <v>0.83250000000000002</v>
      </c>
      <c r="K918" s="35">
        <v>4</v>
      </c>
      <c r="L918" s="38">
        <f t="shared" si="14"/>
        <v>3.33</v>
      </c>
      <c r="M918" s="35" t="s">
        <v>11</v>
      </c>
      <c r="N918" s="38"/>
      <c r="O918" s="35" t="s">
        <v>12</v>
      </c>
    </row>
    <row r="919" spans="1:15" x14ac:dyDescent="0.25">
      <c r="A919" s="35">
        <v>1242320169</v>
      </c>
      <c r="B919" s="35" t="s">
        <v>3968</v>
      </c>
      <c r="C919" s="35">
        <v>2025</v>
      </c>
      <c r="D919" s="36">
        <v>45982.45585648148</v>
      </c>
      <c r="E919" s="37" t="s">
        <v>285</v>
      </c>
      <c r="F919" s="37" t="s">
        <v>3996</v>
      </c>
      <c r="G919" s="37" t="s">
        <v>3879</v>
      </c>
      <c r="H919" s="35" t="s">
        <v>3415</v>
      </c>
      <c r="I919" s="35" t="s">
        <v>3416</v>
      </c>
      <c r="J919" s="38">
        <v>0.14736842105263159</v>
      </c>
      <c r="K919" s="35">
        <v>4</v>
      </c>
      <c r="L919" s="38">
        <f t="shared" si="14"/>
        <v>0.58947368421052637</v>
      </c>
      <c r="M919" s="35" t="s">
        <v>11</v>
      </c>
      <c r="N919" s="38"/>
      <c r="O919" s="35" t="s">
        <v>12</v>
      </c>
    </row>
    <row r="920" spans="1:15" ht="30" x14ac:dyDescent="0.25">
      <c r="A920" s="35">
        <v>1242320169</v>
      </c>
      <c r="B920" s="35" t="s">
        <v>3968</v>
      </c>
      <c r="C920" s="35">
        <v>2025</v>
      </c>
      <c r="D920" s="36">
        <v>45982.45585648148</v>
      </c>
      <c r="E920" s="37" t="s">
        <v>285</v>
      </c>
      <c r="F920" s="37" t="s">
        <v>3997</v>
      </c>
      <c r="G920" s="37" t="s">
        <v>3748</v>
      </c>
      <c r="H920" s="35" t="s">
        <v>3415</v>
      </c>
      <c r="I920" s="35" t="s">
        <v>3416</v>
      </c>
      <c r="J920" s="38">
        <v>1.1052631578947369</v>
      </c>
      <c r="K920" s="35">
        <v>4</v>
      </c>
      <c r="L920" s="38">
        <f t="shared" si="14"/>
        <v>4.4210526315789478</v>
      </c>
      <c r="M920" s="35" t="s">
        <v>11</v>
      </c>
      <c r="N920" s="38"/>
      <c r="O920" s="35" t="s">
        <v>12</v>
      </c>
    </row>
    <row r="921" spans="1:15" ht="30" x14ac:dyDescent="0.25">
      <c r="A921" s="35">
        <v>1242320169</v>
      </c>
      <c r="B921" s="35" t="s">
        <v>3968</v>
      </c>
      <c r="C921" s="35">
        <v>2025</v>
      </c>
      <c r="D921" s="36">
        <v>45982.45585648148</v>
      </c>
      <c r="E921" s="37" t="s">
        <v>285</v>
      </c>
      <c r="F921" s="37" t="s">
        <v>3623</v>
      </c>
      <c r="G921" s="37" t="s">
        <v>3748</v>
      </c>
      <c r="H921" s="35" t="s">
        <v>3415</v>
      </c>
      <c r="I921" s="35" t="s">
        <v>3416</v>
      </c>
      <c r="J921" s="38">
        <v>0.22105263157894739</v>
      </c>
      <c r="K921" s="35">
        <v>4</v>
      </c>
      <c r="L921" s="38">
        <f t="shared" si="14"/>
        <v>0.88421052631578956</v>
      </c>
      <c r="M921" s="35" t="s">
        <v>11</v>
      </c>
      <c r="N921" s="38"/>
      <c r="O921" s="35" t="s">
        <v>12</v>
      </c>
    </row>
    <row r="922" spans="1:15" ht="30" x14ac:dyDescent="0.25">
      <c r="A922" s="35">
        <v>1242320169</v>
      </c>
      <c r="B922" s="35" t="s">
        <v>3968</v>
      </c>
      <c r="C922" s="35">
        <v>2025</v>
      </c>
      <c r="D922" s="36">
        <v>45982.45585648148</v>
      </c>
      <c r="E922" s="37" t="s">
        <v>285</v>
      </c>
      <c r="F922" s="37" t="s">
        <v>3998</v>
      </c>
      <c r="G922" s="37" t="s">
        <v>3748</v>
      </c>
      <c r="H922" s="35" t="s">
        <v>3415</v>
      </c>
      <c r="I922" s="35" t="s">
        <v>3416</v>
      </c>
      <c r="J922" s="38">
        <v>0.14736842105263159</v>
      </c>
      <c r="K922" s="35">
        <v>4</v>
      </c>
      <c r="L922" s="38">
        <f t="shared" si="14"/>
        <v>0.58947368421052637</v>
      </c>
      <c r="M922" s="35" t="s">
        <v>11</v>
      </c>
      <c r="N922" s="38"/>
      <c r="O922" s="35" t="s">
        <v>12</v>
      </c>
    </row>
    <row r="923" spans="1:15" ht="30" x14ac:dyDescent="0.25">
      <c r="A923" s="35">
        <v>1242320169</v>
      </c>
      <c r="B923" s="35" t="s">
        <v>3968</v>
      </c>
      <c r="C923" s="35">
        <v>2025</v>
      </c>
      <c r="D923" s="36">
        <v>45982.45585648148</v>
      </c>
      <c r="E923" s="37" t="s">
        <v>285</v>
      </c>
      <c r="F923" s="37" t="s">
        <v>3999</v>
      </c>
      <c r="G923" s="37" t="s">
        <v>3748</v>
      </c>
      <c r="H923" s="35" t="s">
        <v>3415</v>
      </c>
      <c r="I923" s="35" t="s">
        <v>3416</v>
      </c>
      <c r="J923" s="38">
        <v>0.14736842105263159</v>
      </c>
      <c r="K923" s="35">
        <v>4</v>
      </c>
      <c r="L923" s="38">
        <f t="shared" si="14"/>
        <v>0.58947368421052637</v>
      </c>
      <c r="M923" s="35" t="s">
        <v>11</v>
      </c>
      <c r="N923" s="38"/>
      <c r="O923" s="35" t="s">
        <v>12</v>
      </c>
    </row>
    <row r="924" spans="1:15" ht="30" x14ac:dyDescent="0.25">
      <c r="A924" s="35">
        <v>1242320169</v>
      </c>
      <c r="B924" s="35" t="s">
        <v>3968</v>
      </c>
      <c r="C924" s="35">
        <v>2025</v>
      </c>
      <c r="D924" s="36">
        <v>45982.45585648148</v>
      </c>
      <c r="E924" s="37" t="s">
        <v>285</v>
      </c>
      <c r="F924" s="37" t="s">
        <v>4000</v>
      </c>
      <c r="G924" s="37" t="s">
        <v>3748</v>
      </c>
      <c r="H924" s="35" t="s">
        <v>3415</v>
      </c>
      <c r="I924" s="35" t="s">
        <v>3416</v>
      </c>
      <c r="J924" s="38">
        <v>0.14736842105263159</v>
      </c>
      <c r="K924" s="35">
        <v>4</v>
      </c>
      <c r="L924" s="38">
        <f t="shared" si="14"/>
        <v>0.58947368421052637</v>
      </c>
      <c r="M924" s="35" t="s">
        <v>11</v>
      </c>
      <c r="N924" s="38"/>
      <c r="O924" s="35" t="s">
        <v>12</v>
      </c>
    </row>
    <row r="925" spans="1:15" ht="30" x14ac:dyDescent="0.25">
      <c r="A925" s="35">
        <v>1242320169</v>
      </c>
      <c r="B925" s="35" t="s">
        <v>3968</v>
      </c>
      <c r="C925" s="35">
        <v>2025</v>
      </c>
      <c r="D925" s="36">
        <v>45982.45585648148</v>
      </c>
      <c r="E925" s="37" t="s">
        <v>285</v>
      </c>
      <c r="F925" s="37" t="s">
        <v>4001</v>
      </c>
      <c r="G925" s="37" t="s">
        <v>3748</v>
      </c>
      <c r="H925" s="35" t="s">
        <v>3415</v>
      </c>
      <c r="I925" s="35" t="s">
        <v>3416</v>
      </c>
      <c r="J925" s="38">
        <v>0.14736842105263159</v>
      </c>
      <c r="K925" s="35">
        <v>4</v>
      </c>
      <c r="L925" s="38">
        <f t="shared" si="14"/>
        <v>0.58947368421052637</v>
      </c>
      <c r="M925" s="35" t="s">
        <v>11</v>
      </c>
      <c r="N925" s="38"/>
      <c r="O925" s="35" t="s">
        <v>12</v>
      </c>
    </row>
    <row r="926" spans="1:15" ht="30" x14ac:dyDescent="0.25">
      <c r="A926" s="35">
        <v>1242320169</v>
      </c>
      <c r="B926" s="35" t="s">
        <v>3968</v>
      </c>
      <c r="C926" s="35">
        <v>2025</v>
      </c>
      <c r="D926" s="36">
        <v>45982.45585648148</v>
      </c>
      <c r="E926" s="37" t="s">
        <v>285</v>
      </c>
      <c r="F926" s="37" t="s">
        <v>4002</v>
      </c>
      <c r="G926" s="37" t="s">
        <v>3748</v>
      </c>
      <c r="H926" s="35" t="s">
        <v>3415</v>
      </c>
      <c r="I926" s="35" t="s">
        <v>3416</v>
      </c>
      <c r="J926" s="38">
        <v>0.29473684210526319</v>
      </c>
      <c r="K926" s="35">
        <v>4</v>
      </c>
      <c r="L926" s="38">
        <f t="shared" si="14"/>
        <v>1.1789473684210527</v>
      </c>
      <c r="M926" s="35" t="s">
        <v>11</v>
      </c>
      <c r="N926" s="38"/>
      <c r="O926" s="35" t="s">
        <v>12</v>
      </c>
    </row>
    <row r="927" spans="1:15" ht="30" x14ac:dyDescent="0.25">
      <c r="A927" s="35">
        <v>1242320169</v>
      </c>
      <c r="B927" s="35" t="s">
        <v>3968</v>
      </c>
      <c r="C927" s="35">
        <v>2025</v>
      </c>
      <c r="D927" s="36">
        <v>45982.45585648148</v>
      </c>
      <c r="E927" s="37" t="s">
        <v>285</v>
      </c>
      <c r="F927" s="37" t="s">
        <v>4003</v>
      </c>
      <c r="G927" s="37" t="s">
        <v>3748</v>
      </c>
      <c r="H927" s="35" t="s">
        <v>3415</v>
      </c>
      <c r="I927" s="35" t="s">
        <v>3416</v>
      </c>
      <c r="J927" s="38">
        <v>0.14736842105263159</v>
      </c>
      <c r="K927" s="35">
        <v>4</v>
      </c>
      <c r="L927" s="38">
        <f t="shared" si="14"/>
        <v>0.58947368421052637</v>
      </c>
      <c r="M927" s="35" t="s">
        <v>11</v>
      </c>
      <c r="N927" s="38"/>
      <c r="O927" s="35" t="s">
        <v>12</v>
      </c>
    </row>
    <row r="928" spans="1:15" ht="30" x14ac:dyDescent="0.25">
      <c r="A928" s="35">
        <v>1242320169</v>
      </c>
      <c r="B928" s="35" t="s">
        <v>3968</v>
      </c>
      <c r="C928" s="35">
        <v>2025</v>
      </c>
      <c r="D928" s="36">
        <v>45982.45585648148</v>
      </c>
      <c r="E928" s="37" t="s">
        <v>285</v>
      </c>
      <c r="F928" s="37" t="s">
        <v>4004</v>
      </c>
      <c r="G928" s="37" t="s">
        <v>3748</v>
      </c>
      <c r="H928" s="35" t="s">
        <v>3415</v>
      </c>
      <c r="I928" s="35" t="s">
        <v>3416</v>
      </c>
      <c r="J928" s="38">
        <v>0.14736842105263159</v>
      </c>
      <c r="K928" s="35">
        <v>4</v>
      </c>
      <c r="L928" s="38">
        <f t="shared" si="14"/>
        <v>0.58947368421052637</v>
      </c>
      <c r="M928" s="35" t="s">
        <v>11</v>
      </c>
      <c r="N928" s="38"/>
      <c r="O928" s="35" t="s">
        <v>12</v>
      </c>
    </row>
    <row r="929" spans="1:15" ht="30" x14ac:dyDescent="0.25">
      <c r="A929" s="35">
        <v>1242320169</v>
      </c>
      <c r="B929" s="35" t="s">
        <v>3968</v>
      </c>
      <c r="C929" s="35">
        <v>2025</v>
      </c>
      <c r="D929" s="36">
        <v>45982.45585648148</v>
      </c>
      <c r="E929" s="37" t="s">
        <v>285</v>
      </c>
      <c r="F929" s="37" t="s">
        <v>4005</v>
      </c>
      <c r="G929" s="37" t="s">
        <v>3748</v>
      </c>
      <c r="H929" s="35" t="s">
        <v>3415</v>
      </c>
      <c r="I929" s="35" t="s">
        <v>3416</v>
      </c>
      <c r="J929" s="38">
        <v>0.14736842105263159</v>
      </c>
      <c r="K929" s="35">
        <v>4</v>
      </c>
      <c r="L929" s="38">
        <f t="shared" si="14"/>
        <v>0.58947368421052637</v>
      </c>
      <c r="M929" s="35" t="s">
        <v>11</v>
      </c>
      <c r="N929" s="38"/>
      <c r="O929" s="35" t="s">
        <v>12</v>
      </c>
    </row>
    <row r="930" spans="1:15" x14ac:dyDescent="0.25">
      <c r="A930" s="35">
        <v>1241942137</v>
      </c>
      <c r="B930" s="35" t="s">
        <v>3968</v>
      </c>
      <c r="C930" s="35">
        <v>2025</v>
      </c>
      <c r="D930" s="36">
        <v>45979.968506944453</v>
      </c>
      <c r="E930" s="37" t="s">
        <v>733</v>
      </c>
      <c r="F930" s="37" t="s">
        <v>4007</v>
      </c>
      <c r="G930" s="37" t="s">
        <v>3797</v>
      </c>
      <c r="H930" s="35" t="s">
        <v>3419</v>
      </c>
      <c r="I930" s="35" t="s">
        <v>3453</v>
      </c>
      <c r="J930" s="38">
        <v>3.3450000000000002</v>
      </c>
      <c r="K930" s="35">
        <v>2</v>
      </c>
      <c r="L930" s="38">
        <f t="shared" si="14"/>
        <v>6.69</v>
      </c>
      <c r="M930" s="35" t="s">
        <v>11</v>
      </c>
      <c r="N930" s="38"/>
      <c r="O930" s="35" t="s">
        <v>12</v>
      </c>
    </row>
    <row r="931" spans="1:15" ht="30" x14ac:dyDescent="0.25">
      <c r="A931" s="35">
        <v>1241737569</v>
      </c>
      <c r="B931" s="35" t="s">
        <v>3968</v>
      </c>
      <c r="C931" s="35">
        <v>2025</v>
      </c>
      <c r="D931" s="36">
        <v>45978.829606481479</v>
      </c>
      <c r="E931" s="37" t="s">
        <v>170</v>
      </c>
      <c r="F931" s="37" t="s">
        <v>4010</v>
      </c>
      <c r="G931" s="37" t="s">
        <v>3748</v>
      </c>
      <c r="H931" s="35" t="s">
        <v>3415</v>
      </c>
      <c r="I931" s="35" t="s">
        <v>3416</v>
      </c>
      <c r="J931" s="38">
        <v>0.23144021739130441</v>
      </c>
      <c r="K931" s="35">
        <v>4</v>
      </c>
      <c r="L931" s="38">
        <f t="shared" si="14"/>
        <v>0.92576086956521764</v>
      </c>
      <c r="M931" s="35" t="s">
        <v>11</v>
      </c>
      <c r="N931" s="38"/>
      <c r="O931" s="35" t="s">
        <v>12</v>
      </c>
    </row>
    <row r="932" spans="1:15" x14ac:dyDescent="0.25">
      <c r="A932" s="35">
        <v>1241737569</v>
      </c>
      <c r="B932" s="35" t="s">
        <v>3968</v>
      </c>
      <c r="C932" s="35">
        <v>2025</v>
      </c>
      <c r="D932" s="36">
        <v>45978.829606481479</v>
      </c>
      <c r="E932" s="37" t="s">
        <v>170</v>
      </c>
      <c r="F932" s="37" t="s">
        <v>4011</v>
      </c>
      <c r="G932" s="37" t="s">
        <v>4012</v>
      </c>
      <c r="H932" s="35" t="s">
        <v>3415</v>
      </c>
      <c r="I932" s="35" t="s">
        <v>3416</v>
      </c>
      <c r="J932" s="38">
        <v>0.25866847826086958</v>
      </c>
      <c r="K932" s="35">
        <v>4</v>
      </c>
      <c r="L932" s="38">
        <f t="shared" si="14"/>
        <v>1.0346739130434783</v>
      </c>
      <c r="M932" s="35" t="s">
        <v>11</v>
      </c>
      <c r="N932" s="38"/>
      <c r="O932" s="35" t="s">
        <v>12</v>
      </c>
    </row>
    <row r="933" spans="1:15" ht="30" x14ac:dyDescent="0.25">
      <c r="A933" s="35">
        <v>1241737569</v>
      </c>
      <c r="B933" s="35" t="s">
        <v>3968</v>
      </c>
      <c r="C933" s="35">
        <v>2025</v>
      </c>
      <c r="D933" s="36">
        <v>45978.829606481479</v>
      </c>
      <c r="E933" s="37" t="s">
        <v>170</v>
      </c>
      <c r="F933" s="37" t="s">
        <v>4013</v>
      </c>
      <c r="G933" s="37" t="s">
        <v>3748</v>
      </c>
      <c r="H933" s="35" t="s">
        <v>3415</v>
      </c>
      <c r="I933" s="35" t="s">
        <v>3416</v>
      </c>
      <c r="J933" s="38">
        <v>0.25866847826086958</v>
      </c>
      <c r="K933" s="35">
        <v>4</v>
      </c>
      <c r="L933" s="38">
        <f t="shared" si="14"/>
        <v>1.0346739130434783</v>
      </c>
      <c r="M933" s="35" t="s">
        <v>11</v>
      </c>
      <c r="N933" s="38"/>
      <c r="O933" s="35" t="s">
        <v>12</v>
      </c>
    </row>
    <row r="934" spans="1:15" ht="30" x14ac:dyDescent="0.25">
      <c r="A934" s="35">
        <v>1241737569</v>
      </c>
      <c r="B934" s="35" t="s">
        <v>3968</v>
      </c>
      <c r="C934" s="35">
        <v>2025</v>
      </c>
      <c r="D934" s="36">
        <v>45978.829606481479</v>
      </c>
      <c r="E934" s="37" t="s">
        <v>170</v>
      </c>
      <c r="F934" s="37" t="s">
        <v>4014</v>
      </c>
      <c r="G934" s="37" t="s">
        <v>3748</v>
      </c>
      <c r="H934" s="35" t="s">
        <v>3415</v>
      </c>
      <c r="I934" s="35" t="s">
        <v>3416</v>
      </c>
      <c r="J934" s="38">
        <v>0.50372282608695651</v>
      </c>
      <c r="K934" s="35">
        <v>4</v>
      </c>
      <c r="L934" s="38">
        <f t="shared" si="14"/>
        <v>2.014891304347826</v>
      </c>
      <c r="M934" s="35" t="s">
        <v>11</v>
      </c>
      <c r="N934" s="38"/>
      <c r="O934" s="35" t="s">
        <v>12</v>
      </c>
    </row>
    <row r="935" spans="1:15" x14ac:dyDescent="0.25">
      <c r="A935" s="35">
        <v>1241623919</v>
      </c>
      <c r="B935" s="35" t="s">
        <v>3968</v>
      </c>
      <c r="C935" s="35">
        <v>2025</v>
      </c>
      <c r="D935" s="36">
        <v>45978.291886574072</v>
      </c>
      <c r="E935" s="37" t="s">
        <v>746</v>
      </c>
      <c r="F935" s="37" t="s">
        <v>3965</v>
      </c>
      <c r="G935" s="37" t="s">
        <v>3455</v>
      </c>
      <c r="H935" s="35" t="s">
        <v>3419</v>
      </c>
      <c r="I935" s="35" t="s">
        <v>3416</v>
      </c>
      <c r="J935" s="38">
        <v>9.32</v>
      </c>
      <c r="K935" s="35">
        <v>1</v>
      </c>
      <c r="L935" s="38">
        <f t="shared" si="14"/>
        <v>9.32</v>
      </c>
      <c r="M935" s="35" t="s">
        <v>11</v>
      </c>
      <c r="N935" s="38"/>
      <c r="O935" s="35" t="s">
        <v>12</v>
      </c>
    </row>
    <row r="936" spans="1:15" x14ac:dyDescent="0.25">
      <c r="A936" s="35">
        <v>1241155381</v>
      </c>
      <c r="B936" s="35" t="s">
        <v>3968</v>
      </c>
      <c r="C936" s="35">
        <v>2025</v>
      </c>
      <c r="D936" s="36">
        <v>45975.723599537043</v>
      </c>
      <c r="E936" s="37" t="s">
        <v>758</v>
      </c>
      <c r="F936" s="37" t="s">
        <v>4021</v>
      </c>
      <c r="G936" s="37" t="s">
        <v>3873</v>
      </c>
      <c r="H936" s="35" t="s">
        <v>3419</v>
      </c>
      <c r="I936" s="35" t="s">
        <v>3416</v>
      </c>
      <c r="J936" s="38">
        <v>5.3595267260579069</v>
      </c>
      <c r="K936" s="35">
        <v>2</v>
      </c>
      <c r="L936" s="38">
        <f t="shared" si="14"/>
        <v>10.719053452115814</v>
      </c>
      <c r="M936" s="35" t="s">
        <v>11</v>
      </c>
      <c r="N936" s="38"/>
      <c r="O936" s="35" t="s">
        <v>12</v>
      </c>
    </row>
    <row r="937" spans="1:15" x14ac:dyDescent="0.25">
      <c r="A937" s="35">
        <v>1241155381</v>
      </c>
      <c r="B937" s="35" t="s">
        <v>3968</v>
      </c>
      <c r="C937" s="35">
        <v>2025</v>
      </c>
      <c r="D937" s="36">
        <v>45975.723599537043</v>
      </c>
      <c r="E937" s="37" t="s">
        <v>758</v>
      </c>
      <c r="F937" s="37" t="s">
        <v>4021</v>
      </c>
      <c r="G937" s="37" t="s">
        <v>3873</v>
      </c>
      <c r="H937" s="35" t="s">
        <v>3419</v>
      </c>
      <c r="I937" s="35" t="s">
        <v>3416</v>
      </c>
      <c r="J937" s="38">
        <v>4.2854732739420944</v>
      </c>
      <c r="K937" s="35">
        <v>2</v>
      </c>
      <c r="L937" s="38">
        <f t="shared" si="14"/>
        <v>8.5709465478841889</v>
      </c>
      <c r="M937" s="35" t="s">
        <v>11</v>
      </c>
      <c r="N937" s="38"/>
      <c r="O937" s="35" t="s">
        <v>12</v>
      </c>
    </row>
    <row r="938" spans="1:15" x14ac:dyDescent="0.25">
      <c r="A938" s="35">
        <v>1241154975</v>
      </c>
      <c r="B938" s="35" t="s">
        <v>3968</v>
      </c>
      <c r="C938" s="35">
        <v>2025</v>
      </c>
      <c r="D938" s="36">
        <v>45975.723599537043</v>
      </c>
      <c r="E938" s="37" t="s">
        <v>760</v>
      </c>
      <c r="F938" s="37" t="s">
        <v>4022</v>
      </c>
      <c r="G938" s="37" t="s">
        <v>3790</v>
      </c>
      <c r="H938" s="35" t="s">
        <v>3415</v>
      </c>
      <c r="I938" s="35" t="s">
        <v>3416</v>
      </c>
      <c r="J938" s="38">
        <v>0.49546875000000001</v>
      </c>
      <c r="K938" s="35">
        <v>4</v>
      </c>
      <c r="L938" s="38">
        <f t="shared" si="14"/>
        <v>1.9818750000000001</v>
      </c>
      <c r="M938" s="35" t="s">
        <v>11</v>
      </c>
      <c r="N938" s="38"/>
      <c r="O938" s="35" t="s">
        <v>12</v>
      </c>
    </row>
    <row r="939" spans="1:15" x14ac:dyDescent="0.25">
      <c r="A939" s="35">
        <v>1241154975</v>
      </c>
      <c r="B939" s="35" t="s">
        <v>3968</v>
      </c>
      <c r="C939" s="35">
        <v>2025</v>
      </c>
      <c r="D939" s="36">
        <v>45975.723599537043</v>
      </c>
      <c r="E939" s="37" t="s">
        <v>760</v>
      </c>
      <c r="F939" s="37" t="s">
        <v>4023</v>
      </c>
      <c r="G939" s="37" t="s">
        <v>4024</v>
      </c>
      <c r="H939" s="35" t="s">
        <v>3415</v>
      </c>
      <c r="I939" s="35" t="s">
        <v>3416</v>
      </c>
      <c r="J939" s="38">
        <v>0.63703125000000005</v>
      </c>
      <c r="K939" s="35">
        <v>4</v>
      </c>
      <c r="L939" s="38">
        <f t="shared" si="14"/>
        <v>2.5481250000000002</v>
      </c>
      <c r="M939" s="35" t="s">
        <v>11</v>
      </c>
      <c r="N939" s="38"/>
      <c r="O939" s="35" t="s">
        <v>12</v>
      </c>
    </row>
    <row r="940" spans="1:15" x14ac:dyDescent="0.25">
      <c r="A940" s="35">
        <v>1240849073</v>
      </c>
      <c r="B940" s="35" t="s">
        <v>3968</v>
      </c>
      <c r="C940" s="35">
        <v>2025</v>
      </c>
      <c r="D940" s="36">
        <v>45973.650694444441</v>
      </c>
      <c r="E940" s="37" t="s">
        <v>762</v>
      </c>
      <c r="F940" s="37" t="s">
        <v>4029</v>
      </c>
      <c r="G940" s="37" t="s">
        <v>3871</v>
      </c>
      <c r="H940" s="35" t="s">
        <v>3419</v>
      </c>
      <c r="I940" s="35" t="s">
        <v>3416</v>
      </c>
      <c r="J940" s="38">
        <v>1.83</v>
      </c>
      <c r="K940" s="35">
        <v>1</v>
      </c>
      <c r="L940" s="38">
        <f t="shared" si="14"/>
        <v>1.83</v>
      </c>
      <c r="M940" s="35" t="s">
        <v>11</v>
      </c>
      <c r="N940" s="38"/>
      <c r="O940" s="35" t="s">
        <v>12</v>
      </c>
    </row>
    <row r="941" spans="1:15" x14ac:dyDescent="0.25">
      <c r="A941" s="35">
        <v>1240847981</v>
      </c>
      <c r="B941" s="35" t="s">
        <v>3968</v>
      </c>
      <c r="C941" s="35">
        <v>2025</v>
      </c>
      <c r="D941" s="36">
        <v>45973.650694444441</v>
      </c>
      <c r="E941" s="37" t="s">
        <v>765</v>
      </c>
      <c r="F941" s="37" t="s">
        <v>4030</v>
      </c>
      <c r="G941" s="37" t="s">
        <v>3923</v>
      </c>
      <c r="H941" s="35" t="s">
        <v>3419</v>
      </c>
      <c r="I941" s="35" t="s">
        <v>3416</v>
      </c>
      <c r="J941" s="38">
        <v>17.75</v>
      </c>
      <c r="K941" s="35">
        <v>1</v>
      </c>
      <c r="L941" s="38">
        <f t="shared" si="14"/>
        <v>17.75</v>
      </c>
      <c r="M941" s="35" t="s">
        <v>11</v>
      </c>
      <c r="N941" s="38"/>
      <c r="O941" s="35" t="s">
        <v>12</v>
      </c>
    </row>
    <row r="942" spans="1:15" x14ac:dyDescent="0.25">
      <c r="A942" s="35">
        <v>1240847029</v>
      </c>
      <c r="B942" s="35" t="s">
        <v>3968</v>
      </c>
      <c r="C942" s="35">
        <v>2025</v>
      </c>
      <c r="D942" s="36">
        <v>45973.642025462963</v>
      </c>
      <c r="E942" s="37" t="s">
        <v>237</v>
      </c>
      <c r="F942" s="37" t="s">
        <v>4031</v>
      </c>
      <c r="G942" s="37" t="s">
        <v>3901</v>
      </c>
      <c r="H942" s="35" t="s">
        <v>3419</v>
      </c>
      <c r="I942" s="35" t="s">
        <v>3416</v>
      </c>
      <c r="J942" s="38">
        <v>2.1150000000000002</v>
      </c>
      <c r="K942" s="35">
        <v>2</v>
      </c>
      <c r="L942" s="38">
        <f t="shared" si="14"/>
        <v>4.2300000000000004</v>
      </c>
      <c r="M942" s="35" t="s">
        <v>11</v>
      </c>
      <c r="N942" s="38"/>
      <c r="O942" s="35" t="s">
        <v>12</v>
      </c>
    </row>
    <row r="943" spans="1:15" x14ac:dyDescent="0.25">
      <c r="A943" s="35">
        <v>1240841505</v>
      </c>
      <c r="B943" s="35" t="s">
        <v>3968</v>
      </c>
      <c r="C943" s="35">
        <v>2025</v>
      </c>
      <c r="D943" s="36">
        <v>45973.616574074083</v>
      </c>
      <c r="E943" s="37" t="s">
        <v>237</v>
      </c>
      <c r="F943" s="37" t="s">
        <v>3698</v>
      </c>
      <c r="G943" s="37" t="s">
        <v>3452</v>
      </c>
      <c r="H943" s="35" t="s">
        <v>3415</v>
      </c>
      <c r="I943" s="35" t="s">
        <v>3416</v>
      </c>
      <c r="J943" s="38">
        <v>1.0825</v>
      </c>
      <c r="K943" s="35">
        <v>4</v>
      </c>
      <c r="L943" s="38">
        <f t="shared" si="14"/>
        <v>4.33</v>
      </c>
      <c r="M943" s="35" t="s">
        <v>11</v>
      </c>
      <c r="N943" s="38"/>
      <c r="O943" s="35" t="s">
        <v>12</v>
      </c>
    </row>
    <row r="944" spans="1:15" x14ac:dyDescent="0.25">
      <c r="A944" s="35">
        <v>1240434008</v>
      </c>
      <c r="B944" s="35" t="s">
        <v>3968</v>
      </c>
      <c r="C944" s="35">
        <v>2025</v>
      </c>
      <c r="D944" s="36">
        <v>45971.430115740739</v>
      </c>
      <c r="E944" s="37" t="s">
        <v>777</v>
      </c>
      <c r="F944" s="37" t="s">
        <v>4008</v>
      </c>
      <c r="G944" s="37" t="s">
        <v>3788</v>
      </c>
      <c r="H944" s="35" t="s">
        <v>3419</v>
      </c>
      <c r="I944" s="35" t="s">
        <v>3416</v>
      </c>
      <c r="J944" s="38">
        <v>3.83</v>
      </c>
      <c r="K944" s="35">
        <v>1</v>
      </c>
      <c r="L944" s="38">
        <f t="shared" si="14"/>
        <v>3.83</v>
      </c>
      <c r="M944" s="35" t="s">
        <v>11</v>
      </c>
      <c r="N944" s="38"/>
      <c r="O944" s="35" t="s">
        <v>12</v>
      </c>
    </row>
    <row r="945" spans="1:15" x14ac:dyDescent="0.25">
      <c r="A945" s="35">
        <v>1240433989</v>
      </c>
      <c r="B945" s="35" t="s">
        <v>3968</v>
      </c>
      <c r="C945" s="35">
        <v>2025</v>
      </c>
      <c r="D945" s="36">
        <v>45971.430115740739</v>
      </c>
      <c r="E945" s="37" t="s">
        <v>762</v>
      </c>
      <c r="F945" s="37" t="s">
        <v>4008</v>
      </c>
      <c r="G945" s="37" t="s">
        <v>3788</v>
      </c>
      <c r="H945" s="35" t="s">
        <v>3419</v>
      </c>
      <c r="I945" s="35" t="s">
        <v>3416</v>
      </c>
      <c r="J945" s="38">
        <v>3.8911764705882348</v>
      </c>
      <c r="K945" s="35">
        <v>3</v>
      </c>
      <c r="L945" s="38">
        <f t="shared" si="14"/>
        <v>11.673529411764704</v>
      </c>
      <c r="M945" s="35" t="s">
        <v>11</v>
      </c>
      <c r="N945" s="38"/>
      <c r="O945" s="35" t="s">
        <v>12</v>
      </c>
    </row>
    <row r="946" spans="1:15" x14ac:dyDescent="0.25">
      <c r="A946" s="35">
        <v>1240433989</v>
      </c>
      <c r="B946" s="35" t="s">
        <v>3968</v>
      </c>
      <c r="C946" s="35">
        <v>2025</v>
      </c>
      <c r="D946" s="36">
        <v>45971.430115740739</v>
      </c>
      <c r="E946" s="37" t="s">
        <v>762</v>
      </c>
      <c r="F946" s="37" t="s">
        <v>3758</v>
      </c>
      <c r="G946" s="37" t="s">
        <v>3788</v>
      </c>
      <c r="H946" s="35" t="s">
        <v>3419</v>
      </c>
      <c r="I946" s="35" t="s">
        <v>3416</v>
      </c>
      <c r="J946" s="38">
        <v>0.77823529411764703</v>
      </c>
      <c r="K946" s="35">
        <v>2</v>
      </c>
      <c r="L946" s="38">
        <f t="shared" si="14"/>
        <v>1.5564705882352941</v>
      </c>
      <c r="M946" s="35" t="s">
        <v>11</v>
      </c>
      <c r="N946" s="38"/>
      <c r="O946" s="35" t="s">
        <v>12</v>
      </c>
    </row>
    <row r="947" spans="1:15" x14ac:dyDescent="0.25">
      <c r="A947" s="35">
        <v>1240433322</v>
      </c>
      <c r="B947" s="35" t="s">
        <v>3968</v>
      </c>
      <c r="C947" s="35">
        <v>2025</v>
      </c>
      <c r="D947" s="36">
        <v>45971.430115740739</v>
      </c>
      <c r="E947" s="37" t="s">
        <v>779</v>
      </c>
      <c r="F947" s="37" t="s">
        <v>4034</v>
      </c>
      <c r="G947" s="37" t="s">
        <v>4035</v>
      </c>
      <c r="H947" s="35" t="s">
        <v>3419</v>
      </c>
      <c r="I947" s="35" t="s">
        <v>3416</v>
      </c>
      <c r="J947" s="38">
        <v>0.54333333333333333</v>
      </c>
      <c r="K947" s="35">
        <v>3</v>
      </c>
      <c r="L947" s="38">
        <f t="shared" si="14"/>
        <v>1.63</v>
      </c>
      <c r="M947" s="35" t="s">
        <v>11</v>
      </c>
      <c r="N947" s="38"/>
      <c r="O947" s="35" t="s">
        <v>12</v>
      </c>
    </row>
    <row r="948" spans="1:15" x14ac:dyDescent="0.25">
      <c r="A948" s="35">
        <v>1240432988</v>
      </c>
      <c r="B948" s="35" t="s">
        <v>3968</v>
      </c>
      <c r="C948" s="35">
        <v>2025</v>
      </c>
      <c r="D948" s="36">
        <v>45971.430115740739</v>
      </c>
      <c r="E948" s="37" t="s">
        <v>781</v>
      </c>
      <c r="F948" s="37" t="s">
        <v>3936</v>
      </c>
      <c r="G948" s="37" t="s">
        <v>3937</v>
      </c>
      <c r="H948" s="35" t="s">
        <v>3419</v>
      </c>
      <c r="I948" s="35" t="s">
        <v>3416</v>
      </c>
      <c r="J948" s="38">
        <v>1.115</v>
      </c>
      <c r="K948" s="35">
        <v>2</v>
      </c>
      <c r="L948" s="38">
        <f t="shared" si="14"/>
        <v>2.23</v>
      </c>
      <c r="M948" s="35" t="s">
        <v>11</v>
      </c>
      <c r="N948" s="38"/>
      <c r="O948" s="35" t="s">
        <v>12</v>
      </c>
    </row>
    <row r="949" spans="1:15" x14ac:dyDescent="0.25">
      <c r="A949" s="35">
        <v>1240431832</v>
      </c>
      <c r="B949" s="35" t="s">
        <v>3968</v>
      </c>
      <c r="C949" s="35">
        <v>2025</v>
      </c>
      <c r="D949" s="36">
        <v>45971.430115740739</v>
      </c>
      <c r="E949" s="37" t="s">
        <v>783</v>
      </c>
      <c r="F949" s="37" t="s">
        <v>4036</v>
      </c>
      <c r="G949" s="37" t="s">
        <v>4037</v>
      </c>
      <c r="H949" s="35" t="s">
        <v>3419</v>
      </c>
      <c r="I949" s="35" t="s">
        <v>3831</v>
      </c>
      <c r="J949" s="38">
        <v>2.209090909090909</v>
      </c>
      <c r="K949" s="35">
        <v>1</v>
      </c>
      <c r="L949" s="38">
        <f t="shared" si="14"/>
        <v>2.209090909090909</v>
      </c>
      <c r="M949" s="35" t="s">
        <v>11</v>
      </c>
      <c r="N949" s="38"/>
      <c r="O949" s="35" t="s">
        <v>12</v>
      </c>
    </row>
    <row r="950" spans="1:15" x14ac:dyDescent="0.25">
      <c r="A950" s="35">
        <v>1240431832</v>
      </c>
      <c r="B950" s="35" t="s">
        <v>3968</v>
      </c>
      <c r="C950" s="35">
        <v>2025</v>
      </c>
      <c r="D950" s="36">
        <v>45971.430115740739</v>
      </c>
      <c r="E950" s="37" t="s">
        <v>783</v>
      </c>
      <c r="F950" s="37" t="s">
        <v>4038</v>
      </c>
      <c r="G950" s="37" t="s">
        <v>3813</v>
      </c>
      <c r="H950" s="35" t="s">
        <v>3419</v>
      </c>
      <c r="I950" s="35" t="s">
        <v>3416</v>
      </c>
      <c r="J950" s="38">
        <v>0.1104545454545455</v>
      </c>
      <c r="K950" s="35">
        <v>2</v>
      </c>
      <c r="L950" s="38">
        <f t="shared" si="14"/>
        <v>0.220909090909091</v>
      </c>
      <c r="M950" s="35" t="s">
        <v>11</v>
      </c>
      <c r="N950" s="38"/>
      <c r="O950" s="35" t="s">
        <v>12</v>
      </c>
    </row>
    <row r="951" spans="1:15" x14ac:dyDescent="0.25">
      <c r="A951" s="35">
        <v>1240429845</v>
      </c>
      <c r="B951" s="35" t="s">
        <v>3968</v>
      </c>
      <c r="C951" s="35">
        <v>2025</v>
      </c>
      <c r="D951" s="36">
        <v>45971.430115740739</v>
      </c>
      <c r="E951" s="37" t="s">
        <v>785</v>
      </c>
      <c r="F951" s="37" t="s">
        <v>4039</v>
      </c>
      <c r="G951" s="37" t="s">
        <v>3788</v>
      </c>
      <c r="H951" s="35" t="s">
        <v>3419</v>
      </c>
      <c r="I951" s="35" t="s">
        <v>3416</v>
      </c>
      <c r="J951" s="38">
        <v>0.72240802675585281</v>
      </c>
      <c r="K951" s="35">
        <v>1</v>
      </c>
      <c r="L951" s="38">
        <f t="shared" si="14"/>
        <v>0.72240802675585281</v>
      </c>
      <c r="M951" s="35" t="s">
        <v>11</v>
      </c>
      <c r="N951" s="38"/>
      <c r="O951" s="35" t="s">
        <v>12</v>
      </c>
    </row>
    <row r="952" spans="1:15" x14ac:dyDescent="0.25">
      <c r="A952" s="35">
        <v>1240429845</v>
      </c>
      <c r="B952" s="35" t="s">
        <v>3968</v>
      </c>
      <c r="C952" s="35">
        <v>2025</v>
      </c>
      <c r="D952" s="36">
        <v>45971.430115740739</v>
      </c>
      <c r="E952" s="37" t="s">
        <v>785</v>
      </c>
      <c r="F952" s="37" t="s">
        <v>4040</v>
      </c>
      <c r="G952" s="37" t="s">
        <v>4041</v>
      </c>
      <c r="H952" s="35" t="s">
        <v>3419</v>
      </c>
      <c r="I952" s="35" t="s">
        <v>3416</v>
      </c>
      <c r="J952" s="38">
        <v>3.597591973244147</v>
      </c>
      <c r="K952" s="35">
        <v>1</v>
      </c>
      <c r="L952" s="38">
        <f t="shared" si="14"/>
        <v>3.597591973244147</v>
      </c>
      <c r="M952" s="35" t="s">
        <v>11</v>
      </c>
      <c r="N952" s="38"/>
      <c r="O952" s="35" t="s">
        <v>12</v>
      </c>
    </row>
    <row r="953" spans="1:15" x14ac:dyDescent="0.25">
      <c r="A953" s="35">
        <v>1240428040</v>
      </c>
      <c r="B953" s="35" t="s">
        <v>3968</v>
      </c>
      <c r="C953" s="35">
        <v>2025</v>
      </c>
      <c r="D953" s="36">
        <v>45971.430115740739</v>
      </c>
      <c r="E953" s="37" t="s">
        <v>414</v>
      </c>
      <c r="F953" s="37" t="s">
        <v>4042</v>
      </c>
      <c r="G953" s="37" t="s">
        <v>4043</v>
      </c>
      <c r="H953" s="35" t="s">
        <v>3419</v>
      </c>
      <c r="I953" s="35" t="s">
        <v>3416</v>
      </c>
      <c r="J953" s="38">
        <v>3.6549999999999998</v>
      </c>
      <c r="K953" s="35">
        <v>2</v>
      </c>
      <c r="L953" s="38">
        <f t="shared" si="14"/>
        <v>7.31</v>
      </c>
      <c r="M953" s="35" t="s">
        <v>11</v>
      </c>
      <c r="N953" s="38"/>
      <c r="O953" s="35" t="s">
        <v>12</v>
      </c>
    </row>
    <row r="954" spans="1:15" x14ac:dyDescent="0.25">
      <c r="A954" s="35">
        <v>1240427599</v>
      </c>
      <c r="B954" s="35" t="s">
        <v>3968</v>
      </c>
      <c r="C954" s="35">
        <v>2025</v>
      </c>
      <c r="D954" s="36">
        <v>45971.430115740739</v>
      </c>
      <c r="E954" s="37" t="s">
        <v>788</v>
      </c>
      <c r="F954" s="37" t="s">
        <v>4044</v>
      </c>
      <c r="G954" s="37" t="s">
        <v>3788</v>
      </c>
      <c r="H954" s="35" t="s">
        <v>3419</v>
      </c>
      <c r="I954" s="35" t="s">
        <v>3416</v>
      </c>
      <c r="J954" s="38">
        <v>6.78</v>
      </c>
      <c r="K954" s="35">
        <v>1</v>
      </c>
      <c r="L954" s="38">
        <f t="shared" si="14"/>
        <v>6.78</v>
      </c>
      <c r="M954" s="35" t="s">
        <v>11</v>
      </c>
      <c r="N954" s="38"/>
      <c r="O954" s="35" t="s">
        <v>12</v>
      </c>
    </row>
    <row r="955" spans="1:15" x14ac:dyDescent="0.25">
      <c r="A955" s="35">
        <v>1240421247</v>
      </c>
      <c r="B955" s="35" t="s">
        <v>3968</v>
      </c>
      <c r="C955" s="35">
        <v>2025</v>
      </c>
      <c r="D955" s="36">
        <v>45971.430115740739</v>
      </c>
      <c r="E955" s="37" t="s">
        <v>790</v>
      </c>
      <c r="F955" s="37" t="s">
        <v>4045</v>
      </c>
      <c r="G955" s="37" t="s">
        <v>4046</v>
      </c>
      <c r="H955" s="35" t="s">
        <v>3419</v>
      </c>
      <c r="I955" s="35" t="s">
        <v>3416</v>
      </c>
      <c r="J955" s="38">
        <v>4.6258823529411766</v>
      </c>
      <c r="K955" s="35">
        <v>2</v>
      </c>
      <c r="L955" s="38">
        <f t="shared" si="14"/>
        <v>9.2517647058823531</v>
      </c>
      <c r="M955" s="35" t="s">
        <v>11</v>
      </c>
      <c r="N955" s="38"/>
      <c r="O955" s="35" t="s">
        <v>12</v>
      </c>
    </row>
    <row r="956" spans="1:15" x14ac:dyDescent="0.25">
      <c r="A956" s="35">
        <v>1240421247</v>
      </c>
      <c r="B956" s="35" t="s">
        <v>3968</v>
      </c>
      <c r="C956" s="35">
        <v>2025</v>
      </c>
      <c r="D956" s="36">
        <v>45971.430115740739</v>
      </c>
      <c r="E956" s="37" t="s">
        <v>790</v>
      </c>
      <c r="F956" s="37" t="s">
        <v>4047</v>
      </c>
      <c r="G956" s="37" t="s">
        <v>3639</v>
      </c>
      <c r="H956" s="35" t="s">
        <v>3419</v>
      </c>
      <c r="I956" s="35" t="s">
        <v>3416</v>
      </c>
      <c r="J956" s="38">
        <v>0.57823529411764707</v>
      </c>
      <c r="K956" s="35">
        <v>1</v>
      </c>
      <c r="L956" s="38">
        <f t="shared" si="14"/>
        <v>0.57823529411764707</v>
      </c>
      <c r="M956" s="35" t="s">
        <v>11</v>
      </c>
      <c r="N956" s="38"/>
      <c r="O956" s="35" t="s">
        <v>12</v>
      </c>
    </row>
    <row r="957" spans="1:15" x14ac:dyDescent="0.25">
      <c r="A957" s="35">
        <v>1240417559</v>
      </c>
      <c r="B957" s="35" t="s">
        <v>3968</v>
      </c>
      <c r="C957" s="35">
        <v>2025</v>
      </c>
      <c r="D957" s="36">
        <v>45971.430115740739</v>
      </c>
      <c r="E957" s="37" t="s">
        <v>181</v>
      </c>
      <c r="F957" s="37" t="s">
        <v>4048</v>
      </c>
      <c r="G957" s="37" t="s">
        <v>4049</v>
      </c>
      <c r="H957" s="35" t="s">
        <v>3419</v>
      </c>
      <c r="I957" s="35" t="s">
        <v>3416</v>
      </c>
      <c r="J957" s="38">
        <v>0.75377345378735228</v>
      </c>
      <c r="K957" s="35">
        <v>2</v>
      </c>
      <c r="L957" s="38">
        <f t="shared" si="14"/>
        <v>1.5075469075747046</v>
      </c>
      <c r="M957" s="35" t="s">
        <v>11</v>
      </c>
      <c r="N957" s="38"/>
      <c r="O957" s="35" t="s">
        <v>12</v>
      </c>
    </row>
    <row r="958" spans="1:15" x14ac:dyDescent="0.25">
      <c r="A958" s="35">
        <v>1240417559</v>
      </c>
      <c r="B958" s="35" t="s">
        <v>3968</v>
      </c>
      <c r="C958" s="35">
        <v>2025</v>
      </c>
      <c r="D958" s="36">
        <v>45971.430115740739</v>
      </c>
      <c r="E958" s="37" t="s">
        <v>181</v>
      </c>
      <c r="F958" s="37" t="s">
        <v>4050</v>
      </c>
      <c r="G958" s="37" t="s">
        <v>3740</v>
      </c>
      <c r="H958" s="35" t="s">
        <v>3415</v>
      </c>
      <c r="I958" s="35" t="s">
        <v>3453</v>
      </c>
      <c r="J958" s="38">
        <v>3.113412091730368</v>
      </c>
      <c r="K958" s="35">
        <v>4</v>
      </c>
      <c r="L958" s="38">
        <f t="shared" si="14"/>
        <v>12.453648366921472</v>
      </c>
      <c r="M958" s="35" t="s">
        <v>11</v>
      </c>
      <c r="N958" s="38"/>
      <c r="O958" s="35" t="s">
        <v>12</v>
      </c>
    </row>
    <row r="959" spans="1:15" x14ac:dyDescent="0.25">
      <c r="A959" s="35">
        <v>1240417559</v>
      </c>
      <c r="B959" s="35" t="s">
        <v>3968</v>
      </c>
      <c r="C959" s="35">
        <v>2025</v>
      </c>
      <c r="D959" s="36">
        <v>45971.430115740739</v>
      </c>
      <c r="E959" s="37" t="s">
        <v>181</v>
      </c>
      <c r="F959" s="37" t="s">
        <v>4051</v>
      </c>
      <c r="G959" s="37" t="s">
        <v>3452</v>
      </c>
      <c r="H959" s="35" t="s">
        <v>3415</v>
      </c>
      <c r="I959" s="35" t="s">
        <v>3416</v>
      </c>
      <c r="J959" s="38">
        <v>0.25125781792911739</v>
      </c>
      <c r="K959" s="35">
        <v>4</v>
      </c>
      <c r="L959" s="38">
        <f t="shared" si="14"/>
        <v>1.0050312717164696</v>
      </c>
      <c r="M959" s="35" t="s">
        <v>11</v>
      </c>
      <c r="N959" s="38"/>
      <c r="O959" s="35" t="s">
        <v>12</v>
      </c>
    </row>
    <row r="960" spans="1:15" x14ac:dyDescent="0.25">
      <c r="A960" s="35">
        <v>1240417559</v>
      </c>
      <c r="B960" s="35" t="s">
        <v>3968</v>
      </c>
      <c r="C960" s="35">
        <v>2025</v>
      </c>
      <c r="D960" s="36">
        <v>45971.430115740739</v>
      </c>
      <c r="E960" s="37" t="s">
        <v>181</v>
      </c>
      <c r="F960" s="37" t="s">
        <v>4052</v>
      </c>
      <c r="G960" s="37" t="s">
        <v>4053</v>
      </c>
      <c r="H960" s="35" t="s">
        <v>3419</v>
      </c>
      <c r="I960" s="35" t="s">
        <v>3416</v>
      </c>
      <c r="J960" s="38">
        <v>0.75377345378735228</v>
      </c>
      <c r="K960" s="35">
        <v>1</v>
      </c>
      <c r="L960" s="38">
        <f t="shared" si="14"/>
        <v>0.75377345378735228</v>
      </c>
      <c r="M960" s="35" t="s">
        <v>11</v>
      </c>
      <c r="N960" s="38"/>
      <c r="O960" s="35" t="s">
        <v>12</v>
      </c>
    </row>
    <row r="961" spans="1:15" x14ac:dyDescent="0.25">
      <c r="A961" s="35">
        <v>1240175085</v>
      </c>
      <c r="B961" s="35" t="s">
        <v>3968</v>
      </c>
      <c r="C961" s="35">
        <v>2025</v>
      </c>
      <c r="D961" s="36">
        <v>45969.874178240738</v>
      </c>
      <c r="E961" s="37" t="s">
        <v>797</v>
      </c>
      <c r="F961" s="37" t="s">
        <v>4054</v>
      </c>
      <c r="G961" s="37" t="s">
        <v>4055</v>
      </c>
      <c r="H961" s="35" t="s">
        <v>3419</v>
      </c>
      <c r="I961" s="35" t="s">
        <v>3416</v>
      </c>
      <c r="J961" s="38">
        <v>1.278414634146342</v>
      </c>
      <c r="K961" s="35">
        <v>2</v>
      </c>
      <c r="L961" s="38">
        <f t="shared" si="14"/>
        <v>2.5568292682926841</v>
      </c>
      <c r="M961" s="35" t="s">
        <v>11</v>
      </c>
      <c r="N961" s="38"/>
      <c r="O961" s="35" t="s">
        <v>12</v>
      </c>
    </row>
    <row r="962" spans="1:15" x14ac:dyDescent="0.25">
      <c r="A962" s="35">
        <v>1240175085</v>
      </c>
      <c r="B962" s="35" t="s">
        <v>3968</v>
      </c>
      <c r="C962" s="35">
        <v>2025</v>
      </c>
      <c r="D962" s="36">
        <v>45969.874178240738</v>
      </c>
      <c r="E962" s="37" t="s">
        <v>797</v>
      </c>
      <c r="F962" s="37" t="s">
        <v>3962</v>
      </c>
      <c r="G962" s="37" t="s">
        <v>3788</v>
      </c>
      <c r="H962" s="35" t="s">
        <v>3415</v>
      </c>
      <c r="I962" s="35" t="s">
        <v>3416</v>
      </c>
      <c r="J962" s="38">
        <v>1.7432926829268289</v>
      </c>
      <c r="K962" s="35">
        <v>4</v>
      </c>
      <c r="L962" s="38">
        <f t="shared" ref="L962:L1025" si="15">J962*K962</f>
        <v>6.9731707317073157</v>
      </c>
      <c r="M962" s="35" t="s">
        <v>11</v>
      </c>
      <c r="N962" s="38"/>
      <c r="O962" s="35" t="s">
        <v>12</v>
      </c>
    </row>
    <row r="963" spans="1:15" x14ac:dyDescent="0.25">
      <c r="A963" s="35">
        <v>1240174616</v>
      </c>
      <c r="B963" s="35" t="s">
        <v>3968</v>
      </c>
      <c r="C963" s="35">
        <v>2025</v>
      </c>
      <c r="D963" s="36">
        <v>45969.874178240738</v>
      </c>
      <c r="E963" s="37" t="s">
        <v>8</v>
      </c>
      <c r="F963" s="37" t="s">
        <v>4056</v>
      </c>
      <c r="G963" s="37" t="s">
        <v>4057</v>
      </c>
      <c r="H963" s="35" t="s">
        <v>3415</v>
      </c>
      <c r="I963" s="35" t="s">
        <v>3416</v>
      </c>
      <c r="J963" s="38">
        <v>0.5</v>
      </c>
      <c r="K963" s="35">
        <v>4</v>
      </c>
      <c r="L963" s="38">
        <f t="shared" si="15"/>
        <v>2</v>
      </c>
      <c r="M963" s="42" t="s">
        <v>11</v>
      </c>
      <c r="N963" s="38"/>
      <c r="O963" s="35" t="s">
        <v>12</v>
      </c>
    </row>
    <row r="964" spans="1:15" x14ac:dyDescent="0.25">
      <c r="A964" s="35">
        <v>1240170413</v>
      </c>
      <c r="B964" s="35" t="s">
        <v>3968</v>
      </c>
      <c r="C964" s="35">
        <v>2025</v>
      </c>
      <c r="D964" s="36">
        <v>45969.874178240738</v>
      </c>
      <c r="E964" s="37" t="s">
        <v>318</v>
      </c>
      <c r="F964" s="37" t="s">
        <v>4058</v>
      </c>
      <c r="G964" s="37" t="s">
        <v>4059</v>
      </c>
      <c r="H964" s="35" t="s">
        <v>3419</v>
      </c>
      <c r="I964" s="35" t="s">
        <v>3416</v>
      </c>
      <c r="J964" s="38">
        <v>1.155</v>
      </c>
      <c r="K964" s="35">
        <v>2</v>
      </c>
      <c r="L964" s="38">
        <f t="shared" si="15"/>
        <v>2.31</v>
      </c>
      <c r="M964" s="35" t="s">
        <v>11</v>
      </c>
      <c r="N964" s="38"/>
      <c r="O964" s="35" t="s">
        <v>12</v>
      </c>
    </row>
    <row r="965" spans="1:15" x14ac:dyDescent="0.25">
      <c r="A965" s="35">
        <v>1240170405</v>
      </c>
      <c r="B965" s="35" t="s">
        <v>3968</v>
      </c>
      <c r="C965" s="35">
        <v>2025</v>
      </c>
      <c r="D965" s="36">
        <v>45969.874178240738</v>
      </c>
      <c r="E965" s="37" t="s">
        <v>801</v>
      </c>
      <c r="F965" s="37" t="s">
        <v>4058</v>
      </c>
      <c r="G965" s="37" t="s">
        <v>4059</v>
      </c>
      <c r="H965" s="35" t="s">
        <v>3419</v>
      </c>
      <c r="I965" s="35" t="s">
        <v>3416</v>
      </c>
      <c r="J965" s="38">
        <v>1.0649999999999999</v>
      </c>
      <c r="K965" s="35">
        <v>2</v>
      </c>
      <c r="L965" s="38">
        <f t="shared" si="15"/>
        <v>2.13</v>
      </c>
      <c r="M965" s="35" t="s">
        <v>11</v>
      </c>
      <c r="N965" s="38"/>
      <c r="O965" s="35" t="s">
        <v>12</v>
      </c>
    </row>
    <row r="966" spans="1:15" x14ac:dyDescent="0.25">
      <c r="A966" s="35">
        <v>1240170186</v>
      </c>
      <c r="B966" s="35" t="s">
        <v>3968</v>
      </c>
      <c r="C966" s="35">
        <v>2025</v>
      </c>
      <c r="D966" s="36">
        <v>45969.874178240738</v>
      </c>
      <c r="E966" s="37" t="s">
        <v>803</v>
      </c>
      <c r="F966" s="37" t="s">
        <v>4060</v>
      </c>
      <c r="G966" s="37" t="s">
        <v>3710</v>
      </c>
      <c r="H966" s="35" t="s">
        <v>3415</v>
      </c>
      <c r="I966" s="35" t="s">
        <v>3416</v>
      </c>
      <c r="J966" s="38">
        <v>2.3774999999999999</v>
      </c>
      <c r="K966" s="35">
        <v>4</v>
      </c>
      <c r="L966" s="38">
        <f t="shared" si="15"/>
        <v>9.51</v>
      </c>
      <c r="M966" s="35" t="s">
        <v>11</v>
      </c>
      <c r="N966" s="38"/>
      <c r="O966" s="35" t="s">
        <v>12</v>
      </c>
    </row>
    <row r="967" spans="1:15" x14ac:dyDescent="0.25">
      <c r="A967" s="35">
        <v>1239758352</v>
      </c>
      <c r="B967" s="35" t="s">
        <v>3968</v>
      </c>
      <c r="C967" s="35">
        <v>2025</v>
      </c>
      <c r="D967" s="36">
        <v>45967.503784722219</v>
      </c>
      <c r="E967" s="37" t="s">
        <v>810</v>
      </c>
      <c r="F967" s="37" t="s">
        <v>3756</v>
      </c>
      <c r="G967" s="37" t="s">
        <v>3757</v>
      </c>
      <c r="H967" s="35" t="s">
        <v>3419</v>
      </c>
      <c r="I967" s="35" t="s">
        <v>3416</v>
      </c>
      <c r="J967" s="38">
        <v>10.664999999999999</v>
      </c>
      <c r="K967" s="35">
        <v>2</v>
      </c>
      <c r="L967" s="38">
        <f t="shared" si="15"/>
        <v>21.33</v>
      </c>
      <c r="M967" s="35" t="s">
        <v>11</v>
      </c>
      <c r="N967" s="38"/>
      <c r="O967" s="35" t="s">
        <v>12</v>
      </c>
    </row>
    <row r="968" spans="1:15" x14ac:dyDescent="0.25">
      <c r="A968" s="35">
        <v>1239756058</v>
      </c>
      <c r="B968" s="35" t="s">
        <v>3968</v>
      </c>
      <c r="C968" s="35">
        <v>2025</v>
      </c>
      <c r="D968" s="36">
        <v>45967.503784722219</v>
      </c>
      <c r="E968" s="37" t="s">
        <v>223</v>
      </c>
      <c r="F968" s="37" t="s">
        <v>4061</v>
      </c>
      <c r="G968" s="37" t="s">
        <v>4059</v>
      </c>
      <c r="H968" s="35" t="s">
        <v>3419</v>
      </c>
      <c r="I968" s="35" t="s">
        <v>3453</v>
      </c>
      <c r="J968" s="38">
        <v>13.14</v>
      </c>
      <c r="K968" s="35">
        <v>1</v>
      </c>
      <c r="L968" s="38">
        <f t="shared" si="15"/>
        <v>13.14</v>
      </c>
      <c r="M968" s="35" t="s">
        <v>11</v>
      </c>
      <c r="N968" s="38"/>
      <c r="O968" s="35" t="s">
        <v>12</v>
      </c>
    </row>
    <row r="969" spans="1:15" ht="30" x14ac:dyDescent="0.25">
      <c r="A969" s="35">
        <v>1238467066</v>
      </c>
      <c r="B969" s="35" t="s">
        <v>4070</v>
      </c>
      <c r="C969" s="35">
        <v>2025</v>
      </c>
      <c r="D969" s="36">
        <v>45959.724120370367</v>
      </c>
      <c r="E969" s="37" t="s">
        <v>797</v>
      </c>
      <c r="F969" s="37" t="s">
        <v>4073</v>
      </c>
      <c r="G969" s="37" t="s">
        <v>3949</v>
      </c>
      <c r="H969" s="35" t="s">
        <v>3419</v>
      </c>
      <c r="I969" s="35" t="s">
        <v>3416</v>
      </c>
      <c r="J969" s="38">
        <v>2.665</v>
      </c>
      <c r="K969" s="35">
        <v>2</v>
      </c>
      <c r="L969" s="38">
        <f t="shared" si="15"/>
        <v>5.33</v>
      </c>
      <c r="M969" s="35" t="s">
        <v>11</v>
      </c>
      <c r="N969" s="38"/>
      <c r="O969" s="35" t="s">
        <v>12</v>
      </c>
    </row>
    <row r="970" spans="1:15" x14ac:dyDescent="0.25">
      <c r="A970" s="35">
        <v>1238464752</v>
      </c>
      <c r="B970" s="35" t="s">
        <v>4070</v>
      </c>
      <c r="C970" s="35">
        <v>2025</v>
      </c>
      <c r="D970" s="36">
        <v>45959.724120370367</v>
      </c>
      <c r="E970" s="37" t="s">
        <v>762</v>
      </c>
      <c r="F970" s="37" t="s">
        <v>4074</v>
      </c>
      <c r="G970" s="37" t="s">
        <v>3712</v>
      </c>
      <c r="H970" s="35" t="s">
        <v>3419</v>
      </c>
      <c r="I970" s="35" t="s">
        <v>3416</v>
      </c>
      <c r="J970" s="38">
        <v>1.915</v>
      </c>
      <c r="K970" s="35">
        <v>2</v>
      </c>
      <c r="L970" s="38">
        <f t="shared" si="15"/>
        <v>3.83</v>
      </c>
      <c r="M970" s="35" t="s">
        <v>11</v>
      </c>
      <c r="N970" s="38"/>
      <c r="O970" s="35" t="s">
        <v>12</v>
      </c>
    </row>
    <row r="971" spans="1:15" x14ac:dyDescent="0.25">
      <c r="A971" s="35">
        <v>1238462551</v>
      </c>
      <c r="B971" s="35" t="s">
        <v>4070</v>
      </c>
      <c r="C971" s="35">
        <v>2025</v>
      </c>
      <c r="D971" s="36">
        <v>45959.724120370367</v>
      </c>
      <c r="E971" s="37" t="s">
        <v>827</v>
      </c>
      <c r="F971" s="37" t="s">
        <v>4075</v>
      </c>
      <c r="G971" s="37" t="s">
        <v>3457</v>
      </c>
      <c r="H971" s="35" t="s">
        <v>3415</v>
      </c>
      <c r="I971" s="35" t="s">
        <v>3416</v>
      </c>
      <c r="J971" s="38">
        <v>1.1325000000000001</v>
      </c>
      <c r="K971" s="35">
        <v>4</v>
      </c>
      <c r="L971" s="38">
        <f t="shared" si="15"/>
        <v>4.53</v>
      </c>
      <c r="M971" s="35" t="s">
        <v>11</v>
      </c>
      <c r="N971" s="38"/>
      <c r="O971" s="35" t="s">
        <v>12</v>
      </c>
    </row>
    <row r="972" spans="1:15" x14ac:dyDescent="0.25">
      <c r="A972" s="35">
        <v>1238013373</v>
      </c>
      <c r="B972" s="35" t="s">
        <v>4070</v>
      </c>
      <c r="C972" s="35">
        <v>2025</v>
      </c>
      <c r="D972" s="36">
        <v>45956.89234953704</v>
      </c>
      <c r="E972" s="37" t="s">
        <v>837</v>
      </c>
      <c r="F972" s="37" t="s">
        <v>4082</v>
      </c>
      <c r="G972" s="37" t="s">
        <v>4083</v>
      </c>
      <c r="H972" s="35" t="s">
        <v>3419</v>
      </c>
      <c r="I972" s="35" t="s">
        <v>3416</v>
      </c>
      <c r="J972" s="38">
        <v>1.115</v>
      </c>
      <c r="K972" s="35">
        <v>2</v>
      </c>
      <c r="L972" s="38">
        <f t="shared" si="15"/>
        <v>2.23</v>
      </c>
      <c r="M972" s="35" t="s">
        <v>11</v>
      </c>
      <c r="N972" s="38"/>
      <c r="O972" s="35" t="s">
        <v>12</v>
      </c>
    </row>
    <row r="973" spans="1:15" x14ac:dyDescent="0.25">
      <c r="A973" s="35">
        <v>1238012706</v>
      </c>
      <c r="B973" s="35" t="s">
        <v>4070</v>
      </c>
      <c r="C973" s="35">
        <v>2025</v>
      </c>
      <c r="D973" s="36">
        <v>45956.89234953704</v>
      </c>
      <c r="E973" s="37" t="s">
        <v>840</v>
      </c>
      <c r="F973" s="37" t="s">
        <v>4084</v>
      </c>
      <c r="G973" s="37" t="s">
        <v>3788</v>
      </c>
      <c r="H973" s="35" t="s">
        <v>3419</v>
      </c>
      <c r="I973" s="35" t="s">
        <v>3416</v>
      </c>
      <c r="J973" s="38">
        <v>1.165</v>
      </c>
      <c r="K973" s="35">
        <v>2</v>
      </c>
      <c r="L973" s="38">
        <f t="shared" si="15"/>
        <v>2.33</v>
      </c>
      <c r="M973" s="35" t="s">
        <v>11</v>
      </c>
      <c r="N973" s="38"/>
      <c r="O973" s="35" t="s">
        <v>12</v>
      </c>
    </row>
    <row r="974" spans="1:15" x14ac:dyDescent="0.25">
      <c r="A974" s="35">
        <v>1238010432</v>
      </c>
      <c r="B974" s="35" t="s">
        <v>4070</v>
      </c>
      <c r="C974" s="35">
        <v>2025</v>
      </c>
      <c r="D974" s="36">
        <v>45956.89234953704</v>
      </c>
      <c r="E974" s="37" t="s">
        <v>842</v>
      </c>
      <c r="F974" s="37" t="s">
        <v>4085</v>
      </c>
      <c r="G974" s="37" t="s">
        <v>3676</v>
      </c>
      <c r="H974" s="35" t="s">
        <v>3415</v>
      </c>
      <c r="I974" s="35" t="s">
        <v>3416</v>
      </c>
      <c r="J974" s="38">
        <v>0.245</v>
      </c>
      <c r="K974" s="35">
        <v>4</v>
      </c>
      <c r="L974" s="38">
        <f t="shared" si="15"/>
        <v>0.98</v>
      </c>
      <c r="M974" s="35" t="s">
        <v>11</v>
      </c>
      <c r="N974" s="38"/>
      <c r="O974" s="35" t="s">
        <v>12</v>
      </c>
    </row>
    <row r="975" spans="1:15" x14ac:dyDescent="0.25">
      <c r="A975" s="35">
        <v>1238010432</v>
      </c>
      <c r="B975" s="35" t="s">
        <v>4070</v>
      </c>
      <c r="C975" s="35">
        <v>2025</v>
      </c>
      <c r="D975" s="36">
        <v>45956.89234953704</v>
      </c>
      <c r="E975" s="37" t="s">
        <v>842</v>
      </c>
      <c r="F975" s="37" t="s">
        <v>4086</v>
      </c>
      <c r="G975" s="37" t="s">
        <v>3788</v>
      </c>
      <c r="H975" s="35" t="s">
        <v>3419</v>
      </c>
      <c r="I975" s="35" t="s">
        <v>3416</v>
      </c>
      <c r="J975" s="38">
        <v>1.2250000000000001</v>
      </c>
      <c r="K975" s="35">
        <v>2</v>
      </c>
      <c r="L975" s="38">
        <f t="shared" si="15"/>
        <v>2.4500000000000002</v>
      </c>
      <c r="M975" s="35" t="s">
        <v>11</v>
      </c>
      <c r="N975" s="38"/>
      <c r="O975" s="35" t="s">
        <v>12</v>
      </c>
    </row>
    <row r="976" spans="1:15" x14ac:dyDescent="0.25">
      <c r="A976" s="35">
        <v>1237966382</v>
      </c>
      <c r="B976" s="35" t="s">
        <v>4070</v>
      </c>
      <c r="C976" s="35">
        <v>2025</v>
      </c>
      <c r="D976" s="36">
        <v>45956.89234953704</v>
      </c>
      <c r="E976" s="37" t="s">
        <v>844</v>
      </c>
      <c r="F976" s="37" t="s">
        <v>4087</v>
      </c>
      <c r="G976" s="37" t="s">
        <v>3807</v>
      </c>
      <c r="H976" s="35" t="s">
        <v>3419</v>
      </c>
      <c r="I976" s="35" t="s">
        <v>3416</v>
      </c>
      <c r="J976" s="38">
        <v>0.24325203252032521</v>
      </c>
      <c r="K976" s="35">
        <v>1</v>
      </c>
      <c r="L976" s="38">
        <f t="shared" si="15"/>
        <v>0.24325203252032521</v>
      </c>
      <c r="M976" s="35" t="s">
        <v>11</v>
      </c>
      <c r="N976" s="38"/>
      <c r="O976" s="35" t="s">
        <v>12</v>
      </c>
    </row>
    <row r="977" spans="1:15" x14ac:dyDescent="0.25">
      <c r="A977" s="35">
        <v>1237966382</v>
      </c>
      <c r="B977" s="35" t="s">
        <v>4070</v>
      </c>
      <c r="C977" s="35">
        <v>2025</v>
      </c>
      <c r="D977" s="36">
        <v>45956.89234953704</v>
      </c>
      <c r="E977" s="37" t="s">
        <v>844</v>
      </c>
      <c r="F977" s="37" t="s">
        <v>4088</v>
      </c>
      <c r="G977" s="37" t="s">
        <v>4089</v>
      </c>
      <c r="H977" s="35" t="s">
        <v>3419</v>
      </c>
      <c r="I977" s="35" t="s">
        <v>3416</v>
      </c>
      <c r="J977" s="38">
        <v>0.3648780487804878</v>
      </c>
      <c r="K977" s="35">
        <v>1</v>
      </c>
      <c r="L977" s="38">
        <f t="shared" si="15"/>
        <v>0.3648780487804878</v>
      </c>
      <c r="M977" s="35" t="s">
        <v>11</v>
      </c>
      <c r="N977" s="38"/>
      <c r="O977" s="35" t="s">
        <v>12</v>
      </c>
    </row>
    <row r="978" spans="1:15" x14ac:dyDescent="0.25">
      <c r="A978" s="35">
        <v>1237966382</v>
      </c>
      <c r="B978" s="35" t="s">
        <v>4070</v>
      </c>
      <c r="C978" s="35">
        <v>2025</v>
      </c>
      <c r="D978" s="36">
        <v>45956.89234953704</v>
      </c>
      <c r="E978" s="37" t="s">
        <v>844</v>
      </c>
      <c r="F978" s="37" t="s">
        <v>4090</v>
      </c>
      <c r="G978" s="37" t="s">
        <v>3788</v>
      </c>
      <c r="H978" s="35" t="s">
        <v>3419</v>
      </c>
      <c r="I978" s="35" t="s">
        <v>3416</v>
      </c>
      <c r="J978" s="38">
        <v>3.5879674796747971</v>
      </c>
      <c r="K978" s="35">
        <v>1</v>
      </c>
      <c r="L978" s="38">
        <f t="shared" si="15"/>
        <v>3.5879674796747971</v>
      </c>
      <c r="M978" s="35" t="s">
        <v>11</v>
      </c>
      <c r="N978" s="38"/>
      <c r="O978" s="35" t="s">
        <v>12</v>
      </c>
    </row>
    <row r="979" spans="1:15" x14ac:dyDescent="0.25">
      <c r="A979" s="35">
        <v>1237966382</v>
      </c>
      <c r="B979" s="35" t="s">
        <v>4070</v>
      </c>
      <c r="C979" s="35">
        <v>2025</v>
      </c>
      <c r="D979" s="36">
        <v>45956.89234953704</v>
      </c>
      <c r="E979" s="37" t="s">
        <v>844</v>
      </c>
      <c r="F979" s="37" t="s">
        <v>4091</v>
      </c>
      <c r="G979" s="37" t="s">
        <v>3757</v>
      </c>
      <c r="H979" s="35" t="s">
        <v>3415</v>
      </c>
      <c r="I979" s="35" t="s">
        <v>3416</v>
      </c>
      <c r="J979" s="38">
        <v>0.60813008130081303</v>
      </c>
      <c r="K979" s="35">
        <v>4</v>
      </c>
      <c r="L979" s="38">
        <f t="shared" si="15"/>
        <v>2.4325203252032521</v>
      </c>
      <c r="M979" s="35" t="s">
        <v>11</v>
      </c>
      <c r="N979" s="38"/>
      <c r="O979" s="35" t="s">
        <v>12</v>
      </c>
    </row>
    <row r="980" spans="1:15" x14ac:dyDescent="0.25">
      <c r="A980" s="35">
        <v>1237966382</v>
      </c>
      <c r="B980" s="35" t="s">
        <v>4070</v>
      </c>
      <c r="C980" s="35">
        <v>2025</v>
      </c>
      <c r="D980" s="36">
        <v>45956.89234953704</v>
      </c>
      <c r="E980" s="37" t="s">
        <v>844</v>
      </c>
      <c r="F980" s="37" t="s">
        <v>4092</v>
      </c>
      <c r="G980" s="37" t="s">
        <v>4093</v>
      </c>
      <c r="H980" s="35" t="s">
        <v>3419</v>
      </c>
      <c r="I980" s="35" t="s">
        <v>3416</v>
      </c>
      <c r="J980" s="38">
        <v>0.42569105691056908</v>
      </c>
      <c r="K980" s="35">
        <v>2</v>
      </c>
      <c r="L980" s="38">
        <f t="shared" si="15"/>
        <v>0.85138211382113815</v>
      </c>
      <c r="M980" s="35" t="s">
        <v>11</v>
      </c>
      <c r="N980" s="38"/>
      <c r="O980" s="35" t="s">
        <v>12</v>
      </c>
    </row>
    <row r="981" spans="1:15" x14ac:dyDescent="0.25">
      <c r="A981" s="35">
        <v>1237966174</v>
      </c>
      <c r="B981" s="35" t="s">
        <v>4070</v>
      </c>
      <c r="C981" s="35">
        <v>2025</v>
      </c>
      <c r="D981" s="36">
        <v>45956.89234953704</v>
      </c>
      <c r="E981" s="37" t="s">
        <v>231</v>
      </c>
      <c r="F981" s="37" t="s">
        <v>4094</v>
      </c>
      <c r="G981" s="37" t="s">
        <v>4095</v>
      </c>
      <c r="H981" s="35" t="s">
        <v>3419</v>
      </c>
      <c r="I981" s="35" t="s">
        <v>3416</v>
      </c>
      <c r="J981" s="38">
        <v>1.665</v>
      </c>
      <c r="K981" s="35">
        <v>2</v>
      </c>
      <c r="L981" s="38">
        <f t="shared" si="15"/>
        <v>3.33</v>
      </c>
      <c r="M981" s="35" t="s">
        <v>11</v>
      </c>
      <c r="N981" s="38"/>
      <c r="O981" s="35" t="s">
        <v>12</v>
      </c>
    </row>
    <row r="982" spans="1:15" ht="30" x14ac:dyDescent="0.25">
      <c r="A982" s="35">
        <v>1237965823</v>
      </c>
      <c r="B982" s="35" t="s">
        <v>4070</v>
      </c>
      <c r="C982" s="35">
        <v>2025</v>
      </c>
      <c r="D982" s="36">
        <v>45956.89234953704</v>
      </c>
      <c r="E982" s="37" t="s">
        <v>847</v>
      </c>
      <c r="F982" s="37" t="s">
        <v>4096</v>
      </c>
      <c r="G982" s="37" t="s">
        <v>4097</v>
      </c>
      <c r="H982" s="35" t="s">
        <v>3419</v>
      </c>
      <c r="I982" s="35" t="s">
        <v>3416</v>
      </c>
      <c r="J982" s="38">
        <v>0.99500000000000011</v>
      </c>
      <c r="K982" s="35">
        <v>2</v>
      </c>
      <c r="L982" s="38">
        <f t="shared" si="15"/>
        <v>1.9900000000000002</v>
      </c>
      <c r="M982" s="35" t="s">
        <v>11</v>
      </c>
      <c r="N982" s="38"/>
      <c r="O982" s="35" t="s">
        <v>12</v>
      </c>
    </row>
    <row r="983" spans="1:15" x14ac:dyDescent="0.25">
      <c r="A983" s="35">
        <v>1237965372</v>
      </c>
      <c r="B983" s="35" t="s">
        <v>4070</v>
      </c>
      <c r="C983" s="35">
        <v>2025</v>
      </c>
      <c r="D983" s="36">
        <v>45956.89234953704</v>
      </c>
      <c r="E983" s="37" t="s">
        <v>849</v>
      </c>
      <c r="F983" s="37" t="s">
        <v>4098</v>
      </c>
      <c r="G983" s="37" t="s">
        <v>3668</v>
      </c>
      <c r="H983" s="35" t="s">
        <v>3419</v>
      </c>
      <c r="I983" s="35" t="s">
        <v>3416</v>
      </c>
      <c r="J983" s="38">
        <v>4.53</v>
      </c>
      <c r="K983" s="35">
        <v>1</v>
      </c>
      <c r="L983" s="38">
        <f t="shared" si="15"/>
        <v>4.53</v>
      </c>
      <c r="M983" s="35" t="s">
        <v>11</v>
      </c>
      <c r="N983" s="38"/>
      <c r="O983" s="35" t="s">
        <v>12</v>
      </c>
    </row>
    <row r="984" spans="1:15" x14ac:dyDescent="0.25">
      <c r="A984" s="35">
        <v>1237431851</v>
      </c>
      <c r="B984" s="35" t="s">
        <v>4070</v>
      </c>
      <c r="C984" s="35">
        <v>2025</v>
      </c>
      <c r="D984" s="36">
        <v>45953.797060185178</v>
      </c>
      <c r="E984" s="37" t="s">
        <v>851</v>
      </c>
      <c r="F984" s="37" t="s">
        <v>4100</v>
      </c>
      <c r="G984" s="37" t="s">
        <v>3867</v>
      </c>
      <c r="H984" s="35" t="s">
        <v>3415</v>
      </c>
      <c r="I984" s="35" t="s">
        <v>3416</v>
      </c>
      <c r="J984" s="38">
        <v>36.174999999999997</v>
      </c>
      <c r="K984" s="35">
        <v>4</v>
      </c>
      <c r="L984" s="38">
        <f t="shared" si="15"/>
        <v>144.69999999999999</v>
      </c>
      <c r="M984" s="35" t="s">
        <v>11</v>
      </c>
      <c r="N984" s="38"/>
      <c r="O984" s="35" t="s">
        <v>12</v>
      </c>
    </row>
    <row r="985" spans="1:15" x14ac:dyDescent="0.25">
      <c r="A985" s="35">
        <v>1237338508</v>
      </c>
      <c r="B985" s="35" t="s">
        <v>4070</v>
      </c>
      <c r="C985" s="35">
        <v>2025</v>
      </c>
      <c r="D985" s="36">
        <v>45952.675000000003</v>
      </c>
      <c r="E985" s="37" t="s">
        <v>857</v>
      </c>
      <c r="F985" s="37" t="s">
        <v>4101</v>
      </c>
      <c r="G985" s="37" t="s">
        <v>4049</v>
      </c>
      <c r="H985" s="35" t="s">
        <v>3415</v>
      </c>
      <c r="I985" s="35" t="s">
        <v>3640</v>
      </c>
      <c r="J985" s="38">
        <v>6.5308988764044944</v>
      </c>
      <c r="K985" s="35">
        <v>4</v>
      </c>
      <c r="L985" s="38">
        <f t="shared" si="15"/>
        <v>26.123595505617978</v>
      </c>
      <c r="M985" s="35" t="s">
        <v>11</v>
      </c>
      <c r="N985" s="38"/>
      <c r="O985" s="35" t="s">
        <v>12</v>
      </c>
    </row>
    <row r="986" spans="1:15" x14ac:dyDescent="0.25">
      <c r="A986" s="35">
        <v>1237338508</v>
      </c>
      <c r="B986" s="35" t="s">
        <v>4070</v>
      </c>
      <c r="C986" s="35">
        <v>2025</v>
      </c>
      <c r="D986" s="36">
        <v>45952.675000000003</v>
      </c>
      <c r="E986" s="37" t="s">
        <v>857</v>
      </c>
      <c r="F986" s="37" t="s">
        <v>4102</v>
      </c>
      <c r="G986" s="37" t="s">
        <v>4103</v>
      </c>
      <c r="H986" s="35" t="s">
        <v>3419</v>
      </c>
      <c r="I986" s="35" t="s">
        <v>3416</v>
      </c>
      <c r="J986" s="38">
        <v>0.1264044943820225</v>
      </c>
      <c r="K986" s="35">
        <v>1</v>
      </c>
      <c r="L986" s="38">
        <f t="shared" si="15"/>
        <v>0.1264044943820225</v>
      </c>
      <c r="M986" s="35" t="s">
        <v>11</v>
      </c>
      <c r="N986" s="38"/>
      <c r="O986" s="35" t="s">
        <v>12</v>
      </c>
    </row>
    <row r="987" spans="1:15" x14ac:dyDescent="0.25">
      <c r="A987" s="35">
        <v>1237292133</v>
      </c>
      <c r="B987" s="35" t="s">
        <v>4070</v>
      </c>
      <c r="C987" s="35">
        <v>2025</v>
      </c>
      <c r="D987" s="36">
        <v>45952.675000000003</v>
      </c>
      <c r="E987" s="37" t="s">
        <v>859</v>
      </c>
      <c r="F987" s="37" t="s">
        <v>4104</v>
      </c>
      <c r="G987" s="37" t="s">
        <v>4105</v>
      </c>
      <c r="H987" s="35" t="s">
        <v>3419</v>
      </c>
      <c r="I987" s="35" t="s">
        <v>3416</v>
      </c>
      <c r="J987" s="38">
        <v>1.155</v>
      </c>
      <c r="K987" s="35">
        <v>2</v>
      </c>
      <c r="L987" s="38">
        <f t="shared" si="15"/>
        <v>2.31</v>
      </c>
      <c r="M987" s="35" t="s">
        <v>11</v>
      </c>
      <c r="N987" s="38"/>
      <c r="O987" s="35" t="s">
        <v>12</v>
      </c>
    </row>
    <row r="988" spans="1:15" x14ac:dyDescent="0.25">
      <c r="A988" s="35">
        <v>1237292131</v>
      </c>
      <c r="B988" s="35" t="s">
        <v>4070</v>
      </c>
      <c r="C988" s="35">
        <v>2025</v>
      </c>
      <c r="D988" s="36">
        <v>45952.675000000003</v>
      </c>
      <c r="E988" s="37" t="s">
        <v>861</v>
      </c>
      <c r="F988" s="37" t="s">
        <v>4106</v>
      </c>
      <c r="G988" s="37" t="s">
        <v>4095</v>
      </c>
      <c r="H988" s="35" t="s">
        <v>3419</v>
      </c>
      <c r="I988" s="35" t="s">
        <v>3416</v>
      </c>
      <c r="J988" s="38">
        <v>1.115</v>
      </c>
      <c r="K988" s="35">
        <v>2</v>
      </c>
      <c r="L988" s="38">
        <f t="shared" si="15"/>
        <v>2.23</v>
      </c>
      <c r="M988" s="35" t="s">
        <v>11</v>
      </c>
      <c r="N988" s="38"/>
      <c r="O988" s="35" t="s">
        <v>12</v>
      </c>
    </row>
    <row r="989" spans="1:15" x14ac:dyDescent="0.25">
      <c r="A989" s="35">
        <v>1237292123</v>
      </c>
      <c r="B989" s="35" t="s">
        <v>4070</v>
      </c>
      <c r="C989" s="35">
        <v>2025</v>
      </c>
      <c r="D989" s="36">
        <v>45952.675000000003</v>
      </c>
      <c r="E989" s="37" t="s">
        <v>863</v>
      </c>
      <c r="F989" s="37" t="s">
        <v>4107</v>
      </c>
      <c r="G989" s="37" t="s">
        <v>4108</v>
      </c>
      <c r="H989" s="35" t="s">
        <v>3419</v>
      </c>
      <c r="I989" s="35" t="s">
        <v>3453</v>
      </c>
      <c r="J989" s="38">
        <v>0.59214733542319742</v>
      </c>
      <c r="K989" s="35">
        <v>2</v>
      </c>
      <c r="L989" s="38">
        <f t="shared" si="15"/>
        <v>1.1842946708463948</v>
      </c>
      <c r="M989" s="35" t="s">
        <v>11</v>
      </c>
      <c r="N989" s="38"/>
      <c r="O989" s="35" t="s">
        <v>12</v>
      </c>
    </row>
    <row r="990" spans="1:15" x14ac:dyDescent="0.25">
      <c r="A990" s="35">
        <v>1237292123</v>
      </c>
      <c r="B990" s="35" t="s">
        <v>4070</v>
      </c>
      <c r="C990" s="35">
        <v>2025</v>
      </c>
      <c r="D990" s="36">
        <v>45952.675000000003</v>
      </c>
      <c r="E990" s="37" t="s">
        <v>863</v>
      </c>
      <c r="F990" s="37" t="s">
        <v>4109</v>
      </c>
      <c r="G990" s="37" t="s">
        <v>4110</v>
      </c>
      <c r="H990" s="35" t="s">
        <v>3419</v>
      </c>
      <c r="I990" s="35" t="s">
        <v>3453</v>
      </c>
      <c r="J990" s="38">
        <v>0.60423197492163006</v>
      </c>
      <c r="K990" s="35">
        <v>2</v>
      </c>
      <c r="L990" s="38">
        <f t="shared" si="15"/>
        <v>1.2084639498432601</v>
      </c>
      <c r="M990" s="35" t="s">
        <v>11</v>
      </c>
      <c r="N990" s="38"/>
      <c r="O990" s="35" t="s">
        <v>12</v>
      </c>
    </row>
    <row r="991" spans="1:15" ht="30" x14ac:dyDescent="0.25">
      <c r="A991" s="35">
        <v>1237292123</v>
      </c>
      <c r="B991" s="35" t="s">
        <v>4070</v>
      </c>
      <c r="C991" s="35">
        <v>2025</v>
      </c>
      <c r="D991" s="36">
        <v>45952.675000000003</v>
      </c>
      <c r="E991" s="37" t="s">
        <v>863</v>
      </c>
      <c r="F991" s="37" t="s">
        <v>4111</v>
      </c>
      <c r="G991" s="37" t="s">
        <v>4112</v>
      </c>
      <c r="H991" s="35" t="s">
        <v>3419</v>
      </c>
      <c r="I991" s="35" t="s">
        <v>3416</v>
      </c>
      <c r="J991" s="38">
        <v>5.317241379310345</v>
      </c>
      <c r="K991" s="35">
        <v>1</v>
      </c>
      <c r="L991" s="38">
        <f t="shared" si="15"/>
        <v>5.317241379310345</v>
      </c>
      <c r="M991" s="35" t="s">
        <v>11</v>
      </c>
      <c r="N991" s="38"/>
      <c r="O991" s="35" t="s">
        <v>12</v>
      </c>
    </row>
    <row r="992" spans="1:15" x14ac:dyDescent="0.25">
      <c r="A992" s="35">
        <v>1236431090</v>
      </c>
      <c r="B992" s="35" t="s">
        <v>4070</v>
      </c>
      <c r="C992" s="35">
        <v>2025</v>
      </c>
      <c r="D992" s="36">
        <v>45947.336909722217</v>
      </c>
      <c r="E992" s="37" t="s">
        <v>877</v>
      </c>
      <c r="F992" s="37" t="s">
        <v>4114</v>
      </c>
      <c r="G992" s="37" t="s">
        <v>4103</v>
      </c>
      <c r="H992" s="35" t="s">
        <v>3419</v>
      </c>
      <c r="I992" s="35" t="s">
        <v>3416</v>
      </c>
      <c r="J992" s="38">
        <v>38.93</v>
      </c>
      <c r="K992" s="35">
        <v>1</v>
      </c>
      <c r="L992" s="38">
        <f t="shared" si="15"/>
        <v>38.93</v>
      </c>
      <c r="M992" s="35" t="s">
        <v>11</v>
      </c>
      <c r="N992" s="38"/>
      <c r="O992" s="35" t="s">
        <v>12</v>
      </c>
    </row>
    <row r="993" spans="1:15" x14ac:dyDescent="0.25">
      <c r="A993" s="35">
        <v>1236168020</v>
      </c>
      <c r="B993" s="35" t="s">
        <v>4070</v>
      </c>
      <c r="C993" s="35">
        <v>2025</v>
      </c>
      <c r="D993" s="36">
        <v>45945.528240740743</v>
      </c>
      <c r="E993" s="37" t="s">
        <v>879</v>
      </c>
      <c r="F993" s="37" t="s">
        <v>4115</v>
      </c>
      <c r="G993" s="37" t="s">
        <v>3768</v>
      </c>
      <c r="H993" s="35" t="s">
        <v>3415</v>
      </c>
      <c r="I993" s="35" t="s">
        <v>3416</v>
      </c>
      <c r="J993" s="38">
        <v>5.3224999999999998</v>
      </c>
      <c r="K993" s="35">
        <v>4</v>
      </c>
      <c r="L993" s="38">
        <f t="shared" si="15"/>
        <v>21.29</v>
      </c>
      <c r="M993" s="35" t="s">
        <v>11</v>
      </c>
      <c r="N993" s="38"/>
      <c r="O993" s="35" t="s">
        <v>12</v>
      </c>
    </row>
    <row r="994" spans="1:15" x14ac:dyDescent="0.25">
      <c r="A994" s="35">
        <v>1235996091</v>
      </c>
      <c r="B994" s="35" t="s">
        <v>4070</v>
      </c>
      <c r="C994" s="35">
        <v>2025</v>
      </c>
      <c r="D994" s="36">
        <v>45944.339618055557</v>
      </c>
      <c r="E994" s="37" t="s">
        <v>882</v>
      </c>
      <c r="F994" s="37" t="s">
        <v>4116</v>
      </c>
      <c r="G994" s="37" t="s">
        <v>3855</v>
      </c>
      <c r="H994" s="35" t="s">
        <v>3419</v>
      </c>
      <c r="I994" s="35" t="s">
        <v>3416</v>
      </c>
      <c r="J994" s="38">
        <v>4.62</v>
      </c>
      <c r="K994" s="35">
        <v>1</v>
      </c>
      <c r="L994" s="38">
        <f t="shared" si="15"/>
        <v>4.62</v>
      </c>
      <c r="M994" s="35" t="s">
        <v>11</v>
      </c>
      <c r="N994" s="38"/>
      <c r="O994" s="35" t="s">
        <v>12</v>
      </c>
    </row>
    <row r="995" spans="1:15" x14ac:dyDescent="0.25">
      <c r="A995" s="35">
        <v>1235995421</v>
      </c>
      <c r="B995" s="35" t="s">
        <v>4070</v>
      </c>
      <c r="C995" s="35">
        <v>2025</v>
      </c>
      <c r="D995" s="36">
        <v>45944.339618055557</v>
      </c>
      <c r="E995" s="37" t="s">
        <v>885</v>
      </c>
      <c r="F995" s="37" t="s">
        <v>4116</v>
      </c>
      <c r="G995" s="37" t="s">
        <v>3855</v>
      </c>
      <c r="H995" s="35" t="s">
        <v>3419</v>
      </c>
      <c r="I995" s="35" t="s">
        <v>3416</v>
      </c>
      <c r="J995" s="38">
        <v>3.4433333333333329</v>
      </c>
      <c r="K995" s="35">
        <v>3</v>
      </c>
      <c r="L995" s="38">
        <f t="shared" si="15"/>
        <v>10.329999999999998</v>
      </c>
      <c r="M995" s="35" t="s">
        <v>11</v>
      </c>
      <c r="N995" s="38"/>
      <c r="O995" s="35" t="s">
        <v>12</v>
      </c>
    </row>
    <row r="996" spans="1:15" x14ac:dyDescent="0.25">
      <c r="A996" s="35">
        <v>1235893246</v>
      </c>
      <c r="B996" s="35" t="s">
        <v>4070</v>
      </c>
      <c r="C996" s="35">
        <v>2025</v>
      </c>
      <c r="D996" s="36">
        <v>45943.884895833333</v>
      </c>
      <c r="E996" s="37" t="s">
        <v>242</v>
      </c>
      <c r="F996" s="37" t="s">
        <v>3965</v>
      </c>
      <c r="G996" s="37" t="s">
        <v>3455</v>
      </c>
      <c r="H996" s="35" t="s">
        <v>3419</v>
      </c>
      <c r="I996" s="35" t="s">
        <v>3416</v>
      </c>
      <c r="J996" s="38">
        <v>7.6150000000000002</v>
      </c>
      <c r="K996" s="35">
        <v>2</v>
      </c>
      <c r="L996" s="38">
        <f t="shared" si="15"/>
        <v>15.23</v>
      </c>
      <c r="M996" s="35" t="s">
        <v>11</v>
      </c>
      <c r="N996" s="38"/>
      <c r="O996" s="35" t="s">
        <v>12</v>
      </c>
    </row>
    <row r="997" spans="1:15" x14ac:dyDescent="0.25">
      <c r="A997" s="35">
        <v>1235893234</v>
      </c>
      <c r="B997" s="35" t="s">
        <v>4070</v>
      </c>
      <c r="C997" s="35">
        <v>2025</v>
      </c>
      <c r="D997" s="36">
        <v>45943.884895833333</v>
      </c>
      <c r="E997" s="37" t="s">
        <v>888</v>
      </c>
      <c r="F997" s="37" t="s">
        <v>3965</v>
      </c>
      <c r="G997" s="37" t="s">
        <v>3455</v>
      </c>
      <c r="H997" s="35" t="s">
        <v>3419</v>
      </c>
      <c r="I997" s="35" t="s">
        <v>3416</v>
      </c>
      <c r="J997" s="38">
        <v>7.915</v>
      </c>
      <c r="K997" s="35">
        <v>2</v>
      </c>
      <c r="L997" s="38">
        <f t="shared" si="15"/>
        <v>15.83</v>
      </c>
      <c r="M997" s="35" t="s">
        <v>11</v>
      </c>
      <c r="N997" s="38"/>
      <c r="O997" s="35" t="s">
        <v>12</v>
      </c>
    </row>
    <row r="998" spans="1:15" ht="30" x14ac:dyDescent="0.25">
      <c r="A998" s="35">
        <v>1235615590</v>
      </c>
      <c r="B998" s="35" t="s">
        <v>4070</v>
      </c>
      <c r="C998" s="35">
        <v>2025</v>
      </c>
      <c r="D998" s="36">
        <v>45941.990104166667</v>
      </c>
      <c r="E998" s="37" t="s">
        <v>897</v>
      </c>
      <c r="F998" s="37" t="s">
        <v>4117</v>
      </c>
      <c r="G998" s="37" t="s">
        <v>4118</v>
      </c>
      <c r="H998" s="35" t="s">
        <v>3419</v>
      </c>
      <c r="I998" s="35" t="s">
        <v>3416</v>
      </c>
      <c r="J998" s="38">
        <v>19.329999999999998</v>
      </c>
      <c r="K998" s="35">
        <v>1</v>
      </c>
      <c r="L998" s="38">
        <f t="shared" si="15"/>
        <v>19.329999999999998</v>
      </c>
      <c r="M998" s="35" t="s">
        <v>11</v>
      </c>
      <c r="N998" s="38"/>
      <c r="O998" s="35" t="s">
        <v>12</v>
      </c>
    </row>
    <row r="999" spans="1:15" x14ac:dyDescent="0.25">
      <c r="A999" s="35">
        <v>1235614540</v>
      </c>
      <c r="B999" s="35" t="s">
        <v>4070</v>
      </c>
      <c r="C999" s="35">
        <v>2025</v>
      </c>
      <c r="D999" s="36">
        <v>45941.990104166667</v>
      </c>
      <c r="E999" s="37" t="s">
        <v>902</v>
      </c>
      <c r="F999" s="37" t="s">
        <v>4119</v>
      </c>
      <c r="G999" s="37" t="s">
        <v>3619</v>
      </c>
      <c r="H999" s="35" t="s">
        <v>3415</v>
      </c>
      <c r="I999" s="35" t="s">
        <v>3416</v>
      </c>
      <c r="J999" s="38">
        <v>0.83250000000000002</v>
      </c>
      <c r="K999" s="35">
        <v>4</v>
      </c>
      <c r="L999" s="38">
        <f t="shared" si="15"/>
        <v>3.33</v>
      </c>
      <c r="M999" s="35" t="s">
        <v>11</v>
      </c>
      <c r="N999" s="38"/>
      <c r="O999" s="35" t="s">
        <v>12</v>
      </c>
    </row>
    <row r="1000" spans="1:15" x14ac:dyDescent="0.25">
      <c r="A1000" s="35">
        <v>1235614411</v>
      </c>
      <c r="B1000" s="35" t="s">
        <v>4070</v>
      </c>
      <c r="C1000" s="35">
        <v>2025</v>
      </c>
      <c r="D1000" s="36">
        <v>45941.990104166667</v>
      </c>
      <c r="E1000" s="37" t="s">
        <v>904</v>
      </c>
      <c r="F1000" s="37" t="s">
        <v>4120</v>
      </c>
      <c r="G1000" s="37" t="s">
        <v>3560</v>
      </c>
      <c r="H1000" s="35" t="s">
        <v>3419</v>
      </c>
      <c r="I1000" s="35" t="s">
        <v>3416</v>
      </c>
      <c r="J1000" s="38">
        <v>5.5566666666666684</v>
      </c>
      <c r="K1000" s="35">
        <v>3</v>
      </c>
      <c r="L1000" s="38">
        <f t="shared" si="15"/>
        <v>16.670000000000005</v>
      </c>
      <c r="M1000" s="35" t="s">
        <v>11</v>
      </c>
      <c r="N1000" s="38"/>
      <c r="O1000" s="35" t="s">
        <v>12</v>
      </c>
    </row>
    <row r="1001" spans="1:15" x14ac:dyDescent="0.25">
      <c r="A1001" s="35">
        <v>1235614380</v>
      </c>
      <c r="B1001" s="35" t="s">
        <v>4070</v>
      </c>
      <c r="C1001" s="35">
        <v>2025</v>
      </c>
      <c r="D1001" s="36">
        <v>45941.990104166667</v>
      </c>
      <c r="E1001" s="37" t="s">
        <v>844</v>
      </c>
      <c r="F1001" s="37" t="s">
        <v>4120</v>
      </c>
      <c r="G1001" s="37" t="s">
        <v>3560</v>
      </c>
      <c r="H1001" s="35" t="s">
        <v>3419</v>
      </c>
      <c r="I1001" s="35" t="s">
        <v>3416</v>
      </c>
      <c r="J1001" s="38">
        <v>5.58</v>
      </c>
      <c r="K1001" s="35">
        <v>1</v>
      </c>
      <c r="L1001" s="38">
        <f t="shared" si="15"/>
        <v>5.58</v>
      </c>
      <c r="M1001" s="35" t="s">
        <v>11</v>
      </c>
      <c r="N1001" s="38"/>
      <c r="O1001" s="35" t="s">
        <v>12</v>
      </c>
    </row>
    <row r="1002" spans="1:15" x14ac:dyDescent="0.25">
      <c r="A1002" s="35">
        <v>1235567765</v>
      </c>
      <c r="B1002" s="35" t="s">
        <v>4070</v>
      </c>
      <c r="C1002" s="35">
        <v>2025</v>
      </c>
      <c r="D1002" s="36">
        <v>45941.803043981483</v>
      </c>
      <c r="E1002" s="37" t="s">
        <v>8</v>
      </c>
      <c r="F1002" s="37" t="s">
        <v>4121</v>
      </c>
      <c r="G1002" s="37" t="s">
        <v>3867</v>
      </c>
      <c r="H1002" s="35" t="s">
        <v>3415</v>
      </c>
      <c r="I1002" s="35" t="s">
        <v>3416</v>
      </c>
      <c r="J1002" s="38">
        <v>0.05</v>
      </c>
      <c r="K1002" s="35">
        <v>4</v>
      </c>
      <c r="L1002" s="38">
        <f t="shared" si="15"/>
        <v>0.2</v>
      </c>
      <c r="M1002" s="42" t="s">
        <v>11</v>
      </c>
      <c r="N1002" s="38"/>
      <c r="O1002" s="35" t="s">
        <v>12</v>
      </c>
    </row>
    <row r="1003" spans="1:15" x14ac:dyDescent="0.25">
      <c r="A1003" s="35">
        <v>1235516214</v>
      </c>
      <c r="B1003" s="35" t="s">
        <v>4070</v>
      </c>
      <c r="C1003" s="35">
        <v>2025</v>
      </c>
      <c r="D1003" s="36">
        <v>45941.803043981483</v>
      </c>
      <c r="E1003" s="37" t="s">
        <v>910</v>
      </c>
      <c r="F1003" s="37" t="s">
        <v>4122</v>
      </c>
      <c r="G1003" s="37" t="s">
        <v>3621</v>
      </c>
      <c r="H1003" s="35" t="s">
        <v>3415</v>
      </c>
      <c r="I1003" s="35" t="s">
        <v>3416</v>
      </c>
      <c r="J1003" s="38">
        <v>0.1940869565217391</v>
      </c>
      <c r="K1003" s="35">
        <v>4</v>
      </c>
      <c r="L1003" s="38">
        <f t="shared" si="15"/>
        <v>0.77634782608695641</v>
      </c>
      <c r="M1003" s="35" t="s">
        <v>11</v>
      </c>
      <c r="N1003" s="38"/>
      <c r="O1003" s="35" t="s">
        <v>12</v>
      </c>
    </row>
    <row r="1004" spans="1:15" x14ac:dyDescent="0.25">
      <c r="A1004" s="35">
        <v>1235516214</v>
      </c>
      <c r="B1004" s="35" t="s">
        <v>4070</v>
      </c>
      <c r="C1004" s="35">
        <v>2025</v>
      </c>
      <c r="D1004" s="36">
        <v>45941.803043981483</v>
      </c>
      <c r="E1004" s="37" t="s">
        <v>910</v>
      </c>
      <c r="F1004" s="37" t="s">
        <v>4123</v>
      </c>
      <c r="G1004" s="37" t="s">
        <v>3621</v>
      </c>
      <c r="H1004" s="35" t="s">
        <v>3419</v>
      </c>
      <c r="I1004" s="35" t="s">
        <v>3416</v>
      </c>
      <c r="J1004" s="38">
        <v>1.272347826086957</v>
      </c>
      <c r="K1004" s="35">
        <v>1</v>
      </c>
      <c r="L1004" s="38">
        <f t="shared" si="15"/>
        <v>1.272347826086957</v>
      </c>
      <c r="M1004" s="35" t="s">
        <v>11</v>
      </c>
      <c r="N1004" s="38"/>
      <c r="O1004" s="35" t="s">
        <v>12</v>
      </c>
    </row>
    <row r="1005" spans="1:15" x14ac:dyDescent="0.25">
      <c r="A1005" s="35">
        <v>1235516214</v>
      </c>
      <c r="B1005" s="35" t="s">
        <v>4070</v>
      </c>
      <c r="C1005" s="35">
        <v>2025</v>
      </c>
      <c r="D1005" s="36">
        <v>45941.803043981483</v>
      </c>
      <c r="E1005" s="37" t="s">
        <v>910</v>
      </c>
      <c r="F1005" s="37" t="s">
        <v>4124</v>
      </c>
      <c r="G1005" s="37" t="s">
        <v>3621</v>
      </c>
      <c r="H1005" s="35" t="s">
        <v>3415</v>
      </c>
      <c r="I1005" s="35" t="s">
        <v>3416</v>
      </c>
      <c r="J1005" s="38">
        <v>0.10782608695652179</v>
      </c>
      <c r="K1005" s="35">
        <v>4</v>
      </c>
      <c r="L1005" s="38">
        <f t="shared" si="15"/>
        <v>0.43130434782608718</v>
      </c>
      <c r="M1005" s="35" t="s">
        <v>11</v>
      </c>
      <c r="N1005" s="38"/>
      <c r="O1005" s="35" t="s">
        <v>12</v>
      </c>
    </row>
    <row r="1006" spans="1:15" ht="30" x14ac:dyDescent="0.25">
      <c r="A1006" s="35">
        <v>1235474583</v>
      </c>
      <c r="B1006" s="35" t="s">
        <v>4070</v>
      </c>
      <c r="C1006" s="35">
        <v>2025</v>
      </c>
      <c r="D1006" s="36">
        <v>45941.803043981483</v>
      </c>
      <c r="E1006" s="37" t="s">
        <v>203</v>
      </c>
      <c r="F1006" s="37" t="s">
        <v>4125</v>
      </c>
      <c r="G1006" s="37" t="s">
        <v>3710</v>
      </c>
      <c r="H1006" s="35" t="s">
        <v>3419</v>
      </c>
      <c r="I1006" s="35" t="s">
        <v>3416</v>
      </c>
      <c r="J1006" s="38">
        <v>0.7425968992248061</v>
      </c>
      <c r="K1006" s="35">
        <v>3</v>
      </c>
      <c r="L1006" s="38">
        <f t="shared" si="15"/>
        <v>2.2277906976744184</v>
      </c>
      <c r="M1006" s="35" t="s">
        <v>11</v>
      </c>
      <c r="N1006" s="38"/>
      <c r="O1006" s="35" t="s">
        <v>12</v>
      </c>
    </row>
    <row r="1007" spans="1:15" x14ac:dyDescent="0.25">
      <c r="A1007" s="35">
        <v>1235474583</v>
      </c>
      <c r="B1007" s="35" t="s">
        <v>4070</v>
      </c>
      <c r="C1007" s="35">
        <v>2025</v>
      </c>
      <c r="D1007" s="36">
        <v>45941.803043981483</v>
      </c>
      <c r="E1007" s="37" t="s">
        <v>203</v>
      </c>
      <c r="F1007" s="37" t="s">
        <v>4123</v>
      </c>
      <c r="G1007" s="37" t="s">
        <v>3621</v>
      </c>
      <c r="H1007" s="35" t="s">
        <v>3419</v>
      </c>
      <c r="I1007" s="35" t="s">
        <v>3416</v>
      </c>
      <c r="J1007" s="38">
        <v>0.37887596899224812</v>
      </c>
      <c r="K1007" s="35">
        <v>3</v>
      </c>
      <c r="L1007" s="38">
        <f t="shared" si="15"/>
        <v>1.1366279069767444</v>
      </c>
      <c r="M1007" s="35" t="s">
        <v>11</v>
      </c>
      <c r="N1007" s="38"/>
      <c r="O1007" s="35" t="s">
        <v>12</v>
      </c>
    </row>
    <row r="1008" spans="1:15" x14ac:dyDescent="0.25">
      <c r="A1008" s="35">
        <v>1235474583</v>
      </c>
      <c r="B1008" s="35" t="s">
        <v>4070</v>
      </c>
      <c r="C1008" s="35">
        <v>2025</v>
      </c>
      <c r="D1008" s="36">
        <v>45941.803043981483</v>
      </c>
      <c r="E1008" s="37" t="s">
        <v>203</v>
      </c>
      <c r="F1008" s="37" t="s">
        <v>4126</v>
      </c>
      <c r="G1008" s="37" t="s">
        <v>3621</v>
      </c>
      <c r="H1008" s="35" t="s">
        <v>3419</v>
      </c>
      <c r="I1008" s="35" t="s">
        <v>3416</v>
      </c>
      <c r="J1008" s="38">
        <v>0.2727906976744186</v>
      </c>
      <c r="K1008" s="35">
        <v>2</v>
      </c>
      <c r="L1008" s="38">
        <f t="shared" si="15"/>
        <v>0.54558139534883721</v>
      </c>
      <c r="M1008" s="35" t="s">
        <v>11</v>
      </c>
      <c r="N1008" s="38"/>
      <c r="O1008" s="35" t="s">
        <v>12</v>
      </c>
    </row>
    <row r="1009" spans="1:15" x14ac:dyDescent="0.25">
      <c r="A1009" s="35">
        <v>1234769905</v>
      </c>
      <c r="B1009" s="35" t="s">
        <v>4070</v>
      </c>
      <c r="C1009" s="35">
        <v>2025</v>
      </c>
      <c r="D1009" s="36">
        <v>45937.400300925918</v>
      </c>
      <c r="E1009" s="37" t="s">
        <v>919</v>
      </c>
      <c r="F1009" s="37" t="s">
        <v>4129</v>
      </c>
      <c r="G1009" s="37" t="s">
        <v>3714</v>
      </c>
      <c r="H1009" s="35" t="s">
        <v>3419</v>
      </c>
      <c r="I1009" s="35" t="s">
        <v>3416</v>
      </c>
      <c r="J1009" s="38">
        <v>17.829999999999998</v>
      </c>
      <c r="K1009" s="35">
        <v>1</v>
      </c>
      <c r="L1009" s="38">
        <f t="shared" si="15"/>
        <v>17.829999999999998</v>
      </c>
      <c r="M1009" s="35" t="s">
        <v>11</v>
      </c>
      <c r="N1009" s="38"/>
      <c r="O1009" s="35" t="s">
        <v>12</v>
      </c>
    </row>
    <row r="1010" spans="1:15" x14ac:dyDescent="0.25">
      <c r="A1010" s="35">
        <v>1234769837</v>
      </c>
      <c r="B1010" s="35" t="s">
        <v>4070</v>
      </c>
      <c r="C1010" s="35">
        <v>2025</v>
      </c>
      <c r="D1010" s="36">
        <v>45937.400300925918</v>
      </c>
      <c r="E1010" s="37" t="s">
        <v>921</v>
      </c>
      <c r="F1010" s="37" t="s">
        <v>4099</v>
      </c>
      <c r="G1010" s="37" t="s">
        <v>3757</v>
      </c>
      <c r="H1010" s="35" t="s">
        <v>3419</v>
      </c>
      <c r="I1010" s="35" t="s">
        <v>3416</v>
      </c>
      <c r="J1010" s="38">
        <v>27.965</v>
      </c>
      <c r="K1010" s="35">
        <v>2</v>
      </c>
      <c r="L1010" s="38">
        <f t="shared" si="15"/>
        <v>55.93</v>
      </c>
      <c r="M1010" s="35" t="s">
        <v>11</v>
      </c>
      <c r="N1010" s="38"/>
      <c r="O1010" s="35" t="s">
        <v>12</v>
      </c>
    </row>
    <row r="1011" spans="1:15" ht="30" x14ac:dyDescent="0.25">
      <c r="A1011" s="35">
        <v>1234281990</v>
      </c>
      <c r="B1011" s="35" t="s">
        <v>4070</v>
      </c>
      <c r="C1011" s="35">
        <v>2025</v>
      </c>
      <c r="D1011" s="36">
        <v>45934.36859953704</v>
      </c>
      <c r="E1011" s="37" t="s">
        <v>923</v>
      </c>
      <c r="F1011" s="37" t="s">
        <v>4130</v>
      </c>
      <c r="G1011" s="37" t="s">
        <v>4131</v>
      </c>
      <c r="H1011" s="35" t="s">
        <v>3419</v>
      </c>
      <c r="I1011" s="35" t="s">
        <v>3416</v>
      </c>
      <c r="J1011" s="38">
        <v>2.33</v>
      </c>
      <c r="K1011" s="35">
        <v>1</v>
      </c>
      <c r="L1011" s="38">
        <f t="shared" si="15"/>
        <v>2.33</v>
      </c>
      <c r="M1011" s="35" t="s">
        <v>11</v>
      </c>
      <c r="N1011" s="38"/>
      <c r="O1011" s="35" t="s">
        <v>12</v>
      </c>
    </row>
    <row r="1012" spans="1:15" x14ac:dyDescent="0.25">
      <c r="A1012" s="35">
        <v>1233538458</v>
      </c>
      <c r="B1012" s="35" t="s">
        <v>4132</v>
      </c>
      <c r="C1012" s="35">
        <v>2025</v>
      </c>
      <c r="D1012" s="36">
        <v>45930.390844907408</v>
      </c>
      <c r="E1012" s="37" t="s">
        <v>934</v>
      </c>
      <c r="F1012" s="37" t="s">
        <v>3665</v>
      </c>
      <c r="G1012" s="37" t="s">
        <v>4135</v>
      </c>
      <c r="H1012" s="35" t="s">
        <v>3419</v>
      </c>
      <c r="I1012" s="35" t="s">
        <v>3416</v>
      </c>
      <c r="J1012" s="38">
        <v>28.82</v>
      </c>
      <c r="K1012" s="35">
        <v>1</v>
      </c>
      <c r="L1012" s="38">
        <f t="shared" si="15"/>
        <v>28.82</v>
      </c>
      <c r="M1012" s="35" t="s">
        <v>11</v>
      </c>
      <c r="N1012" s="38"/>
      <c r="O1012" s="35" t="s">
        <v>12</v>
      </c>
    </row>
    <row r="1013" spans="1:15" x14ac:dyDescent="0.25">
      <c r="A1013" s="35">
        <v>1233538447</v>
      </c>
      <c r="B1013" s="35" t="s">
        <v>4132</v>
      </c>
      <c r="C1013" s="35">
        <v>2025</v>
      </c>
      <c r="D1013" s="36">
        <v>45930.390844907408</v>
      </c>
      <c r="E1013" s="37" t="s">
        <v>936</v>
      </c>
      <c r="F1013" s="37" t="s">
        <v>4136</v>
      </c>
      <c r="G1013" s="37" t="s">
        <v>3621</v>
      </c>
      <c r="H1013" s="35" t="s">
        <v>3415</v>
      </c>
      <c r="I1013" s="35" t="s">
        <v>3416</v>
      </c>
      <c r="J1013" s="38">
        <v>0.27659107534747618</v>
      </c>
      <c r="K1013" s="35">
        <v>4</v>
      </c>
      <c r="L1013" s="38">
        <f t="shared" si="15"/>
        <v>1.1063643013899047</v>
      </c>
      <c r="M1013" s="35" t="s">
        <v>11</v>
      </c>
      <c r="N1013" s="38"/>
      <c r="O1013" s="35" t="s">
        <v>12</v>
      </c>
    </row>
    <row r="1014" spans="1:15" x14ac:dyDescent="0.25">
      <c r="A1014" s="35">
        <v>1233538447</v>
      </c>
      <c r="B1014" s="35" t="s">
        <v>4132</v>
      </c>
      <c r="C1014" s="35">
        <v>2025</v>
      </c>
      <c r="D1014" s="36">
        <v>45930.390844907408</v>
      </c>
      <c r="E1014" s="37" t="s">
        <v>936</v>
      </c>
      <c r="F1014" s="37" t="s">
        <v>3665</v>
      </c>
      <c r="G1014" s="37" t="s">
        <v>4135</v>
      </c>
      <c r="H1014" s="35" t="s">
        <v>3419</v>
      </c>
      <c r="I1014" s="35" t="s">
        <v>3416</v>
      </c>
      <c r="J1014" s="38">
        <v>24.837878566203361</v>
      </c>
      <c r="K1014" s="35">
        <v>3</v>
      </c>
      <c r="L1014" s="38">
        <f t="shared" si="15"/>
        <v>74.513635698610088</v>
      </c>
      <c r="M1014" s="35" t="s">
        <v>11</v>
      </c>
      <c r="N1014" s="38"/>
      <c r="O1014" s="35" t="s">
        <v>12</v>
      </c>
    </row>
    <row r="1015" spans="1:15" x14ac:dyDescent="0.25">
      <c r="A1015" s="35">
        <v>1232885725</v>
      </c>
      <c r="B1015" s="35" t="s">
        <v>4132</v>
      </c>
      <c r="C1015" s="35">
        <v>2025</v>
      </c>
      <c r="D1015" s="36">
        <v>45926.355497685188</v>
      </c>
      <c r="E1015" s="37" t="s">
        <v>181</v>
      </c>
      <c r="F1015" s="37" t="s">
        <v>4099</v>
      </c>
      <c r="G1015" s="37" t="s">
        <v>3757</v>
      </c>
      <c r="H1015" s="35" t="s">
        <v>3419</v>
      </c>
      <c r="I1015" s="35" t="s">
        <v>3416</v>
      </c>
      <c r="J1015" s="38">
        <v>26.29</v>
      </c>
      <c r="K1015" s="35">
        <v>1</v>
      </c>
      <c r="L1015" s="38">
        <f t="shared" si="15"/>
        <v>26.29</v>
      </c>
      <c r="M1015" s="35" t="s">
        <v>11</v>
      </c>
      <c r="N1015" s="38"/>
      <c r="O1015" s="35" t="s">
        <v>12</v>
      </c>
    </row>
    <row r="1016" spans="1:15" x14ac:dyDescent="0.25">
      <c r="A1016" s="35">
        <v>1232881034</v>
      </c>
      <c r="B1016" s="35" t="s">
        <v>4132</v>
      </c>
      <c r="C1016" s="35">
        <v>2025</v>
      </c>
      <c r="D1016" s="36">
        <v>45926.333819444437</v>
      </c>
      <c r="E1016" s="37" t="s">
        <v>939</v>
      </c>
      <c r="F1016" s="37" t="s">
        <v>4137</v>
      </c>
      <c r="G1016" s="37" t="s">
        <v>3529</v>
      </c>
      <c r="H1016" s="35" t="s">
        <v>3419</v>
      </c>
      <c r="I1016" s="35" t="s">
        <v>3416</v>
      </c>
      <c r="J1016" s="38">
        <v>1.615</v>
      </c>
      <c r="K1016" s="35">
        <v>2</v>
      </c>
      <c r="L1016" s="38">
        <f t="shared" si="15"/>
        <v>3.23</v>
      </c>
      <c r="M1016" s="35" t="s">
        <v>11</v>
      </c>
      <c r="N1016" s="38"/>
      <c r="O1016" s="35" t="s">
        <v>12</v>
      </c>
    </row>
    <row r="1017" spans="1:15" x14ac:dyDescent="0.25">
      <c r="A1017" s="35">
        <v>1232881019</v>
      </c>
      <c r="B1017" s="35" t="s">
        <v>4132</v>
      </c>
      <c r="C1017" s="35">
        <v>2025</v>
      </c>
      <c r="D1017" s="36">
        <v>45926.333819444437</v>
      </c>
      <c r="E1017" s="37" t="s">
        <v>941</v>
      </c>
      <c r="F1017" s="37" t="s">
        <v>4137</v>
      </c>
      <c r="G1017" s="37" t="s">
        <v>3529</v>
      </c>
      <c r="H1017" s="35" t="s">
        <v>3419</v>
      </c>
      <c r="I1017" s="35" t="s">
        <v>3416</v>
      </c>
      <c r="J1017" s="38">
        <v>1.2549999999999999</v>
      </c>
      <c r="K1017" s="35">
        <v>2</v>
      </c>
      <c r="L1017" s="38">
        <f t="shared" si="15"/>
        <v>2.5099999999999998</v>
      </c>
      <c r="M1017" s="35" t="s">
        <v>11</v>
      </c>
      <c r="N1017" s="38"/>
      <c r="O1017" s="35" t="s">
        <v>12</v>
      </c>
    </row>
    <row r="1018" spans="1:15" x14ac:dyDescent="0.25">
      <c r="A1018" s="35">
        <v>1231365830</v>
      </c>
      <c r="B1018" s="35" t="s">
        <v>4132</v>
      </c>
      <c r="C1018" s="35">
        <v>2025</v>
      </c>
      <c r="D1018" s="36">
        <v>45916.656331018523</v>
      </c>
      <c r="E1018" s="37" t="s">
        <v>788</v>
      </c>
      <c r="F1018" s="37" t="s">
        <v>4139</v>
      </c>
      <c r="G1018" s="37" t="s">
        <v>4140</v>
      </c>
      <c r="H1018" s="35" t="s">
        <v>3419</v>
      </c>
      <c r="I1018" s="35" t="s">
        <v>3416</v>
      </c>
      <c r="J1018" s="38">
        <v>23.33</v>
      </c>
      <c r="K1018" s="35">
        <v>1</v>
      </c>
      <c r="L1018" s="38">
        <f t="shared" si="15"/>
        <v>23.33</v>
      </c>
      <c r="M1018" s="35" t="s">
        <v>11</v>
      </c>
      <c r="N1018" s="38"/>
      <c r="O1018" s="35" t="s">
        <v>12</v>
      </c>
    </row>
    <row r="1019" spans="1:15" x14ac:dyDescent="0.25">
      <c r="A1019" s="35">
        <v>1231302663</v>
      </c>
      <c r="B1019" s="35" t="s">
        <v>4132</v>
      </c>
      <c r="C1019" s="35">
        <v>2025</v>
      </c>
      <c r="D1019" s="36">
        <v>45916.656331018523</v>
      </c>
      <c r="E1019" s="37" t="s">
        <v>950</v>
      </c>
      <c r="F1019" s="37" t="s">
        <v>4141</v>
      </c>
      <c r="G1019" s="37" t="s">
        <v>4142</v>
      </c>
      <c r="H1019" s="35" t="s">
        <v>3419</v>
      </c>
      <c r="I1019" s="35" t="s">
        <v>3453</v>
      </c>
      <c r="J1019" s="38">
        <v>1.45</v>
      </c>
      <c r="K1019" s="35">
        <v>3</v>
      </c>
      <c r="L1019" s="38">
        <f t="shared" si="15"/>
        <v>4.3499999999999996</v>
      </c>
      <c r="M1019" s="35" t="s">
        <v>11</v>
      </c>
      <c r="N1019" s="38"/>
      <c r="O1019" s="35" t="s">
        <v>12</v>
      </c>
    </row>
    <row r="1020" spans="1:15" x14ac:dyDescent="0.25">
      <c r="A1020" s="35">
        <v>1231010967</v>
      </c>
      <c r="B1020" s="35" t="s">
        <v>4132</v>
      </c>
      <c r="C1020" s="35">
        <v>2025</v>
      </c>
      <c r="D1020" s="36">
        <v>45914.873715277783</v>
      </c>
      <c r="E1020" s="37" t="s">
        <v>952</v>
      </c>
      <c r="F1020" s="37" t="s">
        <v>3532</v>
      </c>
      <c r="G1020" s="37" t="s">
        <v>3533</v>
      </c>
      <c r="H1020" s="35" t="s">
        <v>3419</v>
      </c>
      <c r="I1020" s="35" t="s">
        <v>3453</v>
      </c>
      <c r="J1020" s="38">
        <v>3.83</v>
      </c>
      <c r="K1020" s="35">
        <v>1</v>
      </c>
      <c r="L1020" s="38">
        <f t="shared" si="15"/>
        <v>3.83</v>
      </c>
      <c r="M1020" s="35" t="s">
        <v>11</v>
      </c>
      <c r="N1020" s="38"/>
      <c r="O1020" s="35" t="s">
        <v>12</v>
      </c>
    </row>
    <row r="1021" spans="1:15" x14ac:dyDescent="0.25">
      <c r="A1021" s="35">
        <v>1230639811</v>
      </c>
      <c r="B1021" s="35" t="s">
        <v>4132</v>
      </c>
      <c r="C1021" s="35">
        <v>2025</v>
      </c>
      <c r="D1021" s="36">
        <v>45912.549027777779</v>
      </c>
      <c r="E1021" s="37" t="s">
        <v>957</v>
      </c>
      <c r="F1021" s="37" t="s">
        <v>4026</v>
      </c>
      <c r="G1021" s="37" t="s">
        <v>3694</v>
      </c>
      <c r="H1021" s="35" t="s">
        <v>3419</v>
      </c>
      <c r="I1021" s="35" t="s">
        <v>3416</v>
      </c>
      <c r="J1021" s="38">
        <v>2.33</v>
      </c>
      <c r="K1021" s="35">
        <v>1</v>
      </c>
      <c r="L1021" s="38">
        <f t="shared" si="15"/>
        <v>2.33</v>
      </c>
      <c r="M1021" s="35" t="s">
        <v>11</v>
      </c>
      <c r="N1021" s="38"/>
      <c r="O1021" s="35" t="s">
        <v>12</v>
      </c>
    </row>
    <row r="1022" spans="1:15" x14ac:dyDescent="0.25">
      <c r="A1022" s="35">
        <v>1230513565</v>
      </c>
      <c r="B1022" s="35" t="s">
        <v>4132</v>
      </c>
      <c r="C1022" s="35">
        <v>2025</v>
      </c>
      <c r="D1022" s="36">
        <v>45911.502418981479</v>
      </c>
      <c r="E1022" s="37" t="s">
        <v>294</v>
      </c>
      <c r="F1022" s="37" t="s">
        <v>4144</v>
      </c>
      <c r="G1022" s="37" t="s">
        <v>3867</v>
      </c>
      <c r="H1022" s="35" t="s">
        <v>3415</v>
      </c>
      <c r="I1022" s="35" t="s">
        <v>3416</v>
      </c>
      <c r="J1022" s="38">
        <v>0.88250000000000006</v>
      </c>
      <c r="K1022" s="35">
        <v>4</v>
      </c>
      <c r="L1022" s="38">
        <f t="shared" si="15"/>
        <v>3.5300000000000002</v>
      </c>
      <c r="M1022" s="35" t="s">
        <v>11</v>
      </c>
      <c r="N1022" s="38"/>
      <c r="O1022" s="35" t="s">
        <v>12</v>
      </c>
    </row>
    <row r="1023" spans="1:15" x14ac:dyDescent="0.25">
      <c r="A1023" s="35">
        <v>1230512829</v>
      </c>
      <c r="B1023" s="35" t="s">
        <v>4132</v>
      </c>
      <c r="C1023" s="35">
        <v>2025</v>
      </c>
      <c r="D1023" s="36">
        <v>45911.502418981479</v>
      </c>
      <c r="E1023" s="37" t="s">
        <v>318</v>
      </c>
      <c r="F1023" s="37" t="s">
        <v>4058</v>
      </c>
      <c r="G1023" s="37" t="s">
        <v>4059</v>
      </c>
      <c r="H1023" s="35" t="s">
        <v>3415</v>
      </c>
      <c r="I1023" s="35" t="s">
        <v>3416</v>
      </c>
      <c r="J1023" s="38">
        <v>0.30435483870967739</v>
      </c>
      <c r="K1023" s="35">
        <v>4</v>
      </c>
      <c r="L1023" s="38">
        <f t="shared" si="15"/>
        <v>1.2174193548387096</v>
      </c>
      <c r="M1023" s="35" t="s">
        <v>11</v>
      </c>
      <c r="N1023" s="38"/>
      <c r="O1023" s="35" t="s">
        <v>12</v>
      </c>
    </row>
    <row r="1024" spans="1:15" x14ac:dyDescent="0.25">
      <c r="A1024" s="35">
        <v>1230512829</v>
      </c>
      <c r="B1024" s="35" t="s">
        <v>4132</v>
      </c>
      <c r="C1024" s="35">
        <v>2025</v>
      </c>
      <c r="D1024" s="36">
        <v>45911.502418981479</v>
      </c>
      <c r="E1024" s="37" t="s">
        <v>318</v>
      </c>
      <c r="F1024" s="37" t="s">
        <v>4145</v>
      </c>
      <c r="G1024" s="37" t="s">
        <v>3776</v>
      </c>
      <c r="H1024" s="35" t="s">
        <v>3415</v>
      </c>
      <c r="I1024" s="35" t="s">
        <v>3416</v>
      </c>
      <c r="J1024" s="38">
        <v>0.62139112903225802</v>
      </c>
      <c r="K1024" s="35">
        <v>4</v>
      </c>
      <c r="L1024" s="38">
        <f t="shared" si="15"/>
        <v>2.4855645161290321</v>
      </c>
      <c r="M1024" s="35" t="s">
        <v>11</v>
      </c>
      <c r="N1024" s="38"/>
      <c r="O1024" s="35" t="s">
        <v>12</v>
      </c>
    </row>
    <row r="1025" spans="1:15" x14ac:dyDescent="0.25">
      <c r="A1025" s="35">
        <v>1230512829</v>
      </c>
      <c r="B1025" s="35" t="s">
        <v>4132</v>
      </c>
      <c r="C1025" s="35">
        <v>2025</v>
      </c>
      <c r="D1025" s="36">
        <v>45911.502418981479</v>
      </c>
      <c r="E1025" s="37" t="s">
        <v>318</v>
      </c>
      <c r="F1025" s="37" t="s">
        <v>3787</v>
      </c>
      <c r="G1025" s="37" t="s">
        <v>3788</v>
      </c>
      <c r="H1025" s="35" t="s">
        <v>3415</v>
      </c>
      <c r="I1025" s="35" t="s">
        <v>3416</v>
      </c>
      <c r="J1025" s="38">
        <v>0.49457661290322591</v>
      </c>
      <c r="K1025" s="35">
        <v>4</v>
      </c>
      <c r="L1025" s="38">
        <f t="shared" si="15"/>
        <v>1.9783064516129036</v>
      </c>
      <c r="M1025" s="35" t="s">
        <v>11</v>
      </c>
      <c r="N1025" s="38"/>
      <c r="O1025" s="35" t="s">
        <v>12</v>
      </c>
    </row>
    <row r="1026" spans="1:15" x14ac:dyDescent="0.25">
      <c r="A1026" s="35">
        <v>1230512829</v>
      </c>
      <c r="B1026" s="35" t="s">
        <v>4132</v>
      </c>
      <c r="C1026" s="35">
        <v>2025</v>
      </c>
      <c r="D1026" s="36">
        <v>45911.502418981479</v>
      </c>
      <c r="E1026" s="37" t="s">
        <v>318</v>
      </c>
      <c r="F1026" s="37" t="s">
        <v>4146</v>
      </c>
      <c r="G1026" s="37" t="s">
        <v>4147</v>
      </c>
      <c r="H1026" s="35" t="s">
        <v>3419</v>
      </c>
      <c r="I1026" s="35" t="s">
        <v>3416</v>
      </c>
      <c r="J1026" s="38">
        <v>0.30435483870967739</v>
      </c>
      <c r="K1026" s="35">
        <v>2</v>
      </c>
      <c r="L1026" s="38">
        <f t="shared" ref="L1026:L1089" si="16">J1026*K1026</f>
        <v>0.60870967741935478</v>
      </c>
      <c r="M1026" s="35" t="s">
        <v>11</v>
      </c>
      <c r="N1026" s="38"/>
      <c r="O1026" s="35" t="s">
        <v>12</v>
      </c>
    </row>
    <row r="1027" spans="1:15" x14ac:dyDescent="0.25">
      <c r="A1027" s="35">
        <v>1229479613</v>
      </c>
      <c r="B1027" s="35" t="s">
        <v>4132</v>
      </c>
      <c r="C1027" s="35">
        <v>2025</v>
      </c>
      <c r="D1027" s="36">
        <v>45905.418136574073</v>
      </c>
      <c r="E1027" s="37" t="s">
        <v>8</v>
      </c>
      <c r="F1027" s="37" t="s">
        <v>4150</v>
      </c>
      <c r="G1027" s="37" t="s">
        <v>3660</v>
      </c>
      <c r="H1027" s="35" t="s">
        <v>3415</v>
      </c>
      <c r="I1027" s="35" t="s">
        <v>3416</v>
      </c>
      <c r="J1027" s="38">
        <v>0.3</v>
      </c>
      <c r="K1027" s="35">
        <v>4</v>
      </c>
      <c r="L1027" s="38">
        <f t="shared" si="16"/>
        <v>1.2</v>
      </c>
      <c r="M1027" s="42" t="s">
        <v>11</v>
      </c>
      <c r="N1027" s="38"/>
      <c r="O1027" s="35" t="s">
        <v>12</v>
      </c>
    </row>
    <row r="1028" spans="1:15" x14ac:dyDescent="0.25">
      <c r="A1028" s="35">
        <v>1229426370</v>
      </c>
      <c r="B1028" s="35" t="s">
        <v>4132</v>
      </c>
      <c r="C1028" s="35">
        <v>2025</v>
      </c>
      <c r="D1028" s="36">
        <v>45905.418136574073</v>
      </c>
      <c r="E1028" s="37" t="s">
        <v>965</v>
      </c>
      <c r="F1028" s="37" t="s">
        <v>4151</v>
      </c>
      <c r="G1028" s="37" t="s">
        <v>3790</v>
      </c>
      <c r="H1028" s="35" t="s">
        <v>3415</v>
      </c>
      <c r="I1028" s="35" t="s">
        <v>3453</v>
      </c>
      <c r="J1028" s="38">
        <v>2.2825000000000002</v>
      </c>
      <c r="K1028" s="35">
        <v>4</v>
      </c>
      <c r="L1028" s="38">
        <f t="shared" si="16"/>
        <v>9.1300000000000008</v>
      </c>
      <c r="M1028" s="35" t="s">
        <v>11</v>
      </c>
      <c r="N1028" s="38"/>
      <c r="O1028" s="35" t="s">
        <v>12</v>
      </c>
    </row>
    <row r="1029" spans="1:15" x14ac:dyDescent="0.25">
      <c r="A1029" s="35">
        <v>1229423458</v>
      </c>
      <c r="B1029" s="35" t="s">
        <v>4132</v>
      </c>
      <c r="C1029" s="35">
        <v>2025</v>
      </c>
      <c r="D1029" s="36">
        <v>45904.90824074074</v>
      </c>
      <c r="E1029" s="37" t="s">
        <v>967</v>
      </c>
      <c r="F1029" s="37" t="s">
        <v>4152</v>
      </c>
      <c r="G1029" s="37" t="s">
        <v>1210</v>
      </c>
      <c r="H1029" s="35" t="s">
        <v>3419</v>
      </c>
      <c r="I1029" s="35" t="s">
        <v>3453</v>
      </c>
      <c r="J1029" s="38">
        <v>1.83</v>
      </c>
      <c r="K1029" s="35">
        <v>1</v>
      </c>
      <c r="L1029" s="38">
        <f t="shared" si="16"/>
        <v>1.83</v>
      </c>
      <c r="M1029" s="35" t="s">
        <v>11</v>
      </c>
      <c r="N1029" s="38"/>
      <c r="O1029" s="35" t="s">
        <v>12</v>
      </c>
    </row>
    <row r="1030" spans="1:15" x14ac:dyDescent="0.25">
      <c r="A1030" s="35">
        <v>1229323496</v>
      </c>
      <c r="B1030" s="35" t="s">
        <v>4132</v>
      </c>
      <c r="C1030" s="35">
        <v>2025</v>
      </c>
      <c r="D1030" s="36">
        <v>45904.498969907407</v>
      </c>
      <c r="E1030" s="37" t="s">
        <v>970</v>
      </c>
      <c r="F1030" s="37" t="s">
        <v>4153</v>
      </c>
      <c r="G1030" s="37" t="s">
        <v>4154</v>
      </c>
      <c r="H1030" s="35" t="s">
        <v>3415</v>
      </c>
      <c r="I1030" s="35" t="s">
        <v>3416</v>
      </c>
      <c r="J1030" s="38">
        <v>0.58274999999999999</v>
      </c>
      <c r="K1030" s="35">
        <v>4</v>
      </c>
      <c r="L1030" s="38">
        <f t="shared" si="16"/>
        <v>2.331</v>
      </c>
      <c r="M1030" s="35" t="s">
        <v>11</v>
      </c>
      <c r="N1030" s="38"/>
      <c r="O1030" s="35" t="s">
        <v>12</v>
      </c>
    </row>
    <row r="1031" spans="1:15" x14ac:dyDescent="0.25">
      <c r="A1031" s="35">
        <v>1229323496</v>
      </c>
      <c r="B1031" s="35" t="s">
        <v>4132</v>
      </c>
      <c r="C1031" s="35">
        <v>2025</v>
      </c>
      <c r="D1031" s="36">
        <v>45904.498969907407</v>
      </c>
      <c r="E1031" s="37" t="s">
        <v>970</v>
      </c>
      <c r="F1031" s="37" t="s">
        <v>4155</v>
      </c>
      <c r="G1031" s="37" t="s">
        <v>4156</v>
      </c>
      <c r="H1031" s="35" t="s">
        <v>3415</v>
      </c>
      <c r="I1031" s="35" t="s">
        <v>3416</v>
      </c>
      <c r="J1031" s="38">
        <v>0.24975</v>
      </c>
      <c r="K1031" s="35">
        <v>4</v>
      </c>
      <c r="L1031" s="38">
        <f t="shared" si="16"/>
        <v>0.999</v>
      </c>
      <c r="M1031" s="35" t="s">
        <v>11</v>
      </c>
      <c r="N1031" s="38"/>
      <c r="O1031" s="35" t="s">
        <v>12</v>
      </c>
    </row>
    <row r="1032" spans="1:15" x14ac:dyDescent="0.25">
      <c r="A1032" s="35">
        <v>1228632016</v>
      </c>
      <c r="B1032" s="35" t="s">
        <v>4158</v>
      </c>
      <c r="C1032" s="35">
        <v>2025</v>
      </c>
      <c r="D1032" s="36">
        <v>45900.64435185185</v>
      </c>
      <c r="E1032" s="37" t="s">
        <v>941</v>
      </c>
      <c r="F1032" s="37" t="s">
        <v>4159</v>
      </c>
      <c r="G1032" s="37" t="s">
        <v>3648</v>
      </c>
      <c r="H1032" s="35" t="s">
        <v>3419</v>
      </c>
      <c r="I1032" s="35" t="s">
        <v>3416</v>
      </c>
      <c r="J1032" s="38">
        <v>4.4155573376102648</v>
      </c>
      <c r="K1032" s="35">
        <v>1</v>
      </c>
      <c r="L1032" s="38">
        <f t="shared" si="16"/>
        <v>4.4155573376102648</v>
      </c>
      <c r="M1032" s="35" t="s">
        <v>11</v>
      </c>
      <c r="N1032" s="38"/>
      <c r="O1032" s="35" t="s">
        <v>12</v>
      </c>
    </row>
    <row r="1033" spans="1:15" x14ac:dyDescent="0.25">
      <c r="A1033" s="35">
        <v>1228632016</v>
      </c>
      <c r="B1033" s="35" t="s">
        <v>4158</v>
      </c>
      <c r="C1033" s="35">
        <v>2025</v>
      </c>
      <c r="D1033" s="36">
        <v>45900.64435185185</v>
      </c>
      <c r="E1033" s="37" t="s">
        <v>941</v>
      </c>
      <c r="F1033" s="37" t="s">
        <v>3647</v>
      </c>
      <c r="G1033" s="37" t="s">
        <v>3648</v>
      </c>
      <c r="H1033" s="35" t="s">
        <v>3419</v>
      </c>
      <c r="I1033" s="35" t="s">
        <v>3416</v>
      </c>
      <c r="J1033" s="38">
        <v>1.6489174017642341</v>
      </c>
      <c r="K1033" s="35">
        <v>1</v>
      </c>
      <c r="L1033" s="38">
        <f t="shared" si="16"/>
        <v>1.6489174017642341</v>
      </c>
      <c r="M1033" s="35" t="s">
        <v>11</v>
      </c>
      <c r="N1033" s="38"/>
      <c r="O1033" s="35" t="s">
        <v>12</v>
      </c>
    </row>
    <row r="1034" spans="1:15" x14ac:dyDescent="0.25">
      <c r="A1034" s="35">
        <v>1228632016</v>
      </c>
      <c r="B1034" s="35" t="s">
        <v>4158</v>
      </c>
      <c r="C1034" s="35">
        <v>2025</v>
      </c>
      <c r="D1034" s="36">
        <v>45900.64435185185</v>
      </c>
      <c r="E1034" s="37" t="s">
        <v>941</v>
      </c>
      <c r="F1034" s="37" t="s">
        <v>4160</v>
      </c>
      <c r="G1034" s="37" t="s">
        <v>3648</v>
      </c>
      <c r="H1034" s="35" t="s">
        <v>3419</v>
      </c>
      <c r="I1034" s="35" t="s">
        <v>3416</v>
      </c>
      <c r="J1034" s="38">
        <v>7.7355252606255016</v>
      </c>
      <c r="K1034" s="35">
        <v>1</v>
      </c>
      <c r="L1034" s="38">
        <f t="shared" si="16"/>
        <v>7.7355252606255016</v>
      </c>
      <c r="M1034" s="35" t="s">
        <v>11</v>
      </c>
      <c r="N1034" s="38"/>
      <c r="O1034" s="35" t="s">
        <v>12</v>
      </c>
    </row>
    <row r="1035" spans="1:15" x14ac:dyDescent="0.25">
      <c r="A1035" s="35">
        <v>1228581261</v>
      </c>
      <c r="B1035" s="35" t="s">
        <v>4158</v>
      </c>
      <c r="C1035" s="35">
        <v>2025</v>
      </c>
      <c r="D1035" s="36">
        <v>45900.64435185185</v>
      </c>
      <c r="E1035" s="37" t="s">
        <v>212</v>
      </c>
      <c r="F1035" s="37" t="s">
        <v>4161</v>
      </c>
      <c r="G1035" s="37" t="s">
        <v>3619</v>
      </c>
      <c r="H1035" s="35" t="s">
        <v>3415</v>
      </c>
      <c r="I1035" s="35" t="s">
        <v>3416</v>
      </c>
      <c r="J1035" s="38">
        <v>1.5225</v>
      </c>
      <c r="K1035" s="35">
        <v>4</v>
      </c>
      <c r="L1035" s="38">
        <f t="shared" si="16"/>
        <v>6.09</v>
      </c>
      <c r="M1035" s="35" t="s">
        <v>11</v>
      </c>
      <c r="N1035" s="38"/>
      <c r="O1035" s="35" t="s">
        <v>12</v>
      </c>
    </row>
    <row r="1036" spans="1:15" x14ac:dyDescent="0.25">
      <c r="A1036" s="35">
        <v>1228581019</v>
      </c>
      <c r="B1036" s="35" t="s">
        <v>4158</v>
      </c>
      <c r="C1036" s="35">
        <v>2025</v>
      </c>
      <c r="D1036" s="36">
        <v>45900.64435185185</v>
      </c>
      <c r="E1036" s="37" t="s">
        <v>976</v>
      </c>
      <c r="F1036" s="37" t="s">
        <v>4162</v>
      </c>
      <c r="G1036" s="37" t="s">
        <v>3457</v>
      </c>
      <c r="H1036" s="35" t="s">
        <v>3419</v>
      </c>
      <c r="I1036" s="35" t="s">
        <v>3453</v>
      </c>
      <c r="J1036" s="38">
        <v>1.43</v>
      </c>
      <c r="K1036" s="35">
        <v>3</v>
      </c>
      <c r="L1036" s="38">
        <f t="shared" si="16"/>
        <v>4.29</v>
      </c>
      <c r="M1036" s="35" t="s">
        <v>11</v>
      </c>
      <c r="N1036" s="38"/>
      <c r="O1036" s="35" t="s">
        <v>12</v>
      </c>
    </row>
    <row r="1037" spans="1:15" x14ac:dyDescent="0.25">
      <c r="A1037" s="35">
        <v>1228580791</v>
      </c>
      <c r="B1037" s="35" t="s">
        <v>4158</v>
      </c>
      <c r="C1037" s="35">
        <v>2025</v>
      </c>
      <c r="D1037" s="36">
        <v>45900.64435185185</v>
      </c>
      <c r="E1037" s="37" t="s">
        <v>294</v>
      </c>
      <c r="F1037" s="37" t="s">
        <v>4163</v>
      </c>
      <c r="G1037" s="37" t="s">
        <v>1210</v>
      </c>
      <c r="H1037" s="35" t="s">
        <v>3415</v>
      </c>
      <c r="I1037" s="35" t="s">
        <v>3416</v>
      </c>
      <c r="J1037" s="38">
        <v>0.32556818181818181</v>
      </c>
      <c r="K1037" s="35">
        <v>4</v>
      </c>
      <c r="L1037" s="38">
        <f t="shared" si="16"/>
        <v>1.3022727272727272</v>
      </c>
      <c r="M1037" s="35" t="s">
        <v>11</v>
      </c>
      <c r="N1037" s="38"/>
      <c r="O1037" s="35" t="s">
        <v>12</v>
      </c>
    </row>
    <row r="1038" spans="1:15" x14ac:dyDescent="0.25">
      <c r="A1038" s="35">
        <v>1228580791</v>
      </c>
      <c r="B1038" s="35" t="s">
        <v>4158</v>
      </c>
      <c r="C1038" s="35">
        <v>2025</v>
      </c>
      <c r="D1038" s="36">
        <v>45900.64435185185</v>
      </c>
      <c r="E1038" s="37" t="s">
        <v>294</v>
      </c>
      <c r="F1038" s="37" t="s">
        <v>4164</v>
      </c>
      <c r="G1038" s="37" t="s">
        <v>4077</v>
      </c>
      <c r="H1038" s="35" t="s">
        <v>3415</v>
      </c>
      <c r="I1038" s="35" t="s">
        <v>3416</v>
      </c>
      <c r="J1038" s="38">
        <v>0.65113636363636362</v>
      </c>
      <c r="K1038" s="35">
        <v>4</v>
      </c>
      <c r="L1038" s="38">
        <f t="shared" si="16"/>
        <v>2.6045454545454545</v>
      </c>
      <c r="M1038" s="35" t="s">
        <v>11</v>
      </c>
      <c r="N1038" s="38"/>
      <c r="O1038" s="35" t="s">
        <v>12</v>
      </c>
    </row>
    <row r="1039" spans="1:15" x14ac:dyDescent="0.25">
      <c r="A1039" s="35">
        <v>1228580791</v>
      </c>
      <c r="B1039" s="35" t="s">
        <v>4158</v>
      </c>
      <c r="C1039" s="35">
        <v>2025</v>
      </c>
      <c r="D1039" s="36">
        <v>45900.64435185185</v>
      </c>
      <c r="E1039" s="37" t="s">
        <v>294</v>
      </c>
      <c r="F1039" s="37" t="s">
        <v>4165</v>
      </c>
      <c r="G1039" s="37" t="s">
        <v>4166</v>
      </c>
      <c r="H1039" s="35" t="s">
        <v>3415</v>
      </c>
      <c r="I1039" s="35" t="s">
        <v>3416</v>
      </c>
      <c r="J1039" s="38">
        <v>0.4557954545454545</v>
      </c>
      <c r="K1039" s="35">
        <v>4</v>
      </c>
      <c r="L1039" s="38">
        <f t="shared" si="16"/>
        <v>1.823181818181818</v>
      </c>
      <c r="M1039" s="35" t="s">
        <v>11</v>
      </c>
      <c r="N1039" s="38"/>
      <c r="O1039" s="35" t="s">
        <v>12</v>
      </c>
    </row>
    <row r="1040" spans="1:15" x14ac:dyDescent="0.25">
      <c r="A1040" s="35">
        <v>1228559054</v>
      </c>
      <c r="B1040" s="35" t="s">
        <v>4158</v>
      </c>
      <c r="C1040" s="35">
        <v>2025</v>
      </c>
      <c r="D1040" s="36">
        <v>45900.64435185185</v>
      </c>
      <c r="E1040" s="37" t="s">
        <v>978</v>
      </c>
      <c r="F1040" s="37" t="s">
        <v>4167</v>
      </c>
      <c r="G1040" s="37" t="s">
        <v>3621</v>
      </c>
      <c r="H1040" s="35" t="s">
        <v>3419</v>
      </c>
      <c r="I1040" s="35" t="s">
        <v>3416</v>
      </c>
      <c r="J1040" s="38">
        <v>0.35701444622792938</v>
      </c>
      <c r="K1040" s="35">
        <v>3</v>
      </c>
      <c r="L1040" s="38">
        <f t="shared" si="16"/>
        <v>1.0710433386837881</v>
      </c>
      <c r="M1040" s="35" t="s">
        <v>11</v>
      </c>
      <c r="N1040" s="38"/>
      <c r="O1040" s="35" t="s">
        <v>12</v>
      </c>
    </row>
    <row r="1041" spans="1:15" x14ac:dyDescent="0.25">
      <c r="A1041" s="35">
        <v>1228559054</v>
      </c>
      <c r="B1041" s="35" t="s">
        <v>4158</v>
      </c>
      <c r="C1041" s="35">
        <v>2025</v>
      </c>
      <c r="D1041" s="36">
        <v>45900.64435185185</v>
      </c>
      <c r="E1041" s="37" t="s">
        <v>978</v>
      </c>
      <c r="F1041" s="37" t="s">
        <v>3647</v>
      </c>
      <c r="G1041" s="37" t="s">
        <v>3648</v>
      </c>
      <c r="H1041" s="35" t="s">
        <v>3419</v>
      </c>
      <c r="I1041" s="35" t="s">
        <v>3416</v>
      </c>
      <c r="J1041" s="38">
        <v>2.082584269662922</v>
      </c>
      <c r="K1041" s="35">
        <v>3</v>
      </c>
      <c r="L1041" s="38">
        <f t="shared" si="16"/>
        <v>6.2477528089887659</v>
      </c>
      <c r="M1041" s="35" t="s">
        <v>11</v>
      </c>
      <c r="N1041" s="38"/>
      <c r="O1041" s="35" t="s">
        <v>12</v>
      </c>
    </row>
    <row r="1042" spans="1:15" x14ac:dyDescent="0.25">
      <c r="A1042" s="35">
        <v>1228559054</v>
      </c>
      <c r="B1042" s="35" t="s">
        <v>4158</v>
      </c>
      <c r="C1042" s="35">
        <v>2025</v>
      </c>
      <c r="D1042" s="36">
        <v>45900.64435185185</v>
      </c>
      <c r="E1042" s="37" t="s">
        <v>978</v>
      </c>
      <c r="F1042" s="37" t="s">
        <v>4159</v>
      </c>
      <c r="G1042" s="37" t="s">
        <v>3648</v>
      </c>
      <c r="H1042" s="35" t="s">
        <v>3419</v>
      </c>
      <c r="I1042" s="35" t="s">
        <v>3416</v>
      </c>
      <c r="J1042" s="38">
        <v>3.5701444622792931</v>
      </c>
      <c r="K1042" s="35">
        <v>3</v>
      </c>
      <c r="L1042" s="38">
        <f t="shared" si="16"/>
        <v>10.710433386837879</v>
      </c>
      <c r="M1042" s="35" t="s">
        <v>11</v>
      </c>
      <c r="N1042" s="38"/>
      <c r="O1042" s="35" t="s">
        <v>12</v>
      </c>
    </row>
    <row r="1043" spans="1:15" x14ac:dyDescent="0.25">
      <c r="A1043" s="35">
        <v>1228559054</v>
      </c>
      <c r="B1043" s="35" t="s">
        <v>4158</v>
      </c>
      <c r="C1043" s="35">
        <v>2025</v>
      </c>
      <c r="D1043" s="36">
        <v>45900.64435185185</v>
      </c>
      <c r="E1043" s="37" t="s">
        <v>978</v>
      </c>
      <c r="F1043" s="37" t="s">
        <v>4160</v>
      </c>
      <c r="G1043" s="37" t="s">
        <v>3648</v>
      </c>
      <c r="H1043" s="35" t="s">
        <v>3419</v>
      </c>
      <c r="I1043" s="35" t="s">
        <v>3416</v>
      </c>
      <c r="J1043" s="38">
        <v>7.7353130016051361</v>
      </c>
      <c r="K1043" s="35">
        <v>2</v>
      </c>
      <c r="L1043" s="38">
        <f t="shared" si="16"/>
        <v>15.470626003210272</v>
      </c>
      <c r="M1043" s="35" t="s">
        <v>11</v>
      </c>
      <c r="N1043" s="38"/>
      <c r="O1043" s="35" t="s">
        <v>12</v>
      </c>
    </row>
    <row r="1044" spans="1:15" x14ac:dyDescent="0.25">
      <c r="A1044" s="35">
        <v>1228559054</v>
      </c>
      <c r="B1044" s="35" t="s">
        <v>4158</v>
      </c>
      <c r="C1044" s="35">
        <v>2025</v>
      </c>
      <c r="D1044" s="36">
        <v>45900.64435185185</v>
      </c>
      <c r="E1044" s="37" t="s">
        <v>978</v>
      </c>
      <c r="F1044" s="37" t="s">
        <v>3935</v>
      </c>
      <c r="G1044" s="37" t="s">
        <v>3648</v>
      </c>
      <c r="H1044" s="35" t="s">
        <v>3415</v>
      </c>
      <c r="I1044" s="35" t="s">
        <v>3416</v>
      </c>
      <c r="J1044" s="38">
        <v>0.89253611556982348</v>
      </c>
      <c r="K1044" s="35">
        <v>4</v>
      </c>
      <c r="L1044" s="38">
        <f t="shared" si="16"/>
        <v>3.5701444622792939</v>
      </c>
      <c r="M1044" s="35" t="s">
        <v>11</v>
      </c>
      <c r="N1044" s="38"/>
      <c r="O1044" s="35" t="s">
        <v>12</v>
      </c>
    </row>
    <row r="1045" spans="1:15" x14ac:dyDescent="0.25">
      <c r="A1045" s="35">
        <v>1227787907</v>
      </c>
      <c r="B1045" s="35" t="s">
        <v>4158</v>
      </c>
      <c r="C1045" s="35">
        <v>2025</v>
      </c>
      <c r="D1045" s="36">
        <v>45895.860844907409</v>
      </c>
      <c r="E1045" s="37" t="s">
        <v>983</v>
      </c>
      <c r="F1045" s="37" t="s">
        <v>4026</v>
      </c>
      <c r="G1045" s="37" t="s">
        <v>3694</v>
      </c>
      <c r="H1045" s="35" t="s">
        <v>3419</v>
      </c>
      <c r="I1045" s="35" t="s">
        <v>3416</v>
      </c>
      <c r="J1045" s="38">
        <v>0.8092307692307692</v>
      </c>
      <c r="K1045" s="35">
        <v>1</v>
      </c>
      <c r="L1045" s="38">
        <f t="shared" si="16"/>
        <v>0.8092307692307692</v>
      </c>
      <c r="M1045" s="35" t="s">
        <v>11</v>
      </c>
      <c r="N1045" s="38"/>
      <c r="O1045" s="35" t="s">
        <v>12</v>
      </c>
    </row>
    <row r="1046" spans="1:15" x14ac:dyDescent="0.25">
      <c r="A1046" s="35">
        <v>1227787907</v>
      </c>
      <c r="B1046" s="35" t="s">
        <v>4158</v>
      </c>
      <c r="C1046" s="35">
        <v>2025</v>
      </c>
      <c r="D1046" s="36">
        <v>45895.860844907409</v>
      </c>
      <c r="E1046" s="37" t="s">
        <v>983</v>
      </c>
      <c r="F1046" s="37" t="s">
        <v>4168</v>
      </c>
      <c r="G1046" s="37" t="s">
        <v>3621</v>
      </c>
      <c r="H1046" s="35" t="s">
        <v>3419</v>
      </c>
      <c r="I1046" s="35" t="s">
        <v>3416</v>
      </c>
      <c r="J1046" s="38">
        <v>1.8207692307692309</v>
      </c>
      <c r="K1046" s="35">
        <v>1</v>
      </c>
      <c r="L1046" s="38">
        <f t="shared" si="16"/>
        <v>1.8207692307692309</v>
      </c>
      <c r="M1046" s="35" t="s">
        <v>11</v>
      </c>
      <c r="N1046" s="38"/>
      <c r="O1046" s="35" t="s">
        <v>12</v>
      </c>
    </row>
    <row r="1047" spans="1:15" x14ac:dyDescent="0.25">
      <c r="A1047" s="35">
        <v>1226549900</v>
      </c>
      <c r="B1047" s="35" t="s">
        <v>4158</v>
      </c>
      <c r="C1047" s="35">
        <v>2025</v>
      </c>
      <c r="D1047" s="36">
        <v>45888.504664351851</v>
      </c>
      <c r="E1047" s="37" t="s">
        <v>8</v>
      </c>
      <c r="F1047" s="37" t="s">
        <v>4170</v>
      </c>
      <c r="G1047" s="37" t="s">
        <v>4035</v>
      </c>
      <c r="H1047" s="35" t="s">
        <v>3419</v>
      </c>
      <c r="I1047" s="35" t="s">
        <v>3416</v>
      </c>
      <c r="J1047" s="38">
        <v>5.8</v>
      </c>
      <c r="K1047" s="35">
        <v>1</v>
      </c>
      <c r="L1047" s="38">
        <f t="shared" si="16"/>
        <v>5.8</v>
      </c>
      <c r="M1047" s="42" t="s">
        <v>11</v>
      </c>
      <c r="N1047" s="38"/>
      <c r="O1047" s="35" t="s">
        <v>12</v>
      </c>
    </row>
    <row r="1048" spans="1:15" x14ac:dyDescent="0.25">
      <c r="A1048" s="35">
        <v>1225544837</v>
      </c>
      <c r="B1048" s="35" t="s">
        <v>4158</v>
      </c>
      <c r="C1048" s="35">
        <v>2025</v>
      </c>
      <c r="D1048" s="36">
        <v>45881.930173611108</v>
      </c>
      <c r="E1048" s="37" t="s">
        <v>989</v>
      </c>
      <c r="F1048" s="37" t="s">
        <v>4172</v>
      </c>
      <c r="G1048" s="37" t="s">
        <v>4173</v>
      </c>
      <c r="H1048" s="35" t="s">
        <v>3415</v>
      </c>
      <c r="I1048" s="35" t="s">
        <v>3416</v>
      </c>
      <c r="J1048" s="38">
        <v>0.63250000000000006</v>
      </c>
      <c r="K1048" s="35">
        <v>4</v>
      </c>
      <c r="L1048" s="38">
        <f t="shared" si="16"/>
        <v>2.5300000000000002</v>
      </c>
      <c r="M1048" s="35" t="s">
        <v>11</v>
      </c>
      <c r="N1048" s="38"/>
      <c r="O1048" s="35" t="s">
        <v>12</v>
      </c>
    </row>
    <row r="1049" spans="1:15" x14ac:dyDescent="0.25">
      <c r="A1049" s="35">
        <v>1225438468</v>
      </c>
      <c r="B1049" s="35" t="s">
        <v>4158</v>
      </c>
      <c r="C1049" s="35">
        <v>2025</v>
      </c>
      <c r="D1049" s="36">
        <v>45881.634131944447</v>
      </c>
      <c r="E1049" s="37" t="s">
        <v>992</v>
      </c>
      <c r="F1049" s="37" t="s">
        <v>3671</v>
      </c>
      <c r="G1049" s="37" t="s">
        <v>3672</v>
      </c>
      <c r="H1049" s="35" t="s">
        <v>3419</v>
      </c>
      <c r="I1049" s="35" t="s">
        <v>3416</v>
      </c>
      <c r="J1049" s="38">
        <v>2.6549999999999998</v>
      </c>
      <c r="K1049" s="35">
        <v>2</v>
      </c>
      <c r="L1049" s="38">
        <f t="shared" si="16"/>
        <v>5.31</v>
      </c>
      <c r="M1049" s="35" t="s">
        <v>11</v>
      </c>
      <c r="N1049" s="38"/>
      <c r="O1049" s="35" t="s">
        <v>12</v>
      </c>
    </row>
    <row r="1050" spans="1:15" x14ac:dyDescent="0.25">
      <c r="A1050" s="35">
        <v>1225438461</v>
      </c>
      <c r="B1050" s="35" t="s">
        <v>4158</v>
      </c>
      <c r="C1050" s="35">
        <v>2025</v>
      </c>
      <c r="D1050" s="36">
        <v>45881.634131944447</v>
      </c>
      <c r="E1050" s="37" t="s">
        <v>994</v>
      </c>
      <c r="F1050" s="37" t="s">
        <v>3671</v>
      </c>
      <c r="G1050" s="37" t="s">
        <v>3672</v>
      </c>
      <c r="H1050" s="35" t="s">
        <v>3419</v>
      </c>
      <c r="I1050" s="35" t="s">
        <v>3416</v>
      </c>
      <c r="J1050" s="38">
        <v>2.5449999999999999</v>
      </c>
      <c r="K1050" s="35">
        <v>2</v>
      </c>
      <c r="L1050" s="38">
        <f t="shared" si="16"/>
        <v>5.09</v>
      </c>
      <c r="M1050" s="35" t="s">
        <v>11</v>
      </c>
      <c r="N1050" s="38"/>
      <c r="O1050" s="35" t="s">
        <v>12</v>
      </c>
    </row>
    <row r="1051" spans="1:15" x14ac:dyDescent="0.25">
      <c r="A1051" s="35">
        <v>1224814437</v>
      </c>
      <c r="B1051" s="35" t="s">
        <v>4158</v>
      </c>
      <c r="C1051" s="35">
        <v>2025</v>
      </c>
      <c r="D1051" s="36">
        <v>45877.375694444447</v>
      </c>
      <c r="E1051" s="37" t="s">
        <v>996</v>
      </c>
      <c r="F1051" s="37" t="s">
        <v>4174</v>
      </c>
      <c r="G1051" s="37" t="s">
        <v>4175</v>
      </c>
      <c r="H1051" s="35" t="s">
        <v>3419</v>
      </c>
      <c r="I1051" s="35" t="s">
        <v>3416</v>
      </c>
      <c r="J1051" s="38">
        <v>1.763333333333333</v>
      </c>
      <c r="K1051" s="35">
        <v>5</v>
      </c>
      <c r="L1051" s="38">
        <f t="shared" si="16"/>
        <v>8.8166666666666647</v>
      </c>
      <c r="M1051" s="35" t="s">
        <v>11</v>
      </c>
      <c r="N1051" s="38"/>
      <c r="O1051" s="35" t="s">
        <v>12</v>
      </c>
    </row>
    <row r="1052" spans="1:15" x14ac:dyDescent="0.25">
      <c r="A1052" s="35">
        <v>1224814437</v>
      </c>
      <c r="B1052" s="35" t="s">
        <v>4158</v>
      </c>
      <c r="C1052" s="35">
        <v>2025</v>
      </c>
      <c r="D1052" s="36">
        <v>45877.375694444447</v>
      </c>
      <c r="E1052" s="37" t="s">
        <v>996</v>
      </c>
      <c r="F1052" s="37" t="s">
        <v>4176</v>
      </c>
      <c r="G1052" s="37" t="s">
        <v>4175</v>
      </c>
      <c r="H1052" s="35" t="s">
        <v>3419</v>
      </c>
      <c r="I1052" s="35" t="s">
        <v>3416</v>
      </c>
      <c r="J1052" s="38">
        <v>1.763333333333333</v>
      </c>
      <c r="K1052" s="35">
        <v>2</v>
      </c>
      <c r="L1052" s="38">
        <f t="shared" si="16"/>
        <v>3.526666666666666</v>
      </c>
      <c r="M1052" s="35" t="s">
        <v>11</v>
      </c>
      <c r="N1052" s="38"/>
      <c r="O1052" s="35" t="s">
        <v>12</v>
      </c>
    </row>
    <row r="1053" spans="1:15" x14ac:dyDescent="0.25">
      <c r="A1053" s="35">
        <v>1224814437</v>
      </c>
      <c r="B1053" s="35" t="s">
        <v>4158</v>
      </c>
      <c r="C1053" s="35">
        <v>2025</v>
      </c>
      <c r="D1053" s="36">
        <v>45877.375694444447</v>
      </c>
      <c r="E1053" s="37" t="s">
        <v>996</v>
      </c>
      <c r="F1053" s="37" t="s">
        <v>4177</v>
      </c>
      <c r="G1053" s="37" t="s">
        <v>4175</v>
      </c>
      <c r="H1053" s="35" t="s">
        <v>3419</v>
      </c>
      <c r="I1053" s="35" t="s">
        <v>3416</v>
      </c>
      <c r="J1053" s="38">
        <v>1.763333333333333</v>
      </c>
      <c r="K1053" s="35">
        <v>2</v>
      </c>
      <c r="L1053" s="38">
        <f t="shared" si="16"/>
        <v>3.526666666666666</v>
      </c>
      <c r="M1053" s="35" t="s">
        <v>11</v>
      </c>
      <c r="N1053" s="38"/>
      <c r="O1053" s="35" t="s">
        <v>12</v>
      </c>
    </row>
    <row r="1054" spans="1:15" x14ac:dyDescent="0.25">
      <c r="A1054" s="35">
        <v>1224814437</v>
      </c>
      <c r="B1054" s="35" t="s">
        <v>4158</v>
      </c>
      <c r="C1054" s="35">
        <v>2025</v>
      </c>
      <c r="D1054" s="36">
        <v>45877.375694444447</v>
      </c>
      <c r="E1054" s="37" t="s">
        <v>996</v>
      </c>
      <c r="F1054" s="37" t="s">
        <v>4178</v>
      </c>
      <c r="G1054" s="37" t="s">
        <v>4175</v>
      </c>
      <c r="H1054" s="35" t="s">
        <v>3419</v>
      </c>
      <c r="I1054" s="35" t="s">
        <v>3416</v>
      </c>
      <c r="J1054" s="38">
        <v>1.763333333333333</v>
      </c>
      <c r="K1054" s="35">
        <v>2</v>
      </c>
      <c r="L1054" s="38">
        <f t="shared" si="16"/>
        <v>3.526666666666666</v>
      </c>
      <c r="M1054" s="35" t="s">
        <v>11</v>
      </c>
      <c r="N1054" s="38"/>
      <c r="O1054" s="35" t="s">
        <v>12</v>
      </c>
    </row>
    <row r="1055" spans="1:15" x14ac:dyDescent="0.25">
      <c r="A1055" s="35">
        <v>1224814437</v>
      </c>
      <c r="B1055" s="35" t="s">
        <v>4158</v>
      </c>
      <c r="C1055" s="35">
        <v>2025</v>
      </c>
      <c r="D1055" s="36">
        <v>45877.375694444447</v>
      </c>
      <c r="E1055" s="37" t="s">
        <v>996</v>
      </c>
      <c r="F1055" s="37" t="s">
        <v>4179</v>
      </c>
      <c r="G1055" s="37" t="s">
        <v>4175</v>
      </c>
      <c r="H1055" s="35" t="s">
        <v>3419</v>
      </c>
      <c r="I1055" s="35" t="s">
        <v>3416</v>
      </c>
      <c r="J1055" s="38">
        <v>1.763333333333333</v>
      </c>
      <c r="K1055" s="35">
        <v>2</v>
      </c>
      <c r="L1055" s="38">
        <f t="shared" si="16"/>
        <v>3.526666666666666</v>
      </c>
      <c r="M1055" s="35" t="s">
        <v>11</v>
      </c>
      <c r="N1055" s="38"/>
      <c r="O1055" s="35" t="s">
        <v>12</v>
      </c>
    </row>
    <row r="1056" spans="1:15" x14ac:dyDescent="0.25">
      <c r="A1056" s="35">
        <v>1224814437</v>
      </c>
      <c r="B1056" s="35" t="s">
        <v>4158</v>
      </c>
      <c r="C1056" s="35">
        <v>2025</v>
      </c>
      <c r="D1056" s="36">
        <v>45877.375694444447</v>
      </c>
      <c r="E1056" s="37" t="s">
        <v>996</v>
      </c>
      <c r="F1056" s="37" t="s">
        <v>4180</v>
      </c>
      <c r="G1056" s="37" t="s">
        <v>4175</v>
      </c>
      <c r="H1056" s="35" t="s">
        <v>3419</v>
      </c>
      <c r="I1056" s="35" t="s">
        <v>3416</v>
      </c>
      <c r="J1056" s="38">
        <v>1.763333333333333</v>
      </c>
      <c r="K1056" s="35">
        <v>1</v>
      </c>
      <c r="L1056" s="38">
        <f t="shared" si="16"/>
        <v>1.763333333333333</v>
      </c>
      <c r="M1056" s="35" t="s">
        <v>11</v>
      </c>
      <c r="N1056" s="38"/>
      <c r="O1056" s="35" t="s">
        <v>12</v>
      </c>
    </row>
    <row r="1057" spans="1:15" x14ac:dyDescent="0.25">
      <c r="A1057" s="35">
        <v>1224814437</v>
      </c>
      <c r="B1057" s="35" t="s">
        <v>4158</v>
      </c>
      <c r="C1057" s="35">
        <v>2025</v>
      </c>
      <c r="D1057" s="36">
        <v>45877.375694444447</v>
      </c>
      <c r="E1057" s="37" t="s">
        <v>996</v>
      </c>
      <c r="F1057" s="37" t="s">
        <v>4181</v>
      </c>
      <c r="G1057" s="37" t="s">
        <v>4175</v>
      </c>
      <c r="H1057" s="35" t="s">
        <v>3419</v>
      </c>
      <c r="I1057" s="35" t="s">
        <v>3416</v>
      </c>
      <c r="J1057" s="38">
        <v>1.763333333333333</v>
      </c>
      <c r="K1057" s="35">
        <v>2</v>
      </c>
      <c r="L1057" s="38">
        <f t="shared" si="16"/>
        <v>3.526666666666666</v>
      </c>
      <c r="M1057" s="35" t="s">
        <v>11</v>
      </c>
      <c r="N1057" s="38"/>
      <c r="O1057" s="35" t="s">
        <v>12</v>
      </c>
    </row>
    <row r="1058" spans="1:15" x14ac:dyDescent="0.25">
      <c r="A1058" s="35">
        <v>1224814437</v>
      </c>
      <c r="B1058" s="35" t="s">
        <v>4158</v>
      </c>
      <c r="C1058" s="35">
        <v>2025</v>
      </c>
      <c r="D1058" s="36">
        <v>45877.375694444447</v>
      </c>
      <c r="E1058" s="37" t="s">
        <v>996</v>
      </c>
      <c r="F1058" s="37" t="s">
        <v>4182</v>
      </c>
      <c r="G1058" s="37" t="s">
        <v>4175</v>
      </c>
      <c r="H1058" s="35" t="s">
        <v>3415</v>
      </c>
      <c r="I1058" s="35" t="s">
        <v>3416</v>
      </c>
      <c r="J1058" s="38">
        <v>1.763333333333333</v>
      </c>
      <c r="K1058" s="35">
        <v>4</v>
      </c>
      <c r="L1058" s="38">
        <f t="shared" si="16"/>
        <v>7.0533333333333319</v>
      </c>
      <c r="M1058" s="35" t="s">
        <v>11</v>
      </c>
      <c r="N1058" s="38"/>
      <c r="O1058" s="35" t="s">
        <v>12</v>
      </c>
    </row>
    <row r="1059" spans="1:15" x14ac:dyDescent="0.25">
      <c r="A1059" s="35">
        <v>1224814437</v>
      </c>
      <c r="B1059" s="35" t="s">
        <v>4158</v>
      </c>
      <c r="C1059" s="35">
        <v>2025</v>
      </c>
      <c r="D1059" s="36">
        <v>45877.375694444447</v>
      </c>
      <c r="E1059" s="37" t="s">
        <v>996</v>
      </c>
      <c r="F1059" s="37" t="s">
        <v>4183</v>
      </c>
      <c r="G1059" s="37" t="s">
        <v>4175</v>
      </c>
      <c r="H1059" s="35" t="s">
        <v>3419</v>
      </c>
      <c r="I1059" s="35" t="s">
        <v>3416</v>
      </c>
      <c r="J1059" s="38">
        <v>1.763333333333333</v>
      </c>
      <c r="K1059" s="35">
        <v>2</v>
      </c>
      <c r="L1059" s="38">
        <f t="shared" si="16"/>
        <v>3.526666666666666</v>
      </c>
      <c r="M1059" s="35" t="s">
        <v>11</v>
      </c>
      <c r="N1059" s="38"/>
      <c r="O1059" s="35" t="s">
        <v>12</v>
      </c>
    </row>
    <row r="1060" spans="1:15" x14ac:dyDescent="0.25">
      <c r="A1060" s="35">
        <v>1224814437</v>
      </c>
      <c r="B1060" s="35" t="s">
        <v>4158</v>
      </c>
      <c r="C1060" s="35">
        <v>2025</v>
      </c>
      <c r="D1060" s="36">
        <v>45877.375694444447</v>
      </c>
      <c r="E1060" s="37" t="s">
        <v>996</v>
      </c>
      <c r="F1060" s="37" t="s">
        <v>4184</v>
      </c>
      <c r="G1060" s="37" t="s">
        <v>4175</v>
      </c>
      <c r="H1060" s="35" t="s">
        <v>3419</v>
      </c>
      <c r="I1060" s="35" t="s">
        <v>3416</v>
      </c>
      <c r="J1060" s="38">
        <v>1.763333333333333</v>
      </c>
      <c r="K1060" s="35">
        <v>1</v>
      </c>
      <c r="L1060" s="38">
        <f t="shared" si="16"/>
        <v>1.763333333333333</v>
      </c>
      <c r="M1060" s="35" t="s">
        <v>11</v>
      </c>
      <c r="N1060" s="38"/>
      <c r="O1060" s="35" t="s">
        <v>12</v>
      </c>
    </row>
    <row r="1061" spans="1:15" x14ac:dyDescent="0.25">
      <c r="A1061" s="35">
        <v>1224814437</v>
      </c>
      <c r="B1061" s="35" t="s">
        <v>4158</v>
      </c>
      <c r="C1061" s="35">
        <v>2025</v>
      </c>
      <c r="D1061" s="36">
        <v>45877.375694444447</v>
      </c>
      <c r="E1061" s="37" t="s">
        <v>996</v>
      </c>
      <c r="F1061" s="37" t="s">
        <v>4185</v>
      </c>
      <c r="G1061" s="37" t="s">
        <v>4175</v>
      </c>
      <c r="H1061" s="35" t="s">
        <v>3419</v>
      </c>
      <c r="I1061" s="35" t="s">
        <v>3416</v>
      </c>
      <c r="J1061" s="38">
        <v>1.763333333333333</v>
      </c>
      <c r="K1061" s="35">
        <v>1</v>
      </c>
      <c r="L1061" s="38">
        <f t="shared" si="16"/>
        <v>1.763333333333333</v>
      </c>
      <c r="M1061" s="35" t="s">
        <v>11</v>
      </c>
      <c r="N1061" s="38"/>
      <c r="O1061" s="35" t="s">
        <v>12</v>
      </c>
    </row>
    <row r="1062" spans="1:15" x14ac:dyDescent="0.25">
      <c r="A1062" s="35">
        <v>1224775193</v>
      </c>
      <c r="B1062" s="35" t="s">
        <v>4158</v>
      </c>
      <c r="C1062" s="35">
        <v>2025</v>
      </c>
      <c r="D1062" s="36">
        <v>45877.375694444447</v>
      </c>
      <c r="E1062" s="37" t="s">
        <v>8</v>
      </c>
      <c r="F1062" s="37" t="s">
        <v>4186</v>
      </c>
      <c r="G1062" s="37" t="s">
        <v>3660</v>
      </c>
      <c r="H1062" s="35" t="s">
        <v>3419</v>
      </c>
      <c r="I1062" s="35" t="s">
        <v>3416</v>
      </c>
      <c r="J1062" s="38">
        <v>0.95</v>
      </c>
      <c r="K1062" s="35">
        <v>2</v>
      </c>
      <c r="L1062" s="38">
        <f t="shared" si="16"/>
        <v>1.9</v>
      </c>
      <c r="M1062" s="42" t="s">
        <v>11</v>
      </c>
      <c r="N1062" s="38"/>
      <c r="O1062" s="35" t="s">
        <v>12</v>
      </c>
    </row>
    <row r="1063" spans="1:15" x14ac:dyDescent="0.25">
      <c r="A1063" s="35">
        <v>1224775193</v>
      </c>
      <c r="B1063" s="35" t="s">
        <v>4158</v>
      </c>
      <c r="C1063" s="35">
        <v>2025</v>
      </c>
      <c r="D1063" s="36">
        <v>45877.375694444447</v>
      </c>
      <c r="E1063" s="37" t="s">
        <v>8</v>
      </c>
      <c r="F1063" s="37" t="s">
        <v>4187</v>
      </c>
      <c r="G1063" s="37" t="s">
        <v>3660</v>
      </c>
      <c r="H1063" s="35" t="s">
        <v>3419</v>
      </c>
      <c r="I1063" s="35" t="s">
        <v>3416</v>
      </c>
      <c r="J1063" s="38">
        <v>0.69999999999999984</v>
      </c>
      <c r="K1063" s="35">
        <v>3</v>
      </c>
      <c r="L1063" s="38">
        <f t="shared" si="16"/>
        <v>2.0999999999999996</v>
      </c>
      <c r="M1063" s="42" t="s">
        <v>11</v>
      </c>
      <c r="N1063" s="38"/>
      <c r="O1063" s="35" t="s">
        <v>12</v>
      </c>
    </row>
    <row r="1064" spans="1:15" x14ac:dyDescent="0.25">
      <c r="A1064" s="35">
        <v>1224658889</v>
      </c>
      <c r="B1064" s="35" t="s">
        <v>4158</v>
      </c>
      <c r="C1064" s="35">
        <v>2025</v>
      </c>
      <c r="D1064" s="36">
        <v>45876.914027777777</v>
      </c>
      <c r="E1064" s="37" t="s">
        <v>35</v>
      </c>
      <c r="F1064" s="37" t="s">
        <v>4186</v>
      </c>
      <c r="G1064" s="37" t="s">
        <v>3660</v>
      </c>
      <c r="H1064" s="35" t="s">
        <v>3419</v>
      </c>
      <c r="I1064" s="35" t="s">
        <v>3416</v>
      </c>
      <c r="J1064" s="38">
        <v>0.99557620817843873</v>
      </c>
      <c r="K1064" s="35">
        <v>1</v>
      </c>
      <c r="L1064" s="38">
        <f t="shared" si="16"/>
        <v>0.99557620817843873</v>
      </c>
      <c r="M1064" s="35" t="s">
        <v>11</v>
      </c>
      <c r="N1064" s="38"/>
      <c r="O1064" s="35" t="s">
        <v>12</v>
      </c>
    </row>
    <row r="1065" spans="1:15" x14ac:dyDescent="0.25">
      <c r="A1065" s="35">
        <v>1224658889</v>
      </c>
      <c r="B1065" s="35" t="s">
        <v>4158</v>
      </c>
      <c r="C1065" s="35">
        <v>2025</v>
      </c>
      <c r="D1065" s="36">
        <v>45876.914027777777</v>
      </c>
      <c r="E1065" s="37" t="s">
        <v>35</v>
      </c>
      <c r="F1065" s="37" t="s">
        <v>4188</v>
      </c>
      <c r="G1065" s="37" t="s">
        <v>3687</v>
      </c>
      <c r="H1065" s="35" t="s">
        <v>3415</v>
      </c>
      <c r="I1065" s="35" t="s">
        <v>3416</v>
      </c>
      <c r="J1065" s="38">
        <v>1.499665427509294</v>
      </c>
      <c r="K1065" s="35">
        <v>4</v>
      </c>
      <c r="L1065" s="38">
        <f t="shared" si="16"/>
        <v>5.998661710037176</v>
      </c>
      <c r="M1065" s="35" t="s">
        <v>11</v>
      </c>
      <c r="N1065" s="38"/>
      <c r="O1065" s="35" t="s">
        <v>12</v>
      </c>
    </row>
    <row r="1066" spans="1:15" x14ac:dyDescent="0.25">
      <c r="A1066" s="35">
        <v>1224658889</v>
      </c>
      <c r="B1066" s="35" t="s">
        <v>4158</v>
      </c>
      <c r="C1066" s="35">
        <v>2025</v>
      </c>
      <c r="D1066" s="36">
        <v>45876.914027777777</v>
      </c>
      <c r="E1066" s="37" t="s">
        <v>35</v>
      </c>
      <c r="F1066" s="37" t="s">
        <v>4189</v>
      </c>
      <c r="G1066" s="37" t="s">
        <v>4049</v>
      </c>
      <c r="H1066" s="35" t="s">
        <v>3415</v>
      </c>
      <c r="I1066" s="35" t="s">
        <v>3416</v>
      </c>
      <c r="J1066" s="38">
        <v>0.1134200743494424</v>
      </c>
      <c r="K1066" s="35">
        <v>4</v>
      </c>
      <c r="L1066" s="38">
        <f t="shared" si="16"/>
        <v>0.45368029739776961</v>
      </c>
      <c r="M1066" s="35" t="s">
        <v>11</v>
      </c>
      <c r="N1066" s="38"/>
      <c r="O1066" s="35" t="s">
        <v>12</v>
      </c>
    </row>
    <row r="1067" spans="1:15" x14ac:dyDescent="0.25">
      <c r="A1067" s="35">
        <v>1224658889</v>
      </c>
      <c r="B1067" s="35" t="s">
        <v>4158</v>
      </c>
      <c r="C1067" s="35">
        <v>2025</v>
      </c>
      <c r="D1067" s="36">
        <v>45876.914027777777</v>
      </c>
      <c r="E1067" s="37" t="s">
        <v>35</v>
      </c>
      <c r="F1067" s="37" t="s">
        <v>4190</v>
      </c>
      <c r="G1067" s="37" t="s">
        <v>3687</v>
      </c>
      <c r="H1067" s="35" t="s">
        <v>3419</v>
      </c>
      <c r="I1067" s="35" t="s">
        <v>3416</v>
      </c>
      <c r="J1067" s="38">
        <v>0.17643122676579931</v>
      </c>
      <c r="K1067" s="35">
        <v>2</v>
      </c>
      <c r="L1067" s="38">
        <f t="shared" si="16"/>
        <v>0.35286245353159862</v>
      </c>
      <c r="M1067" s="35" t="s">
        <v>11</v>
      </c>
      <c r="N1067" s="38"/>
      <c r="O1067" s="35" t="s">
        <v>12</v>
      </c>
    </row>
    <row r="1068" spans="1:15" x14ac:dyDescent="0.25">
      <c r="A1068" s="35">
        <v>1224658889</v>
      </c>
      <c r="B1068" s="35" t="s">
        <v>4158</v>
      </c>
      <c r="C1068" s="35">
        <v>2025</v>
      </c>
      <c r="D1068" s="36">
        <v>45876.914027777777</v>
      </c>
      <c r="E1068" s="37" t="s">
        <v>35</v>
      </c>
      <c r="F1068" s="37" t="s">
        <v>4191</v>
      </c>
      <c r="G1068" s="37" t="s">
        <v>3810</v>
      </c>
      <c r="H1068" s="35" t="s">
        <v>3415</v>
      </c>
      <c r="I1068" s="35" t="s">
        <v>3416</v>
      </c>
      <c r="J1068" s="38">
        <v>0.1134200743494424</v>
      </c>
      <c r="K1068" s="35">
        <v>4</v>
      </c>
      <c r="L1068" s="38">
        <f t="shared" si="16"/>
        <v>0.45368029739776961</v>
      </c>
      <c r="M1068" s="35" t="s">
        <v>11</v>
      </c>
      <c r="N1068" s="38"/>
      <c r="O1068" s="35" t="s">
        <v>12</v>
      </c>
    </row>
    <row r="1069" spans="1:15" x14ac:dyDescent="0.25">
      <c r="A1069" s="35">
        <v>1224658889</v>
      </c>
      <c r="B1069" s="35" t="s">
        <v>4158</v>
      </c>
      <c r="C1069" s="35">
        <v>2025</v>
      </c>
      <c r="D1069" s="36">
        <v>45876.914027777777</v>
      </c>
      <c r="E1069" s="37" t="s">
        <v>35</v>
      </c>
      <c r="F1069" s="37" t="s">
        <v>4192</v>
      </c>
      <c r="G1069" s="37" t="s">
        <v>3687</v>
      </c>
      <c r="H1069" s="35" t="s">
        <v>3415</v>
      </c>
      <c r="I1069" s="35" t="s">
        <v>3416</v>
      </c>
      <c r="J1069" s="38">
        <v>0.17643122676579931</v>
      </c>
      <c r="K1069" s="35">
        <v>4</v>
      </c>
      <c r="L1069" s="38">
        <f t="shared" si="16"/>
        <v>0.70572490706319724</v>
      </c>
      <c r="M1069" s="35" t="s">
        <v>11</v>
      </c>
      <c r="N1069" s="38"/>
      <c r="O1069" s="35" t="s">
        <v>12</v>
      </c>
    </row>
    <row r="1070" spans="1:15" x14ac:dyDescent="0.25">
      <c r="A1070" s="35">
        <v>1224658889</v>
      </c>
      <c r="B1070" s="35" t="s">
        <v>4158</v>
      </c>
      <c r="C1070" s="35">
        <v>2025</v>
      </c>
      <c r="D1070" s="36">
        <v>45876.914027777777</v>
      </c>
      <c r="E1070" s="37" t="s">
        <v>35</v>
      </c>
      <c r="F1070" s="37" t="s">
        <v>4193</v>
      </c>
      <c r="G1070" s="37" t="s">
        <v>4012</v>
      </c>
      <c r="H1070" s="35" t="s">
        <v>3415</v>
      </c>
      <c r="I1070" s="35" t="s">
        <v>3416</v>
      </c>
      <c r="J1070" s="38">
        <v>0.30245353159851301</v>
      </c>
      <c r="K1070" s="35">
        <v>4</v>
      </c>
      <c r="L1070" s="38">
        <f t="shared" si="16"/>
        <v>1.2098141263940521</v>
      </c>
      <c r="M1070" s="35" t="s">
        <v>11</v>
      </c>
      <c r="N1070" s="38"/>
      <c r="O1070" s="35" t="s">
        <v>12</v>
      </c>
    </row>
    <row r="1071" spans="1:15" x14ac:dyDescent="0.25">
      <c r="A1071" s="35">
        <v>1224420625</v>
      </c>
      <c r="B1071" s="35" t="s">
        <v>4158</v>
      </c>
      <c r="C1071" s="35">
        <v>2025</v>
      </c>
      <c r="D1071" s="36">
        <v>45875.360590277778</v>
      </c>
      <c r="E1071" s="37" t="s">
        <v>1005</v>
      </c>
      <c r="F1071" s="37" t="s">
        <v>3955</v>
      </c>
      <c r="G1071" s="37" t="s">
        <v>3660</v>
      </c>
      <c r="H1071" s="35" t="s">
        <v>3419</v>
      </c>
      <c r="I1071" s="35" t="s">
        <v>3416</v>
      </c>
      <c r="J1071" s="38">
        <v>22.73</v>
      </c>
      <c r="K1071" s="35">
        <v>1</v>
      </c>
      <c r="L1071" s="38">
        <f t="shared" si="16"/>
        <v>22.73</v>
      </c>
      <c r="M1071" s="35" t="s">
        <v>11</v>
      </c>
      <c r="N1071" s="38"/>
      <c r="O1071" s="35" t="s">
        <v>12</v>
      </c>
    </row>
    <row r="1072" spans="1:15" x14ac:dyDescent="0.25">
      <c r="A1072" s="35">
        <v>1224420611</v>
      </c>
      <c r="B1072" s="35" t="s">
        <v>4158</v>
      </c>
      <c r="C1072" s="35">
        <v>2025</v>
      </c>
      <c r="D1072" s="36">
        <v>45875.360590277778</v>
      </c>
      <c r="E1072" s="37" t="s">
        <v>1007</v>
      </c>
      <c r="F1072" s="37" t="s">
        <v>3955</v>
      </c>
      <c r="G1072" s="37" t="s">
        <v>3660</v>
      </c>
      <c r="H1072" s="35" t="s">
        <v>3419</v>
      </c>
      <c r="I1072" s="35" t="s">
        <v>3416</v>
      </c>
      <c r="J1072" s="38">
        <v>22.23</v>
      </c>
      <c r="K1072" s="35">
        <v>1</v>
      </c>
      <c r="L1072" s="38">
        <f t="shared" si="16"/>
        <v>22.23</v>
      </c>
      <c r="M1072" s="35" t="s">
        <v>11</v>
      </c>
      <c r="N1072" s="38"/>
      <c r="O1072" s="35" t="s">
        <v>12</v>
      </c>
    </row>
    <row r="1073" spans="1:15" x14ac:dyDescent="0.25">
      <c r="A1073" s="35">
        <v>1224420222</v>
      </c>
      <c r="B1073" s="35" t="s">
        <v>4158</v>
      </c>
      <c r="C1073" s="35">
        <v>2025</v>
      </c>
      <c r="D1073" s="36">
        <v>45875.360590277778</v>
      </c>
      <c r="E1073" s="37" t="s">
        <v>1009</v>
      </c>
      <c r="F1073" s="37" t="s">
        <v>3955</v>
      </c>
      <c r="G1073" s="37" t="s">
        <v>3660</v>
      </c>
      <c r="H1073" s="35" t="s">
        <v>3419</v>
      </c>
      <c r="I1073" s="35" t="s">
        <v>3416</v>
      </c>
      <c r="J1073" s="38">
        <v>22.33</v>
      </c>
      <c r="K1073" s="35">
        <v>1</v>
      </c>
      <c r="L1073" s="38">
        <f t="shared" si="16"/>
        <v>22.33</v>
      </c>
      <c r="M1073" s="35" t="s">
        <v>11</v>
      </c>
      <c r="N1073" s="38"/>
      <c r="O1073" s="35" t="s">
        <v>12</v>
      </c>
    </row>
    <row r="1074" spans="1:15" x14ac:dyDescent="0.25">
      <c r="A1074" s="35">
        <v>1224414109</v>
      </c>
      <c r="B1074" s="35" t="s">
        <v>4158</v>
      </c>
      <c r="C1074" s="35">
        <v>2025</v>
      </c>
      <c r="D1074" s="36">
        <v>45874.881099537037</v>
      </c>
      <c r="E1074" s="37" t="s">
        <v>1011</v>
      </c>
      <c r="F1074" s="37" t="s">
        <v>3955</v>
      </c>
      <c r="G1074" s="37" t="s">
        <v>3660</v>
      </c>
      <c r="H1074" s="35" t="s">
        <v>3419</v>
      </c>
      <c r="I1074" s="35" t="s">
        <v>3416</v>
      </c>
      <c r="J1074" s="38">
        <v>20.93</v>
      </c>
      <c r="K1074" s="35">
        <v>1</v>
      </c>
      <c r="L1074" s="38">
        <f t="shared" si="16"/>
        <v>20.93</v>
      </c>
      <c r="M1074" s="35" t="s">
        <v>11</v>
      </c>
      <c r="N1074" s="38"/>
      <c r="O1074" s="35" t="s">
        <v>12</v>
      </c>
    </row>
    <row r="1075" spans="1:15" x14ac:dyDescent="0.25">
      <c r="A1075" s="35">
        <v>1223874918</v>
      </c>
      <c r="B1075" s="35" t="s">
        <v>4158</v>
      </c>
      <c r="C1075" s="35">
        <v>2025</v>
      </c>
      <c r="D1075" s="36">
        <v>45872.010358796288</v>
      </c>
      <c r="E1075" s="37" t="s">
        <v>1018</v>
      </c>
      <c r="F1075" s="37" t="s">
        <v>4026</v>
      </c>
      <c r="G1075" s="37" t="s">
        <v>3694</v>
      </c>
      <c r="H1075" s="35" t="s">
        <v>3419</v>
      </c>
      <c r="I1075" s="35" t="s">
        <v>3416</v>
      </c>
      <c r="J1075" s="38">
        <v>1.73</v>
      </c>
      <c r="K1075" s="35">
        <v>1</v>
      </c>
      <c r="L1075" s="38">
        <f t="shared" si="16"/>
        <v>1.73</v>
      </c>
      <c r="M1075" s="35" t="s">
        <v>11</v>
      </c>
      <c r="N1075" s="38"/>
      <c r="O1075" s="35" t="s">
        <v>12</v>
      </c>
    </row>
    <row r="1076" spans="1:15" x14ac:dyDescent="0.25">
      <c r="A1076" s="35">
        <v>1223874905</v>
      </c>
      <c r="B1076" s="35" t="s">
        <v>4158</v>
      </c>
      <c r="C1076" s="35">
        <v>2025</v>
      </c>
      <c r="D1076" s="36">
        <v>45872.010358796288</v>
      </c>
      <c r="E1076" s="37" t="s">
        <v>970</v>
      </c>
      <c r="F1076" s="37" t="s">
        <v>4026</v>
      </c>
      <c r="G1076" s="37" t="s">
        <v>3694</v>
      </c>
      <c r="H1076" s="35" t="s">
        <v>3419</v>
      </c>
      <c r="I1076" s="35" t="s">
        <v>3416</v>
      </c>
      <c r="J1076" s="38">
        <v>0.51565217391304352</v>
      </c>
      <c r="K1076" s="35">
        <v>1</v>
      </c>
      <c r="L1076" s="38">
        <f t="shared" si="16"/>
        <v>0.51565217391304352</v>
      </c>
      <c r="M1076" s="35" t="s">
        <v>11</v>
      </c>
      <c r="N1076" s="38"/>
      <c r="O1076" s="35" t="s">
        <v>12</v>
      </c>
    </row>
    <row r="1077" spans="1:15" x14ac:dyDescent="0.25">
      <c r="A1077" s="35">
        <v>1223874905</v>
      </c>
      <c r="B1077" s="35" t="s">
        <v>4158</v>
      </c>
      <c r="C1077" s="35">
        <v>2025</v>
      </c>
      <c r="D1077" s="36">
        <v>45872.010358796288</v>
      </c>
      <c r="E1077" s="37" t="s">
        <v>970</v>
      </c>
      <c r="F1077" s="37" t="s">
        <v>4195</v>
      </c>
      <c r="G1077" s="37" t="s">
        <v>3628</v>
      </c>
      <c r="H1077" s="35" t="s">
        <v>3419</v>
      </c>
      <c r="I1077" s="35" t="s">
        <v>3416</v>
      </c>
      <c r="J1077" s="38">
        <v>1.804782608695652</v>
      </c>
      <c r="K1077" s="35">
        <v>2</v>
      </c>
      <c r="L1077" s="38">
        <f t="shared" si="16"/>
        <v>3.609565217391304</v>
      </c>
      <c r="M1077" s="35" t="s">
        <v>11</v>
      </c>
      <c r="N1077" s="38"/>
      <c r="O1077" s="35" t="s">
        <v>12</v>
      </c>
    </row>
    <row r="1078" spans="1:15" x14ac:dyDescent="0.25">
      <c r="A1078" s="35">
        <v>1223874905</v>
      </c>
      <c r="B1078" s="35" t="s">
        <v>4158</v>
      </c>
      <c r="C1078" s="35">
        <v>2025</v>
      </c>
      <c r="D1078" s="36">
        <v>45872.010358796288</v>
      </c>
      <c r="E1078" s="37" t="s">
        <v>970</v>
      </c>
      <c r="F1078" s="37" t="s">
        <v>4196</v>
      </c>
      <c r="G1078" s="37" t="s">
        <v>3628</v>
      </c>
      <c r="H1078" s="35" t="s">
        <v>3419</v>
      </c>
      <c r="I1078" s="35" t="s">
        <v>3416</v>
      </c>
      <c r="J1078" s="38">
        <v>0.25782608695652182</v>
      </c>
      <c r="K1078" s="35">
        <v>3</v>
      </c>
      <c r="L1078" s="38">
        <f t="shared" si="16"/>
        <v>0.77347826086956539</v>
      </c>
      <c r="M1078" s="35" t="s">
        <v>11</v>
      </c>
      <c r="N1078" s="38"/>
      <c r="O1078" s="35" t="s">
        <v>12</v>
      </c>
    </row>
    <row r="1079" spans="1:15" x14ac:dyDescent="0.25">
      <c r="A1079" s="35">
        <v>1223874905</v>
      </c>
      <c r="B1079" s="35" t="s">
        <v>4158</v>
      </c>
      <c r="C1079" s="35">
        <v>2025</v>
      </c>
      <c r="D1079" s="36">
        <v>45872.010358796288</v>
      </c>
      <c r="E1079" s="37" t="s">
        <v>970</v>
      </c>
      <c r="F1079" s="37" t="s">
        <v>4197</v>
      </c>
      <c r="G1079" s="37" t="s">
        <v>4140</v>
      </c>
      <c r="H1079" s="35" t="s">
        <v>3415</v>
      </c>
      <c r="I1079" s="35" t="s">
        <v>3416</v>
      </c>
      <c r="J1079" s="38">
        <v>0.25782608695652182</v>
      </c>
      <c r="K1079" s="35">
        <v>4</v>
      </c>
      <c r="L1079" s="38">
        <f t="shared" si="16"/>
        <v>1.0313043478260873</v>
      </c>
      <c r="M1079" s="35" t="s">
        <v>11</v>
      </c>
      <c r="N1079" s="38"/>
      <c r="O1079" s="35" t="s">
        <v>12</v>
      </c>
    </row>
    <row r="1080" spans="1:15" x14ac:dyDescent="0.25">
      <c r="A1080" s="35">
        <v>1223874829</v>
      </c>
      <c r="B1080" s="35" t="s">
        <v>4158</v>
      </c>
      <c r="C1080" s="35">
        <v>2025</v>
      </c>
      <c r="D1080" s="36">
        <v>45872.010358796288</v>
      </c>
      <c r="E1080" s="37" t="s">
        <v>1021</v>
      </c>
      <c r="F1080" s="37" t="s">
        <v>4198</v>
      </c>
      <c r="G1080" s="37" t="s">
        <v>3729</v>
      </c>
      <c r="H1080" s="35" t="s">
        <v>3419</v>
      </c>
      <c r="I1080" s="35" t="s">
        <v>3416</v>
      </c>
      <c r="J1080" s="38">
        <v>0.96500000000000008</v>
      </c>
      <c r="K1080" s="35">
        <v>2</v>
      </c>
      <c r="L1080" s="38">
        <f t="shared" si="16"/>
        <v>1.9300000000000002</v>
      </c>
      <c r="M1080" s="35" t="s">
        <v>11</v>
      </c>
      <c r="N1080" s="38"/>
      <c r="O1080" s="35" t="s">
        <v>12</v>
      </c>
    </row>
    <row r="1081" spans="1:15" x14ac:dyDescent="0.25">
      <c r="A1081" s="35">
        <v>1223874592</v>
      </c>
      <c r="B1081" s="35" t="s">
        <v>4158</v>
      </c>
      <c r="C1081" s="35">
        <v>2025</v>
      </c>
      <c r="D1081" s="36">
        <v>45872.010358796288</v>
      </c>
      <c r="E1081" s="37" t="s">
        <v>61</v>
      </c>
      <c r="F1081" s="37" t="s">
        <v>3686</v>
      </c>
      <c r="G1081" s="37" t="s">
        <v>3770</v>
      </c>
      <c r="H1081" s="35" t="s">
        <v>3419</v>
      </c>
      <c r="I1081" s="35" t="s">
        <v>3416</v>
      </c>
      <c r="J1081" s="38">
        <v>0.5</v>
      </c>
      <c r="K1081" s="35">
        <v>2</v>
      </c>
      <c r="L1081" s="38">
        <f t="shared" si="16"/>
        <v>1</v>
      </c>
      <c r="M1081" s="42" t="s">
        <v>11</v>
      </c>
      <c r="N1081" s="38"/>
      <c r="O1081" s="35" t="s">
        <v>12</v>
      </c>
    </row>
    <row r="1082" spans="1:15" x14ac:dyDescent="0.25">
      <c r="A1082" s="35">
        <v>1223417082</v>
      </c>
      <c r="B1082" s="35" t="s">
        <v>4199</v>
      </c>
      <c r="C1082" s="35">
        <v>2025</v>
      </c>
      <c r="D1082" s="36">
        <v>45869.847002314818</v>
      </c>
      <c r="E1082" s="37" t="s">
        <v>294</v>
      </c>
      <c r="F1082" s="37" t="s">
        <v>4169</v>
      </c>
      <c r="G1082" s="37" t="s">
        <v>3660</v>
      </c>
      <c r="H1082" s="35" t="s">
        <v>3415</v>
      </c>
      <c r="I1082" s="35" t="s">
        <v>3416</v>
      </c>
      <c r="J1082" s="38">
        <v>6.2324999999999999</v>
      </c>
      <c r="K1082" s="35">
        <v>4</v>
      </c>
      <c r="L1082" s="38">
        <f t="shared" si="16"/>
        <v>24.93</v>
      </c>
      <c r="M1082" s="35" t="s">
        <v>11</v>
      </c>
      <c r="N1082" s="38"/>
      <c r="O1082" s="35" t="s">
        <v>12</v>
      </c>
    </row>
    <row r="1083" spans="1:15" x14ac:dyDescent="0.25">
      <c r="A1083" s="35">
        <v>1223357546</v>
      </c>
      <c r="B1083" s="35" t="s">
        <v>4199</v>
      </c>
      <c r="C1083" s="35">
        <v>2025</v>
      </c>
      <c r="D1083" s="36">
        <v>45869.386122685188</v>
      </c>
      <c r="E1083" s="37" t="s">
        <v>35</v>
      </c>
      <c r="F1083" s="37" t="s">
        <v>4200</v>
      </c>
      <c r="G1083" s="37" t="s">
        <v>3660</v>
      </c>
      <c r="H1083" s="35" t="s">
        <v>3415</v>
      </c>
      <c r="I1083" s="35" t="s">
        <v>3416</v>
      </c>
      <c r="J1083" s="38">
        <v>6.3125</v>
      </c>
      <c r="K1083" s="35">
        <v>4</v>
      </c>
      <c r="L1083" s="38">
        <f t="shared" si="16"/>
        <v>25.25</v>
      </c>
      <c r="M1083" s="35" t="s">
        <v>11</v>
      </c>
      <c r="N1083" s="38"/>
      <c r="O1083" s="35" t="s">
        <v>12</v>
      </c>
    </row>
    <row r="1084" spans="1:15" x14ac:dyDescent="0.25">
      <c r="A1084" s="35">
        <v>1223170918</v>
      </c>
      <c r="B1084" s="35" t="s">
        <v>4199</v>
      </c>
      <c r="C1084" s="35">
        <v>2025</v>
      </c>
      <c r="D1084" s="36">
        <v>45868.46125</v>
      </c>
      <c r="E1084" s="37" t="s">
        <v>8</v>
      </c>
      <c r="F1084" s="37" t="s">
        <v>4201</v>
      </c>
      <c r="G1084" s="37" t="s">
        <v>3733</v>
      </c>
      <c r="H1084" s="35" t="s">
        <v>3419</v>
      </c>
      <c r="I1084" s="35" t="s">
        <v>3453</v>
      </c>
      <c r="J1084" s="38">
        <v>10.58</v>
      </c>
      <c r="K1084" s="35">
        <v>1</v>
      </c>
      <c r="L1084" s="38">
        <f t="shared" si="16"/>
        <v>10.58</v>
      </c>
      <c r="M1084" s="42" t="s">
        <v>11</v>
      </c>
      <c r="N1084" s="38"/>
      <c r="O1084" s="35" t="s">
        <v>12</v>
      </c>
    </row>
    <row r="1085" spans="1:15" x14ac:dyDescent="0.25">
      <c r="A1085" s="35">
        <v>1223156230</v>
      </c>
      <c r="B1085" s="35" t="s">
        <v>4199</v>
      </c>
      <c r="C1085" s="35">
        <v>2025</v>
      </c>
      <c r="D1085" s="36">
        <v>45868.46125</v>
      </c>
      <c r="E1085" s="37" t="s">
        <v>1032</v>
      </c>
      <c r="F1085" s="37" t="s">
        <v>4202</v>
      </c>
      <c r="G1085" s="37" t="s">
        <v>3628</v>
      </c>
      <c r="H1085" s="35" t="s">
        <v>3415</v>
      </c>
      <c r="I1085" s="35" t="s">
        <v>3416</v>
      </c>
      <c r="J1085" s="38">
        <v>0.33721374045801528</v>
      </c>
      <c r="K1085" s="35">
        <v>4</v>
      </c>
      <c r="L1085" s="38">
        <f t="shared" si="16"/>
        <v>1.3488549618320611</v>
      </c>
      <c r="M1085" s="35" t="s">
        <v>11</v>
      </c>
      <c r="N1085" s="38"/>
      <c r="O1085" s="35" t="s">
        <v>12</v>
      </c>
    </row>
    <row r="1086" spans="1:15" x14ac:dyDescent="0.25">
      <c r="A1086" s="35">
        <v>1223156230</v>
      </c>
      <c r="B1086" s="35" t="s">
        <v>4199</v>
      </c>
      <c r="C1086" s="35">
        <v>2025</v>
      </c>
      <c r="D1086" s="36">
        <v>45868.46125</v>
      </c>
      <c r="E1086" s="37" t="s">
        <v>1032</v>
      </c>
      <c r="F1086" s="37" t="s">
        <v>4203</v>
      </c>
      <c r="G1086" s="37" t="s">
        <v>4012</v>
      </c>
      <c r="H1086" s="35" t="s">
        <v>3415</v>
      </c>
      <c r="I1086" s="35" t="s">
        <v>3416</v>
      </c>
      <c r="J1086" s="38">
        <v>0.28101145038167941</v>
      </c>
      <c r="K1086" s="35">
        <v>4</v>
      </c>
      <c r="L1086" s="38">
        <f t="shared" si="16"/>
        <v>1.1240458015267176</v>
      </c>
      <c r="M1086" s="35" t="s">
        <v>11</v>
      </c>
      <c r="N1086" s="38"/>
      <c r="O1086" s="35" t="s">
        <v>12</v>
      </c>
    </row>
    <row r="1087" spans="1:15" x14ac:dyDescent="0.25">
      <c r="A1087" s="35">
        <v>1223156230</v>
      </c>
      <c r="B1087" s="35" t="s">
        <v>4199</v>
      </c>
      <c r="C1087" s="35">
        <v>2025</v>
      </c>
      <c r="D1087" s="36">
        <v>45868.46125</v>
      </c>
      <c r="E1087" s="37" t="s">
        <v>1032</v>
      </c>
      <c r="F1087" s="37" t="s">
        <v>4204</v>
      </c>
      <c r="G1087" s="37" t="s">
        <v>4012</v>
      </c>
      <c r="H1087" s="35" t="s">
        <v>3415</v>
      </c>
      <c r="I1087" s="35" t="s">
        <v>3416</v>
      </c>
      <c r="J1087" s="38">
        <v>0.56202290076335881</v>
      </c>
      <c r="K1087" s="35">
        <v>4</v>
      </c>
      <c r="L1087" s="38">
        <f t="shared" si="16"/>
        <v>2.2480916030534353</v>
      </c>
      <c r="M1087" s="35" t="s">
        <v>11</v>
      </c>
      <c r="N1087" s="38"/>
      <c r="O1087" s="35" t="s">
        <v>12</v>
      </c>
    </row>
    <row r="1088" spans="1:15" x14ac:dyDescent="0.25">
      <c r="A1088" s="35">
        <v>1223156230</v>
      </c>
      <c r="B1088" s="35" t="s">
        <v>4199</v>
      </c>
      <c r="C1088" s="35">
        <v>2025</v>
      </c>
      <c r="D1088" s="36">
        <v>45868.46125</v>
      </c>
      <c r="E1088" s="37" t="s">
        <v>1032</v>
      </c>
      <c r="F1088" s="37" t="s">
        <v>4205</v>
      </c>
      <c r="G1088" s="37" t="s">
        <v>3687</v>
      </c>
      <c r="H1088" s="35" t="s">
        <v>3415</v>
      </c>
      <c r="I1088" s="35" t="s">
        <v>3416</v>
      </c>
      <c r="J1088" s="38">
        <v>0.39341603053435109</v>
      </c>
      <c r="K1088" s="35">
        <v>4</v>
      </c>
      <c r="L1088" s="38">
        <f t="shared" si="16"/>
        <v>1.5736641221374044</v>
      </c>
      <c r="M1088" s="35" t="s">
        <v>11</v>
      </c>
      <c r="N1088" s="38"/>
      <c r="O1088" s="35" t="s">
        <v>12</v>
      </c>
    </row>
    <row r="1089" spans="1:15" x14ac:dyDescent="0.25">
      <c r="A1089" s="35">
        <v>1223156230</v>
      </c>
      <c r="B1089" s="35" t="s">
        <v>4199</v>
      </c>
      <c r="C1089" s="35">
        <v>2025</v>
      </c>
      <c r="D1089" s="36">
        <v>45868.46125</v>
      </c>
      <c r="E1089" s="37" t="s">
        <v>1032</v>
      </c>
      <c r="F1089" s="37" t="s">
        <v>4076</v>
      </c>
      <c r="G1089" s="37" t="s">
        <v>4077</v>
      </c>
      <c r="H1089" s="35" t="s">
        <v>3415</v>
      </c>
      <c r="I1089" s="35" t="s">
        <v>3416</v>
      </c>
      <c r="J1089" s="38">
        <v>13.151335877862589</v>
      </c>
      <c r="K1089" s="35">
        <v>4</v>
      </c>
      <c r="L1089" s="38">
        <f t="shared" si="16"/>
        <v>52.605343511450357</v>
      </c>
      <c r="M1089" s="35" t="s">
        <v>11</v>
      </c>
      <c r="N1089" s="38"/>
      <c r="O1089" s="35" t="s">
        <v>12</v>
      </c>
    </row>
    <row r="1090" spans="1:15" x14ac:dyDescent="0.25">
      <c r="A1090" s="35">
        <v>1223081321</v>
      </c>
      <c r="B1090" s="35" t="s">
        <v>4199</v>
      </c>
      <c r="C1090" s="35">
        <v>2025</v>
      </c>
      <c r="D1090" s="36">
        <v>45867.80159722222</v>
      </c>
      <c r="E1090" s="37" t="s">
        <v>237</v>
      </c>
      <c r="F1090" s="37" t="s">
        <v>4206</v>
      </c>
      <c r="G1090" s="37" t="s">
        <v>3660</v>
      </c>
      <c r="H1090" s="35" t="s">
        <v>3419</v>
      </c>
      <c r="I1090" s="35" t="s">
        <v>3416</v>
      </c>
      <c r="J1090" s="38">
        <v>19.074999999999999</v>
      </c>
      <c r="K1090" s="35">
        <v>2</v>
      </c>
      <c r="L1090" s="38">
        <f t="shared" ref="L1090:L1153" si="17">J1090*K1090</f>
        <v>38.15</v>
      </c>
      <c r="M1090" s="35" t="s">
        <v>11</v>
      </c>
      <c r="N1090" s="38"/>
      <c r="O1090" s="35" t="s">
        <v>12</v>
      </c>
    </row>
    <row r="1091" spans="1:15" x14ac:dyDescent="0.25">
      <c r="A1091" s="35">
        <v>1222402773</v>
      </c>
      <c r="B1091" s="35" t="s">
        <v>4199</v>
      </c>
      <c r="C1091" s="35">
        <v>2025</v>
      </c>
      <c r="D1091" s="36">
        <v>45863.763032407413</v>
      </c>
      <c r="E1091" s="37" t="s">
        <v>51</v>
      </c>
      <c r="F1091" s="37" t="s">
        <v>4207</v>
      </c>
      <c r="G1091" s="37" t="s">
        <v>3672</v>
      </c>
      <c r="H1091" s="35" t="s">
        <v>3419</v>
      </c>
      <c r="I1091" s="35" t="s">
        <v>3416</v>
      </c>
      <c r="J1091" s="38">
        <v>9.6300000000000008</v>
      </c>
      <c r="K1091" s="35">
        <v>1</v>
      </c>
      <c r="L1091" s="38">
        <f t="shared" si="17"/>
        <v>9.6300000000000008</v>
      </c>
      <c r="M1091" s="35" t="s">
        <v>11</v>
      </c>
      <c r="N1091" s="38"/>
      <c r="O1091" s="35" t="s">
        <v>12</v>
      </c>
    </row>
    <row r="1092" spans="1:15" x14ac:dyDescent="0.25">
      <c r="A1092" s="35">
        <v>1222402771</v>
      </c>
      <c r="B1092" s="35" t="s">
        <v>4199</v>
      </c>
      <c r="C1092" s="35">
        <v>2025</v>
      </c>
      <c r="D1092" s="36">
        <v>45863.763032407413</v>
      </c>
      <c r="E1092" s="37" t="s">
        <v>1040</v>
      </c>
      <c r="F1092" s="37" t="s">
        <v>4207</v>
      </c>
      <c r="G1092" s="37" t="s">
        <v>3672</v>
      </c>
      <c r="H1092" s="35" t="s">
        <v>3419</v>
      </c>
      <c r="I1092" s="35" t="s">
        <v>3416</v>
      </c>
      <c r="J1092" s="38">
        <v>8.33</v>
      </c>
      <c r="K1092" s="35">
        <v>1</v>
      </c>
      <c r="L1092" s="38">
        <f t="shared" si="17"/>
        <v>8.33</v>
      </c>
      <c r="M1092" s="35" t="s">
        <v>11</v>
      </c>
      <c r="N1092" s="38"/>
      <c r="O1092" s="35" t="s">
        <v>12</v>
      </c>
    </row>
    <row r="1093" spans="1:15" x14ac:dyDescent="0.25">
      <c r="A1093" s="35">
        <v>1222402756</v>
      </c>
      <c r="B1093" s="35" t="s">
        <v>4199</v>
      </c>
      <c r="C1093" s="35">
        <v>2025</v>
      </c>
      <c r="D1093" s="36">
        <v>45863.763032407413</v>
      </c>
      <c r="E1093" s="37" t="s">
        <v>1042</v>
      </c>
      <c r="F1093" s="37" t="s">
        <v>4207</v>
      </c>
      <c r="G1093" s="37" t="s">
        <v>3672</v>
      </c>
      <c r="H1093" s="35" t="s">
        <v>3419</v>
      </c>
      <c r="I1093" s="35" t="s">
        <v>3416</v>
      </c>
      <c r="J1093" s="38">
        <v>9.6449999999999996</v>
      </c>
      <c r="K1093" s="35">
        <v>2</v>
      </c>
      <c r="L1093" s="38">
        <f t="shared" si="17"/>
        <v>19.29</v>
      </c>
      <c r="M1093" s="35" t="s">
        <v>11</v>
      </c>
      <c r="N1093" s="38"/>
      <c r="O1093" s="35" t="s">
        <v>12</v>
      </c>
    </row>
    <row r="1094" spans="1:15" x14ac:dyDescent="0.25">
      <c r="A1094" s="35">
        <v>1222199396</v>
      </c>
      <c r="B1094" s="35" t="s">
        <v>4199</v>
      </c>
      <c r="C1094" s="35">
        <v>2025</v>
      </c>
      <c r="D1094" s="36">
        <v>45862.45894675926</v>
      </c>
      <c r="E1094" s="37" t="s">
        <v>51</v>
      </c>
      <c r="F1094" s="37" t="s">
        <v>4206</v>
      </c>
      <c r="G1094" s="37" t="s">
        <v>3660</v>
      </c>
      <c r="H1094" s="35" t="s">
        <v>3419</v>
      </c>
      <c r="I1094" s="35" t="s">
        <v>3416</v>
      </c>
      <c r="J1094" s="38">
        <v>11.765000000000001</v>
      </c>
      <c r="K1094" s="35">
        <v>2</v>
      </c>
      <c r="L1094" s="38">
        <f t="shared" si="17"/>
        <v>23.53</v>
      </c>
      <c r="M1094" s="35" t="s">
        <v>11</v>
      </c>
      <c r="N1094" s="38"/>
      <c r="O1094" s="35" t="s">
        <v>12</v>
      </c>
    </row>
    <row r="1095" spans="1:15" x14ac:dyDescent="0.25">
      <c r="A1095" s="35">
        <v>1222074392</v>
      </c>
      <c r="B1095" s="35" t="s">
        <v>4199</v>
      </c>
      <c r="C1095" s="35">
        <v>2025</v>
      </c>
      <c r="D1095" s="36">
        <v>45861.727905092594</v>
      </c>
      <c r="E1095" s="37" t="s">
        <v>8</v>
      </c>
      <c r="F1095" s="37" t="s">
        <v>4209</v>
      </c>
      <c r="G1095" s="37" t="s">
        <v>3660</v>
      </c>
      <c r="H1095" s="35" t="s">
        <v>3415</v>
      </c>
      <c r="I1095" s="35" t="s">
        <v>3416</v>
      </c>
      <c r="J1095" s="38">
        <v>2.95</v>
      </c>
      <c r="K1095" s="35">
        <v>4</v>
      </c>
      <c r="L1095" s="38">
        <f t="shared" si="17"/>
        <v>11.8</v>
      </c>
      <c r="M1095" s="42" t="s">
        <v>11</v>
      </c>
      <c r="N1095" s="38"/>
      <c r="O1095" s="35" t="s">
        <v>12</v>
      </c>
    </row>
    <row r="1096" spans="1:15" x14ac:dyDescent="0.25">
      <c r="A1096" s="35">
        <v>1222074392</v>
      </c>
      <c r="B1096" s="35" t="s">
        <v>4199</v>
      </c>
      <c r="C1096" s="35">
        <v>2025</v>
      </c>
      <c r="D1096" s="36">
        <v>45861.727905092594</v>
      </c>
      <c r="E1096" s="37" t="s">
        <v>8</v>
      </c>
      <c r="F1096" s="37" t="s">
        <v>4210</v>
      </c>
      <c r="G1096" s="37" t="s">
        <v>3660</v>
      </c>
      <c r="H1096" s="35" t="s">
        <v>3415</v>
      </c>
      <c r="I1096" s="35" t="s">
        <v>3416</v>
      </c>
      <c r="J1096" s="38">
        <v>5.95</v>
      </c>
      <c r="K1096" s="35">
        <v>4</v>
      </c>
      <c r="L1096" s="38">
        <f t="shared" si="17"/>
        <v>23.8</v>
      </c>
      <c r="M1096" s="42" t="s">
        <v>11</v>
      </c>
      <c r="N1096" s="38"/>
      <c r="O1096" s="35" t="s">
        <v>12</v>
      </c>
    </row>
    <row r="1097" spans="1:15" x14ac:dyDescent="0.25">
      <c r="A1097" s="35">
        <v>1222016830</v>
      </c>
      <c r="B1097" s="35" t="s">
        <v>4199</v>
      </c>
      <c r="C1097" s="35">
        <v>2025</v>
      </c>
      <c r="D1097" s="36">
        <v>45861.727905092594</v>
      </c>
      <c r="E1097" s="37" t="s">
        <v>61</v>
      </c>
      <c r="F1097" s="37" t="s">
        <v>4211</v>
      </c>
      <c r="G1097" s="37" t="s">
        <v>4012</v>
      </c>
      <c r="H1097" s="35" t="s">
        <v>3419</v>
      </c>
      <c r="I1097" s="35" t="s">
        <v>3416</v>
      </c>
      <c r="J1097" s="38">
        <v>1.22</v>
      </c>
      <c r="K1097" s="35">
        <v>3</v>
      </c>
      <c r="L1097" s="38">
        <f t="shared" si="17"/>
        <v>3.66</v>
      </c>
      <c r="M1097" s="42" t="s">
        <v>11</v>
      </c>
      <c r="N1097" s="38"/>
      <c r="O1097" s="35" t="s">
        <v>12</v>
      </c>
    </row>
    <row r="1098" spans="1:15" x14ac:dyDescent="0.25">
      <c r="A1098" s="35">
        <v>1221866548</v>
      </c>
      <c r="B1098" s="35" t="s">
        <v>4199</v>
      </c>
      <c r="C1098" s="35">
        <v>2025</v>
      </c>
      <c r="D1098" s="36">
        <v>45860.341736111113</v>
      </c>
      <c r="E1098" s="37" t="s">
        <v>1048</v>
      </c>
      <c r="F1098" s="37" t="s">
        <v>4213</v>
      </c>
      <c r="G1098" s="37" t="s">
        <v>3551</v>
      </c>
      <c r="H1098" s="35" t="s">
        <v>3415</v>
      </c>
      <c r="I1098" s="35" t="s">
        <v>3530</v>
      </c>
      <c r="J1098" s="38">
        <v>0.13022727272727269</v>
      </c>
      <c r="K1098" s="35">
        <v>4</v>
      </c>
      <c r="L1098" s="38">
        <f t="shared" si="17"/>
        <v>0.52090909090909077</v>
      </c>
      <c r="M1098" s="35" t="s">
        <v>11</v>
      </c>
      <c r="N1098" s="38"/>
      <c r="O1098" s="35" t="s">
        <v>12</v>
      </c>
    </row>
    <row r="1099" spans="1:15" x14ac:dyDescent="0.25">
      <c r="A1099" s="35">
        <v>1221866548</v>
      </c>
      <c r="B1099" s="35" t="s">
        <v>4199</v>
      </c>
      <c r="C1099" s="35">
        <v>2025</v>
      </c>
      <c r="D1099" s="36">
        <v>45860.341736111113</v>
      </c>
      <c r="E1099" s="37" t="s">
        <v>1048</v>
      </c>
      <c r="F1099" s="37" t="s">
        <v>4214</v>
      </c>
      <c r="G1099" s="37" t="s">
        <v>4215</v>
      </c>
      <c r="H1099" s="35" t="s">
        <v>3419</v>
      </c>
      <c r="I1099" s="35" t="s">
        <v>3416</v>
      </c>
      <c r="J1099" s="38">
        <v>2.6045454545454541</v>
      </c>
      <c r="K1099" s="35">
        <v>2</v>
      </c>
      <c r="L1099" s="38">
        <f t="shared" si="17"/>
        <v>5.2090909090909081</v>
      </c>
      <c r="M1099" s="35" t="s">
        <v>11</v>
      </c>
      <c r="N1099" s="38"/>
      <c r="O1099" s="35" t="s">
        <v>12</v>
      </c>
    </row>
    <row r="1100" spans="1:15" x14ac:dyDescent="0.25">
      <c r="A1100" s="35">
        <v>1221866513</v>
      </c>
      <c r="B1100" s="35" t="s">
        <v>4199</v>
      </c>
      <c r="C1100" s="35">
        <v>2025</v>
      </c>
      <c r="D1100" s="36">
        <v>45860.341736111113</v>
      </c>
      <c r="E1100" s="37" t="s">
        <v>469</v>
      </c>
      <c r="F1100" s="37" t="s">
        <v>4027</v>
      </c>
      <c r="G1100" s="37" t="s">
        <v>3687</v>
      </c>
      <c r="H1100" s="35" t="s">
        <v>3415</v>
      </c>
      <c r="I1100" s="35" t="s">
        <v>3453</v>
      </c>
      <c r="J1100" s="38">
        <v>5.0325000000000006</v>
      </c>
      <c r="K1100" s="35">
        <v>4</v>
      </c>
      <c r="L1100" s="38">
        <f t="shared" si="17"/>
        <v>20.130000000000003</v>
      </c>
      <c r="M1100" s="35" t="s">
        <v>11</v>
      </c>
      <c r="N1100" s="38"/>
      <c r="O1100" s="35" t="s">
        <v>12</v>
      </c>
    </row>
    <row r="1101" spans="1:15" x14ac:dyDescent="0.25">
      <c r="A1101" s="35">
        <v>1220383457</v>
      </c>
      <c r="B1101" s="35" t="s">
        <v>4199</v>
      </c>
      <c r="C1101" s="35">
        <v>2025</v>
      </c>
      <c r="D1101" s="36">
        <v>45849.956435185188</v>
      </c>
      <c r="E1101" s="37" t="s">
        <v>1057</v>
      </c>
      <c r="F1101" s="37" t="s">
        <v>4219</v>
      </c>
      <c r="G1101" s="37" t="s">
        <v>4220</v>
      </c>
      <c r="H1101" s="35" t="s">
        <v>3419</v>
      </c>
      <c r="I1101" s="35" t="s">
        <v>3416</v>
      </c>
      <c r="J1101" s="38">
        <v>39.93</v>
      </c>
      <c r="K1101" s="35">
        <v>1</v>
      </c>
      <c r="L1101" s="38">
        <f t="shared" si="17"/>
        <v>39.93</v>
      </c>
      <c r="M1101" s="35" t="s">
        <v>11</v>
      </c>
      <c r="N1101" s="38"/>
      <c r="O1101" s="35" t="s">
        <v>12</v>
      </c>
    </row>
    <row r="1102" spans="1:15" ht="30" x14ac:dyDescent="0.25">
      <c r="A1102" s="35">
        <v>1220228340</v>
      </c>
      <c r="B1102" s="35" t="s">
        <v>4199</v>
      </c>
      <c r="C1102" s="35">
        <v>2025</v>
      </c>
      <c r="D1102" s="36">
        <v>45848.90347222222</v>
      </c>
      <c r="E1102" s="37" t="s">
        <v>1060</v>
      </c>
      <c r="F1102" s="37" t="s">
        <v>3727</v>
      </c>
      <c r="G1102" s="37" t="s">
        <v>3942</v>
      </c>
      <c r="H1102" s="35" t="s">
        <v>3419</v>
      </c>
      <c r="I1102" s="35" t="s">
        <v>3416</v>
      </c>
      <c r="J1102" s="38">
        <v>3.83</v>
      </c>
      <c r="K1102" s="35">
        <v>1</v>
      </c>
      <c r="L1102" s="38">
        <f t="shared" si="17"/>
        <v>3.83</v>
      </c>
      <c r="M1102" s="35" t="s">
        <v>11</v>
      </c>
      <c r="N1102" s="38"/>
      <c r="O1102" s="35" t="s">
        <v>12</v>
      </c>
    </row>
    <row r="1103" spans="1:15" x14ac:dyDescent="0.25">
      <c r="A1103" s="35">
        <v>1220181697</v>
      </c>
      <c r="B1103" s="35" t="s">
        <v>4199</v>
      </c>
      <c r="C1103" s="35">
        <v>2025</v>
      </c>
      <c r="D1103" s="36">
        <v>45848.90347222222</v>
      </c>
      <c r="E1103" s="37" t="s">
        <v>1063</v>
      </c>
      <c r="F1103" s="37" t="s">
        <v>4221</v>
      </c>
      <c r="G1103" s="37" t="s">
        <v>3630</v>
      </c>
      <c r="H1103" s="35" t="s">
        <v>3419</v>
      </c>
      <c r="I1103" s="35" t="s">
        <v>3416</v>
      </c>
      <c r="J1103" s="38">
        <v>16.954999999999998</v>
      </c>
      <c r="K1103" s="35">
        <v>2</v>
      </c>
      <c r="L1103" s="38">
        <f t="shared" si="17"/>
        <v>33.909999999999997</v>
      </c>
      <c r="M1103" s="35" t="s">
        <v>11</v>
      </c>
      <c r="N1103" s="38"/>
      <c r="O1103" s="35" t="s">
        <v>12</v>
      </c>
    </row>
    <row r="1104" spans="1:15" x14ac:dyDescent="0.25">
      <c r="A1104" s="35">
        <v>1220180784</v>
      </c>
      <c r="B1104" s="35" t="s">
        <v>4199</v>
      </c>
      <c r="C1104" s="35">
        <v>2025</v>
      </c>
      <c r="D1104" s="36">
        <v>45848.90347222222</v>
      </c>
      <c r="E1104" s="37" t="s">
        <v>758</v>
      </c>
      <c r="F1104" s="37" t="s">
        <v>4222</v>
      </c>
      <c r="G1104" s="37" t="s">
        <v>4223</v>
      </c>
      <c r="H1104" s="35" t="s">
        <v>3419</v>
      </c>
      <c r="I1104" s="35" t="s">
        <v>3416</v>
      </c>
      <c r="J1104" s="38">
        <v>4.6550000000000002</v>
      </c>
      <c r="K1104" s="35">
        <v>2</v>
      </c>
      <c r="L1104" s="38">
        <f t="shared" si="17"/>
        <v>9.31</v>
      </c>
      <c r="M1104" s="35" t="s">
        <v>11</v>
      </c>
      <c r="N1104" s="38"/>
      <c r="O1104" s="35" t="s">
        <v>12</v>
      </c>
    </row>
    <row r="1105" spans="1:15" ht="30" x14ac:dyDescent="0.25">
      <c r="A1105" s="35" t="s">
        <v>1065</v>
      </c>
      <c r="B1105" s="35" t="s">
        <v>4199</v>
      </c>
      <c r="C1105" s="35">
        <v>2025</v>
      </c>
      <c r="D1105" s="36">
        <v>45846</v>
      </c>
      <c r="E1105" s="37" t="s">
        <v>1066</v>
      </c>
      <c r="F1105" s="37" t="s">
        <v>4224</v>
      </c>
      <c r="G1105" s="37" t="s">
        <v>3942</v>
      </c>
      <c r="H1105" s="35" t="s">
        <v>3419</v>
      </c>
      <c r="I1105" s="35" t="s">
        <v>3416</v>
      </c>
      <c r="J1105" s="38">
        <v>85</v>
      </c>
      <c r="K1105" s="35">
        <v>1</v>
      </c>
      <c r="L1105" s="38">
        <f t="shared" si="17"/>
        <v>85</v>
      </c>
      <c r="M1105" s="35" t="s">
        <v>11</v>
      </c>
      <c r="N1105" s="38"/>
      <c r="O1105" s="35" t="s">
        <v>12</v>
      </c>
    </row>
    <row r="1106" spans="1:15" x14ac:dyDescent="0.25">
      <c r="A1106" s="35">
        <v>1219230739</v>
      </c>
      <c r="B1106" s="35" t="s">
        <v>4199</v>
      </c>
      <c r="C1106" s="35">
        <v>2025</v>
      </c>
      <c r="D1106" s="36">
        <v>45842.626493055563</v>
      </c>
      <c r="E1106" s="37" t="s">
        <v>1073</v>
      </c>
      <c r="F1106" s="37" t="s">
        <v>4235</v>
      </c>
      <c r="G1106" s="37" t="s">
        <v>4236</v>
      </c>
      <c r="H1106" s="35" t="s">
        <v>3419</v>
      </c>
      <c r="I1106" s="35" t="s">
        <v>3416</v>
      </c>
      <c r="J1106" s="38">
        <v>3.48</v>
      </c>
      <c r="K1106" s="35">
        <v>1</v>
      </c>
      <c r="L1106" s="38">
        <f t="shared" si="17"/>
        <v>3.48</v>
      </c>
      <c r="M1106" s="35" t="s">
        <v>11</v>
      </c>
      <c r="N1106" s="38"/>
      <c r="O1106" s="35" t="s">
        <v>12</v>
      </c>
    </row>
    <row r="1107" spans="1:15" x14ac:dyDescent="0.25">
      <c r="A1107" s="35">
        <v>1219230717</v>
      </c>
      <c r="B1107" s="35" t="s">
        <v>4199</v>
      </c>
      <c r="C1107" s="35">
        <v>2025</v>
      </c>
      <c r="D1107" s="36">
        <v>45842.626493055563</v>
      </c>
      <c r="E1107" s="37" t="s">
        <v>294</v>
      </c>
      <c r="F1107" s="37" t="s">
        <v>4235</v>
      </c>
      <c r="G1107" s="37" t="s">
        <v>4236</v>
      </c>
      <c r="H1107" s="35" t="s">
        <v>3419</v>
      </c>
      <c r="I1107" s="35" t="s">
        <v>3416</v>
      </c>
      <c r="J1107" s="38">
        <v>4.3933333333333344</v>
      </c>
      <c r="K1107" s="35">
        <v>3</v>
      </c>
      <c r="L1107" s="38">
        <f t="shared" si="17"/>
        <v>13.180000000000003</v>
      </c>
      <c r="M1107" s="35" t="s">
        <v>11</v>
      </c>
      <c r="N1107" s="38"/>
      <c r="O1107" s="35" t="s">
        <v>12</v>
      </c>
    </row>
    <row r="1108" spans="1:15" x14ac:dyDescent="0.25">
      <c r="A1108" s="35">
        <v>1219222787</v>
      </c>
      <c r="B1108" s="35" t="s">
        <v>4199</v>
      </c>
      <c r="C1108" s="35">
        <v>2025</v>
      </c>
      <c r="D1108" s="36">
        <v>45842.626493055563</v>
      </c>
      <c r="E1108" s="37" t="s">
        <v>237</v>
      </c>
      <c r="F1108" s="37" t="s">
        <v>4237</v>
      </c>
      <c r="G1108" s="37" t="s">
        <v>3729</v>
      </c>
      <c r="H1108" s="35" t="s">
        <v>3419</v>
      </c>
      <c r="I1108" s="35" t="s">
        <v>3416</v>
      </c>
      <c r="J1108" s="38">
        <v>2.6074154589371981</v>
      </c>
      <c r="K1108" s="35">
        <v>2</v>
      </c>
      <c r="L1108" s="38">
        <f t="shared" si="17"/>
        <v>5.2148309178743961</v>
      </c>
      <c r="M1108" s="35" t="s">
        <v>11</v>
      </c>
      <c r="N1108" s="38"/>
      <c r="O1108" s="35" t="s">
        <v>12</v>
      </c>
    </row>
    <row r="1109" spans="1:15" x14ac:dyDescent="0.25">
      <c r="A1109" s="35">
        <v>1219222787</v>
      </c>
      <c r="B1109" s="35" t="s">
        <v>4199</v>
      </c>
      <c r="C1109" s="35">
        <v>2025</v>
      </c>
      <c r="D1109" s="36">
        <v>45842.626493055563</v>
      </c>
      <c r="E1109" s="37" t="s">
        <v>237</v>
      </c>
      <c r="F1109" s="37" t="s">
        <v>4234</v>
      </c>
      <c r="G1109" s="37" t="s">
        <v>3628</v>
      </c>
      <c r="H1109" s="35" t="s">
        <v>3415</v>
      </c>
      <c r="I1109" s="35" t="s">
        <v>3416</v>
      </c>
      <c r="J1109" s="38">
        <v>4.2037922705314008</v>
      </c>
      <c r="K1109" s="35">
        <v>4</v>
      </c>
      <c r="L1109" s="38">
        <f t="shared" si="17"/>
        <v>16.815169082125603</v>
      </c>
      <c r="M1109" s="35" t="s">
        <v>11</v>
      </c>
      <c r="N1109" s="38"/>
      <c r="O1109" s="35" t="s">
        <v>12</v>
      </c>
    </row>
    <row r="1110" spans="1:15" x14ac:dyDescent="0.25">
      <c r="A1110" s="35">
        <v>1219054032</v>
      </c>
      <c r="B1110" s="35" t="s">
        <v>4199</v>
      </c>
      <c r="C1110" s="35">
        <v>2025</v>
      </c>
      <c r="D1110" s="36">
        <v>45841.525983796288</v>
      </c>
      <c r="E1110" s="37" t="s">
        <v>1079</v>
      </c>
      <c r="F1110" s="37" t="s">
        <v>4238</v>
      </c>
      <c r="G1110" s="37" t="s">
        <v>3879</v>
      </c>
      <c r="H1110" s="35" t="s">
        <v>3415</v>
      </c>
      <c r="I1110" s="35" t="s">
        <v>3416</v>
      </c>
      <c r="J1110" s="38">
        <v>7.9325000000000001</v>
      </c>
      <c r="K1110" s="35">
        <v>4</v>
      </c>
      <c r="L1110" s="38">
        <f t="shared" si="17"/>
        <v>31.73</v>
      </c>
      <c r="M1110" s="35" t="s">
        <v>11</v>
      </c>
      <c r="N1110" s="38"/>
      <c r="O1110" s="35" t="s">
        <v>12</v>
      </c>
    </row>
    <row r="1111" spans="1:15" x14ac:dyDescent="0.25">
      <c r="A1111" s="35">
        <v>1219053120</v>
      </c>
      <c r="B1111" s="35" t="s">
        <v>4199</v>
      </c>
      <c r="C1111" s="35">
        <v>2025</v>
      </c>
      <c r="D1111" s="36">
        <v>45841.520694444444</v>
      </c>
      <c r="E1111" s="37" t="s">
        <v>882</v>
      </c>
      <c r="F1111" s="37" t="s">
        <v>3749</v>
      </c>
      <c r="G1111" s="37" t="s">
        <v>3733</v>
      </c>
      <c r="H1111" s="35" t="s">
        <v>3415</v>
      </c>
      <c r="I1111" s="35" t="s">
        <v>3416</v>
      </c>
      <c r="J1111" s="38">
        <v>7.9824999999999999</v>
      </c>
      <c r="K1111" s="35">
        <v>4</v>
      </c>
      <c r="L1111" s="38">
        <f t="shared" si="17"/>
        <v>31.93</v>
      </c>
      <c r="M1111" s="35" t="s">
        <v>11</v>
      </c>
      <c r="N1111" s="38"/>
      <c r="O1111" s="35" t="s">
        <v>12</v>
      </c>
    </row>
    <row r="1112" spans="1:15" x14ac:dyDescent="0.25">
      <c r="A1112" s="35">
        <v>1219048667</v>
      </c>
      <c r="B1112" s="35" t="s">
        <v>4199</v>
      </c>
      <c r="C1112" s="35">
        <v>2025</v>
      </c>
      <c r="D1112" s="36">
        <v>45841.519583333327</v>
      </c>
      <c r="E1112" s="37" t="s">
        <v>469</v>
      </c>
      <c r="F1112" s="37" t="s">
        <v>3784</v>
      </c>
      <c r="G1112" s="37" t="s">
        <v>3694</v>
      </c>
      <c r="H1112" s="35" t="s">
        <v>3419</v>
      </c>
      <c r="I1112" s="35" t="s">
        <v>3453</v>
      </c>
      <c r="J1112" s="38">
        <v>9.1550000000000011</v>
      </c>
      <c r="K1112" s="35">
        <v>2</v>
      </c>
      <c r="L1112" s="38">
        <f t="shared" si="17"/>
        <v>18.310000000000002</v>
      </c>
      <c r="M1112" s="35" t="s">
        <v>11</v>
      </c>
      <c r="N1112" s="38"/>
      <c r="O1112" s="35" t="s">
        <v>12</v>
      </c>
    </row>
    <row r="1113" spans="1:15" x14ac:dyDescent="0.25">
      <c r="A1113" s="35">
        <v>1219047398</v>
      </c>
      <c r="B1113" s="35" t="s">
        <v>4199</v>
      </c>
      <c r="C1113" s="35">
        <v>2025</v>
      </c>
      <c r="D1113" s="36">
        <v>45841.519583333327</v>
      </c>
      <c r="E1113" s="37" t="s">
        <v>1082</v>
      </c>
      <c r="F1113" s="37" t="s">
        <v>4239</v>
      </c>
      <c r="G1113" s="37" t="s">
        <v>3714</v>
      </c>
      <c r="H1113" s="35" t="s">
        <v>3419</v>
      </c>
      <c r="I1113" s="35" t="s">
        <v>3416</v>
      </c>
      <c r="J1113" s="38">
        <v>16.329999999999998</v>
      </c>
      <c r="K1113" s="35">
        <v>1</v>
      </c>
      <c r="L1113" s="38">
        <f t="shared" si="17"/>
        <v>16.329999999999998</v>
      </c>
      <c r="M1113" s="35" t="s">
        <v>11</v>
      </c>
      <c r="N1113" s="38"/>
      <c r="O1113" s="35" t="s">
        <v>12</v>
      </c>
    </row>
    <row r="1114" spans="1:15" x14ac:dyDescent="0.25">
      <c r="A1114" s="35">
        <v>1219047393</v>
      </c>
      <c r="B1114" s="35" t="s">
        <v>4199</v>
      </c>
      <c r="C1114" s="35">
        <v>2025</v>
      </c>
      <c r="D1114" s="36">
        <v>45841.519583333327</v>
      </c>
      <c r="E1114" s="37" t="s">
        <v>1084</v>
      </c>
      <c r="F1114" s="37" t="s">
        <v>4239</v>
      </c>
      <c r="G1114" s="37" t="s">
        <v>3714</v>
      </c>
      <c r="H1114" s="35" t="s">
        <v>3419</v>
      </c>
      <c r="I1114" s="35" t="s">
        <v>3416</v>
      </c>
      <c r="J1114" s="38">
        <v>15.26</v>
      </c>
      <c r="K1114" s="35">
        <v>1</v>
      </c>
      <c r="L1114" s="38">
        <f t="shared" si="17"/>
        <v>15.26</v>
      </c>
      <c r="M1114" s="35" t="s">
        <v>11</v>
      </c>
      <c r="N1114" s="38"/>
      <c r="O1114" s="35" t="s">
        <v>12</v>
      </c>
    </row>
    <row r="1115" spans="1:15" x14ac:dyDescent="0.25">
      <c r="A1115" s="35">
        <v>1219045366</v>
      </c>
      <c r="B1115" s="35" t="s">
        <v>4199</v>
      </c>
      <c r="C1115" s="35">
        <v>2025</v>
      </c>
      <c r="D1115" s="36">
        <v>45841.519583333327</v>
      </c>
      <c r="E1115" s="37" t="s">
        <v>1086</v>
      </c>
      <c r="F1115" s="37" t="s">
        <v>4240</v>
      </c>
      <c r="G1115" s="37" t="s">
        <v>3694</v>
      </c>
      <c r="H1115" s="35" t="s">
        <v>3419</v>
      </c>
      <c r="I1115" s="35" t="s">
        <v>3416</v>
      </c>
      <c r="J1115" s="38">
        <v>8.1650000000000009</v>
      </c>
      <c r="K1115" s="35">
        <v>2</v>
      </c>
      <c r="L1115" s="38">
        <f t="shared" si="17"/>
        <v>16.330000000000002</v>
      </c>
      <c r="M1115" s="35" t="s">
        <v>11</v>
      </c>
      <c r="N1115" s="38"/>
      <c r="O1115" s="35" t="s">
        <v>12</v>
      </c>
    </row>
    <row r="1116" spans="1:15" x14ac:dyDescent="0.25">
      <c r="A1116" s="35">
        <v>1219042917</v>
      </c>
      <c r="B1116" s="35" t="s">
        <v>4199</v>
      </c>
      <c r="C1116" s="35">
        <v>2025</v>
      </c>
      <c r="D1116" s="36">
        <v>45841.519583333327</v>
      </c>
      <c r="E1116" s="37" t="s">
        <v>181</v>
      </c>
      <c r="F1116" s="37" t="s">
        <v>4241</v>
      </c>
      <c r="G1116" s="37" t="s">
        <v>4242</v>
      </c>
      <c r="H1116" s="35" t="s">
        <v>3419</v>
      </c>
      <c r="I1116" s="35" t="s">
        <v>3416</v>
      </c>
      <c r="J1116" s="38">
        <v>1.9688058642705131</v>
      </c>
      <c r="K1116" s="35">
        <v>1</v>
      </c>
      <c r="L1116" s="38">
        <f t="shared" si="17"/>
        <v>1.9688058642705131</v>
      </c>
      <c r="M1116" s="35" t="s">
        <v>11</v>
      </c>
      <c r="N1116" s="38"/>
      <c r="O1116" s="35" t="s">
        <v>12</v>
      </c>
    </row>
    <row r="1117" spans="1:15" x14ac:dyDescent="0.25">
      <c r="A1117" s="35">
        <v>1219042917</v>
      </c>
      <c r="B1117" s="35" t="s">
        <v>4199</v>
      </c>
      <c r="C1117" s="35">
        <v>2025</v>
      </c>
      <c r="D1117" s="36">
        <v>45841.519583333327</v>
      </c>
      <c r="E1117" s="37" t="s">
        <v>181</v>
      </c>
      <c r="F1117" s="37" t="s">
        <v>4243</v>
      </c>
      <c r="G1117" s="37" t="s">
        <v>3687</v>
      </c>
      <c r="H1117" s="35" t="s">
        <v>3415</v>
      </c>
      <c r="I1117" s="35" t="s">
        <v>3416</v>
      </c>
      <c r="J1117" s="38">
        <v>0.25583353038543388</v>
      </c>
      <c r="K1117" s="35">
        <v>4</v>
      </c>
      <c r="L1117" s="38">
        <f t="shared" si="17"/>
        <v>1.0233341215417355</v>
      </c>
      <c r="M1117" s="35" t="s">
        <v>11</v>
      </c>
      <c r="N1117" s="38"/>
      <c r="O1117" s="35" t="s">
        <v>12</v>
      </c>
    </row>
    <row r="1118" spans="1:15" x14ac:dyDescent="0.25">
      <c r="A1118" s="35">
        <v>1219042917</v>
      </c>
      <c r="B1118" s="35" t="s">
        <v>4199</v>
      </c>
      <c r="C1118" s="35">
        <v>2025</v>
      </c>
      <c r="D1118" s="36">
        <v>45841.519583333327</v>
      </c>
      <c r="E1118" s="37" t="s">
        <v>181</v>
      </c>
      <c r="F1118" s="37" t="s">
        <v>3896</v>
      </c>
      <c r="G1118" s="37" t="s">
        <v>3733</v>
      </c>
      <c r="H1118" s="35" t="s">
        <v>3415</v>
      </c>
      <c r="I1118" s="35" t="s">
        <v>3416</v>
      </c>
      <c r="J1118" s="38">
        <v>11.011965003546941</v>
      </c>
      <c r="K1118" s="35">
        <v>4</v>
      </c>
      <c r="L1118" s="38">
        <f t="shared" si="17"/>
        <v>44.047860014187762</v>
      </c>
      <c r="M1118" s="35" t="s">
        <v>11</v>
      </c>
      <c r="N1118" s="38"/>
      <c r="O1118" s="35" t="s">
        <v>12</v>
      </c>
    </row>
    <row r="1119" spans="1:15" x14ac:dyDescent="0.25">
      <c r="A1119" s="35">
        <v>1219042809</v>
      </c>
      <c r="B1119" s="35" t="s">
        <v>4199</v>
      </c>
      <c r="C1119" s="35">
        <v>2025</v>
      </c>
      <c r="D1119" s="36">
        <v>45841.519583333327</v>
      </c>
      <c r="E1119" s="37" t="s">
        <v>1089</v>
      </c>
      <c r="F1119" s="37" t="s">
        <v>4244</v>
      </c>
      <c r="G1119" s="37" t="s">
        <v>3714</v>
      </c>
      <c r="H1119" s="35" t="s">
        <v>3415</v>
      </c>
      <c r="I1119" s="35" t="s">
        <v>3416</v>
      </c>
      <c r="J1119" s="38">
        <v>4.7825000000000006</v>
      </c>
      <c r="K1119" s="35">
        <v>4</v>
      </c>
      <c r="L1119" s="38">
        <f t="shared" si="17"/>
        <v>19.130000000000003</v>
      </c>
      <c r="M1119" s="35" t="s">
        <v>11</v>
      </c>
      <c r="N1119" s="38"/>
      <c r="O1119" s="35" t="s">
        <v>12</v>
      </c>
    </row>
    <row r="1120" spans="1:15" ht="30" x14ac:dyDescent="0.25">
      <c r="A1120" s="35">
        <v>1218844710</v>
      </c>
      <c r="B1120" s="35" t="s">
        <v>4199</v>
      </c>
      <c r="C1120" s="35">
        <v>2025</v>
      </c>
      <c r="D1120" s="36">
        <v>45840.282685185193</v>
      </c>
      <c r="E1120" s="37" t="s">
        <v>1091</v>
      </c>
      <c r="F1120" s="37" t="s">
        <v>4245</v>
      </c>
      <c r="G1120" s="37" t="s">
        <v>3942</v>
      </c>
      <c r="H1120" s="35" t="s">
        <v>3419</v>
      </c>
      <c r="I1120" s="35" t="s">
        <v>3416</v>
      </c>
      <c r="J1120" s="38">
        <v>1.1048952879581151</v>
      </c>
      <c r="K1120" s="35">
        <v>1</v>
      </c>
      <c r="L1120" s="38">
        <f t="shared" si="17"/>
        <v>1.1048952879581151</v>
      </c>
      <c r="M1120" s="35" t="s">
        <v>11</v>
      </c>
      <c r="N1120" s="38"/>
      <c r="O1120" s="35" t="s">
        <v>12</v>
      </c>
    </row>
    <row r="1121" spans="1:15" x14ac:dyDescent="0.25">
      <c r="A1121" s="35">
        <v>1218844710</v>
      </c>
      <c r="B1121" s="35" t="s">
        <v>4199</v>
      </c>
      <c r="C1121" s="35">
        <v>2025</v>
      </c>
      <c r="D1121" s="36">
        <v>45840.282685185193</v>
      </c>
      <c r="E1121" s="37" t="s">
        <v>1091</v>
      </c>
      <c r="F1121" s="37" t="s">
        <v>3924</v>
      </c>
      <c r="G1121" s="37" t="s">
        <v>3925</v>
      </c>
      <c r="H1121" s="35" t="s">
        <v>3419</v>
      </c>
      <c r="I1121" s="35" t="s">
        <v>3416</v>
      </c>
      <c r="J1121" s="38">
        <v>3.8950349040139618</v>
      </c>
      <c r="K1121" s="35">
        <v>3</v>
      </c>
      <c r="L1121" s="38">
        <f t="shared" si="17"/>
        <v>11.685104712041886</v>
      </c>
      <c r="M1121" s="35" t="s">
        <v>11</v>
      </c>
      <c r="N1121" s="38"/>
      <c r="O1121" s="35" t="s">
        <v>12</v>
      </c>
    </row>
    <row r="1122" spans="1:15" x14ac:dyDescent="0.25">
      <c r="A1122" s="35">
        <v>1218844466</v>
      </c>
      <c r="B1122" s="35" t="s">
        <v>4199</v>
      </c>
      <c r="C1122" s="35">
        <v>2025</v>
      </c>
      <c r="D1122" s="36">
        <v>45840.282685185193</v>
      </c>
      <c r="E1122" s="37" t="s">
        <v>1094</v>
      </c>
      <c r="F1122" s="37" t="s">
        <v>4246</v>
      </c>
      <c r="G1122" s="37" t="s">
        <v>3729</v>
      </c>
      <c r="H1122" s="35" t="s">
        <v>3415</v>
      </c>
      <c r="I1122" s="35" t="s">
        <v>3416</v>
      </c>
      <c r="J1122" s="38">
        <v>0.78249999999999997</v>
      </c>
      <c r="K1122" s="35">
        <v>4</v>
      </c>
      <c r="L1122" s="38">
        <f t="shared" si="17"/>
        <v>3.13</v>
      </c>
      <c r="M1122" s="35" t="s">
        <v>11</v>
      </c>
      <c r="N1122" s="38"/>
      <c r="O1122" s="35" t="s">
        <v>12</v>
      </c>
    </row>
    <row r="1123" spans="1:15" x14ac:dyDescent="0.25">
      <c r="A1123" s="35">
        <v>1218815371</v>
      </c>
      <c r="B1123" s="35" t="s">
        <v>4199</v>
      </c>
      <c r="C1123" s="35">
        <v>2025</v>
      </c>
      <c r="D1123" s="36">
        <v>45840.282685185193</v>
      </c>
      <c r="E1123" s="37" t="s">
        <v>978</v>
      </c>
      <c r="F1123" s="37" t="s">
        <v>4247</v>
      </c>
      <c r="G1123" s="37" t="s">
        <v>3628</v>
      </c>
      <c r="H1123" s="35" t="s">
        <v>3419</v>
      </c>
      <c r="I1123" s="35" t="s">
        <v>3416</v>
      </c>
      <c r="J1123" s="38">
        <v>0.54</v>
      </c>
      <c r="K1123" s="35">
        <v>2</v>
      </c>
      <c r="L1123" s="38">
        <f t="shared" si="17"/>
        <v>1.08</v>
      </c>
      <c r="M1123" s="35" t="s">
        <v>11</v>
      </c>
      <c r="N1123" s="38"/>
      <c r="O1123" s="35" t="s">
        <v>12</v>
      </c>
    </row>
    <row r="1124" spans="1:15" x14ac:dyDescent="0.25">
      <c r="A1124" s="35">
        <v>1218815371</v>
      </c>
      <c r="B1124" s="35" t="s">
        <v>4199</v>
      </c>
      <c r="C1124" s="35">
        <v>2025</v>
      </c>
      <c r="D1124" s="36">
        <v>45840.282685185193</v>
      </c>
      <c r="E1124" s="37" t="s">
        <v>978</v>
      </c>
      <c r="F1124" s="37" t="s">
        <v>4248</v>
      </c>
      <c r="G1124" s="37" t="s">
        <v>3694</v>
      </c>
      <c r="H1124" s="35" t="s">
        <v>3419</v>
      </c>
      <c r="I1124" s="35" t="s">
        <v>3416</v>
      </c>
      <c r="J1124" s="38">
        <v>1.35</v>
      </c>
      <c r="K1124" s="35">
        <v>2</v>
      </c>
      <c r="L1124" s="38">
        <f t="shared" si="17"/>
        <v>2.7</v>
      </c>
      <c r="M1124" s="35" t="s">
        <v>11</v>
      </c>
      <c r="N1124" s="38"/>
      <c r="O1124" s="35" t="s">
        <v>12</v>
      </c>
    </row>
    <row r="1125" spans="1:15" x14ac:dyDescent="0.25">
      <c r="A1125" s="35">
        <v>1218815371</v>
      </c>
      <c r="B1125" s="35" t="s">
        <v>4199</v>
      </c>
      <c r="C1125" s="35">
        <v>2025</v>
      </c>
      <c r="D1125" s="36">
        <v>45840.282685185193</v>
      </c>
      <c r="E1125" s="37" t="s">
        <v>978</v>
      </c>
      <c r="F1125" s="37" t="s">
        <v>4249</v>
      </c>
      <c r="G1125" s="37" t="s">
        <v>3628</v>
      </c>
      <c r="H1125" s="35" t="s">
        <v>3415</v>
      </c>
      <c r="I1125" s="35" t="s">
        <v>3416</v>
      </c>
      <c r="J1125" s="38">
        <v>0.40500000000000003</v>
      </c>
      <c r="K1125" s="35">
        <v>4</v>
      </c>
      <c r="L1125" s="38">
        <f t="shared" si="17"/>
        <v>1.62</v>
      </c>
      <c r="M1125" s="35" t="s">
        <v>11</v>
      </c>
      <c r="N1125" s="38"/>
      <c r="O1125" s="35" t="s">
        <v>12</v>
      </c>
    </row>
    <row r="1126" spans="1:15" x14ac:dyDescent="0.25">
      <c r="A1126" s="35">
        <v>1218815371</v>
      </c>
      <c r="B1126" s="35" t="s">
        <v>4199</v>
      </c>
      <c r="C1126" s="35">
        <v>2025</v>
      </c>
      <c r="D1126" s="36">
        <v>45840.282685185193</v>
      </c>
      <c r="E1126" s="37" t="s">
        <v>978</v>
      </c>
      <c r="F1126" s="37" t="s">
        <v>4250</v>
      </c>
      <c r="G1126" s="37" t="s">
        <v>4077</v>
      </c>
      <c r="H1126" s="35" t="s">
        <v>3415</v>
      </c>
      <c r="I1126" s="35" t="s">
        <v>3416</v>
      </c>
      <c r="J1126" s="38">
        <v>0.13500000000000001</v>
      </c>
      <c r="K1126" s="35">
        <v>4</v>
      </c>
      <c r="L1126" s="38">
        <f t="shared" si="17"/>
        <v>0.54</v>
      </c>
      <c r="M1126" s="35" t="s">
        <v>11</v>
      </c>
      <c r="N1126" s="38"/>
      <c r="O1126" s="35" t="s">
        <v>12</v>
      </c>
    </row>
    <row r="1127" spans="1:15" x14ac:dyDescent="0.25">
      <c r="A1127" s="35">
        <v>1218815371</v>
      </c>
      <c r="B1127" s="35" t="s">
        <v>4199</v>
      </c>
      <c r="C1127" s="35">
        <v>2025</v>
      </c>
      <c r="D1127" s="36">
        <v>45840.282685185193</v>
      </c>
      <c r="E1127" s="37" t="s">
        <v>978</v>
      </c>
      <c r="F1127" s="37" t="s">
        <v>4251</v>
      </c>
      <c r="G1127" s="37" t="s">
        <v>3628</v>
      </c>
      <c r="H1127" s="35" t="s">
        <v>3415</v>
      </c>
      <c r="I1127" s="35" t="s">
        <v>3416</v>
      </c>
      <c r="J1127" s="38">
        <v>0.20250000000000001</v>
      </c>
      <c r="K1127" s="35">
        <v>4</v>
      </c>
      <c r="L1127" s="38">
        <f t="shared" si="17"/>
        <v>0.81</v>
      </c>
      <c r="M1127" s="35" t="s">
        <v>11</v>
      </c>
      <c r="N1127" s="38"/>
      <c r="O1127" s="35" t="s">
        <v>12</v>
      </c>
    </row>
    <row r="1128" spans="1:15" x14ac:dyDescent="0.25">
      <c r="A1128" s="35">
        <v>1218815371</v>
      </c>
      <c r="B1128" s="35" t="s">
        <v>4199</v>
      </c>
      <c r="C1128" s="35">
        <v>2025</v>
      </c>
      <c r="D1128" s="36">
        <v>45840.282685185193</v>
      </c>
      <c r="E1128" s="37" t="s">
        <v>978</v>
      </c>
      <c r="F1128" s="37" t="s">
        <v>4252</v>
      </c>
      <c r="G1128" s="37" t="s">
        <v>3687</v>
      </c>
      <c r="H1128" s="35" t="s">
        <v>3419</v>
      </c>
      <c r="I1128" s="35" t="s">
        <v>3416</v>
      </c>
      <c r="J1128" s="38">
        <v>0.67500000000000004</v>
      </c>
      <c r="K1128" s="35">
        <v>2</v>
      </c>
      <c r="L1128" s="38">
        <f t="shared" si="17"/>
        <v>1.35</v>
      </c>
      <c r="M1128" s="35" t="s">
        <v>11</v>
      </c>
      <c r="N1128" s="38"/>
      <c r="O1128" s="35" t="s">
        <v>12</v>
      </c>
    </row>
    <row r="1129" spans="1:15" x14ac:dyDescent="0.25">
      <c r="A1129" s="35">
        <v>1218815145</v>
      </c>
      <c r="B1129" s="35" t="s">
        <v>4199</v>
      </c>
      <c r="C1129" s="35">
        <v>2025</v>
      </c>
      <c r="D1129" s="36">
        <v>45840.282685185193</v>
      </c>
      <c r="E1129" s="37" t="s">
        <v>8</v>
      </c>
      <c r="F1129" s="37" t="s">
        <v>4253</v>
      </c>
      <c r="G1129" s="37" t="s">
        <v>3687</v>
      </c>
      <c r="H1129" s="35" t="s">
        <v>3419</v>
      </c>
      <c r="I1129" s="35" t="s">
        <v>3416</v>
      </c>
      <c r="J1129" s="38">
        <v>1.44</v>
      </c>
      <c r="K1129" s="35">
        <v>2</v>
      </c>
      <c r="L1129" s="38">
        <f t="shared" si="17"/>
        <v>2.88</v>
      </c>
      <c r="M1129" s="42" t="s">
        <v>11</v>
      </c>
      <c r="N1129" s="38"/>
      <c r="O1129" s="35" t="s">
        <v>12</v>
      </c>
    </row>
    <row r="1130" spans="1:15" x14ac:dyDescent="0.25">
      <c r="A1130" s="35">
        <v>1218815145</v>
      </c>
      <c r="B1130" s="35" t="s">
        <v>4199</v>
      </c>
      <c r="C1130" s="35">
        <v>2025</v>
      </c>
      <c r="D1130" s="36">
        <v>45840.282685185193</v>
      </c>
      <c r="E1130" s="37" t="s">
        <v>8</v>
      </c>
      <c r="F1130" s="37" t="s">
        <v>3711</v>
      </c>
      <c r="G1130" s="37" t="s">
        <v>3712</v>
      </c>
      <c r="H1130" s="35" t="s">
        <v>3419</v>
      </c>
      <c r="I1130" s="35" t="s">
        <v>3416</v>
      </c>
      <c r="J1130" s="38">
        <v>0.5</v>
      </c>
      <c r="K1130" s="35">
        <v>1</v>
      </c>
      <c r="L1130" s="38">
        <f t="shared" si="17"/>
        <v>0.5</v>
      </c>
      <c r="M1130" s="42" t="s">
        <v>11</v>
      </c>
      <c r="N1130" s="38"/>
      <c r="O1130" s="35" t="s">
        <v>12</v>
      </c>
    </row>
    <row r="1131" spans="1:15" x14ac:dyDescent="0.25">
      <c r="A1131" s="35">
        <v>1218815145</v>
      </c>
      <c r="B1131" s="35" t="s">
        <v>4199</v>
      </c>
      <c r="C1131" s="35">
        <v>2025</v>
      </c>
      <c r="D1131" s="36">
        <v>45840.282685185193</v>
      </c>
      <c r="E1131" s="37" t="s">
        <v>8</v>
      </c>
      <c r="F1131" s="37" t="s">
        <v>3711</v>
      </c>
      <c r="G1131" s="37" t="s">
        <v>3712</v>
      </c>
      <c r="H1131" s="35" t="s">
        <v>3419</v>
      </c>
      <c r="I1131" s="35" t="s">
        <v>3416</v>
      </c>
      <c r="J1131" s="38">
        <v>0.5</v>
      </c>
      <c r="K1131" s="35">
        <v>1</v>
      </c>
      <c r="L1131" s="38">
        <f t="shared" si="17"/>
        <v>0.5</v>
      </c>
      <c r="M1131" s="42" t="s">
        <v>11</v>
      </c>
      <c r="N1131" s="38"/>
      <c r="O1131" s="35" t="s">
        <v>12</v>
      </c>
    </row>
    <row r="1132" spans="1:15" x14ac:dyDescent="0.25">
      <c r="A1132" s="35">
        <v>1218815145</v>
      </c>
      <c r="B1132" s="35" t="s">
        <v>4199</v>
      </c>
      <c r="C1132" s="35">
        <v>2025</v>
      </c>
      <c r="D1132" s="36">
        <v>45840.282685185193</v>
      </c>
      <c r="E1132" s="37" t="s">
        <v>8</v>
      </c>
      <c r="F1132" s="37" t="s">
        <v>4254</v>
      </c>
      <c r="G1132" s="37" t="s">
        <v>4012</v>
      </c>
      <c r="H1132" s="35" t="s">
        <v>3415</v>
      </c>
      <c r="I1132" s="35" t="s">
        <v>3416</v>
      </c>
      <c r="J1132" s="38">
        <v>0.08</v>
      </c>
      <c r="K1132" s="35">
        <v>4</v>
      </c>
      <c r="L1132" s="38">
        <f t="shared" si="17"/>
        <v>0.32</v>
      </c>
      <c r="M1132" s="42" t="s">
        <v>11</v>
      </c>
      <c r="N1132" s="38"/>
      <c r="O1132" s="35" t="s">
        <v>12</v>
      </c>
    </row>
    <row r="1133" spans="1:15" x14ac:dyDescent="0.25">
      <c r="A1133" s="35">
        <v>1218815145</v>
      </c>
      <c r="B1133" s="35" t="s">
        <v>4199</v>
      </c>
      <c r="C1133" s="35">
        <v>2025</v>
      </c>
      <c r="D1133" s="36">
        <v>45840.282685185193</v>
      </c>
      <c r="E1133" s="37" t="s">
        <v>8</v>
      </c>
      <c r="F1133" s="37" t="s">
        <v>4255</v>
      </c>
      <c r="G1133" s="37" t="s">
        <v>3726</v>
      </c>
      <c r="H1133" s="35" t="s">
        <v>3419</v>
      </c>
      <c r="I1133" s="35" t="s">
        <v>3416</v>
      </c>
      <c r="J1133" s="38">
        <v>0.05</v>
      </c>
      <c r="K1133" s="35">
        <v>2</v>
      </c>
      <c r="L1133" s="38">
        <f t="shared" si="17"/>
        <v>0.1</v>
      </c>
      <c r="M1133" s="42" t="s">
        <v>11</v>
      </c>
      <c r="N1133" s="38"/>
      <c r="O1133" s="35" t="s">
        <v>12</v>
      </c>
    </row>
    <row r="1134" spans="1:15" x14ac:dyDescent="0.25">
      <c r="A1134" s="35">
        <v>1218815145</v>
      </c>
      <c r="B1134" s="35" t="s">
        <v>4199</v>
      </c>
      <c r="C1134" s="35">
        <v>2025</v>
      </c>
      <c r="D1134" s="36">
        <v>45840.282685185193</v>
      </c>
      <c r="E1134" s="37" t="s">
        <v>8</v>
      </c>
      <c r="F1134" s="37" t="s">
        <v>4256</v>
      </c>
      <c r="G1134" s="37" t="s">
        <v>3925</v>
      </c>
      <c r="H1134" s="35" t="s">
        <v>3415</v>
      </c>
      <c r="I1134" s="35" t="s">
        <v>3416</v>
      </c>
      <c r="J1134" s="38">
        <v>0.05</v>
      </c>
      <c r="K1134" s="35">
        <v>4</v>
      </c>
      <c r="L1134" s="38">
        <f t="shared" si="17"/>
        <v>0.2</v>
      </c>
      <c r="M1134" s="42" t="s">
        <v>11</v>
      </c>
      <c r="N1134" s="38"/>
      <c r="O1134" s="35" t="s">
        <v>12</v>
      </c>
    </row>
    <row r="1135" spans="1:15" x14ac:dyDescent="0.25">
      <c r="A1135" s="35">
        <v>1218815145</v>
      </c>
      <c r="B1135" s="35" t="s">
        <v>4199</v>
      </c>
      <c r="C1135" s="35">
        <v>2025</v>
      </c>
      <c r="D1135" s="36">
        <v>45840.282685185193</v>
      </c>
      <c r="E1135" s="37" t="s">
        <v>8</v>
      </c>
      <c r="F1135" s="37" t="s">
        <v>4257</v>
      </c>
      <c r="G1135" s="37" t="s">
        <v>4012</v>
      </c>
      <c r="H1135" s="35" t="s">
        <v>3419</v>
      </c>
      <c r="I1135" s="35" t="s">
        <v>3416</v>
      </c>
      <c r="J1135" s="38">
        <v>0.05</v>
      </c>
      <c r="K1135" s="35">
        <v>2</v>
      </c>
      <c r="L1135" s="38">
        <f t="shared" si="17"/>
        <v>0.1</v>
      </c>
      <c r="M1135" s="42" t="s">
        <v>11</v>
      </c>
      <c r="N1135" s="38"/>
      <c r="O1135" s="35" t="s">
        <v>12</v>
      </c>
    </row>
    <row r="1136" spans="1:15" x14ac:dyDescent="0.25">
      <c r="A1136" s="35">
        <v>1218815145</v>
      </c>
      <c r="B1136" s="35" t="s">
        <v>4199</v>
      </c>
      <c r="C1136" s="35">
        <v>2025</v>
      </c>
      <c r="D1136" s="36">
        <v>45840.282685185193</v>
      </c>
      <c r="E1136" s="37" t="s">
        <v>8</v>
      </c>
      <c r="F1136" s="37" t="s">
        <v>4258</v>
      </c>
      <c r="G1136" s="37" t="s">
        <v>3628</v>
      </c>
      <c r="H1136" s="35" t="s">
        <v>3419</v>
      </c>
      <c r="I1136" s="35" t="s">
        <v>3416</v>
      </c>
      <c r="J1136" s="38">
        <v>0.5</v>
      </c>
      <c r="K1136" s="35">
        <v>2</v>
      </c>
      <c r="L1136" s="38">
        <f t="shared" si="17"/>
        <v>1</v>
      </c>
      <c r="M1136" s="42" t="s">
        <v>11</v>
      </c>
      <c r="N1136" s="38"/>
      <c r="O1136" s="35" t="s">
        <v>12</v>
      </c>
    </row>
    <row r="1137" spans="1:15" x14ac:dyDescent="0.25">
      <c r="A1137" s="35">
        <v>1218815145</v>
      </c>
      <c r="B1137" s="35" t="s">
        <v>4199</v>
      </c>
      <c r="C1137" s="35">
        <v>2025</v>
      </c>
      <c r="D1137" s="36">
        <v>45840.282685185193</v>
      </c>
      <c r="E1137" s="37" t="s">
        <v>8</v>
      </c>
      <c r="F1137" s="37" t="s">
        <v>4259</v>
      </c>
      <c r="G1137" s="37" t="s">
        <v>4012</v>
      </c>
      <c r="H1137" s="35" t="s">
        <v>3415</v>
      </c>
      <c r="I1137" s="35" t="s">
        <v>3416</v>
      </c>
      <c r="J1137" s="38">
        <v>0.19</v>
      </c>
      <c r="K1137" s="35">
        <v>4</v>
      </c>
      <c r="L1137" s="38">
        <f t="shared" si="17"/>
        <v>0.76</v>
      </c>
      <c r="M1137" s="42" t="s">
        <v>11</v>
      </c>
      <c r="N1137" s="38"/>
      <c r="O1137" s="35" t="s">
        <v>12</v>
      </c>
    </row>
    <row r="1138" spans="1:15" x14ac:dyDescent="0.25">
      <c r="A1138" s="35">
        <v>1218815145</v>
      </c>
      <c r="B1138" s="35" t="s">
        <v>4199</v>
      </c>
      <c r="C1138" s="35">
        <v>2025</v>
      </c>
      <c r="D1138" s="36">
        <v>45840.282685185193</v>
      </c>
      <c r="E1138" s="37" t="s">
        <v>8</v>
      </c>
      <c r="F1138" s="37" t="s">
        <v>3711</v>
      </c>
      <c r="G1138" s="37" t="s">
        <v>3712</v>
      </c>
      <c r="H1138" s="35" t="s">
        <v>3419</v>
      </c>
      <c r="I1138" s="35" t="s">
        <v>3416</v>
      </c>
      <c r="J1138" s="38">
        <v>0.5</v>
      </c>
      <c r="K1138" s="35">
        <v>1</v>
      </c>
      <c r="L1138" s="38">
        <f t="shared" si="17"/>
        <v>0.5</v>
      </c>
      <c r="M1138" s="42" t="s">
        <v>11</v>
      </c>
      <c r="N1138" s="38"/>
      <c r="O1138" s="35" t="s">
        <v>12</v>
      </c>
    </row>
    <row r="1139" spans="1:15" x14ac:dyDescent="0.25">
      <c r="A1139" s="35">
        <v>1218676014</v>
      </c>
      <c r="B1139" s="35" t="s">
        <v>4199</v>
      </c>
      <c r="C1139" s="35">
        <v>2025</v>
      </c>
      <c r="D1139" s="36">
        <v>45839.266805555562</v>
      </c>
      <c r="E1139" s="37" t="s">
        <v>1103</v>
      </c>
      <c r="F1139" s="37" t="s">
        <v>4260</v>
      </c>
      <c r="G1139" s="37" t="s">
        <v>3937</v>
      </c>
      <c r="H1139" s="35" t="s">
        <v>3419</v>
      </c>
      <c r="I1139" s="35" t="s">
        <v>3530</v>
      </c>
      <c r="J1139" s="38">
        <v>3.83</v>
      </c>
      <c r="K1139" s="35">
        <v>1</v>
      </c>
      <c r="L1139" s="38">
        <f t="shared" si="17"/>
        <v>3.83</v>
      </c>
      <c r="M1139" s="35" t="s">
        <v>11</v>
      </c>
      <c r="N1139" s="38"/>
      <c r="O1139" s="35" t="s">
        <v>12</v>
      </c>
    </row>
    <row r="1140" spans="1:15" x14ac:dyDescent="0.25">
      <c r="A1140" s="35">
        <v>1218675019</v>
      </c>
      <c r="B1140" s="35" t="s">
        <v>4199</v>
      </c>
      <c r="C1140" s="35">
        <v>2025</v>
      </c>
      <c r="D1140" s="36">
        <v>45839.266805555562</v>
      </c>
      <c r="E1140" s="37" t="s">
        <v>1105</v>
      </c>
      <c r="F1140" s="37" t="s">
        <v>4261</v>
      </c>
      <c r="G1140" s="37" t="s">
        <v>4262</v>
      </c>
      <c r="H1140" s="35" t="s">
        <v>3419</v>
      </c>
      <c r="I1140" s="35" t="s">
        <v>3416</v>
      </c>
      <c r="J1140" s="38">
        <v>6.9019607843137258</v>
      </c>
      <c r="K1140" s="35">
        <v>2</v>
      </c>
      <c r="L1140" s="38">
        <f t="shared" si="17"/>
        <v>13.803921568627452</v>
      </c>
      <c r="M1140" s="35" t="s">
        <v>11</v>
      </c>
      <c r="N1140" s="38"/>
      <c r="O1140" s="35" t="s">
        <v>12</v>
      </c>
    </row>
    <row r="1141" spans="1:15" ht="30" x14ac:dyDescent="0.25">
      <c r="A1141" s="35">
        <v>1218675019</v>
      </c>
      <c r="B1141" s="35" t="s">
        <v>4199</v>
      </c>
      <c r="C1141" s="35">
        <v>2025</v>
      </c>
      <c r="D1141" s="36">
        <v>45839.266805555562</v>
      </c>
      <c r="E1141" s="37" t="s">
        <v>1105</v>
      </c>
      <c r="F1141" s="37" t="s">
        <v>4263</v>
      </c>
      <c r="G1141" s="37" t="s">
        <v>4264</v>
      </c>
      <c r="H1141" s="35" t="s">
        <v>3419</v>
      </c>
      <c r="I1141" s="35" t="s">
        <v>3416</v>
      </c>
      <c r="J1141" s="38">
        <v>0.276078431372549</v>
      </c>
      <c r="K1141" s="35">
        <v>1</v>
      </c>
      <c r="L1141" s="38">
        <f t="shared" si="17"/>
        <v>0.276078431372549</v>
      </c>
      <c r="M1141" s="35" t="s">
        <v>11</v>
      </c>
      <c r="N1141" s="38"/>
      <c r="O1141" s="35" t="s">
        <v>12</v>
      </c>
    </row>
    <row r="1142" spans="1:15" x14ac:dyDescent="0.25">
      <c r="A1142" s="35">
        <v>1218530330</v>
      </c>
      <c r="B1142" s="35" t="s">
        <v>3412</v>
      </c>
      <c r="C1142" s="35">
        <v>2025</v>
      </c>
      <c r="D1142" s="36">
        <v>45838.637835648151</v>
      </c>
      <c r="E1142" s="37" t="s">
        <v>8</v>
      </c>
      <c r="F1142" s="37" t="s">
        <v>4265</v>
      </c>
      <c r="G1142" s="37" t="s">
        <v>4262</v>
      </c>
      <c r="H1142" s="35" t="s">
        <v>3419</v>
      </c>
      <c r="I1142" s="35" t="s">
        <v>3416</v>
      </c>
      <c r="J1142" s="38">
        <v>1.17</v>
      </c>
      <c r="K1142" s="35">
        <v>1</v>
      </c>
      <c r="L1142" s="38">
        <f t="shared" si="17"/>
        <v>1.17</v>
      </c>
      <c r="M1142" s="42" t="s">
        <v>11</v>
      </c>
      <c r="N1142" s="38"/>
      <c r="O1142" s="35" t="s">
        <v>12</v>
      </c>
    </row>
    <row r="1143" spans="1:15" x14ac:dyDescent="0.25">
      <c r="A1143" s="35">
        <v>1218530330</v>
      </c>
      <c r="B1143" s="35" t="s">
        <v>3412</v>
      </c>
      <c r="C1143" s="35">
        <v>2025</v>
      </c>
      <c r="D1143" s="36">
        <v>45838.637835648151</v>
      </c>
      <c r="E1143" s="37" t="s">
        <v>8</v>
      </c>
      <c r="F1143" s="37" t="s">
        <v>4261</v>
      </c>
      <c r="G1143" s="37" t="s">
        <v>4262</v>
      </c>
      <c r="H1143" s="35" t="s">
        <v>3419</v>
      </c>
      <c r="I1143" s="35" t="s">
        <v>3416</v>
      </c>
      <c r="J1143" s="38">
        <v>6.97</v>
      </c>
      <c r="K1143" s="35">
        <v>2</v>
      </c>
      <c r="L1143" s="38">
        <f t="shared" si="17"/>
        <v>13.94</v>
      </c>
      <c r="M1143" s="42" t="s">
        <v>11</v>
      </c>
      <c r="N1143" s="38"/>
      <c r="O1143" s="35" t="s">
        <v>12</v>
      </c>
    </row>
    <row r="1144" spans="1:15" x14ac:dyDescent="0.25">
      <c r="A1144" s="35">
        <v>1217486033</v>
      </c>
      <c r="B1144" s="35" t="s">
        <v>3412</v>
      </c>
      <c r="C1144" s="35">
        <v>2025</v>
      </c>
      <c r="D1144" s="36">
        <v>45831.577789351853</v>
      </c>
      <c r="E1144" s="37" t="s">
        <v>1111</v>
      </c>
      <c r="F1144" s="37" t="s">
        <v>4270</v>
      </c>
      <c r="G1144" s="37" t="s">
        <v>3455</v>
      </c>
      <c r="H1144" s="35" t="s">
        <v>3419</v>
      </c>
      <c r="I1144" s="35" t="s">
        <v>3416</v>
      </c>
      <c r="J1144" s="38">
        <v>7.1933333333333316</v>
      </c>
      <c r="K1144" s="35">
        <v>3</v>
      </c>
      <c r="L1144" s="38">
        <f t="shared" si="17"/>
        <v>21.579999999999995</v>
      </c>
      <c r="M1144" s="35" t="s">
        <v>11</v>
      </c>
      <c r="N1144" s="38"/>
      <c r="O1144" s="35" t="s">
        <v>12</v>
      </c>
    </row>
    <row r="1145" spans="1:15" ht="30" x14ac:dyDescent="0.25">
      <c r="A1145" s="35">
        <v>1216737518</v>
      </c>
      <c r="B1145" s="35" t="s">
        <v>3412</v>
      </c>
      <c r="C1145" s="35">
        <v>2025</v>
      </c>
      <c r="D1145" s="36">
        <v>45826.862743055557</v>
      </c>
      <c r="E1145" s="37" t="s">
        <v>1118</v>
      </c>
      <c r="F1145" s="37" t="s">
        <v>4224</v>
      </c>
      <c r="G1145" s="37" t="s">
        <v>3942</v>
      </c>
      <c r="H1145" s="35" t="s">
        <v>3419</v>
      </c>
      <c r="I1145" s="35" t="s">
        <v>3416</v>
      </c>
      <c r="J1145" s="38">
        <v>87.93</v>
      </c>
      <c r="K1145" s="35">
        <v>1</v>
      </c>
      <c r="L1145" s="38">
        <f t="shared" si="17"/>
        <v>87.93</v>
      </c>
      <c r="M1145" s="35" t="s">
        <v>11</v>
      </c>
      <c r="N1145" s="38"/>
      <c r="O1145" s="35" t="s">
        <v>12</v>
      </c>
    </row>
    <row r="1146" spans="1:15" ht="30" x14ac:dyDescent="0.25">
      <c r="A1146" s="35">
        <v>1215825924</v>
      </c>
      <c r="B1146" s="35" t="s">
        <v>3412</v>
      </c>
      <c r="C1146" s="35">
        <v>2025</v>
      </c>
      <c r="D1146" s="36">
        <v>45820.718113425923</v>
      </c>
      <c r="E1146" s="37" t="s">
        <v>237</v>
      </c>
      <c r="F1146" s="37" t="s">
        <v>4275</v>
      </c>
      <c r="G1146" s="37" t="s">
        <v>3942</v>
      </c>
      <c r="H1146" s="35" t="s">
        <v>3419</v>
      </c>
      <c r="I1146" s="35" t="s">
        <v>3416</v>
      </c>
      <c r="J1146" s="38">
        <v>28.074999999999999</v>
      </c>
      <c r="K1146" s="35">
        <v>2</v>
      </c>
      <c r="L1146" s="38">
        <f t="shared" si="17"/>
        <v>56.15</v>
      </c>
      <c r="M1146" s="35" t="s">
        <v>11</v>
      </c>
      <c r="N1146" s="38"/>
      <c r="O1146" s="35" t="s">
        <v>12</v>
      </c>
    </row>
    <row r="1147" spans="1:15" x14ac:dyDescent="0.25">
      <c r="A1147" s="35">
        <v>1215739166</v>
      </c>
      <c r="B1147" s="35" t="s">
        <v>3412</v>
      </c>
      <c r="C1147" s="35">
        <v>2025</v>
      </c>
      <c r="D1147" s="36">
        <v>45820.250023148154</v>
      </c>
      <c r="E1147" s="37" t="s">
        <v>318</v>
      </c>
      <c r="F1147" s="37" t="s">
        <v>4276</v>
      </c>
      <c r="G1147" s="37" t="s">
        <v>4077</v>
      </c>
      <c r="H1147" s="35" t="s">
        <v>3415</v>
      </c>
      <c r="I1147" s="35" t="s">
        <v>3416</v>
      </c>
      <c r="J1147" s="38">
        <v>4.5136656441717804</v>
      </c>
      <c r="K1147" s="35">
        <v>4</v>
      </c>
      <c r="L1147" s="38">
        <f t="shared" si="17"/>
        <v>18.054662576687122</v>
      </c>
      <c r="M1147" s="35" t="s">
        <v>11</v>
      </c>
      <c r="N1147" s="38"/>
      <c r="O1147" s="35" t="s">
        <v>12</v>
      </c>
    </row>
    <row r="1148" spans="1:15" x14ac:dyDescent="0.25">
      <c r="A1148" s="35">
        <v>1215739166</v>
      </c>
      <c r="B1148" s="35" t="s">
        <v>3412</v>
      </c>
      <c r="C1148" s="35">
        <v>2025</v>
      </c>
      <c r="D1148" s="36">
        <v>45820.250023148154</v>
      </c>
      <c r="E1148" s="37" t="s">
        <v>318</v>
      </c>
      <c r="F1148" s="37" t="s">
        <v>4277</v>
      </c>
      <c r="G1148" s="37" t="s">
        <v>4077</v>
      </c>
      <c r="H1148" s="35" t="s">
        <v>3415</v>
      </c>
      <c r="I1148" s="35" t="s">
        <v>3416</v>
      </c>
      <c r="J1148" s="38">
        <v>0.55430981595092021</v>
      </c>
      <c r="K1148" s="35">
        <v>4</v>
      </c>
      <c r="L1148" s="38">
        <f t="shared" si="17"/>
        <v>2.2172392638036809</v>
      </c>
      <c r="M1148" s="35" t="s">
        <v>11</v>
      </c>
      <c r="N1148" s="38"/>
      <c r="O1148" s="35" t="s">
        <v>12</v>
      </c>
    </row>
    <row r="1149" spans="1:15" x14ac:dyDescent="0.25">
      <c r="A1149" s="35">
        <v>1215739166</v>
      </c>
      <c r="B1149" s="35" t="s">
        <v>3412</v>
      </c>
      <c r="C1149" s="35">
        <v>2025</v>
      </c>
      <c r="D1149" s="36">
        <v>45820.250023148154</v>
      </c>
      <c r="E1149" s="37" t="s">
        <v>318</v>
      </c>
      <c r="F1149" s="37" t="s">
        <v>4278</v>
      </c>
      <c r="G1149" s="37" t="s">
        <v>4077</v>
      </c>
      <c r="H1149" s="35" t="s">
        <v>3415</v>
      </c>
      <c r="I1149" s="35" t="s">
        <v>3416</v>
      </c>
      <c r="J1149" s="38">
        <v>1.1199320771253289</v>
      </c>
      <c r="K1149" s="35">
        <v>4</v>
      </c>
      <c r="L1149" s="38">
        <f t="shared" si="17"/>
        <v>4.4797283085013158</v>
      </c>
      <c r="M1149" s="35" t="s">
        <v>11</v>
      </c>
      <c r="N1149" s="38"/>
      <c r="O1149" s="35" t="s">
        <v>12</v>
      </c>
    </row>
    <row r="1150" spans="1:15" ht="30" x14ac:dyDescent="0.25">
      <c r="A1150" s="35">
        <v>1215739166</v>
      </c>
      <c r="B1150" s="35" t="s">
        <v>3412</v>
      </c>
      <c r="C1150" s="35">
        <v>2025</v>
      </c>
      <c r="D1150" s="36">
        <v>45820.250023148154</v>
      </c>
      <c r="E1150" s="37" t="s">
        <v>318</v>
      </c>
      <c r="F1150" s="37" t="s">
        <v>4279</v>
      </c>
      <c r="G1150" s="37" t="s">
        <v>3748</v>
      </c>
      <c r="H1150" s="35" t="s">
        <v>3415</v>
      </c>
      <c r="I1150" s="35" t="s">
        <v>3416</v>
      </c>
      <c r="J1150" s="38">
        <v>6.7195924627519723</v>
      </c>
      <c r="K1150" s="35">
        <v>4</v>
      </c>
      <c r="L1150" s="38">
        <f t="shared" si="17"/>
        <v>26.878369851007889</v>
      </c>
      <c r="M1150" s="35" t="s">
        <v>11</v>
      </c>
      <c r="N1150" s="38"/>
      <c r="O1150" s="35" t="s">
        <v>12</v>
      </c>
    </row>
    <row r="1151" spans="1:15" ht="30" x14ac:dyDescent="0.25">
      <c r="A1151" s="35">
        <v>1215625358</v>
      </c>
      <c r="B1151" s="35" t="s">
        <v>3412</v>
      </c>
      <c r="C1151" s="35">
        <v>2025</v>
      </c>
      <c r="D1151" s="36">
        <v>45819.520173611112</v>
      </c>
      <c r="E1151" s="37" t="s">
        <v>1133</v>
      </c>
      <c r="F1151" s="37" t="s">
        <v>4280</v>
      </c>
      <c r="G1151" s="37" t="s">
        <v>3942</v>
      </c>
      <c r="H1151" s="35" t="s">
        <v>3419</v>
      </c>
      <c r="I1151" s="35" t="s">
        <v>3416</v>
      </c>
      <c r="J1151" s="38">
        <v>75.91</v>
      </c>
      <c r="K1151" s="35">
        <v>1</v>
      </c>
      <c r="L1151" s="38">
        <f t="shared" si="17"/>
        <v>75.91</v>
      </c>
      <c r="M1151" s="35" t="s">
        <v>11</v>
      </c>
      <c r="N1151" s="38"/>
      <c r="O1151" s="35" t="s">
        <v>12</v>
      </c>
    </row>
    <row r="1152" spans="1:15" ht="30" x14ac:dyDescent="0.25">
      <c r="A1152" s="35">
        <v>1215625346</v>
      </c>
      <c r="B1152" s="35" t="s">
        <v>3412</v>
      </c>
      <c r="C1152" s="35">
        <v>2025</v>
      </c>
      <c r="D1152" s="36">
        <v>45819.520173611112</v>
      </c>
      <c r="E1152" s="37" t="s">
        <v>1135</v>
      </c>
      <c r="F1152" s="37" t="s">
        <v>4280</v>
      </c>
      <c r="G1152" s="37" t="s">
        <v>3942</v>
      </c>
      <c r="H1152" s="35" t="s">
        <v>3419</v>
      </c>
      <c r="I1152" s="35" t="s">
        <v>3416</v>
      </c>
      <c r="J1152" s="38">
        <v>70.930000000000007</v>
      </c>
      <c r="K1152" s="35">
        <v>1</v>
      </c>
      <c r="L1152" s="38">
        <f t="shared" si="17"/>
        <v>70.930000000000007</v>
      </c>
      <c r="M1152" s="35" t="s">
        <v>11</v>
      </c>
      <c r="N1152" s="38"/>
      <c r="O1152" s="35" t="s">
        <v>12</v>
      </c>
    </row>
    <row r="1153" spans="1:15" ht="30" x14ac:dyDescent="0.25">
      <c r="A1153" s="35">
        <v>1215579303</v>
      </c>
      <c r="B1153" s="35" t="s">
        <v>3412</v>
      </c>
      <c r="C1153" s="35">
        <v>2025</v>
      </c>
      <c r="D1153" s="36">
        <v>45819.520173611112</v>
      </c>
      <c r="E1153" s="37" t="s">
        <v>978</v>
      </c>
      <c r="F1153" s="37" t="s">
        <v>4281</v>
      </c>
      <c r="G1153" s="37" t="s">
        <v>3942</v>
      </c>
      <c r="H1153" s="35" t="s">
        <v>3415</v>
      </c>
      <c r="I1153" s="35" t="s">
        <v>3416</v>
      </c>
      <c r="J1153" s="38">
        <v>1.0825</v>
      </c>
      <c r="K1153" s="35">
        <v>4</v>
      </c>
      <c r="L1153" s="38">
        <f t="shared" si="17"/>
        <v>4.33</v>
      </c>
      <c r="M1153" s="35" t="s">
        <v>11</v>
      </c>
      <c r="N1153" s="38"/>
      <c r="O1153" s="35" t="s">
        <v>12</v>
      </c>
    </row>
    <row r="1154" spans="1:15" x14ac:dyDescent="0.25">
      <c r="A1154" s="35">
        <v>1215578294</v>
      </c>
      <c r="B1154" s="35" t="s">
        <v>3412</v>
      </c>
      <c r="C1154" s="35">
        <v>2025</v>
      </c>
      <c r="D1154" s="36">
        <v>45819.520173611112</v>
      </c>
      <c r="E1154" s="37" t="s">
        <v>223</v>
      </c>
      <c r="F1154" s="37" t="s">
        <v>4282</v>
      </c>
      <c r="G1154" s="37" t="s">
        <v>4077</v>
      </c>
      <c r="H1154" s="35" t="s">
        <v>3415</v>
      </c>
      <c r="I1154" s="35" t="s">
        <v>3416</v>
      </c>
      <c r="J1154" s="38">
        <v>0.51538461538461544</v>
      </c>
      <c r="K1154" s="35">
        <v>4</v>
      </c>
      <c r="L1154" s="38">
        <f t="shared" ref="L1154:L1217" si="18">J1154*K1154</f>
        <v>2.0615384615384618</v>
      </c>
      <c r="M1154" s="35" t="s">
        <v>11</v>
      </c>
      <c r="N1154" s="38"/>
      <c r="O1154" s="35" t="s">
        <v>12</v>
      </c>
    </row>
    <row r="1155" spans="1:15" x14ac:dyDescent="0.25">
      <c r="A1155" s="35">
        <v>1215578294</v>
      </c>
      <c r="B1155" s="35" t="s">
        <v>3412</v>
      </c>
      <c r="C1155" s="35">
        <v>2025</v>
      </c>
      <c r="D1155" s="36">
        <v>45819.520173611112</v>
      </c>
      <c r="E1155" s="37" t="s">
        <v>223</v>
      </c>
      <c r="F1155" s="37" t="s">
        <v>4283</v>
      </c>
      <c r="G1155" s="37" t="s">
        <v>4077</v>
      </c>
      <c r="H1155" s="35" t="s">
        <v>3415</v>
      </c>
      <c r="I1155" s="35" t="s">
        <v>3416</v>
      </c>
      <c r="J1155" s="38">
        <v>0.95346153846153847</v>
      </c>
      <c r="K1155" s="35">
        <v>4</v>
      </c>
      <c r="L1155" s="38">
        <f t="shared" si="18"/>
        <v>3.8138461538461539</v>
      </c>
      <c r="M1155" s="35" t="s">
        <v>11</v>
      </c>
      <c r="N1155" s="38"/>
      <c r="O1155" s="35" t="s">
        <v>12</v>
      </c>
    </row>
    <row r="1156" spans="1:15" x14ac:dyDescent="0.25">
      <c r="A1156" s="35">
        <v>1215578294</v>
      </c>
      <c r="B1156" s="35" t="s">
        <v>3412</v>
      </c>
      <c r="C1156" s="35">
        <v>2025</v>
      </c>
      <c r="D1156" s="36">
        <v>45819.520173611112</v>
      </c>
      <c r="E1156" s="37" t="s">
        <v>223</v>
      </c>
      <c r="F1156" s="37" t="s">
        <v>4284</v>
      </c>
      <c r="G1156" s="37" t="s">
        <v>4077</v>
      </c>
      <c r="H1156" s="35" t="s">
        <v>3415</v>
      </c>
      <c r="I1156" s="35" t="s">
        <v>3416</v>
      </c>
      <c r="J1156" s="38">
        <v>0.36076923076923079</v>
      </c>
      <c r="K1156" s="35">
        <v>4</v>
      </c>
      <c r="L1156" s="38">
        <f t="shared" si="18"/>
        <v>1.4430769230769231</v>
      </c>
      <c r="M1156" s="35" t="s">
        <v>11</v>
      </c>
      <c r="N1156" s="38"/>
      <c r="O1156" s="35" t="s">
        <v>12</v>
      </c>
    </row>
    <row r="1157" spans="1:15" x14ac:dyDescent="0.25">
      <c r="A1157" s="35">
        <v>1215578294</v>
      </c>
      <c r="B1157" s="35" t="s">
        <v>3412</v>
      </c>
      <c r="C1157" s="35">
        <v>2025</v>
      </c>
      <c r="D1157" s="36">
        <v>45819.520173611112</v>
      </c>
      <c r="E1157" s="37" t="s">
        <v>223</v>
      </c>
      <c r="F1157" s="37" t="s">
        <v>4285</v>
      </c>
      <c r="G1157" s="37" t="s">
        <v>4077</v>
      </c>
      <c r="H1157" s="35" t="s">
        <v>3415</v>
      </c>
      <c r="I1157" s="35" t="s">
        <v>3416</v>
      </c>
      <c r="J1157" s="38">
        <v>0.25769230769230772</v>
      </c>
      <c r="K1157" s="35">
        <v>4</v>
      </c>
      <c r="L1157" s="38">
        <f t="shared" si="18"/>
        <v>1.0307692307692309</v>
      </c>
      <c r="M1157" s="35" t="s">
        <v>11</v>
      </c>
      <c r="N1157" s="38"/>
      <c r="O1157" s="35" t="s">
        <v>12</v>
      </c>
    </row>
    <row r="1158" spans="1:15" x14ac:dyDescent="0.25">
      <c r="A1158" s="35">
        <v>1215578294</v>
      </c>
      <c r="B1158" s="35" t="s">
        <v>3412</v>
      </c>
      <c r="C1158" s="35">
        <v>2025</v>
      </c>
      <c r="D1158" s="36">
        <v>45819.520173611112</v>
      </c>
      <c r="E1158" s="37" t="s">
        <v>223</v>
      </c>
      <c r="F1158" s="37" t="s">
        <v>4286</v>
      </c>
      <c r="G1158" s="37" t="s">
        <v>4077</v>
      </c>
      <c r="H1158" s="35" t="s">
        <v>3415</v>
      </c>
      <c r="I1158" s="35" t="s">
        <v>3416</v>
      </c>
      <c r="J1158" s="38">
        <v>0.25769230769230772</v>
      </c>
      <c r="K1158" s="35">
        <v>4</v>
      </c>
      <c r="L1158" s="38">
        <f t="shared" si="18"/>
        <v>1.0307692307692309</v>
      </c>
      <c r="M1158" s="35" t="s">
        <v>11</v>
      </c>
      <c r="N1158" s="38"/>
      <c r="O1158" s="35" t="s">
        <v>12</v>
      </c>
    </row>
    <row r="1159" spans="1:15" x14ac:dyDescent="0.25">
      <c r="A1159" s="35">
        <v>1215184874</v>
      </c>
      <c r="B1159" s="35" t="s">
        <v>3412</v>
      </c>
      <c r="C1159" s="35">
        <v>2025</v>
      </c>
      <c r="D1159" s="36">
        <v>45817.313101851847</v>
      </c>
      <c r="E1159" s="37" t="s">
        <v>303</v>
      </c>
      <c r="F1159" s="37" t="s">
        <v>4290</v>
      </c>
      <c r="G1159" s="37" t="s">
        <v>4077</v>
      </c>
      <c r="H1159" s="35" t="s">
        <v>3419</v>
      </c>
      <c r="I1159" s="35" t="s">
        <v>3416</v>
      </c>
      <c r="J1159" s="38">
        <v>1.165</v>
      </c>
      <c r="K1159" s="35">
        <v>2</v>
      </c>
      <c r="L1159" s="38">
        <f t="shared" si="18"/>
        <v>2.33</v>
      </c>
      <c r="M1159" s="35" t="s">
        <v>11</v>
      </c>
      <c r="N1159" s="38"/>
      <c r="O1159" s="35" t="s">
        <v>12</v>
      </c>
    </row>
    <row r="1160" spans="1:15" x14ac:dyDescent="0.25">
      <c r="A1160" s="35">
        <v>1215183701</v>
      </c>
      <c r="B1160" s="35" t="s">
        <v>3412</v>
      </c>
      <c r="C1160" s="35">
        <v>2025</v>
      </c>
      <c r="D1160" s="36">
        <v>45817.313101851847</v>
      </c>
      <c r="E1160" s="37" t="s">
        <v>469</v>
      </c>
      <c r="F1160" s="37" t="s">
        <v>4291</v>
      </c>
      <c r="G1160" s="37" t="s">
        <v>3837</v>
      </c>
      <c r="H1160" s="35" t="s">
        <v>3419</v>
      </c>
      <c r="I1160" s="35" t="s">
        <v>3416</v>
      </c>
      <c r="J1160" s="38">
        <v>17.67324573665082</v>
      </c>
      <c r="K1160" s="35">
        <v>2</v>
      </c>
      <c r="L1160" s="38">
        <f t="shared" si="18"/>
        <v>35.34649147330164</v>
      </c>
      <c r="M1160" s="35" t="s">
        <v>11</v>
      </c>
      <c r="N1160" s="38"/>
      <c r="O1160" s="35" t="s">
        <v>12</v>
      </c>
    </row>
    <row r="1161" spans="1:15" x14ac:dyDescent="0.25">
      <c r="A1161" s="35">
        <v>1215183701</v>
      </c>
      <c r="B1161" s="35" t="s">
        <v>3412</v>
      </c>
      <c r="C1161" s="35">
        <v>2025</v>
      </c>
      <c r="D1161" s="36">
        <v>45817.313101851847</v>
      </c>
      <c r="E1161" s="37" t="s">
        <v>469</v>
      </c>
      <c r="F1161" s="37" t="s">
        <v>4290</v>
      </c>
      <c r="G1161" s="37" t="s">
        <v>4077</v>
      </c>
      <c r="H1161" s="35" t="s">
        <v>3419</v>
      </c>
      <c r="I1161" s="35" t="s">
        <v>3416</v>
      </c>
      <c r="J1161" s="38">
        <v>0.58289069052278442</v>
      </c>
      <c r="K1161" s="35">
        <v>2</v>
      </c>
      <c r="L1161" s="38">
        <f t="shared" si="18"/>
        <v>1.1657813810455688</v>
      </c>
      <c r="M1161" s="35" t="s">
        <v>11</v>
      </c>
      <c r="N1161" s="38"/>
      <c r="O1161" s="35" t="s">
        <v>12</v>
      </c>
    </row>
    <row r="1162" spans="1:15" ht="30" x14ac:dyDescent="0.25">
      <c r="A1162" s="35">
        <v>1215183701</v>
      </c>
      <c r="B1162" s="35" t="s">
        <v>3412</v>
      </c>
      <c r="C1162" s="35">
        <v>2025</v>
      </c>
      <c r="D1162" s="36">
        <v>45817.313101851847</v>
      </c>
      <c r="E1162" s="37" t="s">
        <v>469</v>
      </c>
      <c r="F1162" s="37" t="s">
        <v>4292</v>
      </c>
      <c r="G1162" s="37" t="s">
        <v>3942</v>
      </c>
      <c r="H1162" s="35" t="s">
        <v>3419</v>
      </c>
      <c r="I1162" s="35" t="s">
        <v>3416</v>
      </c>
      <c r="J1162" s="38">
        <v>5.187727145652782</v>
      </c>
      <c r="K1162" s="35">
        <v>1</v>
      </c>
      <c r="L1162" s="38">
        <f t="shared" si="18"/>
        <v>5.187727145652782</v>
      </c>
      <c r="M1162" s="35" t="s">
        <v>11</v>
      </c>
      <c r="N1162" s="38"/>
      <c r="O1162" s="35" t="s">
        <v>12</v>
      </c>
    </row>
    <row r="1163" spans="1:15" ht="30" x14ac:dyDescent="0.25">
      <c r="A1163" s="35">
        <v>1215026902</v>
      </c>
      <c r="B1163" s="35" t="s">
        <v>3412</v>
      </c>
      <c r="C1163" s="35">
        <v>2025</v>
      </c>
      <c r="D1163" s="36">
        <v>45815.840104166673</v>
      </c>
      <c r="E1163" s="37" t="s">
        <v>1073</v>
      </c>
      <c r="F1163" s="37" t="s">
        <v>4224</v>
      </c>
      <c r="G1163" s="37" t="s">
        <v>3942</v>
      </c>
      <c r="H1163" s="35" t="s">
        <v>3419</v>
      </c>
      <c r="I1163" s="35" t="s">
        <v>3416</v>
      </c>
      <c r="J1163" s="38">
        <v>75.930000000000007</v>
      </c>
      <c r="K1163" s="35">
        <v>1</v>
      </c>
      <c r="L1163" s="38">
        <f t="shared" si="18"/>
        <v>75.930000000000007</v>
      </c>
      <c r="M1163" s="35" t="s">
        <v>11</v>
      </c>
      <c r="N1163" s="38"/>
      <c r="O1163" s="35" t="s">
        <v>12</v>
      </c>
    </row>
    <row r="1164" spans="1:15" ht="30" x14ac:dyDescent="0.25">
      <c r="A1164" s="35">
        <v>1214932427</v>
      </c>
      <c r="B1164" s="35" t="s">
        <v>3412</v>
      </c>
      <c r="C1164" s="35">
        <v>2025</v>
      </c>
      <c r="D1164" s="36">
        <v>45815.749386574083</v>
      </c>
      <c r="E1164" s="37" t="s">
        <v>1146</v>
      </c>
      <c r="F1164" s="37" t="s">
        <v>4224</v>
      </c>
      <c r="G1164" s="37" t="s">
        <v>3942</v>
      </c>
      <c r="H1164" s="35" t="s">
        <v>3419</v>
      </c>
      <c r="I1164" s="35" t="s">
        <v>3416</v>
      </c>
      <c r="J1164" s="38">
        <v>75.930000000000007</v>
      </c>
      <c r="K1164" s="35">
        <v>1</v>
      </c>
      <c r="L1164" s="38">
        <f t="shared" si="18"/>
        <v>75.930000000000007</v>
      </c>
      <c r="M1164" s="35" t="s">
        <v>11</v>
      </c>
      <c r="N1164" s="38"/>
      <c r="O1164" s="35" t="s">
        <v>12</v>
      </c>
    </row>
    <row r="1165" spans="1:15" x14ac:dyDescent="0.25">
      <c r="A1165" s="35">
        <v>1214667069</v>
      </c>
      <c r="B1165" s="35" t="s">
        <v>3412</v>
      </c>
      <c r="C1165" s="35">
        <v>2025</v>
      </c>
      <c r="D1165" s="36">
        <v>45813.470578703702</v>
      </c>
      <c r="E1165" s="37" t="s">
        <v>1148</v>
      </c>
      <c r="F1165" s="37" t="s">
        <v>4293</v>
      </c>
      <c r="G1165" s="37" t="s">
        <v>3788</v>
      </c>
      <c r="H1165" s="35" t="s">
        <v>3415</v>
      </c>
      <c r="I1165" s="35" t="s">
        <v>3416</v>
      </c>
      <c r="J1165" s="38">
        <v>0.63418355855855857</v>
      </c>
      <c r="K1165" s="35">
        <v>4</v>
      </c>
      <c r="L1165" s="38">
        <f t="shared" si="18"/>
        <v>2.5367342342342343</v>
      </c>
      <c r="M1165" s="35" t="s">
        <v>11</v>
      </c>
      <c r="N1165" s="38"/>
      <c r="O1165" s="35" t="s">
        <v>12</v>
      </c>
    </row>
    <row r="1166" spans="1:15" x14ac:dyDescent="0.25">
      <c r="A1166" s="35">
        <v>1214667069</v>
      </c>
      <c r="B1166" s="35" t="s">
        <v>3412</v>
      </c>
      <c r="C1166" s="35">
        <v>2025</v>
      </c>
      <c r="D1166" s="36">
        <v>45813.470578703702</v>
      </c>
      <c r="E1166" s="37" t="s">
        <v>1148</v>
      </c>
      <c r="F1166" s="37" t="s">
        <v>4294</v>
      </c>
      <c r="G1166" s="37" t="s">
        <v>4024</v>
      </c>
      <c r="H1166" s="35" t="s">
        <v>3415</v>
      </c>
      <c r="I1166" s="35" t="s">
        <v>3453</v>
      </c>
      <c r="J1166" s="38">
        <v>4.1383164414414413</v>
      </c>
      <c r="K1166" s="35">
        <v>4</v>
      </c>
      <c r="L1166" s="38">
        <f t="shared" si="18"/>
        <v>16.553265765765765</v>
      </c>
      <c r="M1166" s="35" t="s">
        <v>11</v>
      </c>
      <c r="N1166" s="38"/>
      <c r="O1166" s="35" t="s">
        <v>12</v>
      </c>
    </row>
    <row r="1167" spans="1:15" x14ac:dyDescent="0.25">
      <c r="A1167" s="35">
        <v>1214237000</v>
      </c>
      <c r="B1167" s="35" t="s">
        <v>3412</v>
      </c>
      <c r="C1167" s="35">
        <v>2025</v>
      </c>
      <c r="D1167" s="36">
        <v>45810.913761574076</v>
      </c>
      <c r="E1167" s="37" t="s">
        <v>1151</v>
      </c>
      <c r="F1167" s="37" t="s">
        <v>4295</v>
      </c>
      <c r="G1167" s="37" t="s">
        <v>3452</v>
      </c>
      <c r="H1167" s="35" t="s">
        <v>3419</v>
      </c>
      <c r="I1167" s="35" t="s">
        <v>3416</v>
      </c>
      <c r="J1167" s="38">
        <v>9.995000000000001</v>
      </c>
      <c r="K1167" s="35">
        <v>2</v>
      </c>
      <c r="L1167" s="38">
        <f t="shared" si="18"/>
        <v>19.990000000000002</v>
      </c>
      <c r="M1167" s="35" t="s">
        <v>11</v>
      </c>
      <c r="N1167" s="38"/>
      <c r="O1167" s="35" t="s">
        <v>12</v>
      </c>
    </row>
    <row r="1168" spans="1:15" x14ac:dyDescent="0.25">
      <c r="A1168" s="35">
        <v>1214178445</v>
      </c>
      <c r="B1168" s="35" t="s">
        <v>3412</v>
      </c>
      <c r="C1168" s="35">
        <v>2025</v>
      </c>
      <c r="D1168" s="36">
        <v>45810.554930555547</v>
      </c>
      <c r="E1168" s="37" t="s">
        <v>469</v>
      </c>
      <c r="F1168" s="37" t="s">
        <v>4296</v>
      </c>
      <c r="G1168" s="37" t="s">
        <v>3905</v>
      </c>
      <c r="H1168" s="35" t="s">
        <v>3415</v>
      </c>
      <c r="I1168" s="35" t="s">
        <v>3453</v>
      </c>
      <c r="J1168" s="38">
        <v>8.688727326353046</v>
      </c>
      <c r="K1168" s="35">
        <v>4</v>
      </c>
      <c r="L1168" s="38">
        <f t="shared" si="18"/>
        <v>34.754909305412184</v>
      </c>
      <c r="M1168" s="35" t="s">
        <v>11</v>
      </c>
      <c r="N1168" s="38"/>
      <c r="O1168" s="35" t="s">
        <v>12</v>
      </c>
    </row>
    <row r="1169" spans="1:15" x14ac:dyDescent="0.25">
      <c r="A1169" s="35">
        <v>1214178445</v>
      </c>
      <c r="B1169" s="35" t="s">
        <v>3412</v>
      </c>
      <c r="C1169" s="35">
        <v>2025</v>
      </c>
      <c r="D1169" s="36">
        <v>45810.554930555547</v>
      </c>
      <c r="E1169" s="37" t="s">
        <v>469</v>
      </c>
      <c r="F1169" s="37" t="s">
        <v>4297</v>
      </c>
      <c r="G1169" s="37" t="s">
        <v>3768</v>
      </c>
      <c r="H1169" s="35" t="s">
        <v>3419</v>
      </c>
      <c r="I1169" s="35" t="s">
        <v>3416</v>
      </c>
      <c r="J1169" s="38">
        <v>12.99503023152927</v>
      </c>
      <c r="K1169" s="35">
        <v>3</v>
      </c>
      <c r="L1169" s="38">
        <f t="shared" si="18"/>
        <v>38.985090694587811</v>
      </c>
      <c r="M1169" s="35" t="s">
        <v>11</v>
      </c>
      <c r="N1169" s="38"/>
      <c r="O1169" s="35" t="s">
        <v>12</v>
      </c>
    </row>
    <row r="1170" spans="1:15" x14ac:dyDescent="0.25">
      <c r="A1170" s="35">
        <v>1213661322</v>
      </c>
      <c r="B1170" s="35" t="s">
        <v>3527</v>
      </c>
      <c r="C1170" s="35">
        <v>2025</v>
      </c>
      <c r="D1170" s="36">
        <v>45806.811932870369</v>
      </c>
      <c r="E1170" s="37" t="s">
        <v>8</v>
      </c>
      <c r="F1170" s="37" t="s">
        <v>4298</v>
      </c>
      <c r="G1170" s="37" t="s">
        <v>3837</v>
      </c>
      <c r="H1170" s="35" t="s">
        <v>3415</v>
      </c>
      <c r="I1170" s="35" t="s">
        <v>3416</v>
      </c>
      <c r="J1170" s="38">
        <v>0.5</v>
      </c>
      <c r="K1170" s="35">
        <v>4</v>
      </c>
      <c r="L1170" s="38">
        <f t="shared" si="18"/>
        <v>2</v>
      </c>
      <c r="M1170" s="42" t="s">
        <v>11</v>
      </c>
      <c r="N1170" s="38"/>
      <c r="O1170" s="35" t="s">
        <v>12</v>
      </c>
    </row>
    <row r="1171" spans="1:15" x14ac:dyDescent="0.25">
      <c r="A1171" s="35">
        <v>1213661182</v>
      </c>
      <c r="B1171" s="35" t="s">
        <v>3527</v>
      </c>
      <c r="C1171" s="35">
        <v>2025</v>
      </c>
      <c r="D1171" s="36">
        <v>45806.811932870369</v>
      </c>
      <c r="E1171" s="37" t="s">
        <v>1155</v>
      </c>
      <c r="F1171" s="37" t="s">
        <v>3809</v>
      </c>
      <c r="G1171" s="37" t="s">
        <v>3788</v>
      </c>
      <c r="H1171" s="35" t="s">
        <v>3415</v>
      </c>
      <c r="I1171" s="35" t="s">
        <v>3416</v>
      </c>
      <c r="J1171" s="38">
        <v>4.0325000000000006</v>
      </c>
      <c r="K1171" s="35">
        <v>4</v>
      </c>
      <c r="L1171" s="38">
        <f t="shared" si="18"/>
        <v>16.130000000000003</v>
      </c>
      <c r="M1171" s="35" t="s">
        <v>11</v>
      </c>
      <c r="N1171" s="38"/>
      <c r="O1171" s="35" t="s">
        <v>12</v>
      </c>
    </row>
    <row r="1172" spans="1:15" x14ac:dyDescent="0.25">
      <c r="A1172" s="35">
        <v>1213603268</v>
      </c>
      <c r="B1172" s="35" t="s">
        <v>3527</v>
      </c>
      <c r="C1172" s="35">
        <v>2025</v>
      </c>
      <c r="D1172" s="36">
        <v>45806.804155092592</v>
      </c>
      <c r="E1172" s="37" t="s">
        <v>1157</v>
      </c>
      <c r="F1172" s="37" t="s">
        <v>3743</v>
      </c>
      <c r="G1172" s="37" t="s">
        <v>4059</v>
      </c>
      <c r="H1172" s="35" t="s">
        <v>3419</v>
      </c>
      <c r="I1172" s="35" t="s">
        <v>3453</v>
      </c>
      <c r="J1172" s="38">
        <v>4.13</v>
      </c>
      <c r="K1172" s="35">
        <v>1</v>
      </c>
      <c r="L1172" s="38">
        <f t="shared" si="18"/>
        <v>4.13</v>
      </c>
      <c r="M1172" s="35" t="s">
        <v>11</v>
      </c>
      <c r="N1172" s="38"/>
      <c r="O1172" s="35" t="s">
        <v>12</v>
      </c>
    </row>
    <row r="1173" spans="1:15" x14ac:dyDescent="0.25">
      <c r="A1173" s="35">
        <v>1213603229</v>
      </c>
      <c r="B1173" s="35" t="s">
        <v>3527</v>
      </c>
      <c r="C1173" s="35">
        <v>2025</v>
      </c>
      <c r="D1173" s="36">
        <v>45806.804155092592</v>
      </c>
      <c r="E1173" s="37" t="s">
        <v>1159</v>
      </c>
      <c r="F1173" s="37" t="s">
        <v>3743</v>
      </c>
      <c r="G1173" s="37" t="s">
        <v>4059</v>
      </c>
      <c r="H1173" s="35" t="s">
        <v>3419</v>
      </c>
      <c r="I1173" s="35" t="s">
        <v>3453</v>
      </c>
      <c r="J1173" s="38">
        <v>1.9433333333333329</v>
      </c>
      <c r="K1173" s="35">
        <v>3</v>
      </c>
      <c r="L1173" s="38">
        <f t="shared" si="18"/>
        <v>5.8299999999999983</v>
      </c>
      <c r="M1173" s="35" t="s">
        <v>11</v>
      </c>
      <c r="N1173" s="38"/>
      <c r="O1173" s="35" t="s">
        <v>12</v>
      </c>
    </row>
    <row r="1174" spans="1:15" x14ac:dyDescent="0.25">
      <c r="A1174" s="35">
        <v>1213603056</v>
      </c>
      <c r="B1174" s="35" t="s">
        <v>3527</v>
      </c>
      <c r="C1174" s="35">
        <v>2025</v>
      </c>
      <c r="D1174" s="36">
        <v>45806.804155092592</v>
      </c>
      <c r="E1174" s="37" t="s">
        <v>1161</v>
      </c>
      <c r="F1174" s="37" t="s">
        <v>4299</v>
      </c>
      <c r="G1174" s="37" t="s">
        <v>3967</v>
      </c>
      <c r="H1174" s="35" t="s">
        <v>3419</v>
      </c>
      <c r="I1174" s="35" t="s">
        <v>3453</v>
      </c>
      <c r="J1174" s="38">
        <v>8.2800000000000011</v>
      </c>
      <c r="K1174" s="35">
        <v>1</v>
      </c>
      <c r="L1174" s="38">
        <f t="shared" si="18"/>
        <v>8.2800000000000011</v>
      </c>
      <c r="M1174" s="35" t="s">
        <v>11</v>
      </c>
      <c r="N1174" s="38"/>
      <c r="O1174" s="35" t="s">
        <v>12</v>
      </c>
    </row>
    <row r="1175" spans="1:15" x14ac:dyDescent="0.25">
      <c r="A1175" s="35">
        <v>1213603046</v>
      </c>
      <c r="B1175" s="35" t="s">
        <v>3527</v>
      </c>
      <c r="C1175" s="35">
        <v>2025</v>
      </c>
      <c r="D1175" s="36">
        <v>45806.804155092592</v>
      </c>
      <c r="E1175" s="37" t="s">
        <v>965</v>
      </c>
      <c r="F1175" s="37" t="s">
        <v>4299</v>
      </c>
      <c r="G1175" s="37" t="s">
        <v>3967</v>
      </c>
      <c r="H1175" s="35" t="s">
        <v>3419</v>
      </c>
      <c r="I1175" s="35" t="s">
        <v>3453</v>
      </c>
      <c r="J1175" s="38">
        <v>7.3933333333333344</v>
      </c>
      <c r="K1175" s="35">
        <v>3</v>
      </c>
      <c r="L1175" s="38">
        <f t="shared" si="18"/>
        <v>22.180000000000003</v>
      </c>
      <c r="M1175" s="35" t="s">
        <v>11</v>
      </c>
      <c r="N1175" s="38"/>
      <c r="O1175" s="35" t="s">
        <v>12</v>
      </c>
    </row>
    <row r="1176" spans="1:15" x14ac:dyDescent="0.25">
      <c r="A1176" s="35">
        <v>1213602454</v>
      </c>
      <c r="B1176" s="35" t="s">
        <v>3527</v>
      </c>
      <c r="C1176" s="35">
        <v>2025</v>
      </c>
      <c r="D1176" s="36">
        <v>45806.804155092592</v>
      </c>
      <c r="E1176" s="37" t="s">
        <v>469</v>
      </c>
      <c r="F1176" s="37" t="s">
        <v>4300</v>
      </c>
      <c r="G1176" s="37" t="s">
        <v>3862</v>
      </c>
      <c r="H1176" s="35" t="s">
        <v>3415</v>
      </c>
      <c r="I1176" s="35" t="s">
        <v>3453</v>
      </c>
      <c r="J1176" s="38">
        <v>4.8374462750716329</v>
      </c>
      <c r="K1176" s="35">
        <v>4</v>
      </c>
      <c r="L1176" s="38">
        <f t="shared" si="18"/>
        <v>19.349785100286532</v>
      </c>
      <c r="M1176" s="35" t="s">
        <v>11</v>
      </c>
      <c r="N1176" s="38"/>
      <c r="O1176" s="35" t="s">
        <v>12</v>
      </c>
    </row>
    <row r="1177" spans="1:15" x14ac:dyDescent="0.25">
      <c r="A1177" s="35">
        <v>1213602454</v>
      </c>
      <c r="B1177" s="35" t="s">
        <v>3527</v>
      </c>
      <c r="C1177" s="35">
        <v>2025</v>
      </c>
      <c r="D1177" s="36">
        <v>45806.804155092592</v>
      </c>
      <c r="E1177" s="37" t="s">
        <v>469</v>
      </c>
      <c r="F1177" s="37" t="s">
        <v>4301</v>
      </c>
      <c r="G1177" s="37" t="s">
        <v>3643</v>
      </c>
      <c r="H1177" s="35" t="s">
        <v>3415</v>
      </c>
      <c r="I1177" s="35" t="s">
        <v>3453</v>
      </c>
      <c r="J1177" s="38">
        <v>3.625053724928367</v>
      </c>
      <c r="K1177" s="35">
        <v>4</v>
      </c>
      <c r="L1177" s="38">
        <f t="shared" si="18"/>
        <v>14.500214899713468</v>
      </c>
      <c r="M1177" s="35" t="s">
        <v>11</v>
      </c>
      <c r="N1177" s="38"/>
      <c r="O1177" s="35" t="s">
        <v>12</v>
      </c>
    </row>
    <row r="1178" spans="1:15" ht="30" x14ac:dyDescent="0.25">
      <c r="A1178" s="35">
        <v>1213602383</v>
      </c>
      <c r="B1178" s="35" t="s">
        <v>3527</v>
      </c>
      <c r="C1178" s="35">
        <v>2025</v>
      </c>
      <c r="D1178" s="36">
        <v>45806.804155092592</v>
      </c>
      <c r="E1178" s="37" t="s">
        <v>1163</v>
      </c>
      <c r="F1178" s="37" t="s">
        <v>4302</v>
      </c>
      <c r="G1178" s="37" t="s">
        <v>4103</v>
      </c>
      <c r="H1178" s="35" t="s">
        <v>3419</v>
      </c>
      <c r="I1178" s="35" t="s">
        <v>3416</v>
      </c>
      <c r="J1178" s="38">
        <v>1.166666666666667</v>
      </c>
      <c r="K1178" s="35">
        <v>1</v>
      </c>
      <c r="L1178" s="38">
        <f t="shared" si="18"/>
        <v>1.166666666666667</v>
      </c>
      <c r="M1178" s="35" t="s">
        <v>11</v>
      </c>
      <c r="N1178" s="38"/>
      <c r="O1178" s="35" t="s">
        <v>12</v>
      </c>
    </row>
    <row r="1179" spans="1:15" ht="30" x14ac:dyDescent="0.25">
      <c r="A1179" s="35">
        <v>1213602383</v>
      </c>
      <c r="B1179" s="35" t="s">
        <v>3527</v>
      </c>
      <c r="C1179" s="35">
        <v>2025</v>
      </c>
      <c r="D1179" s="36">
        <v>45806.804155092592</v>
      </c>
      <c r="E1179" s="37" t="s">
        <v>1163</v>
      </c>
      <c r="F1179" s="37" t="s">
        <v>4302</v>
      </c>
      <c r="G1179" s="37" t="s">
        <v>4103</v>
      </c>
      <c r="H1179" s="35" t="s">
        <v>3419</v>
      </c>
      <c r="I1179" s="35" t="s">
        <v>3416</v>
      </c>
      <c r="J1179" s="38">
        <v>1.166666666666667</v>
      </c>
      <c r="K1179" s="35">
        <v>2</v>
      </c>
      <c r="L1179" s="38">
        <f t="shared" si="18"/>
        <v>2.3333333333333339</v>
      </c>
      <c r="M1179" s="35" t="s">
        <v>11</v>
      </c>
      <c r="N1179" s="38"/>
      <c r="O1179" s="35" t="s">
        <v>12</v>
      </c>
    </row>
    <row r="1180" spans="1:15" x14ac:dyDescent="0.25">
      <c r="A1180" s="35">
        <v>1213602383</v>
      </c>
      <c r="B1180" s="35" t="s">
        <v>3527</v>
      </c>
      <c r="C1180" s="35">
        <v>2025</v>
      </c>
      <c r="D1180" s="36">
        <v>45806.804155092592</v>
      </c>
      <c r="E1180" s="37" t="s">
        <v>1163</v>
      </c>
      <c r="F1180" s="37" t="s">
        <v>3798</v>
      </c>
      <c r="G1180" s="37" t="s">
        <v>3668</v>
      </c>
      <c r="H1180" s="35" t="s">
        <v>3419</v>
      </c>
      <c r="I1180" s="35" t="s">
        <v>3416</v>
      </c>
      <c r="J1180" s="38">
        <v>0.41666666666666669</v>
      </c>
      <c r="K1180" s="35">
        <v>3</v>
      </c>
      <c r="L1180" s="38">
        <f t="shared" si="18"/>
        <v>1.25</v>
      </c>
      <c r="M1180" s="35" t="s">
        <v>11</v>
      </c>
      <c r="N1180" s="38"/>
      <c r="O1180" s="35" t="s">
        <v>12</v>
      </c>
    </row>
    <row r="1181" spans="1:15" x14ac:dyDescent="0.25">
      <c r="A1181" s="35">
        <v>1213602303</v>
      </c>
      <c r="B1181" s="35" t="s">
        <v>3527</v>
      </c>
      <c r="C1181" s="35">
        <v>2025</v>
      </c>
      <c r="D1181" s="36">
        <v>45806.804155092592</v>
      </c>
      <c r="E1181" s="37" t="s">
        <v>294</v>
      </c>
      <c r="F1181" s="37" t="s">
        <v>4303</v>
      </c>
      <c r="G1181" s="37" t="s">
        <v>3658</v>
      </c>
      <c r="H1181" s="35" t="s">
        <v>3415</v>
      </c>
      <c r="I1181" s="35" t="s">
        <v>3416</v>
      </c>
      <c r="J1181" s="38">
        <v>1.5325</v>
      </c>
      <c r="K1181" s="35">
        <v>4</v>
      </c>
      <c r="L1181" s="38">
        <f t="shared" si="18"/>
        <v>6.13</v>
      </c>
      <c r="M1181" s="35" t="s">
        <v>11</v>
      </c>
      <c r="N1181" s="38"/>
      <c r="O1181" s="35" t="s">
        <v>12</v>
      </c>
    </row>
    <row r="1182" spans="1:15" x14ac:dyDescent="0.25">
      <c r="A1182" s="35">
        <v>1213602114</v>
      </c>
      <c r="B1182" s="35" t="s">
        <v>3527</v>
      </c>
      <c r="C1182" s="35">
        <v>2025</v>
      </c>
      <c r="D1182" s="36">
        <v>45806.804155092592</v>
      </c>
      <c r="E1182" s="37" t="s">
        <v>35</v>
      </c>
      <c r="F1182" s="37" t="s">
        <v>4304</v>
      </c>
      <c r="G1182" s="37" t="s">
        <v>3452</v>
      </c>
      <c r="H1182" s="35" t="s">
        <v>3415</v>
      </c>
      <c r="I1182" s="35" t="s">
        <v>3416</v>
      </c>
      <c r="J1182" s="38">
        <v>0.4720306513409962</v>
      </c>
      <c r="K1182" s="35">
        <v>4</v>
      </c>
      <c r="L1182" s="38">
        <f t="shared" si="18"/>
        <v>1.8881226053639848</v>
      </c>
      <c r="M1182" s="35" t="s">
        <v>11</v>
      </c>
      <c r="N1182" s="38"/>
      <c r="O1182" s="35" t="s">
        <v>12</v>
      </c>
    </row>
    <row r="1183" spans="1:15" x14ac:dyDescent="0.25">
      <c r="A1183" s="35">
        <v>1213602114</v>
      </c>
      <c r="B1183" s="35" t="s">
        <v>3527</v>
      </c>
      <c r="C1183" s="35">
        <v>2025</v>
      </c>
      <c r="D1183" s="36">
        <v>45806.804155092592</v>
      </c>
      <c r="E1183" s="37" t="s">
        <v>35</v>
      </c>
      <c r="F1183" s="37" t="s">
        <v>4305</v>
      </c>
      <c r="G1183" s="37" t="s">
        <v>3628</v>
      </c>
      <c r="H1183" s="35" t="s">
        <v>3415</v>
      </c>
      <c r="I1183" s="35" t="s">
        <v>3416</v>
      </c>
      <c r="J1183" s="38">
        <v>0.9440613026819924</v>
      </c>
      <c r="K1183" s="35">
        <v>4</v>
      </c>
      <c r="L1183" s="38">
        <f t="shared" si="18"/>
        <v>3.7762452107279696</v>
      </c>
      <c r="M1183" s="35" t="s">
        <v>11</v>
      </c>
      <c r="N1183" s="38"/>
      <c r="O1183" s="35" t="s">
        <v>12</v>
      </c>
    </row>
    <row r="1184" spans="1:15" x14ac:dyDescent="0.25">
      <c r="A1184" s="35">
        <v>1213602114</v>
      </c>
      <c r="B1184" s="35" t="s">
        <v>3527</v>
      </c>
      <c r="C1184" s="35">
        <v>2025</v>
      </c>
      <c r="D1184" s="36">
        <v>45806.804155092592</v>
      </c>
      <c r="E1184" s="37" t="s">
        <v>35</v>
      </c>
      <c r="F1184" s="37" t="s">
        <v>4306</v>
      </c>
      <c r="G1184" s="37" t="s">
        <v>3855</v>
      </c>
      <c r="H1184" s="35" t="s">
        <v>3419</v>
      </c>
      <c r="I1184" s="35" t="s">
        <v>3416</v>
      </c>
      <c r="J1184" s="38">
        <v>13.93563218390805</v>
      </c>
      <c r="K1184" s="35">
        <v>1</v>
      </c>
      <c r="L1184" s="38">
        <f t="shared" si="18"/>
        <v>13.93563218390805</v>
      </c>
      <c r="M1184" s="35" t="s">
        <v>11</v>
      </c>
      <c r="N1184" s="38"/>
      <c r="O1184" s="35" t="s">
        <v>12</v>
      </c>
    </row>
    <row r="1185" spans="1:15" x14ac:dyDescent="0.25">
      <c r="A1185" s="35">
        <v>1213306033</v>
      </c>
      <c r="B1185" s="35" t="s">
        <v>3527</v>
      </c>
      <c r="C1185" s="35">
        <v>2025</v>
      </c>
      <c r="D1185" s="36">
        <v>45804.868587962963</v>
      </c>
      <c r="E1185" s="37" t="s">
        <v>414</v>
      </c>
      <c r="F1185" s="37" t="s">
        <v>4289</v>
      </c>
      <c r="G1185" s="37" t="s">
        <v>4307</v>
      </c>
      <c r="H1185" s="35" t="s">
        <v>3415</v>
      </c>
      <c r="I1185" s="35" t="s">
        <v>3453</v>
      </c>
      <c r="J1185" s="38">
        <v>18.440694024478042</v>
      </c>
      <c r="K1185" s="35">
        <v>4</v>
      </c>
      <c r="L1185" s="38">
        <f t="shared" si="18"/>
        <v>73.762776097912166</v>
      </c>
      <c r="M1185" s="35" t="s">
        <v>11</v>
      </c>
      <c r="N1185" s="38"/>
      <c r="O1185" s="35" t="s">
        <v>12</v>
      </c>
    </row>
    <row r="1186" spans="1:15" x14ac:dyDescent="0.25">
      <c r="A1186" s="35">
        <v>1213306033</v>
      </c>
      <c r="B1186" s="35" t="s">
        <v>3527</v>
      </c>
      <c r="C1186" s="35">
        <v>2025</v>
      </c>
      <c r="D1186" s="36">
        <v>45804.868587962963</v>
      </c>
      <c r="E1186" s="37" t="s">
        <v>414</v>
      </c>
      <c r="F1186" s="37" t="s">
        <v>4308</v>
      </c>
      <c r="G1186" s="37" t="s">
        <v>4309</v>
      </c>
      <c r="H1186" s="35" t="s">
        <v>3419</v>
      </c>
      <c r="I1186" s="35" t="s">
        <v>3416</v>
      </c>
      <c r="J1186" s="38">
        <v>1.617223902087833</v>
      </c>
      <c r="K1186" s="35">
        <v>1</v>
      </c>
      <c r="L1186" s="38">
        <f t="shared" si="18"/>
        <v>1.617223902087833</v>
      </c>
      <c r="M1186" s="35" t="s">
        <v>11</v>
      </c>
      <c r="N1186" s="38"/>
      <c r="O1186" s="35" t="s">
        <v>12</v>
      </c>
    </row>
    <row r="1187" spans="1:15" ht="30" x14ac:dyDescent="0.25">
      <c r="A1187" s="35">
        <v>1211774266</v>
      </c>
      <c r="B1187" s="35" t="s">
        <v>3527</v>
      </c>
      <c r="C1187" s="35">
        <v>2025</v>
      </c>
      <c r="D1187" s="36">
        <v>45793.871631944443</v>
      </c>
      <c r="E1187" s="37" t="s">
        <v>1178</v>
      </c>
      <c r="F1187" s="37" t="s">
        <v>4313</v>
      </c>
      <c r="G1187" s="37" t="s">
        <v>3520</v>
      </c>
      <c r="H1187" s="35" t="s">
        <v>3419</v>
      </c>
      <c r="I1187" s="35" t="s">
        <v>3416</v>
      </c>
      <c r="J1187" s="38">
        <v>13.370230094959821</v>
      </c>
      <c r="K1187" s="35">
        <v>1</v>
      </c>
      <c r="L1187" s="38">
        <f t="shared" si="18"/>
        <v>13.370230094959821</v>
      </c>
      <c r="M1187" s="35" t="s">
        <v>11</v>
      </c>
      <c r="N1187" s="38"/>
      <c r="O1187" s="35" t="s">
        <v>12</v>
      </c>
    </row>
    <row r="1188" spans="1:15" ht="30" x14ac:dyDescent="0.25">
      <c r="A1188" s="35">
        <v>1211774266</v>
      </c>
      <c r="B1188" s="35" t="s">
        <v>3527</v>
      </c>
      <c r="C1188" s="35">
        <v>2025</v>
      </c>
      <c r="D1188" s="36">
        <v>45793.871631944443</v>
      </c>
      <c r="E1188" s="37" t="s">
        <v>1178</v>
      </c>
      <c r="F1188" s="37" t="s">
        <v>4314</v>
      </c>
      <c r="G1188" s="37" t="s">
        <v>3520</v>
      </c>
      <c r="H1188" s="35" t="s">
        <v>3419</v>
      </c>
      <c r="I1188" s="35" t="s">
        <v>3416</v>
      </c>
      <c r="J1188" s="38">
        <v>12.15364864864865</v>
      </c>
      <c r="K1188" s="35">
        <v>1</v>
      </c>
      <c r="L1188" s="38">
        <f t="shared" si="18"/>
        <v>12.15364864864865</v>
      </c>
      <c r="M1188" s="35" t="s">
        <v>11</v>
      </c>
      <c r="N1188" s="38"/>
      <c r="O1188" s="35" t="s">
        <v>12</v>
      </c>
    </row>
    <row r="1189" spans="1:15" ht="30" x14ac:dyDescent="0.25">
      <c r="A1189" s="35">
        <v>1211774266</v>
      </c>
      <c r="B1189" s="35" t="s">
        <v>3527</v>
      </c>
      <c r="C1189" s="35">
        <v>2025</v>
      </c>
      <c r="D1189" s="36">
        <v>45793.871631944443</v>
      </c>
      <c r="E1189" s="37" t="s">
        <v>1178</v>
      </c>
      <c r="F1189" s="37" t="s">
        <v>4311</v>
      </c>
      <c r="G1189" s="37" t="s">
        <v>3520</v>
      </c>
      <c r="H1189" s="35" t="s">
        <v>3419</v>
      </c>
      <c r="I1189" s="35" t="s">
        <v>3416</v>
      </c>
      <c r="J1189" s="38">
        <v>7.7861212563915263</v>
      </c>
      <c r="K1189" s="35">
        <v>1</v>
      </c>
      <c r="L1189" s="38">
        <f t="shared" si="18"/>
        <v>7.7861212563915263</v>
      </c>
      <c r="M1189" s="35" t="s">
        <v>11</v>
      </c>
      <c r="N1189" s="38"/>
      <c r="O1189" s="35" t="s">
        <v>12</v>
      </c>
    </row>
    <row r="1190" spans="1:15" ht="30" x14ac:dyDescent="0.25">
      <c r="A1190" s="35">
        <v>1211773233</v>
      </c>
      <c r="B1190" s="35" t="s">
        <v>3527</v>
      </c>
      <c r="C1190" s="35">
        <v>2025</v>
      </c>
      <c r="D1190" s="36">
        <v>45793.871631944443</v>
      </c>
      <c r="E1190" s="37" t="s">
        <v>1181</v>
      </c>
      <c r="F1190" s="37" t="s">
        <v>4315</v>
      </c>
      <c r="G1190" s="37" t="s">
        <v>3520</v>
      </c>
      <c r="H1190" s="35" t="s">
        <v>3419</v>
      </c>
      <c r="I1190" s="35" t="s">
        <v>3416</v>
      </c>
      <c r="J1190" s="38">
        <v>19.829999999999998</v>
      </c>
      <c r="K1190" s="35">
        <v>1</v>
      </c>
      <c r="L1190" s="38">
        <f t="shared" si="18"/>
        <v>19.829999999999998</v>
      </c>
      <c r="M1190" s="35" t="s">
        <v>11</v>
      </c>
      <c r="N1190" s="38"/>
      <c r="O1190" s="35" t="s">
        <v>12</v>
      </c>
    </row>
    <row r="1191" spans="1:15" ht="30" x14ac:dyDescent="0.25">
      <c r="A1191" s="35">
        <v>1211773018</v>
      </c>
      <c r="B1191" s="35" t="s">
        <v>3527</v>
      </c>
      <c r="C1191" s="35">
        <v>2025</v>
      </c>
      <c r="D1191" s="36">
        <v>45793.871631944443</v>
      </c>
      <c r="E1191" s="37" t="s">
        <v>35</v>
      </c>
      <c r="F1191" s="37" t="s">
        <v>4316</v>
      </c>
      <c r="G1191" s="37" t="s">
        <v>3520</v>
      </c>
      <c r="H1191" s="35" t="s">
        <v>3419</v>
      </c>
      <c r="I1191" s="35" t="s">
        <v>3416</v>
      </c>
      <c r="J1191" s="38">
        <v>6.4951278326554336</v>
      </c>
      <c r="K1191" s="35">
        <v>1</v>
      </c>
      <c r="L1191" s="38">
        <f t="shared" si="18"/>
        <v>6.4951278326554336</v>
      </c>
      <c r="M1191" s="35" t="s">
        <v>11</v>
      </c>
      <c r="N1191" s="38"/>
      <c r="O1191" s="35" t="s">
        <v>12</v>
      </c>
    </row>
    <row r="1192" spans="1:15" ht="30" x14ac:dyDescent="0.25">
      <c r="A1192" s="35">
        <v>1211773018</v>
      </c>
      <c r="B1192" s="35" t="s">
        <v>3527</v>
      </c>
      <c r="C1192" s="35">
        <v>2025</v>
      </c>
      <c r="D1192" s="36">
        <v>45793.871631944443</v>
      </c>
      <c r="E1192" s="37" t="s">
        <v>35</v>
      </c>
      <c r="F1192" s="37" t="s">
        <v>4317</v>
      </c>
      <c r="G1192" s="37" t="s">
        <v>3520</v>
      </c>
      <c r="H1192" s="35" t="s">
        <v>3419</v>
      </c>
      <c r="I1192" s="35" t="s">
        <v>3416</v>
      </c>
      <c r="J1192" s="38">
        <v>19.528829169087739</v>
      </c>
      <c r="K1192" s="35">
        <v>1</v>
      </c>
      <c r="L1192" s="38">
        <f t="shared" si="18"/>
        <v>19.528829169087739</v>
      </c>
      <c r="M1192" s="35" t="s">
        <v>11</v>
      </c>
      <c r="N1192" s="38"/>
      <c r="O1192" s="35" t="s">
        <v>12</v>
      </c>
    </row>
    <row r="1193" spans="1:15" ht="30" x14ac:dyDescent="0.25">
      <c r="A1193" s="35">
        <v>1211773018</v>
      </c>
      <c r="B1193" s="35" t="s">
        <v>3527</v>
      </c>
      <c r="C1193" s="35">
        <v>2025</v>
      </c>
      <c r="D1193" s="36">
        <v>45793.871631944443</v>
      </c>
      <c r="E1193" s="37" t="s">
        <v>35</v>
      </c>
      <c r="F1193" s="37" t="s">
        <v>4318</v>
      </c>
      <c r="G1193" s="37" t="s">
        <v>3520</v>
      </c>
      <c r="H1193" s="35" t="s">
        <v>3419</v>
      </c>
      <c r="I1193" s="35" t="s">
        <v>3416</v>
      </c>
      <c r="J1193" s="38">
        <v>14.09812027890761</v>
      </c>
      <c r="K1193" s="35">
        <v>1</v>
      </c>
      <c r="L1193" s="38">
        <f t="shared" si="18"/>
        <v>14.09812027890761</v>
      </c>
      <c r="M1193" s="35" t="s">
        <v>11</v>
      </c>
      <c r="N1193" s="38"/>
      <c r="O1193" s="35" t="s">
        <v>12</v>
      </c>
    </row>
    <row r="1194" spans="1:15" ht="30" x14ac:dyDescent="0.25">
      <c r="A1194" s="35">
        <v>1211773018</v>
      </c>
      <c r="B1194" s="35" t="s">
        <v>3527</v>
      </c>
      <c r="C1194" s="35">
        <v>2025</v>
      </c>
      <c r="D1194" s="36">
        <v>45793.871631944443</v>
      </c>
      <c r="E1194" s="37" t="s">
        <v>35</v>
      </c>
      <c r="F1194" s="37" t="s">
        <v>4319</v>
      </c>
      <c r="G1194" s="37" t="s">
        <v>3520</v>
      </c>
      <c r="H1194" s="35" t="s">
        <v>3419</v>
      </c>
      <c r="I1194" s="35" t="s">
        <v>3416</v>
      </c>
      <c r="J1194" s="38">
        <v>13.01197850087159</v>
      </c>
      <c r="K1194" s="35">
        <v>1</v>
      </c>
      <c r="L1194" s="38">
        <f t="shared" si="18"/>
        <v>13.01197850087159</v>
      </c>
      <c r="M1194" s="35" t="s">
        <v>11</v>
      </c>
      <c r="N1194" s="38"/>
      <c r="O1194" s="35" t="s">
        <v>12</v>
      </c>
    </row>
    <row r="1195" spans="1:15" ht="30" x14ac:dyDescent="0.25">
      <c r="A1195" s="35">
        <v>1211773018</v>
      </c>
      <c r="B1195" s="35" t="s">
        <v>3527</v>
      </c>
      <c r="C1195" s="35">
        <v>2025</v>
      </c>
      <c r="D1195" s="36">
        <v>45793.871631944443</v>
      </c>
      <c r="E1195" s="37" t="s">
        <v>35</v>
      </c>
      <c r="F1195" s="37" t="s">
        <v>4320</v>
      </c>
      <c r="G1195" s="37" t="s">
        <v>3520</v>
      </c>
      <c r="H1195" s="35" t="s">
        <v>3419</v>
      </c>
      <c r="I1195" s="35" t="s">
        <v>3416</v>
      </c>
      <c r="J1195" s="38">
        <v>17.313099941894251</v>
      </c>
      <c r="K1195" s="35">
        <v>1</v>
      </c>
      <c r="L1195" s="38">
        <f t="shared" si="18"/>
        <v>17.313099941894251</v>
      </c>
      <c r="M1195" s="35" t="s">
        <v>11</v>
      </c>
      <c r="N1195" s="38"/>
      <c r="O1195" s="35" t="s">
        <v>12</v>
      </c>
    </row>
    <row r="1196" spans="1:15" ht="30" x14ac:dyDescent="0.25">
      <c r="A1196" s="35">
        <v>1211773018</v>
      </c>
      <c r="B1196" s="35" t="s">
        <v>3527</v>
      </c>
      <c r="C1196" s="35">
        <v>2025</v>
      </c>
      <c r="D1196" s="36">
        <v>45793.871631944443</v>
      </c>
      <c r="E1196" s="37" t="s">
        <v>35</v>
      </c>
      <c r="F1196" s="37" t="s">
        <v>3833</v>
      </c>
      <c r="G1196" s="37" t="s">
        <v>3520</v>
      </c>
      <c r="H1196" s="35" t="s">
        <v>3419</v>
      </c>
      <c r="I1196" s="35" t="s">
        <v>3416</v>
      </c>
      <c r="J1196" s="38">
        <v>4.3228442765833819</v>
      </c>
      <c r="K1196" s="35">
        <v>1</v>
      </c>
      <c r="L1196" s="38">
        <f t="shared" si="18"/>
        <v>4.3228442765833819</v>
      </c>
      <c r="M1196" s="35" t="s">
        <v>11</v>
      </c>
      <c r="N1196" s="38"/>
      <c r="O1196" s="35" t="s">
        <v>12</v>
      </c>
    </row>
    <row r="1197" spans="1:15" x14ac:dyDescent="0.25">
      <c r="A1197" s="35">
        <v>1211370924</v>
      </c>
      <c r="B1197" s="35" t="s">
        <v>3527</v>
      </c>
      <c r="C1197" s="35">
        <v>2025</v>
      </c>
      <c r="D1197" s="36">
        <v>45791.802708333344</v>
      </c>
      <c r="E1197" s="37" t="s">
        <v>1187</v>
      </c>
      <c r="F1197" s="37" t="s">
        <v>3958</v>
      </c>
      <c r="G1197" s="37" t="s">
        <v>3788</v>
      </c>
      <c r="H1197" s="35" t="s">
        <v>3419</v>
      </c>
      <c r="I1197" s="35" t="s">
        <v>3416</v>
      </c>
      <c r="J1197" s="38">
        <v>4.66</v>
      </c>
      <c r="K1197" s="35">
        <v>1</v>
      </c>
      <c r="L1197" s="38">
        <f t="shared" si="18"/>
        <v>4.66</v>
      </c>
      <c r="M1197" s="35" t="s">
        <v>11</v>
      </c>
      <c r="N1197" s="38"/>
      <c r="O1197" s="35" t="s">
        <v>12</v>
      </c>
    </row>
    <row r="1198" spans="1:15" x14ac:dyDescent="0.25">
      <c r="A1198" s="35">
        <v>1211352216</v>
      </c>
      <c r="B1198" s="35" t="s">
        <v>3527</v>
      </c>
      <c r="C1198" s="35">
        <v>2025</v>
      </c>
      <c r="D1198" s="36">
        <v>45791.802708333344</v>
      </c>
      <c r="E1198" s="37" t="s">
        <v>294</v>
      </c>
      <c r="F1198" s="37" t="s">
        <v>4325</v>
      </c>
      <c r="G1198" s="37" t="s">
        <v>4326</v>
      </c>
      <c r="H1198" s="35" t="s">
        <v>3415</v>
      </c>
      <c r="I1198" s="35" t="s">
        <v>3416</v>
      </c>
      <c r="J1198" s="38">
        <v>1.7825</v>
      </c>
      <c r="K1198" s="35">
        <v>4</v>
      </c>
      <c r="L1198" s="38">
        <f t="shared" si="18"/>
        <v>7.13</v>
      </c>
      <c r="M1198" s="35" t="s">
        <v>11</v>
      </c>
      <c r="N1198" s="38"/>
      <c r="O1198" s="35" t="s">
        <v>12</v>
      </c>
    </row>
    <row r="1199" spans="1:15" x14ac:dyDescent="0.25">
      <c r="A1199" s="35">
        <v>1211187803</v>
      </c>
      <c r="B1199" s="35" t="s">
        <v>3527</v>
      </c>
      <c r="C1199" s="35">
        <v>2025</v>
      </c>
      <c r="D1199" s="36">
        <v>45790.321111111109</v>
      </c>
      <c r="E1199" s="37" t="s">
        <v>1190</v>
      </c>
      <c r="F1199" s="37" t="s">
        <v>4327</v>
      </c>
      <c r="G1199" s="37" t="s">
        <v>4242</v>
      </c>
      <c r="H1199" s="35" t="s">
        <v>3419</v>
      </c>
      <c r="I1199" s="35" t="s">
        <v>3416</v>
      </c>
      <c r="J1199" s="38">
        <v>7.83</v>
      </c>
      <c r="K1199" s="35">
        <v>1</v>
      </c>
      <c r="L1199" s="38">
        <f t="shared" si="18"/>
        <v>7.83</v>
      </c>
      <c r="M1199" s="35" t="s">
        <v>11</v>
      </c>
      <c r="N1199" s="38"/>
      <c r="O1199" s="35" t="s">
        <v>12</v>
      </c>
    </row>
    <row r="1200" spans="1:15" x14ac:dyDescent="0.25">
      <c r="A1200" s="35">
        <v>1211187793</v>
      </c>
      <c r="B1200" s="35" t="s">
        <v>3527</v>
      </c>
      <c r="C1200" s="35">
        <v>2025</v>
      </c>
      <c r="D1200" s="36">
        <v>45790.321111111109</v>
      </c>
      <c r="E1200" s="37" t="s">
        <v>1193</v>
      </c>
      <c r="F1200" s="37" t="s">
        <v>4327</v>
      </c>
      <c r="G1200" s="37" t="s">
        <v>4242</v>
      </c>
      <c r="H1200" s="35" t="s">
        <v>3419</v>
      </c>
      <c r="I1200" s="35" t="s">
        <v>3416</v>
      </c>
      <c r="J1200" s="38">
        <v>7.31</v>
      </c>
      <c r="K1200" s="35">
        <v>1</v>
      </c>
      <c r="L1200" s="38">
        <f t="shared" si="18"/>
        <v>7.31</v>
      </c>
      <c r="M1200" s="35" t="s">
        <v>11</v>
      </c>
      <c r="N1200" s="38"/>
      <c r="O1200" s="35" t="s">
        <v>12</v>
      </c>
    </row>
    <row r="1201" spans="1:15" x14ac:dyDescent="0.25">
      <c r="A1201" s="35">
        <v>1211187774</v>
      </c>
      <c r="B1201" s="35" t="s">
        <v>3527</v>
      </c>
      <c r="C1201" s="35">
        <v>2025</v>
      </c>
      <c r="D1201" s="36">
        <v>45790.321111111109</v>
      </c>
      <c r="E1201" s="37" t="s">
        <v>1195</v>
      </c>
      <c r="F1201" s="37" t="s">
        <v>4327</v>
      </c>
      <c r="G1201" s="37" t="s">
        <v>4242</v>
      </c>
      <c r="H1201" s="35" t="s">
        <v>3419</v>
      </c>
      <c r="I1201" s="35" t="s">
        <v>3416</v>
      </c>
      <c r="J1201" s="38">
        <v>7.9649999999999999</v>
      </c>
      <c r="K1201" s="35">
        <v>2</v>
      </c>
      <c r="L1201" s="38">
        <f t="shared" si="18"/>
        <v>15.93</v>
      </c>
      <c r="M1201" s="35" t="s">
        <v>11</v>
      </c>
      <c r="N1201" s="38"/>
      <c r="O1201" s="35" t="s">
        <v>12</v>
      </c>
    </row>
    <row r="1202" spans="1:15" x14ac:dyDescent="0.25">
      <c r="A1202" s="35">
        <v>1210865447</v>
      </c>
      <c r="B1202" s="35" t="s">
        <v>3527</v>
      </c>
      <c r="C1202" s="35">
        <v>2025</v>
      </c>
      <c r="D1202" s="36">
        <v>45788.000659722216</v>
      </c>
      <c r="E1202" s="37" t="s">
        <v>1200</v>
      </c>
      <c r="F1202" s="37" t="s">
        <v>3717</v>
      </c>
      <c r="G1202" s="37" t="s">
        <v>3788</v>
      </c>
      <c r="H1202" s="35" t="s">
        <v>3419</v>
      </c>
      <c r="I1202" s="35" t="s">
        <v>3416</v>
      </c>
      <c r="J1202" s="38">
        <v>0.51944954128440368</v>
      </c>
      <c r="K1202" s="35">
        <v>2</v>
      </c>
      <c r="L1202" s="38">
        <f t="shared" si="18"/>
        <v>1.0388990825688074</v>
      </c>
      <c r="M1202" s="35" t="s">
        <v>11</v>
      </c>
      <c r="N1202" s="38"/>
      <c r="O1202" s="35" t="s">
        <v>12</v>
      </c>
    </row>
    <row r="1203" spans="1:15" x14ac:dyDescent="0.25">
      <c r="A1203" s="35">
        <v>1210865447</v>
      </c>
      <c r="B1203" s="35" t="s">
        <v>3527</v>
      </c>
      <c r="C1203" s="35">
        <v>2025</v>
      </c>
      <c r="D1203" s="36">
        <v>45788.000659722216</v>
      </c>
      <c r="E1203" s="37" t="s">
        <v>1200</v>
      </c>
      <c r="F1203" s="37" t="s">
        <v>3958</v>
      </c>
      <c r="G1203" s="37" t="s">
        <v>3788</v>
      </c>
      <c r="H1203" s="35" t="s">
        <v>3419</v>
      </c>
      <c r="I1203" s="35" t="s">
        <v>3416</v>
      </c>
      <c r="J1203" s="38">
        <v>5.4405504587155962</v>
      </c>
      <c r="K1203" s="35">
        <v>2</v>
      </c>
      <c r="L1203" s="38">
        <f t="shared" si="18"/>
        <v>10.881100917431192</v>
      </c>
      <c r="M1203" s="35" t="s">
        <v>11</v>
      </c>
      <c r="N1203" s="38"/>
      <c r="O1203" s="35" t="s">
        <v>12</v>
      </c>
    </row>
    <row r="1204" spans="1:15" x14ac:dyDescent="0.25">
      <c r="A1204" s="35">
        <v>1210865028</v>
      </c>
      <c r="B1204" s="35" t="s">
        <v>3527</v>
      </c>
      <c r="C1204" s="35">
        <v>2025</v>
      </c>
      <c r="D1204" s="36">
        <v>45788.000659722216</v>
      </c>
      <c r="E1204" s="37" t="s">
        <v>1202</v>
      </c>
      <c r="F1204" s="37" t="s">
        <v>4329</v>
      </c>
      <c r="G1204" s="37" t="s">
        <v>4059</v>
      </c>
      <c r="H1204" s="35" t="s">
        <v>3419</v>
      </c>
      <c r="I1204" s="35" t="s">
        <v>3416</v>
      </c>
      <c r="J1204" s="38">
        <v>0.94333333333333336</v>
      </c>
      <c r="K1204" s="35">
        <v>1</v>
      </c>
      <c r="L1204" s="38">
        <f t="shared" si="18"/>
        <v>0.94333333333333336</v>
      </c>
      <c r="M1204" s="35" t="s">
        <v>11</v>
      </c>
      <c r="N1204" s="38"/>
      <c r="O1204" s="35" t="s">
        <v>12</v>
      </c>
    </row>
    <row r="1205" spans="1:15" x14ac:dyDescent="0.25">
      <c r="A1205" s="35">
        <v>1210865028</v>
      </c>
      <c r="B1205" s="35" t="s">
        <v>3527</v>
      </c>
      <c r="C1205" s="35">
        <v>2025</v>
      </c>
      <c r="D1205" s="36">
        <v>45788.000659722216</v>
      </c>
      <c r="E1205" s="37" t="s">
        <v>1202</v>
      </c>
      <c r="F1205" s="37" t="s">
        <v>4330</v>
      </c>
      <c r="G1205" s="37" t="s">
        <v>4059</v>
      </c>
      <c r="H1205" s="35" t="s">
        <v>3419</v>
      </c>
      <c r="I1205" s="35" t="s">
        <v>3416</v>
      </c>
      <c r="J1205" s="38">
        <v>1.8866666666666669</v>
      </c>
      <c r="K1205" s="35">
        <v>1</v>
      </c>
      <c r="L1205" s="38">
        <f t="shared" si="18"/>
        <v>1.8866666666666669</v>
      </c>
      <c r="M1205" s="35" t="s">
        <v>11</v>
      </c>
      <c r="N1205" s="38"/>
      <c r="O1205" s="35" t="s">
        <v>12</v>
      </c>
    </row>
    <row r="1206" spans="1:15" x14ac:dyDescent="0.25">
      <c r="A1206" s="35">
        <v>1210865024</v>
      </c>
      <c r="B1206" s="35" t="s">
        <v>3527</v>
      </c>
      <c r="C1206" s="35">
        <v>2025</v>
      </c>
      <c r="D1206" s="36">
        <v>45788.000659722216</v>
      </c>
      <c r="E1206" s="37" t="s">
        <v>1204</v>
      </c>
      <c r="F1206" s="37" t="s">
        <v>4330</v>
      </c>
      <c r="G1206" s="37" t="s">
        <v>4059</v>
      </c>
      <c r="H1206" s="35" t="s">
        <v>3419</v>
      </c>
      <c r="I1206" s="35" t="s">
        <v>3416</v>
      </c>
      <c r="J1206" s="38">
        <v>1.83</v>
      </c>
      <c r="K1206" s="35">
        <v>1</v>
      </c>
      <c r="L1206" s="38">
        <f t="shared" si="18"/>
        <v>1.83</v>
      </c>
      <c r="M1206" s="35" t="s">
        <v>11</v>
      </c>
      <c r="N1206" s="38"/>
      <c r="O1206" s="35" t="s">
        <v>12</v>
      </c>
    </row>
    <row r="1207" spans="1:15" x14ac:dyDescent="0.25">
      <c r="A1207" s="35">
        <v>1210865021</v>
      </c>
      <c r="B1207" s="35" t="s">
        <v>3527</v>
      </c>
      <c r="C1207" s="35">
        <v>2025</v>
      </c>
      <c r="D1207" s="36">
        <v>45788.000659722216</v>
      </c>
      <c r="E1207" s="37" t="s">
        <v>1148</v>
      </c>
      <c r="F1207" s="37" t="s">
        <v>4330</v>
      </c>
      <c r="G1207" s="37" t="s">
        <v>4059</v>
      </c>
      <c r="H1207" s="35" t="s">
        <v>3419</v>
      </c>
      <c r="I1207" s="35" t="s">
        <v>3416</v>
      </c>
      <c r="J1207" s="38">
        <v>1.655</v>
      </c>
      <c r="K1207" s="35">
        <v>2</v>
      </c>
      <c r="L1207" s="38">
        <f t="shared" si="18"/>
        <v>3.31</v>
      </c>
      <c r="M1207" s="35" t="s">
        <v>11</v>
      </c>
      <c r="N1207" s="38"/>
      <c r="O1207" s="35" t="s">
        <v>12</v>
      </c>
    </row>
    <row r="1208" spans="1:15" x14ac:dyDescent="0.25">
      <c r="A1208" s="35">
        <v>1210864771</v>
      </c>
      <c r="B1208" s="35" t="s">
        <v>3527</v>
      </c>
      <c r="C1208" s="35">
        <v>2025</v>
      </c>
      <c r="D1208" s="36">
        <v>45788.000659722216</v>
      </c>
      <c r="E1208" s="37" t="s">
        <v>1206</v>
      </c>
      <c r="F1208" s="37" t="s">
        <v>4331</v>
      </c>
      <c r="G1208" s="37" t="s">
        <v>4059</v>
      </c>
      <c r="H1208" s="35" t="s">
        <v>3415</v>
      </c>
      <c r="I1208" s="35" t="s">
        <v>3416</v>
      </c>
      <c r="J1208" s="38">
        <v>2.3224999999999998</v>
      </c>
      <c r="K1208" s="35">
        <v>4</v>
      </c>
      <c r="L1208" s="38">
        <f t="shared" si="18"/>
        <v>9.2899999999999991</v>
      </c>
      <c r="M1208" s="35" t="s">
        <v>11</v>
      </c>
      <c r="N1208" s="38"/>
      <c r="O1208" s="35" t="s">
        <v>12</v>
      </c>
    </row>
    <row r="1209" spans="1:15" x14ac:dyDescent="0.25">
      <c r="A1209" s="35">
        <v>1210864766</v>
      </c>
      <c r="B1209" s="35" t="s">
        <v>3527</v>
      </c>
      <c r="C1209" s="35">
        <v>2025</v>
      </c>
      <c r="D1209" s="36">
        <v>45788.000659722216</v>
      </c>
      <c r="E1209" s="37" t="s">
        <v>1208</v>
      </c>
      <c r="F1209" s="37" t="s">
        <v>4329</v>
      </c>
      <c r="G1209" s="37" t="s">
        <v>4059</v>
      </c>
      <c r="H1209" s="35" t="s">
        <v>3419</v>
      </c>
      <c r="I1209" s="35" t="s">
        <v>3416</v>
      </c>
      <c r="J1209" s="38">
        <v>1.9022474032105761</v>
      </c>
      <c r="K1209" s="35">
        <v>3</v>
      </c>
      <c r="L1209" s="38">
        <f t="shared" si="18"/>
        <v>5.7067422096317282</v>
      </c>
      <c r="M1209" s="35" t="s">
        <v>11</v>
      </c>
      <c r="N1209" s="38"/>
      <c r="O1209" s="35" t="s">
        <v>12</v>
      </c>
    </row>
    <row r="1210" spans="1:15" x14ac:dyDescent="0.25">
      <c r="A1210" s="35">
        <v>1210864766</v>
      </c>
      <c r="B1210" s="35" t="s">
        <v>3527</v>
      </c>
      <c r="C1210" s="35">
        <v>2025</v>
      </c>
      <c r="D1210" s="36">
        <v>45788.000659722216</v>
      </c>
      <c r="E1210" s="37" t="s">
        <v>1208</v>
      </c>
      <c r="F1210" s="37" t="s">
        <v>3935</v>
      </c>
      <c r="G1210" s="37" t="s">
        <v>3648</v>
      </c>
      <c r="H1210" s="35" t="s">
        <v>3415</v>
      </c>
      <c r="I1210" s="35" t="s">
        <v>3416</v>
      </c>
      <c r="J1210" s="38">
        <v>0.77665722379603397</v>
      </c>
      <c r="K1210" s="35">
        <v>4</v>
      </c>
      <c r="L1210" s="38">
        <f t="shared" si="18"/>
        <v>3.1066288951841359</v>
      </c>
      <c r="M1210" s="35" t="s">
        <v>11</v>
      </c>
      <c r="N1210" s="38"/>
      <c r="O1210" s="35" t="s">
        <v>12</v>
      </c>
    </row>
    <row r="1211" spans="1:15" x14ac:dyDescent="0.25">
      <c r="A1211" s="35">
        <v>1210864766</v>
      </c>
      <c r="B1211" s="35" t="s">
        <v>3527</v>
      </c>
      <c r="C1211" s="35">
        <v>2025</v>
      </c>
      <c r="D1211" s="36">
        <v>45788.000659722216</v>
      </c>
      <c r="E1211" s="37" t="s">
        <v>1208</v>
      </c>
      <c r="F1211" s="37" t="s">
        <v>3647</v>
      </c>
      <c r="G1211" s="37" t="s">
        <v>3648</v>
      </c>
      <c r="H1211" s="35" t="s">
        <v>3415</v>
      </c>
      <c r="I1211" s="35" t="s">
        <v>3416</v>
      </c>
      <c r="J1211" s="38">
        <v>0.77665722379603397</v>
      </c>
      <c r="K1211" s="35">
        <v>4</v>
      </c>
      <c r="L1211" s="38">
        <f t="shared" si="18"/>
        <v>3.1066288951841359</v>
      </c>
      <c r="M1211" s="35" t="s">
        <v>11</v>
      </c>
      <c r="N1211" s="38"/>
      <c r="O1211" s="35" t="s">
        <v>12</v>
      </c>
    </row>
    <row r="1212" spans="1:15" x14ac:dyDescent="0.25">
      <c r="A1212" s="35">
        <v>1210864749</v>
      </c>
      <c r="B1212" s="35" t="s">
        <v>3527</v>
      </c>
      <c r="C1212" s="35">
        <v>2025</v>
      </c>
      <c r="D1212" s="36">
        <v>45788.000659722216</v>
      </c>
      <c r="E1212" s="37" t="s">
        <v>1210</v>
      </c>
      <c r="F1212" s="37" t="s">
        <v>4332</v>
      </c>
      <c r="G1212" s="37" t="s">
        <v>4059</v>
      </c>
      <c r="H1212" s="35" t="s">
        <v>3415</v>
      </c>
      <c r="I1212" s="35" t="s">
        <v>3416</v>
      </c>
      <c r="J1212" s="38">
        <v>0.82250000000000001</v>
      </c>
      <c r="K1212" s="35">
        <v>4</v>
      </c>
      <c r="L1212" s="38">
        <f t="shared" si="18"/>
        <v>3.29</v>
      </c>
      <c r="M1212" s="35" t="s">
        <v>11</v>
      </c>
      <c r="N1212" s="38"/>
      <c r="O1212" s="35" t="s">
        <v>12</v>
      </c>
    </row>
    <row r="1213" spans="1:15" x14ac:dyDescent="0.25">
      <c r="A1213" s="35">
        <v>1210864745</v>
      </c>
      <c r="B1213" s="35" t="s">
        <v>3527</v>
      </c>
      <c r="C1213" s="35">
        <v>2025</v>
      </c>
      <c r="D1213" s="36">
        <v>45788.000659722216</v>
      </c>
      <c r="E1213" s="37" t="s">
        <v>1212</v>
      </c>
      <c r="F1213" s="37" t="s">
        <v>3958</v>
      </c>
      <c r="G1213" s="37" t="s">
        <v>3788</v>
      </c>
      <c r="H1213" s="35" t="s">
        <v>3419</v>
      </c>
      <c r="I1213" s="35" t="s">
        <v>3416</v>
      </c>
      <c r="J1213" s="38">
        <v>2.82</v>
      </c>
      <c r="K1213" s="35">
        <v>1</v>
      </c>
      <c r="L1213" s="38">
        <f t="shared" si="18"/>
        <v>2.82</v>
      </c>
      <c r="M1213" s="35" t="s">
        <v>11</v>
      </c>
      <c r="N1213" s="38"/>
      <c r="O1213" s="35" t="s">
        <v>12</v>
      </c>
    </row>
    <row r="1214" spans="1:15" x14ac:dyDescent="0.25">
      <c r="A1214" s="35">
        <v>1210863081</v>
      </c>
      <c r="B1214" s="35" t="s">
        <v>3527</v>
      </c>
      <c r="C1214" s="35">
        <v>2025</v>
      </c>
      <c r="D1214" s="36">
        <v>45788.000659722216</v>
      </c>
      <c r="E1214" s="37" t="s">
        <v>414</v>
      </c>
      <c r="F1214" s="37" t="s">
        <v>4333</v>
      </c>
      <c r="G1214" s="37" t="s">
        <v>3788</v>
      </c>
      <c r="H1214" s="35" t="s">
        <v>3415</v>
      </c>
      <c r="I1214" s="35" t="s">
        <v>3416</v>
      </c>
      <c r="J1214" s="38">
        <v>1.137943820224719</v>
      </c>
      <c r="K1214" s="35">
        <v>4</v>
      </c>
      <c r="L1214" s="38">
        <f t="shared" si="18"/>
        <v>4.5517752808988758</v>
      </c>
      <c r="M1214" s="35" t="s">
        <v>11</v>
      </c>
      <c r="N1214" s="38"/>
      <c r="O1214" s="35" t="s">
        <v>12</v>
      </c>
    </row>
    <row r="1215" spans="1:15" x14ac:dyDescent="0.25">
      <c r="A1215" s="35">
        <v>1210863081</v>
      </c>
      <c r="B1215" s="35" t="s">
        <v>3527</v>
      </c>
      <c r="C1215" s="35">
        <v>2025</v>
      </c>
      <c r="D1215" s="36">
        <v>45788.000659722216</v>
      </c>
      <c r="E1215" s="37" t="s">
        <v>414</v>
      </c>
      <c r="F1215" s="37" t="s">
        <v>3717</v>
      </c>
      <c r="G1215" s="37" t="s">
        <v>3788</v>
      </c>
      <c r="H1215" s="35" t="s">
        <v>3419</v>
      </c>
      <c r="I1215" s="35" t="s">
        <v>3416</v>
      </c>
      <c r="J1215" s="38">
        <v>1.7126629213483151</v>
      </c>
      <c r="K1215" s="35">
        <v>2</v>
      </c>
      <c r="L1215" s="38">
        <f t="shared" si="18"/>
        <v>3.4253258426966302</v>
      </c>
      <c r="M1215" s="35" t="s">
        <v>11</v>
      </c>
      <c r="N1215" s="38"/>
      <c r="O1215" s="35" t="s">
        <v>12</v>
      </c>
    </row>
    <row r="1216" spans="1:15" x14ac:dyDescent="0.25">
      <c r="A1216" s="35">
        <v>1210863081</v>
      </c>
      <c r="B1216" s="35" t="s">
        <v>3527</v>
      </c>
      <c r="C1216" s="35">
        <v>2025</v>
      </c>
      <c r="D1216" s="36">
        <v>45788.000659722216</v>
      </c>
      <c r="E1216" s="37" t="s">
        <v>414</v>
      </c>
      <c r="F1216" s="37" t="s">
        <v>4334</v>
      </c>
      <c r="G1216" s="37" t="s">
        <v>3457</v>
      </c>
      <c r="H1216" s="35" t="s">
        <v>3415</v>
      </c>
      <c r="I1216" s="35" t="s">
        <v>3416</v>
      </c>
      <c r="J1216" s="38">
        <v>0.56322471910112359</v>
      </c>
      <c r="K1216" s="35">
        <v>4</v>
      </c>
      <c r="L1216" s="38">
        <f t="shared" si="18"/>
        <v>2.2528988764044944</v>
      </c>
      <c r="M1216" s="35" t="s">
        <v>11</v>
      </c>
      <c r="N1216" s="38"/>
      <c r="O1216" s="35" t="s">
        <v>12</v>
      </c>
    </row>
    <row r="1217" spans="1:15" x14ac:dyDescent="0.25">
      <c r="A1217" s="35">
        <v>1210825468</v>
      </c>
      <c r="B1217" s="35" t="s">
        <v>3527</v>
      </c>
      <c r="C1217" s="35">
        <v>2025</v>
      </c>
      <c r="D1217" s="36">
        <v>45787.818553240737</v>
      </c>
      <c r="E1217" s="37" t="s">
        <v>499</v>
      </c>
      <c r="F1217" s="37" t="s">
        <v>4335</v>
      </c>
      <c r="G1217" s="37" t="s">
        <v>4242</v>
      </c>
      <c r="H1217" s="35" t="s">
        <v>3419</v>
      </c>
      <c r="I1217" s="35" t="s">
        <v>3416</v>
      </c>
      <c r="J1217" s="38">
        <v>0.47587268993839837</v>
      </c>
      <c r="K1217" s="35">
        <v>1</v>
      </c>
      <c r="L1217" s="38">
        <f t="shared" si="18"/>
        <v>0.47587268993839837</v>
      </c>
      <c r="M1217" s="35" t="s">
        <v>11</v>
      </c>
      <c r="N1217" s="38"/>
      <c r="O1217" s="35" t="s">
        <v>12</v>
      </c>
    </row>
    <row r="1218" spans="1:15" x14ac:dyDescent="0.25">
      <c r="A1218" s="35">
        <v>1210825468</v>
      </c>
      <c r="B1218" s="35" t="s">
        <v>3527</v>
      </c>
      <c r="C1218" s="35">
        <v>2025</v>
      </c>
      <c r="D1218" s="36">
        <v>45787.818553240737</v>
      </c>
      <c r="E1218" s="37" t="s">
        <v>499</v>
      </c>
      <c r="F1218" s="37" t="s">
        <v>4336</v>
      </c>
      <c r="G1218" s="37" t="s">
        <v>3984</v>
      </c>
      <c r="H1218" s="35" t="s">
        <v>3419</v>
      </c>
      <c r="I1218" s="35" t="s">
        <v>3416</v>
      </c>
      <c r="J1218" s="38">
        <v>12.637063655030801</v>
      </c>
      <c r="K1218" s="35">
        <v>2</v>
      </c>
      <c r="L1218" s="38">
        <f t="shared" ref="L1218:L1281" si="19">J1218*K1218</f>
        <v>25.274127310061601</v>
      </c>
      <c r="M1218" s="35" t="s">
        <v>11</v>
      </c>
      <c r="N1218" s="38"/>
      <c r="O1218" s="35" t="s">
        <v>12</v>
      </c>
    </row>
    <row r="1219" spans="1:15" x14ac:dyDescent="0.25">
      <c r="A1219" s="35">
        <v>1209926605</v>
      </c>
      <c r="B1219" s="35" t="s">
        <v>3527</v>
      </c>
      <c r="C1219" s="35">
        <v>2025</v>
      </c>
      <c r="D1219" s="36">
        <v>45782.694953703707</v>
      </c>
      <c r="E1219" s="37" t="s">
        <v>35</v>
      </c>
      <c r="F1219" s="37" t="s">
        <v>4339</v>
      </c>
      <c r="G1219" s="37" t="s">
        <v>3687</v>
      </c>
      <c r="H1219" s="35" t="s">
        <v>3415</v>
      </c>
      <c r="I1219" s="35" t="s">
        <v>3416</v>
      </c>
      <c r="J1219" s="38">
        <v>3.2725</v>
      </c>
      <c r="K1219" s="35">
        <v>4</v>
      </c>
      <c r="L1219" s="38">
        <f t="shared" si="19"/>
        <v>13.09</v>
      </c>
      <c r="M1219" s="35" t="s">
        <v>11</v>
      </c>
      <c r="N1219" s="38"/>
      <c r="O1219" s="35" t="s">
        <v>12</v>
      </c>
    </row>
    <row r="1220" spans="1:15" x14ac:dyDescent="0.25">
      <c r="A1220" s="35">
        <v>1209644453</v>
      </c>
      <c r="B1220" s="35" t="s">
        <v>3527</v>
      </c>
      <c r="C1220" s="35">
        <v>2025</v>
      </c>
      <c r="D1220" s="36">
        <v>45780.670613425929</v>
      </c>
      <c r="E1220" s="37" t="s">
        <v>1220</v>
      </c>
      <c r="F1220" s="37" t="s">
        <v>4341</v>
      </c>
      <c r="G1220" s="37" t="s">
        <v>3676</v>
      </c>
      <c r="H1220" s="35" t="s">
        <v>3415</v>
      </c>
      <c r="I1220" s="35" t="s">
        <v>3453</v>
      </c>
      <c r="J1220" s="38">
        <v>1.3325</v>
      </c>
      <c r="K1220" s="35">
        <v>4</v>
      </c>
      <c r="L1220" s="38">
        <f t="shared" si="19"/>
        <v>5.33</v>
      </c>
      <c r="M1220" s="35" t="s">
        <v>11</v>
      </c>
      <c r="N1220" s="38"/>
      <c r="O1220" s="35" t="s">
        <v>12</v>
      </c>
    </row>
    <row r="1221" spans="1:15" x14ac:dyDescent="0.25">
      <c r="A1221" s="35">
        <v>1209583219</v>
      </c>
      <c r="B1221" s="35" t="s">
        <v>3527</v>
      </c>
      <c r="C1221" s="35">
        <v>2025</v>
      </c>
      <c r="D1221" s="36">
        <v>45780.66878472222</v>
      </c>
      <c r="E1221" s="37" t="s">
        <v>35</v>
      </c>
      <c r="F1221" s="37" t="s">
        <v>4342</v>
      </c>
      <c r="G1221" s="37" t="s">
        <v>4242</v>
      </c>
      <c r="H1221" s="35" t="s">
        <v>3419</v>
      </c>
      <c r="I1221" s="35" t="s">
        <v>3416</v>
      </c>
      <c r="J1221" s="38">
        <v>14.991610446137109</v>
      </c>
      <c r="K1221" s="35">
        <v>1</v>
      </c>
      <c r="L1221" s="38">
        <f t="shared" si="19"/>
        <v>14.991610446137109</v>
      </c>
      <c r="M1221" s="35" t="s">
        <v>11</v>
      </c>
      <c r="N1221" s="38"/>
      <c r="O1221" s="35" t="s">
        <v>12</v>
      </c>
    </row>
    <row r="1222" spans="1:15" x14ac:dyDescent="0.25">
      <c r="A1222" s="35">
        <v>1209583219</v>
      </c>
      <c r="B1222" s="35" t="s">
        <v>3527</v>
      </c>
      <c r="C1222" s="35">
        <v>2025</v>
      </c>
      <c r="D1222" s="36">
        <v>45780.66878472222</v>
      </c>
      <c r="E1222" s="37" t="s">
        <v>35</v>
      </c>
      <c r="F1222" s="37" t="s">
        <v>4343</v>
      </c>
      <c r="G1222" s="37" t="s">
        <v>3628</v>
      </c>
      <c r="H1222" s="35" t="s">
        <v>3415</v>
      </c>
      <c r="I1222" s="35" t="s">
        <v>3416</v>
      </c>
      <c r="J1222" s="38">
        <v>0.52545701849836779</v>
      </c>
      <c r="K1222" s="35">
        <v>4</v>
      </c>
      <c r="L1222" s="38">
        <f t="shared" si="19"/>
        <v>2.1018280739934712</v>
      </c>
      <c r="M1222" s="35" t="s">
        <v>11</v>
      </c>
      <c r="N1222" s="38"/>
      <c r="O1222" s="35" t="s">
        <v>12</v>
      </c>
    </row>
    <row r="1223" spans="1:15" x14ac:dyDescent="0.25">
      <c r="A1223" s="35">
        <v>1209583219</v>
      </c>
      <c r="B1223" s="35" t="s">
        <v>3527</v>
      </c>
      <c r="C1223" s="35">
        <v>2025</v>
      </c>
      <c r="D1223" s="36">
        <v>45780.66878472222</v>
      </c>
      <c r="E1223" s="37" t="s">
        <v>35</v>
      </c>
      <c r="F1223" s="37" t="s">
        <v>4344</v>
      </c>
      <c r="G1223" s="37" t="s">
        <v>3879</v>
      </c>
      <c r="H1223" s="35" t="s">
        <v>3415</v>
      </c>
      <c r="I1223" s="35" t="s">
        <v>3416</v>
      </c>
      <c r="J1223" s="38">
        <v>0.24664309031556039</v>
      </c>
      <c r="K1223" s="35">
        <v>4</v>
      </c>
      <c r="L1223" s="38">
        <f t="shared" si="19"/>
        <v>0.98657236126224157</v>
      </c>
      <c r="M1223" s="35" t="s">
        <v>11</v>
      </c>
      <c r="N1223" s="38"/>
      <c r="O1223" s="35" t="s">
        <v>12</v>
      </c>
    </row>
    <row r="1224" spans="1:15" x14ac:dyDescent="0.25">
      <c r="A1224" s="35">
        <v>1209583219</v>
      </c>
      <c r="B1224" s="35" t="s">
        <v>3527</v>
      </c>
      <c r="C1224" s="35">
        <v>2025</v>
      </c>
      <c r="D1224" s="36">
        <v>45780.66878472222</v>
      </c>
      <c r="E1224" s="37" t="s">
        <v>35</v>
      </c>
      <c r="F1224" s="37" t="s">
        <v>4345</v>
      </c>
      <c r="G1224" s="37" t="s">
        <v>4262</v>
      </c>
      <c r="H1224" s="35" t="s">
        <v>3419</v>
      </c>
      <c r="I1224" s="35" t="s">
        <v>3416</v>
      </c>
      <c r="J1224" s="38">
        <v>1.629989118607182</v>
      </c>
      <c r="K1224" s="35">
        <v>1</v>
      </c>
      <c r="L1224" s="38">
        <f t="shared" si="19"/>
        <v>1.629989118607182</v>
      </c>
      <c r="M1224" s="35" t="s">
        <v>11</v>
      </c>
      <c r="N1224" s="38"/>
      <c r="O1224" s="35" t="s">
        <v>12</v>
      </c>
    </row>
    <row r="1225" spans="1:15" x14ac:dyDescent="0.25">
      <c r="A1225" s="35" t="s">
        <v>1226</v>
      </c>
      <c r="B1225" s="35" t="s">
        <v>3631</v>
      </c>
      <c r="C1225" s="35">
        <v>2025</v>
      </c>
      <c r="D1225" s="36">
        <v>45777</v>
      </c>
      <c r="E1225" s="37" t="s">
        <v>1227</v>
      </c>
      <c r="F1225" s="37" t="s">
        <v>4347</v>
      </c>
      <c r="G1225" s="37" t="s">
        <v>3797</v>
      </c>
      <c r="H1225" s="35" t="s">
        <v>3419</v>
      </c>
      <c r="I1225" s="35" t="s">
        <v>3453</v>
      </c>
      <c r="J1225" s="38">
        <v>100</v>
      </c>
      <c r="K1225" s="35">
        <v>1</v>
      </c>
      <c r="L1225" s="38">
        <f t="shared" si="19"/>
        <v>100</v>
      </c>
      <c r="M1225" s="35" t="s">
        <v>11</v>
      </c>
      <c r="N1225" s="38"/>
      <c r="O1225" s="35" t="s">
        <v>12</v>
      </c>
    </row>
    <row r="1226" spans="1:15" x14ac:dyDescent="0.25">
      <c r="A1226" s="35" t="s">
        <v>1226</v>
      </c>
      <c r="B1226" s="35" t="s">
        <v>3631</v>
      </c>
      <c r="C1226" s="35">
        <v>2025</v>
      </c>
      <c r="D1226" s="36">
        <v>45777</v>
      </c>
      <c r="E1226" s="37" t="s">
        <v>1227</v>
      </c>
      <c r="F1226" s="37" t="s">
        <v>4348</v>
      </c>
      <c r="G1226" s="37" t="s">
        <v>3786</v>
      </c>
      <c r="H1226" s="35" t="s">
        <v>3419</v>
      </c>
      <c r="I1226" s="35" t="s">
        <v>3453</v>
      </c>
      <c r="J1226" s="38">
        <v>30</v>
      </c>
      <c r="K1226" s="35">
        <v>1</v>
      </c>
      <c r="L1226" s="38">
        <f t="shared" si="19"/>
        <v>30</v>
      </c>
      <c r="M1226" s="35" t="s">
        <v>11</v>
      </c>
      <c r="N1226" s="38"/>
      <c r="O1226" s="35" t="s">
        <v>12</v>
      </c>
    </row>
    <row r="1227" spans="1:15" x14ac:dyDescent="0.25">
      <c r="A1227" s="35">
        <v>1208850807</v>
      </c>
      <c r="B1227" s="35" t="s">
        <v>3631</v>
      </c>
      <c r="C1227" s="35">
        <v>2025</v>
      </c>
      <c r="D1227" s="36">
        <v>45775.901493055557</v>
      </c>
      <c r="E1227" s="37" t="s">
        <v>965</v>
      </c>
      <c r="F1227" s="37" t="s">
        <v>4349</v>
      </c>
      <c r="G1227" s="37" t="s">
        <v>2045</v>
      </c>
      <c r="H1227" s="35" t="s">
        <v>3419</v>
      </c>
      <c r="I1227" s="35" t="s">
        <v>3453</v>
      </c>
      <c r="J1227" s="38">
        <v>2.1642592592592589</v>
      </c>
      <c r="K1227" s="35">
        <v>1</v>
      </c>
      <c r="L1227" s="38">
        <f t="shared" si="19"/>
        <v>2.1642592592592589</v>
      </c>
      <c r="M1227" s="35" t="s">
        <v>11</v>
      </c>
      <c r="N1227" s="38"/>
      <c r="O1227" s="35" t="s">
        <v>12</v>
      </c>
    </row>
    <row r="1228" spans="1:15" x14ac:dyDescent="0.25">
      <c r="A1228" s="35">
        <v>1208850807</v>
      </c>
      <c r="B1228" s="35" t="s">
        <v>3631</v>
      </c>
      <c r="C1228" s="35">
        <v>2025</v>
      </c>
      <c r="D1228" s="36">
        <v>45775.901493055557</v>
      </c>
      <c r="E1228" s="37" t="s">
        <v>965</v>
      </c>
      <c r="F1228" s="37" t="s">
        <v>4349</v>
      </c>
      <c r="G1228" s="37" t="s">
        <v>2045</v>
      </c>
      <c r="H1228" s="35" t="s">
        <v>3419</v>
      </c>
      <c r="I1228" s="35" t="s">
        <v>3453</v>
      </c>
      <c r="J1228" s="38">
        <v>1.8657407407407409</v>
      </c>
      <c r="K1228" s="35">
        <v>1</v>
      </c>
      <c r="L1228" s="38">
        <f t="shared" si="19"/>
        <v>1.8657407407407409</v>
      </c>
      <c r="M1228" s="35" t="s">
        <v>11</v>
      </c>
      <c r="N1228" s="38"/>
      <c r="O1228" s="35" t="s">
        <v>12</v>
      </c>
    </row>
    <row r="1229" spans="1:15" x14ac:dyDescent="0.25">
      <c r="A1229" s="35">
        <v>1208850772</v>
      </c>
      <c r="B1229" s="35" t="s">
        <v>3631</v>
      </c>
      <c r="C1229" s="35">
        <v>2025</v>
      </c>
      <c r="D1229" s="36">
        <v>45775.901493055557</v>
      </c>
      <c r="E1229" s="37" t="s">
        <v>1233</v>
      </c>
      <c r="F1229" s="37" t="s">
        <v>4349</v>
      </c>
      <c r="G1229" s="37" t="s">
        <v>2045</v>
      </c>
      <c r="H1229" s="35" t="s">
        <v>3419</v>
      </c>
      <c r="I1229" s="35" t="s">
        <v>3453</v>
      </c>
      <c r="J1229" s="38">
        <v>2.1800000000000002</v>
      </c>
      <c r="K1229" s="35">
        <v>1</v>
      </c>
      <c r="L1229" s="38">
        <f t="shared" si="19"/>
        <v>2.1800000000000002</v>
      </c>
      <c r="M1229" s="35" t="s">
        <v>11</v>
      </c>
      <c r="N1229" s="38"/>
      <c r="O1229" s="35" t="s">
        <v>12</v>
      </c>
    </row>
    <row r="1230" spans="1:15" x14ac:dyDescent="0.25">
      <c r="A1230" s="35">
        <v>1208850769</v>
      </c>
      <c r="B1230" s="35" t="s">
        <v>3631</v>
      </c>
      <c r="C1230" s="35">
        <v>2025</v>
      </c>
      <c r="D1230" s="36">
        <v>45775.901493055557</v>
      </c>
      <c r="E1230" s="37" t="s">
        <v>1235</v>
      </c>
      <c r="F1230" s="37" t="s">
        <v>4349</v>
      </c>
      <c r="G1230" s="37" t="s">
        <v>2045</v>
      </c>
      <c r="H1230" s="35" t="s">
        <v>3419</v>
      </c>
      <c r="I1230" s="35" t="s">
        <v>3453</v>
      </c>
      <c r="J1230" s="38">
        <v>2.0699999999999998</v>
      </c>
      <c r="K1230" s="35">
        <v>1</v>
      </c>
      <c r="L1230" s="38">
        <f t="shared" si="19"/>
        <v>2.0699999999999998</v>
      </c>
      <c r="M1230" s="35" t="s">
        <v>11</v>
      </c>
      <c r="N1230" s="38"/>
      <c r="O1230" s="35" t="s">
        <v>12</v>
      </c>
    </row>
    <row r="1231" spans="1:15" ht="30" x14ac:dyDescent="0.25">
      <c r="A1231" s="35">
        <v>1208848274</v>
      </c>
      <c r="B1231" s="35" t="s">
        <v>3631</v>
      </c>
      <c r="C1231" s="35">
        <v>2025</v>
      </c>
      <c r="D1231" s="36">
        <v>45775.901493055557</v>
      </c>
      <c r="E1231" s="37" t="s">
        <v>1237</v>
      </c>
      <c r="F1231" s="37" t="s">
        <v>4350</v>
      </c>
      <c r="G1231" s="37" t="s">
        <v>3520</v>
      </c>
      <c r="H1231" s="35" t="s">
        <v>3415</v>
      </c>
      <c r="I1231" s="35" t="s">
        <v>3416</v>
      </c>
      <c r="J1231" s="38">
        <v>1.5640734824281151</v>
      </c>
      <c r="K1231" s="35">
        <v>4</v>
      </c>
      <c r="L1231" s="38">
        <f t="shared" si="19"/>
        <v>6.2562939297124602</v>
      </c>
      <c r="M1231" s="35" t="s">
        <v>11</v>
      </c>
      <c r="N1231" s="38"/>
      <c r="O1231" s="35" t="s">
        <v>12</v>
      </c>
    </row>
    <row r="1232" spans="1:15" ht="30" x14ac:dyDescent="0.25">
      <c r="A1232" s="35">
        <v>1208848274</v>
      </c>
      <c r="B1232" s="35" t="s">
        <v>3631</v>
      </c>
      <c r="C1232" s="35">
        <v>2025</v>
      </c>
      <c r="D1232" s="36">
        <v>45775.901493055557</v>
      </c>
      <c r="E1232" s="37" t="s">
        <v>1237</v>
      </c>
      <c r="F1232" s="37" t="s">
        <v>4351</v>
      </c>
      <c r="G1232" s="37" t="s">
        <v>3520</v>
      </c>
      <c r="H1232" s="35" t="s">
        <v>3419</v>
      </c>
      <c r="I1232" s="35" t="s">
        <v>3416</v>
      </c>
      <c r="J1232" s="38">
        <v>0.66685303514377003</v>
      </c>
      <c r="K1232" s="35">
        <v>2</v>
      </c>
      <c r="L1232" s="38">
        <f t="shared" si="19"/>
        <v>1.3337060702875401</v>
      </c>
      <c r="M1232" s="35" t="s">
        <v>11</v>
      </c>
      <c r="N1232" s="38"/>
      <c r="O1232" s="35" t="s">
        <v>12</v>
      </c>
    </row>
    <row r="1233" spans="1:15" x14ac:dyDescent="0.25">
      <c r="A1233" s="35">
        <v>1208569533</v>
      </c>
      <c r="B1233" s="35" t="s">
        <v>3631</v>
      </c>
      <c r="C1233" s="35">
        <v>2025</v>
      </c>
      <c r="D1233" s="36">
        <v>45774.316319444442</v>
      </c>
      <c r="E1233" s="37" t="s">
        <v>1242</v>
      </c>
      <c r="F1233" s="37" t="s">
        <v>4354</v>
      </c>
      <c r="G1233" s="37" t="s">
        <v>4242</v>
      </c>
      <c r="H1233" s="35" t="s">
        <v>3419</v>
      </c>
      <c r="I1233" s="35" t="s">
        <v>3416</v>
      </c>
      <c r="J1233" s="38">
        <v>2.5933333333333328</v>
      </c>
      <c r="K1233" s="35">
        <v>3</v>
      </c>
      <c r="L1233" s="38">
        <f t="shared" si="19"/>
        <v>7.7799999999999985</v>
      </c>
      <c r="M1233" s="35" t="s">
        <v>11</v>
      </c>
      <c r="N1233" s="38"/>
      <c r="O1233" s="35" t="s">
        <v>12</v>
      </c>
    </row>
    <row r="1234" spans="1:15" x14ac:dyDescent="0.25">
      <c r="A1234" s="35">
        <v>1208522671</v>
      </c>
      <c r="B1234" s="35" t="s">
        <v>3631</v>
      </c>
      <c r="C1234" s="35">
        <v>2025</v>
      </c>
      <c r="D1234" s="36">
        <v>45774.316319444442</v>
      </c>
      <c r="E1234" s="37" t="s">
        <v>294</v>
      </c>
      <c r="F1234" s="37" t="s">
        <v>4355</v>
      </c>
      <c r="G1234" s="37" t="s">
        <v>4223</v>
      </c>
      <c r="H1234" s="35" t="s">
        <v>3415</v>
      </c>
      <c r="I1234" s="35" t="s">
        <v>3416</v>
      </c>
      <c r="J1234" s="38">
        <v>1.0825</v>
      </c>
      <c r="K1234" s="35">
        <v>4</v>
      </c>
      <c r="L1234" s="38">
        <f t="shared" si="19"/>
        <v>4.33</v>
      </c>
      <c r="M1234" s="35" t="s">
        <v>11</v>
      </c>
      <c r="N1234" s="38"/>
      <c r="O1234" s="35" t="s">
        <v>12</v>
      </c>
    </row>
    <row r="1235" spans="1:15" x14ac:dyDescent="0.25">
      <c r="A1235" s="35">
        <v>1208259330</v>
      </c>
      <c r="B1235" s="35" t="s">
        <v>3631</v>
      </c>
      <c r="C1235" s="35">
        <v>2025</v>
      </c>
      <c r="D1235" s="36">
        <v>45772.759398148148</v>
      </c>
      <c r="E1235" s="37" t="s">
        <v>294</v>
      </c>
      <c r="F1235" s="37" t="s">
        <v>4357</v>
      </c>
      <c r="G1235" s="37" t="s">
        <v>3628</v>
      </c>
      <c r="H1235" s="35" t="s">
        <v>3415</v>
      </c>
      <c r="I1235" s="35" t="s">
        <v>3416</v>
      </c>
      <c r="J1235" s="38">
        <v>1.071489971346705</v>
      </c>
      <c r="K1235" s="35">
        <v>4</v>
      </c>
      <c r="L1235" s="38">
        <f t="shared" si="19"/>
        <v>4.2859598853868199</v>
      </c>
      <c r="M1235" s="35" t="s">
        <v>11</v>
      </c>
      <c r="N1235" s="38"/>
      <c r="O1235" s="35" t="s">
        <v>12</v>
      </c>
    </row>
    <row r="1236" spans="1:15" x14ac:dyDescent="0.25">
      <c r="A1236" s="35">
        <v>1208259330</v>
      </c>
      <c r="B1236" s="35" t="s">
        <v>3631</v>
      </c>
      <c r="C1236" s="35">
        <v>2025</v>
      </c>
      <c r="D1236" s="36">
        <v>45772.759398148148</v>
      </c>
      <c r="E1236" s="37" t="s">
        <v>294</v>
      </c>
      <c r="F1236" s="37" t="s">
        <v>4358</v>
      </c>
      <c r="G1236" s="37" t="s">
        <v>3628</v>
      </c>
      <c r="H1236" s="35" t="s">
        <v>3419</v>
      </c>
      <c r="I1236" s="35" t="s">
        <v>3416</v>
      </c>
      <c r="J1236" s="38">
        <v>0.58336676217765038</v>
      </c>
      <c r="K1236" s="35">
        <v>2</v>
      </c>
      <c r="L1236" s="38">
        <f t="shared" si="19"/>
        <v>1.1667335243553008</v>
      </c>
      <c r="M1236" s="35" t="s">
        <v>11</v>
      </c>
      <c r="N1236" s="38"/>
      <c r="O1236" s="35" t="s">
        <v>12</v>
      </c>
    </row>
    <row r="1237" spans="1:15" x14ac:dyDescent="0.25">
      <c r="A1237" s="35">
        <v>1208259330</v>
      </c>
      <c r="B1237" s="35" t="s">
        <v>3631</v>
      </c>
      <c r="C1237" s="35">
        <v>2025</v>
      </c>
      <c r="D1237" s="36">
        <v>45772.759398148148</v>
      </c>
      <c r="E1237" s="37" t="s">
        <v>294</v>
      </c>
      <c r="F1237" s="37" t="s">
        <v>4359</v>
      </c>
      <c r="G1237" s="37" t="s">
        <v>3628</v>
      </c>
      <c r="H1237" s="35" t="s">
        <v>3415</v>
      </c>
      <c r="I1237" s="35" t="s">
        <v>3416</v>
      </c>
      <c r="J1237" s="38">
        <v>0.35716332378223492</v>
      </c>
      <c r="K1237" s="35">
        <v>4</v>
      </c>
      <c r="L1237" s="38">
        <f t="shared" si="19"/>
        <v>1.4286532951289397</v>
      </c>
      <c r="M1237" s="35" t="s">
        <v>11</v>
      </c>
      <c r="N1237" s="38"/>
      <c r="O1237" s="35" t="s">
        <v>12</v>
      </c>
    </row>
    <row r="1238" spans="1:15" x14ac:dyDescent="0.25">
      <c r="A1238" s="35">
        <v>1208259330</v>
      </c>
      <c r="B1238" s="35" t="s">
        <v>3631</v>
      </c>
      <c r="C1238" s="35">
        <v>2025</v>
      </c>
      <c r="D1238" s="36">
        <v>45772.759398148148</v>
      </c>
      <c r="E1238" s="37" t="s">
        <v>294</v>
      </c>
      <c r="F1238" s="37" t="s">
        <v>4360</v>
      </c>
      <c r="G1238" s="37" t="s">
        <v>3628</v>
      </c>
      <c r="H1238" s="35" t="s">
        <v>3415</v>
      </c>
      <c r="I1238" s="35" t="s">
        <v>3416</v>
      </c>
      <c r="J1238" s="38">
        <v>0.35716332378223492</v>
      </c>
      <c r="K1238" s="35">
        <v>4</v>
      </c>
      <c r="L1238" s="38">
        <f t="shared" si="19"/>
        <v>1.4286532951289397</v>
      </c>
      <c r="M1238" s="35" t="s">
        <v>11</v>
      </c>
      <c r="N1238" s="38"/>
      <c r="O1238" s="35" t="s">
        <v>12</v>
      </c>
    </row>
    <row r="1239" spans="1:15" x14ac:dyDescent="0.25">
      <c r="A1239" s="35">
        <v>1208128891</v>
      </c>
      <c r="B1239" s="35" t="s">
        <v>3631</v>
      </c>
      <c r="C1239" s="35">
        <v>2025</v>
      </c>
      <c r="D1239" s="36">
        <v>45771.429074074083</v>
      </c>
      <c r="E1239" s="37" t="s">
        <v>1048</v>
      </c>
      <c r="F1239" s="37" t="s">
        <v>3746</v>
      </c>
      <c r="G1239" s="37" t="s">
        <v>4362</v>
      </c>
      <c r="H1239" s="35" t="s">
        <v>3419</v>
      </c>
      <c r="I1239" s="35" t="s">
        <v>3416</v>
      </c>
      <c r="J1239" s="38">
        <v>6.665</v>
      </c>
      <c r="K1239" s="35">
        <v>2</v>
      </c>
      <c r="L1239" s="38">
        <f t="shared" si="19"/>
        <v>13.33</v>
      </c>
      <c r="M1239" s="35" t="s">
        <v>11</v>
      </c>
      <c r="N1239" s="38"/>
      <c r="O1239" s="35" t="s">
        <v>12</v>
      </c>
    </row>
    <row r="1240" spans="1:15" x14ac:dyDescent="0.25">
      <c r="A1240" s="35">
        <v>1208128457</v>
      </c>
      <c r="B1240" s="35" t="s">
        <v>3631</v>
      </c>
      <c r="C1240" s="35">
        <v>2025</v>
      </c>
      <c r="D1240" s="36">
        <v>45771.429074074083</v>
      </c>
      <c r="E1240" s="37" t="s">
        <v>1253</v>
      </c>
      <c r="F1240" s="37" t="s">
        <v>4363</v>
      </c>
      <c r="G1240" s="37" t="s">
        <v>3714</v>
      </c>
      <c r="H1240" s="35" t="s">
        <v>3419</v>
      </c>
      <c r="I1240" s="35" t="s">
        <v>3416</v>
      </c>
      <c r="J1240" s="38">
        <v>35.18</v>
      </c>
      <c r="K1240" s="35">
        <v>1</v>
      </c>
      <c r="L1240" s="38">
        <f t="shared" si="19"/>
        <v>35.18</v>
      </c>
      <c r="M1240" s="35" t="s">
        <v>11</v>
      </c>
      <c r="N1240" s="38"/>
      <c r="O1240" s="35" t="s">
        <v>12</v>
      </c>
    </row>
    <row r="1241" spans="1:15" x14ac:dyDescent="0.25">
      <c r="A1241" s="35">
        <v>1208125479</v>
      </c>
      <c r="B1241" s="35" t="s">
        <v>3631</v>
      </c>
      <c r="C1241" s="35">
        <v>2025</v>
      </c>
      <c r="D1241" s="36">
        <v>45771.413055555553</v>
      </c>
      <c r="E1241" s="37" t="s">
        <v>1255</v>
      </c>
      <c r="F1241" s="37" t="s">
        <v>4364</v>
      </c>
      <c r="G1241" s="37" t="s">
        <v>3770</v>
      </c>
      <c r="H1241" s="35" t="s">
        <v>3419</v>
      </c>
      <c r="I1241" s="35" t="s">
        <v>3416</v>
      </c>
      <c r="J1241" s="38">
        <v>33.739999999999988</v>
      </c>
      <c r="K1241" s="35">
        <v>2</v>
      </c>
      <c r="L1241" s="38">
        <f t="shared" si="19"/>
        <v>67.479999999999976</v>
      </c>
      <c r="M1241" s="35" t="s">
        <v>11</v>
      </c>
      <c r="N1241" s="38"/>
      <c r="O1241" s="35" t="s">
        <v>12</v>
      </c>
    </row>
    <row r="1242" spans="1:15" x14ac:dyDescent="0.25">
      <c r="A1242" s="35">
        <v>1208093671</v>
      </c>
      <c r="B1242" s="35" t="s">
        <v>3631</v>
      </c>
      <c r="C1242" s="35">
        <v>2025</v>
      </c>
      <c r="D1242" s="36">
        <v>45771.209178240737</v>
      </c>
      <c r="E1242" s="37" t="s">
        <v>1257</v>
      </c>
      <c r="F1242" s="37" t="s">
        <v>4365</v>
      </c>
      <c r="G1242" s="37" t="s">
        <v>4083</v>
      </c>
      <c r="H1242" s="35" t="s">
        <v>3419</v>
      </c>
      <c r="I1242" s="35" t="s">
        <v>3416</v>
      </c>
      <c r="J1242" s="38">
        <v>7.33</v>
      </c>
      <c r="K1242" s="35">
        <v>1</v>
      </c>
      <c r="L1242" s="38">
        <f t="shared" si="19"/>
        <v>7.33</v>
      </c>
      <c r="M1242" s="35" t="s">
        <v>11</v>
      </c>
      <c r="N1242" s="38"/>
      <c r="O1242" s="35" t="s">
        <v>12</v>
      </c>
    </row>
    <row r="1243" spans="1:15" x14ac:dyDescent="0.25">
      <c r="A1243" s="35">
        <v>1208017294</v>
      </c>
      <c r="B1243" s="35" t="s">
        <v>3631</v>
      </c>
      <c r="C1243" s="35">
        <v>2025</v>
      </c>
      <c r="D1243" s="36">
        <v>45770.69090277778</v>
      </c>
      <c r="E1243" s="37" t="s">
        <v>414</v>
      </c>
      <c r="F1243" s="37" t="s">
        <v>3695</v>
      </c>
      <c r="G1243" s="37" t="s">
        <v>3696</v>
      </c>
      <c r="H1243" s="35" t="s">
        <v>3419</v>
      </c>
      <c r="I1243" s="35" t="s">
        <v>3453</v>
      </c>
      <c r="J1243" s="38">
        <v>5.4333333333333336</v>
      </c>
      <c r="K1243" s="35">
        <v>3</v>
      </c>
      <c r="L1243" s="38">
        <f t="shared" si="19"/>
        <v>16.3</v>
      </c>
      <c r="M1243" s="35" t="s">
        <v>11</v>
      </c>
      <c r="N1243" s="38"/>
      <c r="O1243" s="35" t="s">
        <v>12</v>
      </c>
    </row>
    <row r="1244" spans="1:15" x14ac:dyDescent="0.25">
      <c r="A1244" s="35">
        <v>1207689655</v>
      </c>
      <c r="B1244" s="35" t="s">
        <v>3631</v>
      </c>
      <c r="C1244" s="35">
        <v>2025</v>
      </c>
      <c r="D1244" s="36">
        <v>45768.800208333327</v>
      </c>
      <c r="E1244" s="37" t="s">
        <v>1263</v>
      </c>
      <c r="F1244" s="37" t="s">
        <v>4366</v>
      </c>
      <c r="G1244" s="37" t="s">
        <v>3867</v>
      </c>
      <c r="H1244" s="35" t="s">
        <v>3415</v>
      </c>
      <c r="I1244" s="35" t="s">
        <v>3453</v>
      </c>
      <c r="J1244" s="38">
        <v>2.8125</v>
      </c>
      <c r="K1244" s="35">
        <v>4</v>
      </c>
      <c r="L1244" s="38">
        <f t="shared" si="19"/>
        <v>11.25</v>
      </c>
      <c r="M1244" s="35" t="s">
        <v>11</v>
      </c>
      <c r="N1244" s="38"/>
      <c r="O1244" s="35" t="s">
        <v>12</v>
      </c>
    </row>
    <row r="1245" spans="1:15" x14ac:dyDescent="0.25">
      <c r="A1245" s="35">
        <v>1207683216</v>
      </c>
      <c r="B1245" s="35" t="s">
        <v>3631</v>
      </c>
      <c r="C1245" s="35">
        <v>2025</v>
      </c>
      <c r="D1245" s="36">
        <v>45768.768368055556</v>
      </c>
      <c r="E1245" s="37" t="s">
        <v>1266</v>
      </c>
      <c r="F1245" s="37" t="s">
        <v>4367</v>
      </c>
      <c r="G1245" s="37" t="s">
        <v>3729</v>
      </c>
      <c r="H1245" s="35" t="s">
        <v>3419</v>
      </c>
      <c r="I1245" s="35" t="s">
        <v>3416</v>
      </c>
      <c r="J1245" s="38">
        <v>9.33</v>
      </c>
      <c r="K1245" s="35">
        <v>1</v>
      </c>
      <c r="L1245" s="38">
        <f t="shared" si="19"/>
        <v>9.33</v>
      </c>
      <c r="M1245" s="35" t="s">
        <v>11</v>
      </c>
      <c r="N1245" s="38"/>
      <c r="O1245" s="35" t="s">
        <v>12</v>
      </c>
    </row>
    <row r="1246" spans="1:15" x14ac:dyDescent="0.25">
      <c r="A1246" s="35">
        <v>1207683186</v>
      </c>
      <c r="B1246" s="35" t="s">
        <v>3631</v>
      </c>
      <c r="C1246" s="35">
        <v>2025</v>
      </c>
      <c r="D1246" s="36">
        <v>45768.768368055556</v>
      </c>
      <c r="E1246" s="37" t="s">
        <v>1268</v>
      </c>
      <c r="F1246" s="37" t="s">
        <v>4367</v>
      </c>
      <c r="G1246" s="37" t="s">
        <v>3729</v>
      </c>
      <c r="H1246" s="35" t="s">
        <v>3419</v>
      </c>
      <c r="I1246" s="35" t="s">
        <v>3416</v>
      </c>
      <c r="J1246" s="38">
        <v>8.4433333333333334</v>
      </c>
      <c r="K1246" s="35">
        <v>3</v>
      </c>
      <c r="L1246" s="38">
        <f t="shared" si="19"/>
        <v>25.33</v>
      </c>
      <c r="M1246" s="35" t="s">
        <v>11</v>
      </c>
      <c r="N1246" s="38"/>
      <c r="O1246" s="35" t="s">
        <v>12</v>
      </c>
    </row>
    <row r="1247" spans="1:15" x14ac:dyDescent="0.25">
      <c r="A1247" s="35">
        <v>1207580959</v>
      </c>
      <c r="B1247" s="35" t="s">
        <v>3631</v>
      </c>
      <c r="C1247" s="35">
        <v>2025</v>
      </c>
      <c r="D1247" s="36">
        <v>45768.450277777767</v>
      </c>
      <c r="E1247" s="37" t="s">
        <v>1271</v>
      </c>
      <c r="F1247" s="37" t="s">
        <v>4368</v>
      </c>
      <c r="G1247" s="37" t="s">
        <v>3674</v>
      </c>
      <c r="H1247" s="35" t="s">
        <v>3415</v>
      </c>
      <c r="I1247" s="35" t="s">
        <v>3453</v>
      </c>
      <c r="J1247" s="38">
        <v>0.47249999999999998</v>
      </c>
      <c r="K1247" s="35">
        <v>4</v>
      </c>
      <c r="L1247" s="38">
        <f t="shared" si="19"/>
        <v>1.89</v>
      </c>
      <c r="M1247" s="35" t="s">
        <v>11</v>
      </c>
      <c r="N1247" s="38"/>
      <c r="O1247" s="35" t="s">
        <v>12</v>
      </c>
    </row>
    <row r="1248" spans="1:15" x14ac:dyDescent="0.25">
      <c r="A1248" s="35">
        <v>1207579453</v>
      </c>
      <c r="B1248" s="35" t="s">
        <v>3631</v>
      </c>
      <c r="C1248" s="35">
        <v>2025</v>
      </c>
      <c r="D1248" s="36">
        <v>45768.450277777767</v>
      </c>
      <c r="E1248" s="37" t="s">
        <v>1273</v>
      </c>
      <c r="F1248" s="37" t="s">
        <v>4369</v>
      </c>
      <c r="G1248" s="37" t="s">
        <v>3729</v>
      </c>
      <c r="H1248" s="35" t="s">
        <v>3415</v>
      </c>
      <c r="I1248" s="35" t="s">
        <v>3416</v>
      </c>
      <c r="J1248" s="38">
        <v>0.58250000000000002</v>
      </c>
      <c r="K1248" s="35">
        <v>4</v>
      </c>
      <c r="L1248" s="38">
        <f t="shared" si="19"/>
        <v>2.33</v>
      </c>
      <c r="M1248" s="35" t="s">
        <v>11</v>
      </c>
      <c r="N1248" s="38"/>
      <c r="O1248" s="35" t="s">
        <v>12</v>
      </c>
    </row>
    <row r="1249" spans="1:15" x14ac:dyDescent="0.25">
      <c r="A1249" s="35">
        <v>1207462104</v>
      </c>
      <c r="B1249" s="35" t="s">
        <v>3631</v>
      </c>
      <c r="C1249" s="35">
        <v>2025</v>
      </c>
      <c r="D1249" s="36">
        <v>45767.500949074078</v>
      </c>
      <c r="E1249" s="37" t="s">
        <v>414</v>
      </c>
      <c r="F1249" s="37" t="s">
        <v>3844</v>
      </c>
      <c r="G1249" s="37" t="s">
        <v>3788</v>
      </c>
      <c r="H1249" s="35" t="s">
        <v>3419</v>
      </c>
      <c r="I1249" s="35" t="s">
        <v>3416</v>
      </c>
      <c r="J1249" s="38">
        <v>6.4340746934225201</v>
      </c>
      <c r="K1249" s="35">
        <v>2</v>
      </c>
      <c r="L1249" s="38">
        <f t="shared" si="19"/>
        <v>12.86814938684504</v>
      </c>
      <c r="M1249" s="35" t="s">
        <v>11</v>
      </c>
      <c r="N1249" s="38"/>
      <c r="O1249" s="35" t="s">
        <v>12</v>
      </c>
    </row>
    <row r="1250" spans="1:15" x14ac:dyDescent="0.25">
      <c r="A1250" s="35">
        <v>1207462104</v>
      </c>
      <c r="B1250" s="35" t="s">
        <v>3631</v>
      </c>
      <c r="C1250" s="35">
        <v>2025</v>
      </c>
      <c r="D1250" s="36">
        <v>45767.500949074078</v>
      </c>
      <c r="E1250" s="37" t="s">
        <v>414</v>
      </c>
      <c r="F1250" s="37" t="s">
        <v>4370</v>
      </c>
      <c r="G1250" s="37" t="s">
        <v>3788</v>
      </c>
      <c r="H1250" s="35" t="s">
        <v>3415</v>
      </c>
      <c r="I1250" s="35" t="s">
        <v>3416</v>
      </c>
      <c r="J1250" s="38">
        <v>1.60046265328874</v>
      </c>
      <c r="K1250" s="35">
        <v>4</v>
      </c>
      <c r="L1250" s="38">
        <f t="shared" si="19"/>
        <v>6.4018506131549602</v>
      </c>
      <c r="M1250" s="35" t="s">
        <v>11</v>
      </c>
      <c r="N1250" s="38"/>
      <c r="O1250" s="35" t="s">
        <v>12</v>
      </c>
    </row>
    <row r="1251" spans="1:15" x14ac:dyDescent="0.25">
      <c r="A1251" s="35">
        <v>1207437403</v>
      </c>
      <c r="B1251" s="35" t="s">
        <v>3631</v>
      </c>
      <c r="C1251" s="35">
        <v>2025</v>
      </c>
      <c r="D1251" s="36">
        <v>45767.381435185183</v>
      </c>
      <c r="E1251" s="37" t="s">
        <v>414</v>
      </c>
      <c r="F1251" s="37" t="s">
        <v>4371</v>
      </c>
      <c r="G1251" s="37" t="s">
        <v>4046</v>
      </c>
      <c r="H1251" s="35" t="s">
        <v>3419</v>
      </c>
      <c r="I1251" s="35" t="s">
        <v>3453</v>
      </c>
      <c r="J1251" s="38">
        <v>20.954999999999998</v>
      </c>
      <c r="K1251" s="35">
        <v>2</v>
      </c>
      <c r="L1251" s="38">
        <f t="shared" si="19"/>
        <v>41.91</v>
      </c>
      <c r="M1251" s="35" t="s">
        <v>11</v>
      </c>
      <c r="N1251" s="38"/>
      <c r="O1251" s="35" t="s">
        <v>12</v>
      </c>
    </row>
    <row r="1252" spans="1:15" x14ac:dyDescent="0.25">
      <c r="A1252" s="35">
        <v>1207430842</v>
      </c>
      <c r="B1252" s="35" t="s">
        <v>3631</v>
      </c>
      <c r="C1252" s="35">
        <v>2025</v>
      </c>
      <c r="D1252" s="36">
        <v>45767.300787037027</v>
      </c>
      <c r="E1252" s="37" t="s">
        <v>1276</v>
      </c>
      <c r="F1252" s="37" t="s">
        <v>4371</v>
      </c>
      <c r="G1252" s="37" t="s">
        <v>4046</v>
      </c>
      <c r="H1252" s="35" t="s">
        <v>3419</v>
      </c>
      <c r="I1252" s="35" t="s">
        <v>3453</v>
      </c>
      <c r="J1252" s="38">
        <v>8.33</v>
      </c>
      <c r="K1252" s="35">
        <v>1</v>
      </c>
      <c r="L1252" s="38">
        <f t="shared" si="19"/>
        <v>8.33</v>
      </c>
      <c r="M1252" s="35" t="s">
        <v>11</v>
      </c>
      <c r="N1252" s="38"/>
      <c r="O1252" s="35" t="s">
        <v>12</v>
      </c>
    </row>
    <row r="1253" spans="1:15" x14ac:dyDescent="0.25">
      <c r="A1253" s="35">
        <v>1207430826</v>
      </c>
      <c r="B1253" s="35" t="s">
        <v>3631</v>
      </c>
      <c r="C1253" s="35">
        <v>2025</v>
      </c>
      <c r="D1253" s="36">
        <v>45767.300787037027</v>
      </c>
      <c r="E1253" s="37" t="s">
        <v>760</v>
      </c>
      <c r="F1253" s="37" t="s">
        <v>4372</v>
      </c>
      <c r="G1253" s="37" t="s">
        <v>3648</v>
      </c>
      <c r="H1253" s="35" t="s">
        <v>3415</v>
      </c>
      <c r="I1253" s="35" t="s">
        <v>3416</v>
      </c>
      <c r="J1253" s="38">
        <v>0.63250000000000006</v>
      </c>
      <c r="K1253" s="35">
        <v>4</v>
      </c>
      <c r="L1253" s="38">
        <f t="shared" si="19"/>
        <v>2.5300000000000002</v>
      </c>
      <c r="M1253" s="35" t="s">
        <v>11</v>
      </c>
      <c r="N1253" s="38"/>
      <c r="O1253" s="35" t="s">
        <v>12</v>
      </c>
    </row>
    <row r="1254" spans="1:15" x14ac:dyDescent="0.25">
      <c r="A1254" s="35">
        <v>1206762007</v>
      </c>
      <c r="B1254" s="35" t="s">
        <v>3631</v>
      </c>
      <c r="C1254" s="35">
        <v>2025</v>
      </c>
      <c r="D1254" s="36">
        <v>45763.022372685176</v>
      </c>
      <c r="E1254" s="37" t="s">
        <v>1278</v>
      </c>
      <c r="F1254" s="37" t="s">
        <v>4373</v>
      </c>
      <c r="G1254" s="37" t="s">
        <v>4220</v>
      </c>
      <c r="H1254" s="35" t="s">
        <v>3415</v>
      </c>
      <c r="I1254" s="35" t="s">
        <v>3416</v>
      </c>
      <c r="J1254" s="38">
        <v>1.0825</v>
      </c>
      <c r="K1254" s="35">
        <v>4</v>
      </c>
      <c r="L1254" s="38">
        <f t="shared" si="19"/>
        <v>4.33</v>
      </c>
      <c r="M1254" s="35" t="s">
        <v>11</v>
      </c>
      <c r="N1254" s="38"/>
      <c r="O1254" s="35" t="s">
        <v>12</v>
      </c>
    </row>
    <row r="1255" spans="1:15" x14ac:dyDescent="0.25">
      <c r="A1255" s="35">
        <v>1206761112</v>
      </c>
      <c r="B1255" s="35" t="s">
        <v>3631</v>
      </c>
      <c r="C1255" s="35">
        <v>2025</v>
      </c>
      <c r="D1255" s="36">
        <v>45763.022372685176</v>
      </c>
      <c r="E1255" s="37" t="s">
        <v>35</v>
      </c>
      <c r="F1255" s="37" t="s">
        <v>4374</v>
      </c>
      <c r="G1255" s="37" t="s">
        <v>3628</v>
      </c>
      <c r="H1255" s="35" t="s">
        <v>3419</v>
      </c>
      <c r="I1255" s="35" t="s">
        <v>3416</v>
      </c>
      <c r="J1255" s="38">
        <v>2.1569329073482431</v>
      </c>
      <c r="K1255" s="35">
        <v>3</v>
      </c>
      <c r="L1255" s="38">
        <f t="shared" si="19"/>
        <v>6.4707987220447292</v>
      </c>
      <c r="M1255" s="35" t="s">
        <v>11</v>
      </c>
      <c r="N1255" s="38"/>
      <c r="O1255" s="35" t="s">
        <v>12</v>
      </c>
    </row>
    <row r="1256" spans="1:15" x14ac:dyDescent="0.25">
      <c r="A1256" s="35">
        <v>1206761112</v>
      </c>
      <c r="B1256" s="35" t="s">
        <v>3631</v>
      </c>
      <c r="C1256" s="35">
        <v>2025</v>
      </c>
      <c r="D1256" s="36">
        <v>45763.022372685176</v>
      </c>
      <c r="E1256" s="37" t="s">
        <v>35</v>
      </c>
      <c r="F1256" s="37" t="s">
        <v>4375</v>
      </c>
      <c r="G1256" s="37" t="s">
        <v>3628</v>
      </c>
      <c r="H1256" s="35" t="s">
        <v>3415</v>
      </c>
      <c r="I1256" s="35" t="s">
        <v>3416</v>
      </c>
      <c r="J1256" s="38">
        <v>0.21124600638977639</v>
      </c>
      <c r="K1256" s="35">
        <v>4</v>
      </c>
      <c r="L1256" s="38">
        <f t="shared" si="19"/>
        <v>0.84498402555910557</v>
      </c>
      <c r="M1256" s="35" t="s">
        <v>11</v>
      </c>
      <c r="N1256" s="38"/>
      <c r="O1256" s="35" t="s">
        <v>12</v>
      </c>
    </row>
    <row r="1257" spans="1:15" x14ac:dyDescent="0.25">
      <c r="A1257" s="35">
        <v>1206761112</v>
      </c>
      <c r="B1257" s="35" t="s">
        <v>3631</v>
      </c>
      <c r="C1257" s="35">
        <v>2025</v>
      </c>
      <c r="D1257" s="36">
        <v>45763.022372685176</v>
      </c>
      <c r="E1257" s="37" t="s">
        <v>35</v>
      </c>
      <c r="F1257" s="37" t="s">
        <v>4376</v>
      </c>
      <c r="G1257" s="37" t="s">
        <v>3628</v>
      </c>
      <c r="H1257" s="35" t="s">
        <v>3415</v>
      </c>
      <c r="I1257" s="35" t="s">
        <v>3416</v>
      </c>
      <c r="J1257" s="38">
        <v>0.25571884984025561</v>
      </c>
      <c r="K1257" s="35">
        <v>4</v>
      </c>
      <c r="L1257" s="38">
        <f t="shared" si="19"/>
        <v>1.0228753993610225</v>
      </c>
      <c r="M1257" s="35" t="s">
        <v>11</v>
      </c>
      <c r="N1257" s="38"/>
      <c r="O1257" s="35" t="s">
        <v>12</v>
      </c>
    </row>
    <row r="1258" spans="1:15" x14ac:dyDescent="0.25">
      <c r="A1258" s="35">
        <v>1206761112</v>
      </c>
      <c r="B1258" s="35" t="s">
        <v>3631</v>
      </c>
      <c r="C1258" s="35">
        <v>2025</v>
      </c>
      <c r="D1258" s="36">
        <v>45763.022372685176</v>
      </c>
      <c r="E1258" s="37" t="s">
        <v>35</v>
      </c>
      <c r="F1258" s="37" t="s">
        <v>4377</v>
      </c>
      <c r="G1258" s="37" t="s">
        <v>3628</v>
      </c>
      <c r="H1258" s="35" t="s">
        <v>3415</v>
      </c>
      <c r="I1258" s="35" t="s">
        <v>3416</v>
      </c>
      <c r="J1258" s="38">
        <v>1.934568690095847</v>
      </c>
      <c r="K1258" s="35">
        <v>4</v>
      </c>
      <c r="L1258" s="38">
        <f t="shared" si="19"/>
        <v>7.7382747603833879</v>
      </c>
      <c r="M1258" s="35" t="s">
        <v>11</v>
      </c>
      <c r="N1258" s="38"/>
      <c r="O1258" s="35" t="s">
        <v>12</v>
      </c>
    </row>
    <row r="1259" spans="1:15" x14ac:dyDescent="0.25">
      <c r="A1259" s="35">
        <v>1206761112</v>
      </c>
      <c r="B1259" s="35" t="s">
        <v>3631</v>
      </c>
      <c r="C1259" s="35">
        <v>2025</v>
      </c>
      <c r="D1259" s="36">
        <v>45763.022372685176</v>
      </c>
      <c r="E1259" s="37" t="s">
        <v>35</v>
      </c>
      <c r="F1259" s="37" t="s">
        <v>4378</v>
      </c>
      <c r="G1259" s="37" t="s">
        <v>3628</v>
      </c>
      <c r="H1259" s="35" t="s">
        <v>3415</v>
      </c>
      <c r="I1259" s="35" t="s">
        <v>3416</v>
      </c>
      <c r="J1259" s="38">
        <v>0.37801916932907348</v>
      </c>
      <c r="K1259" s="35">
        <v>4</v>
      </c>
      <c r="L1259" s="38">
        <f t="shared" si="19"/>
        <v>1.5120766773162939</v>
      </c>
      <c r="M1259" s="35" t="s">
        <v>11</v>
      </c>
      <c r="N1259" s="38"/>
      <c r="O1259" s="35" t="s">
        <v>12</v>
      </c>
    </row>
    <row r="1260" spans="1:15" x14ac:dyDescent="0.25">
      <c r="A1260" s="35">
        <v>1206761112</v>
      </c>
      <c r="B1260" s="35" t="s">
        <v>3631</v>
      </c>
      <c r="C1260" s="35">
        <v>2025</v>
      </c>
      <c r="D1260" s="36">
        <v>45763.022372685176</v>
      </c>
      <c r="E1260" s="37" t="s">
        <v>35</v>
      </c>
      <c r="F1260" s="37" t="s">
        <v>4379</v>
      </c>
      <c r="G1260" s="37" t="s">
        <v>3628</v>
      </c>
      <c r="H1260" s="35" t="s">
        <v>3415</v>
      </c>
      <c r="I1260" s="35" t="s">
        <v>3416</v>
      </c>
      <c r="J1260" s="38">
        <v>0.8227476038338658</v>
      </c>
      <c r="K1260" s="35">
        <v>4</v>
      </c>
      <c r="L1260" s="38">
        <f t="shared" si="19"/>
        <v>3.2909904153354632</v>
      </c>
      <c r="M1260" s="35" t="s">
        <v>11</v>
      </c>
      <c r="N1260" s="38"/>
      <c r="O1260" s="35" t="s">
        <v>12</v>
      </c>
    </row>
    <row r="1261" spans="1:15" x14ac:dyDescent="0.25">
      <c r="A1261" s="35" t="s">
        <v>1281</v>
      </c>
      <c r="B1261" s="35" t="s">
        <v>3631</v>
      </c>
      <c r="C1261" s="35">
        <v>2025</v>
      </c>
      <c r="D1261" s="36">
        <v>45762</v>
      </c>
      <c r="E1261" s="37" t="s">
        <v>1282</v>
      </c>
      <c r="F1261" s="37" t="s">
        <v>4380</v>
      </c>
      <c r="G1261" s="37" t="s">
        <v>4381</v>
      </c>
      <c r="H1261" s="35" t="s">
        <v>3419</v>
      </c>
      <c r="I1261" s="35" t="s">
        <v>3453</v>
      </c>
      <c r="J1261" s="38">
        <v>24.54545454545455</v>
      </c>
      <c r="K1261" s="35">
        <v>2</v>
      </c>
      <c r="L1261" s="38">
        <f t="shared" si="19"/>
        <v>49.090909090909101</v>
      </c>
      <c r="M1261" s="35" t="s">
        <v>11</v>
      </c>
      <c r="N1261" s="38"/>
      <c r="O1261" s="35" t="s">
        <v>12</v>
      </c>
    </row>
    <row r="1262" spans="1:15" x14ac:dyDescent="0.25">
      <c r="A1262" s="35" t="s">
        <v>1281</v>
      </c>
      <c r="B1262" s="35" t="s">
        <v>3631</v>
      </c>
      <c r="C1262" s="35">
        <v>2025</v>
      </c>
      <c r="D1262" s="36">
        <v>45762</v>
      </c>
      <c r="E1262" s="37" t="s">
        <v>1282</v>
      </c>
      <c r="F1262" s="37" t="s">
        <v>4380</v>
      </c>
      <c r="G1262" s="37" t="s">
        <v>4381</v>
      </c>
      <c r="H1262" s="35" t="s">
        <v>3419</v>
      </c>
      <c r="I1262" s="35" t="s">
        <v>3453</v>
      </c>
      <c r="J1262" s="38">
        <v>22.09090909090909</v>
      </c>
      <c r="K1262" s="35">
        <v>1</v>
      </c>
      <c r="L1262" s="38">
        <f t="shared" si="19"/>
        <v>22.09090909090909</v>
      </c>
      <c r="M1262" s="35" t="s">
        <v>11</v>
      </c>
      <c r="N1262" s="38"/>
      <c r="O1262" s="35" t="s">
        <v>12</v>
      </c>
    </row>
    <row r="1263" spans="1:15" x14ac:dyDescent="0.25">
      <c r="A1263" s="35" t="s">
        <v>1285</v>
      </c>
      <c r="B1263" s="35" t="s">
        <v>3631</v>
      </c>
      <c r="C1263" s="35">
        <v>2025</v>
      </c>
      <c r="D1263" s="36">
        <v>45761</v>
      </c>
      <c r="E1263" s="37" t="s">
        <v>1282</v>
      </c>
      <c r="F1263" s="37" t="s">
        <v>4382</v>
      </c>
      <c r="G1263" s="37" t="s">
        <v>3455</v>
      </c>
      <c r="H1263" s="35" t="s">
        <v>3419</v>
      </c>
      <c r="I1263" s="35" t="s">
        <v>3453</v>
      </c>
      <c r="J1263" s="38">
        <v>3.2727272727272729</v>
      </c>
      <c r="K1263" s="35">
        <v>2</v>
      </c>
      <c r="L1263" s="38">
        <f t="shared" si="19"/>
        <v>6.5454545454545459</v>
      </c>
      <c r="M1263" s="35" t="s">
        <v>11</v>
      </c>
      <c r="N1263" s="38"/>
      <c r="O1263" s="35" t="s">
        <v>12</v>
      </c>
    </row>
    <row r="1264" spans="1:15" x14ac:dyDescent="0.25">
      <c r="A1264" s="35">
        <v>1206370849</v>
      </c>
      <c r="B1264" s="35" t="s">
        <v>3631</v>
      </c>
      <c r="C1264" s="35">
        <v>2025</v>
      </c>
      <c r="D1264" s="36">
        <v>45760.962118055562</v>
      </c>
      <c r="E1264" s="37" t="s">
        <v>1288</v>
      </c>
      <c r="F1264" s="37" t="s">
        <v>4383</v>
      </c>
      <c r="G1264" s="37" t="s">
        <v>3648</v>
      </c>
      <c r="H1264" s="35" t="s">
        <v>3415</v>
      </c>
      <c r="I1264" s="35" t="s">
        <v>3416</v>
      </c>
      <c r="J1264" s="38">
        <v>2.5825</v>
      </c>
      <c r="K1264" s="35">
        <v>4</v>
      </c>
      <c r="L1264" s="38">
        <f t="shared" si="19"/>
        <v>10.33</v>
      </c>
      <c r="M1264" s="35" t="s">
        <v>11</v>
      </c>
      <c r="N1264" s="38"/>
      <c r="O1264" s="35" t="s">
        <v>12</v>
      </c>
    </row>
    <row r="1265" spans="1:15" x14ac:dyDescent="0.25">
      <c r="A1265" s="35">
        <v>1206370752</v>
      </c>
      <c r="B1265" s="35" t="s">
        <v>3631</v>
      </c>
      <c r="C1265" s="35">
        <v>2025</v>
      </c>
      <c r="D1265" s="36">
        <v>45760.962118055562</v>
      </c>
      <c r="E1265" s="37" t="s">
        <v>1291</v>
      </c>
      <c r="F1265" s="37" t="s">
        <v>4384</v>
      </c>
      <c r="G1265" s="37" t="s">
        <v>3648</v>
      </c>
      <c r="H1265" s="35" t="s">
        <v>3415</v>
      </c>
      <c r="I1265" s="35" t="s">
        <v>3416</v>
      </c>
      <c r="J1265" s="38">
        <v>1.7725</v>
      </c>
      <c r="K1265" s="35">
        <v>4</v>
      </c>
      <c r="L1265" s="38">
        <f t="shared" si="19"/>
        <v>7.09</v>
      </c>
      <c r="M1265" s="35" t="s">
        <v>11</v>
      </c>
      <c r="N1265" s="38"/>
      <c r="O1265" s="35" t="s">
        <v>12</v>
      </c>
    </row>
    <row r="1266" spans="1:15" x14ac:dyDescent="0.25">
      <c r="A1266" s="35">
        <v>1206370248</v>
      </c>
      <c r="B1266" s="35" t="s">
        <v>3631</v>
      </c>
      <c r="C1266" s="35">
        <v>2025</v>
      </c>
      <c r="D1266" s="36">
        <v>45760.960289351853</v>
      </c>
      <c r="E1266" s="37" t="s">
        <v>1293</v>
      </c>
      <c r="F1266" s="37" t="s">
        <v>4358</v>
      </c>
      <c r="G1266" s="37" t="s">
        <v>3628</v>
      </c>
      <c r="H1266" s="35" t="s">
        <v>3419</v>
      </c>
      <c r="I1266" s="35" t="s">
        <v>3416</v>
      </c>
      <c r="J1266" s="38">
        <v>0.31765486725663722</v>
      </c>
      <c r="K1266" s="35">
        <v>2</v>
      </c>
      <c r="L1266" s="38">
        <f t="shared" si="19"/>
        <v>0.63530973451327444</v>
      </c>
      <c r="M1266" s="35" t="s">
        <v>11</v>
      </c>
      <c r="N1266" s="38"/>
      <c r="O1266" s="35" t="s">
        <v>12</v>
      </c>
    </row>
    <row r="1267" spans="1:15" x14ac:dyDescent="0.25">
      <c r="A1267" s="35">
        <v>1206370248</v>
      </c>
      <c r="B1267" s="35" t="s">
        <v>3631</v>
      </c>
      <c r="C1267" s="35">
        <v>2025</v>
      </c>
      <c r="D1267" s="36">
        <v>45760.960289351853</v>
      </c>
      <c r="E1267" s="37" t="s">
        <v>1293</v>
      </c>
      <c r="F1267" s="37" t="s">
        <v>3878</v>
      </c>
      <c r="G1267" s="37" t="s">
        <v>3879</v>
      </c>
      <c r="H1267" s="35" t="s">
        <v>3419</v>
      </c>
      <c r="I1267" s="35" t="s">
        <v>3416</v>
      </c>
      <c r="J1267" s="38">
        <v>11.647345132743361</v>
      </c>
      <c r="K1267" s="35">
        <v>2</v>
      </c>
      <c r="L1267" s="38">
        <f t="shared" si="19"/>
        <v>23.294690265486722</v>
      </c>
      <c r="M1267" s="35" t="s">
        <v>11</v>
      </c>
      <c r="N1267" s="38"/>
      <c r="O1267" s="35" t="s">
        <v>12</v>
      </c>
    </row>
    <row r="1268" spans="1:15" x14ac:dyDescent="0.25">
      <c r="A1268" s="35">
        <v>1206370243</v>
      </c>
      <c r="B1268" s="35" t="s">
        <v>3631</v>
      </c>
      <c r="C1268" s="35">
        <v>2025</v>
      </c>
      <c r="D1268" s="36">
        <v>45760.960289351853</v>
      </c>
      <c r="E1268" s="37" t="s">
        <v>1295</v>
      </c>
      <c r="F1268" s="37" t="s">
        <v>3878</v>
      </c>
      <c r="G1268" s="37" t="s">
        <v>3879</v>
      </c>
      <c r="H1268" s="35" t="s">
        <v>3419</v>
      </c>
      <c r="I1268" s="35" t="s">
        <v>3416</v>
      </c>
      <c r="J1268" s="38">
        <v>11.664999999999999</v>
      </c>
      <c r="K1268" s="35">
        <v>2</v>
      </c>
      <c r="L1268" s="38">
        <f t="shared" si="19"/>
        <v>23.33</v>
      </c>
      <c r="M1268" s="35" t="s">
        <v>11</v>
      </c>
      <c r="N1268" s="38"/>
      <c r="O1268" s="35" t="s">
        <v>12</v>
      </c>
    </row>
    <row r="1269" spans="1:15" x14ac:dyDescent="0.25">
      <c r="A1269" s="35">
        <v>1206225580</v>
      </c>
      <c r="B1269" s="35" t="s">
        <v>3631</v>
      </c>
      <c r="C1269" s="35">
        <v>2025</v>
      </c>
      <c r="D1269" s="36">
        <v>45760.049155092587</v>
      </c>
      <c r="E1269" s="37" t="s">
        <v>1297</v>
      </c>
      <c r="F1269" s="37" t="s">
        <v>4385</v>
      </c>
      <c r="G1269" s="37" t="s">
        <v>3628</v>
      </c>
      <c r="H1269" s="35" t="s">
        <v>3419</v>
      </c>
      <c r="I1269" s="35" t="s">
        <v>3416</v>
      </c>
      <c r="J1269" s="38">
        <v>12.515000000000001</v>
      </c>
      <c r="K1269" s="35">
        <v>2</v>
      </c>
      <c r="L1269" s="38">
        <f t="shared" si="19"/>
        <v>25.03</v>
      </c>
      <c r="M1269" s="35" t="s">
        <v>11</v>
      </c>
      <c r="N1269" s="38"/>
      <c r="O1269" s="35" t="s">
        <v>12</v>
      </c>
    </row>
    <row r="1270" spans="1:15" x14ac:dyDescent="0.25">
      <c r="A1270" s="35">
        <v>1206225558</v>
      </c>
      <c r="B1270" s="35" t="s">
        <v>3631</v>
      </c>
      <c r="C1270" s="35">
        <v>2025</v>
      </c>
      <c r="D1270" s="36">
        <v>45760.049155092587</v>
      </c>
      <c r="E1270" s="37" t="s">
        <v>1082</v>
      </c>
      <c r="F1270" s="37" t="s">
        <v>4386</v>
      </c>
      <c r="G1270" s="37" t="s">
        <v>3628</v>
      </c>
      <c r="H1270" s="35" t="s">
        <v>3419</v>
      </c>
      <c r="I1270" s="35" t="s">
        <v>3416</v>
      </c>
      <c r="J1270" s="38">
        <v>14.33</v>
      </c>
      <c r="K1270" s="35">
        <v>1</v>
      </c>
      <c r="L1270" s="38">
        <f t="shared" si="19"/>
        <v>14.33</v>
      </c>
      <c r="M1270" s="35" t="s">
        <v>11</v>
      </c>
      <c r="N1270" s="38"/>
      <c r="O1270" s="35" t="s">
        <v>12</v>
      </c>
    </row>
    <row r="1271" spans="1:15" x14ac:dyDescent="0.25">
      <c r="A1271" s="35">
        <v>1206225438</v>
      </c>
      <c r="B1271" s="35" t="s">
        <v>3631</v>
      </c>
      <c r="C1271" s="35">
        <v>2025</v>
      </c>
      <c r="D1271" s="36">
        <v>45760.049155092587</v>
      </c>
      <c r="E1271" s="37" t="s">
        <v>1299</v>
      </c>
      <c r="F1271" s="37" t="s">
        <v>4386</v>
      </c>
      <c r="G1271" s="37" t="s">
        <v>3628</v>
      </c>
      <c r="H1271" s="35" t="s">
        <v>3419</v>
      </c>
      <c r="I1271" s="35" t="s">
        <v>3416</v>
      </c>
      <c r="J1271" s="38">
        <v>14.243387096774191</v>
      </c>
      <c r="K1271" s="35">
        <v>3</v>
      </c>
      <c r="L1271" s="38">
        <f t="shared" si="19"/>
        <v>42.73016129032257</v>
      </c>
      <c r="M1271" s="35" t="s">
        <v>11</v>
      </c>
      <c r="N1271" s="38"/>
      <c r="O1271" s="35" t="s">
        <v>12</v>
      </c>
    </row>
    <row r="1272" spans="1:15" x14ac:dyDescent="0.25">
      <c r="A1272" s="35">
        <v>1206225438</v>
      </c>
      <c r="B1272" s="35" t="s">
        <v>3631</v>
      </c>
      <c r="C1272" s="35">
        <v>2025</v>
      </c>
      <c r="D1272" s="36">
        <v>45760.049155092587</v>
      </c>
      <c r="E1272" s="37" t="s">
        <v>1299</v>
      </c>
      <c r="F1272" s="37" t="s">
        <v>4385</v>
      </c>
      <c r="G1272" s="37" t="s">
        <v>3628</v>
      </c>
      <c r="H1272" s="35" t="s">
        <v>3419</v>
      </c>
      <c r="I1272" s="35" t="s">
        <v>3416</v>
      </c>
      <c r="J1272" s="38">
        <v>12.599919354838709</v>
      </c>
      <c r="K1272" s="35">
        <v>2</v>
      </c>
      <c r="L1272" s="38">
        <f t="shared" si="19"/>
        <v>25.199838709677419</v>
      </c>
      <c r="M1272" s="35" t="s">
        <v>11</v>
      </c>
      <c r="N1272" s="38"/>
      <c r="O1272" s="35" t="s">
        <v>12</v>
      </c>
    </row>
    <row r="1273" spans="1:15" x14ac:dyDescent="0.25">
      <c r="A1273" s="35" t="s">
        <v>1301</v>
      </c>
      <c r="B1273" s="35" t="s">
        <v>3631</v>
      </c>
      <c r="C1273" s="35">
        <v>2025</v>
      </c>
      <c r="D1273" s="36">
        <v>45760</v>
      </c>
      <c r="E1273" s="37" t="s">
        <v>1282</v>
      </c>
      <c r="F1273" s="37" t="s">
        <v>4387</v>
      </c>
      <c r="G1273" s="37" t="s">
        <v>3788</v>
      </c>
      <c r="H1273" s="35" t="s">
        <v>3415</v>
      </c>
      <c r="I1273" s="35" t="s">
        <v>3453</v>
      </c>
      <c r="J1273" s="38">
        <v>0.27272727272727282</v>
      </c>
      <c r="K1273" s="35">
        <v>4</v>
      </c>
      <c r="L1273" s="38">
        <f t="shared" si="19"/>
        <v>1.0909090909090913</v>
      </c>
      <c r="M1273" s="35" t="s">
        <v>11</v>
      </c>
      <c r="N1273" s="38"/>
      <c r="O1273" s="35" t="s">
        <v>12</v>
      </c>
    </row>
    <row r="1274" spans="1:15" x14ac:dyDescent="0.25">
      <c r="A1274" s="35" t="s">
        <v>1301</v>
      </c>
      <c r="B1274" s="35" t="s">
        <v>3631</v>
      </c>
      <c r="C1274" s="35">
        <v>2025</v>
      </c>
      <c r="D1274" s="36">
        <v>45760</v>
      </c>
      <c r="E1274" s="37" t="s">
        <v>1282</v>
      </c>
      <c r="F1274" s="37" t="s">
        <v>4388</v>
      </c>
      <c r="G1274" s="37" t="s">
        <v>3643</v>
      </c>
      <c r="H1274" s="35" t="s">
        <v>3415</v>
      </c>
      <c r="I1274" s="35" t="s">
        <v>3453</v>
      </c>
      <c r="J1274" s="38">
        <v>1.0909090909090911</v>
      </c>
      <c r="K1274" s="35">
        <v>4</v>
      </c>
      <c r="L1274" s="38">
        <f t="shared" si="19"/>
        <v>4.3636363636363642</v>
      </c>
      <c r="M1274" s="35" t="s">
        <v>11</v>
      </c>
      <c r="N1274" s="38"/>
      <c r="O1274" s="35" t="s">
        <v>12</v>
      </c>
    </row>
    <row r="1275" spans="1:15" x14ac:dyDescent="0.25">
      <c r="A1275" s="35" t="s">
        <v>1303</v>
      </c>
      <c r="B1275" s="35" t="s">
        <v>3631</v>
      </c>
      <c r="C1275" s="35">
        <v>2025</v>
      </c>
      <c r="D1275" s="36">
        <v>45760</v>
      </c>
      <c r="E1275" s="37" t="s">
        <v>1282</v>
      </c>
      <c r="F1275" s="37" t="s">
        <v>4389</v>
      </c>
      <c r="G1275" s="37" t="s">
        <v>4242</v>
      </c>
      <c r="H1275" s="35" t="s">
        <v>3415</v>
      </c>
      <c r="I1275" s="35" t="s">
        <v>3453</v>
      </c>
      <c r="J1275" s="38">
        <v>6.5454545454545459</v>
      </c>
      <c r="K1275" s="35">
        <v>4</v>
      </c>
      <c r="L1275" s="38">
        <f t="shared" si="19"/>
        <v>26.181818181818183</v>
      </c>
      <c r="M1275" s="35" t="s">
        <v>11</v>
      </c>
      <c r="N1275" s="38"/>
      <c r="O1275" s="35" t="s">
        <v>12</v>
      </c>
    </row>
    <row r="1276" spans="1:15" x14ac:dyDescent="0.25">
      <c r="A1276" s="35" t="s">
        <v>1303</v>
      </c>
      <c r="B1276" s="35" t="s">
        <v>3631</v>
      </c>
      <c r="C1276" s="35">
        <v>2025</v>
      </c>
      <c r="D1276" s="36">
        <v>45760</v>
      </c>
      <c r="E1276" s="37" t="s">
        <v>1282</v>
      </c>
      <c r="F1276" s="37" t="s">
        <v>4390</v>
      </c>
      <c r="G1276" s="37" t="s">
        <v>4024</v>
      </c>
      <c r="H1276" s="35" t="s">
        <v>3415</v>
      </c>
      <c r="I1276" s="35" t="s">
        <v>3453</v>
      </c>
      <c r="J1276" s="38">
        <v>74.181818181818187</v>
      </c>
      <c r="K1276" s="35">
        <v>4</v>
      </c>
      <c r="L1276" s="38">
        <f t="shared" si="19"/>
        <v>296.72727272727275</v>
      </c>
      <c r="M1276" s="35" t="s">
        <v>11</v>
      </c>
      <c r="N1276" s="38"/>
      <c r="O1276" s="35" t="s">
        <v>12</v>
      </c>
    </row>
    <row r="1277" spans="1:15" x14ac:dyDescent="0.25">
      <c r="A1277" s="35" t="s">
        <v>1305</v>
      </c>
      <c r="B1277" s="35" t="s">
        <v>3631</v>
      </c>
      <c r="C1277" s="35">
        <v>2025</v>
      </c>
      <c r="D1277" s="36">
        <v>45759</v>
      </c>
      <c r="E1277" s="37" t="s">
        <v>1282</v>
      </c>
      <c r="F1277" s="37" t="s">
        <v>4391</v>
      </c>
      <c r="G1277" s="37" t="s">
        <v>3710</v>
      </c>
      <c r="H1277" s="35" t="s">
        <v>3415</v>
      </c>
      <c r="I1277" s="35" t="s">
        <v>3453</v>
      </c>
      <c r="J1277" s="38">
        <v>8.1818181818181817</v>
      </c>
      <c r="K1277" s="35">
        <v>4</v>
      </c>
      <c r="L1277" s="38">
        <f t="shared" si="19"/>
        <v>32.727272727272727</v>
      </c>
      <c r="M1277" s="35" t="s">
        <v>11</v>
      </c>
      <c r="N1277" s="38"/>
      <c r="O1277" s="35" t="s">
        <v>12</v>
      </c>
    </row>
    <row r="1278" spans="1:15" x14ac:dyDescent="0.25">
      <c r="A1278" s="35" t="s">
        <v>1305</v>
      </c>
      <c r="B1278" s="35" t="s">
        <v>3631</v>
      </c>
      <c r="C1278" s="35">
        <v>2025</v>
      </c>
      <c r="D1278" s="36">
        <v>45759</v>
      </c>
      <c r="E1278" s="37" t="s">
        <v>1282</v>
      </c>
      <c r="F1278" s="37" t="s">
        <v>4323</v>
      </c>
      <c r="G1278" s="37" t="s">
        <v>3710</v>
      </c>
      <c r="H1278" s="35" t="s">
        <v>3415</v>
      </c>
      <c r="I1278" s="35" t="s">
        <v>3416</v>
      </c>
      <c r="J1278" s="38">
        <v>5.454545454545455</v>
      </c>
      <c r="K1278" s="35">
        <v>4</v>
      </c>
      <c r="L1278" s="38">
        <f t="shared" si="19"/>
        <v>21.81818181818182</v>
      </c>
      <c r="M1278" s="35" t="s">
        <v>11</v>
      </c>
      <c r="N1278" s="38"/>
      <c r="O1278" s="35" t="s">
        <v>12</v>
      </c>
    </row>
    <row r="1279" spans="1:15" x14ac:dyDescent="0.25">
      <c r="A1279" s="35" t="s">
        <v>1305</v>
      </c>
      <c r="B1279" s="35" t="s">
        <v>3631</v>
      </c>
      <c r="C1279" s="35">
        <v>2025</v>
      </c>
      <c r="D1279" s="36">
        <v>45759</v>
      </c>
      <c r="E1279" s="37" t="s">
        <v>1282</v>
      </c>
      <c r="F1279" s="37" t="s">
        <v>3953</v>
      </c>
      <c r="G1279" s="37" t="s">
        <v>4392</v>
      </c>
      <c r="H1279" s="35" t="s">
        <v>3415</v>
      </c>
      <c r="I1279" s="35" t="s">
        <v>3453</v>
      </c>
      <c r="J1279" s="38">
        <v>0.81818181818181823</v>
      </c>
      <c r="K1279" s="35">
        <v>6</v>
      </c>
      <c r="L1279" s="38">
        <f t="shared" si="19"/>
        <v>4.9090909090909092</v>
      </c>
      <c r="M1279" s="35" t="s">
        <v>11</v>
      </c>
      <c r="N1279" s="38"/>
      <c r="O1279" s="35" t="s">
        <v>12</v>
      </c>
    </row>
    <row r="1280" spans="1:15" x14ac:dyDescent="0.25">
      <c r="A1280" s="35" t="s">
        <v>1308</v>
      </c>
      <c r="B1280" s="35" t="s">
        <v>3631</v>
      </c>
      <c r="C1280" s="35">
        <v>2025</v>
      </c>
      <c r="D1280" s="36">
        <v>45759</v>
      </c>
      <c r="E1280" s="37" t="s">
        <v>1282</v>
      </c>
      <c r="F1280" s="37" t="s">
        <v>3844</v>
      </c>
      <c r="G1280" s="37" t="s">
        <v>3788</v>
      </c>
      <c r="H1280" s="35" t="s">
        <v>3419</v>
      </c>
      <c r="I1280" s="35" t="s">
        <v>3453</v>
      </c>
      <c r="J1280" s="38">
        <v>2.1818181818181821</v>
      </c>
      <c r="K1280" s="35">
        <v>1</v>
      </c>
      <c r="L1280" s="38">
        <f t="shared" si="19"/>
        <v>2.1818181818181821</v>
      </c>
      <c r="M1280" s="35" t="s">
        <v>11</v>
      </c>
      <c r="N1280" s="38"/>
      <c r="O1280" s="35" t="s">
        <v>12</v>
      </c>
    </row>
    <row r="1281" spans="1:15" x14ac:dyDescent="0.25">
      <c r="A1281" s="35" t="s">
        <v>1310</v>
      </c>
      <c r="B1281" s="35" t="s">
        <v>3631</v>
      </c>
      <c r="C1281" s="35">
        <v>2025</v>
      </c>
      <c r="D1281" s="36">
        <v>45758</v>
      </c>
      <c r="E1281" s="37" t="s">
        <v>1282</v>
      </c>
      <c r="F1281" s="37" t="s">
        <v>4393</v>
      </c>
      <c r="G1281" s="37" t="s">
        <v>4093</v>
      </c>
      <c r="H1281" s="35" t="s">
        <v>3419</v>
      </c>
      <c r="I1281" s="35" t="s">
        <v>3453</v>
      </c>
      <c r="J1281" s="38">
        <v>9.8181818181818183</v>
      </c>
      <c r="K1281" s="35">
        <v>3</v>
      </c>
      <c r="L1281" s="38">
        <f t="shared" si="19"/>
        <v>29.454545454545453</v>
      </c>
      <c r="M1281" s="35" t="s">
        <v>11</v>
      </c>
      <c r="N1281" s="38"/>
      <c r="O1281" s="35" t="s">
        <v>12</v>
      </c>
    </row>
    <row r="1282" spans="1:15" x14ac:dyDescent="0.25">
      <c r="A1282" s="35" t="s">
        <v>1310</v>
      </c>
      <c r="B1282" s="35" t="s">
        <v>3631</v>
      </c>
      <c r="C1282" s="35">
        <v>2025</v>
      </c>
      <c r="D1282" s="36">
        <v>45758</v>
      </c>
      <c r="E1282" s="37" t="s">
        <v>1282</v>
      </c>
      <c r="F1282" s="37" t="s">
        <v>3884</v>
      </c>
      <c r="G1282" s="37" t="s">
        <v>3788</v>
      </c>
      <c r="H1282" s="35" t="s">
        <v>3415</v>
      </c>
      <c r="I1282" s="35" t="s">
        <v>3453</v>
      </c>
      <c r="J1282" s="38">
        <v>1.0909090909090911</v>
      </c>
      <c r="K1282" s="35">
        <v>5</v>
      </c>
      <c r="L1282" s="38">
        <f t="shared" ref="L1282:L1345" si="20">J1282*K1282</f>
        <v>5.454545454545455</v>
      </c>
      <c r="M1282" s="35" t="s">
        <v>11</v>
      </c>
      <c r="N1282" s="38"/>
      <c r="O1282" s="35" t="s">
        <v>12</v>
      </c>
    </row>
    <row r="1283" spans="1:15" x14ac:dyDescent="0.25">
      <c r="A1283" s="35" t="s">
        <v>1310</v>
      </c>
      <c r="B1283" s="35" t="s">
        <v>3631</v>
      </c>
      <c r="C1283" s="35">
        <v>2025</v>
      </c>
      <c r="D1283" s="36">
        <v>45758</v>
      </c>
      <c r="E1283" s="37" t="s">
        <v>1282</v>
      </c>
      <c r="F1283" s="37" t="s">
        <v>4394</v>
      </c>
      <c r="G1283" s="37" t="s">
        <v>3710</v>
      </c>
      <c r="H1283" s="35" t="s">
        <v>3419</v>
      </c>
      <c r="I1283" s="35" t="s">
        <v>3453</v>
      </c>
      <c r="J1283" s="38">
        <v>0.81818181818181823</v>
      </c>
      <c r="K1283" s="35">
        <v>2</v>
      </c>
      <c r="L1283" s="38">
        <f t="shared" si="20"/>
        <v>1.6363636363636365</v>
      </c>
      <c r="M1283" s="35" t="s">
        <v>11</v>
      </c>
      <c r="N1283" s="38"/>
      <c r="O1283" s="35" t="s">
        <v>12</v>
      </c>
    </row>
    <row r="1284" spans="1:15" x14ac:dyDescent="0.25">
      <c r="A1284" s="35" t="s">
        <v>1310</v>
      </c>
      <c r="B1284" s="35" t="s">
        <v>3631</v>
      </c>
      <c r="C1284" s="35">
        <v>2025</v>
      </c>
      <c r="D1284" s="36">
        <v>45758</v>
      </c>
      <c r="E1284" s="37" t="s">
        <v>1282</v>
      </c>
      <c r="F1284" s="37" t="s">
        <v>4395</v>
      </c>
      <c r="G1284" s="37" t="s">
        <v>3710</v>
      </c>
      <c r="H1284" s="35" t="s">
        <v>3419</v>
      </c>
      <c r="I1284" s="35" t="s">
        <v>3453</v>
      </c>
      <c r="J1284" s="38">
        <v>3.2727272727272729</v>
      </c>
      <c r="K1284" s="35">
        <v>1</v>
      </c>
      <c r="L1284" s="38">
        <f t="shared" si="20"/>
        <v>3.2727272727272729</v>
      </c>
      <c r="M1284" s="35" t="s">
        <v>11</v>
      </c>
      <c r="N1284" s="38"/>
      <c r="O1284" s="35" t="s">
        <v>12</v>
      </c>
    </row>
    <row r="1285" spans="1:15" x14ac:dyDescent="0.25">
      <c r="A1285" s="35" t="s">
        <v>1310</v>
      </c>
      <c r="B1285" s="35" t="s">
        <v>3631</v>
      </c>
      <c r="C1285" s="35">
        <v>2025</v>
      </c>
      <c r="D1285" s="36">
        <v>45758</v>
      </c>
      <c r="E1285" s="37" t="s">
        <v>1282</v>
      </c>
      <c r="F1285" s="37" t="s">
        <v>4396</v>
      </c>
      <c r="G1285" s="37" t="s">
        <v>4103</v>
      </c>
      <c r="H1285" s="35" t="s">
        <v>3419</v>
      </c>
      <c r="I1285" s="35" t="s">
        <v>3453</v>
      </c>
      <c r="J1285" s="38">
        <v>2.727272727272728</v>
      </c>
      <c r="K1285" s="35">
        <v>3</v>
      </c>
      <c r="L1285" s="38">
        <f t="shared" si="20"/>
        <v>8.1818181818181834</v>
      </c>
      <c r="M1285" s="35" t="s">
        <v>11</v>
      </c>
      <c r="N1285" s="38"/>
      <c r="O1285" s="35" t="s">
        <v>12</v>
      </c>
    </row>
    <row r="1286" spans="1:15" x14ac:dyDescent="0.25">
      <c r="A1286" s="35" t="s">
        <v>1310</v>
      </c>
      <c r="B1286" s="35" t="s">
        <v>3631</v>
      </c>
      <c r="C1286" s="35">
        <v>2025</v>
      </c>
      <c r="D1286" s="36">
        <v>45758</v>
      </c>
      <c r="E1286" s="37" t="s">
        <v>1282</v>
      </c>
      <c r="F1286" s="37" t="s">
        <v>4397</v>
      </c>
      <c r="G1286" s="37" t="s">
        <v>4398</v>
      </c>
      <c r="H1286" s="35" t="s">
        <v>3415</v>
      </c>
      <c r="I1286" s="35" t="s">
        <v>3453</v>
      </c>
      <c r="J1286" s="38">
        <v>6.5454545454545459</v>
      </c>
      <c r="K1286" s="35">
        <v>4</v>
      </c>
      <c r="L1286" s="38">
        <f t="shared" si="20"/>
        <v>26.181818181818183</v>
      </c>
      <c r="M1286" s="35" t="s">
        <v>11</v>
      </c>
      <c r="N1286" s="38"/>
      <c r="O1286" s="35" t="s">
        <v>12</v>
      </c>
    </row>
    <row r="1287" spans="1:15" x14ac:dyDescent="0.25">
      <c r="A1287" s="35" t="s">
        <v>1310</v>
      </c>
      <c r="B1287" s="35" t="s">
        <v>3631</v>
      </c>
      <c r="C1287" s="35">
        <v>2025</v>
      </c>
      <c r="D1287" s="36">
        <v>45758</v>
      </c>
      <c r="E1287" s="37" t="s">
        <v>1282</v>
      </c>
      <c r="F1287" s="37" t="s">
        <v>3829</v>
      </c>
      <c r="G1287" s="37" t="s">
        <v>4398</v>
      </c>
      <c r="H1287" s="35" t="s">
        <v>3415</v>
      </c>
      <c r="I1287" s="35" t="s">
        <v>3453</v>
      </c>
      <c r="J1287" s="38">
        <v>16.36363636363636</v>
      </c>
      <c r="K1287" s="35">
        <v>4</v>
      </c>
      <c r="L1287" s="38">
        <f t="shared" si="20"/>
        <v>65.454545454545439</v>
      </c>
      <c r="M1287" s="35" t="s">
        <v>11</v>
      </c>
      <c r="N1287" s="38"/>
      <c r="O1287" s="35" t="s">
        <v>12</v>
      </c>
    </row>
    <row r="1288" spans="1:15" x14ac:dyDescent="0.25">
      <c r="A1288" s="35" t="s">
        <v>1310</v>
      </c>
      <c r="B1288" s="35" t="s">
        <v>3631</v>
      </c>
      <c r="C1288" s="35">
        <v>2025</v>
      </c>
      <c r="D1288" s="36">
        <v>45758</v>
      </c>
      <c r="E1288" s="37" t="s">
        <v>1282</v>
      </c>
      <c r="F1288" s="37" t="s">
        <v>4399</v>
      </c>
      <c r="G1288" s="37" t="s">
        <v>3656</v>
      </c>
      <c r="H1288" s="35" t="s">
        <v>3419</v>
      </c>
      <c r="I1288" s="35" t="s">
        <v>3453</v>
      </c>
      <c r="J1288" s="38">
        <v>17.345454545454551</v>
      </c>
      <c r="K1288" s="35">
        <v>1</v>
      </c>
      <c r="L1288" s="38">
        <f t="shared" si="20"/>
        <v>17.345454545454551</v>
      </c>
      <c r="M1288" s="35" t="s">
        <v>11</v>
      </c>
      <c r="N1288" s="38"/>
      <c r="O1288" s="35" t="s">
        <v>12</v>
      </c>
    </row>
    <row r="1289" spans="1:15" x14ac:dyDescent="0.25">
      <c r="A1289" s="35" t="s">
        <v>1310</v>
      </c>
      <c r="B1289" s="35" t="s">
        <v>3631</v>
      </c>
      <c r="C1289" s="35">
        <v>2025</v>
      </c>
      <c r="D1289" s="36">
        <v>45758</v>
      </c>
      <c r="E1289" s="37" t="s">
        <v>1282</v>
      </c>
      <c r="F1289" s="37" t="s">
        <v>4400</v>
      </c>
      <c r="G1289" s="37" t="s">
        <v>4012</v>
      </c>
      <c r="H1289" s="35" t="s">
        <v>3415</v>
      </c>
      <c r="I1289" s="35" t="s">
        <v>3453</v>
      </c>
      <c r="J1289" s="38">
        <v>1.0909090909090911</v>
      </c>
      <c r="K1289" s="35">
        <v>4</v>
      </c>
      <c r="L1289" s="38">
        <f t="shared" si="20"/>
        <v>4.3636363636363642</v>
      </c>
      <c r="M1289" s="35" t="s">
        <v>11</v>
      </c>
      <c r="N1289" s="38"/>
      <c r="O1289" s="35" t="s">
        <v>12</v>
      </c>
    </row>
    <row r="1290" spans="1:15" x14ac:dyDescent="0.25">
      <c r="A1290" s="35" t="s">
        <v>1310</v>
      </c>
      <c r="B1290" s="35" t="s">
        <v>3631</v>
      </c>
      <c r="C1290" s="35">
        <v>2025</v>
      </c>
      <c r="D1290" s="36">
        <v>45758</v>
      </c>
      <c r="E1290" s="37" t="s">
        <v>1282</v>
      </c>
      <c r="F1290" s="37" t="s">
        <v>4401</v>
      </c>
      <c r="G1290" s="37" t="s">
        <v>3901</v>
      </c>
      <c r="H1290" s="35" t="s">
        <v>3415</v>
      </c>
      <c r="I1290" s="35" t="s">
        <v>3453</v>
      </c>
      <c r="J1290" s="38">
        <v>13.36363636363637</v>
      </c>
      <c r="K1290" s="35">
        <v>4</v>
      </c>
      <c r="L1290" s="38">
        <f t="shared" si="20"/>
        <v>53.454545454545482</v>
      </c>
      <c r="M1290" s="35" t="s">
        <v>11</v>
      </c>
      <c r="N1290" s="38"/>
      <c r="O1290" s="35" t="s">
        <v>12</v>
      </c>
    </row>
    <row r="1291" spans="1:15" x14ac:dyDescent="0.25">
      <c r="A1291" s="35" t="s">
        <v>1310</v>
      </c>
      <c r="B1291" s="35" t="s">
        <v>3631</v>
      </c>
      <c r="C1291" s="35">
        <v>2025</v>
      </c>
      <c r="D1291" s="36">
        <v>45758</v>
      </c>
      <c r="E1291" s="37" t="s">
        <v>1282</v>
      </c>
      <c r="F1291" s="37" t="s">
        <v>4402</v>
      </c>
      <c r="G1291" s="37" t="s">
        <v>3945</v>
      </c>
      <c r="H1291" s="35" t="s">
        <v>3419</v>
      </c>
      <c r="I1291" s="35" t="s">
        <v>3453</v>
      </c>
      <c r="J1291" s="38">
        <v>2.1818181818181821</v>
      </c>
      <c r="K1291" s="35">
        <v>1</v>
      </c>
      <c r="L1291" s="38">
        <f t="shared" si="20"/>
        <v>2.1818181818181821</v>
      </c>
      <c r="M1291" s="35" t="s">
        <v>11</v>
      </c>
      <c r="N1291" s="38"/>
      <c r="O1291" s="35" t="s">
        <v>12</v>
      </c>
    </row>
    <row r="1292" spans="1:15" x14ac:dyDescent="0.25">
      <c r="A1292" s="35" t="s">
        <v>1310</v>
      </c>
      <c r="B1292" s="35" t="s">
        <v>3631</v>
      </c>
      <c r="C1292" s="35">
        <v>2025</v>
      </c>
      <c r="D1292" s="36">
        <v>45758</v>
      </c>
      <c r="E1292" s="37" t="s">
        <v>1282</v>
      </c>
      <c r="F1292" s="37" t="s">
        <v>4171</v>
      </c>
      <c r="G1292" s="37" t="s">
        <v>4103</v>
      </c>
      <c r="H1292" s="35" t="s">
        <v>3419</v>
      </c>
      <c r="I1292" s="35" t="s">
        <v>3453</v>
      </c>
      <c r="J1292" s="38">
        <v>13.63636363636364</v>
      </c>
      <c r="K1292" s="35">
        <v>2</v>
      </c>
      <c r="L1292" s="38">
        <f t="shared" si="20"/>
        <v>27.27272727272728</v>
      </c>
      <c r="M1292" s="35" t="s">
        <v>11</v>
      </c>
      <c r="N1292" s="38"/>
      <c r="O1292" s="35" t="s">
        <v>12</v>
      </c>
    </row>
    <row r="1293" spans="1:15" x14ac:dyDescent="0.25">
      <c r="A1293" s="35" t="s">
        <v>1310</v>
      </c>
      <c r="B1293" s="35" t="s">
        <v>3631</v>
      </c>
      <c r="C1293" s="35">
        <v>2025</v>
      </c>
      <c r="D1293" s="36">
        <v>45758</v>
      </c>
      <c r="E1293" s="37" t="s">
        <v>1282</v>
      </c>
      <c r="F1293" s="37" t="s">
        <v>4403</v>
      </c>
      <c r="G1293" s="37" t="s">
        <v>3788</v>
      </c>
      <c r="H1293" s="35" t="s">
        <v>3419</v>
      </c>
      <c r="I1293" s="35" t="s">
        <v>3453</v>
      </c>
      <c r="J1293" s="38">
        <v>1.636363636363636</v>
      </c>
      <c r="K1293" s="35">
        <v>2</v>
      </c>
      <c r="L1293" s="38">
        <f t="shared" si="20"/>
        <v>3.272727272727272</v>
      </c>
      <c r="M1293" s="35" t="s">
        <v>11</v>
      </c>
      <c r="N1293" s="38"/>
      <c r="O1293" s="35" t="s">
        <v>12</v>
      </c>
    </row>
    <row r="1294" spans="1:15" x14ac:dyDescent="0.25">
      <c r="A1294" s="35">
        <v>1205717316</v>
      </c>
      <c r="B1294" s="35" t="s">
        <v>3631</v>
      </c>
      <c r="C1294" s="35">
        <v>2025</v>
      </c>
      <c r="D1294" s="36">
        <v>45757.091504629629</v>
      </c>
      <c r="E1294" s="37" t="s">
        <v>1313</v>
      </c>
      <c r="F1294" s="37" t="s">
        <v>4404</v>
      </c>
      <c r="G1294" s="37" t="s">
        <v>4405</v>
      </c>
      <c r="H1294" s="35" t="s">
        <v>3419</v>
      </c>
      <c r="I1294" s="35" t="s">
        <v>3453</v>
      </c>
      <c r="J1294" s="38">
        <v>8.4464285714285712</v>
      </c>
      <c r="K1294" s="35">
        <v>2</v>
      </c>
      <c r="L1294" s="38">
        <f t="shared" si="20"/>
        <v>16.892857142857142</v>
      </c>
      <c r="M1294" s="35" t="s">
        <v>11</v>
      </c>
      <c r="N1294" s="38"/>
      <c r="O1294" s="35" t="s">
        <v>12</v>
      </c>
    </row>
    <row r="1295" spans="1:15" x14ac:dyDescent="0.25">
      <c r="A1295" s="35">
        <v>1205717316</v>
      </c>
      <c r="B1295" s="35" t="s">
        <v>3631</v>
      </c>
      <c r="C1295" s="35">
        <v>2025</v>
      </c>
      <c r="D1295" s="36">
        <v>45757.091504629629</v>
      </c>
      <c r="E1295" s="37" t="s">
        <v>1313</v>
      </c>
      <c r="F1295" s="37" t="s">
        <v>4194</v>
      </c>
      <c r="G1295" s="37" t="s">
        <v>4128</v>
      </c>
      <c r="H1295" s="35" t="s">
        <v>3415</v>
      </c>
      <c r="I1295" s="35" t="s">
        <v>3453</v>
      </c>
      <c r="J1295" s="38">
        <v>1.6892857142857141</v>
      </c>
      <c r="K1295" s="35">
        <v>4</v>
      </c>
      <c r="L1295" s="38">
        <f t="shared" si="20"/>
        <v>6.7571428571428562</v>
      </c>
      <c r="M1295" s="35" t="s">
        <v>11</v>
      </c>
      <c r="N1295" s="38"/>
      <c r="O1295" s="35" t="s">
        <v>12</v>
      </c>
    </row>
    <row r="1296" spans="1:15" x14ac:dyDescent="0.25">
      <c r="A1296" s="35" t="s">
        <v>1316</v>
      </c>
      <c r="B1296" s="35" t="s">
        <v>3631</v>
      </c>
      <c r="C1296" s="35">
        <v>2025</v>
      </c>
      <c r="D1296" s="36">
        <v>45757</v>
      </c>
      <c r="E1296" s="37" t="s">
        <v>1282</v>
      </c>
      <c r="F1296" s="37" t="s">
        <v>4406</v>
      </c>
      <c r="G1296" s="37" t="s">
        <v>3797</v>
      </c>
      <c r="H1296" s="35" t="s">
        <v>3419</v>
      </c>
      <c r="I1296" s="35" t="s">
        <v>3453</v>
      </c>
      <c r="J1296" s="38">
        <v>27.27272727272727</v>
      </c>
      <c r="K1296" s="35">
        <v>2</v>
      </c>
      <c r="L1296" s="38">
        <f t="shared" si="20"/>
        <v>54.54545454545454</v>
      </c>
      <c r="M1296" s="35" t="s">
        <v>11</v>
      </c>
      <c r="N1296" s="38"/>
      <c r="O1296" s="35" t="s">
        <v>12</v>
      </c>
    </row>
    <row r="1297" spans="1:15" x14ac:dyDescent="0.25">
      <c r="A1297" s="35" t="s">
        <v>1318</v>
      </c>
      <c r="B1297" s="35" t="s">
        <v>3631</v>
      </c>
      <c r="C1297" s="35">
        <v>2025</v>
      </c>
      <c r="D1297" s="36">
        <v>45757</v>
      </c>
      <c r="E1297" s="37" t="s">
        <v>1282</v>
      </c>
      <c r="F1297" s="37" t="s">
        <v>4382</v>
      </c>
      <c r="G1297" s="37" t="s">
        <v>3455</v>
      </c>
      <c r="H1297" s="35" t="s">
        <v>3419</v>
      </c>
      <c r="I1297" s="35" t="s">
        <v>3453</v>
      </c>
      <c r="J1297" s="38">
        <v>3.2727272727272729</v>
      </c>
      <c r="K1297" s="35">
        <v>1</v>
      </c>
      <c r="L1297" s="38">
        <f t="shared" si="20"/>
        <v>3.2727272727272729</v>
      </c>
      <c r="M1297" s="35" t="s">
        <v>11</v>
      </c>
      <c r="N1297" s="38"/>
      <c r="O1297" s="35" t="s">
        <v>12</v>
      </c>
    </row>
    <row r="1298" spans="1:15" x14ac:dyDescent="0.25">
      <c r="A1298" s="35" t="s">
        <v>1318</v>
      </c>
      <c r="B1298" s="35" t="s">
        <v>3631</v>
      </c>
      <c r="C1298" s="35">
        <v>2025</v>
      </c>
      <c r="D1298" s="36">
        <v>45757</v>
      </c>
      <c r="E1298" s="37" t="s">
        <v>1282</v>
      </c>
      <c r="F1298" s="37" t="s">
        <v>4407</v>
      </c>
      <c r="G1298" s="37" t="s">
        <v>3621</v>
      </c>
      <c r="H1298" s="35" t="s">
        <v>3415</v>
      </c>
      <c r="I1298" s="35" t="s">
        <v>3453</v>
      </c>
      <c r="J1298" s="38">
        <v>1.0909090909090911</v>
      </c>
      <c r="K1298" s="35">
        <v>4</v>
      </c>
      <c r="L1298" s="38">
        <f t="shared" si="20"/>
        <v>4.3636363636363642</v>
      </c>
      <c r="M1298" s="35" t="s">
        <v>11</v>
      </c>
      <c r="N1298" s="38"/>
      <c r="O1298" s="35" t="s">
        <v>12</v>
      </c>
    </row>
    <row r="1299" spans="1:15" x14ac:dyDescent="0.25">
      <c r="A1299" s="35" t="s">
        <v>1318</v>
      </c>
      <c r="B1299" s="35" t="s">
        <v>3631</v>
      </c>
      <c r="C1299" s="35">
        <v>2025</v>
      </c>
      <c r="D1299" s="36">
        <v>45757</v>
      </c>
      <c r="E1299" s="37" t="s">
        <v>1282</v>
      </c>
      <c r="F1299" s="37" t="s">
        <v>4408</v>
      </c>
      <c r="G1299" s="37" t="s">
        <v>4409</v>
      </c>
      <c r="H1299" s="35" t="s">
        <v>3419</v>
      </c>
      <c r="I1299" s="35" t="s">
        <v>3453</v>
      </c>
      <c r="J1299" s="38">
        <v>3.2727272727272729</v>
      </c>
      <c r="K1299" s="35">
        <v>3</v>
      </c>
      <c r="L1299" s="38">
        <f t="shared" si="20"/>
        <v>9.8181818181818183</v>
      </c>
      <c r="M1299" s="35" t="s">
        <v>11</v>
      </c>
      <c r="N1299" s="38"/>
      <c r="O1299" s="35" t="s">
        <v>12</v>
      </c>
    </row>
    <row r="1300" spans="1:15" x14ac:dyDescent="0.25">
      <c r="A1300" s="35" t="s">
        <v>1320</v>
      </c>
      <c r="B1300" s="35" t="s">
        <v>3631</v>
      </c>
      <c r="C1300" s="35">
        <v>2025</v>
      </c>
      <c r="D1300" s="36">
        <v>45757</v>
      </c>
      <c r="E1300" s="37" t="s">
        <v>1282</v>
      </c>
      <c r="F1300" s="37" t="s">
        <v>4410</v>
      </c>
      <c r="G1300" s="37" t="s">
        <v>4242</v>
      </c>
      <c r="H1300" s="35" t="s">
        <v>3419</v>
      </c>
      <c r="I1300" s="35" t="s">
        <v>3453</v>
      </c>
      <c r="J1300" s="38">
        <v>65.454545454545453</v>
      </c>
      <c r="K1300" s="35">
        <v>1</v>
      </c>
      <c r="L1300" s="38">
        <f t="shared" si="20"/>
        <v>65.454545454545453</v>
      </c>
      <c r="M1300" s="35" t="s">
        <v>11</v>
      </c>
      <c r="N1300" s="38"/>
      <c r="O1300" s="35" t="s">
        <v>12</v>
      </c>
    </row>
    <row r="1301" spans="1:15" x14ac:dyDescent="0.25">
      <c r="A1301" s="35" t="s">
        <v>1320</v>
      </c>
      <c r="B1301" s="35" t="s">
        <v>3631</v>
      </c>
      <c r="C1301" s="35">
        <v>2025</v>
      </c>
      <c r="D1301" s="36">
        <v>45757</v>
      </c>
      <c r="E1301" s="37" t="s">
        <v>1282</v>
      </c>
      <c r="F1301" s="37" t="s">
        <v>4411</v>
      </c>
      <c r="G1301" s="37" t="s">
        <v>4412</v>
      </c>
      <c r="H1301" s="35" t="s">
        <v>3419</v>
      </c>
      <c r="I1301" s="35" t="s">
        <v>3453</v>
      </c>
      <c r="J1301" s="38">
        <v>2.1818181818181821</v>
      </c>
      <c r="K1301" s="35">
        <v>1</v>
      </c>
      <c r="L1301" s="38">
        <f t="shared" si="20"/>
        <v>2.1818181818181821</v>
      </c>
      <c r="M1301" s="35" t="s">
        <v>11</v>
      </c>
      <c r="N1301" s="38"/>
      <c r="O1301" s="35" t="s">
        <v>12</v>
      </c>
    </row>
    <row r="1302" spans="1:15" x14ac:dyDescent="0.25">
      <c r="A1302" s="35" t="s">
        <v>1322</v>
      </c>
      <c r="B1302" s="35" t="s">
        <v>3631</v>
      </c>
      <c r="C1302" s="35">
        <v>2025</v>
      </c>
      <c r="D1302" s="36">
        <v>45757</v>
      </c>
      <c r="E1302" s="37" t="s">
        <v>1282</v>
      </c>
      <c r="F1302" s="37" t="s">
        <v>3844</v>
      </c>
      <c r="G1302" s="37" t="s">
        <v>3788</v>
      </c>
      <c r="H1302" s="35" t="s">
        <v>3419</v>
      </c>
      <c r="I1302" s="35" t="s">
        <v>3453</v>
      </c>
      <c r="J1302" s="38">
        <v>2.1818181818181821</v>
      </c>
      <c r="K1302" s="35">
        <v>1</v>
      </c>
      <c r="L1302" s="38">
        <f t="shared" si="20"/>
        <v>2.1818181818181821</v>
      </c>
      <c r="M1302" s="35" t="s">
        <v>11</v>
      </c>
      <c r="N1302" s="38"/>
      <c r="O1302" s="35" t="s">
        <v>12</v>
      </c>
    </row>
    <row r="1303" spans="1:15" x14ac:dyDescent="0.25">
      <c r="A1303" s="35" t="s">
        <v>1323</v>
      </c>
      <c r="B1303" s="35" t="s">
        <v>3631</v>
      </c>
      <c r="C1303" s="35">
        <v>2025</v>
      </c>
      <c r="D1303" s="36">
        <v>45757</v>
      </c>
      <c r="E1303" s="37" t="s">
        <v>1282</v>
      </c>
      <c r="F1303" s="37" t="s">
        <v>4413</v>
      </c>
      <c r="G1303" s="37" t="s">
        <v>2045</v>
      </c>
      <c r="H1303" s="35" t="s">
        <v>3419</v>
      </c>
      <c r="I1303" s="35" t="s">
        <v>3453</v>
      </c>
      <c r="J1303" s="38">
        <v>5.454545454545455</v>
      </c>
      <c r="K1303" s="35">
        <v>3</v>
      </c>
      <c r="L1303" s="38">
        <f t="shared" si="20"/>
        <v>16.363636363636367</v>
      </c>
      <c r="M1303" s="35" t="s">
        <v>11</v>
      </c>
      <c r="N1303" s="38"/>
      <c r="O1303" s="35" t="s">
        <v>12</v>
      </c>
    </row>
    <row r="1304" spans="1:15" x14ac:dyDescent="0.25">
      <c r="A1304" s="35" t="s">
        <v>1325</v>
      </c>
      <c r="B1304" s="35" t="s">
        <v>3631</v>
      </c>
      <c r="C1304" s="35">
        <v>2025</v>
      </c>
      <c r="D1304" s="36">
        <v>45756</v>
      </c>
      <c r="E1304" s="37" t="s">
        <v>1282</v>
      </c>
      <c r="F1304" s="37" t="s">
        <v>4352</v>
      </c>
      <c r="G1304" s="37" t="s">
        <v>3805</v>
      </c>
      <c r="H1304" s="35" t="s">
        <v>3419</v>
      </c>
      <c r="I1304" s="35" t="s">
        <v>3453</v>
      </c>
      <c r="J1304" s="38">
        <v>13.963636363636359</v>
      </c>
      <c r="K1304" s="35">
        <v>3</v>
      </c>
      <c r="L1304" s="38">
        <f t="shared" si="20"/>
        <v>41.890909090909076</v>
      </c>
      <c r="M1304" s="35" t="s">
        <v>11</v>
      </c>
      <c r="N1304" s="38"/>
      <c r="O1304" s="35" t="s">
        <v>12</v>
      </c>
    </row>
    <row r="1305" spans="1:15" x14ac:dyDescent="0.25">
      <c r="A1305" s="35" t="s">
        <v>1328</v>
      </c>
      <c r="B1305" s="35" t="s">
        <v>3631</v>
      </c>
      <c r="C1305" s="35">
        <v>2025</v>
      </c>
      <c r="D1305" s="36">
        <v>45756</v>
      </c>
      <c r="E1305" s="37" t="s">
        <v>1282</v>
      </c>
      <c r="F1305" s="37" t="s">
        <v>4352</v>
      </c>
      <c r="G1305" s="37" t="s">
        <v>3805</v>
      </c>
      <c r="H1305" s="35" t="s">
        <v>3419</v>
      </c>
      <c r="I1305" s="35" t="s">
        <v>3453</v>
      </c>
      <c r="J1305" s="38">
        <v>13.036363636363641</v>
      </c>
      <c r="K1305" s="35">
        <v>1</v>
      </c>
      <c r="L1305" s="38">
        <f t="shared" si="20"/>
        <v>13.036363636363641</v>
      </c>
      <c r="M1305" s="35" t="s">
        <v>11</v>
      </c>
      <c r="N1305" s="38"/>
      <c r="O1305" s="35" t="s">
        <v>12</v>
      </c>
    </row>
    <row r="1306" spans="1:15" x14ac:dyDescent="0.25">
      <c r="A1306" s="35" t="s">
        <v>1328</v>
      </c>
      <c r="B1306" s="35" t="s">
        <v>3631</v>
      </c>
      <c r="C1306" s="35">
        <v>2025</v>
      </c>
      <c r="D1306" s="36">
        <v>45756</v>
      </c>
      <c r="E1306" s="37" t="s">
        <v>1282</v>
      </c>
      <c r="F1306" s="37" t="s">
        <v>4414</v>
      </c>
      <c r="G1306" s="37" t="s">
        <v>3805</v>
      </c>
      <c r="H1306" s="35" t="s">
        <v>3415</v>
      </c>
      <c r="I1306" s="35" t="s">
        <v>3453</v>
      </c>
      <c r="J1306" s="38">
        <v>0.98181818181818192</v>
      </c>
      <c r="K1306" s="35">
        <v>4</v>
      </c>
      <c r="L1306" s="38">
        <f t="shared" si="20"/>
        <v>3.9272727272727277</v>
      </c>
      <c r="M1306" s="35" t="s">
        <v>11</v>
      </c>
      <c r="N1306" s="38"/>
      <c r="O1306" s="35" t="s">
        <v>12</v>
      </c>
    </row>
    <row r="1307" spans="1:15" x14ac:dyDescent="0.25">
      <c r="A1307" s="35" t="s">
        <v>1330</v>
      </c>
      <c r="B1307" s="35" t="s">
        <v>3631</v>
      </c>
      <c r="C1307" s="35">
        <v>2025</v>
      </c>
      <c r="D1307" s="36">
        <v>45756</v>
      </c>
      <c r="E1307" s="37" t="s">
        <v>1282</v>
      </c>
      <c r="F1307" s="37" t="s">
        <v>4288</v>
      </c>
      <c r="G1307" s="37" t="s">
        <v>3742</v>
      </c>
      <c r="H1307" s="35" t="s">
        <v>3415</v>
      </c>
      <c r="I1307" s="35" t="s">
        <v>3453</v>
      </c>
      <c r="J1307" s="38">
        <v>0.54545454545454553</v>
      </c>
      <c r="K1307" s="35">
        <v>4</v>
      </c>
      <c r="L1307" s="38">
        <f t="shared" si="20"/>
        <v>2.1818181818181821</v>
      </c>
      <c r="M1307" s="35" t="s">
        <v>11</v>
      </c>
      <c r="N1307" s="38"/>
      <c r="O1307" s="35" t="s">
        <v>12</v>
      </c>
    </row>
    <row r="1308" spans="1:15" x14ac:dyDescent="0.25">
      <c r="A1308" s="35" t="s">
        <v>1330</v>
      </c>
      <c r="B1308" s="35" t="s">
        <v>3631</v>
      </c>
      <c r="C1308" s="35">
        <v>2025</v>
      </c>
      <c r="D1308" s="36">
        <v>45756</v>
      </c>
      <c r="E1308" s="37" t="s">
        <v>1282</v>
      </c>
      <c r="F1308" s="37" t="s">
        <v>4127</v>
      </c>
      <c r="G1308" s="37" t="s">
        <v>4128</v>
      </c>
      <c r="H1308" s="35" t="s">
        <v>3419</v>
      </c>
      <c r="I1308" s="35" t="s">
        <v>3453</v>
      </c>
      <c r="J1308" s="38">
        <v>26.72727272727273</v>
      </c>
      <c r="K1308" s="35">
        <v>2</v>
      </c>
      <c r="L1308" s="38">
        <f t="shared" si="20"/>
        <v>53.45454545454546</v>
      </c>
      <c r="M1308" s="35" t="s">
        <v>11</v>
      </c>
      <c r="N1308" s="38"/>
      <c r="O1308" s="35" t="s">
        <v>12</v>
      </c>
    </row>
    <row r="1309" spans="1:15" x14ac:dyDescent="0.25">
      <c r="A1309" s="35" t="s">
        <v>1330</v>
      </c>
      <c r="B1309" s="35" t="s">
        <v>3631</v>
      </c>
      <c r="C1309" s="35">
        <v>2025</v>
      </c>
      <c r="D1309" s="36">
        <v>45756</v>
      </c>
      <c r="E1309" s="37" t="s">
        <v>1282</v>
      </c>
      <c r="F1309" s="37" t="s">
        <v>4067</v>
      </c>
      <c r="G1309" s="37" t="s">
        <v>3696</v>
      </c>
      <c r="H1309" s="35" t="s">
        <v>3419</v>
      </c>
      <c r="I1309" s="35" t="s">
        <v>3453</v>
      </c>
      <c r="J1309" s="38">
        <v>10.90909090909091</v>
      </c>
      <c r="K1309" s="35">
        <v>2</v>
      </c>
      <c r="L1309" s="38">
        <f t="shared" si="20"/>
        <v>21.81818181818182</v>
      </c>
      <c r="M1309" s="35" t="s">
        <v>11</v>
      </c>
      <c r="N1309" s="38"/>
      <c r="O1309" s="35" t="s">
        <v>12</v>
      </c>
    </row>
    <row r="1310" spans="1:15" x14ac:dyDescent="0.25">
      <c r="A1310" s="35" t="s">
        <v>1330</v>
      </c>
      <c r="B1310" s="35" t="s">
        <v>3631</v>
      </c>
      <c r="C1310" s="35">
        <v>2025</v>
      </c>
      <c r="D1310" s="36">
        <v>45756</v>
      </c>
      <c r="E1310" s="37" t="s">
        <v>1282</v>
      </c>
      <c r="F1310" s="37" t="s">
        <v>4274</v>
      </c>
      <c r="G1310" s="37" t="s">
        <v>3742</v>
      </c>
      <c r="H1310" s="35" t="s">
        <v>3419</v>
      </c>
      <c r="I1310" s="35" t="s">
        <v>3453</v>
      </c>
      <c r="J1310" s="38">
        <v>8.1818181818181817</v>
      </c>
      <c r="K1310" s="35">
        <v>1</v>
      </c>
      <c r="L1310" s="38">
        <f t="shared" si="20"/>
        <v>8.1818181818181817</v>
      </c>
      <c r="M1310" s="35" t="s">
        <v>11</v>
      </c>
      <c r="N1310" s="38"/>
      <c r="O1310" s="35" t="s">
        <v>12</v>
      </c>
    </row>
    <row r="1311" spans="1:15" x14ac:dyDescent="0.25">
      <c r="A1311" s="35" t="s">
        <v>1330</v>
      </c>
      <c r="B1311" s="35" t="s">
        <v>3631</v>
      </c>
      <c r="C1311" s="35">
        <v>2025</v>
      </c>
      <c r="D1311" s="36">
        <v>45756</v>
      </c>
      <c r="E1311" s="37" t="s">
        <v>1282</v>
      </c>
      <c r="F1311" s="37" t="s">
        <v>4415</v>
      </c>
      <c r="G1311" s="37" t="s">
        <v>3742</v>
      </c>
      <c r="H1311" s="35" t="s">
        <v>3419</v>
      </c>
      <c r="I1311" s="35" t="s">
        <v>3453</v>
      </c>
      <c r="J1311" s="38">
        <v>8.7272727272727284</v>
      </c>
      <c r="K1311" s="35">
        <v>2</v>
      </c>
      <c r="L1311" s="38">
        <f t="shared" si="20"/>
        <v>17.454545454545457</v>
      </c>
      <c r="M1311" s="35" t="s">
        <v>11</v>
      </c>
      <c r="N1311" s="38"/>
      <c r="O1311" s="35" t="s">
        <v>12</v>
      </c>
    </row>
    <row r="1312" spans="1:15" x14ac:dyDescent="0.25">
      <c r="A1312" s="35" t="s">
        <v>1330</v>
      </c>
      <c r="B1312" s="35" t="s">
        <v>3631</v>
      </c>
      <c r="C1312" s="35">
        <v>2025</v>
      </c>
      <c r="D1312" s="36">
        <v>45756</v>
      </c>
      <c r="E1312" s="37" t="s">
        <v>1282</v>
      </c>
      <c r="F1312" s="37" t="s">
        <v>4415</v>
      </c>
      <c r="G1312" s="37" t="s">
        <v>3742</v>
      </c>
      <c r="H1312" s="35" t="s">
        <v>3419</v>
      </c>
      <c r="I1312" s="35" t="s">
        <v>3453</v>
      </c>
      <c r="J1312" s="38">
        <v>10.90909090909091</v>
      </c>
      <c r="K1312" s="35">
        <v>2</v>
      </c>
      <c r="L1312" s="38">
        <f t="shared" si="20"/>
        <v>21.81818181818182</v>
      </c>
      <c r="M1312" s="35" t="s">
        <v>11</v>
      </c>
      <c r="N1312" s="38"/>
      <c r="O1312" s="35" t="s">
        <v>12</v>
      </c>
    </row>
    <row r="1313" spans="1:15" x14ac:dyDescent="0.25">
      <c r="A1313" s="35" t="s">
        <v>1330</v>
      </c>
      <c r="B1313" s="35" t="s">
        <v>3631</v>
      </c>
      <c r="C1313" s="35">
        <v>2025</v>
      </c>
      <c r="D1313" s="36">
        <v>45756</v>
      </c>
      <c r="E1313" s="37" t="s">
        <v>1282</v>
      </c>
      <c r="F1313" s="37" t="s">
        <v>4287</v>
      </c>
      <c r="G1313" s="37" t="s">
        <v>3656</v>
      </c>
      <c r="H1313" s="35" t="s">
        <v>3415</v>
      </c>
      <c r="I1313" s="35" t="s">
        <v>3453</v>
      </c>
      <c r="J1313" s="38">
        <v>0.54545454545454553</v>
      </c>
      <c r="K1313" s="35">
        <v>4</v>
      </c>
      <c r="L1313" s="38">
        <f t="shared" si="20"/>
        <v>2.1818181818181821</v>
      </c>
      <c r="M1313" s="35" t="s">
        <v>11</v>
      </c>
      <c r="N1313" s="38"/>
      <c r="O1313" s="35" t="s">
        <v>12</v>
      </c>
    </row>
    <row r="1314" spans="1:15" x14ac:dyDescent="0.25">
      <c r="A1314" s="35" t="s">
        <v>1330</v>
      </c>
      <c r="B1314" s="35" t="s">
        <v>3631</v>
      </c>
      <c r="C1314" s="35">
        <v>2025</v>
      </c>
      <c r="D1314" s="36">
        <v>45756</v>
      </c>
      <c r="E1314" s="37" t="s">
        <v>1282</v>
      </c>
      <c r="F1314" s="37" t="s">
        <v>4416</v>
      </c>
      <c r="G1314" s="37" t="s">
        <v>2045</v>
      </c>
      <c r="H1314" s="35" t="s">
        <v>3419</v>
      </c>
      <c r="I1314" s="35" t="s">
        <v>3453</v>
      </c>
      <c r="J1314" s="38">
        <v>1.0909090909090911</v>
      </c>
      <c r="K1314" s="35">
        <v>2</v>
      </c>
      <c r="L1314" s="38">
        <f t="shared" si="20"/>
        <v>2.1818181818181821</v>
      </c>
      <c r="M1314" s="35" t="s">
        <v>11</v>
      </c>
      <c r="N1314" s="38"/>
      <c r="O1314" s="35" t="s">
        <v>12</v>
      </c>
    </row>
    <row r="1315" spans="1:15" x14ac:dyDescent="0.25">
      <c r="A1315" s="35" t="s">
        <v>1330</v>
      </c>
      <c r="B1315" s="35" t="s">
        <v>3631</v>
      </c>
      <c r="C1315" s="35">
        <v>2025</v>
      </c>
      <c r="D1315" s="36">
        <v>45756</v>
      </c>
      <c r="E1315" s="37" t="s">
        <v>1282</v>
      </c>
      <c r="F1315" s="37" t="s">
        <v>4417</v>
      </c>
      <c r="G1315" s="37" t="s">
        <v>3886</v>
      </c>
      <c r="H1315" s="35" t="s">
        <v>3419</v>
      </c>
      <c r="I1315" s="35" t="s">
        <v>3453</v>
      </c>
      <c r="J1315" s="38">
        <v>6.5454545454545459</v>
      </c>
      <c r="K1315" s="35">
        <v>2</v>
      </c>
      <c r="L1315" s="38">
        <f t="shared" si="20"/>
        <v>13.090909090909092</v>
      </c>
      <c r="M1315" s="35" t="s">
        <v>11</v>
      </c>
      <c r="N1315" s="38"/>
      <c r="O1315" s="35" t="s">
        <v>12</v>
      </c>
    </row>
    <row r="1316" spans="1:15" x14ac:dyDescent="0.25">
      <c r="A1316" s="35" t="s">
        <v>1330</v>
      </c>
      <c r="B1316" s="35" t="s">
        <v>3631</v>
      </c>
      <c r="C1316" s="35">
        <v>2025</v>
      </c>
      <c r="D1316" s="36">
        <v>45756</v>
      </c>
      <c r="E1316" s="37" t="s">
        <v>1282</v>
      </c>
      <c r="F1316" s="37" t="s">
        <v>4418</v>
      </c>
      <c r="G1316" s="37" t="s">
        <v>3805</v>
      </c>
      <c r="H1316" s="35" t="s">
        <v>3419</v>
      </c>
      <c r="I1316" s="35" t="s">
        <v>3453</v>
      </c>
      <c r="J1316" s="38">
        <v>1.0909090909090911</v>
      </c>
      <c r="K1316" s="35">
        <v>2</v>
      </c>
      <c r="L1316" s="38">
        <f t="shared" si="20"/>
        <v>2.1818181818181821</v>
      </c>
      <c r="M1316" s="35" t="s">
        <v>11</v>
      </c>
      <c r="N1316" s="38"/>
      <c r="O1316" s="35" t="s">
        <v>12</v>
      </c>
    </row>
    <row r="1317" spans="1:15" x14ac:dyDescent="0.25">
      <c r="A1317" s="35" t="s">
        <v>1330</v>
      </c>
      <c r="B1317" s="35" t="s">
        <v>3631</v>
      </c>
      <c r="C1317" s="35">
        <v>2025</v>
      </c>
      <c r="D1317" s="36">
        <v>45756</v>
      </c>
      <c r="E1317" s="37" t="s">
        <v>1282</v>
      </c>
      <c r="F1317" s="37" t="s">
        <v>4419</v>
      </c>
      <c r="G1317" s="37" t="s">
        <v>3967</v>
      </c>
      <c r="H1317" s="35" t="s">
        <v>3419</v>
      </c>
      <c r="I1317" s="35" t="s">
        <v>3453</v>
      </c>
      <c r="J1317" s="38">
        <v>1.0909090909090911</v>
      </c>
      <c r="K1317" s="35">
        <v>1</v>
      </c>
      <c r="L1317" s="38">
        <f t="shared" si="20"/>
        <v>1.0909090909090911</v>
      </c>
      <c r="M1317" s="35" t="s">
        <v>11</v>
      </c>
      <c r="N1317" s="38"/>
      <c r="O1317" s="35" t="s">
        <v>12</v>
      </c>
    </row>
    <row r="1318" spans="1:15" x14ac:dyDescent="0.25">
      <c r="A1318" s="35" t="s">
        <v>1330</v>
      </c>
      <c r="B1318" s="35" t="s">
        <v>3631</v>
      </c>
      <c r="C1318" s="35">
        <v>2025</v>
      </c>
      <c r="D1318" s="36">
        <v>45756</v>
      </c>
      <c r="E1318" s="37" t="s">
        <v>1282</v>
      </c>
      <c r="F1318" s="37" t="s">
        <v>4229</v>
      </c>
      <c r="G1318" s="37" t="s">
        <v>3643</v>
      </c>
      <c r="H1318" s="35" t="s">
        <v>3415</v>
      </c>
      <c r="I1318" s="35" t="s">
        <v>3453</v>
      </c>
      <c r="J1318" s="38">
        <v>4.3636363636363642</v>
      </c>
      <c r="K1318" s="35">
        <v>4</v>
      </c>
      <c r="L1318" s="38">
        <f t="shared" si="20"/>
        <v>17.454545454545457</v>
      </c>
      <c r="M1318" s="35" t="s">
        <v>11</v>
      </c>
      <c r="N1318" s="38"/>
      <c r="O1318" s="35" t="s">
        <v>12</v>
      </c>
    </row>
    <row r="1319" spans="1:15" x14ac:dyDescent="0.25">
      <c r="A1319" s="35" t="s">
        <v>1330</v>
      </c>
      <c r="B1319" s="35" t="s">
        <v>3631</v>
      </c>
      <c r="C1319" s="35">
        <v>2025</v>
      </c>
      <c r="D1319" s="36">
        <v>45756</v>
      </c>
      <c r="E1319" s="37" t="s">
        <v>1282</v>
      </c>
      <c r="F1319" s="37" t="s">
        <v>4420</v>
      </c>
      <c r="G1319" s="37" t="s">
        <v>4405</v>
      </c>
      <c r="H1319" s="35" t="s">
        <v>3419</v>
      </c>
      <c r="I1319" s="35" t="s">
        <v>3453</v>
      </c>
      <c r="J1319" s="38">
        <v>1.636363636363636</v>
      </c>
      <c r="K1319" s="35">
        <v>1</v>
      </c>
      <c r="L1319" s="38">
        <f t="shared" si="20"/>
        <v>1.636363636363636</v>
      </c>
      <c r="M1319" s="35" t="s">
        <v>11</v>
      </c>
      <c r="N1319" s="38"/>
      <c r="O1319" s="35" t="s">
        <v>12</v>
      </c>
    </row>
    <row r="1320" spans="1:15" x14ac:dyDescent="0.25">
      <c r="A1320" s="35" t="s">
        <v>1330</v>
      </c>
      <c r="B1320" s="35" t="s">
        <v>3631</v>
      </c>
      <c r="C1320" s="35">
        <v>2025</v>
      </c>
      <c r="D1320" s="36">
        <v>45756</v>
      </c>
      <c r="E1320" s="37" t="s">
        <v>1282</v>
      </c>
      <c r="F1320" s="37" t="s">
        <v>4421</v>
      </c>
      <c r="G1320" s="37" t="s">
        <v>4019</v>
      </c>
      <c r="H1320" s="35" t="s">
        <v>3419</v>
      </c>
      <c r="I1320" s="35" t="s">
        <v>3453</v>
      </c>
      <c r="J1320" s="38">
        <v>2.1818181818181821</v>
      </c>
      <c r="K1320" s="35">
        <v>1</v>
      </c>
      <c r="L1320" s="38">
        <f t="shared" si="20"/>
        <v>2.1818181818181821</v>
      </c>
      <c r="M1320" s="35" t="s">
        <v>11</v>
      </c>
      <c r="N1320" s="38"/>
      <c r="O1320" s="35" t="s">
        <v>12</v>
      </c>
    </row>
    <row r="1321" spans="1:15" x14ac:dyDescent="0.25">
      <c r="A1321" s="35" t="s">
        <v>1332</v>
      </c>
      <c r="B1321" s="35" t="s">
        <v>3631</v>
      </c>
      <c r="C1321" s="35">
        <v>2025</v>
      </c>
      <c r="D1321" s="36">
        <v>45755</v>
      </c>
      <c r="E1321" s="37" t="s">
        <v>1282</v>
      </c>
      <c r="F1321" s="37" t="s">
        <v>4422</v>
      </c>
      <c r="G1321" s="37" t="s">
        <v>3710</v>
      </c>
      <c r="H1321" s="35" t="s">
        <v>3415</v>
      </c>
      <c r="I1321" s="35" t="s">
        <v>3453</v>
      </c>
      <c r="J1321" s="38">
        <v>2.1818181818181821</v>
      </c>
      <c r="K1321" s="35">
        <v>4</v>
      </c>
      <c r="L1321" s="38">
        <f t="shared" si="20"/>
        <v>8.7272727272727284</v>
      </c>
      <c r="M1321" s="35" t="s">
        <v>11</v>
      </c>
      <c r="N1321" s="38"/>
      <c r="O1321" s="35" t="s">
        <v>12</v>
      </c>
    </row>
    <row r="1322" spans="1:15" x14ac:dyDescent="0.25">
      <c r="A1322" s="35" t="s">
        <v>1332</v>
      </c>
      <c r="B1322" s="35" t="s">
        <v>3631</v>
      </c>
      <c r="C1322" s="35">
        <v>2025</v>
      </c>
      <c r="D1322" s="36">
        <v>45755</v>
      </c>
      <c r="E1322" s="37" t="s">
        <v>1282</v>
      </c>
      <c r="F1322" s="37" t="s">
        <v>4423</v>
      </c>
      <c r="G1322" s="37" t="s">
        <v>3710</v>
      </c>
      <c r="H1322" s="35" t="s">
        <v>3419</v>
      </c>
      <c r="I1322" s="35" t="s">
        <v>3453</v>
      </c>
      <c r="J1322" s="38">
        <v>1.0909090909090911</v>
      </c>
      <c r="K1322" s="35">
        <v>1</v>
      </c>
      <c r="L1322" s="38">
        <f t="shared" si="20"/>
        <v>1.0909090909090911</v>
      </c>
      <c r="M1322" s="35" t="s">
        <v>11</v>
      </c>
      <c r="N1322" s="38"/>
      <c r="O1322" s="35" t="s">
        <v>12</v>
      </c>
    </row>
    <row r="1323" spans="1:15" x14ac:dyDescent="0.25">
      <c r="A1323" s="35" t="s">
        <v>1332</v>
      </c>
      <c r="B1323" s="35" t="s">
        <v>3631</v>
      </c>
      <c r="C1323" s="35">
        <v>2025</v>
      </c>
      <c r="D1323" s="36">
        <v>45755</v>
      </c>
      <c r="E1323" s="37" t="s">
        <v>1282</v>
      </c>
      <c r="F1323" s="37" t="s">
        <v>4424</v>
      </c>
      <c r="G1323" s="37" t="s">
        <v>3710</v>
      </c>
      <c r="H1323" s="35" t="s">
        <v>3419</v>
      </c>
      <c r="I1323" s="35" t="s">
        <v>3453</v>
      </c>
      <c r="J1323" s="38">
        <v>1.0909090909090911</v>
      </c>
      <c r="K1323" s="35">
        <v>1</v>
      </c>
      <c r="L1323" s="38">
        <f t="shared" si="20"/>
        <v>1.0909090909090911</v>
      </c>
      <c r="M1323" s="35" t="s">
        <v>11</v>
      </c>
      <c r="N1323" s="38"/>
      <c r="O1323" s="35" t="s">
        <v>12</v>
      </c>
    </row>
    <row r="1324" spans="1:15" x14ac:dyDescent="0.25">
      <c r="A1324" s="35" t="s">
        <v>1332</v>
      </c>
      <c r="B1324" s="35" t="s">
        <v>3631</v>
      </c>
      <c r="C1324" s="35">
        <v>2025</v>
      </c>
      <c r="D1324" s="36">
        <v>45755</v>
      </c>
      <c r="E1324" s="37" t="s">
        <v>1282</v>
      </c>
      <c r="F1324" s="37" t="s">
        <v>4425</v>
      </c>
      <c r="G1324" s="37" t="s">
        <v>3710</v>
      </c>
      <c r="H1324" s="35" t="s">
        <v>3419</v>
      </c>
      <c r="I1324" s="35" t="s">
        <v>3453</v>
      </c>
      <c r="J1324" s="38">
        <v>0.81818181818181823</v>
      </c>
      <c r="K1324" s="35">
        <v>2</v>
      </c>
      <c r="L1324" s="38">
        <f t="shared" si="20"/>
        <v>1.6363636363636365</v>
      </c>
      <c r="M1324" s="35" t="s">
        <v>11</v>
      </c>
      <c r="N1324" s="38"/>
      <c r="O1324" s="35" t="s">
        <v>12</v>
      </c>
    </row>
    <row r="1325" spans="1:15" x14ac:dyDescent="0.25">
      <c r="A1325" s="35" t="s">
        <v>1332</v>
      </c>
      <c r="B1325" s="35" t="s">
        <v>3631</v>
      </c>
      <c r="C1325" s="35">
        <v>2025</v>
      </c>
      <c r="D1325" s="36">
        <v>45755</v>
      </c>
      <c r="E1325" s="37" t="s">
        <v>1282</v>
      </c>
      <c r="F1325" s="37" t="s">
        <v>4426</v>
      </c>
      <c r="G1325" s="37" t="s">
        <v>3710</v>
      </c>
      <c r="H1325" s="35" t="s">
        <v>3415</v>
      </c>
      <c r="I1325" s="35" t="s">
        <v>3453</v>
      </c>
      <c r="J1325" s="38">
        <v>1.5272727272727269</v>
      </c>
      <c r="K1325" s="35">
        <v>4</v>
      </c>
      <c r="L1325" s="38">
        <f t="shared" si="20"/>
        <v>6.1090909090909076</v>
      </c>
      <c r="M1325" s="35" t="s">
        <v>11</v>
      </c>
      <c r="N1325" s="38"/>
      <c r="O1325" s="35" t="s">
        <v>12</v>
      </c>
    </row>
    <row r="1326" spans="1:15" x14ac:dyDescent="0.25">
      <c r="A1326" s="35" t="s">
        <v>1332</v>
      </c>
      <c r="B1326" s="35" t="s">
        <v>3631</v>
      </c>
      <c r="C1326" s="35">
        <v>2025</v>
      </c>
      <c r="D1326" s="36">
        <v>45755</v>
      </c>
      <c r="E1326" s="37" t="s">
        <v>1282</v>
      </c>
      <c r="F1326" s="37" t="s">
        <v>4427</v>
      </c>
      <c r="G1326" s="37" t="s">
        <v>3710</v>
      </c>
      <c r="H1326" s="35" t="s">
        <v>3415</v>
      </c>
      <c r="I1326" s="35" t="s">
        <v>3453</v>
      </c>
      <c r="J1326" s="38">
        <v>0.27272727272727282</v>
      </c>
      <c r="K1326" s="35">
        <v>4</v>
      </c>
      <c r="L1326" s="38">
        <f t="shared" si="20"/>
        <v>1.0909090909090913</v>
      </c>
      <c r="M1326" s="35" t="s">
        <v>11</v>
      </c>
      <c r="N1326" s="38"/>
      <c r="O1326" s="35" t="s">
        <v>12</v>
      </c>
    </row>
    <row r="1327" spans="1:15" x14ac:dyDescent="0.25">
      <c r="A1327" s="35" t="s">
        <v>1332</v>
      </c>
      <c r="B1327" s="35" t="s">
        <v>3631</v>
      </c>
      <c r="C1327" s="35">
        <v>2025</v>
      </c>
      <c r="D1327" s="36">
        <v>45755</v>
      </c>
      <c r="E1327" s="37" t="s">
        <v>1282</v>
      </c>
      <c r="F1327" s="37" t="s">
        <v>4428</v>
      </c>
      <c r="G1327" s="37" t="s">
        <v>3710</v>
      </c>
      <c r="H1327" s="35" t="s">
        <v>3419</v>
      </c>
      <c r="I1327" s="35" t="s">
        <v>3453</v>
      </c>
      <c r="J1327" s="38">
        <v>1.0909090909090911</v>
      </c>
      <c r="K1327" s="35">
        <v>1</v>
      </c>
      <c r="L1327" s="38">
        <f t="shared" si="20"/>
        <v>1.0909090909090911</v>
      </c>
      <c r="M1327" s="35" t="s">
        <v>11</v>
      </c>
      <c r="N1327" s="38"/>
      <c r="O1327" s="35" t="s">
        <v>12</v>
      </c>
    </row>
    <row r="1328" spans="1:15" x14ac:dyDescent="0.25">
      <c r="A1328" s="35" t="s">
        <v>1332</v>
      </c>
      <c r="B1328" s="35" t="s">
        <v>3631</v>
      </c>
      <c r="C1328" s="35">
        <v>2025</v>
      </c>
      <c r="D1328" s="36">
        <v>45755</v>
      </c>
      <c r="E1328" s="37" t="s">
        <v>1282</v>
      </c>
      <c r="F1328" s="37" t="s">
        <v>4429</v>
      </c>
      <c r="G1328" s="37" t="s">
        <v>3710</v>
      </c>
      <c r="H1328" s="35" t="s">
        <v>3419</v>
      </c>
      <c r="I1328" s="35" t="s">
        <v>3453</v>
      </c>
      <c r="J1328" s="38">
        <v>2.1818181818181821</v>
      </c>
      <c r="K1328" s="35">
        <v>1</v>
      </c>
      <c r="L1328" s="38">
        <f t="shared" si="20"/>
        <v>2.1818181818181821</v>
      </c>
      <c r="M1328" s="35" t="s">
        <v>11</v>
      </c>
      <c r="N1328" s="38"/>
      <c r="O1328" s="35" t="s">
        <v>12</v>
      </c>
    </row>
    <row r="1329" spans="1:15" x14ac:dyDescent="0.25">
      <c r="A1329" s="35" t="s">
        <v>1332</v>
      </c>
      <c r="B1329" s="35" t="s">
        <v>3631</v>
      </c>
      <c r="C1329" s="35">
        <v>2025</v>
      </c>
      <c r="D1329" s="36">
        <v>45755</v>
      </c>
      <c r="E1329" s="37" t="s">
        <v>1282</v>
      </c>
      <c r="F1329" s="37" t="s">
        <v>4430</v>
      </c>
      <c r="G1329" s="37" t="s">
        <v>3710</v>
      </c>
      <c r="H1329" s="35" t="s">
        <v>3419</v>
      </c>
      <c r="I1329" s="35" t="s">
        <v>3453</v>
      </c>
      <c r="J1329" s="38">
        <v>6.5454545454545459</v>
      </c>
      <c r="K1329" s="35">
        <v>1</v>
      </c>
      <c r="L1329" s="38">
        <f t="shared" si="20"/>
        <v>6.5454545454545459</v>
      </c>
      <c r="M1329" s="35" t="s">
        <v>11</v>
      </c>
      <c r="N1329" s="38"/>
      <c r="O1329" s="35" t="s">
        <v>12</v>
      </c>
    </row>
    <row r="1330" spans="1:15" x14ac:dyDescent="0.25">
      <c r="A1330" s="35" t="s">
        <v>1332</v>
      </c>
      <c r="B1330" s="35" t="s">
        <v>3631</v>
      </c>
      <c r="C1330" s="35">
        <v>2025</v>
      </c>
      <c r="D1330" s="36">
        <v>45755</v>
      </c>
      <c r="E1330" s="37" t="s">
        <v>1282</v>
      </c>
      <c r="F1330" s="37" t="s">
        <v>4403</v>
      </c>
      <c r="G1330" s="37" t="s">
        <v>3788</v>
      </c>
      <c r="H1330" s="35" t="s">
        <v>3419</v>
      </c>
      <c r="I1330" s="35" t="s">
        <v>3453</v>
      </c>
      <c r="J1330" s="38">
        <v>1.636363636363636</v>
      </c>
      <c r="K1330" s="35">
        <v>1</v>
      </c>
      <c r="L1330" s="38">
        <f t="shared" si="20"/>
        <v>1.636363636363636</v>
      </c>
      <c r="M1330" s="35" t="s">
        <v>11</v>
      </c>
      <c r="N1330" s="38"/>
      <c r="O1330" s="35" t="s">
        <v>12</v>
      </c>
    </row>
    <row r="1331" spans="1:15" x14ac:dyDescent="0.25">
      <c r="A1331" s="35" t="s">
        <v>1332</v>
      </c>
      <c r="B1331" s="35" t="s">
        <v>3631</v>
      </c>
      <c r="C1331" s="35">
        <v>2025</v>
      </c>
      <c r="D1331" s="36">
        <v>45755</v>
      </c>
      <c r="E1331" s="37" t="s">
        <v>1282</v>
      </c>
      <c r="F1331" s="37" t="s">
        <v>4431</v>
      </c>
      <c r="G1331" s="37" t="s">
        <v>4432</v>
      </c>
      <c r="H1331" s="35" t="s">
        <v>3419</v>
      </c>
      <c r="I1331" s="35" t="s">
        <v>3453</v>
      </c>
      <c r="J1331" s="38">
        <v>3.2727272727272729</v>
      </c>
      <c r="K1331" s="35">
        <v>1</v>
      </c>
      <c r="L1331" s="38">
        <f t="shared" si="20"/>
        <v>3.2727272727272729</v>
      </c>
      <c r="M1331" s="35" t="s">
        <v>11</v>
      </c>
      <c r="N1331" s="38"/>
      <c r="O1331" s="35" t="s">
        <v>12</v>
      </c>
    </row>
    <row r="1332" spans="1:15" x14ac:dyDescent="0.25">
      <c r="A1332" s="35" t="s">
        <v>1332</v>
      </c>
      <c r="B1332" s="35" t="s">
        <v>3631</v>
      </c>
      <c r="C1332" s="35">
        <v>2025</v>
      </c>
      <c r="D1332" s="36">
        <v>45755</v>
      </c>
      <c r="E1332" s="37" t="s">
        <v>1282</v>
      </c>
      <c r="F1332" s="37" t="s">
        <v>4433</v>
      </c>
      <c r="G1332" s="37" t="s">
        <v>4432</v>
      </c>
      <c r="H1332" s="35" t="s">
        <v>3419</v>
      </c>
      <c r="I1332" s="35" t="s">
        <v>3453</v>
      </c>
      <c r="J1332" s="38">
        <v>3.2727272727272729</v>
      </c>
      <c r="K1332" s="35">
        <v>3</v>
      </c>
      <c r="L1332" s="38">
        <f t="shared" si="20"/>
        <v>9.8181818181818183</v>
      </c>
      <c r="M1332" s="35" t="s">
        <v>11</v>
      </c>
      <c r="N1332" s="38"/>
      <c r="O1332" s="35" t="s">
        <v>12</v>
      </c>
    </row>
    <row r="1333" spans="1:15" x14ac:dyDescent="0.25">
      <c r="A1333" s="35" t="s">
        <v>1332</v>
      </c>
      <c r="B1333" s="35" t="s">
        <v>3631</v>
      </c>
      <c r="C1333" s="35">
        <v>2025</v>
      </c>
      <c r="D1333" s="36">
        <v>45755</v>
      </c>
      <c r="E1333" s="37" t="s">
        <v>1282</v>
      </c>
      <c r="F1333" s="37" t="s">
        <v>4434</v>
      </c>
      <c r="G1333" s="37" t="s">
        <v>4432</v>
      </c>
      <c r="H1333" s="35" t="s">
        <v>3419</v>
      </c>
      <c r="I1333" s="35" t="s">
        <v>3453</v>
      </c>
      <c r="J1333" s="38">
        <v>3.2727272727272729</v>
      </c>
      <c r="K1333" s="35">
        <v>1</v>
      </c>
      <c r="L1333" s="38">
        <f t="shared" si="20"/>
        <v>3.2727272727272729</v>
      </c>
      <c r="M1333" s="35" t="s">
        <v>11</v>
      </c>
      <c r="N1333" s="38"/>
      <c r="O1333" s="35" t="s">
        <v>12</v>
      </c>
    </row>
    <row r="1334" spans="1:15" x14ac:dyDescent="0.25">
      <c r="A1334" s="35" t="s">
        <v>1332</v>
      </c>
      <c r="B1334" s="35" t="s">
        <v>3631</v>
      </c>
      <c r="C1334" s="35">
        <v>2025</v>
      </c>
      <c r="D1334" s="36">
        <v>45755</v>
      </c>
      <c r="E1334" s="37" t="s">
        <v>1282</v>
      </c>
      <c r="F1334" s="37" t="s">
        <v>4435</v>
      </c>
      <c r="G1334" s="37" t="s">
        <v>4432</v>
      </c>
      <c r="H1334" s="35" t="s">
        <v>3419</v>
      </c>
      <c r="I1334" s="35" t="s">
        <v>3453</v>
      </c>
      <c r="J1334" s="38">
        <v>3.2727272727272729</v>
      </c>
      <c r="K1334" s="35">
        <v>1</v>
      </c>
      <c r="L1334" s="38">
        <f t="shared" si="20"/>
        <v>3.2727272727272729</v>
      </c>
      <c r="M1334" s="35" t="s">
        <v>11</v>
      </c>
      <c r="N1334" s="38"/>
      <c r="O1334" s="35" t="s">
        <v>12</v>
      </c>
    </row>
    <row r="1335" spans="1:15" x14ac:dyDescent="0.25">
      <c r="A1335" s="35" t="s">
        <v>1332</v>
      </c>
      <c r="B1335" s="35" t="s">
        <v>3631</v>
      </c>
      <c r="C1335" s="35">
        <v>2025</v>
      </c>
      <c r="D1335" s="36">
        <v>45755</v>
      </c>
      <c r="E1335" s="37" t="s">
        <v>1282</v>
      </c>
      <c r="F1335" s="37" t="s">
        <v>4436</v>
      </c>
      <c r="G1335" s="37" t="s">
        <v>4432</v>
      </c>
      <c r="H1335" s="35" t="s">
        <v>3419</v>
      </c>
      <c r="I1335" s="35" t="s">
        <v>3453</v>
      </c>
      <c r="J1335" s="38">
        <v>3.2727272727272729</v>
      </c>
      <c r="K1335" s="35">
        <v>1</v>
      </c>
      <c r="L1335" s="38">
        <f t="shared" si="20"/>
        <v>3.2727272727272729</v>
      </c>
      <c r="M1335" s="35" t="s">
        <v>11</v>
      </c>
      <c r="N1335" s="38"/>
      <c r="O1335" s="35" t="s">
        <v>12</v>
      </c>
    </row>
    <row r="1336" spans="1:15" x14ac:dyDescent="0.25">
      <c r="A1336" s="35" t="s">
        <v>1332</v>
      </c>
      <c r="B1336" s="35" t="s">
        <v>3631</v>
      </c>
      <c r="C1336" s="35">
        <v>2025</v>
      </c>
      <c r="D1336" s="36">
        <v>45755</v>
      </c>
      <c r="E1336" s="37" t="s">
        <v>1282</v>
      </c>
      <c r="F1336" s="37" t="s">
        <v>4437</v>
      </c>
      <c r="G1336" s="37" t="s">
        <v>4432</v>
      </c>
      <c r="H1336" s="35" t="s">
        <v>3419</v>
      </c>
      <c r="I1336" s="35" t="s">
        <v>3453</v>
      </c>
      <c r="J1336" s="38">
        <v>3.2727272727272729</v>
      </c>
      <c r="K1336" s="35">
        <v>1</v>
      </c>
      <c r="L1336" s="38">
        <f t="shared" si="20"/>
        <v>3.2727272727272729</v>
      </c>
      <c r="M1336" s="35" t="s">
        <v>11</v>
      </c>
      <c r="N1336" s="38"/>
      <c r="O1336" s="35" t="s">
        <v>12</v>
      </c>
    </row>
    <row r="1337" spans="1:15" x14ac:dyDescent="0.25">
      <c r="A1337" s="35" t="s">
        <v>1332</v>
      </c>
      <c r="B1337" s="35" t="s">
        <v>3631</v>
      </c>
      <c r="C1337" s="35">
        <v>2025</v>
      </c>
      <c r="D1337" s="36">
        <v>45755</v>
      </c>
      <c r="E1337" s="37" t="s">
        <v>1282</v>
      </c>
      <c r="F1337" s="37" t="s">
        <v>4438</v>
      </c>
      <c r="G1337" s="37" t="s">
        <v>4432</v>
      </c>
      <c r="H1337" s="35" t="s">
        <v>3419</v>
      </c>
      <c r="I1337" s="35" t="s">
        <v>3453</v>
      </c>
      <c r="J1337" s="38">
        <v>3.2727272727272729</v>
      </c>
      <c r="K1337" s="35">
        <v>1</v>
      </c>
      <c r="L1337" s="38">
        <f t="shared" si="20"/>
        <v>3.2727272727272729</v>
      </c>
      <c r="M1337" s="35" t="s">
        <v>11</v>
      </c>
      <c r="N1337" s="38"/>
      <c r="O1337" s="35" t="s">
        <v>12</v>
      </c>
    </row>
    <row r="1338" spans="1:15" x14ac:dyDescent="0.25">
      <c r="A1338" s="35" t="s">
        <v>1332</v>
      </c>
      <c r="B1338" s="35" t="s">
        <v>3631</v>
      </c>
      <c r="C1338" s="35">
        <v>2025</v>
      </c>
      <c r="D1338" s="36">
        <v>45755</v>
      </c>
      <c r="E1338" s="37" t="s">
        <v>1282</v>
      </c>
      <c r="F1338" s="37" t="s">
        <v>4439</v>
      </c>
      <c r="G1338" s="37" t="s">
        <v>4432</v>
      </c>
      <c r="H1338" s="35" t="s">
        <v>3419</v>
      </c>
      <c r="I1338" s="35" t="s">
        <v>3453</v>
      </c>
      <c r="J1338" s="38">
        <v>3.2727272727272729</v>
      </c>
      <c r="K1338" s="35">
        <v>1</v>
      </c>
      <c r="L1338" s="38">
        <f t="shared" si="20"/>
        <v>3.2727272727272729</v>
      </c>
      <c r="M1338" s="35" t="s">
        <v>11</v>
      </c>
      <c r="N1338" s="38"/>
      <c r="O1338" s="35" t="s">
        <v>12</v>
      </c>
    </row>
    <row r="1339" spans="1:15" x14ac:dyDescent="0.25">
      <c r="A1339" s="35" t="s">
        <v>1332</v>
      </c>
      <c r="B1339" s="35" t="s">
        <v>3631</v>
      </c>
      <c r="C1339" s="35">
        <v>2025</v>
      </c>
      <c r="D1339" s="36">
        <v>45755</v>
      </c>
      <c r="E1339" s="37" t="s">
        <v>1282</v>
      </c>
      <c r="F1339" s="37" t="s">
        <v>4440</v>
      </c>
      <c r="G1339" s="37" t="s">
        <v>4432</v>
      </c>
      <c r="H1339" s="35" t="s">
        <v>3419</v>
      </c>
      <c r="I1339" s="35" t="s">
        <v>3453</v>
      </c>
      <c r="J1339" s="38">
        <v>10.90909090909091</v>
      </c>
      <c r="K1339" s="35">
        <v>1</v>
      </c>
      <c r="L1339" s="38">
        <f t="shared" si="20"/>
        <v>10.90909090909091</v>
      </c>
      <c r="M1339" s="35" t="s">
        <v>11</v>
      </c>
      <c r="N1339" s="38"/>
      <c r="O1339" s="35" t="s">
        <v>12</v>
      </c>
    </row>
    <row r="1340" spans="1:15" x14ac:dyDescent="0.25">
      <c r="A1340" s="35" t="s">
        <v>1332</v>
      </c>
      <c r="B1340" s="35" t="s">
        <v>3631</v>
      </c>
      <c r="C1340" s="35">
        <v>2025</v>
      </c>
      <c r="D1340" s="36">
        <v>45755</v>
      </c>
      <c r="E1340" s="37" t="s">
        <v>1282</v>
      </c>
      <c r="F1340" s="37" t="s">
        <v>4441</v>
      </c>
      <c r="G1340" s="37" t="s">
        <v>4432</v>
      </c>
      <c r="H1340" s="35" t="s">
        <v>3415</v>
      </c>
      <c r="I1340" s="35" t="s">
        <v>3453</v>
      </c>
      <c r="J1340" s="38">
        <v>0.98181818181818192</v>
      </c>
      <c r="K1340" s="35">
        <v>10</v>
      </c>
      <c r="L1340" s="38">
        <f t="shared" si="20"/>
        <v>9.8181818181818201</v>
      </c>
      <c r="M1340" s="35" t="s">
        <v>11</v>
      </c>
      <c r="N1340" s="38"/>
      <c r="O1340" s="35" t="s">
        <v>12</v>
      </c>
    </row>
    <row r="1341" spans="1:15" x14ac:dyDescent="0.25">
      <c r="A1341" s="35" t="s">
        <v>1332</v>
      </c>
      <c r="B1341" s="35" t="s">
        <v>3631</v>
      </c>
      <c r="C1341" s="35">
        <v>2025</v>
      </c>
      <c r="D1341" s="36">
        <v>45755</v>
      </c>
      <c r="E1341" s="37" t="s">
        <v>1282</v>
      </c>
      <c r="F1341" s="37" t="s">
        <v>4442</v>
      </c>
      <c r="G1341" s="37" t="s">
        <v>3455</v>
      </c>
      <c r="H1341" s="35" t="s">
        <v>3415</v>
      </c>
      <c r="I1341" s="35" t="s">
        <v>3453</v>
      </c>
      <c r="J1341" s="38">
        <v>1.636363636363636</v>
      </c>
      <c r="K1341" s="35">
        <v>4</v>
      </c>
      <c r="L1341" s="38">
        <f t="shared" si="20"/>
        <v>6.5454545454545441</v>
      </c>
      <c r="M1341" s="35" t="s">
        <v>11</v>
      </c>
      <c r="N1341" s="38"/>
      <c r="O1341" s="35" t="s">
        <v>12</v>
      </c>
    </row>
    <row r="1342" spans="1:15" x14ac:dyDescent="0.25">
      <c r="A1342" s="35" t="s">
        <v>1332</v>
      </c>
      <c r="B1342" s="35" t="s">
        <v>3631</v>
      </c>
      <c r="C1342" s="35">
        <v>2025</v>
      </c>
      <c r="D1342" s="36">
        <v>45755</v>
      </c>
      <c r="E1342" s="37" t="s">
        <v>1282</v>
      </c>
      <c r="F1342" s="37" t="s">
        <v>4443</v>
      </c>
      <c r="G1342" s="37" t="s">
        <v>3696</v>
      </c>
      <c r="H1342" s="35" t="s">
        <v>3415</v>
      </c>
      <c r="I1342" s="35" t="s">
        <v>3453</v>
      </c>
      <c r="J1342" s="38">
        <v>4.3636363636363642</v>
      </c>
      <c r="K1342" s="35">
        <v>4</v>
      </c>
      <c r="L1342" s="38">
        <f t="shared" si="20"/>
        <v>17.454545454545457</v>
      </c>
      <c r="M1342" s="35" t="s">
        <v>11</v>
      </c>
      <c r="N1342" s="38"/>
      <c r="O1342" s="35" t="s">
        <v>12</v>
      </c>
    </row>
    <row r="1343" spans="1:15" x14ac:dyDescent="0.25">
      <c r="A1343" s="35" t="s">
        <v>1332</v>
      </c>
      <c r="B1343" s="35" t="s">
        <v>3631</v>
      </c>
      <c r="C1343" s="35">
        <v>2025</v>
      </c>
      <c r="D1343" s="36">
        <v>45755</v>
      </c>
      <c r="E1343" s="37" t="s">
        <v>1282</v>
      </c>
      <c r="F1343" s="37" t="s">
        <v>4194</v>
      </c>
      <c r="G1343" s="37" t="s">
        <v>4128</v>
      </c>
      <c r="H1343" s="35" t="s">
        <v>3419</v>
      </c>
      <c r="I1343" s="35" t="s">
        <v>3453</v>
      </c>
      <c r="J1343" s="38">
        <v>1.0909090909090911</v>
      </c>
      <c r="K1343" s="35">
        <v>2</v>
      </c>
      <c r="L1343" s="38">
        <f t="shared" si="20"/>
        <v>2.1818181818181821</v>
      </c>
      <c r="M1343" s="35" t="s">
        <v>11</v>
      </c>
      <c r="N1343" s="38"/>
      <c r="O1343" s="35" t="s">
        <v>12</v>
      </c>
    </row>
    <row r="1344" spans="1:15" x14ac:dyDescent="0.25">
      <c r="A1344" s="35" t="s">
        <v>1332</v>
      </c>
      <c r="B1344" s="35" t="s">
        <v>3631</v>
      </c>
      <c r="C1344" s="35">
        <v>2025</v>
      </c>
      <c r="D1344" s="36">
        <v>45755</v>
      </c>
      <c r="E1344" s="37" t="s">
        <v>1282</v>
      </c>
      <c r="F1344" s="37" t="s">
        <v>4444</v>
      </c>
      <c r="G1344" s="37" t="s">
        <v>3862</v>
      </c>
      <c r="H1344" s="35" t="s">
        <v>3419</v>
      </c>
      <c r="I1344" s="35" t="s">
        <v>3453</v>
      </c>
      <c r="J1344" s="38">
        <v>1.636363636363636</v>
      </c>
      <c r="K1344" s="35">
        <v>2</v>
      </c>
      <c r="L1344" s="38">
        <f t="shared" si="20"/>
        <v>3.272727272727272</v>
      </c>
      <c r="M1344" s="35" t="s">
        <v>11</v>
      </c>
      <c r="N1344" s="38"/>
      <c r="O1344" s="35" t="s">
        <v>12</v>
      </c>
    </row>
    <row r="1345" spans="1:15" x14ac:dyDescent="0.25">
      <c r="A1345" s="35" t="s">
        <v>1332</v>
      </c>
      <c r="B1345" s="35" t="s">
        <v>3631</v>
      </c>
      <c r="C1345" s="35">
        <v>2025</v>
      </c>
      <c r="D1345" s="36">
        <v>45755</v>
      </c>
      <c r="E1345" s="37" t="s">
        <v>1282</v>
      </c>
      <c r="F1345" s="37" t="s">
        <v>4445</v>
      </c>
      <c r="G1345" s="37" t="s">
        <v>4446</v>
      </c>
      <c r="H1345" s="35" t="s">
        <v>3415</v>
      </c>
      <c r="I1345" s="35" t="s">
        <v>3453</v>
      </c>
      <c r="J1345" s="38">
        <v>4.3636363636363642</v>
      </c>
      <c r="K1345" s="35">
        <v>4</v>
      </c>
      <c r="L1345" s="38">
        <f t="shared" si="20"/>
        <v>17.454545454545457</v>
      </c>
      <c r="M1345" s="35" t="s">
        <v>11</v>
      </c>
      <c r="N1345" s="38"/>
      <c r="O1345" s="35" t="s">
        <v>12</v>
      </c>
    </row>
    <row r="1346" spans="1:15" x14ac:dyDescent="0.25">
      <c r="A1346" s="35" t="s">
        <v>1332</v>
      </c>
      <c r="B1346" s="35" t="s">
        <v>3631</v>
      </c>
      <c r="C1346" s="35">
        <v>2025</v>
      </c>
      <c r="D1346" s="36">
        <v>45755</v>
      </c>
      <c r="E1346" s="37" t="s">
        <v>1282</v>
      </c>
      <c r="F1346" s="37" t="s">
        <v>4231</v>
      </c>
      <c r="G1346" s="37" t="s">
        <v>3889</v>
      </c>
      <c r="H1346" s="35" t="s">
        <v>3419</v>
      </c>
      <c r="I1346" s="35" t="s">
        <v>3453</v>
      </c>
      <c r="J1346" s="38">
        <v>5.7272727272727284</v>
      </c>
      <c r="K1346" s="35">
        <v>2</v>
      </c>
      <c r="L1346" s="38">
        <f t="shared" ref="L1346:L1409" si="21">J1346*K1346</f>
        <v>11.454545454545457</v>
      </c>
      <c r="M1346" s="35" t="s">
        <v>11</v>
      </c>
      <c r="N1346" s="38"/>
      <c r="O1346" s="35" t="s">
        <v>12</v>
      </c>
    </row>
    <row r="1347" spans="1:15" x14ac:dyDescent="0.25">
      <c r="A1347" s="35" t="s">
        <v>1332</v>
      </c>
      <c r="B1347" s="35" t="s">
        <v>3631</v>
      </c>
      <c r="C1347" s="35">
        <v>2025</v>
      </c>
      <c r="D1347" s="36">
        <v>45755</v>
      </c>
      <c r="E1347" s="37" t="s">
        <v>1282</v>
      </c>
      <c r="F1347" s="37" t="s">
        <v>4447</v>
      </c>
      <c r="G1347" s="37" t="s">
        <v>3696</v>
      </c>
      <c r="H1347" s="35" t="s">
        <v>3415</v>
      </c>
      <c r="I1347" s="35" t="s">
        <v>3453</v>
      </c>
      <c r="J1347" s="38">
        <v>2.1818181818181821</v>
      </c>
      <c r="K1347" s="35">
        <v>4</v>
      </c>
      <c r="L1347" s="38">
        <f t="shared" si="21"/>
        <v>8.7272727272727284</v>
      </c>
      <c r="M1347" s="35" t="s">
        <v>11</v>
      </c>
      <c r="N1347" s="38"/>
      <c r="O1347" s="35" t="s">
        <v>12</v>
      </c>
    </row>
    <row r="1348" spans="1:15" x14ac:dyDescent="0.25">
      <c r="A1348" s="35" t="s">
        <v>1332</v>
      </c>
      <c r="B1348" s="35" t="s">
        <v>3631</v>
      </c>
      <c r="C1348" s="35">
        <v>2025</v>
      </c>
      <c r="D1348" s="36">
        <v>45755</v>
      </c>
      <c r="E1348" s="37" t="s">
        <v>1282</v>
      </c>
      <c r="F1348" s="37" t="s">
        <v>4448</v>
      </c>
      <c r="G1348" s="37" t="s">
        <v>4446</v>
      </c>
      <c r="H1348" s="35" t="s">
        <v>3415</v>
      </c>
      <c r="I1348" s="35" t="s">
        <v>3453</v>
      </c>
      <c r="J1348" s="38">
        <v>3.8181818181818179</v>
      </c>
      <c r="K1348" s="35">
        <v>4</v>
      </c>
      <c r="L1348" s="38">
        <f t="shared" si="21"/>
        <v>15.272727272727272</v>
      </c>
      <c r="M1348" s="35" t="s">
        <v>11</v>
      </c>
      <c r="N1348" s="38"/>
      <c r="O1348" s="35" t="s">
        <v>12</v>
      </c>
    </row>
    <row r="1349" spans="1:15" x14ac:dyDescent="0.25">
      <c r="A1349" s="35" t="s">
        <v>1335</v>
      </c>
      <c r="B1349" s="35" t="s">
        <v>3631</v>
      </c>
      <c r="C1349" s="35">
        <v>2025</v>
      </c>
      <c r="D1349" s="36">
        <v>45753</v>
      </c>
      <c r="E1349" s="37" t="s">
        <v>1282</v>
      </c>
      <c r="F1349" s="37" t="s">
        <v>4449</v>
      </c>
      <c r="G1349" s="37" t="s">
        <v>4450</v>
      </c>
      <c r="H1349" s="35" t="s">
        <v>3419</v>
      </c>
      <c r="I1349" s="35" t="s">
        <v>3453</v>
      </c>
      <c r="J1349" s="38">
        <v>6.5454545454545459</v>
      </c>
      <c r="K1349" s="35">
        <v>3</v>
      </c>
      <c r="L1349" s="38">
        <f t="shared" si="21"/>
        <v>19.636363636363637</v>
      </c>
      <c r="M1349" s="35" t="s">
        <v>11</v>
      </c>
      <c r="N1349" s="38"/>
      <c r="O1349" s="35" t="s">
        <v>12</v>
      </c>
    </row>
    <row r="1350" spans="1:15" x14ac:dyDescent="0.25">
      <c r="A1350" s="35" t="s">
        <v>1335</v>
      </c>
      <c r="B1350" s="35" t="s">
        <v>3631</v>
      </c>
      <c r="C1350" s="35">
        <v>2025</v>
      </c>
      <c r="D1350" s="36">
        <v>45753</v>
      </c>
      <c r="E1350" s="37" t="s">
        <v>1282</v>
      </c>
      <c r="F1350" s="37" t="s">
        <v>4451</v>
      </c>
      <c r="G1350" s="37" t="s">
        <v>4398</v>
      </c>
      <c r="H1350" s="35" t="s">
        <v>3415</v>
      </c>
      <c r="I1350" s="35" t="s">
        <v>3453</v>
      </c>
      <c r="J1350" s="38">
        <v>1.636363636363636</v>
      </c>
      <c r="K1350" s="35">
        <v>10</v>
      </c>
      <c r="L1350" s="38">
        <f t="shared" si="21"/>
        <v>16.36363636363636</v>
      </c>
      <c r="M1350" s="35" t="s">
        <v>11</v>
      </c>
      <c r="N1350" s="38"/>
      <c r="O1350" s="35" t="s">
        <v>12</v>
      </c>
    </row>
    <row r="1351" spans="1:15" x14ac:dyDescent="0.25">
      <c r="A1351" s="35" t="s">
        <v>1335</v>
      </c>
      <c r="B1351" s="35" t="s">
        <v>3631</v>
      </c>
      <c r="C1351" s="35">
        <v>2025</v>
      </c>
      <c r="D1351" s="36">
        <v>45753</v>
      </c>
      <c r="E1351" s="37" t="s">
        <v>1282</v>
      </c>
      <c r="F1351" s="37" t="s">
        <v>4452</v>
      </c>
      <c r="G1351" s="37" t="s">
        <v>4398</v>
      </c>
      <c r="H1351" s="35" t="s">
        <v>3415</v>
      </c>
      <c r="I1351" s="35" t="s">
        <v>3453</v>
      </c>
      <c r="J1351" s="38">
        <v>1.636363636363636</v>
      </c>
      <c r="K1351" s="35">
        <v>10</v>
      </c>
      <c r="L1351" s="38">
        <f t="shared" si="21"/>
        <v>16.36363636363636</v>
      </c>
      <c r="M1351" s="35" t="s">
        <v>11</v>
      </c>
      <c r="N1351" s="38"/>
      <c r="O1351" s="35" t="s">
        <v>12</v>
      </c>
    </row>
    <row r="1352" spans="1:15" x14ac:dyDescent="0.25">
      <c r="A1352" s="35" t="s">
        <v>1335</v>
      </c>
      <c r="B1352" s="35" t="s">
        <v>3631</v>
      </c>
      <c r="C1352" s="35">
        <v>2025</v>
      </c>
      <c r="D1352" s="36">
        <v>45753</v>
      </c>
      <c r="E1352" s="37" t="s">
        <v>1282</v>
      </c>
      <c r="F1352" s="37" t="s">
        <v>4453</v>
      </c>
      <c r="G1352" s="37" t="s">
        <v>4398</v>
      </c>
      <c r="H1352" s="35" t="s">
        <v>3415</v>
      </c>
      <c r="I1352" s="35" t="s">
        <v>3453</v>
      </c>
      <c r="J1352" s="38">
        <v>1.636363636363636</v>
      </c>
      <c r="K1352" s="35">
        <v>10</v>
      </c>
      <c r="L1352" s="38">
        <f t="shared" si="21"/>
        <v>16.36363636363636</v>
      </c>
      <c r="M1352" s="35" t="s">
        <v>11</v>
      </c>
      <c r="N1352" s="38"/>
      <c r="O1352" s="35" t="s">
        <v>12</v>
      </c>
    </row>
    <row r="1353" spans="1:15" x14ac:dyDescent="0.25">
      <c r="A1353" s="35" t="s">
        <v>1335</v>
      </c>
      <c r="B1353" s="35" t="s">
        <v>3631</v>
      </c>
      <c r="C1353" s="35">
        <v>2025</v>
      </c>
      <c r="D1353" s="36">
        <v>45753</v>
      </c>
      <c r="E1353" s="37" t="s">
        <v>1282</v>
      </c>
      <c r="F1353" s="37" t="s">
        <v>4453</v>
      </c>
      <c r="G1353" s="37" t="s">
        <v>4398</v>
      </c>
      <c r="H1353" s="35" t="s">
        <v>3415</v>
      </c>
      <c r="I1353" s="35" t="s">
        <v>3453</v>
      </c>
      <c r="J1353" s="38">
        <v>1.636363636363636</v>
      </c>
      <c r="K1353" s="35">
        <v>10</v>
      </c>
      <c r="L1353" s="38">
        <f t="shared" si="21"/>
        <v>16.36363636363636</v>
      </c>
      <c r="M1353" s="35" t="s">
        <v>11</v>
      </c>
      <c r="N1353" s="38"/>
      <c r="O1353" s="35" t="s">
        <v>12</v>
      </c>
    </row>
    <row r="1354" spans="1:15" x14ac:dyDescent="0.25">
      <c r="A1354" s="35" t="s">
        <v>1335</v>
      </c>
      <c r="B1354" s="35" t="s">
        <v>3631</v>
      </c>
      <c r="C1354" s="35">
        <v>2025</v>
      </c>
      <c r="D1354" s="36">
        <v>45753</v>
      </c>
      <c r="E1354" s="37" t="s">
        <v>1282</v>
      </c>
      <c r="F1354" s="37" t="s">
        <v>4454</v>
      </c>
      <c r="G1354" s="37" t="s">
        <v>4398</v>
      </c>
      <c r="H1354" s="35" t="s">
        <v>3415</v>
      </c>
      <c r="I1354" s="35" t="s">
        <v>3453</v>
      </c>
      <c r="J1354" s="38">
        <v>1.0909090909090911</v>
      </c>
      <c r="K1354" s="35">
        <v>10</v>
      </c>
      <c r="L1354" s="38">
        <f t="shared" si="21"/>
        <v>10.90909090909091</v>
      </c>
      <c r="M1354" s="35" t="s">
        <v>11</v>
      </c>
      <c r="N1354" s="38"/>
      <c r="O1354" s="35" t="s">
        <v>12</v>
      </c>
    </row>
    <row r="1355" spans="1:15" x14ac:dyDescent="0.25">
      <c r="A1355" s="35" t="s">
        <v>1335</v>
      </c>
      <c r="B1355" s="35" t="s">
        <v>3631</v>
      </c>
      <c r="C1355" s="35">
        <v>2025</v>
      </c>
      <c r="D1355" s="36">
        <v>45753</v>
      </c>
      <c r="E1355" s="37" t="s">
        <v>1282</v>
      </c>
      <c r="F1355" s="37" t="s">
        <v>4455</v>
      </c>
      <c r="G1355" s="37" t="s">
        <v>4398</v>
      </c>
      <c r="H1355" s="35" t="s">
        <v>3419</v>
      </c>
      <c r="I1355" s="35" t="s">
        <v>3453</v>
      </c>
      <c r="J1355" s="38">
        <v>1.3090909090909091</v>
      </c>
      <c r="K1355" s="35">
        <v>1</v>
      </c>
      <c r="L1355" s="38">
        <f t="shared" si="21"/>
        <v>1.3090909090909091</v>
      </c>
      <c r="M1355" s="35" t="s">
        <v>11</v>
      </c>
      <c r="N1355" s="38"/>
      <c r="O1355" s="35" t="s">
        <v>12</v>
      </c>
    </row>
    <row r="1356" spans="1:15" x14ac:dyDescent="0.25">
      <c r="A1356" s="35" t="s">
        <v>1335</v>
      </c>
      <c r="B1356" s="35" t="s">
        <v>3631</v>
      </c>
      <c r="C1356" s="35">
        <v>2025</v>
      </c>
      <c r="D1356" s="36">
        <v>45753</v>
      </c>
      <c r="E1356" s="37" t="s">
        <v>1282</v>
      </c>
      <c r="F1356" s="37" t="s">
        <v>4455</v>
      </c>
      <c r="G1356" s="37" t="s">
        <v>4398</v>
      </c>
      <c r="H1356" s="35" t="s">
        <v>3415</v>
      </c>
      <c r="I1356" s="35" t="s">
        <v>3453</v>
      </c>
      <c r="J1356" s="38">
        <v>1.636363636363636</v>
      </c>
      <c r="K1356" s="35">
        <v>8</v>
      </c>
      <c r="L1356" s="38">
        <f t="shared" si="21"/>
        <v>13.090909090909088</v>
      </c>
      <c r="M1356" s="35" t="s">
        <v>11</v>
      </c>
      <c r="N1356" s="38"/>
      <c r="O1356" s="35" t="s">
        <v>12</v>
      </c>
    </row>
    <row r="1357" spans="1:15" x14ac:dyDescent="0.25">
      <c r="A1357" s="35" t="s">
        <v>1335</v>
      </c>
      <c r="B1357" s="35" t="s">
        <v>3631</v>
      </c>
      <c r="C1357" s="35">
        <v>2025</v>
      </c>
      <c r="D1357" s="36">
        <v>45753</v>
      </c>
      <c r="E1357" s="37" t="s">
        <v>1282</v>
      </c>
      <c r="F1357" s="37" t="s">
        <v>4452</v>
      </c>
      <c r="G1357" s="37" t="s">
        <v>3720</v>
      </c>
      <c r="H1357" s="35" t="s">
        <v>3415</v>
      </c>
      <c r="I1357" s="35" t="s">
        <v>3453</v>
      </c>
      <c r="J1357" s="38">
        <v>0.81818181818181823</v>
      </c>
      <c r="K1357" s="35">
        <v>9</v>
      </c>
      <c r="L1357" s="38">
        <f t="shared" si="21"/>
        <v>7.3636363636363642</v>
      </c>
      <c r="M1357" s="35" t="s">
        <v>11</v>
      </c>
      <c r="N1357" s="38"/>
      <c r="O1357" s="35" t="s">
        <v>12</v>
      </c>
    </row>
    <row r="1358" spans="1:15" x14ac:dyDescent="0.25">
      <c r="A1358" s="35" t="s">
        <v>1338</v>
      </c>
      <c r="B1358" s="35" t="s">
        <v>3631</v>
      </c>
      <c r="C1358" s="35">
        <v>2025</v>
      </c>
      <c r="D1358" s="36">
        <v>45752</v>
      </c>
      <c r="E1358" s="37" t="s">
        <v>1282</v>
      </c>
      <c r="F1358" s="37" t="s">
        <v>4391</v>
      </c>
      <c r="G1358" s="37" t="s">
        <v>3710</v>
      </c>
      <c r="H1358" s="35" t="s">
        <v>3415</v>
      </c>
      <c r="I1358" s="35" t="s">
        <v>3453</v>
      </c>
      <c r="J1358" s="38">
        <v>8.1818181818181817</v>
      </c>
      <c r="K1358" s="35">
        <v>4</v>
      </c>
      <c r="L1358" s="38">
        <f t="shared" si="21"/>
        <v>32.727272727272727</v>
      </c>
      <c r="M1358" s="35" t="s">
        <v>11</v>
      </c>
      <c r="N1358" s="38"/>
      <c r="O1358" s="35" t="s">
        <v>12</v>
      </c>
    </row>
    <row r="1359" spans="1:15" x14ac:dyDescent="0.25">
      <c r="A1359" s="35" t="s">
        <v>1338</v>
      </c>
      <c r="B1359" s="35" t="s">
        <v>3631</v>
      </c>
      <c r="C1359" s="35">
        <v>2025</v>
      </c>
      <c r="D1359" s="36">
        <v>45752</v>
      </c>
      <c r="E1359" s="37" t="s">
        <v>1282</v>
      </c>
      <c r="F1359" s="37" t="s">
        <v>4323</v>
      </c>
      <c r="G1359" s="37" t="s">
        <v>3710</v>
      </c>
      <c r="H1359" s="35" t="s">
        <v>3419</v>
      </c>
      <c r="I1359" s="35" t="s">
        <v>3416</v>
      </c>
      <c r="J1359" s="38">
        <v>5.454545454545455</v>
      </c>
      <c r="K1359" s="35">
        <v>3</v>
      </c>
      <c r="L1359" s="38">
        <f t="shared" si="21"/>
        <v>16.363636363636367</v>
      </c>
      <c r="M1359" s="35" t="s">
        <v>11</v>
      </c>
      <c r="N1359" s="38"/>
      <c r="O1359" s="35" t="s">
        <v>12</v>
      </c>
    </row>
    <row r="1360" spans="1:15" x14ac:dyDescent="0.25">
      <c r="A1360" s="35" t="s">
        <v>1338</v>
      </c>
      <c r="B1360" s="35" t="s">
        <v>3631</v>
      </c>
      <c r="C1360" s="35">
        <v>2025</v>
      </c>
      <c r="D1360" s="36">
        <v>45752</v>
      </c>
      <c r="E1360" s="37" t="s">
        <v>1282</v>
      </c>
      <c r="F1360" s="37" t="s">
        <v>3953</v>
      </c>
      <c r="G1360" s="37" t="s">
        <v>4392</v>
      </c>
      <c r="H1360" s="35" t="s">
        <v>3419</v>
      </c>
      <c r="I1360" s="35" t="s">
        <v>3453</v>
      </c>
      <c r="J1360" s="38">
        <v>0.81818181818181823</v>
      </c>
      <c r="K1360" s="35">
        <v>3</v>
      </c>
      <c r="L1360" s="38">
        <f t="shared" si="21"/>
        <v>2.4545454545454546</v>
      </c>
      <c r="M1360" s="35" t="s">
        <v>11</v>
      </c>
      <c r="N1360" s="38"/>
      <c r="O1360" s="35" t="s">
        <v>12</v>
      </c>
    </row>
    <row r="1361" spans="1:15" x14ac:dyDescent="0.25">
      <c r="A1361" s="35" t="s">
        <v>1341</v>
      </c>
      <c r="B1361" s="35" t="s">
        <v>3631</v>
      </c>
      <c r="C1361" s="35">
        <v>2025</v>
      </c>
      <c r="D1361" s="36">
        <v>45751</v>
      </c>
      <c r="E1361" s="37" t="s">
        <v>1282</v>
      </c>
      <c r="F1361" s="37" t="s">
        <v>4393</v>
      </c>
      <c r="G1361" s="37" t="s">
        <v>4093</v>
      </c>
      <c r="H1361" s="35" t="s">
        <v>3419</v>
      </c>
      <c r="I1361" s="35" t="s">
        <v>3453</v>
      </c>
      <c r="J1361" s="38">
        <v>9.8181818181818183</v>
      </c>
      <c r="K1361" s="35">
        <v>3</v>
      </c>
      <c r="L1361" s="38">
        <f t="shared" si="21"/>
        <v>29.454545454545453</v>
      </c>
      <c r="M1361" s="35" t="s">
        <v>11</v>
      </c>
      <c r="N1361" s="38"/>
      <c r="O1361" s="35" t="s">
        <v>12</v>
      </c>
    </row>
    <row r="1362" spans="1:15" x14ac:dyDescent="0.25">
      <c r="A1362" s="35" t="s">
        <v>1341</v>
      </c>
      <c r="B1362" s="35" t="s">
        <v>3631</v>
      </c>
      <c r="C1362" s="35">
        <v>2025</v>
      </c>
      <c r="D1362" s="36">
        <v>45751</v>
      </c>
      <c r="E1362" s="37" t="s">
        <v>1282</v>
      </c>
      <c r="F1362" s="37" t="s">
        <v>3884</v>
      </c>
      <c r="G1362" s="37" t="s">
        <v>3788</v>
      </c>
      <c r="H1362" s="35" t="s">
        <v>3415</v>
      </c>
      <c r="I1362" s="35" t="s">
        <v>3453</v>
      </c>
      <c r="J1362" s="38">
        <v>1.0909090909090911</v>
      </c>
      <c r="K1362" s="35">
        <v>5</v>
      </c>
      <c r="L1362" s="38">
        <f t="shared" si="21"/>
        <v>5.454545454545455</v>
      </c>
      <c r="M1362" s="35" t="s">
        <v>11</v>
      </c>
      <c r="N1362" s="38"/>
      <c r="O1362" s="35" t="s">
        <v>12</v>
      </c>
    </row>
    <row r="1363" spans="1:15" x14ac:dyDescent="0.25">
      <c r="A1363" s="35" t="s">
        <v>1341</v>
      </c>
      <c r="B1363" s="35" t="s">
        <v>3631</v>
      </c>
      <c r="C1363" s="35">
        <v>2025</v>
      </c>
      <c r="D1363" s="36">
        <v>45751</v>
      </c>
      <c r="E1363" s="37" t="s">
        <v>1282</v>
      </c>
      <c r="F1363" s="37" t="s">
        <v>4394</v>
      </c>
      <c r="G1363" s="37" t="s">
        <v>3710</v>
      </c>
      <c r="H1363" s="35" t="s">
        <v>3419</v>
      </c>
      <c r="I1363" s="35" t="s">
        <v>3453</v>
      </c>
      <c r="J1363" s="38">
        <v>0.81818181818181823</v>
      </c>
      <c r="K1363" s="35">
        <v>2</v>
      </c>
      <c r="L1363" s="38">
        <f t="shared" si="21"/>
        <v>1.6363636363636365</v>
      </c>
      <c r="M1363" s="35" t="s">
        <v>11</v>
      </c>
      <c r="N1363" s="38"/>
      <c r="O1363" s="35" t="s">
        <v>12</v>
      </c>
    </row>
    <row r="1364" spans="1:15" x14ac:dyDescent="0.25">
      <c r="A1364" s="35" t="s">
        <v>1341</v>
      </c>
      <c r="B1364" s="35" t="s">
        <v>3631</v>
      </c>
      <c r="C1364" s="35">
        <v>2025</v>
      </c>
      <c r="D1364" s="36">
        <v>45751</v>
      </c>
      <c r="E1364" s="37" t="s">
        <v>1282</v>
      </c>
      <c r="F1364" s="37" t="s">
        <v>4395</v>
      </c>
      <c r="G1364" s="37" t="s">
        <v>3710</v>
      </c>
      <c r="H1364" s="35" t="s">
        <v>3419</v>
      </c>
      <c r="I1364" s="35" t="s">
        <v>3453</v>
      </c>
      <c r="J1364" s="38">
        <v>3.2727272727272729</v>
      </c>
      <c r="K1364" s="35">
        <v>1</v>
      </c>
      <c r="L1364" s="38">
        <f t="shared" si="21"/>
        <v>3.2727272727272729</v>
      </c>
      <c r="M1364" s="35" t="s">
        <v>11</v>
      </c>
      <c r="N1364" s="38"/>
      <c r="O1364" s="35" t="s">
        <v>12</v>
      </c>
    </row>
    <row r="1365" spans="1:15" x14ac:dyDescent="0.25">
      <c r="A1365" s="35" t="s">
        <v>1341</v>
      </c>
      <c r="B1365" s="35" t="s">
        <v>3631</v>
      </c>
      <c r="C1365" s="35">
        <v>2025</v>
      </c>
      <c r="D1365" s="36">
        <v>45751</v>
      </c>
      <c r="E1365" s="37" t="s">
        <v>1282</v>
      </c>
      <c r="F1365" s="37" t="s">
        <v>4396</v>
      </c>
      <c r="G1365" s="37" t="s">
        <v>4103</v>
      </c>
      <c r="H1365" s="35" t="s">
        <v>3419</v>
      </c>
      <c r="I1365" s="35" t="s">
        <v>3453</v>
      </c>
      <c r="J1365" s="38">
        <v>2.727272727272728</v>
      </c>
      <c r="K1365" s="35">
        <v>3</v>
      </c>
      <c r="L1365" s="38">
        <f t="shared" si="21"/>
        <v>8.1818181818181834</v>
      </c>
      <c r="M1365" s="35" t="s">
        <v>11</v>
      </c>
      <c r="N1365" s="38"/>
      <c r="O1365" s="35" t="s">
        <v>12</v>
      </c>
    </row>
    <row r="1366" spans="1:15" x14ac:dyDescent="0.25">
      <c r="A1366" s="35" t="s">
        <v>1341</v>
      </c>
      <c r="B1366" s="35" t="s">
        <v>3631</v>
      </c>
      <c r="C1366" s="35">
        <v>2025</v>
      </c>
      <c r="D1366" s="36">
        <v>45751</v>
      </c>
      <c r="E1366" s="37" t="s">
        <v>1282</v>
      </c>
      <c r="F1366" s="37" t="s">
        <v>4397</v>
      </c>
      <c r="G1366" s="37" t="s">
        <v>4398</v>
      </c>
      <c r="H1366" s="35" t="s">
        <v>3415</v>
      </c>
      <c r="I1366" s="35" t="s">
        <v>3453</v>
      </c>
      <c r="J1366" s="38">
        <v>6.5454545454545459</v>
      </c>
      <c r="K1366" s="35">
        <v>4</v>
      </c>
      <c r="L1366" s="38">
        <f t="shared" si="21"/>
        <v>26.181818181818183</v>
      </c>
      <c r="M1366" s="35" t="s">
        <v>11</v>
      </c>
      <c r="N1366" s="38"/>
      <c r="O1366" s="35" t="s">
        <v>12</v>
      </c>
    </row>
    <row r="1367" spans="1:15" x14ac:dyDescent="0.25">
      <c r="A1367" s="35" t="s">
        <v>1341</v>
      </c>
      <c r="B1367" s="35" t="s">
        <v>3631</v>
      </c>
      <c r="C1367" s="35">
        <v>2025</v>
      </c>
      <c r="D1367" s="36">
        <v>45751</v>
      </c>
      <c r="E1367" s="37" t="s">
        <v>1282</v>
      </c>
      <c r="F1367" s="37" t="s">
        <v>3829</v>
      </c>
      <c r="G1367" s="37" t="s">
        <v>4398</v>
      </c>
      <c r="H1367" s="35" t="s">
        <v>3415</v>
      </c>
      <c r="I1367" s="35" t="s">
        <v>3453</v>
      </c>
      <c r="J1367" s="38">
        <v>16.36363636363636</v>
      </c>
      <c r="K1367" s="35">
        <v>4</v>
      </c>
      <c r="L1367" s="38">
        <f t="shared" si="21"/>
        <v>65.454545454545439</v>
      </c>
      <c r="M1367" s="35" t="s">
        <v>11</v>
      </c>
      <c r="N1367" s="38"/>
      <c r="O1367" s="35" t="s">
        <v>12</v>
      </c>
    </row>
    <row r="1368" spans="1:15" x14ac:dyDescent="0.25">
      <c r="A1368" s="35" t="s">
        <v>1341</v>
      </c>
      <c r="B1368" s="35" t="s">
        <v>3631</v>
      </c>
      <c r="C1368" s="35">
        <v>2025</v>
      </c>
      <c r="D1368" s="36">
        <v>45751</v>
      </c>
      <c r="E1368" s="37" t="s">
        <v>1282</v>
      </c>
      <c r="F1368" s="37" t="s">
        <v>4399</v>
      </c>
      <c r="G1368" s="37" t="s">
        <v>3656</v>
      </c>
      <c r="H1368" s="35" t="s">
        <v>3419</v>
      </c>
      <c r="I1368" s="35" t="s">
        <v>3453</v>
      </c>
      <c r="J1368" s="38">
        <v>17.345454545454551</v>
      </c>
      <c r="K1368" s="35">
        <v>1</v>
      </c>
      <c r="L1368" s="38">
        <f t="shared" si="21"/>
        <v>17.345454545454551</v>
      </c>
      <c r="M1368" s="35" t="s">
        <v>11</v>
      </c>
      <c r="N1368" s="38"/>
      <c r="O1368" s="35" t="s">
        <v>12</v>
      </c>
    </row>
    <row r="1369" spans="1:15" x14ac:dyDescent="0.25">
      <c r="A1369" s="35" t="s">
        <v>1341</v>
      </c>
      <c r="B1369" s="35" t="s">
        <v>3631</v>
      </c>
      <c r="C1369" s="35">
        <v>2025</v>
      </c>
      <c r="D1369" s="36">
        <v>45751</v>
      </c>
      <c r="E1369" s="37" t="s">
        <v>1282</v>
      </c>
      <c r="F1369" s="37" t="s">
        <v>4400</v>
      </c>
      <c r="G1369" s="37" t="s">
        <v>4012</v>
      </c>
      <c r="H1369" s="35" t="s">
        <v>3415</v>
      </c>
      <c r="I1369" s="35" t="s">
        <v>3453</v>
      </c>
      <c r="J1369" s="38">
        <v>1.5272727272727269</v>
      </c>
      <c r="K1369" s="35">
        <v>4</v>
      </c>
      <c r="L1369" s="38">
        <f t="shared" si="21"/>
        <v>6.1090909090909076</v>
      </c>
      <c r="M1369" s="35" t="s">
        <v>11</v>
      </c>
      <c r="N1369" s="38"/>
      <c r="O1369" s="35" t="s">
        <v>12</v>
      </c>
    </row>
    <row r="1370" spans="1:15" x14ac:dyDescent="0.25">
      <c r="A1370" s="35" t="s">
        <v>1341</v>
      </c>
      <c r="B1370" s="35" t="s">
        <v>3631</v>
      </c>
      <c r="C1370" s="35">
        <v>2025</v>
      </c>
      <c r="D1370" s="36">
        <v>45751</v>
      </c>
      <c r="E1370" s="37" t="s">
        <v>1282</v>
      </c>
      <c r="F1370" s="37" t="s">
        <v>4401</v>
      </c>
      <c r="G1370" s="37" t="s">
        <v>3901</v>
      </c>
      <c r="H1370" s="35" t="s">
        <v>3415</v>
      </c>
      <c r="I1370" s="35" t="s">
        <v>3453</v>
      </c>
      <c r="J1370" s="38">
        <v>13.36363636363637</v>
      </c>
      <c r="K1370" s="35">
        <v>4</v>
      </c>
      <c r="L1370" s="38">
        <f t="shared" si="21"/>
        <v>53.454545454545482</v>
      </c>
      <c r="M1370" s="35" t="s">
        <v>11</v>
      </c>
      <c r="N1370" s="38"/>
      <c r="O1370" s="35" t="s">
        <v>12</v>
      </c>
    </row>
    <row r="1371" spans="1:15" x14ac:dyDescent="0.25">
      <c r="A1371" s="35" t="s">
        <v>1341</v>
      </c>
      <c r="B1371" s="35" t="s">
        <v>3631</v>
      </c>
      <c r="C1371" s="35">
        <v>2025</v>
      </c>
      <c r="D1371" s="36">
        <v>45751</v>
      </c>
      <c r="E1371" s="37" t="s">
        <v>1282</v>
      </c>
      <c r="F1371" s="37" t="s">
        <v>4402</v>
      </c>
      <c r="G1371" s="37" t="s">
        <v>3945</v>
      </c>
      <c r="H1371" s="35" t="s">
        <v>3419</v>
      </c>
      <c r="I1371" s="35" t="s">
        <v>3453</v>
      </c>
      <c r="J1371" s="38">
        <v>2.1818181818181821</v>
      </c>
      <c r="K1371" s="35">
        <v>1</v>
      </c>
      <c r="L1371" s="38">
        <f t="shared" si="21"/>
        <v>2.1818181818181821</v>
      </c>
      <c r="M1371" s="35" t="s">
        <v>11</v>
      </c>
      <c r="N1371" s="38"/>
      <c r="O1371" s="35" t="s">
        <v>12</v>
      </c>
    </row>
    <row r="1372" spans="1:15" x14ac:dyDescent="0.25">
      <c r="A1372" s="35" t="s">
        <v>1341</v>
      </c>
      <c r="B1372" s="35" t="s">
        <v>3631</v>
      </c>
      <c r="C1372" s="35">
        <v>2025</v>
      </c>
      <c r="D1372" s="36">
        <v>45751</v>
      </c>
      <c r="E1372" s="37" t="s">
        <v>1282</v>
      </c>
      <c r="F1372" s="37" t="s">
        <v>4171</v>
      </c>
      <c r="G1372" s="37" t="s">
        <v>4103</v>
      </c>
      <c r="H1372" s="35" t="s">
        <v>3419</v>
      </c>
      <c r="I1372" s="35" t="s">
        <v>3453</v>
      </c>
      <c r="J1372" s="38">
        <v>13.63636363636364</v>
      </c>
      <c r="K1372" s="35">
        <v>2</v>
      </c>
      <c r="L1372" s="38">
        <f t="shared" si="21"/>
        <v>27.27272727272728</v>
      </c>
      <c r="M1372" s="35" t="s">
        <v>11</v>
      </c>
      <c r="N1372" s="38"/>
      <c r="O1372" s="35" t="s">
        <v>12</v>
      </c>
    </row>
    <row r="1373" spans="1:15" x14ac:dyDescent="0.25">
      <c r="A1373" s="35" t="s">
        <v>1341</v>
      </c>
      <c r="B1373" s="35" t="s">
        <v>3631</v>
      </c>
      <c r="C1373" s="35">
        <v>2025</v>
      </c>
      <c r="D1373" s="36">
        <v>45751</v>
      </c>
      <c r="E1373" s="37" t="s">
        <v>1282</v>
      </c>
      <c r="F1373" s="37" t="s">
        <v>4403</v>
      </c>
      <c r="G1373" s="37" t="s">
        <v>3788</v>
      </c>
      <c r="H1373" s="35" t="s">
        <v>3419</v>
      </c>
      <c r="I1373" s="35" t="s">
        <v>3453</v>
      </c>
      <c r="J1373" s="38">
        <v>1.636363636363636</v>
      </c>
      <c r="K1373" s="35">
        <v>2</v>
      </c>
      <c r="L1373" s="38">
        <f t="shared" si="21"/>
        <v>3.272727272727272</v>
      </c>
      <c r="M1373" s="35" t="s">
        <v>11</v>
      </c>
      <c r="N1373" s="38"/>
      <c r="O1373" s="35" t="s">
        <v>12</v>
      </c>
    </row>
    <row r="1374" spans="1:15" x14ac:dyDescent="0.25">
      <c r="A1374" s="35" t="s">
        <v>1344</v>
      </c>
      <c r="B1374" s="35" t="s">
        <v>3646</v>
      </c>
      <c r="C1374" s="35">
        <v>2025</v>
      </c>
      <c r="D1374" s="36">
        <v>45747</v>
      </c>
      <c r="E1374" s="37" t="s">
        <v>1282</v>
      </c>
      <c r="F1374" s="37" t="s">
        <v>4457</v>
      </c>
      <c r="G1374" s="37" t="s">
        <v>3886</v>
      </c>
      <c r="H1374" s="35" t="s">
        <v>3419</v>
      </c>
      <c r="I1374" s="35" t="s">
        <v>3453</v>
      </c>
      <c r="J1374" s="38">
        <v>8.7272727272727284</v>
      </c>
      <c r="K1374" s="35">
        <v>2</v>
      </c>
      <c r="L1374" s="38">
        <f t="shared" si="21"/>
        <v>17.454545454545457</v>
      </c>
      <c r="M1374" s="35" t="s">
        <v>11</v>
      </c>
      <c r="N1374" s="38"/>
      <c r="O1374" s="35" t="s">
        <v>12</v>
      </c>
    </row>
    <row r="1375" spans="1:15" x14ac:dyDescent="0.25">
      <c r="A1375" s="35" t="s">
        <v>1344</v>
      </c>
      <c r="B1375" s="35" t="s">
        <v>3646</v>
      </c>
      <c r="C1375" s="35">
        <v>2025</v>
      </c>
      <c r="D1375" s="36">
        <v>45747</v>
      </c>
      <c r="E1375" s="37" t="s">
        <v>1282</v>
      </c>
      <c r="F1375" s="37" t="s">
        <v>3532</v>
      </c>
      <c r="G1375" s="37" t="s">
        <v>3533</v>
      </c>
      <c r="H1375" s="35" t="s">
        <v>3419</v>
      </c>
      <c r="I1375" s="35" t="s">
        <v>3453</v>
      </c>
      <c r="J1375" s="38">
        <v>2.1818181818181821</v>
      </c>
      <c r="K1375" s="35">
        <v>2</v>
      </c>
      <c r="L1375" s="38">
        <f t="shared" si="21"/>
        <v>4.3636363636363642</v>
      </c>
      <c r="M1375" s="35" t="s">
        <v>11</v>
      </c>
      <c r="N1375" s="38"/>
      <c r="O1375" s="35" t="s">
        <v>12</v>
      </c>
    </row>
    <row r="1376" spans="1:15" x14ac:dyDescent="0.25">
      <c r="A1376" s="35" t="s">
        <v>1344</v>
      </c>
      <c r="B1376" s="35" t="s">
        <v>3646</v>
      </c>
      <c r="C1376" s="35">
        <v>2025</v>
      </c>
      <c r="D1376" s="36">
        <v>45747</v>
      </c>
      <c r="E1376" s="37" t="s">
        <v>1282</v>
      </c>
      <c r="F1376" s="37" t="s">
        <v>4458</v>
      </c>
      <c r="G1376" s="37" t="s">
        <v>3643</v>
      </c>
      <c r="H1376" s="35" t="s">
        <v>3415</v>
      </c>
      <c r="I1376" s="35" t="s">
        <v>3453</v>
      </c>
      <c r="J1376" s="38">
        <v>5.6727272727272728</v>
      </c>
      <c r="K1376" s="35">
        <v>4</v>
      </c>
      <c r="L1376" s="38">
        <f t="shared" si="21"/>
        <v>22.690909090909091</v>
      </c>
      <c r="M1376" s="35" t="s">
        <v>11</v>
      </c>
      <c r="N1376" s="38"/>
      <c r="O1376" s="35" t="s">
        <v>12</v>
      </c>
    </row>
    <row r="1377" spans="1:15" x14ac:dyDescent="0.25">
      <c r="A1377" s="35" t="s">
        <v>1344</v>
      </c>
      <c r="B1377" s="35" t="s">
        <v>3646</v>
      </c>
      <c r="C1377" s="35">
        <v>2025</v>
      </c>
      <c r="D1377" s="36">
        <v>45747</v>
      </c>
      <c r="E1377" s="37" t="s">
        <v>1282</v>
      </c>
      <c r="F1377" s="37" t="s">
        <v>4459</v>
      </c>
      <c r="G1377" s="37" t="s">
        <v>4405</v>
      </c>
      <c r="H1377" s="35" t="s">
        <v>3415</v>
      </c>
      <c r="I1377" s="35" t="s">
        <v>3453</v>
      </c>
      <c r="J1377" s="38">
        <v>0.98181818181818192</v>
      </c>
      <c r="K1377" s="35">
        <v>4</v>
      </c>
      <c r="L1377" s="38">
        <f t="shared" si="21"/>
        <v>3.9272727272727277</v>
      </c>
      <c r="M1377" s="35" t="s">
        <v>11</v>
      </c>
      <c r="N1377" s="38"/>
      <c r="O1377" s="35" t="s">
        <v>12</v>
      </c>
    </row>
    <row r="1378" spans="1:15" x14ac:dyDescent="0.25">
      <c r="A1378" s="35" t="s">
        <v>1344</v>
      </c>
      <c r="B1378" s="35" t="s">
        <v>3646</v>
      </c>
      <c r="C1378" s="35">
        <v>2025</v>
      </c>
      <c r="D1378" s="36">
        <v>45747</v>
      </c>
      <c r="E1378" s="37" t="s">
        <v>1282</v>
      </c>
      <c r="F1378" s="37" t="s">
        <v>4460</v>
      </c>
      <c r="G1378" s="37" t="s">
        <v>3889</v>
      </c>
      <c r="H1378" s="35" t="s">
        <v>3419</v>
      </c>
      <c r="I1378" s="35" t="s">
        <v>3453</v>
      </c>
      <c r="J1378" s="38">
        <v>0.54545454545454553</v>
      </c>
      <c r="K1378" s="35">
        <v>3</v>
      </c>
      <c r="L1378" s="38">
        <f t="shared" si="21"/>
        <v>1.6363636363636367</v>
      </c>
      <c r="M1378" s="35" t="s">
        <v>11</v>
      </c>
      <c r="N1378" s="38"/>
      <c r="O1378" s="35" t="s">
        <v>12</v>
      </c>
    </row>
    <row r="1379" spans="1:15" x14ac:dyDescent="0.25">
      <c r="A1379" s="35" t="s">
        <v>1344</v>
      </c>
      <c r="B1379" s="35" t="s">
        <v>3646</v>
      </c>
      <c r="C1379" s="35">
        <v>2025</v>
      </c>
      <c r="D1379" s="36">
        <v>45747</v>
      </c>
      <c r="E1379" s="37" t="s">
        <v>1282</v>
      </c>
      <c r="F1379" s="37" t="s">
        <v>4461</v>
      </c>
      <c r="G1379" s="37" t="s">
        <v>3967</v>
      </c>
      <c r="H1379" s="35" t="s">
        <v>3419</v>
      </c>
      <c r="I1379" s="35" t="s">
        <v>3453</v>
      </c>
      <c r="J1379" s="38">
        <v>1.0909090909090911</v>
      </c>
      <c r="K1379" s="35">
        <v>2</v>
      </c>
      <c r="L1379" s="38">
        <f t="shared" si="21"/>
        <v>2.1818181818181821</v>
      </c>
      <c r="M1379" s="35" t="s">
        <v>11</v>
      </c>
      <c r="N1379" s="38"/>
      <c r="O1379" s="35" t="s">
        <v>12</v>
      </c>
    </row>
    <row r="1380" spans="1:15" x14ac:dyDescent="0.25">
      <c r="A1380" s="35" t="s">
        <v>1344</v>
      </c>
      <c r="B1380" s="35" t="s">
        <v>3646</v>
      </c>
      <c r="C1380" s="35">
        <v>2025</v>
      </c>
      <c r="D1380" s="36">
        <v>45747</v>
      </c>
      <c r="E1380" s="37" t="s">
        <v>1282</v>
      </c>
      <c r="F1380" s="37" t="s">
        <v>4462</v>
      </c>
      <c r="G1380" s="37" t="s">
        <v>4463</v>
      </c>
      <c r="H1380" s="35" t="s">
        <v>3419</v>
      </c>
      <c r="I1380" s="35" t="s">
        <v>3416</v>
      </c>
      <c r="J1380" s="38">
        <v>3.709090909090909</v>
      </c>
      <c r="K1380" s="35">
        <v>2</v>
      </c>
      <c r="L1380" s="38">
        <f t="shared" si="21"/>
        <v>7.418181818181818</v>
      </c>
      <c r="M1380" s="35" t="s">
        <v>11</v>
      </c>
      <c r="N1380" s="38"/>
      <c r="O1380" s="35" t="s">
        <v>12</v>
      </c>
    </row>
    <row r="1381" spans="1:15" x14ac:dyDescent="0.25">
      <c r="A1381" s="35" t="s">
        <v>1344</v>
      </c>
      <c r="B1381" s="35" t="s">
        <v>3646</v>
      </c>
      <c r="C1381" s="35">
        <v>2025</v>
      </c>
      <c r="D1381" s="36">
        <v>45747</v>
      </c>
      <c r="E1381" s="37" t="s">
        <v>1282</v>
      </c>
      <c r="F1381" s="37" t="s">
        <v>4464</v>
      </c>
      <c r="G1381" s="37" t="s">
        <v>3648</v>
      </c>
      <c r="H1381" s="35" t="s">
        <v>3419</v>
      </c>
      <c r="I1381" s="35" t="s">
        <v>3453</v>
      </c>
      <c r="J1381" s="38">
        <v>3.8181818181818179</v>
      </c>
      <c r="K1381" s="35">
        <v>1</v>
      </c>
      <c r="L1381" s="38">
        <f t="shared" si="21"/>
        <v>3.8181818181818179</v>
      </c>
      <c r="M1381" s="35" t="s">
        <v>11</v>
      </c>
      <c r="N1381" s="38"/>
      <c r="O1381" s="35" t="s">
        <v>12</v>
      </c>
    </row>
    <row r="1382" spans="1:15" x14ac:dyDescent="0.25">
      <c r="A1382" s="35" t="s">
        <v>1344</v>
      </c>
      <c r="B1382" s="35" t="s">
        <v>3646</v>
      </c>
      <c r="C1382" s="35">
        <v>2025</v>
      </c>
      <c r="D1382" s="36">
        <v>45747</v>
      </c>
      <c r="E1382" s="37" t="s">
        <v>1282</v>
      </c>
      <c r="F1382" s="37" t="s">
        <v>4465</v>
      </c>
      <c r="G1382" s="37" t="s">
        <v>3788</v>
      </c>
      <c r="H1382" s="35" t="s">
        <v>3419</v>
      </c>
      <c r="I1382" s="35" t="s">
        <v>3453</v>
      </c>
      <c r="J1382" s="38">
        <v>3.2727272727272729</v>
      </c>
      <c r="K1382" s="35">
        <v>1</v>
      </c>
      <c r="L1382" s="38">
        <f t="shared" si="21"/>
        <v>3.2727272727272729</v>
      </c>
      <c r="M1382" s="35" t="s">
        <v>11</v>
      </c>
      <c r="N1382" s="38"/>
      <c r="O1382" s="35" t="s">
        <v>12</v>
      </c>
    </row>
    <row r="1383" spans="1:15" x14ac:dyDescent="0.25">
      <c r="A1383" s="35" t="s">
        <v>1344</v>
      </c>
      <c r="B1383" s="35" t="s">
        <v>3646</v>
      </c>
      <c r="C1383" s="35">
        <v>2025</v>
      </c>
      <c r="D1383" s="36">
        <v>45747</v>
      </c>
      <c r="E1383" s="37" t="s">
        <v>1282</v>
      </c>
      <c r="F1383" s="37" t="s">
        <v>4466</v>
      </c>
      <c r="G1383" s="37" t="s">
        <v>3742</v>
      </c>
      <c r="H1383" s="35" t="s">
        <v>3419</v>
      </c>
      <c r="I1383" s="35" t="s">
        <v>3453</v>
      </c>
      <c r="J1383" s="38">
        <v>1.636363636363636</v>
      </c>
      <c r="K1383" s="35">
        <v>1</v>
      </c>
      <c r="L1383" s="38">
        <f t="shared" si="21"/>
        <v>1.636363636363636</v>
      </c>
      <c r="M1383" s="35" t="s">
        <v>11</v>
      </c>
      <c r="N1383" s="38"/>
      <c r="O1383" s="35" t="s">
        <v>12</v>
      </c>
    </row>
    <row r="1384" spans="1:15" x14ac:dyDescent="0.25">
      <c r="A1384" s="35" t="s">
        <v>1344</v>
      </c>
      <c r="B1384" s="35" t="s">
        <v>3646</v>
      </c>
      <c r="C1384" s="35">
        <v>2025</v>
      </c>
      <c r="D1384" s="36">
        <v>45747</v>
      </c>
      <c r="E1384" s="37" t="s">
        <v>1282</v>
      </c>
      <c r="F1384" s="37" t="s">
        <v>4467</v>
      </c>
      <c r="G1384" s="37" t="s">
        <v>3797</v>
      </c>
      <c r="H1384" s="35" t="s">
        <v>3419</v>
      </c>
      <c r="I1384" s="35" t="s">
        <v>3453</v>
      </c>
      <c r="J1384" s="38">
        <v>1.636363636363636</v>
      </c>
      <c r="K1384" s="35">
        <v>2</v>
      </c>
      <c r="L1384" s="38">
        <f t="shared" si="21"/>
        <v>3.272727272727272</v>
      </c>
      <c r="M1384" s="35" t="s">
        <v>11</v>
      </c>
      <c r="N1384" s="38"/>
      <c r="O1384" s="35" t="s">
        <v>12</v>
      </c>
    </row>
    <row r="1385" spans="1:15" x14ac:dyDescent="0.25">
      <c r="A1385" s="35" t="s">
        <v>1344</v>
      </c>
      <c r="B1385" s="35" t="s">
        <v>3646</v>
      </c>
      <c r="C1385" s="35">
        <v>2025</v>
      </c>
      <c r="D1385" s="36">
        <v>45747</v>
      </c>
      <c r="E1385" s="37" t="s">
        <v>1282</v>
      </c>
      <c r="F1385" s="37" t="s">
        <v>4468</v>
      </c>
      <c r="G1385" s="37" t="s">
        <v>3886</v>
      </c>
      <c r="H1385" s="35" t="s">
        <v>3419</v>
      </c>
      <c r="I1385" s="35" t="s">
        <v>3453</v>
      </c>
      <c r="J1385" s="38">
        <v>4.3636363636363642</v>
      </c>
      <c r="K1385" s="35">
        <v>2</v>
      </c>
      <c r="L1385" s="38">
        <f t="shared" si="21"/>
        <v>8.7272727272727284</v>
      </c>
      <c r="M1385" s="35" t="s">
        <v>11</v>
      </c>
      <c r="N1385" s="38"/>
      <c r="O1385" s="35" t="s">
        <v>12</v>
      </c>
    </row>
    <row r="1386" spans="1:15" x14ac:dyDescent="0.25">
      <c r="A1386" s="35" t="s">
        <v>1344</v>
      </c>
      <c r="B1386" s="35" t="s">
        <v>3646</v>
      </c>
      <c r="C1386" s="35">
        <v>2025</v>
      </c>
      <c r="D1386" s="36">
        <v>45747</v>
      </c>
      <c r="E1386" s="37" t="s">
        <v>1282</v>
      </c>
      <c r="F1386" s="37" t="s">
        <v>4469</v>
      </c>
      <c r="G1386" s="37" t="s">
        <v>4019</v>
      </c>
      <c r="H1386" s="35" t="s">
        <v>3415</v>
      </c>
      <c r="I1386" s="35" t="s">
        <v>3453</v>
      </c>
      <c r="J1386" s="38">
        <v>24.763636363636369</v>
      </c>
      <c r="K1386" s="35">
        <v>4</v>
      </c>
      <c r="L1386" s="38">
        <f t="shared" si="21"/>
        <v>99.054545454545476</v>
      </c>
      <c r="M1386" s="35" t="s">
        <v>11</v>
      </c>
      <c r="N1386" s="38"/>
      <c r="O1386" s="35" t="s">
        <v>12</v>
      </c>
    </row>
    <row r="1387" spans="1:15" x14ac:dyDescent="0.25">
      <c r="A1387" s="35" t="s">
        <v>1344</v>
      </c>
      <c r="B1387" s="35" t="s">
        <v>3646</v>
      </c>
      <c r="C1387" s="35">
        <v>2025</v>
      </c>
      <c r="D1387" s="36">
        <v>45747</v>
      </c>
      <c r="E1387" s="37" t="s">
        <v>1282</v>
      </c>
      <c r="F1387" s="37" t="s">
        <v>3966</v>
      </c>
      <c r="G1387" s="37" t="s">
        <v>3967</v>
      </c>
      <c r="H1387" s="35" t="s">
        <v>3419</v>
      </c>
      <c r="I1387" s="35" t="s">
        <v>3453</v>
      </c>
      <c r="J1387" s="38">
        <v>10.90909090909091</v>
      </c>
      <c r="K1387" s="35">
        <v>1</v>
      </c>
      <c r="L1387" s="38">
        <f t="shared" si="21"/>
        <v>10.90909090909091</v>
      </c>
      <c r="M1387" s="35" t="s">
        <v>11</v>
      </c>
      <c r="N1387" s="38"/>
      <c r="O1387" s="35" t="s">
        <v>12</v>
      </c>
    </row>
    <row r="1388" spans="1:15" x14ac:dyDescent="0.25">
      <c r="A1388" s="35" t="s">
        <v>1347</v>
      </c>
      <c r="B1388" s="35" t="s">
        <v>3646</v>
      </c>
      <c r="C1388" s="35">
        <v>2025</v>
      </c>
      <c r="D1388" s="36">
        <v>45742</v>
      </c>
      <c r="E1388" s="37" t="s">
        <v>1282</v>
      </c>
      <c r="F1388" s="37" t="s">
        <v>4470</v>
      </c>
      <c r="G1388" s="37" t="s">
        <v>3699</v>
      </c>
      <c r="H1388" s="35" t="s">
        <v>3419</v>
      </c>
      <c r="I1388" s="35" t="s">
        <v>3453</v>
      </c>
      <c r="J1388" s="38">
        <v>43.63636363636364</v>
      </c>
      <c r="K1388" s="35">
        <v>2</v>
      </c>
      <c r="L1388" s="38">
        <f t="shared" si="21"/>
        <v>87.27272727272728</v>
      </c>
      <c r="M1388" s="35" t="s">
        <v>11</v>
      </c>
      <c r="N1388" s="38"/>
      <c r="O1388" s="35" t="s">
        <v>12</v>
      </c>
    </row>
    <row r="1389" spans="1:15" x14ac:dyDescent="0.25">
      <c r="A1389" s="35" t="s">
        <v>1347</v>
      </c>
      <c r="B1389" s="35" t="s">
        <v>3646</v>
      </c>
      <c r="C1389" s="35">
        <v>2025</v>
      </c>
      <c r="D1389" s="36">
        <v>45742</v>
      </c>
      <c r="E1389" s="37" t="s">
        <v>1282</v>
      </c>
      <c r="F1389" s="37" t="s">
        <v>3451</v>
      </c>
      <c r="G1389" s="37" t="s">
        <v>3699</v>
      </c>
      <c r="H1389" s="35" t="s">
        <v>3419</v>
      </c>
      <c r="I1389" s="35" t="s">
        <v>3453</v>
      </c>
      <c r="J1389" s="38">
        <v>13.527272727272729</v>
      </c>
      <c r="K1389" s="35">
        <v>2</v>
      </c>
      <c r="L1389" s="38">
        <f t="shared" si="21"/>
        <v>27.054545454545458</v>
      </c>
      <c r="M1389" s="35" t="s">
        <v>11</v>
      </c>
      <c r="N1389" s="38"/>
      <c r="O1389" s="35" t="s">
        <v>12</v>
      </c>
    </row>
    <row r="1390" spans="1:15" x14ac:dyDescent="0.25">
      <c r="A1390" s="35" t="s">
        <v>1350</v>
      </c>
      <c r="B1390" s="35" t="s">
        <v>3646</v>
      </c>
      <c r="C1390" s="35">
        <v>2025</v>
      </c>
      <c r="D1390" s="36">
        <v>45742</v>
      </c>
      <c r="E1390" s="37" t="s">
        <v>1282</v>
      </c>
      <c r="F1390" s="37" t="s">
        <v>4471</v>
      </c>
      <c r="G1390" s="37" t="s">
        <v>3699</v>
      </c>
      <c r="H1390" s="35" t="s">
        <v>3415</v>
      </c>
      <c r="I1390" s="35" t="s">
        <v>3453</v>
      </c>
      <c r="J1390" s="38">
        <v>14.072727272727271</v>
      </c>
      <c r="K1390" s="35">
        <v>4</v>
      </c>
      <c r="L1390" s="38">
        <f t="shared" si="21"/>
        <v>56.290909090909082</v>
      </c>
      <c r="M1390" s="35" t="s">
        <v>11</v>
      </c>
      <c r="N1390" s="38"/>
      <c r="O1390" s="35" t="s">
        <v>12</v>
      </c>
    </row>
    <row r="1391" spans="1:15" x14ac:dyDescent="0.25">
      <c r="A1391" s="35" t="s">
        <v>1350</v>
      </c>
      <c r="B1391" s="35" t="s">
        <v>3646</v>
      </c>
      <c r="C1391" s="35">
        <v>2025</v>
      </c>
      <c r="D1391" s="36">
        <v>45742</v>
      </c>
      <c r="E1391" s="37" t="s">
        <v>1282</v>
      </c>
      <c r="F1391" s="37" t="s">
        <v>4472</v>
      </c>
      <c r="G1391" s="37" t="s">
        <v>4473</v>
      </c>
      <c r="H1391" s="35" t="s">
        <v>3415</v>
      </c>
      <c r="I1391" s="35" t="s">
        <v>3453</v>
      </c>
      <c r="J1391" s="38">
        <v>0.98181818181818192</v>
      </c>
      <c r="K1391" s="35">
        <v>4</v>
      </c>
      <c r="L1391" s="38">
        <f t="shared" si="21"/>
        <v>3.9272727272727277</v>
      </c>
      <c r="M1391" s="35" t="s">
        <v>11</v>
      </c>
      <c r="N1391" s="38"/>
      <c r="O1391" s="35" t="s">
        <v>12</v>
      </c>
    </row>
    <row r="1392" spans="1:15" x14ac:dyDescent="0.25">
      <c r="A1392" s="35" t="s">
        <v>1350</v>
      </c>
      <c r="B1392" s="35" t="s">
        <v>3646</v>
      </c>
      <c r="C1392" s="35">
        <v>2025</v>
      </c>
      <c r="D1392" s="36">
        <v>45742</v>
      </c>
      <c r="E1392" s="37" t="s">
        <v>1282</v>
      </c>
      <c r="F1392" s="37" t="s">
        <v>4474</v>
      </c>
      <c r="G1392" s="37" t="s">
        <v>4024</v>
      </c>
      <c r="H1392" s="35" t="s">
        <v>3415</v>
      </c>
      <c r="I1392" s="35" t="s">
        <v>3453</v>
      </c>
      <c r="J1392" s="38">
        <v>1.0909090909090911</v>
      </c>
      <c r="K1392" s="35">
        <v>4</v>
      </c>
      <c r="L1392" s="38">
        <f t="shared" si="21"/>
        <v>4.3636363636363642</v>
      </c>
      <c r="M1392" s="35" t="s">
        <v>11</v>
      </c>
      <c r="N1392" s="38"/>
      <c r="O1392" s="35" t="s">
        <v>12</v>
      </c>
    </row>
    <row r="1393" spans="1:15" x14ac:dyDescent="0.25">
      <c r="A1393" s="35" t="s">
        <v>1350</v>
      </c>
      <c r="B1393" s="35" t="s">
        <v>3646</v>
      </c>
      <c r="C1393" s="35">
        <v>2025</v>
      </c>
      <c r="D1393" s="36">
        <v>45742</v>
      </c>
      <c r="E1393" s="37" t="s">
        <v>1282</v>
      </c>
      <c r="F1393" s="37" t="s">
        <v>4475</v>
      </c>
      <c r="G1393" s="37" t="s">
        <v>4093</v>
      </c>
      <c r="H1393" s="35" t="s">
        <v>3415</v>
      </c>
      <c r="I1393" s="35" t="s">
        <v>3416</v>
      </c>
      <c r="J1393" s="38">
        <v>3.2727272727272729</v>
      </c>
      <c r="K1393" s="35">
        <v>4</v>
      </c>
      <c r="L1393" s="38">
        <f t="shared" si="21"/>
        <v>13.090909090909092</v>
      </c>
      <c r="M1393" s="35" t="s">
        <v>11</v>
      </c>
      <c r="N1393" s="38"/>
      <c r="O1393" s="35" t="s">
        <v>12</v>
      </c>
    </row>
    <row r="1394" spans="1:15" x14ac:dyDescent="0.25">
      <c r="A1394" s="35" t="s">
        <v>1350</v>
      </c>
      <c r="B1394" s="35" t="s">
        <v>3646</v>
      </c>
      <c r="C1394" s="35">
        <v>2025</v>
      </c>
      <c r="D1394" s="36">
        <v>45742</v>
      </c>
      <c r="E1394" s="37" t="s">
        <v>1282</v>
      </c>
      <c r="F1394" s="37" t="s">
        <v>4476</v>
      </c>
      <c r="G1394" s="37" t="s">
        <v>3905</v>
      </c>
      <c r="H1394" s="35" t="s">
        <v>3415</v>
      </c>
      <c r="I1394" s="35" t="s">
        <v>3453</v>
      </c>
      <c r="J1394" s="38">
        <v>1.363636363636364</v>
      </c>
      <c r="K1394" s="35">
        <v>4</v>
      </c>
      <c r="L1394" s="38">
        <f t="shared" si="21"/>
        <v>5.4545454545454559</v>
      </c>
      <c r="M1394" s="35" t="s">
        <v>11</v>
      </c>
      <c r="N1394" s="38"/>
      <c r="O1394" s="35" t="s">
        <v>12</v>
      </c>
    </row>
    <row r="1395" spans="1:15" x14ac:dyDescent="0.25">
      <c r="A1395" s="35" t="s">
        <v>1352</v>
      </c>
      <c r="B1395" s="35" t="s">
        <v>3646</v>
      </c>
      <c r="C1395" s="35">
        <v>2025</v>
      </c>
      <c r="D1395" s="36">
        <v>45742</v>
      </c>
      <c r="E1395" s="37" t="s">
        <v>1282</v>
      </c>
      <c r="F1395" s="37" t="s">
        <v>4477</v>
      </c>
      <c r="G1395" s="37" t="s">
        <v>3770</v>
      </c>
      <c r="H1395" s="35" t="s">
        <v>3419</v>
      </c>
      <c r="I1395" s="35" t="s">
        <v>3453</v>
      </c>
      <c r="J1395" s="38">
        <v>16.36363636363636</v>
      </c>
      <c r="K1395" s="35">
        <v>1</v>
      </c>
      <c r="L1395" s="38">
        <f t="shared" si="21"/>
        <v>16.36363636363636</v>
      </c>
      <c r="M1395" s="35" t="s">
        <v>11</v>
      </c>
      <c r="N1395" s="38"/>
      <c r="O1395" s="35" t="s">
        <v>12</v>
      </c>
    </row>
    <row r="1396" spans="1:15" x14ac:dyDescent="0.25">
      <c r="A1396" s="35" t="s">
        <v>1352</v>
      </c>
      <c r="B1396" s="35" t="s">
        <v>3646</v>
      </c>
      <c r="C1396" s="35">
        <v>2025</v>
      </c>
      <c r="D1396" s="36">
        <v>45742</v>
      </c>
      <c r="E1396" s="37" t="s">
        <v>1282</v>
      </c>
      <c r="F1396" s="37" t="s">
        <v>4478</v>
      </c>
      <c r="G1396" s="37" t="s">
        <v>3889</v>
      </c>
      <c r="H1396" s="35" t="s">
        <v>3419</v>
      </c>
      <c r="I1396" s="35" t="s">
        <v>3453</v>
      </c>
      <c r="J1396" s="38">
        <v>10.90909090909091</v>
      </c>
      <c r="K1396" s="35">
        <v>2</v>
      </c>
      <c r="L1396" s="38">
        <f t="shared" si="21"/>
        <v>21.81818181818182</v>
      </c>
      <c r="M1396" s="35" t="s">
        <v>11</v>
      </c>
      <c r="N1396" s="38"/>
      <c r="O1396" s="35" t="s">
        <v>12</v>
      </c>
    </row>
    <row r="1397" spans="1:15" ht="30" x14ac:dyDescent="0.25">
      <c r="A1397" s="35" t="s">
        <v>1354</v>
      </c>
      <c r="B1397" s="35" t="s">
        <v>3646</v>
      </c>
      <c r="C1397" s="35">
        <v>2025</v>
      </c>
      <c r="D1397" s="36">
        <v>45741</v>
      </c>
      <c r="E1397" s="37" t="s">
        <v>1282</v>
      </c>
      <c r="F1397" s="37" t="s">
        <v>4481</v>
      </c>
      <c r="G1397" s="37" t="s">
        <v>3520</v>
      </c>
      <c r="H1397" s="35" t="s">
        <v>3415</v>
      </c>
      <c r="I1397" s="35" t="s">
        <v>3453</v>
      </c>
      <c r="J1397" s="38">
        <v>1.636363636363636</v>
      </c>
      <c r="K1397" s="35">
        <v>4</v>
      </c>
      <c r="L1397" s="38">
        <f t="shared" si="21"/>
        <v>6.5454545454545441</v>
      </c>
      <c r="M1397" s="35" t="s">
        <v>11</v>
      </c>
      <c r="N1397" s="38"/>
      <c r="O1397" s="35" t="s">
        <v>12</v>
      </c>
    </row>
    <row r="1398" spans="1:15" x14ac:dyDescent="0.25">
      <c r="A1398" s="35" t="s">
        <v>1354</v>
      </c>
      <c r="B1398" s="35" t="s">
        <v>3646</v>
      </c>
      <c r="C1398" s="35">
        <v>2025</v>
      </c>
      <c r="D1398" s="36">
        <v>45741</v>
      </c>
      <c r="E1398" s="37" t="s">
        <v>1282</v>
      </c>
      <c r="F1398" s="37" t="s">
        <v>4020</v>
      </c>
      <c r="G1398" s="37" t="s">
        <v>3687</v>
      </c>
      <c r="H1398" s="35" t="s">
        <v>3415</v>
      </c>
      <c r="I1398" s="35" t="s">
        <v>3453</v>
      </c>
      <c r="J1398" s="38">
        <v>0.98181818181818192</v>
      </c>
      <c r="K1398" s="35">
        <v>4</v>
      </c>
      <c r="L1398" s="38">
        <f t="shared" si="21"/>
        <v>3.9272727272727277</v>
      </c>
      <c r="M1398" s="35" t="s">
        <v>11</v>
      </c>
      <c r="N1398" s="38"/>
      <c r="O1398" s="35" t="s">
        <v>12</v>
      </c>
    </row>
    <row r="1399" spans="1:15" x14ac:dyDescent="0.25">
      <c r="A1399" s="35" t="s">
        <v>1354</v>
      </c>
      <c r="B1399" s="35" t="s">
        <v>3646</v>
      </c>
      <c r="C1399" s="35">
        <v>2025</v>
      </c>
      <c r="D1399" s="36">
        <v>45741</v>
      </c>
      <c r="E1399" s="37" t="s">
        <v>1282</v>
      </c>
      <c r="F1399" s="37" t="s">
        <v>4482</v>
      </c>
      <c r="G1399" s="37" t="s">
        <v>3733</v>
      </c>
      <c r="H1399" s="35" t="s">
        <v>3415</v>
      </c>
      <c r="I1399" s="35" t="s">
        <v>3453</v>
      </c>
      <c r="J1399" s="38">
        <v>0.81818181818181823</v>
      </c>
      <c r="K1399" s="35">
        <v>8</v>
      </c>
      <c r="L1399" s="38">
        <f t="shared" si="21"/>
        <v>6.5454545454545459</v>
      </c>
      <c r="M1399" s="35" t="s">
        <v>11</v>
      </c>
      <c r="N1399" s="38"/>
      <c r="O1399" s="35" t="s">
        <v>12</v>
      </c>
    </row>
    <row r="1400" spans="1:15" x14ac:dyDescent="0.25">
      <c r="A1400" s="35" t="s">
        <v>1354</v>
      </c>
      <c r="B1400" s="35" t="s">
        <v>3646</v>
      </c>
      <c r="C1400" s="35">
        <v>2025</v>
      </c>
      <c r="D1400" s="36">
        <v>45741</v>
      </c>
      <c r="E1400" s="37" t="s">
        <v>1282</v>
      </c>
      <c r="F1400" s="37" t="s">
        <v>4482</v>
      </c>
      <c r="G1400" s="37" t="s">
        <v>4012</v>
      </c>
      <c r="H1400" s="35" t="s">
        <v>3415</v>
      </c>
      <c r="I1400" s="35" t="s">
        <v>3453</v>
      </c>
      <c r="J1400" s="38">
        <v>0.81818181818181823</v>
      </c>
      <c r="K1400" s="35">
        <v>4</v>
      </c>
      <c r="L1400" s="38">
        <f t="shared" si="21"/>
        <v>3.2727272727272729</v>
      </c>
      <c r="M1400" s="35" t="s">
        <v>11</v>
      </c>
      <c r="N1400" s="38"/>
      <c r="O1400" s="35" t="s">
        <v>12</v>
      </c>
    </row>
    <row r="1401" spans="1:15" x14ac:dyDescent="0.25">
      <c r="A1401" s="35" t="s">
        <v>1354</v>
      </c>
      <c r="B1401" s="35" t="s">
        <v>3646</v>
      </c>
      <c r="C1401" s="35">
        <v>2025</v>
      </c>
      <c r="D1401" s="36">
        <v>45741</v>
      </c>
      <c r="E1401" s="37" t="s">
        <v>1282</v>
      </c>
      <c r="F1401" s="37" t="s">
        <v>4483</v>
      </c>
      <c r="G1401" s="37" t="s">
        <v>4362</v>
      </c>
      <c r="H1401" s="35" t="s">
        <v>3415</v>
      </c>
      <c r="I1401" s="35" t="s">
        <v>3453</v>
      </c>
      <c r="J1401" s="38">
        <v>1.5272727272727269</v>
      </c>
      <c r="K1401" s="35">
        <v>8</v>
      </c>
      <c r="L1401" s="38">
        <f t="shared" si="21"/>
        <v>12.218181818181815</v>
      </c>
      <c r="M1401" s="35" t="s">
        <v>11</v>
      </c>
      <c r="N1401" s="38"/>
      <c r="O1401" s="35" t="s">
        <v>12</v>
      </c>
    </row>
    <row r="1402" spans="1:15" x14ac:dyDescent="0.25">
      <c r="A1402" s="35" t="s">
        <v>1357</v>
      </c>
      <c r="B1402" s="35" t="s">
        <v>3646</v>
      </c>
      <c r="C1402" s="35">
        <v>2025</v>
      </c>
      <c r="D1402" s="36">
        <v>45741</v>
      </c>
      <c r="E1402" s="37" t="s">
        <v>1282</v>
      </c>
      <c r="F1402" s="37" t="s">
        <v>4484</v>
      </c>
      <c r="G1402" s="37" t="s">
        <v>3666</v>
      </c>
      <c r="H1402" s="35" t="s">
        <v>3419</v>
      </c>
      <c r="I1402" s="35" t="s">
        <v>3453</v>
      </c>
      <c r="J1402" s="38">
        <v>6.5454545454545459</v>
      </c>
      <c r="K1402" s="35">
        <v>1</v>
      </c>
      <c r="L1402" s="38">
        <f t="shared" si="21"/>
        <v>6.5454545454545459</v>
      </c>
      <c r="M1402" s="35" t="s">
        <v>11</v>
      </c>
      <c r="N1402" s="38"/>
      <c r="O1402" s="35" t="s">
        <v>12</v>
      </c>
    </row>
    <row r="1403" spans="1:15" x14ac:dyDescent="0.25">
      <c r="A1403" s="35" t="s">
        <v>1357</v>
      </c>
      <c r="B1403" s="35" t="s">
        <v>3646</v>
      </c>
      <c r="C1403" s="35">
        <v>2025</v>
      </c>
      <c r="D1403" s="36">
        <v>45741</v>
      </c>
      <c r="E1403" s="37" t="s">
        <v>1282</v>
      </c>
      <c r="F1403" s="37" t="s">
        <v>4485</v>
      </c>
      <c r="G1403" s="37" t="s">
        <v>3666</v>
      </c>
      <c r="H1403" s="35" t="s">
        <v>3419</v>
      </c>
      <c r="I1403" s="35" t="s">
        <v>3453</v>
      </c>
      <c r="J1403" s="38">
        <v>0.98181818181818192</v>
      </c>
      <c r="K1403" s="35">
        <v>1</v>
      </c>
      <c r="L1403" s="38">
        <f t="shared" si="21"/>
        <v>0.98181818181818192</v>
      </c>
      <c r="M1403" s="35" t="s">
        <v>11</v>
      </c>
      <c r="N1403" s="38"/>
      <c r="O1403" s="35" t="s">
        <v>12</v>
      </c>
    </row>
    <row r="1404" spans="1:15" x14ac:dyDescent="0.25">
      <c r="A1404" s="35" t="s">
        <v>1357</v>
      </c>
      <c r="B1404" s="35" t="s">
        <v>3646</v>
      </c>
      <c r="C1404" s="35">
        <v>2025</v>
      </c>
      <c r="D1404" s="36">
        <v>45741</v>
      </c>
      <c r="E1404" s="37" t="s">
        <v>1282</v>
      </c>
      <c r="F1404" s="37" t="s">
        <v>4486</v>
      </c>
      <c r="G1404" s="37" t="s">
        <v>3666</v>
      </c>
      <c r="H1404" s="35" t="s">
        <v>3419</v>
      </c>
      <c r="I1404" s="35" t="s">
        <v>3453</v>
      </c>
      <c r="J1404" s="38">
        <v>0.81818181818181823</v>
      </c>
      <c r="K1404" s="35">
        <v>1</v>
      </c>
      <c r="L1404" s="38">
        <f t="shared" si="21"/>
        <v>0.81818181818181823</v>
      </c>
      <c r="M1404" s="35" t="s">
        <v>11</v>
      </c>
      <c r="N1404" s="38"/>
      <c r="O1404" s="35" t="s">
        <v>12</v>
      </c>
    </row>
    <row r="1405" spans="1:15" x14ac:dyDescent="0.25">
      <c r="A1405" s="35" t="s">
        <v>1357</v>
      </c>
      <c r="B1405" s="35" t="s">
        <v>3646</v>
      </c>
      <c r="C1405" s="35">
        <v>2025</v>
      </c>
      <c r="D1405" s="36">
        <v>45741</v>
      </c>
      <c r="E1405" s="37" t="s">
        <v>1282</v>
      </c>
      <c r="F1405" s="37" t="s">
        <v>4487</v>
      </c>
      <c r="G1405" s="37" t="s">
        <v>3666</v>
      </c>
      <c r="H1405" s="35" t="s">
        <v>3419</v>
      </c>
      <c r="I1405" s="35" t="s">
        <v>3453</v>
      </c>
      <c r="J1405" s="38">
        <v>0.16363636363636361</v>
      </c>
      <c r="K1405" s="35">
        <v>1</v>
      </c>
      <c r="L1405" s="38">
        <f t="shared" si="21"/>
        <v>0.16363636363636361</v>
      </c>
      <c r="M1405" s="35" t="s">
        <v>11</v>
      </c>
      <c r="N1405" s="38"/>
      <c r="O1405" s="35" t="s">
        <v>12</v>
      </c>
    </row>
    <row r="1406" spans="1:15" x14ac:dyDescent="0.25">
      <c r="A1406" s="35" t="s">
        <v>1357</v>
      </c>
      <c r="B1406" s="35" t="s">
        <v>3646</v>
      </c>
      <c r="C1406" s="35">
        <v>2025</v>
      </c>
      <c r="D1406" s="36">
        <v>45741</v>
      </c>
      <c r="E1406" s="37" t="s">
        <v>1282</v>
      </c>
      <c r="F1406" s="37" t="s">
        <v>4488</v>
      </c>
      <c r="G1406" s="37" t="s">
        <v>3666</v>
      </c>
      <c r="H1406" s="35" t="s">
        <v>3419</v>
      </c>
      <c r="I1406" s="35" t="s">
        <v>3453</v>
      </c>
      <c r="J1406" s="38">
        <v>0.27272727272727282</v>
      </c>
      <c r="K1406" s="35">
        <v>1</v>
      </c>
      <c r="L1406" s="38">
        <f t="shared" si="21"/>
        <v>0.27272727272727282</v>
      </c>
      <c r="M1406" s="35" t="s">
        <v>11</v>
      </c>
      <c r="N1406" s="38"/>
      <c r="O1406" s="35" t="s">
        <v>12</v>
      </c>
    </row>
    <row r="1407" spans="1:15" x14ac:dyDescent="0.25">
      <c r="A1407" s="35" t="s">
        <v>1357</v>
      </c>
      <c r="B1407" s="35" t="s">
        <v>3646</v>
      </c>
      <c r="C1407" s="35">
        <v>2025</v>
      </c>
      <c r="D1407" s="36">
        <v>45741</v>
      </c>
      <c r="E1407" s="37" t="s">
        <v>1282</v>
      </c>
      <c r="F1407" s="37" t="s">
        <v>4489</v>
      </c>
      <c r="G1407" s="37" t="s">
        <v>3666</v>
      </c>
      <c r="H1407" s="35" t="s">
        <v>3419</v>
      </c>
      <c r="I1407" s="35" t="s">
        <v>3453</v>
      </c>
      <c r="J1407" s="38">
        <v>4.3636363636363642</v>
      </c>
      <c r="K1407" s="35">
        <v>1</v>
      </c>
      <c r="L1407" s="38">
        <f t="shared" si="21"/>
        <v>4.3636363636363642</v>
      </c>
      <c r="M1407" s="35" t="s">
        <v>11</v>
      </c>
      <c r="N1407" s="38"/>
      <c r="O1407" s="35" t="s">
        <v>12</v>
      </c>
    </row>
    <row r="1408" spans="1:15" x14ac:dyDescent="0.25">
      <c r="A1408" s="35" t="s">
        <v>1357</v>
      </c>
      <c r="B1408" s="35" t="s">
        <v>3646</v>
      </c>
      <c r="C1408" s="35">
        <v>2025</v>
      </c>
      <c r="D1408" s="36">
        <v>45741</v>
      </c>
      <c r="E1408" s="37" t="s">
        <v>1282</v>
      </c>
      <c r="F1408" s="37" t="s">
        <v>4490</v>
      </c>
      <c r="G1408" s="37" t="s">
        <v>3666</v>
      </c>
      <c r="H1408" s="35" t="s">
        <v>3419</v>
      </c>
      <c r="I1408" s="35" t="s">
        <v>3453</v>
      </c>
      <c r="J1408" s="38">
        <v>0.27272727272727282</v>
      </c>
      <c r="K1408" s="35">
        <v>1</v>
      </c>
      <c r="L1408" s="38">
        <f t="shared" si="21"/>
        <v>0.27272727272727282</v>
      </c>
      <c r="M1408" s="35" t="s">
        <v>11</v>
      </c>
      <c r="N1408" s="38"/>
      <c r="O1408" s="35" t="s">
        <v>12</v>
      </c>
    </row>
    <row r="1409" spans="1:15" x14ac:dyDescent="0.25">
      <c r="A1409" s="35" t="s">
        <v>1357</v>
      </c>
      <c r="B1409" s="35" t="s">
        <v>3646</v>
      </c>
      <c r="C1409" s="35">
        <v>2025</v>
      </c>
      <c r="D1409" s="36">
        <v>45741</v>
      </c>
      <c r="E1409" s="37" t="s">
        <v>1282</v>
      </c>
      <c r="F1409" s="37" t="s">
        <v>3665</v>
      </c>
      <c r="G1409" s="37" t="s">
        <v>3666</v>
      </c>
      <c r="H1409" s="35" t="s">
        <v>3419</v>
      </c>
      <c r="I1409" s="35" t="s">
        <v>3453</v>
      </c>
      <c r="J1409" s="38">
        <v>4.3636363636363642</v>
      </c>
      <c r="K1409" s="35">
        <v>1</v>
      </c>
      <c r="L1409" s="38">
        <f t="shared" si="21"/>
        <v>4.3636363636363642</v>
      </c>
      <c r="M1409" s="35" t="s">
        <v>11</v>
      </c>
      <c r="N1409" s="38"/>
      <c r="O1409" s="35" t="s">
        <v>12</v>
      </c>
    </row>
    <row r="1410" spans="1:15" x14ac:dyDescent="0.25">
      <c r="A1410" s="35" t="s">
        <v>1357</v>
      </c>
      <c r="B1410" s="35" t="s">
        <v>3646</v>
      </c>
      <c r="C1410" s="35">
        <v>2025</v>
      </c>
      <c r="D1410" s="36">
        <v>45741</v>
      </c>
      <c r="E1410" s="37" t="s">
        <v>1282</v>
      </c>
      <c r="F1410" s="37" t="s">
        <v>4491</v>
      </c>
      <c r="G1410" s="37" t="s">
        <v>3666</v>
      </c>
      <c r="H1410" s="35" t="s">
        <v>3419</v>
      </c>
      <c r="I1410" s="35" t="s">
        <v>3453</v>
      </c>
      <c r="J1410" s="38">
        <v>0.16363636363636361</v>
      </c>
      <c r="K1410" s="35">
        <v>1</v>
      </c>
      <c r="L1410" s="38">
        <f t="shared" ref="L1410:L1473" si="22">J1410*K1410</f>
        <v>0.16363636363636361</v>
      </c>
      <c r="M1410" s="35" t="s">
        <v>11</v>
      </c>
      <c r="N1410" s="38"/>
      <c r="O1410" s="35" t="s">
        <v>12</v>
      </c>
    </row>
    <row r="1411" spans="1:15" x14ac:dyDescent="0.25">
      <c r="A1411" s="35" t="s">
        <v>1357</v>
      </c>
      <c r="B1411" s="35" t="s">
        <v>3646</v>
      </c>
      <c r="C1411" s="35">
        <v>2025</v>
      </c>
      <c r="D1411" s="36">
        <v>45741</v>
      </c>
      <c r="E1411" s="37" t="s">
        <v>1282</v>
      </c>
      <c r="F1411" s="37" t="s">
        <v>4492</v>
      </c>
      <c r="G1411" s="37" t="s">
        <v>3666</v>
      </c>
      <c r="H1411" s="35" t="s">
        <v>3419</v>
      </c>
      <c r="I1411" s="35" t="s">
        <v>3453</v>
      </c>
      <c r="J1411" s="38">
        <v>0.16363636363636361</v>
      </c>
      <c r="K1411" s="35">
        <v>1</v>
      </c>
      <c r="L1411" s="38">
        <f t="shared" si="22"/>
        <v>0.16363636363636361</v>
      </c>
      <c r="M1411" s="35" t="s">
        <v>11</v>
      </c>
      <c r="N1411" s="38"/>
      <c r="O1411" s="35" t="s">
        <v>12</v>
      </c>
    </row>
    <row r="1412" spans="1:15" x14ac:dyDescent="0.25">
      <c r="A1412" s="35" t="s">
        <v>1357</v>
      </c>
      <c r="B1412" s="35" t="s">
        <v>3646</v>
      </c>
      <c r="C1412" s="35">
        <v>2025</v>
      </c>
      <c r="D1412" s="36">
        <v>45741</v>
      </c>
      <c r="E1412" s="37" t="s">
        <v>1282</v>
      </c>
      <c r="F1412" s="37" t="s">
        <v>4493</v>
      </c>
      <c r="G1412" s="37" t="s">
        <v>3666</v>
      </c>
      <c r="H1412" s="35" t="s">
        <v>3419</v>
      </c>
      <c r="I1412" s="35" t="s">
        <v>3453</v>
      </c>
      <c r="J1412" s="38">
        <v>0.4363636363636364</v>
      </c>
      <c r="K1412" s="35">
        <v>1</v>
      </c>
      <c r="L1412" s="38">
        <f t="shared" si="22"/>
        <v>0.4363636363636364</v>
      </c>
      <c r="M1412" s="35" t="s">
        <v>11</v>
      </c>
      <c r="N1412" s="38"/>
      <c r="O1412" s="35" t="s">
        <v>12</v>
      </c>
    </row>
    <row r="1413" spans="1:15" x14ac:dyDescent="0.25">
      <c r="A1413" s="35" t="s">
        <v>1357</v>
      </c>
      <c r="B1413" s="35" t="s">
        <v>3646</v>
      </c>
      <c r="C1413" s="35">
        <v>2025</v>
      </c>
      <c r="D1413" s="36">
        <v>45741</v>
      </c>
      <c r="E1413" s="37" t="s">
        <v>1282</v>
      </c>
      <c r="F1413" s="37" t="s">
        <v>4494</v>
      </c>
      <c r="G1413" s="37" t="s">
        <v>3666</v>
      </c>
      <c r="H1413" s="35" t="s">
        <v>3419</v>
      </c>
      <c r="I1413" s="35" t="s">
        <v>3453</v>
      </c>
      <c r="J1413" s="38">
        <v>0.16363636363636361</v>
      </c>
      <c r="K1413" s="35">
        <v>1</v>
      </c>
      <c r="L1413" s="38">
        <f t="shared" si="22"/>
        <v>0.16363636363636361</v>
      </c>
      <c r="M1413" s="35" t="s">
        <v>11</v>
      </c>
      <c r="N1413" s="38"/>
      <c r="O1413" s="35" t="s">
        <v>12</v>
      </c>
    </row>
    <row r="1414" spans="1:15" x14ac:dyDescent="0.25">
      <c r="A1414" s="35" t="s">
        <v>1357</v>
      </c>
      <c r="B1414" s="35" t="s">
        <v>3646</v>
      </c>
      <c r="C1414" s="35">
        <v>2025</v>
      </c>
      <c r="D1414" s="36">
        <v>45741</v>
      </c>
      <c r="E1414" s="37" t="s">
        <v>1282</v>
      </c>
      <c r="F1414" s="37" t="s">
        <v>4495</v>
      </c>
      <c r="G1414" s="37" t="s">
        <v>3666</v>
      </c>
      <c r="H1414" s="35" t="s">
        <v>3419</v>
      </c>
      <c r="I1414" s="35" t="s">
        <v>3453</v>
      </c>
      <c r="J1414" s="38">
        <v>0.27272727272727282</v>
      </c>
      <c r="K1414" s="35">
        <v>1</v>
      </c>
      <c r="L1414" s="38">
        <f t="shared" si="22"/>
        <v>0.27272727272727282</v>
      </c>
      <c r="M1414" s="35" t="s">
        <v>11</v>
      </c>
      <c r="N1414" s="38"/>
      <c r="O1414" s="35" t="s">
        <v>12</v>
      </c>
    </row>
    <row r="1415" spans="1:15" x14ac:dyDescent="0.25">
      <c r="A1415" s="35" t="s">
        <v>1357</v>
      </c>
      <c r="B1415" s="35" t="s">
        <v>3646</v>
      </c>
      <c r="C1415" s="35">
        <v>2025</v>
      </c>
      <c r="D1415" s="36">
        <v>45741</v>
      </c>
      <c r="E1415" s="37" t="s">
        <v>1282</v>
      </c>
      <c r="F1415" s="37" t="s">
        <v>4496</v>
      </c>
      <c r="G1415" s="37" t="s">
        <v>3666</v>
      </c>
      <c r="H1415" s="35" t="s">
        <v>3419</v>
      </c>
      <c r="I1415" s="35" t="s">
        <v>3453</v>
      </c>
      <c r="J1415" s="38">
        <v>0.27272727272727282</v>
      </c>
      <c r="K1415" s="35">
        <v>1</v>
      </c>
      <c r="L1415" s="38">
        <f t="shared" si="22"/>
        <v>0.27272727272727282</v>
      </c>
      <c r="M1415" s="35" t="s">
        <v>11</v>
      </c>
      <c r="N1415" s="38"/>
      <c r="O1415" s="35" t="s">
        <v>12</v>
      </c>
    </row>
    <row r="1416" spans="1:15" x14ac:dyDescent="0.25">
      <c r="A1416" s="35" t="s">
        <v>1357</v>
      </c>
      <c r="B1416" s="35" t="s">
        <v>3646</v>
      </c>
      <c r="C1416" s="35">
        <v>2025</v>
      </c>
      <c r="D1416" s="36">
        <v>45741</v>
      </c>
      <c r="E1416" s="37" t="s">
        <v>1282</v>
      </c>
      <c r="F1416" s="37" t="s">
        <v>4497</v>
      </c>
      <c r="G1416" s="37" t="s">
        <v>3666</v>
      </c>
      <c r="H1416" s="35" t="s">
        <v>3419</v>
      </c>
      <c r="I1416" s="35" t="s">
        <v>3453</v>
      </c>
      <c r="J1416" s="38">
        <v>0.16363636363636361</v>
      </c>
      <c r="K1416" s="35">
        <v>1</v>
      </c>
      <c r="L1416" s="38">
        <f t="shared" si="22"/>
        <v>0.16363636363636361</v>
      </c>
      <c r="M1416" s="35" t="s">
        <v>11</v>
      </c>
      <c r="N1416" s="38"/>
      <c r="O1416" s="35" t="s">
        <v>12</v>
      </c>
    </row>
    <row r="1417" spans="1:15" x14ac:dyDescent="0.25">
      <c r="A1417" s="35" t="s">
        <v>1357</v>
      </c>
      <c r="B1417" s="35" t="s">
        <v>3646</v>
      </c>
      <c r="C1417" s="35">
        <v>2025</v>
      </c>
      <c r="D1417" s="36">
        <v>45741</v>
      </c>
      <c r="E1417" s="37" t="s">
        <v>1282</v>
      </c>
      <c r="F1417" s="37" t="s">
        <v>4498</v>
      </c>
      <c r="G1417" s="37" t="s">
        <v>3666</v>
      </c>
      <c r="H1417" s="35" t="s">
        <v>3419</v>
      </c>
      <c r="I1417" s="35" t="s">
        <v>3453</v>
      </c>
      <c r="J1417" s="38">
        <v>0.16363636363636361</v>
      </c>
      <c r="K1417" s="35">
        <v>1</v>
      </c>
      <c r="L1417" s="38">
        <f t="shared" si="22"/>
        <v>0.16363636363636361</v>
      </c>
      <c r="M1417" s="35" t="s">
        <v>11</v>
      </c>
      <c r="N1417" s="38"/>
      <c r="O1417" s="35" t="s">
        <v>12</v>
      </c>
    </row>
    <row r="1418" spans="1:15" x14ac:dyDescent="0.25">
      <c r="A1418" s="35" t="s">
        <v>1357</v>
      </c>
      <c r="B1418" s="35" t="s">
        <v>3646</v>
      </c>
      <c r="C1418" s="35">
        <v>2025</v>
      </c>
      <c r="D1418" s="36">
        <v>45741</v>
      </c>
      <c r="E1418" s="37" t="s">
        <v>1282</v>
      </c>
      <c r="F1418" s="37" t="s">
        <v>4499</v>
      </c>
      <c r="G1418" s="37" t="s">
        <v>3666</v>
      </c>
      <c r="H1418" s="35" t="s">
        <v>3419</v>
      </c>
      <c r="I1418" s="35" t="s">
        <v>3453</v>
      </c>
      <c r="J1418" s="38">
        <v>0.98181818181818192</v>
      </c>
      <c r="K1418" s="35">
        <v>1</v>
      </c>
      <c r="L1418" s="38">
        <f t="shared" si="22"/>
        <v>0.98181818181818192</v>
      </c>
      <c r="M1418" s="35" t="s">
        <v>11</v>
      </c>
      <c r="N1418" s="38"/>
      <c r="O1418" s="35" t="s">
        <v>12</v>
      </c>
    </row>
    <row r="1419" spans="1:15" x14ac:dyDescent="0.25">
      <c r="A1419" s="35" t="s">
        <v>1357</v>
      </c>
      <c r="B1419" s="35" t="s">
        <v>3646</v>
      </c>
      <c r="C1419" s="35">
        <v>2025</v>
      </c>
      <c r="D1419" s="36">
        <v>45741</v>
      </c>
      <c r="E1419" s="37" t="s">
        <v>1282</v>
      </c>
      <c r="F1419" s="37" t="s">
        <v>4500</v>
      </c>
      <c r="G1419" s="37" t="s">
        <v>3666</v>
      </c>
      <c r="H1419" s="35" t="s">
        <v>3419</v>
      </c>
      <c r="I1419" s="35" t="s">
        <v>3453</v>
      </c>
      <c r="J1419" s="38">
        <v>0.54545454545454553</v>
      </c>
      <c r="K1419" s="35">
        <v>1</v>
      </c>
      <c r="L1419" s="38">
        <f t="shared" si="22"/>
        <v>0.54545454545454553</v>
      </c>
      <c r="M1419" s="35" t="s">
        <v>11</v>
      </c>
      <c r="N1419" s="38"/>
      <c r="O1419" s="35" t="s">
        <v>12</v>
      </c>
    </row>
    <row r="1420" spans="1:15" x14ac:dyDescent="0.25">
      <c r="A1420" s="35" t="s">
        <v>1357</v>
      </c>
      <c r="B1420" s="35" t="s">
        <v>3646</v>
      </c>
      <c r="C1420" s="35">
        <v>2025</v>
      </c>
      <c r="D1420" s="36">
        <v>45741</v>
      </c>
      <c r="E1420" s="37" t="s">
        <v>1282</v>
      </c>
      <c r="F1420" s="37" t="s">
        <v>4501</v>
      </c>
      <c r="G1420" s="37" t="s">
        <v>3666</v>
      </c>
      <c r="H1420" s="35" t="s">
        <v>3419</v>
      </c>
      <c r="I1420" s="35" t="s">
        <v>3453</v>
      </c>
      <c r="J1420" s="38">
        <v>0.16363636363636361</v>
      </c>
      <c r="K1420" s="35">
        <v>1</v>
      </c>
      <c r="L1420" s="38">
        <f t="shared" si="22"/>
        <v>0.16363636363636361</v>
      </c>
      <c r="M1420" s="35" t="s">
        <v>11</v>
      </c>
      <c r="N1420" s="38"/>
      <c r="O1420" s="35" t="s">
        <v>12</v>
      </c>
    </row>
    <row r="1421" spans="1:15" x14ac:dyDescent="0.25">
      <c r="A1421" s="35" t="s">
        <v>1357</v>
      </c>
      <c r="B1421" s="35" t="s">
        <v>3646</v>
      </c>
      <c r="C1421" s="35">
        <v>2025</v>
      </c>
      <c r="D1421" s="36">
        <v>45741</v>
      </c>
      <c r="E1421" s="37" t="s">
        <v>1282</v>
      </c>
      <c r="F1421" s="37" t="s">
        <v>4502</v>
      </c>
      <c r="G1421" s="37" t="s">
        <v>3666</v>
      </c>
      <c r="H1421" s="35" t="s">
        <v>3419</v>
      </c>
      <c r="I1421" s="35" t="s">
        <v>3453</v>
      </c>
      <c r="J1421" s="38">
        <v>0.98181818181818192</v>
      </c>
      <c r="K1421" s="35">
        <v>1</v>
      </c>
      <c r="L1421" s="38">
        <f t="shared" si="22"/>
        <v>0.98181818181818192</v>
      </c>
      <c r="M1421" s="35" t="s">
        <v>11</v>
      </c>
      <c r="N1421" s="38"/>
      <c r="O1421" s="35" t="s">
        <v>12</v>
      </c>
    </row>
    <row r="1422" spans="1:15" x14ac:dyDescent="0.25">
      <c r="A1422" s="35" t="s">
        <v>1357</v>
      </c>
      <c r="B1422" s="35" t="s">
        <v>3646</v>
      </c>
      <c r="C1422" s="35">
        <v>2025</v>
      </c>
      <c r="D1422" s="36">
        <v>45741</v>
      </c>
      <c r="E1422" s="37" t="s">
        <v>1282</v>
      </c>
      <c r="F1422" s="37" t="s">
        <v>4503</v>
      </c>
      <c r="G1422" s="37" t="s">
        <v>3666</v>
      </c>
      <c r="H1422" s="35" t="s">
        <v>3419</v>
      </c>
      <c r="I1422" s="35" t="s">
        <v>3453</v>
      </c>
      <c r="J1422" s="38">
        <v>1.0909090909090911</v>
      </c>
      <c r="K1422" s="35">
        <v>1</v>
      </c>
      <c r="L1422" s="38">
        <f t="shared" si="22"/>
        <v>1.0909090909090911</v>
      </c>
      <c r="M1422" s="35" t="s">
        <v>11</v>
      </c>
      <c r="N1422" s="38"/>
      <c r="O1422" s="35" t="s">
        <v>12</v>
      </c>
    </row>
    <row r="1423" spans="1:15" x14ac:dyDescent="0.25">
      <c r="A1423" s="35" t="s">
        <v>1357</v>
      </c>
      <c r="B1423" s="35" t="s">
        <v>3646</v>
      </c>
      <c r="C1423" s="35">
        <v>2025</v>
      </c>
      <c r="D1423" s="36">
        <v>45741</v>
      </c>
      <c r="E1423" s="37" t="s">
        <v>1282</v>
      </c>
      <c r="F1423" s="37" t="s">
        <v>4504</v>
      </c>
      <c r="G1423" s="37" t="s">
        <v>3666</v>
      </c>
      <c r="H1423" s="35" t="s">
        <v>3419</v>
      </c>
      <c r="I1423" s="35" t="s">
        <v>3453</v>
      </c>
      <c r="J1423" s="38">
        <v>0.27272727272727282</v>
      </c>
      <c r="K1423" s="35">
        <v>1</v>
      </c>
      <c r="L1423" s="38">
        <f t="shared" si="22"/>
        <v>0.27272727272727282</v>
      </c>
      <c r="M1423" s="35" t="s">
        <v>11</v>
      </c>
      <c r="N1423" s="38"/>
      <c r="O1423" s="35" t="s">
        <v>12</v>
      </c>
    </row>
    <row r="1424" spans="1:15" x14ac:dyDescent="0.25">
      <c r="A1424" s="35" t="s">
        <v>1357</v>
      </c>
      <c r="B1424" s="35" t="s">
        <v>3646</v>
      </c>
      <c r="C1424" s="35">
        <v>2025</v>
      </c>
      <c r="D1424" s="36">
        <v>45741</v>
      </c>
      <c r="E1424" s="37" t="s">
        <v>1282</v>
      </c>
      <c r="F1424" s="37" t="s">
        <v>4505</v>
      </c>
      <c r="G1424" s="37" t="s">
        <v>3666</v>
      </c>
      <c r="H1424" s="35" t="s">
        <v>3419</v>
      </c>
      <c r="I1424" s="35" t="s">
        <v>3453</v>
      </c>
      <c r="J1424" s="38">
        <v>0.27272727272727282</v>
      </c>
      <c r="K1424" s="35">
        <v>1</v>
      </c>
      <c r="L1424" s="38">
        <f t="shared" si="22"/>
        <v>0.27272727272727282</v>
      </c>
      <c r="M1424" s="35" t="s">
        <v>11</v>
      </c>
      <c r="N1424" s="38"/>
      <c r="O1424" s="35" t="s">
        <v>12</v>
      </c>
    </row>
    <row r="1425" spans="1:15" x14ac:dyDescent="0.25">
      <c r="A1425" s="35" t="s">
        <v>1357</v>
      </c>
      <c r="B1425" s="35" t="s">
        <v>3646</v>
      </c>
      <c r="C1425" s="35">
        <v>2025</v>
      </c>
      <c r="D1425" s="36">
        <v>45741</v>
      </c>
      <c r="E1425" s="37" t="s">
        <v>1282</v>
      </c>
      <c r="F1425" s="37" t="s">
        <v>4506</v>
      </c>
      <c r="G1425" s="37" t="s">
        <v>3666</v>
      </c>
      <c r="H1425" s="35" t="s">
        <v>3419</v>
      </c>
      <c r="I1425" s="35" t="s">
        <v>3453</v>
      </c>
      <c r="J1425" s="38">
        <v>0.16363636363636361</v>
      </c>
      <c r="K1425" s="35">
        <v>1</v>
      </c>
      <c r="L1425" s="38">
        <f t="shared" si="22"/>
        <v>0.16363636363636361</v>
      </c>
      <c r="M1425" s="35" t="s">
        <v>11</v>
      </c>
      <c r="N1425" s="38"/>
      <c r="O1425" s="35" t="s">
        <v>12</v>
      </c>
    </row>
    <row r="1426" spans="1:15" x14ac:dyDescent="0.25">
      <c r="A1426" s="35" t="s">
        <v>1357</v>
      </c>
      <c r="B1426" s="35" t="s">
        <v>3646</v>
      </c>
      <c r="C1426" s="35">
        <v>2025</v>
      </c>
      <c r="D1426" s="36">
        <v>45741</v>
      </c>
      <c r="E1426" s="37" t="s">
        <v>1282</v>
      </c>
      <c r="F1426" s="37" t="s">
        <v>4507</v>
      </c>
      <c r="G1426" s="37" t="s">
        <v>3666</v>
      </c>
      <c r="H1426" s="35" t="s">
        <v>3419</v>
      </c>
      <c r="I1426" s="35" t="s">
        <v>3453</v>
      </c>
      <c r="J1426" s="38">
        <v>0.16363636363636361</v>
      </c>
      <c r="K1426" s="35">
        <v>1</v>
      </c>
      <c r="L1426" s="38">
        <f t="shared" si="22"/>
        <v>0.16363636363636361</v>
      </c>
      <c r="M1426" s="35" t="s">
        <v>11</v>
      </c>
      <c r="N1426" s="38"/>
      <c r="O1426" s="35" t="s">
        <v>12</v>
      </c>
    </row>
    <row r="1427" spans="1:15" x14ac:dyDescent="0.25">
      <c r="A1427" s="35" t="s">
        <v>1357</v>
      </c>
      <c r="B1427" s="35" t="s">
        <v>3646</v>
      </c>
      <c r="C1427" s="35">
        <v>2025</v>
      </c>
      <c r="D1427" s="36">
        <v>45741</v>
      </c>
      <c r="E1427" s="37" t="s">
        <v>1282</v>
      </c>
      <c r="F1427" s="37" t="s">
        <v>4508</v>
      </c>
      <c r="G1427" s="37" t="s">
        <v>3666</v>
      </c>
      <c r="H1427" s="35" t="s">
        <v>3419</v>
      </c>
      <c r="I1427" s="35" t="s">
        <v>3453</v>
      </c>
      <c r="J1427" s="38">
        <v>0.81818181818181823</v>
      </c>
      <c r="K1427" s="35">
        <v>1</v>
      </c>
      <c r="L1427" s="38">
        <f t="shared" si="22"/>
        <v>0.81818181818181823</v>
      </c>
      <c r="M1427" s="35" t="s">
        <v>11</v>
      </c>
      <c r="N1427" s="38"/>
      <c r="O1427" s="35" t="s">
        <v>12</v>
      </c>
    </row>
    <row r="1428" spans="1:15" x14ac:dyDescent="0.25">
      <c r="A1428" s="35" t="s">
        <v>1357</v>
      </c>
      <c r="B1428" s="35" t="s">
        <v>3646</v>
      </c>
      <c r="C1428" s="35">
        <v>2025</v>
      </c>
      <c r="D1428" s="36">
        <v>45741</v>
      </c>
      <c r="E1428" s="37" t="s">
        <v>1282</v>
      </c>
      <c r="F1428" s="37" t="s">
        <v>4509</v>
      </c>
      <c r="G1428" s="37" t="s">
        <v>3666</v>
      </c>
      <c r="H1428" s="35" t="s">
        <v>3419</v>
      </c>
      <c r="I1428" s="35" t="s">
        <v>3453</v>
      </c>
      <c r="J1428" s="38">
        <v>2.1818181818181821</v>
      </c>
      <c r="K1428" s="35">
        <v>1</v>
      </c>
      <c r="L1428" s="38">
        <f t="shared" si="22"/>
        <v>2.1818181818181821</v>
      </c>
      <c r="M1428" s="35" t="s">
        <v>11</v>
      </c>
      <c r="N1428" s="38"/>
      <c r="O1428" s="35" t="s">
        <v>12</v>
      </c>
    </row>
    <row r="1429" spans="1:15" x14ac:dyDescent="0.25">
      <c r="A1429" s="35" t="s">
        <v>1357</v>
      </c>
      <c r="B1429" s="35" t="s">
        <v>3646</v>
      </c>
      <c r="C1429" s="35">
        <v>2025</v>
      </c>
      <c r="D1429" s="36">
        <v>45741</v>
      </c>
      <c r="E1429" s="37" t="s">
        <v>1282</v>
      </c>
      <c r="F1429" s="37" t="s">
        <v>4510</v>
      </c>
      <c r="G1429" s="37" t="s">
        <v>3666</v>
      </c>
      <c r="H1429" s="35" t="s">
        <v>3419</v>
      </c>
      <c r="I1429" s="35" t="s">
        <v>3453</v>
      </c>
      <c r="J1429" s="38">
        <v>0.54545454545454553</v>
      </c>
      <c r="K1429" s="35">
        <v>1</v>
      </c>
      <c r="L1429" s="38">
        <f t="shared" si="22"/>
        <v>0.54545454545454553</v>
      </c>
      <c r="M1429" s="35" t="s">
        <v>11</v>
      </c>
      <c r="N1429" s="38"/>
      <c r="O1429" s="35" t="s">
        <v>12</v>
      </c>
    </row>
    <row r="1430" spans="1:15" x14ac:dyDescent="0.25">
      <c r="A1430" s="35" t="s">
        <v>1357</v>
      </c>
      <c r="B1430" s="35" t="s">
        <v>3646</v>
      </c>
      <c r="C1430" s="35">
        <v>2025</v>
      </c>
      <c r="D1430" s="36">
        <v>45741</v>
      </c>
      <c r="E1430" s="37" t="s">
        <v>1282</v>
      </c>
      <c r="F1430" s="37" t="s">
        <v>4511</v>
      </c>
      <c r="G1430" s="37" t="s">
        <v>3666</v>
      </c>
      <c r="H1430" s="35" t="s">
        <v>3419</v>
      </c>
      <c r="I1430" s="35" t="s">
        <v>3453</v>
      </c>
      <c r="J1430" s="38">
        <v>0.54545454545454553</v>
      </c>
      <c r="K1430" s="35">
        <v>1</v>
      </c>
      <c r="L1430" s="38">
        <f t="shared" si="22"/>
        <v>0.54545454545454553</v>
      </c>
      <c r="M1430" s="35" t="s">
        <v>11</v>
      </c>
      <c r="N1430" s="38"/>
      <c r="O1430" s="35" t="s">
        <v>12</v>
      </c>
    </row>
    <row r="1431" spans="1:15" x14ac:dyDescent="0.25">
      <c r="A1431" s="35" t="s">
        <v>1357</v>
      </c>
      <c r="B1431" s="35" t="s">
        <v>3646</v>
      </c>
      <c r="C1431" s="35">
        <v>2025</v>
      </c>
      <c r="D1431" s="36">
        <v>45741</v>
      </c>
      <c r="E1431" s="37" t="s">
        <v>1282</v>
      </c>
      <c r="F1431" s="37" t="s">
        <v>4512</v>
      </c>
      <c r="G1431" s="37" t="s">
        <v>3666</v>
      </c>
      <c r="H1431" s="35" t="s">
        <v>3419</v>
      </c>
      <c r="I1431" s="35" t="s">
        <v>3453</v>
      </c>
      <c r="J1431" s="38">
        <v>0.16363636363636361</v>
      </c>
      <c r="K1431" s="35">
        <v>1</v>
      </c>
      <c r="L1431" s="38">
        <f t="shared" si="22"/>
        <v>0.16363636363636361</v>
      </c>
      <c r="M1431" s="35" t="s">
        <v>11</v>
      </c>
      <c r="N1431" s="38"/>
      <c r="O1431" s="35" t="s">
        <v>12</v>
      </c>
    </row>
    <row r="1432" spans="1:15" x14ac:dyDescent="0.25">
      <c r="A1432" s="35" t="s">
        <v>1357</v>
      </c>
      <c r="B1432" s="35" t="s">
        <v>3646</v>
      </c>
      <c r="C1432" s="35">
        <v>2025</v>
      </c>
      <c r="D1432" s="36">
        <v>45741</v>
      </c>
      <c r="E1432" s="37" t="s">
        <v>1282</v>
      </c>
      <c r="F1432" s="37" t="s">
        <v>4513</v>
      </c>
      <c r="G1432" s="37" t="s">
        <v>3666</v>
      </c>
      <c r="H1432" s="35" t="s">
        <v>3419</v>
      </c>
      <c r="I1432" s="35" t="s">
        <v>3453</v>
      </c>
      <c r="J1432" s="38">
        <v>0.81818181818181823</v>
      </c>
      <c r="K1432" s="35">
        <v>1</v>
      </c>
      <c r="L1432" s="38">
        <f t="shared" si="22"/>
        <v>0.81818181818181823</v>
      </c>
      <c r="M1432" s="35" t="s">
        <v>11</v>
      </c>
      <c r="N1432" s="38"/>
      <c r="O1432" s="35" t="s">
        <v>12</v>
      </c>
    </row>
    <row r="1433" spans="1:15" x14ac:dyDescent="0.25">
      <c r="A1433" s="35" t="s">
        <v>1357</v>
      </c>
      <c r="B1433" s="35" t="s">
        <v>3646</v>
      </c>
      <c r="C1433" s="35">
        <v>2025</v>
      </c>
      <c r="D1433" s="36">
        <v>45741</v>
      </c>
      <c r="E1433" s="37" t="s">
        <v>1282</v>
      </c>
      <c r="F1433" s="37" t="s">
        <v>4514</v>
      </c>
      <c r="G1433" s="37" t="s">
        <v>3666</v>
      </c>
      <c r="H1433" s="35" t="s">
        <v>3419</v>
      </c>
      <c r="I1433" s="35" t="s">
        <v>3453</v>
      </c>
      <c r="J1433" s="38">
        <v>1.636363636363636</v>
      </c>
      <c r="K1433" s="35">
        <v>1</v>
      </c>
      <c r="L1433" s="38">
        <f t="shared" si="22"/>
        <v>1.636363636363636</v>
      </c>
      <c r="M1433" s="35" t="s">
        <v>11</v>
      </c>
      <c r="N1433" s="38"/>
      <c r="O1433" s="35" t="s">
        <v>12</v>
      </c>
    </row>
    <row r="1434" spans="1:15" x14ac:dyDescent="0.25">
      <c r="A1434" s="35" t="s">
        <v>1357</v>
      </c>
      <c r="B1434" s="35" t="s">
        <v>3646</v>
      </c>
      <c r="C1434" s="35">
        <v>2025</v>
      </c>
      <c r="D1434" s="36">
        <v>45741</v>
      </c>
      <c r="E1434" s="37" t="s">
        <v>1282</v>
      </c>
      <c r="F1434" s="37" t="s">
        <v>4515</v>
      </c>
      <c r="G1434" s="37" t="s">
        <v>3666</v>
      </c>
      <c r="H1434" s="35" t="s">
        <v>3419</v>
      </c>
      <c r="I1434" s="35" t="s">
        <v>3453</v>
      </c>
      <c r="J1434" s="38">
        <v>3.8181818181818179</v>
      </c>
      <c r="K1434" s="35">
        <v>1</v>
      </c>
      <c r="L1434" s="38">
        <f t="shared" si="22"/>
        <v>3.8181818181818179</v>
      </c>
      <c r="M1434" s="35" t="s">
        <v>11</v>
      </c>
      <c r="N1434" s="38"/>
      <c r="O1434" s="35" t="s">
        <v>12</v>
      </c>
    </row>
    <row r="1435" spans="1:15" x14ac:dyDescent="0.25">
      <c r="A1435" s="35" t="s">
        <v>1357</v>
      </c>
      <c r="B1435" s="35" t="s">
        <v>3646</v>
      </c>
      <c r="C1435" s="35">
        <v>2025</v>
      </c>
      <c r="D1435" s="36">
        <v>45741</v>
      </c>
      <c r="E1435" s="37" t="s">
        <v>1282</v>
      </c>
      <c r="F1435" s="37" t="s">
        <v>4516</v>
      </c>
      <c r="G1435" s="37" t="s">
        <v>3666</v>
      </c>
      <c r="H1435" s="35" t="s">
        <v>3419</v>
      </c>
      <c r="I1435" s="35" t="s">
        <v>3453</v>
      </c>
      <c r="J1435" s="38">
        <v>0.16363636363636361</v>
      </c>
      <c r="K1435" s="35">
        <v>1</v>
      </c>
      <c r="L1435" s="38">
        <f t="shared" si="22"/>
        <v>0.16363636363636361</v>
      </c>
      <c r="M1435" s="35" t="s">
        <v>11</v>
      </c>
      <c r="N1435" s="38"/>
      <c r="O1435" s="35" t="s">
        <v>12</v>
      </c>
    </row>
    <row r="1436" spans="1:15" x14ac:dyDescent="0.25">
      <c r="A1436" s="35" t="s">
        <v>1357</v>
      </c>
      <c r="B1436" s="35" t="s">
        <v>3646</v>
      </c>
      <c r="C1436" s="35">
        <v>2025</v>
      </c>
      <c r="D1436" s="36">
        <v>45741</v>
      </c>
      <c r="E1436" s="37" t="s">
        <v>1282</v>
      </c>
      <c r="F1436" s="37" t="s">
        <v>4517</v>
      </c>
      <c r="G1436" s="37" t="s">
        <v>3666</v>
      </c>
      <c r="H1436" s="35" t="s">
        <v>3419</v>
      </c>
      <c r="I1436" s="35" t="s">
        <v>3453</v>
      </c>
      <c r="J1436" s="38">
        <v>2.727272727272728</v>
      </c>
      <c r="K1436" s="35">
        <v>1</v>
      </c>
      <c r="L1436" s="38">
        <f t="shared" si="22"/>
        <v>2.727272727272728</v>
      </c>
      <c r="M1436" s="35" t="s">
        <v>11</v>
      </c>
      <c r="N1436" s="38"/>
      <c r="O1436" s="35" t="s">
        <v>12</v>
      </c>
    </row>
    <row r="1437" spans="1:15" x14ac:dyDescent="0.25">
      <c r="A1437" s="35" t="s">
        <v>1357</v>
      </c>
      <c r="B1437" s="35" t="s">
        <v>3646</v>
      </c>
      <c r="C1437" s="35">
        <v>2025</v>
      </c>
      <c r="D1437" s="36">
        <v>45741</v>
      </c>
      <c r="E1437" s="37" t="s">
        <v>1282</v>
      </c>
      <c r="F1437" s="37" t="s">
        <v>3451</v>
      </c>
      <c r="G1437" s="37" t="s">
        <v>3699</v>
      </c>
      <c r="H1437" s="35" t="s">
        <v>3419</v>
      </c>
      <c r="I1437" s="35" t="s">
        <v>3453</v>
      </c>
      <c r="J1437" s="38">
        <v>13.527272727272729</v>
      </c>
      <c r="K1437" s="35">
        <v>1</v>
      </c>
      <c r="L1437" s="38">
        <f t="shared" si="22"/>
        <v>13.527272727272729</v>
      </c>
      <c r="M1437" s="35" t="s">
        <v>11</v>
      </c>
      <c r="N1437" s="38"/>
      <c r="O1437" s="35" t="s">
        <v>12</v>
      </c>
    </row>
    <row r="1438" spans="1:15" x14ac:dyDescent="0.25">
      <c r="A1438" s="35" t="s">
        <v>1357</v>
      </c>
      <c r="B1438" s="35" t="s">
        <v>3646</v>
      </c>
      <c r="C1438" s="35">
        <v>2025</v>
      </c>
      <c r="D1438" s="36">
        <v>45741</v>
      </c>
      <c r="E1438" s="37" t="s">
        <v>1282</v>
      </c>
      <c r="F1438" s="37" t="s">
        <v>4518</v>
      </c>
      <c r="G1438" s="37" t="s">
        <v>3533</v>
      </c>
      <c r="H1438" s="35" t="s">
        <v>3419</v>
      </c>
      <c r="I1438" s="35" t="s">
        <v>3453</v>
      </c>
      <c r="J1438" s="38">
        <v>10.90909090909091</v>
      </c>
      <c r="K1438" s="35">
        <v>2</v>
      </c>
      <c r="L1438" s="38">
        <f t="shared" si="22"/>
        <v>21.81818181818182</v>
      </c>
      <c r="M1438" s="35" t="s">
        <v>11</v>
      </c>
      <c r="N1438" s="38"/>
      <c r="O1438" s="35" t="s">
        <v>12</v>
      </c>
    </row>
    <row r="1439" spans="1:15" x14ac:dyDescent="0.25">
      <c r="A1439" s="35" t="s">
        <v>1357</v>
      </c>
      <c r="B1439" s="35" t="s">
        <v>3646</v>
      </c>
      <c r="C1439" s="35">
        <v>2025</v>
      </c>
      <c r="D1439" s="36">
        <v>45741</v>
      </c>
      <c r="E1439" s="37" t="s">
        <v>1282</v>
      </c>
      <c r="F1439" s="37" t="s">
        <v>4518</v>
      </c>
      <c r="G1439" s="37" t="s">
        <v>3533</v>
      </c>
      <c r="H1439" s="35" t="s">
        <v>3419</v>
      </c>
      <c r="I1439" s="35" t="s">
        <v>3453</v>
      </c>
      <c r="J1439" s="38">
        <v>8.7272727272727284</v>
      </c>
      <c r="K1439" s="35">
        <v>1</v>
      </c>
      <c r="L1439" s="38">
        <f t="shared" si="22"/>
        <v>8.7272727272727284</v>
      </c>
      <c r="M1439" s="35" t="s">
        <v>11</v>
      </c>
      <c r="N1439" s="38"/>
      <c r="O1439" s="35" t="s">
        <v>12</v>
      </c>
    </row>
    <row r="1440" spans="1:15" x14ac:dyDescent="0.25">
      <c r="A1440" s="35" t="s">
        <v>1357</v>
      </c>
      <c r="B1440" s="35" t="s">
        <v>3646</v>
      </c>
      <c r="C1440" s="35">
        <v>2025</v>
      </c>
      <c r="D1440" s="36">
        <v>45741</v>
      </c>
      <c r="E1440" s="37" t="s">
        <v>1282</v>
      </c>
      <c r="F1440" s="37" t="s">
        <v>4519</v>
      </c>
      <c r="G1440" s="37" t="s">
        <v>3533</v>
      </c>
      <c r="H1440" s="35" t="s">
        <v>3419</v>
      </c>
      <c r="I1440" s="35" t="s">
        <v>3453</v>
      </c>
      <c r="J1440" s="38">
        <v>1.636363636363636</v>
      </c>
      <c r="K1440" s="35">
        <v>3</v>
      </c>
      <c r="L1440" s="38">
        <f t="shared" si="22"/>
        <v>4.9090909090909083</v>
      </c>
      <c r="M1440" s="35" t="s">
        <v>11</v>
      </c>
      <c r="N1440" s="38"/>
      <c r="O1440" s="35" t="s">
        <v>12</v>
      </c>
    </row>
    <row r="1441" spans="1:15" x14ac:dyDescent="0.25">
      <c r="A1441" s="35" t="s">
        <v>1357</v>
      </c>
      <c r="B1441" s="35" t="s">
        <v>3646</v>
      </c>
      <c r="C1441" s="35">
        <v>2025</v>
      </c>
      <c r="D1441" s="36">
        <v>45741</v>
      </c>
      <c r="E1441" s="37" t="s">
        <v>1282</v>
      </c>
      <c r="F1441" s="37" t="s">
        <v>4520</v>
      </c>
      <c r="G1441" s="37" t="s">
        <v>4412</v>
      </c>
      <c r="H1441" s="35" t="s">
        <v>3419</v>
      </c>
      <c r="I1441" s="35" t="s">
        <v>3453</v>
      </c>
      <c r="J1441" s="38">
        <v>6.5454545454545459</v>
      </c>
      <c r="K1441" s="35">
        <v>1</v>
      </c>
      <c r="L1441" s="38">
        <f t="shared" si="22"/>
        <v>6.5454545454545459</v>
      </c>
      <c r="M1441" s="35" t="s">
        <v>11</v>
      </c>
      <c r="N1441" s="38"/>
      <c r="O1441" s="35" t="s">
        <v>12</v>
      </c>
    </row>
    <row r="1442" spans="1:15" x14ac:dyDescent="0.25">
      <c r="A1442" s="35" t="s">
        <v>1357</v>
      </c>
      <c r="B1442" s="35" t="s">
        <v>3646</v>
      </c>
      <c r="C1442" s="35">
        <v>2025</v>
      </c>
      <c r="D1442" s="36">
        <v>45741</v>
      </c>
      <c r="E1442" s="37" t="s">
        <v>1282</v>
      </c>
      <c r="F1442" s="37" t="s">
        <v>4521</v>
      </c>
      <c r="G1442" s="37" t="s">
        <v>4480</v>
      </c>
      <c r="H1442" s="35" t="s">
        <v>3415</v>
      </c>
      <c r="I1442" s="35" t="s">
        <v>3453</v>
      </c>
      <c r="J1442" s="38">
        <v>0.98181818181818192</v>
      </c>
      <c r="K1442" s="35">
        <v>4</v>
      </c>
      <c r="L1442" s="38">
        <f t="shared" si="22"/>
        <v>3.9272727272727277</v>
      </c>
      <c r="M1442" s="35" t="s">
        <v>11</v>
      </c>
      <c r="N1442" s="38"/>
      <c r="O1442" s="35" t="s">
        <v>12</v>
      </c>
    </row>
    <row r="1443" spans="1:15" x14ac:dyDescent="0.25">
      <c r="A1443" s="35" t="s">
        <v>1357</v>
      </c>
      <c r="B1443" s="35" t="s">
        <v>3646</v>
      </c>
      <c r="C1443" s="35">
        <v>2025</v>
      </c>
      <c r="D1443" s="36">
        <v>45741</v>
      </c>
      <c r="E1443" s="37" t="s">
        <v>1282</v>
      </c>
      <c r="F1443" s="37" t="s">
        <v>4522</v>
      </c>
      <c r="G1443" s="37" t="s">
        <v>4480</v>
      </c>
      <c r="H1443" s="35" t="s">
        <v>3415</v>
      </c>
      <c r="I1443" s="35" t="s">
        <v>3453</v>
      </c>
      <c r="J1443" s="38">
        <v>0.98181818181818192</v>
      </c>
      <c r="K1443" s="35">
        <v>4</v>
      </c>
      <c r="L1443" s="38">
        <f t="shared" si="22"/>
        <v>3.9272727272727277</v>
      </c>
      <c r="M1443" s="35" t="s">
        <v>11</v>
      </c>
      <c r="N1443" s="38"/>
      <c r="O1443" s="35" t="s">
        <v>12</v>
      </c>
    </row>
    <row r="1444" spans="1:15" x14ac:dyDescent="0.25">
      <c r="A1444" s="35" t="s">
        <v>1357</v>
      </c>
      <c r="B1444" s="35" t="s">
        <v>3646</v>
      </c>
      <c r="C1444" s="35">
        <v>2025</v>
      </c>
      <c r="D1444" s="36">
        <v>45741</v>
      </c>
      <c r="E1444" s="37" t="s">
        <v>1282</v>
      </c>
      <c r="F1444" s="37" t="s">
        <v>3741</v>
      </c>
      <c r="G1444" s="37" t="s">
        <v>4480</v>
      </c>
      <c r="H1444" s="35" t="s">
        <v>3415</v>
      </c>
      <c r="I1444" s="35" t="s">
        <v>3453</v>
      </c>
      <c r="J1444" s="38">
        <v>1.0909090909090911</v>
      </c>
      <c r="K1444" s="35">
        <v>4</v>
      </c>
      <c r="L1444" s="38">
        <f t="shared" si="22"/>
        <v>4.3636363636363642</v>
      </c>
      <c r="M1444" s="35" t="s">
        <v>11</v>
      </c>
      <c r="N1444" s="38"/>
      <c r="O1444" s="35" t="s">
        <v>12</v>
      </c>
    </row>
    <row r="1445" spans="1:15" x14ac:dyDescent="0.25">
      <c r="A1445" s="35" t="s">
        <v>1357</v>
      </c>
      <c r="B1445" s="35" t="s">
        <v>3646</v>
      </c>
      <c r="C1445" s="35">
        <v>2025</v>
      </c>
      <c r="D1445" s="36">
        <v>45741</v>
      </c>
      <c r="E1445" s="37" t="s">
        <v>1282</v>
      </c>
      <c r="F1445" s="37" t="s">
        <v>4455</v>
      </c>
      <c r="G1445" s="37" t="s">
        <v>3905</v>
      </c>
      <c r="H1445" s="35" t="s">
        <v>3415</v>
      </c>
      <c r="I1445" s="35" t="s">
        <v>3453</v>
      </c>
      <c r="J1445" s="38">
        <v>0.27272727272727282</v>
      </c>
      <c r="K1445" s="35">
        <v>10</v>
      </c>
      <c r="L1445" s="38">
        <f t="shared" si="22"/>
        <v>2.7272727272727284</v>
      </c>
      <c r="M1445" s="35" t="s">
        <v>11</v>
      </c>
      <c r="N1445" s="38"/>
      <c r="O1445" s="35" t="s">
        <v>12</v>
      </c>
    </row>
    <row r="1446" spans="1:15" x14ac:dyDescent="0.25">
      <c r="A1446" s="35" t="s">
        <v>1357</v>
      </c>
      <c r="B1446" s="35" t="s">
        <v>3646</v>
      </c>
      <c r="C1446" s="35">
        <v>2025</v>
      </c>
      <c r="D1446" s="36">
        <v>45741</v>
      </c>
      <c r="E1446" s="37" t="s">
        <v>1282</v>
      </c>
      <c r="F1446" s="37" t="s">
        <v>4454</v>
      </c>
      <c r="G1446" s="37" t="s">
        <v>3905</v>
      </c>
      <c r="H1446" s="35" t="s">
        <v>3415</v>
      </c>
      <c r="I1446" s="35" t="s">
        <v>3453</v>
      </c>
      <c r="J1446" s="38">
        <v>0.54545454545454553</v>
      </c>
      <c r="K1446" s="35">
        <v>10</v>
      </c>
      <c r="L1446" s="38">
        <f t="shared" si="22"/>
        <v>5.454545454545455</v>
      </c>
      <c r="M1446" s="35" t="s">
        <v>11</v>
      </c>
      <c r="N1446" s="38"/>
      <c r="O1446" s="35" t="s">
        <v>12</v>
      </c>
    </row>
    <row r="1447" spans="1:15" x14ac:dyDescent="0.25">
      <c r="A1447" s="35" t="s">
        <v>1357</v>
      </c>
      <c r="B1447" s="35" t="s">
        <v>3646</v>
      </c>
      <c r="C1447" s="35">
        <v>2025</v>
      </c>
      <c r="D1447" s="36">
        <v>45741</v>
      </c>
      <c r="E1447" s="37" t="s">
        <v>1282</v>
      </c>
      <c r="F1447" s="37" t="s">
        <v>3944</v>
      </c>
      <c r="G1447" s="37" t="s">
        <v>4480</v>
      </c>
      <c r="H1447" s="35" t="s">
        <v>3415</v>
      </c>
      <c r="I1447" s="35" t="s">
        <v>3453</v>
      </c>
      <c r="J1447" s="38">
        <v>2.0727272727272732</v>
      </c>
      <c r="K1447" s="35">
        <v>4</v>
      </c>
      <c r="L1447" s="38">
        <f t="shared" si="22"/>
        <v>8.2909090909090928</v>
      </c>
      <c r="M1447" s="35" t="s">
        <v>11</v>
      </c>
      <c r="N1447" s="38"/>
      <c r="O1447" s="35" t="s">
        <v>12</v>
      </c>
    </row>
    <row r="1448" spans="1:15" x14ac:dyDescent="0.25">
      <c r="A1448" s="35" t="s">
        <v>1357</v>
      </c>
      <c r="B1448" s="35" t="s">
        <v>3646</v>
      </c>
      <c r="C1448" s="35">
        <v>2025</v>
      </c>
      <c r="D1448" s="36">
        <v>45741</v>
      </c>
      <c r="E1448" s="37" t="s">
        <v>1282</v>
      </c>
      <c r="F1448" s="37" t="s">
        <v>3649</v>
      </c>
      <c r="G1448" s="37" t="s">
        <v>3882</v>
      </c>
      <c r="H1448" s="35" t="s">
        <v>3415</v>
      </c>
      <c r="I1448" s="35" t="s">
        <v>3453</v>
      </c>
      <c r="J1448" s="38">
        <v>0.81818181818181823</v>
      </c>
      <c r="K1448" s="35">
        <v>4</v>
      </c>
      <c r="L1448" s="38">
        <f t="shared" si="22"/>
        <v>3.2727272727272729</v>
      </c>
      <c r="M1448" s="35" t="s">
        <v>11</v>
      </c>
      <c r="N1448" s="38"/>
      <c r="O1448" s="35" t="s">
        <v>12</v>
      </c>
    </row>
    <row r="1449" spans="1:15" x14ac:dyDescent="0.25">
      <c r="A1449" s="35" t="s">
        <v>1357</v>
      </c>
      <c r="B1449" s="35" t="s">
        <v>3646</v>
      </c>
      <c r="C1449" s="35">
        <v>2025</v>
      </c>
      <c r="D1449" s="36">
        <v>45741</v>
      </c>
      <c r="E1449" s="37" t="s">
        <v>1282</v>
      </c>
      <c r="F1449" s="37" t="s">
        <v>4523</v>
      </c>
      <c r="G1449" s="37" t="s">
        <v>3862</v>
      </c>
      <c r="H1449" s="35" t="s">
        <v>3415</v>
      </c>
      <c r="I1449" s="35" t="s">
        <v>3453</v>
      </c>
      <c r="J1449" s="38">
        <v>1.0909090909090911</v>
      </c>
      <c r="K1449" s="35">
        <v>4</v>
      </c>
      <c r="L1449" s="38">
        <f t="shared" si="22"/>
        <v>4.3636363636363642</v>
      </c>
      <c r="M1449" s="35" t="s">
        <v>11</v>
      </c>
      <c r="N1449" s="38"/>
      <c r="O1449" s="35" t="s">
        <v>12</v>
      </c>
    </row>
    <row r="1450" spans="1:15" x14ac:dyDescent="0.25">
      <c r="A1450" s="35" t="s">
        <v>1357</v>
      </c>
      <c r="B1450" s="35" t="s">
        <v>3646</v>
      </c>
      <c r="C1450" s="35">
        <v>2025</v>
      </c>
      <c r="D1450" s="36">
        <v>45741</v>
      </c>
      <c r="E1450" s="37" t="s">
        <v>1282</v>
      </c>
      <c r="F1450" s="37" t="s">
        <v>3976</v>
      </c>
      <c r="G1450" s="37" t="s">
        <v>3710</v>
      </c>
      <c r="H1450" s="35" t="s">
        <v>3415</v>
      </c>
      <c r="I1450" s="35" t="s">
        <v>3453</v>
      </c>
      <c r="J1450" s="38">
        <v>1.0909090909090911</v>
      </c>
      <c r="K1450" s="35">
        <v>4</v>
      </c>
      <c r="L1450" s="38">
        <f t="shared" si="22"/>
        <v>4.3636363636363642</v>
      </c>
      <c r="M1450" s="35" t="s">
        <v>11</v>
      </c>
      <c r="N1450" s="38"/>
      <c r="O1450" s="35" t="s">
        <v>12</v>
      </c>
    </row>
    <row r="1451" spans="1:15" x14ac:dyDescent="0.25">
      <c r="A1451" s="35" t="s">
        <v>1359</v>
      </c>
      <c r="B1451" s="35" t="s">
        <v>3646</v>
      </c>
      <c r="C1451" s="35">
        <v>2025</v>
      </c>
      <c r="D1451" s="36">
        <v>45740</v>
      </c>
      <c r="E1451" s="37" t="s">
        <v>1282</v>
      </c>
      <c r="F1451" s="37" t="s">
        <v>4524</v>
      </c>
      <c r="G1451" s="37" t="s">
        <v>4392</v>
      </c>
      <c r="H1451" s="35" t="s">
        <v>3415</v>
      </c>
      <c r="I1451" s="35" t="s">
        <v>3453</v>
      </c>
      <c r="J1451" s="38">
        <v>8.0727272727272741</v>
      </c>
      <c r="K1451" s="35">
        <v>4</v>
      </c>
      <c r="L1451" s="38">
        <f t="shared" si="22"/>
        <v>32.290909090909096</v>
      </c>
      <c r="M1451" s="35" t="s">
        <v>11</v>
      </c>
      <c r="N1451" s="38"/>
      <c r="O1451" s="35" t="s">
        <v>12</v>
      </c>
    </row>
    <row r="1452" spans="1:15" x14ac:dyDescent="0.25">
      <c r="A1452" s="35" t="s">
        <v>1359</v>
      </c>
      <c r="B1452" s="35" t="s">
        <v>3646</v>
      </c>
      <c r="C1452" s="35">
        <v>2025</v>
      </c>
      <c r="D1452" s="36">
        <v>45740</v>
      </c>
      <c r="E1452" s="37" t="s">
        <v>1282</v>
      </c>
      <c r="F1452" s="37" t="s">
        <v>4525</v>
      </c>
      <c r="G1452" s="37" t="s">
        <v>3533</v>
      </c>
      <c r="H1452" s="35" t="s">
        <v>3415</v>
      </c>
      <c r="I1452" s="35" t="s">
        <v>3453</v>
      </c>
      <c r="J1452" s="38">
        <v>10.90909090909091</v>
      </c>
      <c r="K1452" s="35">
        <v>4</v>
      </c>
      <c r="L1452" s="38">
        <f t="shared" si="22"/>
        <v>43.63636363636364</v>
      </c>
      <c r="M1452" s="35" t="s">
        <v>11</v>
      </c>
      <c r="N1452" s="38"/>
      <c r="O1452" s="35" t="s">
        <v>12</v>
      </c>
    </row>
    <row r="1453" spans="1:15" x14ac:dyDescent="0.25">
      <c r="A1453" s="35" t="s">
        <v>1359</v>
      </c>
      <c r="B1453" s="35" t="s">
        <v>3646</v>
      </c>
      <c r="C1453" s="35">
        <v>2025</v>
      </c>
      <c r="D1453" s="36">
        <v>45740</v>
      </c>
      <c r="E1453" s="37" t="s">
        <v>1282</v>
      </c>
      <c r="F1453" s="37" t="s">
        <v>4518</v>
      </c>
      <c r="G1453" s="37" t="s">
        <v>3533</v>
      </c>
      <c r="H1453" s="35" t="s">
        <v>3419</v>
      </c>
      <c r="I1453" s="35" t="s">
        <v>3453</v>
      </c>
      <c r="J1453" s="38">
        <v>10.90909090909091</v>
      </c>
      <c r="K1453" s="35">
        <v>1</v>
      </c>
      <c r="L1453" s="38">
        <f t="shared" si="22"/>
        <v>10.90909090909091</v>
      </c>
      <c r="M1453" s="35" t="s">
        <v>11</v>
      </c>
      <c r="N1453" s="38"/>
      <c r="O1453" s="35" t="s">
        <v>12</v>
      </c>
    </row>
    <row r="1454" spans="1:15" x14ac:dyDescent="0.25">
      <c r="A1454" s="35" t="s">
        <v>1359</v>
      </c>
      <c r="B1454" s="35" t="s">
        <v>3646</v>
      </c>
      <c r="C1454" s="35">
        <v>2025</v>
      </c>
      <c r="D1454" s="36">
        <v>45740</v>
      </c>
      <c r="E1454" s="37" t="s">
        <v>1282</v>
      </c>
      <c r="F1454" s="37" t="s">
        <v>4526</v>
      </c>
      <c r="G1454" s="37" t="s">
        <v>3533</v>
      </c>
      <c r="H1454" s="35" t="s">
        <v>3415</v>
      </c>
      <c r="I1454" s="35" t="s">
        <v>3453</v>
      </c>
      <c r="J1454" s="38">
        <v>0.54545454545454553</v>
      </c>
      <c r="K1454" s="35">
        <v>4</v>
      </c>
      <c r="L1454" s="38">
        <f t="shared" si="22"/>
        <v>2.1818181818181821</v>
      </c>
      <c r="M1454" s="35" t="s">
        <v>11</v>
      </c>
      <c r="N1454" s="38"/>
      <c r="O1454" s="35" t="s">
        <v>12</v>
      </c>
    </row>
    <row r="1455" spans="1:15" x14ac:dyDescent="0.25">
      <c r="A1455" s="35" t="s">
        <v>1359</v>
      </c>
      <c r="B1455" s="35" t="s">
        <v>3646</v>
      </c>
      <c r="C1455" s="35">
        <v>2025</v>
      </c>
      <c r="D1455" s="36">
        <v>45740</v>
      </c>
      <c r="E1455" s="37" t="s">
        <v>1282</v>
      </c>
      <c r="F1455" s="37" t="s">
        <v>4527</v>
      </c>
      <c r="G1455" s="37" t="s">
        <v>4398</v>
      </c>
      <c r="H1455" s="35" t="s">
        <v>3415</v>
      </c>
      <c r="I1455" s="35" t="s">
        <v>3453</v>
      </c>
      <c r="J1455" s="38">
        <v>2.1818181818181821</v>
      </c>
      <c r="K1455" s="35">
        <v>4</v>
      </c>
      <c r="L1455" s="38">
        <f t="shared" si="22"/>
        <v>8.7272727272727284</v>
      </c>
      <c r="M1455" s="35" t="s">
        <v>11</v>
      </c>
      <c r="N1455" s="38"/>
      <c r="O1455" s="35" t="s">
        <v>12</v>
      </c>
    </row>
    <row r="1456" spans="1:15" x14ac:dyDescent="0.25">
      <c r="A1456" s="35" t="s">
        <v>1359</v>
      </c>
      <c r="B1456" s="35" t="s">
        <v>3646</v>
      </c>
      <c r="C1456" s="35">
        <v>2025</v>
      </c>
      <c r="D1456" s="36">
        <v>45740</v>
      </c>
      <c r="E1456" s="37" t="s">
        <v>1282</v>
      </c>
      <c r="F1456" s="37" t="s">
        <v>3741</v>
      </c>
      <c r="G1456" s="37" t="s">
        <v>3742</v>
      </c>
      <c r="H1456" s="35" t="s">
        <v>3415</v>
      </c>
      <c r="I1456" s="35" t="s">
        <v>3453</v>
      </c>
      <c r="J1456" s="38">
        <v>6.4363636363636374</v>
      </c>
      <c r="K1456" s="35">
        <v>4</v>
      </c>
      <c r="L1456" s="38">
        <f t="shared" si="22"/>
        <v>25.74545454545455</v>
      </c>
      <c r="M1456" s="35" t="s">
        <v>11</v>
      </c>
      <c r="N1456" s="38"/>
      <c r="O1456" s="35" t="s">
        <v>12</v>
      </c>
    </row>
    <row r="1457" spans="1:15" x14ac:dyDescent="0.25">
      <c r="A1457" s="35" t="s">
        <v>1359</v>
      </c>
      <c r="B1457" s="35" t="s">
        <v>3646</v>
      </c>
      <c r="C1457" s="35">
        <v>2025</v>
      </c>
      <c r="D1457" s="36">
        <v>45740</v>
      </c>
      <c r="E1457" s="37" t="s">
        <v>1282</v>
      </c>
      <c r="F1457" s="37" t="s">
        <v>4528</v>
      </c>
      <c r="G1457" s="37" t="s">
        <v>4529</v>
      </c>
      <c r="H1457" s="35" t="s">
        <v>3415</v>
      </c>
      <c r="I1457" s="35" t="s">
        <v>3453</v>
      </c>
      <c r="J1457" s="38">
        <v>8.6181818181818191</v>
      </c>
      <c r="K1457" s="35">
        <v>4</v>
      </c>
      <c r="L1457" s="38">
        <f t="shared" si="22"/>
        <v>34.472727272727276</v>
      </c>
      <c r="M1457" s="35" t="s">
        <v>11</v>
      </c>
      <c r="N1457" s="38"/>
      <c r="O1457" s="35" t="s">
        <v>12</v>
      </c>
    </row>
    <row r="1458" spans="1:15" x14ac:dyDescent="0.25">
      <c r="A1458" s="35" t="s">
        <v>1359</v>
      </c>
      <c r="B1458" s="35" t="s">
        <v>3646</v>
      </c>
      <c r="C1458" s="35">
        <v>2025</v>
      </c>
      <c r="D1458" s="36">
        <v>45740</v>
      </c>
      <c r="E1458" s="37" t="s">
        <v>1282</v>
      </c>
      <c r="F1458" s="37" t="s">
        <v>4530</v>
      </c>
      <c r="G1458" s="37" t="s">
        <v>4432</v>
      </c>
      <c r="H1458" s="35" t="s">
        <v>3419</v>
      </c>
      <c r="I1458" s="35" t="s">
        <v>3453</v>
      </c>
      <c r="J1458" s="38">
        <v>1.636363636363636</v>
      </c>
      <c r="K1458" s="35">
        <v>1</v>
      </c>
      <c r="L1458" s="38">
        <f t="shared" si="22"/>
        <v>1.636363636363636</v>
      </c>
      <c r="M1458" s="35" t="s">
        <v>11</v>
      </c>
      <c r="N1458" s="38"/>
      <c r="O1458" s="35" t="s">
        <v>12</v>
      </c>
    </row>
    <row r="1459" spans="1:15" x14ac:dyDescent="0.25">
      <c r="A1459" s="35" t="s">
        <v>1359</v>
      </c>
      <c r="B1459" s="35" t="s">
        <v>3646</v>
      </c>
      <c r="C1459" s="35">
        <v>2025</v>
      </c>
      <c r="D1459" s="36">
        <v>45740</v>
      </c>
      <c r="E1459" s="37" t="s">
        <v>1282</v>
      </c>
      <c r="F1459" s="37" t="s">
        <v>4531</v>
      </c>
      <c r="G1459" s="37" t="s">
        <v>4432</v>
      </c>
      <c r="H1459" s="35" t="s">
        <v>3419</v>
      </c>
      <c r="I1459" s="35" t="s">
        <v>3453</v>
      </c>
      <c r="J1459" s="38">
        <v>1.636363636363636</v>
      </c>
      <c r="K1459" s="35">
        <v>1</v>
      </c>
      <c r="L1459" s="38">
        <f t="shared" si="22"/>
        <v>1.636363636363636</v>
      </c>
      <c r="M1459" s="35" t="s">
        <v>11</v>
      </c>
      <c r="N1459" s="38"/>
      <c r="O1459" s="35" t="s">
        <v>12</v>
      </c>
    </row>
    <row r="1460" spans="1:15" x14ac:dyDescent="0.25">
      <c r="A1460" s="35" t="s">
        <v>1359</v>
      </c>
      <c r="B1460" s="35" t="s">
        <v>3646</v>
      </c>
      <c r="C1460" s="35">
        <v>2025</v>
      </c>
      <c r="D1460" s="36">
        <v>45740</v>
      </c>
      <c r="E1460" s="37" t="s">
        <v>1282</v>
      </c>
      <c r="F1460" s="37" t="s">
        <v>4532</v>
      </c>
      <c r="G1460" s="37" t="s">
        <v>4432</v>
      </c>
      <c r="H1460" s="35" t="s">
        <v>3419</v>
      </c>
      <c r="I1460" s="35" t="s">
        <v>3453</v>
      </c>
      <c r="J1460" s="38">
        <v>1.636363636363636</v>
      </c>
      <c r="K1460" s="35">
        <v>1</v>
      </c>
      <c r="L1460" s="38">
        <f t="shared" si="22"/>
        <v>1.636363636363636</v>
      </c>
      <c r="M1460" s="35" t="s">
        <v>11</v>
      </c>
      <c r="N1460" s="38"/>
      <c r="O1460" s="35" t="s">
        <v>12</v>
      </c>
    </row>
    <row r="1461" spans="1:15" x14ac:dyDescent="0.25">
      <c r="A1461" s="35" t="s">
        <v>1359</v>
      </c>
      <c r="B1461" s="35" t="s">
        <v>3646</v>
      </c>
      <c r="C1461" s="35">
        <v>2025</v>
      </c>
      <c r="D1461" s="36">
        <v>45740</v>
      </c>
      <c r="E1461" s="37" t="s">
        <v>1282</v>
      </c>
      <c r="F1461" s="37" t="s">
        <v>4533</v>
      </c>
      <c r="G1461" s="37" t="s">
        <v>4432</v>
      </c>
      <c r="H1461" s="35" t="s">
        <v>3419</v>
      </c>
      <c r="I1461" s="35" t="s">
        <v>3453</v>
      </c>
      <c r="J1461" s="38">
        <v>1.636363636363636</v>
      </c>
      <c r="K1461" s="35">
        <v>1</v>
      </c>
      <c r="L1461" s="38">
        <f t="shared" si="22"/>
        <v>1.636363636363636</v>
      </c>
      <c r="M1461" s="35" t="s">
        <v>11</v>
      </c>
      <c r="N1461" s="38"/>
      <c r="O1461" s="35" t="s">
        <v>12</v>
      </c>
    </row>
    <row r="1462" spans="1:15" ht="30" x14ac:dyDescent="0.25">
      <c r="A1462" s="35" t="s">
        <v>1359</v>
      </c>
      <c r="B1462" s="35" t="s">
        <v>3646</v>
      </c>
      <c r="C1462" s="35">
        <v>2025</v>
      </c>
      <c r="D1462" s="36">
        <v>45740</v>
      </c>
      <c r="E1462" s="37" t="s">
        <v>1282</v>
      </c>
      <c r="F1462" s="37" t="s">
        <v>4534</v>
      </c>
      <c r="G1462" s="37" t="s">
        <v>4432</v>
      </c>
      <c r="H1462" s="35" t="s">
        <v>3419</v>
      </c>
      <c r="I1462" s="35" t="s">
        <v>3453</v>
      </c>
      <c r="J1462" s="38">
        <v>5.454545454545455</v>
      </c>
      <c r="K1462" s="35">
        <v>1</v>
      </c>
      <c r="L1462" s="38">
        <f t="shared" si="22"/>
        <v>5.454545454545455</v>
      </c>
      <c r="M1462" s="35" t="s">
        <v>11</v>
      </c>
      <c r="N1462" s="38"/>
      <c r="O1462" s="35" t="s">
        <v>12</v>
      </c>
    </row>
    <row r="1463" spans="1:15" x14ac:dyDescent="0.25">
      <c r="A1463" s="35" t="s">
        <v>1359</v>
      </c>
      <c r="B1463" s="35" t="s">
        <v>3646</v>
      </c>
      <c r="C1463" s="35">
        <v>2025</v>
      </c>
      <c r="D1463" s="36">
        <v>45740</v>
      </c>
      <c r="E1463" s="37" t="s">
        <v>1282</v>
      </c>
      <c r="F1463" s="37" t="s">
        <v>4020</v>
      </c>
      <c r="G1463" s="37" t="s">
        <v>3687</v>
      </c>
      <c r="H1463" s="35" t="s">
        <v>3415</v>
      </c>
      <c r="I1463" s="35" t="s">
        <v>3453</v>
      </c>
      <c r="J1463" s="38">
        <v>0.98181818181818192</v>
      </c>
      <c r="K1463" s="35">
        <v>8</v>
      </c>
      <c r="L1463" s="38">
        <f t="shared" si="22"/>
        <v>7.8545454545454554</v>
      </c>
      <c r="M1463" s="35" t="s">
        <v>11</v>
      </c>
      <c r="N1463" s="38"/>
      <c r="O1463" s="35" t="s">
        <v>12</v>
      </c>
    </row>
    <row r="1464" spans="1:15" x14ac:dyDescent="0.25">
      <c r="A1464" s="35" t="s">
        <v>1359</v>
      </c>
      <c r="B1464" s="35" t="s">
        <v>3646</v>
      </c>
      <c r="C1464" s="35">
        <v>2025</v>
      </c>
      <c r="D1464" s="36">
        <v>45740</v>
      </c>
      <c r="E1464" s="37" t="s">
        <v>1282</v>
      </c>
      <c r="F1464" s="37" t="s">
        <v>3953</v>
      </c>
      <c r="G1464" s="37" t="s">
        <v>4392</v>
      </c>
      <c r="H1464" s="35" t="s">
        <v>3419</v>
      </c>
      <c r="I1464" s="35" t="s">
        <v>3453</v>
      </c>
      <c r="J1464" s="38">
        <v>0.81818181818181823</v>
      </c>
      <c r="K1464" s="35">
        <v>2</v>
      </c>
      <c r="L1464" s="38">
        <f t="shared" si="22"/>
        <v>1.6363636363636365</v>
      </c>
      <c r="M1464" s="35" t="s">
        <v>11</v>
      </c>
      <c r="N1464" s="38"/>
      <c r="O1464" s="35" t="s">
        <v>12</v>
      </c>
    </row>
    <row r="1465" spans="1:15" x14ac:dyDescent="0.25">
      <c r="A1465" s="35" t="s">
        <v>1359</v>
      </c>
      <c r="B1465" s="35" t="s">
        <v>3646</v>
      </c>
      <c r="C1465" s="35">
        <v>2025</v>
      </c>
      <c r="D1465" s="36">
        <v>45740</v>
      </c>
      <c r="E1465" s="37" t="s">
        <v>1282</v>
      </c>
      <c r="F1465" s="37" t="s">
        <v>4535</v>
      </c>
      <c r="G1465" s="37" t="s">
        <v>4392</v>
      </c>
      <c r="H1465" s="35" t="s">
        <v>3415</v>
      </c>
      <c r="I1465" s="35" t="s">
        <v>3453</v>
      </c>
      <c r="J1465" s="38">
        <v>0.54545454545454553</v>
      </c>
      <c r="K1465" s="35">
        <v>4</v>
      </c>
      <c r="L1465" s="38">
        <f t="shared" si="22"/>
        <v>2.1818181818181821</v>
      </c>
      <c r="M1465" s="35" t="s">
        <v>11</v>
      </c>
      <c r="N1465" s="38"/>
      <c r="O1465" s="35" t="s">
        <v>12</v>
      </c>
    </row>
    <row r="1466" spans="1:15" x14ac:dyDescent="0.25">
      <c r="A1466" s="35" t="s">
        <v>1359</v>
      </c>
      <c r="B1466" s="35" t="s">
        <v>3646</v>
      </c>
      <c r="C1466" s="35">
        <v>2025</v>
      </c>
      <c r="D1466" s="36">
        <v>45740</v>
      </c>
      <c r="E1466" s="37" t="s">
        <v>1282</v>
      </c>
      <c r="F1466" s="37" t="s">
        <v>4536</v>
      </c>
      <c r="G1466" s="37" t="s">
        <v>4392</v>
      </c>
      <c r="H1466" s="35" t="s">
        <v>3415</v>
      </c>
      <c r="I1466" s="35" t="s">
        <v>3453</v>
      </c>
      <c r="J1466" s="38">
        <v>0.27272727272727282</v>
      </c>
      <c r="K1466" s="35">
        <v>4</v>
      </c>
      <c r="L1466" s="38">
        <f t="shared" si="22"/>
        <v>1.0909090909090913</v>
      </c>
      <c r="M1466" s="35" t="s">
        <v>11</v>
      </c>
      <c r="N1466" s="38"/>
      <c r="O1466" s="35" t="s">
        <v>12</v>
      </c>
    </row>
    <row r="1467" spans="1:15" x14ac:dyDescent="0.25">
      <c r="A1467" s="35" t="s">
        <v>1359</v>
      </c>
      <c r="B1467" s="35" t="s">
        <v>3646</v>
      </c>
      <c r="C1467" s="35">
        <v>2025</v>
      </c>
      <c r="D1467" s="36">
        <v>45740</v>
      </c>
      <c r="E1467" s="37" t="s">
        <v>1282</v>
      </c>
      <c r="F1467" s="37" t="s">
        <v>4537</v>
      </c>
      <c r="G1467" s="37" t="s">
        <v>4392</v>
      </c>
      <c r="H1467" s="35" t="s">
        <v>3415</v>
      </c>
      <c r="I1467" s="35" t="s">
        <v>3453</v>
      </c>
      <c r="J1467" s="38">
        <v>0.4363636363636364</v>
      </c>
      <c r="K1467" s="35">
        <v>4</v>
      </c>
      <c r="L1467" s="38">
        <f t="shared" si="22"/>
        <v>1.7454545454545456</v>
      </c>
      <c r="M1467" s="35" t="s">
        <v>11</v>
      </c>
      <c r="N1467" s="38"/>
      <c r="O1467" s="35" t="s">
        <v>12</v>
      </c>
    </row>
    <row r="1468" spans="1:15" x14ac:dyDescent="0.25">
      <c r="A1468" s="35" t="s">
        <v>1359</v>
      </c>
      <c r="B1468" s="35" t="s">
        <v>3646</v>
      </c>
      <c r="C1468" s="35">
        <v>2025</v>
      </c>
      <c r="D1468" s="36">
        <v>45740</v>
      </c>
      <c r="E1468" s="37" t="s">
        <v>1282</v>
      </c>
      <c r="F1468" s="37" t="s">
        <v>4538</v>
      </c>
      <c r="G1468" s="37" t="s">
        <v>4392</v>
      </c>
      <c r="H1468" s="35" t="s">
        <v>3415</v>
      </c>
      <c r="I1468" s="35" t="s">
        <v>3453</v>
      </c>
      <c r="J1468" s="38">
        <v>0.4363636363636364</v>
      </c>
      <c r="K1468" s="35">
        <v>4</v>
      </c>
      <c r="L1468" s="38">
        <f t="shared" si="22"/>
        <v>1.7454545454545456</v>
      </c>
      <c r="M1468" s="35" t="s">
        <v>11</v>
      </c>
      <c r="N1468" s="38"/>
      <c r="O1468" s="35" t="s">
        <v>12</v>
      </c>
    </row>
    <row r="1469" spans="1:15" x14ac:dyDescent="0.25">
      <c r="A1469" s="35" t="s">
        <v>1359</v>
      </c>
      <c r="B1469" s="35" t="s">
        <v>3646</v>
      </c>
      <c r="C1469" s="35">
        <v>2025</v>
      </c>
      <c r="D1469" s="36">
        <v>45740</v>
      </c>
      <c r="E1469" s="37" t="s">
        <v>1282</v>
      </c>
      <c r="F1469" s="37" t="s">
        <v>4539</v>
      </c>
      <c r="G1469" s="37" t="s">
        <v>3797</v>
      </c>
      <c r="H1469" s="35" t="s">
        <v>3419</v>
      </c>
      <c r="I1469" s="35" t="s">
        <v>3453</v>
      </c>
      <c r="J1469" s="38">
        <v>10.90909090909091</v>
      </c>
      <c r="K1469" s="35">
        <v>2</v>
      </c>
      <c r="L1469" s="38">
        <f t="shared" si="22"/>
        <v>21.81818181818182</v>
      </c>
      <c r="M1469" s="35" t="s">
        <v>11</v>
      </c>
      <c r="N1469" s="38"/>
      <c r="O1469" s="35" t="s">
        <v>12</v>
      </c>
    </row>
    <row r="1470" spans="1:15" x14ac:dyDescent="0.25">
      <c r="A1470" s="35" t="s">
        <v>1359</v>
      </c>
      <c r="B1470" s="35" t="s">
        <v>3646</v>
      </c>
      <c r="C1470" s="35">
        <v>2025</v>
      </c>
      <c r="D1470" s="36">
        <v>45740</v>
      </c>
      <c r="E1470" s="37" t="s">
        <v>1282</v>
      </c>
      <c r="F1470" s="37" t="s">
        <v>3803</v>
      </c>
      <c r="G1470" s="37" t="s">
        <v>3751</v>
      </c>
      <c r="H1470" s="35" t="s">
        <v>3415</v>
      </c>
      <c r="I1470" s="35" t="s">
        <v>3453</v>
      </c>
      <c r="J1470" s="38">
        <v>0.98181818181818192</v>
      </c>
      <c r="K1470" s="35">
        <v>4</v>
      </c>
      <c r="L1470" s="38">
        <f t="shared" si="22"/>
        <v>3.9272727272727277</v>
      </c>
      <c r="M1470" s="35" t="s">
        <v>11</v>
      </c>
      <c r="N1470" s="38"/>
      <c r="O1470" s="35" t="s">
        <v>12</v>
      </c>
    </row>
    <row r="1471" spans="1:15" x14ac:dyDescent="0.25">
      <c r="A1471" s="35" t="s">
        <v>1359</v>
      </c>
      <c r="B1471" s="35" t="s">
        <v>3646</v>
      </c>
      <c r="C1471" s="35">
        <v>2025</v>
      </c>
      <c r="D1471" s="36">
        <v>45740</v>
      </c>
      <c r="E1471" s="37" t="s">
        <v>1282</v>
      </c>
      <c r="F1471" s="37" t="s">
        <v>3451</v>
      </c>
      <c r="G1471" s="37" t="s">
        <v>3699</v>
      </c>
      <c r="H1471" s="35" t="s">
        <v>3419</v>
      </c>
      <c r="I1471" s="35" t="s">
        <v>3453</v>
      </c>
      <c r="J1471" s="38">
        <v>13.527272727272729</v>
      </c>
      <c r="K1471" s="35">
        <v>3</v>
      </c>
      <c r="L1471" s="38">
        <f t="shared" si="22"/>
        <v>40.581818181818186</v>
      </c>
      <c r="M1471" s="35" t="s">
        <v>11</v>
      </c>
      <c r="N1471" s="38"/>
      <c r="O1471" s="35" t="s">
        <v>12</v>
      </c>
    </row>
    <row r="1472" spans="1:15" x14ac:dyDescent="0.25">
      <c r="A1472" s="35" t="s">
        <v>1359</v>
      </c>
      <c r="B1472" s="35" t="s">
        <v>3646</v>
      </c>
      <c r="C1472" s="35">
        <v>2025</v>
      </c>
      <c r="D1472" s="36">
        <v>45740</v>
      </c>
      <c r="E1472" s="37" t="s">
        <v>1282</v>
      </c>
      <c r="F1472" s="37" t="s">
        <v>4540</v>
      </c>
      <c r="G1472" s="37" t="s">
        <v>3699</v>
      </c>
      <c r="H1472" s="35" t="s">
        <v>3419</v>
      </c>
      <c r="I1472" s="35" t="s">
        <v>3453</v>
      </c>
      <c r="J1472" s="38">
        <v>3.709090909090909</v>
      </c>
      <c r="K1472" s="35">
        <v>1</v>
      </c>
      <c r="L1472" s="38">
        <f t="shared" si="22"/>
        <v>3.709090909090909</v>
      </c>
      <c r="M1472" s="35" t="s">
        <v>11</v>
      </c>
      <c r="N1472" s="38"/>
      <c r="O1472" s="35" t="s">
        <v>12</v>
      </c>
    </row>
    <row r="1473" spans="1:15" x14ac:dyDescent="0.25">
      <c r="A1473" s="35" t="s">
        <v>1359</v>
      </c>
      <c r="B1473" s="35" t="s">
        <v>3646</v>
      </c>
      <c r="C1473" s="35">
        <v>2025</v>
      </c>
      <c r="D1473" s="36">
        <v>45740</v>
      </c>
      <c r="E1473" s="37" t="s">
        <v>1282</v>
      </c>
      <c r="F1473" s="37" t="s">
        <v>4541</v>
      </c>
      <c r="G1473" s="37" t="s">
        <v>3648</v>
      </c>
      <c r="H1473" s="35" t="s">
        <v>3415</v>
      </c>
      <c r="I1473" s="35" t="s">
        <v>3453</v>
      </c>
      <c r="J1473" s="38">
        <v>0.27272727272727282</v>
      </c>
      <c r="K1473" s="35">
        <v>4</v>
      </c>
      <c r="L1473" s="38">
        <f t="shared" si="22"/>
        <v>1.0909090909090913</v>
      </c>
      <c r="M1473" s="35" t="s">
        <v>11</v>
      </c>
      <c r="N1473" s="38"/>
      <c r="O1473" s="35" t="s">
        <v>12</v>
      </c>
    </row>
    <row r="1474" spans="1:15" x14ac:dyDescent="0.25">
      <c r="A1474" s="35" t="s">
        <v>1359</v>
      </c>
      <c r="B1474" s="35" t="s">
        <v>3646</v>
      </c>
      <c r="C1474" s="35">
        <v>2025</v>
      </c>
      <c r="D1474" s="36">
        <v>45740</v>
      </c>
      <c r="E1474" s="37" t="s">
        <v>1282</v>
      </c>
      <c r="F1474" s="37" t="s">
        <v>4464</v>
      </c>
      <c r="G1474" s="37" t="s">
        <v>3648</v>
      </c>
      <c r="H1474" s="35" t="s">
        <v>3419</v>
      </c>
      <c r="I1474" s="35" t="s">
        <v>3453</v>
      </c>
      <c r="J1474" s="38">
        <v>3.8181818181818179</v>
      </c>
      <c r="K1474" s="35">
        <v>3</v>
      </c>
      <c r="L1474" s="38">
        <f t="shared" ref="L1474:L1537" si="23">J1474*K1474</f>
        <v>11.454545454545453</v>
      </c>
      <c r="M1474" s="35" t="s">
        <v>11</v>
      </c>
      <c r="N1474" s="38"/>
      <c r="O1474" s="35" t="s">
        <v>12</v>
      </c>
    </row>
    <row r="1475" spans="1:15" x14ac:dyDescent="0.25">
      <c r="A1475" s="35" t="s">
        <v>1359</v>
      </c>
      <c r="B1475" s="35" t="s">
        <v>3646</v>
      </c>
      <c r="C1475" s="35">
        <v>2025</v>
      </c>
      <c r="D1475" s="36">
        <v>45740</v>
      </c>
      <c r="E1475" s="37" t="s">
        <v>1282</v>
      </c>
      <c r="F1475" s="37" t="s">
        <v>4465</v>
      </c>
      <c r="G1475" s="37" t="s">
        <v>3788</v>
      </c>
      <c r="H1475" s="35" t="s">
        <v>3419</v>
      </c>
      <c r="I1475" s="35" t="s">
        <v>3453</v>
      </c>
      <c r="J1475" s="38">
        <v>3.2727272727272729</v>
      </c>
      <c r="K1475" s="35">
        <v>3</v>
      </c>
      <c r="L1475" s="38">
        <f t="shared" si="23"/>
        <v>9.8181818181818183</v>
      </c>
      <c r="M1475" s="35" t="s">
        <v>11</v>
      </c>
      <c r="N1475" s="38"/>
      <c r="O1475" s="35" t="s">
        <v>12</v>
      </c>
    </row>
    <row r="1476" spans="1:15" x14ac:dyDescent="0.25">
      <c r="A1476" s="35" t="s">
        <v>1359</v>
      </c>
      <c r="B1476" s="35" t="s">
        <v>3646</v>
      </c>
      <c r="C1476" s="35">
        <v>2025</v>
      </c>
      <c r="D1476" s="36">
        <v>45740</v>
      </c>
      <c r="E1476" s="37" t="s">
        <v>1282</v>
      </c>
      <c r="F1476" s="37" t="s">
        <v>3943</v>
      </c>
      <c r="G1476" s="37" t="s">
        <v>3788</v>
      </c>
      <c r="H1476" s="35" t="s">
        <v>3415</v>
      </c>
      <c r="I1476" s="35" t="s">
        <v>3453</v>
      </c>
      <c r="J1476" s="38">
        <v>2.0727272727272732</v>
      </c>
      <c r="K1476" s="35">
        <v>4</v>
      </c>
      <c r="L1476" s="38">
        <f t="shared" si="23"/>
        <v>8.2909090909090928</v>
      </c>
      <c r="M1476" s="35" t="s">
        <v>11</v>
      </c>
      <c r="N1476" s="38"/>
      <c r="O1476" s="35" t="s">
        <v>12</v>
      </c>
    </row>
    <row r="1477" spans="1:15" x14ac:dyDescent="0.25">
      <c r="A1477" s="35" t="s">
        <v>1359</v>
      </c>
      <c r="B1477" s="35" t="s">
        <v>3646</v>
      </c>
      <c r="C1477" s="35">
        <v>2025</v>
      </c>
      <c r="D1477" s="36">
        <v>45740</v>
      </c>
      <c r="E1477" s="37" t="s">
        <v>1282</v>
      </c>
      <c r="F1477" s="37" t="s">
        <v>4542</v>
      </c>
      <c r="G1477" s="37" t="s">
        <v>4543</v>
      </c>
      <c r="H1477" s="35" t="s">
        <v>3419</v>
      </c>
      <c r="I1477" s="35" t="s">
        <v>3416</v>
      </c>
      <c r="J1477" s="38">
        <v>6.5454545454545459</v>
      </c>
      <c r="K1477" s="35">
        <v>3</v>
      </c>
      <c r="L1477" s="38">
        <f t="shared" si="23"/>
        <v>19.636363636363637</v>
      </c>
      <c r="M1477" s="35" t="s">
        <v>11</v>
      </c>
      <c r="N1477" s="38"/>
      <c r="O1477" s="35" t="s">
        <v>12</v>
      </c>
    </row>
    <row r="1478" spans="1:15" x14ac:dyDescent="0.25">
      <c r="A1478" s="35" t="s">
        <v>1359</v>
      </c>
      <c r="B1478" s="35" t="s">
        <v>3646</v>
      </c>
      <c r="C1478" s="35">
        <v>2025</v>
      </c>
      <c r="D1478" s="36">
        <v>45740</v>
      </c>
      <c r="E1478" s="37" t="s">
        <v>1282</v>
      </c>
      <c r="F1478" s="37" t="s">
        <v>4544</v>
      </c>
      <c r="G1478" s="37" t="s">
        <v>3788</v>
      </c>
      <c r="H1478" s="35" t="s">
        <v>3415</v>
      </c>
      <c r="I1478" s="35" t="s">
        <v>3453</v>
      </c>
      <c r="J1478" s="38">
        <v>3.163636363636364</v>
      </c>
      <c r="K1478" s="35">
        <v>4</v>
      </c>
      <c r="L1478" s="38">
        <f t="shared" si="23"/>
        <v>12.654545454545456</v>
      </c>
      <c r="M1478" s="35" t="s">
        <v>11</v>
      </c>
      <c r="N1478" s="38"/>
      <c r="O1478" s="35" t="s">
        <v>12</v>
      </c>
    </row>
    <row r="1479" spans="1:15" x14ac:dyDescent="0.25">
      <c r="A1479" s="35" t="s">
        <v>1359</v>
      </c>
      <c r="B1479" s="35" t="s">
        <v>3646</v>
      </c>
      <c r="C1479" s="35">
        <v>2025</v>
      </c>
      <c r="D1479" s="36">
        <v>45740</v>
      </c>
      <c r="E1479" s="37" t="s">
        <v>1282</v>
      </c>
      <c r="F1479" s="37" t="s">
        <v>4454</v>
      </c>
      <c r="G1479" s="37" t="s">
        <v>3886</v>
      </c>
      <c r="H1479" s="35" t="s">
        <v>3415</v>
      </c>
      <c r="I1479" s="35" t="s">
        <v>3453</v>
      </c>
      <c r="J1479" s="38">
        <v>0.4363636363636364</v>
      </c>
      <c r="K1479" s="35">
        <v>10</v>
      </c>
      <c r="L1479" s="38">
        <f t="shared" si="23"/>
        <v>4.3636363636363642</v>
      </c>
      <c r="M1479" s="35" t="s">
        <v>11</v>
      </c>
      <c r="N1479" s="38"/>
      <c r="O1479" s="35" t="s">
        <v>12</v>
      </c>
    </row>
    <row r="1480" spans="1:15" x14ac:dyDescent="0.25">
      <c r="A1480" s="35" t="s">
        <v>1359</v>
      </c>
      <c r="B1480" s="35" t="s">
        <v>3646</v>
      </c>
      <c r="C1480" s="35">
        <v>2025</v>
      </c>
      <c r="D1480" s="36">
        <v>45740</v>
      </c>
      <c r="E1480" s="37" t="s">
        <v>1282</v>
      </c>
      <c r="F1480" s="37" t="s">
        <v>4454</v>
      </c>
      <c r="G1480" s="37" t="s">
        <v>3886</v>
      </c>
      <c r="H1480" s="35" t="s">
        <v>3415</v>
      </c>
      <c r="I1480" s="35" t="s">
        <v>3453</v>
      </c>
      <c r="J1480" s="38">
        <v>0.27272727272727282</v>
      </c>
      <c r="K1480" s="35">
        <v>10</v>
      </c>
      <c r="L1480" s="38">
        <f t="shared" si="23"/>
        <v>2.7272727272727284</v>
      </c>
      <c r="M1480" s="35" t="s">
        <v>11</v>
      </c>
      <c r="N1480" s="38"/>
      <c r="O1480" s="35" t="s">
        <v>12</v>
      </c>
    </row>
    <row r="1481" spans="1:15" x14ac:dyDescent="0.25">
      <c r="A1481" s="35" t="s">
        <v>1359</v>
      </c>
      <c r="B1481" s="35" t="s">
        <v>3646</v>
      </c>
      <c r="C1481" s="35">
        <v>2025</v>
      </c>
      <c r="D1481" s="36">
        <v>45740</v>
      </c>
      <c r="E1481" s="37" t="s">
        <v>1282</v>
      </c>
      <c r="F1481" s="37" t="s">
        <v>4454</v>
      </c>
      <c r="G1481" s="37" t="s">
        <v>3886</v>
      </c>
      <c r="H1481" s="35" t="s">
        <v>3415</v>
      </c>
      <c r="I1481" s="35" t="s">
        <v>3453</v>
      </c>
      <c r="J1481" s="38">
        <v>0.4363636363636364</v>
      </c>
      <c r="K1481" s="35">
        <v>9</v>
      </c>
      <c r="L1481" s="38">
        <f t="shared" si="23"/>
        <v>3.9272727272727277</v>
      </c>
      <c r="M1481" s="35" t="s">
        <v>11</v>
      </c>
      <c r="N1481" s="38"/>
      <c r="O1481" s="35" t="s">
        <v>12</v>
      </c>
    </row>
    <row r="1482" spans="1:15" x14ac:dyDescent="0.25">
      <c r="A1482" s="35" t="s">
        <v>1359</v>
      </c>
      <c r="B1482" s="35" t="s">
        <v>3646</v>
      </c>
      <c r="C1482" s="35">
        <v>2025</v>
      </c>
      <c r="D1482" s="36">
        <v>45740</v>
      </c>
      <c r="E1482" s="37" t="s">
        <v>1282</v>
      </c>
      <c r="F1482" s="37" t="s">
        <v>4455</v>
      </c>
      <c r="G1482" s="37" t="s">
        <v>3886</v>
      </c>
      <c r="H1482" s="35" t="s">
        <v>3415</v>
      </c>
      <c r="I1482" s="35" t="s">
        <v>3453</v>
      </c>
      <c r="J1482" s="38">
        <v>0.54545454545454553</v>
      </c>
      <c r="K1482" s="35">
        <v>10</v>
      </c>
      <c r="L1482" s="38">
        <f t="shared" si="23"/>
        <v>5.454545454545455</v>
      </c>
      <c r="M1482" s="35" t="s">
        <v>11</v>
      </c>
      <c r="N1482" s="38"/>
      <c r="O1482" s="35" t="s">
        <v>12</v>
      </c>
    </row>
    <row r="1483" spans="1:15" x14ac:dyDescent="0.25">
      <c r="A1483" s="35" t="s">
        <v>1359</v>
      </c>
      <c r="B1483" s="35" t="s">
        <v>3646</v>
      </c>
      <c r="C1483" s="35">
        <v>2025</v>
      </c>
      <c r="D1483" s="36">
        <v>45740</v>
      </c>
      <c r="E1483" s="37" t="s">
        <v>1282</v>
      </c>
      <c r="F1483" s="37" t="s">
        <v>4455</v>
      </c>
      <c r="G1483" s="37" t="s">
        <v>3886</v>
      </c>
      <c r="H1483" s="35" t="s">
        <v>3415</v>
      </c>
      <c r="I1483" s="35" t="s">
        <v>3453</v>
      </c>
      <c r="J1483" s="38">
        <v>0.54545454545454553</v>
      </c>
      <c r="K1483" s="35">
        <v>10</v>
      </c>
      <c r="L1483" s="38">
        <f t="shared" si="23"/>
        <v>5.454545454545455</v>
      </c>
      <c r="M1483" s="35" t="s">
        <v>11</v>
      </c>
      <c r="N1483" s="38"/>
      <c r="O1483" s="35" t="s">
        <v>12</v>
      </c>
    </row>
    <row r="1484" spans="1:15" x14ac:dyDescent="0.25">
      <c r="A1484" s="35">
        <v>1201280345</v>
      </c>
      <c r="B1484" s="35" t="s">
        <v>3646</v>
      </c>
      <c r="C1484" s="35">
        <v>2025</v>
      </c>
      <c r="D1484" s="36">
        <v>45730.341111111113</v>
      </c>
      <c r="E1484" s="37" t="s">
        <v>8</v>
      </c>
      <c r="F1484" s="37" t="s">
        <v>4545</v>
      </c>
      <c r="G1484" s="37" t="s">
        <v>4103</v>
      </c>
      <c r="H1484" s="35" t="s">
        <v>3415</v>
      </c>
      <c r="I1484" s="35" t="s">
        <v>3416</v>
      </c>
      <c r="J1484" s="38">
        <v>0.15</v>
      </c>
      <c r="K1484" s="35">
        <v>4</v>
      </c>
      <c r="L1484" s="38">
        <f t="shared" si="23"/>
        <v>0.6</v>
      </c>
      <c r="M1484" s="42" t="s">
        <v>11</v>
      </c>
      <c r="N1484" s="38"/>
      <c r="O1484" s="35" t="s">
        <v>12</v>
      </c>
    </row>
    <row r="1485" spans="1:15" x14ac:dyDescent="0.25">
      <c r="A1485" s="35">
        <v>1200766984</v>
      </c>
      <c r="B1485" s="35" t="s">
        <v>3646</v>
      </c>
      <c r="C1485" s="35">
        <v>2025</v>
      </c>
      <c r="D1485" s="36">
        <v>45727.442071759258</v>
      </c>
      <c r="E1485" s="37" t="s">
        <v>1379</v>
      </c>
      <c r="F1485" s="37" t="s">
        <v>4547</v>
      </c>
      <c r="G1485" s="37" t="s">
        <v>3740</v>
      </c>
      <c r="H1485" s="35" t="s">
        <v>3419</v>
      </c>
      <c r="I1485" s="35" t="s">
        <v>3416</v>
      </c>
      <c r="J1485" s="38">
        <v>4.165</v>
      </c>
      <c r="K1485" s="35">
        <v>2</v>
      </c>
      <c r="L1485" s="38">
        <f t="shared" si="23"/>
        <v>8.33</v>
      </c>
      <c r="M1485" s="35" t="s">
        <v>11</v>
      </c>
      <c r="N1485" s="38"/>
      <c r="O1485" s="35" t="s">
        <v>12</v>
      </c>
    </row>
    <row r="1486" spans="1:15" x14ac:dyDescent="0.25">
      <c r="A1486" s="35" t="s">
        <v>1371</v>
      </c>
      <c r="B1486" s="35" t="s">
        <v>3646</v>
      </c>
      <c r="C1486" s="35">
        <v>2025</v>
      </c>
      <c r="D1486" s="36">
        <v>45727</v>
      </c>
      <c r="E1486" s="37" t="s">
        <v>1372</v>
      </c>
      <c r="F1486" s="37" t="s">
        <v>4548</v>
      </c>
      <c r="G1486" s="37" t="s">
        <v>3952</v>
      </c>
      <c r="H1486" s="35" t="s">
        <v>3419</v>
      </c>
      <c r="I1486" s="35" t="s">
        <v>3416</v>
      </c>
      <c r="J1486" s="38">
        <v>220</v>
      </c>
      <c r="K1486" s="35">
        <v>1</v>
      </c>
      <c r="L1486" s="38">
        <f t="shared" si="23"/>
        <v>220</v>
      </c>
      <c r="M1486" s="35" t="s">
        <v>11</v>
      </c>
      <c r="N1486" s="38"/>
      <c r="O1486" s="35" t="s">
        <v>12</v>
      </c>
    </row>
    <row r="1487" spans="1:15" x14ac:dyDescent="0.25">
      <c r="A1487" s="35" t="s">
        <v>1374</v>
      </c>
      <c r="B1487" s="35" t="s">
        <v>3646</v>
      </c>
      <c r="C1487" s="35">
        <v>2025</v>
      </c>
      <c r="D1487" s="36">
        <v>45727</v>
      </c>
      <c r="E1487" s="37" t="s">
        <v>1375</v>
      </c>
      <c r="F1487" s="37" t="s">
        <v>4548</v>
      </c>
      <c r="G1487" s="37" t="s">
        <v>3952</v>
      </c>
      <c r="H1487" s="35" t="s">
        <v>3419</v>
      </c>
      <c r="I1487" s="35" t="s">
        <v>3416</v>
      </c>
      <c r="J1487" s="38">
        <v>205</v>
      </c>
      <c r="K1487" s="35">
        <v>1</v>
      </c>
      <c r="L1487" s="38">
        <f t="shared" si="23"/>
        <v>205</v>
      </c>
      <c r="M1487" s="35" t="s">
        <v>11</v>
      </c>
      <c r="N1487" s="38"/>
      <c r="O1487" s="35" t="s">
        <v>12</v>
      </c>
    </row>
    <row r="1488" spans="1:15" x14ac:dyDescent="0.25">
      <c r="A1488" s="35" t="s">
        <v>1376</v>
      </c>
      <c r="B1488" s="35" t="s">
        <v>3646</v>
      </c>
      <c r="C1488" s="35">
        <v>2025</v>
      </c>
      <c r="D1488" s="36">
        <v>45727</v>
      </c>
      <c r="E1488" s="37" t="s">
        <v>1377</v>
      </c>
      <c r="F1488" s="37" t="s">
        <v>4549</v>
      </c>
      <c r="G1488" s="37" t="s">
        <v>3742</v>
      </c>
      <c r="H1488" s="35" t="s">
        <v>3419</v>
      </c>
      <c r="I1488" s="35" t="s">
        <v>3453</v>
      </c>
      <c r="J1488" s="38">
        <v>2.5</v>
      </c>
      <c r="K1488" s="35">
        <v>4</v>
      </c>
      <c r="L1488" s="38">
        <f t="shared" si="23"/>
        <v>10</v>
      </c>
      <c r="M1488" s="35" t="s">
        <v>11</v>
      </c>
      <c r="N1488" s="38"/>
      <c r="O1488" s="35" t="s">
        <v>12</v>
      </c>
    </row>
    <row r="1489" spans="1:15" x14ac:dyDescent="0.25">
      <c r="A1489" s="35" t="s">
        <v>1376</v>
      </c>
      <c r="B1489" s="35" t="s">
        <v>3646</v>
      </c>
      <c r="C1489" s="35">
        <v>2025</v>
      </c>
      <c r="D1489" s="36">
        <v>45727</v>
      </c>
      <c r="E1489" s="37" t="s">
        <v>1377</v>
      </c>
      <c r="F1489" s="37" t="s">
        <v>4550</v>
      </c>
      <c r="G1489" s="37" t="s">
        <v>3742</v>
      </c>
      <c r="H1489" s="35" t="s">
        <v>3419</v>
      </c>
      <c r="I1489" s="35" t="s">
        <v>3453</v>
      </c>
      <c r="J1489" s="38">
        <v>6.5</v>
      </c>
      <c r="K1489" s="35">
        <v>3</v>
      </c>
      <c r="L1489" s="38">
        <f t="shared" si="23"/>
        <v>19.5</v>
      </c>
      <c r="M1489" s="35" t="s">
        <v>11</v>
      </c>
      <c r="N1489" s="38"/>
      <c r="O1489" s="35" t="s">
        <v>12</v>
      </c>
    </row>
    <row r="1490" spans="1:15" x14ac:dyDescent="0.25">
      <c r="A1490" s="35" t="s">
        <v>1376</v>
      </c>
      <c r="B1490" s="35" t="s">
        <v>3646</v>
      </c>
      <c r="C1490" s="35">
        <v>2025</v>
      </c>
      <c r="D1490" s="36">
        <v>45727</v>
      </c>
      <c r="E1490" s="37" t="s">
        <v>1377</v>
      </c>
      <c r="F1490" s="37" t="s">
        <v>4551</v>
      </c>
      <c r="G1490" s="37" t="s">
        <v>3839</v>
      </c>
      <c r="H1490" s="35" t="s">
        <v>3419</v>
      </c>
      <c r="I1490" s="35" t="s">
        <v>3453</v>
      </c>
      <c r="J1490" s="38">
        <v>1.5</v>
      </c>
      <c r="K1490" s="35">
        <v>2</v>
      </c>
      <c r="L1490" s="38">
        <f t="shared" si="23"/>
        <v>3</v>
      </c>
      <c r="M1490" s="35" t="s">
        <v>11</v>
      </c>
      <c r="N1490" s="38"/>
      <c r="O1490" s="35" t="s">
        <v>12</v>
      </c>
    </row>
    <row r="1491" spans="1:15" x14ac:dyDescent="0.25">
      <c r="A1491" s="35" t="s">
        <v>1376</v>
      </c>
      <c r="B1491" s="35" t="s">
        <v>3646</v>
      </c>
      <c r="C1491" s="35">
        <v>2025</v>
      </c>
      <c r="D1491" s="36">
        <v>45727</v>
      </c>
      <c r="E1491" s="37" t="s">
        <v>1377</v>
      </c>
      <c r="F1491" s="37" t="s">
        <v>4552</v>
      </c>
      <c r="G1491" s="37" t="s">
        <v>3967</v>
      </c>
      <c r="H1491" s="35" t="s">
        <v>3419</v>
      </c>
      <c r="I1491" s="35" t="s">
        <v>3453</v>
      </c>
      <c r="J1491" s="38">
        <v>24</v>
      </c>
      <c r="K1491" s="35">
        <v>3</v>
      </c>
      <c r="L1491" s="38">
        <f t="shared" si="23"/>
        <v>72</v>
      </c>
      <c r="M1491" s="35" t="s">
        <v>11</v>
      </c>
      <c r="N1491" s="38"/>
      <c r="O1491" s="35" t="s">
        <v>12</v>
      </c>
    </row>
    <row r="1492" spans="1:15" x14ac:dyDescent="0.25">
      <c r="A1492" s="35">
        <v>1200449065</v>
      </c>
      <c r="B1492" s="35" t="s">
        <v>3646</v>
      </c>
      <c r="C1492" s="35">
        <v>2025</v>
      </c>
      <c r="D1492" s="36">
        <v>45725.017604166656</v>
      </c>
      <c r="E1492" s="37" t="s">
        <v>469</v>
      </c>
      <c r="F1492" s="37" t="s">
        <v>4553</v>
      </c>
      <c r="G1492" s="37" t="s">
        <v>4309</v>
      </c>
      <c r="H1492" s="35" t="s">
        <v>3419</v>
      </c>
      <c r="I1492" s="35" t="s">
        <v>3416</v>
      </c>
      <c r="J1492" s="38">
        <v>0.31565217391304351</v>
      </c>
      <c r="K1492" s="35">
        <v>2</v>
      </c>
      <c r="L1492" s="38">
        <f t="shared" si="23"/>
        <v>0.63130434782608702</v>
      </c>
      <c r="M1492" s="35" t="s">
        <v>11</v>
      </c>
      <c r="N1492" s="38"/>
      <c r="O1492" s="35" t="s">
        <v>12</v>
      </c>
    </row>
    <row r="1493" spans="1:15" x14ac:dyDescent="0.25">
      <c r="A1493" s="35">
        <v>1200449065</v>
      </c>
      <c r="B1493" s="35" t="s">
        <v>3646</v>
      </c>
      <c r="C1493" s="35">
        <v>2025</v>
      </c>
      <c r="D1493" s="36">
        <v>45725.017604166656</v>
      </c>
      <c r="E1493" s="37" t="s">
        <v>469</v>
      </c>
      <c r="F1493" s="37" t="s">
        <v>4554</v>
      </c>
      <c r="G1493" s="37" t="s">
        <v>4110</v>
      </c>
      <c r="H1493" s="35" t="s">
        <v>3419</v>
      </c>
      <c r="I1493" s="35" t="s">
        <v>3416</v>
      </c>
      <c r="J1493" s="38">
        <v>1.183695652173913</v>
      </c>
      <c r="K1493" s="35">
        <v>2</v>
      </c>
      <c r="L1493" s="38">
        <f t="shared" si="23"/>
        <v>2.3673913043478261</v>
      </c>
      <c r="M1493" s="35" t="s">
        <v>11</v>
      </c>
      <c r="N1493" s="38"/>
      <c r="O1493" s="35" t="s">
        <v>12</v>
      </c>
    </row>
    <row r="1494" spans="1:15" x14ac:dyDescent="0.25">
      <c r="A1494" s="35">
        <v>1200449065</v>
      </c>
      <c r="B1494" s="35" t="s">
        <v>3646</v>
      </c>
      <c r="C1494" s="35">
        <v>2025</v>
      </c>
      <c r="D1494" s="36">
        <v>45725.017604166656</v>
      </c>
      <c r="E1494" s="37" t="s">
        <v>469</v>
      </c>
      <c r="F1494" s="37" t="s">
        <v>4555</v>
      </c>
      <c r="G1494" s="37" t="s">
        <v>3658</v>
      </c>
      <c r="H1494" s="35" t="s">
        <v>3419</v>
      </c>
      <c r="I1494" s="35" t="s">
        <v>3416</v>
      </c>
      <c r="J1494" s="38">
        <v>0.31565217391304351</v>
      </c>
      <c r="K1494" s="35">
        <v>2</v>
      </c>
      <c r="L1494" s="38">
        <f t="shared" si="23"/>
        <v>0.63130434782608702</v>
      </c>
      <c r="M1494" s="35" t="s">
        <v>11</v>
      </c>
      <c r="N1494" s="38"/>
      <c r="O1494" s="35" t="s">
        <v>12</v>
      </c>
    </row>
    <row r="1495" spans="1:15" x14ac:dyDescent="0.25">
      <c r="A1495" s="35">
        <v>1200448424</v>
      </c>
      <c r="B1495" s="35" t="s">
        <v>3646</v>
      </c>
      <c r="C1495" s="35">
        <v>2025</v>
      </c>
      <c r="D1495" s="36">
        <v>45725.0153587963</v>
      </c>
      <c r="E1495" s="37" t="s">
        <v>469</v>
      </c>
      <c r="F1495" s="37" t="s">
        <v>4556</v>
      </c>
      <c r="G1495" s="37" t="s">
        <v>3710</v>
      </c>
      <c r="H1495" s="35" t="s">
        <v>3415</v>
      </c>
      <c r="I1495" s="35" t="s">
        <v>3453</v>
      </c>
      <c r="J1495" s="38">
        <v>17.432500000000001</v>
      </c>
      <c r="K1495" s="35">
        <v>4</v>
      </c>
      <c r="L1495" s="38">
        <f t="shared" si="23"/>
        <v>69.73</v>
      </c>
      <c r="M1495" s="35" t="s">
        <v>11</v>
      </c>
      <c r="N1495" s="38"/>
      <c r="O1495" s="35" t="s">
        <v>12</v>
      </c>
    </row>
    <row r="1496" spans="1:15" x14ac:dyDescent="0.25">
      <c r="A1496" s="35">
        <v>1200252455</v>
      </c>
      <c r="B1496" s="35" t="s">
        <v>3646</v>
      </c>
      <c r="C1496" s="35">
        <v>2025</v>
      </c>
      <c r="D1496" s="36">
        <v>45723.981793981482</v>
      </c>
      <c r="E1496" s="37" t="s">
        <v>501</v>
      </c>
      <c r="F1496" s="37" t="s">
        <v>4558</v>
      </c>
      <c r="G1496" s="37" t="s">
        <v>4398</v>
      </c>
      <c r="H1496" s="35" t="s">
        <v>3419</v>
      </c>
      <c r="I1496" s="35" t="s">
        <v>3453</v>
      </c>
      <c r="J1496" s="38">
        <v>48.88</v>
      </c>
      <c r="K1496" s="35">
        <v>1</v>
      </c>
      <c r="L1496" s="38">
        <f t="shared" si="23"/>
        <v>48.88</v>
      </c>
      <c r="M1496" s="35" t="s">
        <v>11</v>
      </c>
      <c r="N1496" s="38"/>
      <c r="O1496" s="35" t="s">
        <v>12</v>
      </c>
    </row>
    <row r="1497" spans="1:15" x14ac:dyDescent="0.25">
      <c r="A1497" s="35">
        <v>1200219864</v>
      </c>
      <c r="B1497" s="35" t="s">
        <v>3646</v>
      </c>
      <c r="C1497" s="35">
        <v>2025</v>
      </c>
      <c r="D1497" s="36">
        <v>45723.746898148151</v>
      </c>
      <c r="E1497" s="37" t="s">
        <v>1400</v>
      </c>
      <c r="F1497" s="37" t="s">
        <v>4558</v>
      </c>
      <c r="G1497" s="37" t="s">
        <v>4398</v>
      </c>
      <c r="H1497" s="35" t="s">
        <v>3419</v>
      </c>
      <c r="I1497" s="35" t="s">
        <v>3453</v>
      </c>
      <c r="J1497" s="38">
        <v>50.93</v>
      </c>
      <c r="K1497" s="35">
        <v>1</v>
      </c>
      <c r="L1497" s="38">
        <f t="shared" si="23"/>
        <v>50.93</v>
      </c>
      <c r="M1497" s="35" t="s">
        <v>11</v>
      </c>
      <c r="N1497" s="38"/>
      <c r="O1497" s="35" t="s">
        <v>12</v>
      </c>
    </row>
    <row r="1498" spans="1:15" x14ac:dyDescent="0.25">
      <c r="A1498" s="35">
        <v>1200167959</v>
      </c>
      <c r="B1498" s="35" t="s">
        <v>3646</v>
      </c>
      <c r="C1498" s="35">
        <v>2025</v>
      </c>
      <c r="D1498" s="36">
        <v>45723.458935185183</v>
      </c>
      <c r="E1498" s="37" t="s">
        <v>414</v>
      </c>
      <c r="F1498" s="37" t="s">
        <v>4558</v>
      </c>
      <c r="G1498" s="37" t="s">
        <v>4398</v>
      </c>
      <c r="H1498" s="35" t="s">
        <v>3419</v>
      </c>
      <c r="I1498" s="35" t="s">
        <v>3453</v>
      </c>
      <c r="J1498" s="38">
        <v>52.954999999999998</v>
      </c>
      <c r="K1498" s="35">
        <v>2</v>
      </c>
      <c r="L1498" s="38">
        <f t="shared" si="23"/>
        <v>105.91</v>
      </c>
      <c r="M1498" s="35" t="s">
        <v>11</v>
      </c>
      <c r="N1498" s="38"/>
      <c r="O1498" s="35" t="s">
        <v>12</v>
      </c>
    </row>
    <row r="1499" spans="1:15" x14ac:dyDescent="0.25">
      <c r="A1499" s="35" t="s">
        <v>1391</v>
      </c>
      <c r="B1499" s="35" t="s">
        <v>3646</v>
      </c>
      <c r="C1499" s="35">
        <v>2025</v>
      </c>
      <c r="D1499" s="36">
        <v>45723</v>
      </c>
      <c r="E1499" s="37" t="s">
        <v>494</v>
      </c>
      <c r="F1499" s="37" t="s">
        <v>4562</v>
      </c>
      <c r="G1499" s="37" t="s">
        <v>4398</v>
      </c>
      <c r="H1499" s="35" t="s">
        <v>3419</v>
      </c>
      <c r="I1499" s="35" t="s">
        <v>3453</v>
      </c>
      <c r="J1499" s="38">
        <v>39</v>
      </c>
      <c r="K1499" s="35">
        <v>2</v>
      </c>
      <c r="L1499" s="38">
        <f t="shared" si="23"/>
        <v>78</v>
      </c>
      <c r="M1499" s="35" t="s">
        <v>11</v>
      </c>
      <c r="N1499" s="38"/>
      <c r="O1499" s="35" t="s">
        <v>12</v>
      </c>
    </row>
    <row r="1500" spans="1:15" x14ac:dyDescent="0.25">
      <c r="A1500" s="35" t="s">
        <v>1391</v>
      </c>
      <c r="B1500" s="35" t="s">
        <v>3646</v>
      </c>
      <c r="C1500" s="35">
        <v>2025</v>
      </c>
      <c r="D1500" s="36">
        <v>45723</v>
      </c>
      <c r="E1500" s="37" t="s">
        <v>494</v>
      </c>
      <c r="F1500" s="37" t="s">
        <v>4563</v>
      </c>
      <c r="G1500" s="37" t="s">
        <v>4398</v>
      </c>
      <c r="H1500" s="35" t="s">
        <v>3419</v>
      </c>
      <c r="I1500" s="35" t="s">
        <v>3453</v>
      </c>
      <c r="J1500" s="38">
        <v>24</v>
      </c>
      <c r="K1500" s="35">
        <v>4</v>
      </c>
      <c r="L1500" s="38">
        <f t="shared" si="23"/>
        <v>96</v>
      </c>
      <c r="M1500" s="35" t="s">
        <v>11</v>
      </c>
      <c r="N1500" s="38"/>
      <c r="O1500" s="35" t="s">
        <v>12</v>
      </c>
    </row>
    <row r="1501" spans="1:15" x14ac:dyDescent="0.25">
      <c r="A1501" s="35" t="s">
        <v>1391</v>
      </c>
      <c r="B1501" s="35" t="s">
        <v>3646</v>
      </c>
      <c r="C1501" s="35">
        <v>2025</v>
      </c>
      <c r="D1501" s="36">
        <v>45723</v>
      </c>
      <c r="E1501" s="37" t="s">
        <v>494</v>
      </c>
      <c r="F1501" s="37" t="s">
        <v>4564</v>
      </c>
      <c r="G1501" s="37" t="s">
        <v>3696</v>
      </c>
      <c r="H1501" s="35" t="s">
        <v>3419</v>
      </c>
      <c r="I1501" s="35" t="s">
        <v>3453</v>
      </c>
      <c r="J1501" s="38">
        <v>10</v>
      </c>
      <c r="K1501" s="35">
        <v>4</v>
      </c>
      <c r="L1501" s="38">
        <f t="shared" si="23"/>
        <v>40</v>
      </c>
      <c r="M1501" s="35" t="s">
        <v>11</v>
      </c>
      <c r="N1501" s="38"/>
      <c r="O1501" s="35" t="s">
        <v>12</v>
      </c>
    </row>
    <row r="1502" spans="1:15" x14ac:dyDescent="0.25">
      <c r="A1502" s="35" t="s">
        <v>1391</v>
      </c>
      <c r="B1502" s="35" t="s">
        <v>3646</v>
      </c>
      <c r="C1502" s="35">
        <v>2025</v>
      </c>
      <c r="D1502" s="36">
        <v>45723</v>
      </c>
      <c r="E1502" s="37" t="s">
        <v>494</v>
      </c>
      <c r="F1502" s="37" t="s">
        <v>4565</v>
      </c>
      <c r="G1502" s="37" t="s">
        <v>4019</v>
      </c>
      <c r="H1502" s="35" t="s">
        <v>3419</v>
      </c>
      <c r="I1502" s="35" t="s">
        <v>3453</v>
      </c>
      <c r="J1502" s="38">
        <v>14</v>
      </c>
      <c r="K1502" s="35">
        <v>1</v>
      </c>
      <c r="L1502" s="38">
        <f t="shared" si="23"/>
        <v>14</v>
      </c>
      <c r="M1502" s="35" t="s">
        <v>11</v>
      </c>
      <c r="N1502" s="38"/>
      <c r="O1502" s="35" t="s">
        <v>12</v>
      </c>
    </row>
    <row r="1503" spans="1:15" x14ac:dyDescent="0.25">
      <c r="A1503" s="35" t="s">
        <v>1391</v>
      </c>
      <c r="B1503" s="35" t="s">
        <v>3646</v>
      </c>
      <c r="C1503" s="35">
        <v>2025</v>
      </c>
      <c r="D1503" s="36">
        <v>45723</v>
      </c>
      <c r="E1503" s="37" t="s">
        <v>494</v>
      </c>
      <c r="F1503" s="37" t="s">
        <v>4566</v>
      </c>
      <c r="G1503" s="37" t="s">
        <v>3839</v>
      </c>
      <c r="H1503" s="35" t="s">
        <v>3419</v>
      </c>
      <c r="I1503" s="35" t="s">
        <v>3453</v>
      </c>
      <c r="J1503" s="38">
        <v>6.75</v>
      </c>
      <c r="K1503" s="35">
        <v>4</v>
      </c>
      <c r="L1503" s="38">
        <f t="shared" si="23"/>
        <v>27</v>
      </c>
      <c r="M1503" s="35" t="s">
        <v>11</v>
      </c>
      <c r="N1503" s="38"/>
      <c r="O1503" s="35" t="s">
        <v>12</v>
      </c>
    </row>
    <row r="1504" spans="1:15" x14ac:dyDescent="0.25">
      <c r="A1504" s="35" t="s">
        <v>1391</v>
      </c>
      <c r="B1504" s="35" t="s">
        <v>3646</v>
      </c>
      <c r="C1504" s="35">
        <v>2025</v>
      </c>
      <c r="D1504" s="36">
        <v>45723</v>
      </c>
      <c r="E1504" s="37" t="s">
        <v>494</v>
      </c>
      <c r="F1504" s="37" t="s">
        <v>4567</v>
      </c>
      <c r="G1504" s="37" t="s">
        <v>4398</v>
      </c>
      <c r="H1504" s="35" t="s">
        <v>3419</v>
      </c>
      <c r="I1504" s="35" t="s">
        <v>3453</v>
      </c>
      <c r="J1504" s="38">
        <v>4</v>
      </c>
      <c r="K1504" s="35">
        <v>4</v>
      </c>
      <c r="L1504" s="38">
        <f t="shared" si="23"/>
        <v>16</v>
      </c>
      <c r="M1504" s="35" t="s">
        <v>11</v>
      </c>
      <c r="N1504" s="38"/>
      <c r="O1504" s="35" t="s">
        <v>12</v>
      </c>
    </row>
    <row r="1505" spans="1:15" x14ac:dyDescent="0.25">
      <c r="A1505" s="35" t="s">
        <v>1391</v>
      </c>
      <c r="B1505" s="35" t="s">
        <v>3646</v>
      </c>
      <c r="C1505" s="35">
        <v>2025</v>
      </c>
      <c r="D1505" s="36">
        <v>45723</v>
      </c>
      <c r="E1505" s="37" t="s">
        <v>494</v>
      </c>
      <c r="F1505" s="37" t="s">
        <v>4568</v>
      </c>
      <c r="G1505" s="37" t="s">
        <v>4412</v>
      </c>
      <c r="H1505" s="35" t="s">
        <v>3419</v>
      </c>
      <c r="I1505" s="35" t="s">
        <v>3453</v>
      </c>
      <c r="J1505" s="38">
        <v>5</v>
      </c>
      <c r="K1505" s="35">
        <v>2</v>
      </c>
      <c r="L1505" s="38">
        <f t="shared" si="23"/>
        <v>10</v>
      </c>
      <c r="M1505" s="35" t="s">
        <v>11</v>
      </c>
      <c r="N1505" s="38"/>
      <c r="O1505" s="35" t="s">
        <v>12</v>
      </c>
    </row>
    <row r="1506" spans="1:15" x14ac:dyDescent="0.25">
      <c r="A1506" s="35" t="s">
        <v>1391</v>
      </c>
      <c r="B1506" s="35" t="s">
        <v>3646</v>
      </c>
      <c r="C1506" s="35">
        <v>2025</v>
      </c>
      <c r="D1506" s="36">
        <v>45723</v>
      </c>
      <c r="E1506" s="37" t="s">
        <v>494</v>
      </c>
      <c r="F1506" s="37" t="s">
        <v>4551</v>
      </c>
      <c r="G1506" s="37" t="s">
        <v>3839</v>
      </c>
      <c r="H1506" s="35" t="s">
        <v>3419</v>
      </c>
      <c r="I1506" s="35" t="s">
        <v>3453</v>
      </c>
      <c r="J1506" s="38">
        <v>2.5</v>
      </c>
      <c r="K1506" s="35">
        <v>2</v>
      </c>
      <c r="L1506" s="38">
        <f t="shared" si="23"/>
        <v>5</v>
      </c>
      <c r="M1506" s="35" t="s">
        <v>11</v>
      </c>
      <c r="N1506" s="38"/>
      <c r="O1506" s="35" t="s">
        <v>12</v>
      </c>
    </row>
    <row r="1507" spans="1:15" x14ac:dyDescent="0.25">
      <c r="A1507" s="35" t="s">
        <v>1391</v>
      </c>
      <c r="B1507" s="35" t="s">
        <v>3646</v>
      </c>
      <c r="C1507" s="35">
        <v>2025</v>
      </c>
      <c r="D1507" s="36">
        <v>45723</v>
      </c>
      <c r="E1507" s="37" t="s">
        <v>494</v>
      </c>
      <c r="F1507" s="37" t="s">
        <v>4569</v>
      </c>
      <c r="G1507" s="37" t="s">
        <v>3967</v>
      </c>
      <c r="H1507" s="35" t="s">
        <v>3419</v>
      </c>
      <c r="I1507" s="35" t="s">
        <v>3453</v>
      </c>
      <c r="J1507" s="38">
        <v>1</v>
      </c>
      <c r="K1507" s="35">
        <v>2</v>
      </c>
      <c r="L1507" s="38">
        <f t="shared" si="23"/>
        <v>2</v>
      </c>
      <c r="M1507" s="35" t="s">
        <v>11</v>
      </c>
      <c r="N1507" s="38"/>
      <c r="O1507" s="35" t="s">
        <v>12</v>
      </c>
    </row>
    <row r="1508" spans="1:15" x14ac:dyDescent="0.25">
      <c r="A1508" s="35" t="s">
        <v>1391</v>
      </c>
      <c r="B1508" s="35" t="s">
        <v>3646</v>
      </c>
      <c r="C1508" s="35">
        <v>2025</v>
      </c>
      <c r="D1508" s="36">
        <v>45723</v>
      </c>
      <c r="E1508" s="37" t="s">
        <v>494</v>
      </c>
      <c r="F1508" s="37" t="s">
        <v>4570</v>
      </c>
      <c r="G1508" s="37" t="s">
        <v>3797</v>
      </c>
      <c r="H1508" s="35" t="s">
        <v>3419</v>
      </c>
      <c r="I1508" s="35" t="s">
        <v>3453</v>
      </c>
      <c r="J1508" s="38">
        <v>2</v>
      </c>
      <c r="K1508" s="35">
        <v>2</v>
      </c>
      <c r="L1508" s="38">
        <f t="shared" si="23"/>
        <v>4</v>
      </c>
      <c r="M1508" s="35" t="s">
        <v>11</v>
      </c>
      <c r="N1508" s="38"/>
      <c r="O1508" s="35" t="s">
        <v>12</v>
      </c>
    </row>
    <row r="1509" spans="1:15" x14ac:dyDescent="0.25">
      <c r="A1509" s="35" t="s">
        <v>1391</v>
      </c>
      <c r="B1509" s="35" t="s">
        <v>3646</v>
      </c>
      <c r="C1509" s="35">
        <v>2025</v>
      </c>
      <c r="D1509" s="36">
        <v>45723</v>
      </c>
      <c r="E1509" s="37" t="s">
        <v>494</v>
      </c>
      <c r="F1509" s="37" t="s">
        <v>4571</v>
      </c>
      <c r="G1509" s="37" t="s">
        <v>4398</v>
      </c>
      <c r="H1509" s="35" t="s">
        <v>3419</v>
      </c>
      <c r="I1509" s="35" t="s">
        <v>3453</v>
      </c>
      <c r="J1509" s="38">
        <v>3</v>
      </c>
      <c r="K1509" s="35">
        <v>2</v>
      </c>
      <c r="L1509" s="38">
        <f t="shared" si="23"/>
        <v>6</v>
      </c>
      <c r="M1509" s="35" t="s">
        <v>11</v>
      </c>
      <c r="N1509" s="38"/>
      <c r="O1509" s="35" t="s">
        <v>12</v>
      </c>
    </row>
    <row r="1510" spans="1:15" x14ac:dyDescent="0.25">
      <c r="A1510" s="35" t="s">
        <v>1391</v>
      </c>
      <c r="B1510" s="35" t="s">
        <v>3646</v>
      </c>
      <c r="C1510" s="35">
        <v>2025</v>
      </c>
      <c r="D1510" s="36">
        <v>45723</v>
      </c>
      <c r="E1510" s="37" t="s">
        <v>494</v>
      </c>
      <c r="F1510" s="37" t="s">
        <v>4572</v>
      </c>
      <c r="G1510" s="37" t="s">
        <v>3797</v>
      </c>
      <c r="H1510" s="35" t="s">
        <v>3419</v>
      </c>
      <c r="I1510" s="35" t="s">
        <v>3453</v>
      </c>
      <c r="J1510" s="38">
        <v>9</v>
      </c>
      <c r="K1510" s="35">
        <v>2</v>
      </c>
      <c r="L1510" s="38">
        <f t="shared" si="23"/>
        <v>18</v>
      </c>
      <c r="M1510" s="35" t="s">
        <v>11</v>
      </c>
      <c r="N1510" s="38"/>
      <c r="O1510" s="35" t="s">
        <v>12</v>
      </c>
    </row>
    <row r="1511" spans="1:15" x14ac:dyDescent="0.25">
      <c r="A1511" s="35" t="s">
        <v>1391</v>
      </c>
      <c r="B1511" s="35" t="s">
        <v>3646</v>
      </c>
      <c r="C1511" s="35">
        <v>2025</v>
      </c>
      <c r="D1511" s="36">
        <v>45723</v>
      </c>
      <c r="E1511" s="37" t="s">
        <v>494</v>
      </c>
      <c r="F1511" s="37" t="s">
        <v>3804</v>
      </c>
      <c r="G1511" s="37" t="s">
        <v>3805</v>
      </c>
      <c r="H1511" s="35" t="s">
        <v>3419</v>
      </c>
      <c r="I1511" s="35" t="s">
        <v>3453</v>
      </c>
      <c r="J1511" s="38">
        <v>6</v>
      </c>
      <c r="K1511" s="35">
        <v>2</v>
      </c>
      <c r="L1511" s="38">
        <f t="shared" si="23"/>
        <v>12</v>
      </c>
      <c r="M1511" s="35" t="s">
        <v>11</v>
      </c>
      <c r="N1511" s="38"/>
      <c r="O1511" s="35" t="s">
        <v>12</v>
      </c>
    </row>
    <row r="1512" spans="1:15" x14ac:dyDescent="0.25">
      <c r="A1512" s="35" t="s">
        <v>1394</v>
      </c>
      <c r="B1512" s="35" t="s">
        <v>3646</v>
      </c>
      <c r="C1512" s="35">
        <v>2025</v>
      </c>
      <c r="D1512" s="36">
        <v>45723</v>
      </c>
      <c r="E1512" s="37" t="s">
        <v>1395</v>
      </c>
      <c r="F1512" s="37" t="s">
        <v>4573</v>
      </c>
      <c r="G1512" s="37" t="s">
        <v>3879</v>
      </c>
      <c r="H1512" s="35" t="s">
        <v>3419</v>
      </c>
      <c r="I1512" s="35" t="s">
        <v>3416</v>
      </c>
      <c r="J1512" s="38">
        <v>13.99</v>
      </c>
      <c r="K1512" s="35">
        <v>4</v>
      </c>
      <c r="L1512" s="38">
        <f t="shared" si="23"/>
        <v>55.96</v>
      </c>
      <c r="M1512" s="35" t="s">
        <v>11</v>
      </c>
      <c r="N1512" s="38"/>
      <c r="O1512" s="35" t="s">
        <v>12</v>
      </c>
    </row>
    <row r="1513" spans="1:15" x14ac:dyDescent="0.25">
      <c r="A1513" s="35" t="s">
        <v>1394</v>
      </c>
      <c r="B1513" s="35" t="s">
        <v>3646</v>
      </c>
      <c r="C1513" s="35">
        <v>2025</v>
      </c>
      <c r="D1513" s="36">
        <v>45723</v>
      </c>
      <c r="E1513" s="37" t="s">
        <v>1395</v>
      </c>
      <c r="F1513" s="37" t="s">
        <v>4574</v>
      </c>
      <c r="G1513" s="37" t="s">
        <v>3652</v>
      </c>
      <c r="H1513" s="35" t="s">
        <v>3419</v>
      </c>
      <c r="I1513" s="35" t="s">
        <v>3453</v>
      </c>
      <c r="J1513" s="38">
        <v>5.49</v>
      </c>
      <c r="K1513" s="35">
        <v>3</v>
      </c>
      <c r="L1513" s="38">
        <f t="shared" si="23"/>
        <v>16.47</v>
      </c>
      <c r="M1513" s="35" t="s">
        <v>11</v>
      </c>
      <c r="N1513" s="38"/>
      <c r="O1513" s="35" t="s">
        <v>12</v>
      </c>
    </row>
    <row r="1514" spans="1:15" x14ac:dyDescent="0.25">
      <c r="A1514" s="35" t="s">
        <v>1394</v>
      </c>
      <c r="B1514" s="35" t="s">
        <v>3646</v>
      </c>
      <c r="C1514" s="35">
        <v>2025</v>
      </c>
      <c r="D1514" s="36">
        <v>45723</v>
      </c>
      <c r="E1514" s="37" t="s">
        <v>1395</v>
      </c>
      <c r="F1514" s="37" t="s">
        <v>4575</v>
      </c>
      <c r="G1514" s="37" t="s">
        <v>3712</v>
      </c>
      <c r="H1514" s="35" t="s">
        <v>3419</v>
      </c>
      <c r="I1514" s="35" t="s">
        <v>3416</v>
      </c>
      <c r="J1514" s="38">
        <v>0.99</v>
      </c>
      <c r="K1514" s="35">
        <v>2</v>
      </c>
      <c r="L1514" s="38">
        <f t="shared" si="23"/>
        <v>1.98</v>
      </c>
      <c r="M1514" s="35" t="s">
        <v>11</v>
      </c>
      <c r="N1514" s="38"/>
      <c r="O1514" s="35" t="s">
        <v>12</v>
      </c>
    </row>
    <row r="1515" spans="1:15" x14ac:dyDescent="0.25">
      <c r="A1515" s="35" t="s">
        <v>1397</v>
      </c>
      <c r="B1515" s="35" t="s">
        <v>3646</v>
      </c>
      <c r="C1515" s="35">
        <v>2025</v>
      </c>
      <c r="D1515" s="36">
        <v>45723</v>
      </c>
      <c r="E1515" s="37" t="s">
        <v>1398</v>
      </c>
      <c r="F1515" s="37" t="s">
        <v>4576</v>
      </c>
      <c r="G1515" s="37" t="s">
        <v>4398</v>
      </c>
      <c r="H1515" s="35" t="s">
        <v>3419</v>
      </c>
      <c r="I1515" s="35" t="s">
        <v>3453</v>
      </c>
      <c r="J1515" s="38">
        <v>8</v>
      </c>
      <c r="K1515" s="35">
        <v>4</v>
      </c>
      <c r="L1515" s="38">
        <f t="shared" si="23"/>
        <v>32</v>
      </c>
      <c r="M1515" s="35" t="s">
        <v>11</v>
      </c>
      <c r="N1515" s="38"/>
      <c r="O1515" s="35" t="s">
        <v>12</v>
      </c>
    </row>
    <row r="1516" spans="1:15" x14ac:dyDescent="0.25">
      <c r="A1516" s="35">
        <v>1199908282</v>
      </c>
      <c r="B1516" s="35" t="s">
        <v>3646</v>
      </c>
      <c r="C1516" s="35">
        <v>2025</v>
      </c>
      <c r="D1516" s="36">
        <v>45721.715289351851</v>
      </c>
      <c r="E1516" s="37" t="s">
        <v>414</v>
      </c>
      <c r="F1516" s="37" t="s">
        <v>4577</v>
      </c>
      <c r="G1516" s="37" t="s">
        <v>3455</v>
      </c>
      <c r="H1516" s="35" t="s">
        <v>3419</v>
      </c>
      <c r="I1516" s="35" t="s">
        <v>3416</v>
      </c>
      <c r="J1516" s="38">
        <v>3.6549999999999998</v>
      </c>
      <c r="K1516" s="35">
        <v>2</v>
      </c>
      <c r="L1516" s="38">
        <f t="shared" si="23"/>
        <v>7.31</v>
      </c>
      <c r="M1516" s="35" t="s">
        <v>11</v>
      </c>
      <c r="N1516" s="38"/>
      <c r="O1516" s="35" t="s">
        <v>12</v>
      </c>
    </row>
    <row r="1517" spans="1:15" x14ac:dyDescent="0.25">
      <c r="A1517" s="35">
        <v>1199908252</v>
      </c>
      <c r="B1517" s="35" t="s">
        <v>3646</v>
      </c>
      <c r="C1517" s="35">
        <v>2025</v>
      </c>
      <c r="D1517" s="36">
        <v>45721.715289351851</v>
      </c>
      <c r="E1517" s="37" t="s">
        <v>469</v>
      </c>
      <c r="F1517" s="37" t="s">
        <v>4577</v>
      </c>
      <c r="G1517" s="37" t="s">
        <v>3455</v>
      </c>
      <c r="H1517" s="35" t="s">
        <v>3419</v>
      </c>
      <c r="I1517" s="35" t="s">
        <v>3416</v>
      </c>
      <c r="J1517" s="38">
        <v>1.855</v>
      </c>
      <c r="K1517" s="35">
        <v>2</v>
      </c>
      <c r="L1517" s="38">
        <f t="shared" si="23"/>
        <v>3.71</v>
      </c>
      <c r="M1517" s="35" t="s">
        <v>11</v>
      </c>
      <c r="N1517" s="38"/>
      <c r="O1517" s="35" t="s">
        <v>12</v>
      </c>
    </row>
    <row r="1518" spans="1:15" x14ac:dyDescent="0.25">
      <c r="A1518" s="35">
        <v>1199881376</v>
      </c>
      <c r="B1518" s="35" t="s">
        <v>3646</v>
      </c>
      <c r="C1518" s="35">
        <v>2025</v>
      </c>
      <c r="D1518" s="36">
        <v>45721.715289351851</v>
      </c>
      <c r="E1518" s="37" t="s">
        <v>35</v>
      </c>
      <c r="F1518" s="37" t="s">
        <v>4578</v>
      </c>
      <c r="G1518" s="37" t="s">
        <v>3621</v>
      </c>
      <c r="H1518" s="35" t="s">
        <v>3415</v>
      </c>
      <c r="I1518" s="35" t="s">
        <v>3416</v>
      </c>
      <c r="J1518" s="38">
        <v>1.3225</v>
      </c>
      <c r="K1518" s="35">
        <v>4</v>
      </c>
      <c r="L1518" s="38">
        <f t="shared" si="23"/>
        <v>5.29</v>
      </c>
      <c r="M1518" s="35" t="s">
        <v>11</v>
      </c>
      <c r="N1518" s="38"/>
      <c r="O1518" s="35" t="s">
        <v>12</v>
      </c>
    </row>
    <row r="1519" spans="1:15" ht="30" x14ac:dyDescent="0.25">
      <c r="A1519" s="35">
        <v>1199482485</v>
      </c>
      <c r="B1519" s="35" t="s">
        <v>3646</v>
      </c>
      <c r="C1519" s="35">
        <v>2025</v>
      </c>
      <c r="D1519" s="36">
        <v>45718.930254629631</v>
      </c>
      <c r="E1519" s="37" t="s">
        <v>1403</v>
      </c>
      <c r="F1519" s="37" t="s">
        <v>4579</v>
      </c>
      <c r="G1519" s="37" t="s">
        <v>3520</v>
      </c>
      <c r="H1519" s="35" t="s">
        <v>3419</v>
      </c>
      <c r="I1519" s="35" t="s">
        <v>3416</v>
      </c>
      <c r="J1519" s="38">
        <v>5.28</v>
      </c>
      <c r="K1519" s="35">
        <v>1</v>
      </c>
      <c r="L1519" s="38">
        <f t="shared" si="23"/>
        <v>5.28</v>
      </c>
      <c r="M1519" s="35" t="s">
        <v>11</v>
      </c>
      <c r="N1519" s="38"/>
      <c r="O1519" s="35" t="s">
        <v>12</v>
      </c>
    </row>
    <row r="1520" spans="1:15" x14ac:dyDescent="0.25">
      <c r="A1520" s="35">
        <v>1198849030</v>
      </c>
      <c r="B1520" s="35" t="s">
        <v>3721</v>
      </c>
      <c r="C1520" s="35">
        <v>2025</v>
      </c>
      <c r="D1520" s="36">
        <v>45715.297233796293</v>
      </c>
      <c r="E1520" s="37" t="s">
        <v>1413</v>
      </c>
      <c r="F1520" s="37" t="s">
        <v>4149</v>
      </c>
      <c r="G1520" s="37" t="s">
        <v>3733</v>
      </c>
      <c r="H1520" s="35" t="s">
        <v>3415</v>
      </c>
      <c r="I1520" s="35" t="s">
        <v>3416</v>
      </c>
      <c r="J1520" s="38">
        <v>15.4975</v>
      </c>
      <c r="K1520" s="35">
        <v>4</v>
      </c>
      <c r="L1520" s="38">
        <f t="shared" si="23"/>
        <v>61.99</v>
      </c>
      <c r="M1520" s="35" t="s">
        <v>11</v>
      </c>
      <c r="N1520" s="38"/>
      <c r="O1520" s="35" t="s">
        <v>12</v>
      </c>
    </row>
    <row r="1521" spans="1:15" x14ac:dyDescent="0.25">
      <c r="A1521" s="35">
        <v>1198819400</v>
      </c>
      <c r="B1521" s="35" t="s">
        <v>3721</v>
      </c>
      <c r="C1521" s="35">
        <v>2025</v>
      </c>
      <c r="D1521" s="36">
        <v>45714.926840277767</v>
      </c>
      <c r="E1521" s="37" t="s">
        <v>910</v>
      </c>
      <c r="F1521" s="37" t="s">
        <v>4581</v>
      </c>
      <c r="G1521" s="37" t="s">
        <v>3678</v>
      </c>
      <c r="H1521" s="35" t="s">
        <v>3415</v>
      </c>
      <c r="I1521" s="35" t="s">
        <v>3453</v>
      </c>
      <c r="J1521" s="38">
        <v>0.84987804878048778</v>
      </c>
      <c r="K1521" s="35">
        <v>4</v>
      </c>
      <c r="L1521" s="38">
        <f t="shared" si="23"/>
        <v>3.3995121951219511</v>
      </c>
      <c r="M1521" s="35" t="s">
        <v>11</v>
      </c>
      <c r="N1521" s="38"/>
      <c r="O1521" s="35" t="s">
        <v>12</v>
      </c>
    </row>
    <row r="1522" spans="1:15" x14ac:dyDescent="0.25">
      <c r="A1522" s="35">
        <v>1198819400</v>
      </c>
      <c r="B1522" s="35" t="s">
        <v>3721</v>
      </c>
      <c r="C1522" s="35">
        <v>2025</v>
      </c>
      <c r="D1522" s="36">
        <v>45714.926840277767</v>
      </c>
      <c r="E1522" s="37" t="s">
        <v>910</v>
      </c>
      <c r="F1522" s="37" t="s">
        <v>3731</v>
      </c>
      <c r="G1522" s="37" t="s">
        <v>3678</v>
      </c>
      <c r="H1522" s="35" t="s">
        <v>3419</v>
      </c>
      <c r="I1522" s="35" t="s">
        <v>3416</v>
      </c>
      <c r="J1522" s="38">
        <v>1.8352439024390239</v>
      </c>
      <c r="K1522" s="35">
        <v>2</v>
      </c>
      <c r="L1522" s="38">
        <f t="shared" si="23"/>
        <v>3.6704878048780478</v>
      </c>
      <c r="M1522" s="35" t="s">
        <v>11</v>
      </c>
      <c r="N1522" s="38"/>
      <c r="O1522" s="35" t="s">
        <v>12</v>
      </c>
    </row>
    <row r="1523" spans="1:15" x14ac:dyDescent="0.25">
      <c r="A1523" s="35">
        <v>1198818969</v>
      </c>
      <c r="B1523" s="35" t="s">
        <v>3721</v>
      </c>
      <c r="C1523" s="35">
        <v>2025</v>
      </c>
      <c r="D1523" s="36">
        <v>45714.926840277767</v>
      </c>
      <c r="E1523" s="37" t="s">
        <v>1417</v>
      </c>
      <c r="F1523" s="37" t="s">
        <v>4149</v>
      </c>
      <c r="G1523" s="37" t="s">
        <v>4012</v>
      </c>
      <c r="H1523" s="35" t="s">
        <v>3419</v>
      </c>
      <c r="I1523" s="35" t="s">
        <v>3416</v>
      </c>
      <c r="J1523" s="38">
        <v>17.315000000000001</v>
      </c>
      <c r="K1523" s="35">
        <v>2</v>
      </c>
      <c r="L1523" s="38">
        <f t="shared" si="23"/>
        <v>34.630000000000003</v>
      </c>
      <c r="M1523" s="35" t="s">
        <v>11</v>
      </c>
      <c r="N1523" s="38"/>
      <c r="O1523" s="35" t="s">
        <v>12</v>
      </c>
    </row>
    <row r="1524" spans="1:15" x14ac:dyDescent="0.25">
      <c r="A1524" s="35">
        <v>1198731774</v>
      </c>
      <c r="B1524" s="35" t="s">
        <v>3721</v>
      </c>
      <c r="C1524" s="35">
        <v>2025</v>
      </c>
      <c r="D1524" s="36">
        <v>45714.926840277767</v>
      </c>
      <c r="E1524" s="37" t="s">
        <v>8</v>
      </c>
      <c r="F1524" s="37" t="s">
        <v>4582</v>
      </c>
      <c r="G1524" s="37" t="s">
        <v>3879</v>
      </c>
      <c r="H1524" s="35" t="s">
        <v>3415</v>
      </c>
      <c r="I1524" s="35" t="s">
        <v>3416</v>
      </c>
      <c r="J1524" s="38">
        <v>0.05</v>
      </c>
      <c r="K1524" s="35">
        <v>4</v>
      </c>
      <c r="L1524" s="38">
        <f t="shared" si="23"/>
        <v>0.2</v>
      </c>
      <c r="M1524" s="42" t="s">
        <v>11</v>
      </c>
      <c r="N1524" s="38"/>
      <c r="O1524" s="35" t="s">
        <v>12</v>
      </c>
    </row>
    <row r="1525" spans="1:15" x14ac:dyDescent="0.25">
      <c r="A1525" s="35">
        <v>1198731774</v>
      </c>
      <c r="B1525" s="35" t="s">
        <v>3721</v>
      </c>
      <c r="C1525" s="35">
        <v>2025</v>
      </c>
      <c r="D1525" s="36">
        <v>45714.926840277767</v>
      </c>
      <c r="E1525" s="37" t="s">
        <v>8</v>
      </c>
      <c r="F1525" s="37" t="s">
        <v>4583</v>
      </c>
      <c r="G1525" s="37" t="s">
        <v>3714</v>
      </c>
      <c r="H1525" s="35" t="s">
        <v>3415</v>
      </c>
      <c r="I1525" s="35" t="s">
        <v>3453</v>
      </c>
      <c r="J1525" s="38">
        <v>0.5</v>
      </c>
      <c r="K1525" s="35">
        <v>4</v>
      </c>
      <c r="L1525" s="38">
        <f t="shared" si="23"/>
        <v>2</v>
      </c>
      <c r="M1525" s="42" t="s">
        <v>11</v>
      </c>
      <c r="N1525" s="38"/>
      <c r="O1525" s="35" t="s">
        <v>12</v>
      </c>
    </row>
    <row r="1526" spans="1:15" x14ac:dyDescent="0.25">
      <c r="A1526" s="35">
        <v>1198703619</v>
      </c>
      <c r="B1526" s="35" t="s">
        <v>3721</v>
      </c>
      <c r="C1526" s="35">
        <v>2025</v>
      </c>
      <c r="D1526" s="36">
        <v>45714.438298611109</v>
      </c>
      <c r="E1526" s="37" t="s">
        <v>1419</v>
      </c>
      <c r="F1526" s="37" t="s">
        <v>3732</v>
      </c>
      <c r="G1526" s="37" t="s">
        <v>3733</v>
      </c>
      <c r="H1526" s="35" t="s">
        <v>3419</v>
      </c>
      <c r="I1526" s="35" t="s">
        <v>3416</v>
      </c>
      <c r="J1526" s="38">
        <v>8.33</v>
      </c>
      <c r="K1526" s="35">
        <v>1</v>
      </c>
      <c r="L1526" s="38">
        <f t="shared" si="23"/>
        <v>8.33</v>
      </c>
      <c r="M1526" s="35" t="s">
        <v>11</v>
      </c>
      <c r="N1526" s="38"/>
      <c r="O1526" s="35" t="s">
        <v>12</v>
      </c>
    </row>
    <row r="1527" spans="1:15" x14ac:dyDescent="0.25">
      <c r="A1527" s="35">
        <v>1198557853</v>
      </c>
      <c r="B1527" s="35" t="s">
        <v>3721</v>
      </c>
      <c r="C1527" s="35">
        <v>2025</v>
      </c>
      <c r="D1527" s="36">
        <v>45713.575381944444</v>
      </c>
      <c r="E1527" s="37" t="s">
        <v>181</v>
      </c>
      <c r="F1527" s="37" t="s">
        <v>4584</v>
      </c>
      <c r="G1527" s="37" t="s">
        <v>3855</v>
      </c>
      <c r="H1527" s="35" t="s">
        <v>3415</v>
      </c>
      <c r="I1527" s="35" t="s">
        <v>3416</v>
      </c>
      <c r="J1527" s="38">
        <v>5.3125</v>
      </c>
      <c r="K1527" s="35">
        <v>4</v>
      </c>
      <c r="L1527" s="38">
        <f t="shared" si="23"/>
        <v>21.25</v>
      </c>
      <c r="M1527" s="35" t="s">
        <v>11</v>
      </c>
      <c r="N1527" s="38"/>
      <c r="O1527" s="35" t="s">
        <v>12</v>
      </c>
    </row>
    <row r="1528" spans="1:15" x14ac:dyDescent="0.25">
      <c r="A1528" s="35">
        <v>1198557498</v>
      </c>
      <c r="B1528" s="35" t="s">
        <v>3721</v>
      </c>
      <c r="C1528" s="35">
        <v>2025</v>
      </c>
      <c r="D1528" s="36">
        <v>45713.573819444442</v>
      </c>
      <c r="E1528" s="37" t="s">
        <v>35</v>
      </c>
      <c r="F1528" s="37" t="s">
        <v>4585</v>
      </c>
      <c r="G1528" s="37" t="s">
        <v>4012</v>
      </c>
      <c r="H1528" s="35" t="s">
        <v>3415</v>
      </c>
      <c r="I1528" s="35" t="s">
        <v>3416</v>
      </c>
      <c r="J1528" s="38">
        <v>2.0724999999999998</v>
      </c>
      <c r="K1528" s="35">
        <v>4</v>
      </c>
      <c r="L1528" s="38">
        <f t="shared" si="23"/>
        <v>8.2899999999999991</v>
      </c>
      <c r="M1528" s="35" t="s">
        <v>11</v>
      </c>
      <c r="N1528" s="38"/>
      <c r="O1528" s="35" t="s">
        <v>12</v>
      </c>
    </row>
    <row r="1529" spans="1:15" x14ac:dyDescent="0.25">
      <c r="A1529" s="35">
        <v>1198405778</v>
      </c>
      <c r="B1529" s="35" t="s">
        <v>3721</v>
      </c>
      <c r="C1529" s="35">
        <v>2025</v>
      </c>
      <c r="D1529" s="36">
        <v>45712.68341435185</v>
      </c>
      <c r="E1529" s="37" t="s">
        <v>8</v>
      </c>
      <c r="F1529" s="37" t="s">
        <v>4586</v>
      </c>
      <c r="G1529" s="37" t="s">
        <v>3925</v>
      </c>
      <c r="H1529" s="35" t="s">
        <v>3419</v>
      </c>
      <c r="I1529" s="35" t="s">
        <v>3416</v>
      </c>
      <c r="J1529" s="38">
        <v>0.25</v>
      </c>
      <c r="K1529" s="35">
        <v>2</v>
      </c>
      <c r="L1529" s="38">
        <f t="shared" si="23"/>
        <v>0.5</v>
      </c>
      <c r="M1529" s="42" t="s">
        <v>11</v>
      </c>
      <c r="N1529" s="38"/>
      <c r="O1529" s="35" t="s">
        <v>12</v>
      </c>
    </row>
    <row r="1530" spans="1:15" x14ac:dyDescent="0.25">
      <c r="A1530" s="35">
        <v>1198404884</v>
      </c>
      <c r="B1530" s="35" t="s">
        <v>3721</v>
      </c>
      <c r="C1530" s="35">
        <v>2025</v>
      </c>
      <c r="D1530" s="36">
        <v>45712.680694444447</v>
      </c>
      <c r="E1530" s="37" t="s">
        <v>8</v>
      </c>
      <c r="F1530" s="37" t="s">
        <v>4587</v>
      </c>
      <c r="G1530" s="37" t="s">
        <v>3733</v>
      </c>
      <c r="H1530" s="35" t="s">
        <v>3415</v>
      </c>
      <c r="I1530" s="35" t="s">
        <v>3416</v>
      </c>
      <c r="J1530" s="38">
        <v>8.5</v>
      </c>
      <c r="K1530" s="35">
        <v>4</v>
      </c>
      <c r="L1530" s="38">
        <f t="shared" si="23"/>
        <v>34</v>
      </c>
      <c r="M1530" s="42" t="s">
        <v>11</v>
      </c>
      <c r="N1530" s="38"/>
      <c r="O1530" s="35" t="s">
        <v>12</v>
      </c>
    </row>
    <row r="1531" spans="1:15" x14ac:dyDescent="0.25">
      <c r="A1531" s="35">
        <v>1198404656</v>
      </c>
      <c r="B1531" s="35" t="s">
        <v>3721</v>
      </c>
      <c r="C1531" s="35">
        <v>2025</v>
      </c>
      <c r="D1531" s="36">
        <v>45712.680694444447</v>
      </c>
      <c r="E1531" s="37" t="s">
        <v>1425</v>
      </c>
      <c r="F1531" s="37" t="s">
        <v>3732</v>
      </c>
      <c r="G1531" s="37" t="s">
        <v>3733</v>
      </c>
      <c r="H1531" s="35" t="s">
        <v>3419</v>
      </c>
      <c r="I1531" s="35" t="s">
        <v>3416</v>
      </c>
      <c r="J1531" s="38">
        <v>7.7649999999999997</v>
      </c>
      <c r="K1531" s="35">
        <v>2</v>
      </c>
      <c r="L1531" s="38">
        <f t="shared" si="23"/>
        <v>15.53</v>
      </c>
      <c r="M1531" s="35" t="s">
        <v>11</v>
      </c>
      <c r="N1531" s="38"/>
      <c r="O1531" s="35" t="s">
        <v>12</v>
      </c>
    </row>
    <row r="1532" spans="1:15" x14ac:dyDescent="0.25">
      <c r="A1532" s="35">
        <v>1197895608</v>
      </c>
      <c r="B1532" s="35" t="s">
        <v>3721</v>
      </c>
      <c r="C1532" s="35">
        <v>2025</v>
      </c>
      <c r="D1532" s="36">
        <v>45709.574421296304</v>
      </c>
      <c r="E1532" s="37" t="s">
        <v>1430</v>
      </c>
      <c r="F1532" s="37" t="s">
        <v>4589</v>
      </c>
      <c r="G1532" s="37" t="s">
        <v>3714</v>
      </c>
      <c r="H1532" s="35" t="s">
        <v>3419</v>
      </c>
      <c r="I1532" s="35" t="s">
        <v>3416</v>
      </c>
      <c r="J1532" s="38">
        <v>18.420000000000002</v>
      </c>
      <c r="K1532" s="35">
        <v>1</v>
      </c>
      <c r="L1532" s="38">
        <f t="shared" si="23"/>
        <v>18.420000000000002</v>
      </c>
      <c r="M1532" s="35" t="s">
        <v>11</v>
      </c>
      <c r="N1532" s="38"/>
      <c r="O1532" s="35" t="s">
        <v>12</v>
      </c>
    </row>
    <row r="1533" spans="1:15" x14ac:dyDescent="0.25">
      <c r="A1533" s="35">
        <v>1197519258</v>
      </c>
      <c r="B1533" s="35" t="s">
        <v>3721</v>
      </c>
      <c r="C1533" s="35">
        <v>2025</v>
      </c>
      <c r="D1533" s="36">
        <v>45707.344074074077</v>
      </c>
      <c r="E1533" s="37" t="s">
        <v>1433</v>
      </c>
      <c r="F1533" s="37" t="s">
        <v>4590</v>
      </c>
      <c r="G1533" s="37" t="s">
        <v>3714</v>
      </c>
      <c r="H1533" s="35" t="s">
        <v>3419</v>
      </c>
      <c r="I1533" s="35" t="s">
        <v>3416</v>
      </c>
      <c r="J1533" s="38">
        <v>14.23285714285714</v>
      </c>
      <c r="K1533" s="35">
        <v>1</v>
      </c>
      <c r="L1533" s="38">
        <f t="shared" si="23"/>
        <v>14.23285714285714</v>
      </c>
      <c r="M1533" s="35" t="s">
        <v>11</v>
      </c>
      <c r="N1533" s="38"/>
      <c r="O1533" s="35" t="s">
        <v>12</v>
      </c>
    </row>
    <row r="1534" spans="1:15" x14ac:dyDescent="0.25">
      <c r="A1534" s="35">
        <v>1197519258</v>
      </c>
      <c r="B1534" s="35" t="s">
        <v>3721</v>
      </c>
      <c r="C1534" s="35">
        <v>2025</v>
      </c>
      <c r="D1534" s="36">
        <v>45707.344074074077</v>
      </c>
      <c r="E1534" s="37" t="s">
        <v>1433</v>
      </c>
      <c r="F1534" s="37" t="s">
        <v>4591</v>
      </c>
      <c r="G1534" s="37" t="s">
        <v>3455</v>
      </c>
      <c r="H1534" s="35" t="s">
        <v>3419</v>
      </c>
      <c r="I1534" s="35" t="s">
        <v>3416</v>
      </c>
      <c r="J1534" s="38">
        <v>11.59714285714286</v>
      </c>
      <c r="K1534" s="35">
        <v>1</v>
      </c>
      <c r="L1534" s="38">
        <f t="shared" si="23"/>
        <v>11.59714285714286</v>
      </c>
      <c r="M1534" s="35" t="s">
        <v>11</v>
      </c>
      <c r="N1534" s="38"/>
      <c r="O1534" s="35" t="s">
        <v>12</v>
      </c>
    </row>
    <row r="1535" spans="1:15" x14ac:dyDescent="0.25">
      <c r="A1535" s="35">
        <v>1197472994</v>
      </c>
      <c r="B1535" s="35" t="s">
        <v>3721</v>
      </c>
      <c r="C1535" s="35">
        <v>2025</v>
      </c>
      <c r="D1535" s="36">
        <v>45706.887986111113</v>
      </c>
      <c r="E1535" s="37" t="s">
        <v>1438</v>
      </c>
      <c r="F1535" s="37" t="s">
        <v>4592</v>
      </c>
      <c r="G1535" s="37" t="s">
        <v>4140</v>
      </c>
      <c r="H1535" s="35" t="s">
        <v>3419</v>
      </c>
      <c r="I1535" s="35" t="s">
        <v>3416</v>
      </c>
      <c r="J1535" s="38">
        <v>2.0299999999999998</v>
      </c>
      <c r="K1535" s="35">
        <v>1</v>
      </c>
      <c r="L1535" s="38">
        <f t="shared" si="23"/>
        <v>2.0299999999999998</v>
      </c>
      <c r="M1535" s="35" t="s">
        <v>11</v>
      </c>
      <c r="N1535" s="38"/>
      <c r="O1535" s="35" t="s">
        <v>12</v>
      </c>
    </row>
    <row r="1536" spans="1:15" x14ac:dyDescent="0.25">
      <c r="A1536" s="35">
        <v>1197466655</v>
      </c>
      <c r="B1536" s="35" t="s">
        <v>3721</v>
      </c>
      <c r="C1536" s="35">
        <v>2025</v>
      </c>
      <c r="D1536" s="36">
        <v>45706.873831018522</v>
      </c>
      <c r="E1536" s="37" t="s">
        <v>1443</v>
      </c>
      <c r="F1536" s="37" t="s">
        <v>4592</v>
      </c>
      <c r="G1536" s="37" t="s">
        <v>4140</v>
      </c>
      <c r="H1536" s="35" t="s">
        <v>3419</v>
      </c>
      <c r="I1536" s="35" t="s">
        <v>3416</v>
      </c>
      <c r="J1536" s="38">
        <v>1.7233333333333329</v>
      </c>
      <c r="K1536" s="35">
        <v>3</v>
      </c>
      <c r="L1536" s="38">
        <f t="shared" si="23"/>
        <v>5.169999999999999</v>
      </c>
      <c r="M1536" s="35" t="s">
        <v>11</v>
      </c>
      <c r="N1536" s="38"/>
      <c r="O1536" s="35" t="s">
        <v>12</v>
      </c>
    </row>
    <row r="1537" spans="1:15" x14ac:dyDescent="0.25">
      <c r="A1537" s="35">
        <v>1197466620</v>
      </c>
      <c r="B1537" s="35" t="s">
        <v>3721</v>
      </c>
      <c r="C1537" s="35">
        <v>2025</v>
      </c>
      <c r="D1537" s="36">
        <v>45706.873831018522</v>
      </c>
      <c r="E1537" s="37" t="s">
        <v>35</v>
      </c>
      <c r="F1537" s="37" t="s">
        <v>4595</v>
      </c>
      <c r="G1537" s="37" t="s">
        <v>3726</v>
      </c>
      <c r="H1537" s="35" t="s">
        <v>3415</v>
      </c>
      <c r="I1537" s="35" t="s">
        <v>3416</v>
      </c>
      <c r="J1537" s="38">
        <v>0.13828571428571429</v>
      </c>
      <c r="K1537" s="35">
        <v>4</v>
      </c>
      <c r="L1537" s="38">
        <f t="shared" si="23"/>
        <v>0.55314285714285716</v>
      </c>
      <c r="M1537" s="35" t="s">
        <v>11</v>
      </c>
      <c r="N1537" s="38"/>
      <c r="O1537" s="35" t="s">
        <v>12</v>
      </c>
    </row>
    <row r="1538" spans="1:15" x14ac:dyDescent="0.25">
      <c r="A1538" s="35">
        <v>1197466620</v>
      </c>
      <c r="B1538" s="35" t="s">
        <v>3721</v>
      </c>
      <c r="C1538" s="35">
        <v>2025</v>
      </c>
      <c r="D1538" s="36">
        <v>45706.873831018522</v>
      </c>
      <c r="E1538" s="37" t="s">
        <v>35</v>
      </c>
      <c r="F1538" s="37" t="s">
        <v>4596</v>
      </c>
      <c r="G1538" s="37" t="s">
        <v>3879</v>
      </c>
      <c r="H1538" s="35" t="s">
        <v>3415</v>
      </c>
      <c r="I1538" s="35" t="s">
        <v>3416</v>
      </c>
      <c r="J1538" s="38">
        <v>0.1634285714285714</v>
      </c>
      <c r="K1538" s="35">
        <v>4</v>
      </c>
      <c r="L1538" s="38">
        <f t="shared" ref="L1538:L1601" si="24">J1538*K1538</f>
        <v>0.65371428571428558</v>
      </c>
      <c r="M1538" s="35" t="s">
        <v>11</v>
      </c>
      <c r="N1538" s="38"/>
      <c r="O1538" s="35" t="s">
        <v>12</v>
      </c>
    </row>
    <row r="1539" spans="1:15" x14ac:dyDescent="0.25">
      <c r="A1539" s="35">
        <v>1197466620</v>
      </c>
      <c r="B1539" s="35" t="s">
        <v>3721</v>
      </c>
      <c r="C1539" s="35">
        <v>2025</v>
      </c>
      <c r="D1539" s="36">
        <v>45706.873831018522</v>
      </c>
      <c r="E1539" s="37" t="s">
        <v>35</v>
      </c>
      <c r="F1539" s="37" t="s">
        <v>4597</v>
      </c>
      <c r="G1539" s="37" t="s">
        <v>4140</v>
      </c>
      <c r="H1539" s="35" t="s">
        <v>3415</v>
      </c>
      <c r="I1539" s="35" t="s">
        <v>3416</v>
      </c>
      <c r="J1539" s="38">
        <v>0.42742857142857149</v>
      </c>
      <c r="K1539" s="35">
        <v>4</v>
      </c>
      <c r="L1539" s="38">
        <f t="shared" si="24"/>
        <v>1.709714285714286</v>
      </c>
      <c r="M1539" s="35" t="s">
        <v>11</v>
      </c>
      <c r="N1539" s="38"/>
      <c r="O1539" s="35" t="s">
        <v>12</v>
      </c>
    </row>
    <row r="1540" spans="1:15" x14ac:dyDescent="0.25">
      <c r="A1540" s="35">
        <v>1197466620</v>
      </c>
      <c r="B1540" s="35" t="s">
        <v>3721</v>
      </c>
      <c r="C1540" s="35">
        <v>2025</v>
      </c>
      <c r="D1540" s="36">
        <v>45706.873831018522</v>
      </c>
      <c r="E1540" s="37" t="s">
        <v>35</v>
      </c>
      <c r="F1540" s="37" t="s">
        <v>4598</v>
      </c>
      <c r="G1540" s="37" t="s">
        <v>4140</v>
      </c>
      <c r="H1540" s="35" t="s">
        <v>3415</v>
      </c>
      <c r="I1540" s="35" t="s">
        <v>3416</v>
      </c>
      <c r="J1540" s="38">
        <v>0.1131428571428571</v>
      </c>
      <c r="K1540" s="35">
        <v>4</v>
      </c>
      <c r="L1540" s="38">
        <f t="shared" si="24"/>
        <v>0.4525714285714284</v>
      </c>
      <c r="M1540" s="35" t="s">
        <v>11</v>
      </c>
      <c r="N1540" s="38"/>
      <c r="O1540" s="35" t="s">
        <v>12</v>
      </c>
    </row>
    <row r="1541" spans="1:15" x14ac:dyDescent="0.25">
      <c r="A1541" s="35">
        <v>1197466620</v>
      </c>
      <c r="B1541" s="35" t="s">
        <v>3721</v>
      </c>
      <c r="C1541" s="35">
        <v>2025</v>
      </c>
      <c r="D1541" s="36">
        <v>45706.873831018522</v>
      </c>
      <c r="E1541" s="37" t="s">
        <v>35</v>
      </c>
      <c r="F1541" s="37" t="s">
        <v>4599</v>
      </c>
      <c r="G1541" s="37" t="s">
        <v>4012</v>
      </c>
      <c r="H1541" s="35" t="s">
        <v>3415</v>
      </c>
      <c r="I1541" s="35" t="s">
        <v>3416</v>
      </c>
      <c r="J1541" s="38">
        <v>0.36457142857142849</v>
      </c>
      <c r="K1541" s="35">
        <v>4</v>
      </c>
      <c r="L1541" s="38">
        <f t="shared" si="24"/>
        <v>1.458285714285714</v>
      </c>
      <c r="M1541" s="35" t="s">
        <v>11</v>
      </c>
      <c r="N1541" s="38"/>
      <c r="O1541" s="35" t="s">
        <v>12</v>
      </c>
    </row>
    <row r="1542" spans="1:15" x14ac:dyDescent="0.25">
      <c r="A1542" s="35">
        <v>1197466620</v>
      </c>
      <c r="B1542" s="35" t="s">
        <v>3721</v>
      </c>
      <c r="C1542" s="35">
        <v>2025</v>
      </c>
      <c r="D1542" s="36">
        <v>45706.873831018522</v>
      </c>
      <c r="E1542" s="37" t="s">
        <v>35</v>
      </c>
      <c r="F1542" s="37" t="s">
        <v>4600</v>
      </c>
      <c r="G1542" s="37" t="s">
        <v>3733</v>
      </c>
      <c r="H1542" s="35" t="s">
        <v>3415</v>
      </c>
      <c r="I1542" s="35" t="s">
        <v>3416</v>
      </c>
      <c r="J1542" s="38">
        <v>0.74171428571428566</v>
      </c>
      <c r="K1542" s="35">
        <v>4</v>
      </c>
      <c r="L1542" s="38">
        <f t="shared" si="24"/>
        <v>2.9668571428571426</v>
      </c>
      <c r="M1542" s="35" t="s">
        <v>11</v>
      </c>
      <c r="N1542" s="38"/>
      <c r="O1542" s="35" t="s">
        <v>12</v>
      </c>
    </row>
    <row r="1543" spans="1:15" x14ac:dyDescent="0.25">
      <c r="A1543" s="35">
        <v>1197466620</v>
      </c>
      <c r="B1543" s="35" t="s">
        <v>3721</v>
      </c>
      <c r="C1543" s="35">
        <v>2025</v>
      </c>
      <c r="D1543" s="36">
        <v>45706.873831018522</v>
      </c>
      <c r="E1543" s="37" t="s">
        <v>35</v>
      </c>
      <c r="F1543" s="37" t="s">
        <v>4601</v>
      </c>
      <c r="G1543" s="37" t="s">
        <v>3733</v>
      </c>
      <c r="H1543" s="35" t="s">
        <v>3415</v>
      </c>
      <c r="I1543" s="35" t="s">
        <v>3416</v>
      </c>
      <c r="J1543" s="38">
        <v>0.86742857142857144</v>
      </c>
      <c r="K1543" s="35">
        <v>4</v>
      </c>
      <c r="L1543" s="38">
        <f t="shared" si="24"/>
        <v>3.4697142857142858</v>
      </c>
      <c r="M1543" s="35" t="s">
        <v>11</v>
      </c>
      <c r="N1543" s="38"/>
      <c r="O1543" s="35" t="s">
        <v>12</v>
      </c>
    </row>
    <row r="1544" spans="1:15" x14ac:dyDescent="0.25">
      <c r="A1544" s="35">
        <v>1197466620</v>
      </c>
      <c r="B1544" s="35" t="s">
        <v>3721</v>
      </c>
      <c r="C1544" s="35">
        <v>2025</v>
      </c>
      <c r="D1544" s="36">
        <v>45706.873831018522</v>
      </c>
      <c r="E1544" s="37" t="s">
        <v>35</v>
      </c>
      <c r="F1544" s="37" t="s">
        <v>4602</v>
      </c>
      <c r="G1544" s="37" t="s">
        <v>3687</v>
      </c>
      <c r="H1544" s="35" t="s">
        <v>3415</v>
      </c>
      <c r="I1544" s="35" t="s">
        <v>3416</v>
      </c>
      <c r="J1544" s="38">
        <v>0.17599999999999999</v>
      </c>
      <c r="K1544" s="35">
        <v>4</v>
      </c>
      <c r="L1544" s="38">
        <f t="shared" si="24"/>
        <v>0.70399999999999996</v>
      </c>
      <c r="M1544" s="35" t="s">
        <v>11</v>
      </c>
      <c r="N1544" s="38"/>
      <c r="O1544" s="35" t="s">
        <v>12</v>
      </c>
    </row>
    <row r="1545" spans="1:15" x14ac:dyDescent="0.25">
      <c r="A1545" s="35">
        <v>1197466620</v>
      </c>
      <c r="B1545" s="35" t="s">
        <v>3721</v>
      </c>
      <c r="C1545" s="35">
        <v>2025</v>
      </c>
      <c r="D1545" s="36">
        <v>45706.873831018522</v>
      </c>
      <c r="E1545" s="37" t="s">
        <v>35</v>
      </c>
      <c r="F1545" s="37" t="s">
        <v>4603</v>
      </c>
      <c r="G1545" s="37" t="s">
        <v>4215</v>
      </c>
      <c r="H1545" s="35" t="s">
        <v>3415</v>
      </c>
      <c r="I1545" s="35" t="s">
        <v>3416</v>
      </c>
      <c r="J1545" s="38">
        <v>0.1634285714285714</v>
      </c>
      <c r="K1545" s="35">
        <v>4</v>
      </c>
      <c r="L1545" s="38">
        <f t="shared" si="24"/>
        <v>0.65371428571428558</v>
      </c>
      <c r="M1545" s="35" t="s">
        <v>11</v>
      </c>
      <c r="N1545" s="38"/>
      <c r="O1545" s="35" t="s">
        <v>12</v>
      </c>
    </row>
    <row r="1546" spans="1:15" x14ac:dyDescent="0.25">
      <c r="A1546" s="35">
        <v>1197466620</v>
      </c>
      <c r="B1546" s="35" t="s">
        <v>3721</v>
      </c>
      <c r="C1546" s="35">
        <v>2025</v>
      </c>
      <c r="D1546" s="36">
        <v>45706.873831018522</v>
      </c>
      <c r="E1546" s="37" t="s">
        <v>35</v>
      </c>
      <c r="F1546" s="37" t="s">
        <v>4604</v>
      </c>
      <c r="G1546" s="37" t="s">
        <v>4012</v>
      </c>
      <c r="H1546" s="35" t="s">
        <v>3415</v>
      </c>
      <c r="I1546" s="35" t="s">
        <v>3416</v>
      </c>
      <c r="J1546" s="38">
        <v>0.23885714285714291</v>
      </c>
      <c r="K1546" s="35">
        <v>4</v>
      </c>
      <c r="L1546" s="38">
        <f t="shared" si="24"/>
        <v>0.95542857142857163</v>
      </c>
      <c r="M1546" s="35" t="s">
        <v>11</v>
      </c>
      <c r="N1546" s="38"/>
      <c r="O1546" s="35" t="s">
        <v>12</v>
      </c>
    </row>
    <row r="1547" spans="1:15" x14ac:dyDescent="0.25">
      <c r="A1547" s="35">
        <v>1197466620</v>
      </c>
      <c r="B1547" s="35" t="s">
        <v>3721</v>
      </c>
      <c r="C1547" s="35">
        <v>2025</v>
      </c>
      <c r="D1547" s="36">
        <v>45706.873831018522</v>
      </c>
      <c r="E1547" s="37" t="s">
        <v>35</v>
      </c>
      <c r="F1547" s="37" t="s">
        <v>4605</v>
      </c>
      <c r="G1547" s="37" t="s">
        <v>4012</v>
      </c>
      <c r="H1547" s="35" t="s">
        <v>3415</v>
      </c>
      <c r="I1547" s="35" t="s">
        <v>3416</v>
      </c>
      <c r="J1547" s="38">
        <v>0.33942857142857152</v>
      </c>
      <c r="K1547" s="35">
        <v>4</v>
      </c>
      <c r="L1547" s="38">
        <f t="shared" si="24"/>
        <v>1.3577142857142861</v>
      </c>
      <c r="M1547" s="35" t="s">
        <v>11</v>
      </c>
      <c r="N1547" s="38"/>
      <c r="O1547" s="35" t="s">
        <v>12</v>
      </c>
    </row>
    <row r="1548" spans="1:15" x14ac:dyDescent="0.25">
      <c r="A1548" s="35">
        <v>1197466620</v>
      </c>
      <c r="B1548" s="35" t="s">
        <v>3721</v>
      </c>
      <c r="C1548" s="35">
        <v>2025</v>
      </c>
      <c r="D1548" s="36">
        <v>45706.873831018522</v>
      </c>
      <c r="E1548" s="37" t="s">
        <v>35</v>
      </c>
      <c r="F1548" s="37" t="s">
        <v>4259</v>
      </c>
      <c r="G1548" s="37" t="s">
        <v>4012</v>
      </c>
      <c r="H1548" s="35" t="s">
        <v>3415</v>
      </c>
      <c r="I1548" s="35" t="s">
        <v>3416</v>
      </c>
      <c r="J1548" s="38">
        <v>0.30171428571428571</v>
      </c>
      <c r="K1548" s="35">
        <v>4</v>
      </c>
      <c r="L1548" s="38">
        <f t="shared" si="24"/>
        <v>1.2068571428571429</v>
      </c>
      <c r="M1548" s="35" t="s">
        <v>11</v>
      </c>
      <c r="N1548" s="38"/>
      <c r="O1548" s="35" t="s">
        <v>12</v>
      </c>
    </row>
    <row r="1549" spans="1:15" x14ac:dyDescent="0.25">
      <c r="A1549" s="35">
        <v>1197466620</v>
      </c>
      <c r="B1549" s="35" t="s">
        <v>3721</v>
      </c>
      <c r="C1549" s="35">
        <v>2025</v>
      </c>
      <c r="D1549" s="36">
        <v>45706.873831018522</v>
      </c>
      <c r="E1549" s="37" t="s">
        <v>35</v>
      </c>
      <c r="F1549" s="37" t="s">
        <v>4594</v>
      </c>
      <c r="G1549" s="37" t="s">
        <v>4480</v>
      </c>
      <c r="H1549" s="35" t="s">
        <v>3415</v>
      </c>
      <c r="I1549" s="35" t="s">
        <v>3416</v>
      </c>
      <c r="J1549" s="38">
        <v>0.36457142857142849</v>
      </c>
      <c r="K1549" s="35">
        <v>4</v>
      </c>
      <c r="L1549" s="38">
        <f t="shared" si="24"/>
        <v>1.458285714285714</v>
      </c>
      <c r="M1549" s="35" t="s">
        <v>11</v>
      </c>
      <c r="N1549" s="38"/>
      <c r="O1549" s="35" t="s">
        <v>12</v>
      </c>
    </row>
    <row r="1550" spans="1:15" x14ac:dyDescent="0.25">
      <c r="A1550" s="35">
        <v>1197377255</v>
      </c>
      <c r="B1550" s="35" t="s">
        <v>3721</v>
      </c>
      <c r="C1550" s="35">
        <v>2025</v>
      </c>
      <c r="D1550" s="36">
        <v>45706.517407407409</v>
      </c>
      <c r="E1550" s="37" t="s">
        <v>469</v>
      </c>
      <c r="F1550" s="37" t="s">
        <v>4606</v>
      </c>
      <c r="G1550" s="37" t="s">
        <v>3455</v>
      </c>
      <c r="H1550" s="35" t="s">
        <v>3419</v>
      </c>
      <c r="I1550" s="35" t="s">
        <v>3453</v>
      </c>
      <c r="J1550" s="38">
        <v>57.915000000000013</v>
      </c>
      <c r="K1550" s="35">
        <v>2</v>
      </c>
      <c r="L1550" s="38">
        <f t="shared" si="24"/>
        <v>115.83000000000003</v>
      </c>
      <c r="M1550" s="35" t="s">
        <v>11</v>
      </c>
      <c r="N1550" s="38"/>
      <c r="O1550" s="35" t="s">
        <v>12</v>
      </c>
    </row>
    <row r="1551" spans="1:15" x14ac:dyDescent="0.25">
      <c r="A1551" s="35">
        <v>1197371737</v>
      </c>
      <c r="B1551" s="35" t="s">
        <v>3721</v>
      </c>
      <c r="C1551" s="35">
        <v>2025</v>
      </c>
      <c r="D1551" s="36">
        <v>45706.479305555556</v>
      </c>
      <c r="E1551" s="37" t="s">
        <v>1446</v>
      </c>
      <c r="F1551" s="37" t="s">
        <v>4606</v>
      </c>
      <c r="G1551" s="37" t="s">
        <v>3455</v>
      </c>
      <c r="H1551" s="35" t="s">
        <v>3419</v>
      </c>
      <c r="I1551" s="35" t="s">
        <v>3453</v>
      </c>
      <c r="J1551" s="38">
        <v>58.566394582346277</v>
      </c>
      <c r="K1551" s="35">
        <v>2</v>
      </c>
      <c r="L1551" s="38">
        <f t="shared" si="24"/>
        <v>117.13278916469255</v>
      </c>
      <c r="M1551" s="35" t="s">
        <v>11</v>
      </c>
      <c r="N1551" s="38"/>
      <c r="O1551" s="35" t="s">
        <v>12</v>
      </c>
    </row>
    <row r="1552" spans="1:15" ht="30" x14ac:dyDescent="0.25">
      <c r="A1552" s="35">
        <v>1197371737</v>
      </c>
      <c r="B1552" s="35" t="s">
        <v>3721</v>
      </c>
      <c r="C1552" s="35">
        <v>2025</v>
      </c>
      <c r="D1552" s="36">
        <v>45706.479305555556</v>
      </c>
      <c r="E1552" s="37" t="s">
        <v>1446</v>
      </c>
      <c r="F1552" s="37" t="s">
        <v>4607</v>
      </c>
      <c r="G1552" s="37" t="s">
        <v>3710</v>
      </c>
      <c r="H1552" s="35" t="s">
        <v>3415</v>
      </c>
      <c r="I1552" s="35" t="s">
        <v>3416</v>
      </c>
      <c r="J1552" s="38">
        <v>23.279302708826862</v>
      </c>
      <c r="K1552" s="35">
        <v>4</v>
      </c>
      <c r="L1552" s="38">
        <f t="shared" si="24"/>
        <v>93.117210835307446</v>
      </c>
      <c r="M1552" s="35" t="s">
        <v>11</v>
      </c>
      <c r="N1552" s="38"/>
      <c r="O1552" s="35" t="s">
        <v>12</v>
      </c>
    </row>
    <row r="1553" spans="1:15" x14ac:dyDescent="0.25">
      <c r="A1553" s="35">
        <v>1197262980</v>
      </c>
      <c r="B1553" s="35" t="s">
        <v>3721</v>
      </c>
      <c r="C1553" s="35">
        <v>2025</v>
      </c>
      <c r="D1553" s="36">
        <v>45705.779120370367</v>
      </c>
      <c r="E1553" s="37" t="s">
        <v>469</v>
      </c>
      <c r="F1553" s="37" t="s">
        <v>4608</v>
      </c>
      <c r="G1553" s="37" t="s">
        <v>3742</v>
      </c>
      <c r="H1553" s="35" t="s">
        <v>3415</v>
      </c>
      <c r="I1553" s="35" t="s">
        <v>3453</v>
      </c>
      <c r="J1553" s="38">
        <v>6.7842911449016103</v>
      </c>
      <c r="K1553" s="35">
        <v>4</v>
      </c>
      <c r="L1553" s="38">
        <f t="shared" si="24"/>
        <v>27.137164579606441</v>
      </c>
      <c r="M1553" s="35" t="s">
        <v>11</v>
      </c>
      <c r="N1553" s="38"/>
      <c r="O1553" s="35" t="s">
        <v>12</v>
      </c>
    </row>
    <row r="1554" spans="1:15" x14ac:dyDescent="0.25">
      <c r="A1554" s="35">
        <v>1197262980</v>
      </c>
      <c r="B1554" s="35" t="s">
        <v>3721</v>
      </c>
      <c r="C1554" s="35">
        <v>2025</v>
      </c>
      <c r="D1554" s="36">
        <v>45705.779120370367</v>
      </c>
      <c r="E1554" s="37" t="s">
        <v>469</v>
      </c>
      <c r="F1554" s="37" t="s">
        <v>4609</v>
      </c>
      <c r="G1554" s="37" t="s">
        <v>3455</v>
      </c>
      <c r="H1554" s="35" t="s">
        <v>3415</v>
      </c>
      <c r="I1554" s="35" t="s">
        <v>3453</v>
      </c>
      <c r="J1554" s="38">
        <v>5.323233452593918</v>
      </c>
      <c r="K1554" s="35">
        <v>4</v>
      </c>
      <c r="L1554" s="38">
        <f t="shared" si="24"/>
        <v>21.292933810375672</v>
      </c>
      <c r="M1554" s="35" t="s">
        <v>11</v>
      </c>
      <c r="N1554" s="38"/>
      <c r="O1554" s="35" t="s">
        <v>12</v>
      </c>
    </row>
    <row r="1555" spans="1:15" x14ac:dyDescent="0.25">
      <c r="A1555" s="35">
        <v>1197262980</v>
      </c>
      <c r="B1555" s="35" t="s">
        <v>3721</v>
      </c>
      <c r="C1555" s="35">
        <v>2025</v>
      </c>
      <c r="D1555" s="36">
        <v>45705.779120370367</v>
      </c>
      <c r="E1555" s="37" t="s">
        <v>469</v>
      </c>
      <c r="F1555" s="37" t="s">
        <v>4610</v>
      </c>
      <c r="G1555" s="37" t="s">
        <v>4019</v>
      </c>
      <c r="H1555" s="35" t="s">
        <v>3415</v>
      </c>
      <c r="I1555" s="35" t="s">
        <v>3416</v>
      </c>
      <c r="J1555" s="38">
        <v>0.5549754025044723</v>
      </c>
      <c r="K1555" s="35">
        <v>4</v>
      </c>
      <c r="L1555" s="38">
        <f t="shared" si="24"/>
        <v>2.2199016100178892</v>
      </c>
      <c r="M1555" s="35" t="s">
        <v>11</v>
      </c>
      <c r="N1555" s="38"/>
      <c r="O1555" s="35" t="s">
        <v>12</v>
      </c>
    </row>
    <row r="1556" spans="1:15" x14ac:dyDescent="0.25">
      <c r="A1556" s="35">
        <v>1196694107</v>
      </c>
      <c r="B1556" s="35" t="s">
        <v>3721</v>
      </c>
      <c r="C1556" s="35">
        <v>2025</v>
      </c>
      <c r="D1556" s="36">
        <v>45702.376909722218</v>
      </c>
      <c r="E1556" s="37" t="s">
        <v>877</v>
      </c>
      <c r="F1556" s="37" t="s">
        <v>4611</v>
      </c>
      <c r="G1556" s="37" t="s">
        <v>3740</v>
      </c>
      <c r="H1556" s="35" t="s">
        <v>3415</v>
      </c>
      <c r="I1556" s="35" t="s">
        <v>3453</v>
      </c>
      <c r="J1556" s="38">
        <v>1.8069230769230771</v>
      </c>
      <c r="K1556" s="35">
        <v>4</v>
      </c>
      <c r="L1556" s="38">
        <f t="shared" si="24"/>
        <v>7.2276923076923083</v>
      </c>
      <c r="M1556" s="35" t="s">
        <v>11</v>
      </c>
      <c r="N1556" s="38"/>
      <c r="O1556" s="35" t="s">
        <v>12</v>
      </c>
    </row>
    <row r="1557" spans="1:15" x14ac:dyDescent="0.25">
      <c r="A1557" s="35">
        <v>1196694107</v>
      </c>
      <c r="B1557" s="35" t="s">
        <v>3721</v>
      </c>
      <c r="C1557" s="35">
        <v>2025</v>
      </c>
      <c r="D1557" s="36">
        <v>45702.376909722218</v>
      </c>
      <c r="E1557" s="37" t="s">
        <v>877</v>
      </c>
      <c r="F1557" s="37" t="s">
        <v>4308</v>
      </c>
      <c r="G1557" s="37" t="s">
        <v>4309</v>
      </c>
      <c r="H1557" s="35" t="s">
        <v>3419</v>
      </c>
      <c r="I1557" s="35" t="s">
        <v>3416</v>
      </c>
      <c r="J1557" s="38">
        <v>0.60230769230769232</v>
      </c>
      <c r="K1557" s="35">
        <v>1</v>
      </c>
      <c r="L1557" s="38">
        <f t="shared" si="24"/>
        <v>0.60230769230769232</v>
      </c>
      <c r="M1557" s="35" t="s">
        <v>11</v>
      </c>
      <c r="N1557" s="38"/>
      <c r="O1557" s="35" t="s">
        <v>12</v>
      </c>
    </row>
    <row r="1558" spans="1:15" x14ac:dyDescent="0.25">
      <c r="A1558" s="35">
        <v>1195930029</v>
      </c>
      <c r="B1558" s="35" t="s">
        <v>3721</v>
      </c>
      <c r="C1558" s="35">
        <v>2025</v>
      </c>
      <c r="D1558" s="36">
        <v>45697.844282407408</v>
      </c>
      <c r="E1558" s="37" t="s">
        <v>61</v>
      </c>
      <c r="F1558" s="37" t="s">
        <v>3683</v>
      </c>
      <c r="G1558" s="37" t="s">
        <v>4012</v>
      </c>
      <c r="H1558" s="35" t="s">
        <v>3419</v>
      </c>
      <c r="I1558" s="35" t="s">
        <v>3416</v>
      </c>
      <c r="J1558" s="38">
        <v>1.4</v>
      </c>
      <c r="K1558" s="35">
        <v>2</v>
      </c>
      <c r="L1558" s="38">
        <f t="shared" si="24"/>
        <v>2.8</v>
      </c>
      <c r="M1558" s="42" t="s">
        <v>11</v>
      </c>
      <c r="N1558" s="38"/>
      <c r="O1558" s="35" t="s">
        <v>12</v>
      </c>
    </row>
    <row r="1559" spans="1:15" x14ac:dyDescent="0.25">
      <c r="A1559" s="35">
        <v>1195814832</v>
      </c>
      <c r="B1559" s="35" t="s">
        <v>3721</v>
      </c>
      <c r="C1559" s="35">
        <v>2025</v>
      </c>
      <c r="D1559" s="36">
        <v>45697.378738425927</v>
      </c>
      <c r="E1559" s="37" t="s">
        <v>1455</v>
      </c>
      <c r="F1559" s="37" t="s">
        <v>4618</v>
      </c>
      <c r="G1559" s="37" t="s">
        <v>4024</v>
      </c>
      <c r="H1559" s="35" t="s">
        <v>3415</v>
      </c>
      <c r="I1559" s="35" t="s">
        <v>3416</v>
      </c>
      <c r="J1559" s="38">
        <v>2.3224999999999998</v>
      </c>
      <c r="K1559" s="35">
        <v>4</v>
      </c>
      <c r="L1559" s="38">
        <f t="shared" si="24"/>
        <v>9.2899999999999991</v>
      </c>
      <c r="M1559" s="35" t="s">
        <v>11</v>
      </c>
      <c r="N1559" s="38"/>
      <c r="O1559" s="35" t="s">
        <v>12</v>
      </c>
    </row>
    <row r="1560" spans="1:15" x14ac:dyDescent="0.25">
      <c r="A1560" s="35">
        <v>1195810272</v>
      </c>
      <c r="B1560" s="35" t="s">
        <v>3721</v>
      </c>
      <c r="C1560" s="35">
        <v>2025</v>
      </c>
      <c r="D1560" s="36">
        <v>45697.378738425927</v>
      </c>
      <c r="E1560" s="37" t="s">
        <v>1457</v>
      </c>
      <c r="F1560" s="37" t="s">
        <v>4619</v>
      </c>
      <c r="G1560" s="37" t="s">
        <v>4057</v>
      </c>
      <c r="H1560" s="35" t="s">
        <v>3419</v>
      </c>
      <c r="I1560" s="35" t="s">
        <v>3453</v>
      </c>
      <c r="J1560" s="38">
        <v>11.33</v>
      </c>
      <c r="K1560" s="35">
        <v>1</v>
      </c>
      <c r="L1560" s="38">
        <f t="shared" si="24"/>
        <v>11.33</v>
      </c>
      <c r="M1560" s="35" t="s">
        <v>11</v>
      </c>
      <c r="N1560" s="38"/>
      <c r="O1560" s="35" t="s">
        <v>12</v>
      </c>
    </row>
    <row r="1561" spans="1:15" x14ac:dyDescent="0.25">
      <c r="A1561" s="35">
        <v>1195771934</v>
      </c>
      <c r="B1561" s="35" t="s">
        <v>3721</v>
      </c>
      <c r="C1561" s="35">
        <v>2025</v>
      </c>
      <c r="D1561" s="36">
        <v>45697.014560185176</v>
      </c>
      <c r="E1561" s="37" t="s">
        <v>1459</v>
      </c>
      <c r="F1561" s="37" t="s">
        <v>4620</v>
      </c>
      <c r="G1561" s="37" t="s">
        <v>4621</v>
      </c>
      <c r="H1561" s="35" t="s">
        <v>3415</v>
      </c>
      <c r="I1561" s="35" t="s">
        <v>3416</v>
      </c>
      <c r="J1561" s="38">
        <v>2.2025000000000001</v>
      </c>
      <c r="K1561" s="35">
        <v>4</v>
      </c>
      <c r="L1561" s="38">
        <f t="shared" si="24"/>
        <v>8.81</v>
      </c>
      <c r="M1561" s="35" t="s">
        <v>11</v>
      </c>
      <c r="N1561" s="38"/>
      <c r="O1561" s="35" t="s">
        <v>12</v>
      </c>
    </row>
    <row r="1562" spans="1:15" x14ac:dyDescent="0.25">
      <c r="A1562" s="35">
        <v>1195771378</v>
      </c>
      <c r="B1562" s="35" t="s">
        <v>3721</v>
      </c>
      <c r="C1562" s="35">
        <v>2025</v>
      </c>
      <c r="D1562" s="36">
        <v>45697.014560185176</v>
      </c>
      <c r="E1562" s="37" t="s">
        <v>1461</v>
      </c>
      <c r="F1562" s="37" t="s">
        <v>4622</v>
      </c>
      <c r="G1562" s="37" t="s">
        <v>4223</v>
      </c>
      <c r="H1562" s="35" t="s">
        <v>3419</v>
      </c>
      <c r="I1562" s="35" t="s">
        <v>3416</v>
      </c>
      <c r="J1562" s="38">
        <v>3.33</v>
      </c>
      <c r="K1562" s="35">
        <v>1</v>
      </c>
      <c r="L1562" s="38">
        <f t="shared" si="24"/>
        <v>3.33</v>
      </c>
      <c r="M1562" s="35" t="s">
        <v>11</v>
      </c>
      <c r="N1562" s="38"/>
      <c r="O1562" s="35" t="s">
        <v>12</v>
      </c>
    </row>
    <row r="1563" spans="1:15" x14ac:dyDescent="0.25">
      <c r="A1563" s="35">
        <v>1195771366</v>
      </c>
      <c r="B1563" s="35" t="s">
        <v>3721</v>
      </c>
      <c r="C1563" s="35">
        <v>2025</v>
      </c>
      <c r="D1563" s="36">
        <v>45697.014560185176</v>
      </c>
      <c r="E1563" s="37" t="s">
        <v>1463</v>
      </c>
      <c r="F1563" s="37" t="s">
        <v>4622</v>
      </c>
      <c r="G1563" s="37" t="s">
        <v>4223</v>
      </c>
      <c r="H1563" s="35" t="s">
        <v>3419</v>
      </c>
      <c r="I1563" s="35" t="s">
        <v>3416</v>
      </c>
      <c r="J1563" s="38">
        <v>3.33</v>
      </c>
      <c r="K1563" s="35">
        <v>1</v>
      </c>
      <c r="L1563" s="38">
        <f t="shared" si="24"/>
        <v>3.33</v>
      </c>
      <c r="M1563" s="35" t="s">
        <v>11</v>
      </c>
      <c r="N1563" s="38"/>
      <c r="O1563" s="35" t="s">
        <v>12</v>
      </c>
    </row>
    <row r="1564" spans="1:15" x14ac:dyDescent="0.25">
      <c r="A1564" s="35">
        <v>1195771354</v>
      </c>
      <c r="B1564" s="35" t="s">
        <v>3721</v>
      </c>
      <c r="C1564" s="35">
        <v>2025</v>
      </c>
      <c r="D1564" s="36">
        <v>45697.014560185176</v>
      </c>
      <c r="E1564" s="37" t="s">
        <v>1465</v>
      </c>
      <c r="F1564" s="37" t="s">
        <v>4622</v>
      </c>
      <c r="G1564" s="37" t="s">
        <v>4223</v>
      </c>
      <c r="H1564" s="35" t="s">
        <v>3419</v>
      </c>
      <c r="I1564" s="35" t="s">
        <v>3416</v>
      </c>
      <c r="J1564" s="38">
        <v>3.33</v>
      </c>
      <c r="K1564" s="35">
        <v>1</v>
      </c>
      <c r="L1564" s="38">
        <f t="shared" si="24"/>
        <v>3.33</v>
      </c>
      <c r="M1564" s="35" t="s">
        <v>11</v>
      </c>
      <c r="N1564" s="38"/>
      <c r="O1564" s="35" t="s">
        <v>12</v>
      </c>
    </row>
    <row r="1565" spans="1:15" x14ac:dyDescent="0.25">
      <c r="A1565" s="35">
        <v>1195771347</v>
      </c>
      <c r="B1565" s="35" t="s">
        <v>3721</v>
      </c>
      <c r="C1565" s="35">
        <v>2025</v>
      </c>
      <c r="D1565" s="36">
        <v>45697.014560185176</v>
      </c>
      <c r="E1565" s="37" t="s">
        <v>1467</v>
      </c>
      <c r="F1565" s="37" t="s">
        <v>4622</v>
      </c>
      <c r="G1565" s="37" t="s">
        <v>4223</v>
      </c>
      <c r="H1565" s="35" t="s">
        <v>3419</v>
      </c>
      <c r="I1565" s="35" t="s">
        <v>3416</v>
      </c>
      <c r="J1565" s="38">
        <v>3.33</v>
      </c>
      <c r="K1565" s="35">
        <v>1</v>
      </c>
      <c r="L1565" s="38">
        <f t="shared" si="24"/>
        <v>3.33</v>
      </c>
      <c r="M1565" s="35" t="s">
        <v>11</v>
      </c>
      <c r="N1565" s="38"/>
      <c r="O1565" s="35" t="s">
        <v>12</v>
      </c>
    </row>
    <row r="1566" spans="1:15" x14ac:dyDescent="0.25">
      <c r="A1566" s="35">
        <v>1195374485</v>
      </c>
      <c r="B1566" s="35" t="s">
        <v>3721</v>
      </c>
      <c r="C1566" s="35">
        <v>2025</v>
      </c>
      <c r="D1566" s="36">
        <v>45694.593229166669</v>
      </c>
      <c r="E1566" s="37" t="s">
        <v>8</v>
      </c>
      <c r="F1566" s="37" t="s">
        <v>4624</v>
      </c>
      <c r="G1566" s="37" t="s">
        <v>4012</v>
      </c>
      <c r="H1566" s="35" t="s">
        <v>3419</v>
      </c>
      <c r="I1566" s="35" t="s">
        <v>3416</v>
      </c>
      <c r="J1566" s="38">
        <v>19.3</v>
      </c>
      <c r="K1566" s="35">
        <v>1</v>
      </c>
      <c r="L1566" s="38">
        <f t="shared" si="24"/>
        <v>19.3</v>
      </c>
      <c r="M1566" s="42" t="s">
        <v>11</v>
      </c>
      <c r="N1566" s="38"/>
      <c r="O1566" s="35" t="s">
        <v>12</v>
      </c>
    </row>
    <row r="1567" spans="1:15" x14ac:dyDescent="0.25">
      <c r="A1567" s="35">
        <v>1195354710</v>
      </c>
      <c r="B1567" s="35" t="s">
        <v>3721</v>
      </c>
      <c r="C1567" s="35">
        <v>2025</v>
      </c>
      <c r="D1567" s="36">
        <v>45694.524328703701</v>
      </c>
      <c r="E1567" s="37" t="s">
        <v>8</v>
      </c>
      <c r="F1567" s="37" t="s">
        <v>4143</v>
      </c>
      <c r="G1567" s="37" t="s">
        <v>3733</v>
      </c>
      <c r="H1567" s="35" t="s">
        <v>3415</v>
      </c>
      <c r="I1567" s="35" t="s">
        <v>3416</v>
      </c>
      <c r="J1567" s="38">
        <v>36</v>
      </c>
      <c r="K1567" s="35">
        <v>4</v>
      </c>
      <c r="L1567" s="38">
        <f t="shared" si="24"/>
        <v>144</v>
      </c>
      <c r="M1567" s="42" t="s">
        <v>11</v>
      </c>
      <c r="N1567" s="38"/>
      <c r="O1567" s="35" t="s">
        <v>12</v>
      </c>
    </row>
    <row r="1568" spans="1:15" ht="30" x14ac:dyDescent="0.25">
      <c r="A1568" s="35">
        <v>1195169549</v>
      </c>
      <c r="B1568" s="35" t="s">
        <v>3721</v>
      </c>
      <c r="C1568" s="35">
        <v>2025</v>
      </c>
      <c r="D1568" s="36">
        <v>45693.369212962964</v>
      </c>
      <c r="E1568" s="37" t="s">
        <v>70</v>
      </c>
      <c r="F1568" s="37" t="s">
        <v>4625</v>
      </c>
      <c r="G1568" s="37" t="s">
        <v>3520</v>
      </c>
      <c r="H1568" s="35" t="s">
        <v>3419</v>
      </c>
      <c r="I1568" s="35" t="s">
        <v>3416</v>
      </c>
      <c r="J1568" s="38">
        <v>8.83</v>
      </c>
      <c r="K1568" s="35">
        <v>1</v>
      </c>
      <c r="L1568" s="38">
        <f t="shared" si="24"/>
        <v>8.83</v>
      </c>
      <c r="M1568" s="35" t="s">
        <v>11</v>
      </c>
      <c r="N1568" s="38"/>
      <c r="O1568" s="35" t="s">
        <v>12</v>
      </c>
    </row>
    <row r="1569" spans="1:15" ht="30" x14ac:dyDescent="0.25">
      <c r="A1569" s="35">
        <v>1195169543</v>
      </c>
      <c r="B1569" s="35" t="s">
        <v>3721</v>
      </c>
      <c r="C1569" s="35">
        <v>2025</v>
      </c>
      <c r="D1569" s="36">
        <v>45693.369212962964</v>
      </c>
      <c r="E1569" s="37" t="s">
        <v>1478</v>
      </c>
      <c r="F1569" s="37" t="s">
        <v>4626</v>
      </c>
      <c r="G1569" s="37" t="s">
        <v>3520</v>
      </c>
      <c r="H1569" s="35" t="s">
        <v>3419</v>
      </c>
      <c r="I1569" s="35" t="s">
        <v>3416</v>
      </c>
      <c r="J1569" s="38">
        <v>5.78</v>
      </c>
      <c r="K1569" s="35">
        <v>1</v>
      </c>
      <c r="L1569" s="38">
        <f t="shared" si="24"/>
        <v>5.78</v>
      </c>
      <c r="M1569" s="35" t="s">
        <v>11</v>
      </c>
      <c r="N1569" s="38"/>
      <c r="O1569" s="35" t="s">
        <v>12</v>
      </c>
    </row>
    <row r="1570" spans="1:15" ht="30" x14ac:dyDescent="0.25">
      <c r="A1570" s="35">
        <v>1195169517</v>
      </c>
      <c r="B1570" s="35" t="s">
        <v>3721</v>
      </c>
      <c r="C1570" s="35">
        <v>2025</v>
      </c>
      <c r="D1570" s="36">
        <v>45693.369212962964</v>
      </c>
      <c r="E1570" s="37" t="s">
        <v>442</v>
      </c>
      <c r="F1570" s="37" t="s">
        <v>4627</v>
      </c>
      <c r="G1570" s="37" t="s">
        <v>3520</v>
      </c>
      <c r="H1570" s="35" t="s">
        <v>3419</v>
      </c>
      <c r="I1570" s="35" t="s">
        <v>3416</v>
      </c>
      <c r="J1570" s="38">
        <v>7.27</v>
      </c>
      <c r="K1570" s="35">
        <v>1</v>
      </c>
      <c r="L1570" s="38">
        <f t="shared" si="24"/>
        <v>7.27</v>
      </c>
      <c r="M1570" s="35" t="s">
        <v>11</v>
      </c>
      <c r="N1570" s="38"/>
      <c r="O1570" s="35" t="s">
        <v>12</v>
      </c>
    </row>
    <row r="1571" spans="1:15" ht="30" x14ac:dyDescent="0.25">
      <c r="A1571" s="35">
        <v>1195169424</v>
      </c>
      <c r="B1571" s="35" t="s">
        <v>3721</v>
      </c>
      <c r="C1571" s="35">
        <v>2025</v>
      </c>
      <c r="D1571" s="36">
        <v>45693.369212962964</v>
      </c>
      <c r="E1571" s="37" t="s">
        <v>1481</v>
      </c>
      <c r="F1571" s="37" t="s">
        <v>4628</v>
      </c>
      <c r="G1571" s="37" t="s">
        <v>3520</v>
      </c>
      <c r="H1571" s="35" t="s">
        <v>3419</v>
      </c>
      <c r="I1571" s="35" t="s">
        <v>3416</v>
      </c>
      <c r="J1571" s="38">
        <v>16.329999999999998</v>
      </c>
      <c r="K1571" s="35">
        <v>1</v>
      </c>
      <c r="L1571" s="38">
        <f t="shared" si="24"/>
        <v>16.329999999999998</v>
      </c>
      <c r="M1571" s="35" t="s">
        <v>11</v>
      </c>
      <c r="N1571" s="38"/>
      <c r="O1571" s="35" t="s">
        <v>12</v>
      </c>
    </row>
    <row r="1572" spans="1:15" x14ac:dyDescent="0.25">
      <c r="A1572" s="35">
        <v>1195049267</v>
      </c>
      <c r="B1572" s="35" t="s">
        <v>3721</v>
      </c>
      <c r="C1572" s="35">
        <v>2025</v>
      </c>
      <c r="D1572" s="36">
        <v>45692.615034722221</v>
      </c>
      <c r="E1572" s="37" t="s">
        <v>1483</v>
      </c>
      <c r="F1572" s="37" t="s">
        <v>4629</v>
      </c>
      <c r="G1572" s="37" t="s">
        <v>4223</v>
      </c>
      <c r="H1572" s="35" t="s">
        <v>3419</v>
      </c>
      <c r="I1572" s="35" t="s">
        <v>3416</v>
      </c>
      <c r="J1572" s="38">
        <v>7.58</v>
      </c>
      <c r="K1572" s="35">
        <v>1</v>
      </c>
      <c r="L1572" s="38">
        <f t="shared" si="24"/>
        <v>7.58</v>
      </c>
      <c r="M1572" s="35" t="s">
        <v>11</v>
      </c>
      <c r="N1572" s="38"/>
      <c r="O1572" s="35" t="s">
        <v>12</v>
      </c>
    </row>
    <row r="1573" spans="1:15" x14ac:dyDescent="0.25">
      <c r="A1573" s="35">
        <v>1194915006</v>
      </c>
      <c r="B1573" s="35" t="s">
        <v>3721</v>
      </c>
      <c r="C1573" s="35">
        <v>2025</v>
      </c>
      <c r="D1573" s="36">
        <v>45691.907754629632</v>
      </c>
      <c r="E1573" s="37" t="s">
        <v>1489</v>
      </c>
      <c r="F1573" s="37" t="s">
        <v>4219</v>
      </c>
      <c r="G1573" s="37" t="s">
        <v>4220</v>
      </c>
      <c r="H1573" s="35" t="s">
        <v>3419</v>
      </c>
      <c r="I1573" s="35" t="s">
        <v>3416</v>
      </c>
      <c r="J1573" s="38">
        <v>35.93</v>
      </c>
      <c r="K1573" s="35">
        <v>1</v>
      </c>
      <c r="L1573" s="38">
        <f t="shared" si="24"/>
        <v>35.93</v>
      </c>
      <c r="M1573" s="35" t="s">
        <v>11</v>
      </c>
      <c r="N1573" s="38"/>
      <c r="O1573" s="35" t="s">
        <v>12</v>
      </c>
    </row>
    <row r="1574" spans="1:15" x14ac:dyDescent="0.25">
      <c r="A1574" s="35">
        <v>1194109006</v>
      </c>
      <c r="B1574" s="35" t="s">
        <v>3761</v>
      </c>
      <c r="C1574" s="35">
        <v>2025</v>
      </c>
      <c r="D1574" s="36">
        <v>45687.279178240737</v>
      </c>
      <c r="E1574" s="37" t="s">
        <v>760</v>
      </c>
      <c r="F1574" s="37" t="s">
        <v>4635</v>
      </c>
      <c r="G1574" s="37" t="s">
        <v>4636</v>
      </c>
      <c r="H1574" s="35" t="s">
        <v>3415</v>
      </c>
      <c r="I1574" s="35" t="s">
        <v>3416</v>
      </c>
      <c r="J1574" s="38">
        <v>1.3225</v>
      </c>
      <c r="K1574" s="35">
        <v>4</v>
      </c>
      <c r="L1574" s="38">
        <f t="shared" si="24"/>
        <v>5.29</v>
      </c>
      <c r="M1574" s="35" t="s">
        <v>11</v>
      </c>
      <c r="N1574" s="38"/>
      <c r="O1574" s="35" t="s">
        <v>12</v>
      </c>
    </row>
    <row r="1575" spans="1:15" x14ac:dyDescent="0.25">
      <c r="A1575" s="35">
        <v>1194037612</v>
      </c>
      <c r="B1575" s="35" t="s">
        <v>3761</v>
      </c>
      <c r="C1575" s="35">
        <v>2025</v>
      </c>
      <c r="D1575" s="36">
        <v>45686.779444444437</v>
      </c>
      <c r="E1575" s="37" t="s">
        <v>1210</v>
      </c>
      <c r="F1575" s="37" t="s">
        <v>4637</v>
      </c>
      <c r="G1575" s="37" t="s">
        <v>4059</v>
      </c>
      <c r="H1575" s="35" t="s">
        <v>3419</v>
      </c>
      <c r="I1575" s="35" t="s">
        <v>3416</v>
      </c>
      <c r="J1575" s="38">
        <v>1.137777777777778</v>
      </c>
      <c r="K1575" s="35">
        <v>9</v>
      </c>
      <c r="L1575" s="38">
        <f t="shared" si="24"/>
        <v>10.240000000000002</v>
      </c>
      <c r="M1575" s="35" t="s">
        <v>11</v>
      </c>
      <c r="N1575" s="38"/>
      <c r="O1575" s="35" t="s">
        <v>12</v>
      </c>
    </row>
    <row r="1576" spans="1:15" x14ac:dyDescent="0.25">
      <c r="A1576" s="35">
        <v>1193948773</v>
      </c>
      <c r="B1576" s="35" t="s">
        <v>3761</v>
      </c>
      <c r="C1576" s="35">
        <v>2025</v>
      </c>
      <c r="D1576" s="36">
        <v>45686.418229166673</v>
      </c>
      <c r="E1576" s="37" t="s">
        <v>1503</v>
      </c>
      <c r="F1576" s="37" t="s">
        <v>4638</v>
      </c>
      <c r="G1576" s="37" t="s">
        <v>3621</v>
      </c>
      <c r="H1576" s="35" t="s">
        <v>3415</v>
      </c>
      <c r="I1576" s="35" t="s">
        <v>3416</v>
      </c>
      <c r="J1576" s="38">
        <v>0.48249999999999998</v>
      </c>
      <c r="K1576" s="35">
        <v>4</v>
      </c>
      <c r="L1576" s="38">
        <f t="shared" si="24"/>
        <v>1.93</v>
      </c>
      <c r="M1576" s="35" t="s">
        <v>11</v>
      </c>
      <c r="N1576" s="38"/>
      <c r="O1576" s="35" t="s">
        <v>12</v>
      </c>
    </row>
    <row r="1577" spans="1:15" x14ac:dyDescent="0.25">
      <c r="A1577" s="35">
        <v>1193948333</v>
      </c>
      <c r="B1577" s="35" t="s">
        <v>3761</v>
      </c>
      <c r="C1577" s="35">
        <v>2025</v>
      </c>
      <c r="D1577" s="36">
        <v>45686.418229166673</v>
      </c>
      <c r="E1577" s="37" t="s">
        <v>187</v>
      </c>
      <c r="F1577" s="37" t="s">
        <v>4639</v>
      </c>
      <c r="G1577" s="37" t="s">
        <v>4059</v>
      </c>
      <c r="H1577" s="35" t="s">
        <v>3419</v>
      </c>
      <c r="I1577" s="35" t="s">
        <v>3416</v>
      </c>
      <c r="J1577" s="38">
        <v>6.0650000000000004</v>
      </c>
      <c r="K1577" s="35">
        <v>2</v>
      </c>
      <c r="L1577" s="38">
        <f t="shared" si="24"/>
        <v>12.13</v>
      </c>
      <c r="M1577" s="35" t="s">
        <v>11</v>
      </c>
      <c r="N1577" s="38"/>
      <c r="O1577" s="35" t="s">
        <v>12</v>
      </c>
    </row>
    <row r="1578" spans="1:15" x14ac:dyDescent="0.25">
      <c r="A1578" s="35">
        <v>1193948201</v>
      </c>
      <c r="B1578" s="35" t="s">
        <v>3761</v>
      </c>
      <c r="C1578" s="35">
        <v>2025</v>
      </c>
      <c r="D1578" s="36">
        <v>45686.418229166673</v>
      </c>
      <c r="E1578" s="37" t="s">
        <v>1506</v>
      </c>
      <c r="F1578" s="37" t="s">
        <v>4639</v>
      </c>
      <c r="G1578" s="37" t="s">
        <v>4059</v>
      </c>
      <c r="H1578" s="35" t="s">
        <v>3419</v>
      </c>
      <c r="I1578" s="35" t="s">
        <v>3416</v>
      </c>
      <c r="J1578" s="38">
        <v>5.32</v>
      </c>
      <c r="K1578" s="35">
        <v>1</v>
      </c>
      <c r="L1578" s="38">
        <f t="shared" si="24"/>
        <v>5.32</v>
      </c>
      <c r="M1578" s="35" t="s">
        <v>11</v>
      </c>
      <c r="N1578" s="38"/>
      <c r="O1578" s="35" t="s">
        <v>12</v>
      </c>
    </row>
    <row r="1579" spans="1:15" x14ac:dyDescent="0.25">
      <c r="A1579" s="35">
        <v>1193948195</v>
      </c>
      <c r="B1579" s="35" t="s">
        <v>3761</v>
      </c>
      <c r="C1579" s="35">
        <v>2025</v>
      </c>
      <c r="D1579" s="36">
        <v>45686.418229166673</v>
      </c>
      <c r="E1579" s="37" t="s">
        <v>1508</v>
      </c>
      <c r="F1579" s="37" t="s">
        <v>4639</v>
      </c>
      <c r="G1579" s="37" t="s">
        <v>4059</v>
      </c>
      <c r="H1579" s="35" t="s">
        <v>3419</v>
      </c>
      <c r="I1579" s="35" t="s">
        <v>3416</v>
      </c>
      <c r="J1579" s="38">
        <v>4.33</v>
      </c>
      <c r="K1579" s="35">
        <v>1</v>
      </c>
      <c r="L1579" s="38">
        <f t="shared" si="24"/>
        <v>4.33</v>
      </c>
      <c r="M1579" s="35" t="s">
        <v>11</v>
      </c>
      <c r="N1579" s="38"/>
      <c r="O1579" s="35" t="s">
        <v>12</v>
      </c>
    </row>
    <row r="1580" spans="1:15" x14ac:dyDescent="0.25">
      <c r="A1580" s="35">
        <v>1193419516</v>
      </c>
      <c r="B1580" s="35" t="s">
        <v>3761</v>
      </c>
      <c r="C1580" s="35">
        <v>2025</v>
      </c>
      <c r="D1580" s="36">
        <v>45683.520381944443</v>
      </c>
      <c r="E1580" s="37" t="s">
        <v>1510</v>
      </c>
      <c r="F1580" s="37" t="s">
        <v>4641</v>
      </c>
      <c r="G1580" s="37" t="s">
        <v>4642</v>
      </c>
      <c r="H1580" s="35" t="s">
        <v>3419</v>
      </c>
      <c r="I1580" s="35" t="s">
        <v>3453</v>
      </c>
      <c r="J1580" s="38">
        <v>4.7650000000000006</v>
      </c>
      <c r="K1580" s="35">
        <v>2</v>
      </c>
      <c r="L1580" s="38">
        <f t="shared" si="24"/>
        <v>9.5300000000000011</v>
      </c>
      <c r="M1580" s="35" t="s">
        <v>11</v>
      </c>
      <c r="N1580" s="38"/>
      <c r="O1580" s="35" t="s">
        <v>12</v>
      </c>
    </row>
    <row r="1581" spans="1:15" x14ac:dyDescent="0.25">
      <c r="A1581" s="35">
        <v>1193417651</v>
      </c>
      <c r="B1581" s="35" t="s">
        <v>3761</v>
      </c>
      <c r="C1581" s="35">
        <v>2025</v>
      </c>
      <c r="D1581" s="36">
        <v>45683.520381944443</v>
      </c>
      <c r="E1581" s="37" t="s">
        <v>1513</v>
      </c>
      <c r="F1581" s="37" t="s">
        <v>4643</v>
      </c>
      <c r="G1581" s="37" t="s">
        <v>3855</v>
      </c>
      <c r="H1581" s="35" t="s">
        <v>3419</v>
      </c>
      <c r="I1581" s="35" t="s">
        <v>3416</v>
      </c>
      <c r="J1581" s="38">
        <v>4.53</v>
      </c>
      <c r="K1581" s="35">
        <v>2</v>
      </c>
      <c r="L1581" s="38">
        <f t="shared" si="24"/>
        <v>9.06</v>
      </c>
      <c r="M1581" s="35" t="s">
        <v>11</v>
      </c>
      <c r="N1581" s="38"/>
      <c r="O1581" s="35" t="s">
        <v>12</v>
      </c>
    </row>
    <row r="1582" spans="1:15" x14ac:dyDescent="0.25">
      <c r="A1582" s="35">
        <v>1193417631</v>
      </c>
      <c r="B1582" s="35" t="s">
        <v>3761</v>
      </c>
      <c r="C1582" s="35">
        <v>2025</v>
      </c>
      <c r="D1582" s="36">
        <v>45683.520381944443</v>
      </c>
      <c r="E1582" s="37" t="s">
        <v>1515</v>
      </c>
      <c r="F1582" s="37" t="s">
        <v>4643</v>
      </c>
      <c r="G1582" s="37" t="s">
        <v>3855</v>
      </c>
      <c r="H1582" s="35" t="s">
        <v>3419</v>
      </c>
      <c r="I1582" s="35" t="s">
        <v>3416</v>
      </c>
      <c r="J1582" s="38">
        <v>3.1</v>
      </c>
      <c r="K1582" s="35">
        <v>2</v>
      </c>
      <c r="L1582" s="38">
        <f t="shared" si="24"/>
        <v>6.2</v>
      </c>
      <c r="M1582" s="35" t="s">
        <v>11</v>
      </c>
      <c r="N1582" s="38"/>
      <c r="O1582" s="35" t="s">
        <v>12</v>
      </c>
    </row>
    <row r="1583" spans="1:15" x14ac:dyDescent="0.25">
      <c r="A1583" s="35">
        <v>1193402417</v>
      </c>
      <c r="B1583" s="35" t="s">
        <v>3761</v>
      </c>
      <c r="C1583" s="35">
        <v>2025</v>
      </c>
      <c r="D1583" s="36">
        <v>45683.520381944443</v>
      </c>
      <c r="E1583" s="37" t="s">
        <v>1159</v>
      </c>
      <c r="F1583" s="37" t="s">
        <v>4644</v>
      </c>
      <c r="G1583" s="37" t="s">
        <v>3452</v>
      </c>
      <c r="H1583" s="35" t="s">
        <v>3419</v>
      </c>
      <c r="I1583" s="35" t="s">
        <v>3416</v>
      </c>
      <c r="J1583" s="38">
        <v>32.880000000000003</v>
      </c>
      <c r="K1583" s="35">
        <v>1</v>
      </c>
      <c r="L1583" s="38">
        <f t="shared" si="24"/>
        <v>32.880000000000003</v>
      </c>
      <c r="M1583" s="35" t="s">
        <v>11</v>
      </c>
      <c r="N1583" s="38"/>
      <c r="O1583" s="35" t="s">
        <v>12</v>
      </c>
    </row>
    <row r="1584" spans="1:15" x14ac:dyDescent="0.25">
      <c r="A1584" s="35">
        <v>1193402396</v>
      </c>
      <c r="B1584" s="35" t="s">
        <v>3761</v>
      </c>
      <c r="C1584" s="35">
        <v>2025</v>
      </c>
      <c r="D1584" s="36">
        <v>45683.520381944443</v>
      </c>
      <c r="E1584" s="37" t="s">
        <v>847</v>
      </c>
      <c r="F1584" s="37" t="s">
        <v>4644</v>
      </c>
      <c r="G1584" s="37" t="s">
        <v>3452</v>
      </c>
      <c r="H1584" s="35" t="s">
        <v>3419</v>
      </c>
      <c r="I1584" s="35" t="s">
        <v>3416</v>
      </c>
      <c r="J1584" s="38">
        <v>30.864999999999998</v>
      </c>
      <c r="K1584" s="35">
        <v>2</v>
      </c>
      <c r="L1584" s="38">
        <f t="shared" si="24"/>
        <v>61.73</v>
      </c>
      <c r="M1584" s="35" t="s">
        <v>11</v>
      </c>
      <c r="N1584" s="38"/>
      <c r="O1584" s="35" t="s">
        <v>12</v>
      </c>
    </row>
    <row r="1585" spans="1:15" x14ac:dyDescent="0.25">
      <c r="A1585" s="35">
        <v>1193206309</v>
      </c>
      <c r="B1585" s="35" t="s">
        <v>3761</v>
      </c>
      <c r="C1585" s="35">
        <v>2025</v>
      </c>
      <c r="D1585" s="36">
        <v>45682.04346064815</v>
      </c>
      <c r="E1585" s="37" t="s">
        <v>223</v>
      </c>
      <c r="F1585" s="37" t="s">
        <v>4647</v>
      </c>
      <c r="G1585" s="37" t="s">
        <v>3452</v>
      </c>
      <c r="H1585" s="35" t="s">
        <v>3415</v>
      </c>
      <c r="I1585" s="35" t="s">
        <v>3416</v>
      </c>
      <c r="J1585" s="38">
        <v>0.86458227848101266</v>
      </c>
      <c r="K1585" s="35">
        <v>4</v>
      </c>
      <c r="L1585" s="38">
        <f t="shared" si="24"/>
        <v>3.4583291139240506</v>
      </c>
      <c r="M1585" s="35" t="s">
        <v>11</v>
      </c>
      <c r="N1585" s="38"/>
      <c r="O1585" s="35" t="s">
        <v>12</v>
      </c>
    </row>
    <row r="1586" spans="1:15" x14ac:dyDescent="0.25">
      <c r="A1586" s="35">
        <v>1193206309</v>
      </c>
      <c r="B1586" s="35" t="s">
        <v>3761</v>
      </c>
      <c r="C1586" s="35">
        <v>2025</v>
      </c>
      <c r="D1586" s="36">
        <v>45682.04346064815</v>
      </c>
      <c r="E1586" s="37" t="s">
        <v>223</v>
      </c>
      <c r="F1586" s="37" t="s">
        <v>4648</v>
      </c>
      <c r="G1586" s="37" t="s">
        <v>3452</v>
      </c>
      <c r="H1586" s="35" t="s">
        <v>3419</v>
      </c>
      <c r="I1586" s="35" t="s">
        <v>3416</v>
      </c>
      <c r="J1586" s="38">
        <v>5.7716708860759498</v>
      </c>
      <c r="K1586" s="35">
        <v>1</v>
      </c>
      <c r="L1586" s="38">
        <f t="shared" si="24"/>
        <v>5.7716708860759498</v>
      </c>
      <c r="M1586" s="35" t="s">
        <v>11</v>
      </c>
      <c r="N1586" s="38"/>
      <c r="O1586" s="35" t="s">
        <v>12</v>
      </c>
    </row>
    <row r="1587" spans="1:15" x14ac:dyDescent="0.25">
      <c r="A1587" s="35">
        <v>1192922162</v>
      </c>
      <c r="B1587" s="35" t="s">
        <v>3761</v>
      </c>
      <c r="C1587" s="35">
        <v>2025</v>
      </c>
      <c r="D1587" s="36">
        <v>45680.46634259259</v>
      </c>
      <c r="E1587" s="37" t="s">
        <v>1526</v>
      </c>
      <c r="F1587" s="37" t="s">
        <v>4456</v>
      </c>
      <c r="G1587" s="37" t="s">
        <v>3729</v>
      </c>
      <c r="H1587" s="35" t="s">
        <v>3419</v>
      </c>
      <c r="I1587" s="35" t="s">
        <v>3416</v>
      </c>
      <c r="J1587" s="38">
        <v>3.83</v>
      </c>
      <c r="K1587" s="35">
        <v>1</v>
      </c>
      <c r="L1587" s="38">
        <f t="shared" si="24"/>
        <v>3.83</v>
      </c>
      <c r="M1587" s="35" t="s">
        <v>11</v>
      </c>
      <c r="N1587" s="38"/>
      <c r="O1587" s="35" t="s">
        <v>12</v>
      </c>
    </row>
    <row r="1588" spans="1:15" x14ac:dyDescent="0.25">
      <c r="A1588" s="35">
        <v>1192922149</v>
      </c>
      <c r="B1588" s="35" t="s">
        <v>3761</v>
      </c>
      <c r="C1588" s="35">
        <v>2025</v>
      </c>
      <c r="D1588" s="36">
        <v>45680.46634259259</v>
      </c>
      <c r="E1588" s="37" t="s">
        <v>1528</v>
      </c>
      <c r="F1588" s="37" t="s">
        <v>4456</v>
      </c>
      <c r="G1588" s="37" t="s">
        <v>3729</v>
      </c>
      <c r="H1588" s="35" t="s">
        <v>3419</v>
      </c>
      <c r="I1588" s="35" t="s">
        <v>3416</v>
      </c>
      <c r="J1588" s="38">
        <v>3.83</v>
      </c>
      <c r="K1588" s="35">
        <v>1</v>
      </c>
      <c r="L1588" s="38">
        <f t="shared" si="24"/>
        <v>3.83</v>
      </c>
      <c r="M1588" s="35" t="s">
        <v>11</v>
      </c>
      <c r="N1588" s="38"/>
      <c r="O1588" s="35" t="s">
        <v>12</v>
      </c>
    </row>
    <row r="1589" spans="1:15" x14ac:dyDescent="0.25">
      <c r="A1589" s="35">
        <v>1192922140</v>
      </c>
      <c r="B1589" s="35" t="s">
        <v>3761</v>
      </c>
      <c r="C1589" s="35">
        <v>2025</v>
      </c>
      <c r="D1589" s="36">
        <v>45680.46634259259</v>
      </c>
      <c r="E1589" s="37" t="s">
        <v>1530</v>
      </c>
      <c r="F1589" s="37" t="s">
        <v>4456</v>
      </c>
      <c r="G1589" s="37" t="s">
        <v>3729</v>
      </c>
      <c r="H1589" s="35" t="s">
        <v>3419</v>
      </c>
      <c r="I1589" s="35" t="s">
        <v>3416</v>
      </c>
      <c r="J1589" s="38">
        <v>3.63</v>
      </c>
      <c r="K1589" s="35">
        <v>1</v>
      </c>
      <c r="L1589" s="38">
        <f t="shared" si="24"/>
        <v>3.63</v>
      </c>
      <c r="M1589" s="35" t="s">
        <v>11</v>
      </c>
      <c r="N1589" s="38"/>
      <c r="O1589" s="35" t="s">
        <v>12</v>
      </c>
    </row>
    <row r="1590" spans="1:15" x14ac:dyDescent="0.25">
      <c r="A1590" s="35">
        <v>1192851623</v>
      </c>
      <c r="B1590" s="35" t="s">
        <v>3761</v>
      </c>
      <c r="C1590" s="35">
        <v>2025</v>
      </c>
      <c r="D1590" s="36">
        <v>45679.862233796302</v>
      </c>
      <c r="E1590" s="37" t="s">
        <v>318</v>
      </c>
      <c r="F1590" s="37" t="s">
        <v>4655</v>
      </c>
      <c r="G1590" s="37" t="s">
        <v>3925</v>
      </c>
      <c r="H1590" s="35" t="s">
        <v>3419</v>
      </c>
      <c r="I1590" s="35" t="s">
        <v>3416</v>
      </c>
      <c r="J1590" s="38">
        <v>2.2887246049661401</v>
      </c>
      <c r="K1590" s="35">
        <v>2</v>
      </c>
      <c r="L1590" s="38">
        <f t="shared" si="24"/>
        <v>4.5774492099322801</v>
      </c>
      <c r="M1590" s="35" t="s">
        <v>11</v>
      </c>
      <c r="N1590" s="38"/>
      <c r="O1590" s="35" t="s">
        <v>12</v>
      </c>
    </row>
    <row r="1591" spans="1:15" x14ac:dyDescent="0.25">
      <c r="A1591" s="35">
        <v>1192851623</v>
      </c>
      <c r="B1591" s="35" t="s">
        <v>3761</v>
      </c>
      <c r="C1591" s="35">
        <v>2025</v>
      </c>
      <c r="D1591" s="36">
        <v>45679.862233796302</v>
      </c>
      <c r="E1591" s="37" t="s">
        <v>318</v>
      </c>
      <c r="F1591" s="37" t="s">
        <v>4656</v>
      </c>
      <c r="G1591" s="37" t="s">
        <v>4642</v>
      </c>
      <c r="H1591" s="35" t="s">
        <v>3419</v>
      </c>
      <c r="I1591" s="35" t="s">
        <v>3416</v>
      </c>
      <c r="J1591" s="38">
        <v>0.39103837471783298</v>
      </c>
      <c r="K1591" s="35">
        <v>2</v>
      </c>
      <c r="L1591" s="38">
        <f t="shared" si="24"/>
        <v>0.78207674943566596</v>
      </c>
      <c r="M1591" s="35" t="s">
        <v>11</v>
      </c>
      <c r="N1591" s="38"/>
      <c r="O1591" s="35" t="s">
        <v>12</v>
      </c>
    </row>
    <row r="1592" spans="1:15" x14ac:dyDescent="0.25">
      <c r="A1592" s="35">
        <v>1192851623</v>
      </c>
      <c r="B1592" s="35" t="s">
        <v>3761</v>
      </c>
      <c r="C1592" s="35">
        <v>2025</v>
      </c>
      <c r="D1592" s="36">
        <v>45679.862233796302</v>
      </c>
      <c r="E1592" s="37" t="s">
        <v>318</v>
      </c>
      <c r="F1592" s="37" t="s">
        <v>4657</v>
      </c>
      <c r="G1592" s="37" t="s">
        <v>3810</v>
      </c>
      <c r="H1592" s="35" t="s">
        <v>3415</v>
      </c>
      <c r="I1592" s="35" t="s">
        <v>3416</v>
      </c>
      <c r="J1592" s="38">
        <v>1.138611738148984</v>
      </c>
      <c r="K1592" s="35">
        <v>4</v>
      </c>
      <c r="L1592" s="38">
        <f t="shared" si="24"/>
        <v>4.5544469525959359</v>
      </c>
      <c r="M1592" s="35" t="s">
        <v>11</v>
      </c>
      <c r="N1592" s="38"/>
      <c r="O1592" s="35" t="s">
        <v>12</v>
      </c>
    </row>
    <row r="1593" spans="1:15" x14ac:dyDescent="0.25">
      <c r="A1593" s="35">
        <v>1192851623</v>
      </c>
      <c r="B1593" s="35" t="s">
        <v>3761</v>
      </c>
      <c r="C1593" s="35">
        <v>2025</v>
      </c>
      <c r="D1593" s="36">
        <v>45679.862233796302</v>
      </c>
      <c r="E1593" s="37" t="s">
        <v>318</v>
      </c>
      <c r="F1593" s="37" t="s">
        <v>4658</v>
      </c>
      <c r="G1593" s="37" t="s">
        <v>4105</v>
      </c>
      <c r="H1593" s="35" t="s">
        <v>3419</v>
      </c>
      <c r="I1593" s="35" t="s">
        <v>3416</v>
      </c>
      <c r="J1593" s="38">
        <v>0.27602708803611742</v>
      </c>
      <c r="K1593" s="35">
        <v>1</v>
      </c>
      <c r="L1593" s="38">
        <f t="shared" si="24"/>
        <v>0.27602708803611742</v>
      </c>
      <c r="M1593" s="35" t="s">
        <v>11</v>
      </c>
      <c r="N1593" s="38"/>
      <c r="O1593" s="35" t="s">
        <v>12</v>
      </c>
    </row>
    <row r="1594" spans="1:15" x14ac:dyDescent="0.25">
      <c r="A1594" s="35">
        <v>1192836908</v>
      </c>
      <c r="B1594" s="35" t="s">
        <v>3761</v>
      </c>
      <c r="C1594" s="35">
        <v>2025</v>
      </c>
      <c r="D1594" s="36">
        <v>45679.807106481479</v>
      </c>
      <c r="E1594" s="37" t="s">
        <v>1533</v>
      </c>
      <c r="F1594" s="37" t="s">
        <v>4659</v>
      </c>
      <c r="G1594" s="37" t="s">
        <v>4046</v>
      </c>
      <c r="H1594" s="35" t="s">
        <v>3419</v>
      </c>
      <c r="I1594" s="35" t="s">
        <v>3640</v>
      </c>
      <c r="J1594" s="38">
        <v>10.664999999999999</v>
      </c>
      <c r="K1594" s="35">
        <v>2</v>
      </c>
      <c r="L1594" s="38">
        <f t="shared" si="24"/>
        <v>21.33</v>
      </c>
      <c r="M1594" s="35" t="s">
        <v>11</v>
      </c>
      <c r="N1594" s="38"/>
      <c r="O1594" s="35" t="s">
        <v>12</v>
      </c>
    </row>
    <row r="1595" spans="1:15" x14ac:dyDescent="0.25">
      <c r="A1595" s="35">
        <v>1192398485</v>
      </c>
      <c r="B1595" s="35" t="s">
        <v>3761</v>
      </c>
      <c r="C1595" s="35">
        <v>2025</v>
      </c>
      <c r="D1595" s="36">
        <v>45676.993379629632</v>
      </c>
      <c r="E1595" s="37" t="s">
        <v>1536</v>
      </c>
      <c r="F1595" s="37" t="s">
        <v>3874</v>
      </c>
      <c r="G1595" s="37" t="s">
        <v>4108</v>
      </c>
      <c r="H1595" s="35" t="s">
        <v>3419</v>
      </c>
      <c r="I1595" s="35" t="s">
        <v>3453</v>
      </c>
      <c r="J1595" s="38">
        <v>1.165</v>
      </c>
      <c r="K1595" s="35">
        <v>2</v>
      </c>
      <c r="L1595" s="38">
        <f t="shared" si="24"/>
        <v>2.33</v>
      </c>
      <c r="M1595" s="35" t="s">
        <v>11</v>
      </c>
      <c r="N1595" s="38"/>
      <c r="O1595" s="35" t="s">
        <v>12</v>
      </c>
    </row>
    <row r="1596" spans="1:15" x14ac:dyDescent="0.25">
      <c r="A1596" s="35">
        <v>1192106338</v>
      </c>
      <c r="B1596" s="35" t="s">
        <v>3761</v>
      </c>
      <c r="C1596" s="35">
        <v>2025</v>
      </c>
      <c r="D1596" s="36">
        <v>45675.37945601852</v>
      </c>
      <c r="E1596" s="37" t="s">
        <v>1544</v>
      </c>
      <c r="F1596" s="37" t="s">
        <v>3875</v>
      </c>
      <c r="G1596" s="37" t="s">
        <v>4236</v>
      </c>
      <c r="H1596" s="35" t="s">
        <v>3419</v>
      </c>
      <c r="I1596" s="35" t="s">
        <v>3416</v>
      </c>
      <c r="J1596" s="38">
        <v>3.33</v>
      </c>
      <c r="K1596" s="35">
        <v>1</v>
      </c>
      <c r="L1596" s="38">
        <f t="shared" si="24"/>
        <v>3.33</v>
      </c>
      <c r="M1596" s="35" t="s">
        <v>11</v>
      </c>
      <c r="N1596" s="38"/>
      <c r="O1596" s="35" t="s">
        <v>12</v>
      </c>
    </row>
    <row r="1597" spans="1:15" x14ac:dyDescent="0.25">
      <c r="A1597" s="35">
        <v>1192106329</v>
      </c>
      <c r="B1597" s="35" t="s">
        <v>3761</v>
      </c>
      <c r="C1597" s="35">
        <v>2025</v>
      </c>
      <c r="D1597" s="36">
        <v>45675.37945601852</v>
      </c>
      <c r="E1597" s="37" t="s">
        <v>1546</v>
      </c>
      <c r="F1597" s="37" t="s">
        <v>3875</v>
      </c>
      <c r="G1597" s="37" t="s">
        <v>4236</v>
      </c>
      <c r="H1597" s="35" t="s">
        <v>3419</v>
      </c>
      <c r="I1597" s="35" t="s">
        <v>3416</v>
      </c>
      <c r="J1597" s="38">
        <v>3.33</v>
      </c>
      <c r="K1597" s="35">
        <v>1</v>
      </c>
      <c r="L1597" s="38">
        <f t="shared" si="24"/>
        <v>3.33</v>
      </c>
      <c r="M1597" s="35" t="s">
        <v>11</v>
      </c>
      <c r="N1597" s="38"/>
      <c r="O1597" s="35" t="s">
        <v>12</v>
      </c>
    </row>
    <row r="1598" spans="1:15" x14ac:dyDescent="0.25">
      <c r="A1598" s="35">
        <v>1192106327</v>
      </c>
      <c r="B1598" s="35" t="s">
        <v>3761</v>
      </c>
      <c r="C1598" s="35">
        <v>2025</v>
      </c>
      <c r="D1598" s="36">
        <v>45675.37945601852</v>
      </c>
      <c r="E1598" s="37" t="s">
        <v>1548</v>
      </c>
      <c r="F1598" s="37" t="s">
        <v>3875</v>
      </c>
      <c r="G1598" s="37" t="s">
        <v>4236</v>
      </c>
      <c r="H1598" s="35" t="s">
        <v>3419</v>
      </c>
      <c r="I1598" s="35" t="s">
        <v>3416</v>
      </c>
      <c r="J1598" s="38">
        <v>3.22</v>
      </c>
      <c r="K1598" s="35">
        <v>1</v>
      </c>
      <c r="L1598" s="38">
        <f t="shared" si="24"/>
        <v>3.22</v>
      </c>
      <c r="M1598" s="35" t="s">
        <v>11</v>
      </c>
      <c r="N1598" s="38"/>
      <c r="O1598" s="35" t="s">
        <v>12</v>
      </c>
    </row>
    <row r="1599" spans="1:15" x14ac:dyDescent="0.25">
      <c r="A1599" s="35">
        <v>1192004724</v>
      </c>
      <c r="B1599" s="35" t="s">
        <v>3761</v>
      </c>
      <c r="C1599" s="35">
        <v>2025</v>
      </c>
      <c r="D1599" s="36">
        <v>45674.607372685183</v>
      </c>
      <c r="E1599" s="37" t="s">
        <v>35</v>
      </c>
      <c r="F1599" s="37" t="s">
        <v>4661</v>
      </c>
      <c r="G1599" s="37" t="s">
        <v>4223</v>
      </c>
      <c r="H1599" s="35" t="s">
        <v>3419</v>
      </c>
      <c r="I1599" s="35" t="s">
        <v>3416</v>
      </c>
      <c r="J1599" s="38">
        <v>2.9049999999999998</v>
      </c>
      <c r="K1599" s="35">
        <v>2</v>
      </c>
      <c r="L1599" s="38">
        <f t="shared" si="24"/>
        <v>5.81</v>
      </c>
      <c r="M1599" s="35" t="s">
        <v>11</v>
      </c>
      <c r="N1599" s="38"/>
      <c r="O1599" s="35" t="s">
        <v>12</v>
      </c>
    </row>
    <row r="1600" spans="1:15" x14ac:dyDescent="0.25">
      <c r="A1600" s="35">
        <v>1192004406</v>
      </c>
      <c r="B1600" s="35" t="s">
        <v>3761</v>
      </c>
      <c r="C1600" s="35">
        <v>2025</v>
      </c>
      <c r="D1600" s="36">
        <v>45674.607372685183</v>
      </c>
      <c r="E1600" s="37" t="s">
        <v>181</v>
      </c>
      <c r="F1600" s="37" t="s">
        <v>4662</v>
      </c>
      <c r="G1600" s="37" t="s">
        <v>3855</v>
      </c>
      <c r="H1600" s="35" t="s">
        <v>3419</v>
      </c>
      <c r="I1600" s="35" t="s">
        <v>3416</v>
      </c>
      <c r="J1600" s="38">
        <v>5.78</v>
      </c>
      <c r="K1600" s="35">
        <v>1</v>
      </c>
      <c r="L1600" s="38">
        <f t="shared" si="24"/>
        <v>5.78</v>
      </c>
      <c r="M1600" s="35" t="s">
        <v>11</v>
      </c>
      <c r="N1600" s="38"/>
      <c r="O1600" s="35" t="s">
        <v>12</v>
      </c>
    </row>
    <row r="1601" spans="1:15" x14ac:dyDescent="0.25">
      <c r="A1601" s="35">
        <v>1191707488</v>
      </c>
      <c r="B1601" s="35" t="s">
        <v>3761</v>
      </c>
      <c r="C1601" s="35">
        <v>2025</v>
      </c>
      <c r="D1601" s="36">
        <v>45672.652777777781</v>
      </c>
      <c r="E1601" s="37" t="s">
        <v>965</v>
      </c>
      <c r="F1601" s="37" t="s">
        <v>4665</v>
      </c>
      <c r="G1601" s="37" t="s">
        <v>4392</v>
      </c>
      <c r="H1601" s="35" t="s">
        <v>3415</v>
      </c>
      <c r="I1601" s="35" t="s">
        <v>3416</v>
      </c>
      <c r="J1601" s="38">
        <v>11.45</v>
      </c>
      <c r="K1601" s="35">
        <v>4</v>
      </c>
      <c r="L1601" s="38">
        <f t="shared" si="24"/>
        <v>45.8</v>
      </c>
      <c r="M1601" s="35" t="s">
        <v>11</v>
      </c>
      <c r="N1601" s="38"/>
      <c r="O1601" s="35" t="s">
        <v>12</v>
      </c>
    </row>
    <row r="1602" spans="1:15" x14ac:dyDescent="0.25">
      <c r="A1602" s="35">
        <v>1191705587</v>
      </c>
      <c r="B1602" s="35" t="s">
        <v>3761</v>
      </c>
      <c r="C1602" s="35">
        <v>2025</v>
      </c>
      <c r="D1602" s="36">
        <v>45672.652777777781</v>
      </c>
      <c r="E1602" s="37" t="s">
        <v>469</v>
      </c>
      <c r="F1602" s="37" t="s">
        <v>4666</v>
      </c>
      <c r="G1602" s="37" t="s">
        <v>3710</v>
      </c>
      <c r="H1602" s="35" t="s">
        <v>3415</v>
      </c>
      <c r="I1602" s="35" t="s">
        <v>3453</v>
      </c>
      <c r="J1602" s="38">
        <v>2.5825</v>
      </c>
      <c r="K1602" s="35">
        <v>4</v>
      </c>
      <c r="L1602" s="38">
        <f t="shared" ref="L1602:L1665" si="25">J1602*K1602</f>
        <v>10.33</v>
      </c>
      <c r="M1602" s="35" t="s">
        <v>11</v>
      </c>
      <c r="N1602" s="38"/>
      <c r="O1602" s="35" t="s">
        <v>12</v>
      </c>
    </row>
    <row r="1603" spans="1:15" x14ac:dyDescent="0.25">
      <c r="A1603" s="35">
        <v>1191700127</v>
      </c>
      <c r="B1603" s="35" t="s">
        <v>3761</v>
      </c>
      <c r="C1603" s="35">
        <v>2025</v>
      </c>
      <c r="D1603" s="36">
        <v>45672.616655092592</v>
      </c>
      <c r="E1603" s="37" t="s">
        <v>1562</v>
      </c>
      <c r="F1603" s="37" t="s">
        <v>4663</v>
      </c>
      <c r="G1603" s="37" t="s">
        <v>3455</v>
      </c>
      <c r="H1603" s="35" t="s">
        <v>3419</v>
      </c>
      <c r="I1603" s="35" t="s">
        <v>3453</v>
      </c>
      <c r="J1603" s="38">
        <v>7.33</v>
      </c>
      <c r="K1603" s="35">
        <v>1</v>
      </c>
      <c r="L1603" s="38">
        <f t="shared" si="25"/>
        <v>7.33</v>
      </c>
      <c r="M1603" s="35" t="s">
        <v>11</v>
      </c>
      <c r="N1603" s="38"/>
      <c r="O1603" s="35" t="s">
        <v>12</v>
      </c>
    </row>
    <row r="1604" spans="1:15" x14ac:dyDescent="0.25">
      <c r="A1604" s="35">
        <v>1191700121</v>
      </c>
      <c r="B1604" s="35" t="s">
        <v>3761</v>
      </c>
      <c r="C1604" s="35">
        <v>2025</v>
      </c>
      <c r="D1604" s="36">
        <v>45672.616655092592</v>
      </c>
      <c r="E1604" s="37" t="s">
        <v>1564</v>
      </c>
      <c r="F1604" s="37" t="s">
        <v>4663</v>
      </c>
      <c r="G1604" s="37" t="s">
        <v>3455</v>
      </c>
      <c r="H1604" s="35" t="s">
        <v>3419</v>
      </c>
      <c r="I1604" s="35" t="s">
        <v>3453</v>
      </c>
      <c r="J1604" s="38">
        <v>7.83</v>
      </c>
      <c r="K1604" s="35">
        <v>1</v>
      </c>
      <c r="L1604" s="38">
        <f t="shared" si="25"/>
        <v>7.83</v>
      </c>
      <c r="M1604" s="35" t="s">
        <v>11</v>
      </c>
      <c r="N1604" s="38"/>
      <c r="O1604" s="35" t="s">
        <v>12</v>
      </c>
    </row>
    <row r="1605" spans="1:15" x14ac:dyDescent="0.25">
      <c r="A1605" s="35">
        <v>1191700111</v>
      </c>
      <c r="B1605" s="35" t="s">
        <v>3761</v>
      </c>
      <c r="C1605" s="35">
        <v>2025</v>
      </c>
      <c r="D1605" s="36">
        <v>45672.616655092592</v>
      </c>
      <c r="E1605" s="37" t="s">
        <v>1566</v>
      </c>
      <c r="F1605" s="37" t="s">
        <v>4663</v>
      </c>
      <c r="G1605" s="37" t="s">
        <v>3455</v>
      </c>
      <c r="H1605" s="35" t="s">
        <v>3419</v>
      </c>
      <c r="I1605" s="35" t="s">
        <v>3453</v>
      </c>
      <c r="J1605" s="38">
        <v>8.1650000000000009</v>
      </c>
      <c r="K1605" s="35">
        <v>2</v>
      </c>
      <c r="L1605" s="38">
        <f t="shared" si="25"/>
        <v>16.330000000000002</v>
      </c>
      <c r="M1605" s="35" t="s">
        <v>11</v>
      </c>
      <c r="N1605" s="38"/>
      <c r="O1605" s="35" t="s">
        <v>12</v>
      </c>
    </row>
    <row r="1606" spans="1:15" x14ac:dyDescent="0.25">
      <c r="A1606" s="35">
        <v>1191698809</v>
      </c>
      <c r="B1606" s="35" t="s">
        <v>3761</v>
      </c>
      <c r="C1606" s="35">
        <v>2025</v>
      </c>
      <c r="D1606" s="36">
        <v>45672.616655092592</v>
      </c>
      <c r="E1606" s="37" t="s">
        <v>8</v>
      </c>
      <c r="F1606" s="37" t="s">
        <v>4667</v>
      </c>
      <c r="G1606" s="37" t="s">
        <v>4668</v>
      </c>
      <c r="H1606" s="35" t="s">
        <v>3419</v>
      </c>
      <c r="I1606" s="35" t="s">
        <v>3416</v>
      </c>
      <c r="J1606" s="38">
        <v>0.25</v>
      </c>
      <c r="K1606" s="35">
        <v>1</v>
      </c>
      <c r="L1606" s="38">
        <f t="shared" si="25"/>
        <v>0.25</v>
      </c>
      <c r="M1606" s="42" t="s">
        <v>11</v>
      </c>
      <c r="N1606" s="38"/>
      <c r="O1606" s="35" t="s">
        <v>12</v>
      </c>
    </row>
    <row r="1607" spans="1:15" x14ac:dyDescent="0.25">
      <c r="A1607" s="35">
        <v>1191672454</v>
      </c>
      <c r="B1607" s="35" t="s">
        <v>3761</v>
      </c>
      <c r="C1607" s="35">
        <v>2025</v>
      </c>
      <c r="D1607" s="36">
        <v>45672.616655092592</v>
      </c>
      <c r="E1607" s="37" t="s">
        <v>1568</v>
      </c>
      <c r="F1607" s="37" t="s">
        <v>4650</v>
      </c>
      <c r="G1607" s="37" t="s">
        <v>3788</v>
      </c>
      <c r="H1607" s="35" t="s">
        <v>3415</v>
      </c>
      <c r="I1607" s="35" t="s">
        <v>3416</v>
      </c>
      <c r="J1607" s="38">
        <v>21.802499999999998</v>
      </c>
      <c r="K1607" s="35">
        <v>4</v>
      </c>
      <c r="L1607" s="38">
        <f t="shared" si="25"/>
        <v>87.21</v>
      </c>
      <c r="M1607" s="35" t="s">
        <v>11</v>
      </c>
      <c r="N1607" s="38"/>
      <c r="O1607" s="35" t="s">
        <v>12</v>
      </c>
    </row>
    <row r="1608" spans="1:15" x14ac:dyDescent="0.25">
      <c r="A1608" s="35">
        <v>1191518152</v>
      </c>
      <c r="B1608" s="35" t="s">
        <v>3761</v>
      </c>
      <c r="C1608" s="35">
        <v>2025</v>
      </c>
      <c r="D1608" s="36">
        <v>45671.503275462957</v>
      </c>
      <c r="E1608" s="37" t="s">
        <v>1575</v>
      </c>
      <c r="F1608" s="37" t="s">
        <v>4669</v>
      </c>
      <c r="G1608" s="37" t="s">
        <v>3455</v>
      </c>
      <c r="H1608" s="35" t="s">
        <v>3419</v>
      </c>
      <c r="I1608" s="35" t="s">
        <v>3416</v>
      </c>
      <c r="J1608" s="38">
        <v>4.33</v>
      </c>
      <c r="K1608" s="35">
        <v>1</v>
      </c>
      <c r="L1608" s="38">
        <f t="shared" si="25"/>
        <v>4.33</v>
      </c>
      <c r="M1608" s="35" t="s">
        <v>11</v>
      </c>
      <c r="N1608" s="38"/>
      <c r="O1608" s="35" t="s">
        <v>12</v>
      </c>
    </row>
    <row r="1609" spans="1:15" x14ac:dyDescent="0.25">
      <c r="A1609" s="35">
        <v>1191518142</v>
      </c>
      <c r="B1609" s="35" t="s">
        <v>3761</v>
      </c>
      <c r="C1609" s="35">
        <v>2025</v>
      </c>
      <c r="D1609" s="36">
        <v>45671.503275462957</v>
      </c>
      <c r="E1609" s="37" t="s">
        <v>303</v>
      </c>
      <c r="F1609" s="37" t="s">
        <v>4669</v>
      </c>
      <c r="G1609" s="37" t="s">
        <v>3455</v>
      </c>
      <c r="H1609" s="35" t="s">
        <v>3419</v>
      </c>
      <c r="I1609" s="35" t="s">
        <v>3416</v>
      </c>
      <c r="J1609" s="38">
        <v>4.4220682730923686</v>
      </c>
      <c r="K1609" s="35">
        <v>1</v>
      </c>
      <c r="L1609" s="38">
        <f t="shared" si="25"/>
        <v>4.4220682730923686</v>
      </c>
      <c r="M1609" s="35" t="s">
        <v>11</v>
      </c>
      <c r="N1609" s="38"/>
      <c r="O1609" s="35" t="s">
        <v>12</v>
      </c>
    </row>
    <row r="1610" spans="1:15" x14ac:dyDescent="0.25">
      <c r="A1610" s="35">
        <v>1191518142</v>
      </c>
      <c r="B1610" s="35" t="s">
        <v>3761</v>
      </c>
      <c r="C1610" s="35">
        <v>2025</v>
      </c>
      <c r="D1610" s="36">
        <v>45671.503275462957</v>
      </c>
      <c r="E1610" s="37" t="s">
        <v>303</v>
      </c>
      <c r="F1610" s="37" t="s">
        <v>4670</v>
      </c>
      <c r="G1610" s="37" t="s">
        <v>3455</v>
      </c>
      <c r="H1610" s="35" t="s">
        <v>3419</v>
      </c>
      <c r="I1610" s="35" t="s">
        <v>3416</v>
      </c>
      <c r="J1610" s="38">
        <v>1.887931726907631</v>
      </c>
      <c r="K1610" s="35">
        <v>1</v>
      </c>
      <c r="L1610" s="38">
        <f t="shared" si="25"/>
        <v>1.887931726907631</v>
      </c>
      <c r="M1610" s="35" t="s">
        <v>11</v>
      </c>
      <c r="N1610" s="38"/>
      <c r="O1610" s="35" t="s">
        <v>12</v>
      </c>
    </row>
    <row r="1611" spans="1:15" x14ac:dyDescent="0.25">
      <c r="A1611" s="35">
        <v>1191518134</v>
      </c>
      <c r="B1611" s="35" t="s">
        <v>3761</v>
      </c>
      <c r="C1611" s="35">
        <v>2025</v>
      </c>
      <c r="D1611" s="36">
        <v>45671.503275462957</v>
      </c>
      <c r="E1611" s="37" t="s">
        <v>1577</v>
      </c>
      <c r="F1611" s="37" t="s">
        <v>4669</v>
      </c>
      <c r="G1611" s="37" t="s">
        <v>3455</v>
      </c>
      <c r="H1611" s="35" t="s">
        <v>3419</v>
      </c>
      <c r="I1611" s="35" t="s">
        <v>3416</v>
      </c>
      <c r="J1611" s="38">
        <v>4.6550000000000002</v>
      </c>
      <c r="K1611" s="35">
        <v>2</v>
      </c>
      <c r="L1611" s="38">
        <f t="shared" si="25"/>
        <v>9.31</v>
      </c>
      <c r="M1611" s="35" t="s">
        <v>11</v>
      </c>
      <c r="N1611" s="38"/>
      <c r="O1611" s="35" t="s">
        <v>12</v>
      </c>
    </row>
    <row r="1612" spans="1:15" x14ac:dyDescent="0.25">
      <c r="A1612" s="35">
        <v>1191517582</v>
      </c>
      <c r="B1612" s="35" t="s">
        <v>3761</v>
      </c>
      <c r="C1612" s="35">
        <v>2025</v>
      </c>
      <c r="D1612" s="36">
        <v>45671.503275462957</v>
      </c>
      <c r="E1612" s="37" t="s">
        <v>35</v>
      </c>
      <c r="F1612" s="37" t="s">
        <v>4670</v>
      </c>
      <c r="G1612" s="37" t="s">
        <v>3455</v>
      </c>
      <c r="H1612" s="35" t="s">
        <v>3419</v>
      </c>
      <c r="I1612" s="35" t="s">
        <v>3416</v>
      </c>
      <c r="J1612" s="38">
        <v>2.8697821100917431</v>
      </c>
      <c r="K1612" s="35">
        <v>3</v>
      </c>
      <c r="L1612" s="38">
        <f t="shared" si="25"/>
        <v>8.6093463302752298</v>
      </c>
      <c r="M1612" s="35" t="s">
        <v>11</v>
      </c>
      <c r="N1612" s="38"/>
      <c r="O1612" s="35" t="s">
        <v>12</v>
      </c>
    </row>
    <row r="1613" spans="1:15" x14ac:dyDescent="0.25">
      <c r="A1613" s="35">
        <v>1191517582</v>
      </c>
      <c r="B1613" s="35" t="s">
        <v>3761</v>
      </c>
      <c r="C1613" s="35">
        <v>2025</v>
      </c>
      <c r="D1613" s="36">
        <v>45671.503275462957</v>
      </c>
      <c r="E1613" s="37" t="s">
        <v>35</v>
      </c>
      <c r="F1613" s="37" t="s">
        <v>4671</v>
      </c>
      <c r="G1613" s="37" t="s">
        <v>3788</v>
      </c>
      <c r="H1613" s="35" t="s">
        <v>3419</v>
      </c>
      <c r="I1613" s="35" t="s">
        <v>3416</v>
      </c>
      <c r="J1613" s="38">
        <v>1.4406536697247709</v>
      </c>
      <c r="K1613" s="35">
        <v>1</v>
      </c>
      <c r="L1613" s="38">
        <f t="shared" si="25"/>
        <v>1.4406536697247709</v>
      </c>
      <c r="M1613" s="35" t="s">
        <v>11</v>
      </c>
      <c r="N1613" s="38"/>
      <c r="O1613" s="35" t="s">
        <v>12</v>
      </c>
    </row>
    <row r="1614" spans="1:15" x14ac:dyDescent="0.25">
      <c r="A1614" s="35">
        <v>1191506313</v>
      </c>
      <c r="B1614" s="35" t="s">
        <v>3761</v>
      </c>
      <c r="C1614" s="35">
        <v>2025</v>
      </c>
      <c r="D1614" s="36">
        <v>45671.441747685189</v>
      </c>
      <c r="E1614" s="37" t="s">
        <v>1581</v>
      </c>
      <c r="F1614" s="37" t="s">
        <v>4589</v>
      </c>
      <c r="G1614" s="37" t="s">
        <v>3714</v>
      </c>
      <c r="H1614" s="35" t="s">
        <v>3419</v>
      </c>
      <c r="I1614" s="35" t="s">
        <v>3416</v>
      </c>
      <c r="J1614" s="38">
        <v>12.32</v>
      </c>
      <c r="K1614" s="35">
        <v>1</v>
      </c>
      <c r="L1614" s="38">
        <f t="shared" si="25"/>
        <v>12.32</v>
      </c>
      <c r="M1614" s="35" t="s">
        <v>11</v>
      </c>
      <c r="N1614" s="38"/>
      <c r="O1614" s="35" t="s">
        <v>12</v>
      </c>
    </row>
    <row r="1615" spans="1:15" x14ac:dyDescent="0.25">
      <c r="A1615" s="35">
        <v>1190728790</v>
      </c>
      <c r="B1615" s="35" t="s">
        <v>3761</v>
      </c>
      <c r="C1615" s="35">
        <v>2025</v>
      </c>
      <c r="D1615" s="36">
        <v>45666.935787037037</v>
      </c>
      <c r="E1615" s="37" t="s">
        <v>978</v>
      </c>
      <c r="F1615" s="37" t="s">
        <v>4674</v>
      </c>
      <c r="G1615" s="37" t="s">
        <v>3678</v>
      </c>
      <c r="H1615" s="35" t="s">
        <v>3419</v>
      </c>
      <c r="I1615" s="35" t="s">
        <v>3453</v>
      </c>
      <c r="J1615" s="38">
        <v>12.04585537918871</v>
      </c>
      <c r="K1615" s="35">
        <v>2</v>
      </c>
      <c r="L1615" s="38">
        <f t="shared" si="25"/>
        <v>24.09171075837742</v>
      </c>
      <c r="M1615" s="35" t="s">
        <v>11</v>
      </c>
      <c r="N1615" s="38"/>
      <c r="O1615" s="35" t="s">
        <v>12</v>
      </c>
    </row>
    <row r="1616" spans="1:15" x14ac:dyDescent="0.25">
      <c r="A1616" s="35">
        <v>1190728790</v>
      </c>
      <c r="B1616" s="35" t="s">
        <v>3761</v>
      </c>
      <c r="C1616" s="35">
        <v>2025</v>
      </c>
      <c r="D1616" s="36">
        <v>45666.935787037037</v>
      </c>
      <c r="E1616" s="37" t="s">
        <v>978</v>
      </c>
      <c r="F1616" s="37" t="s">
        <v>4675</v>
      </c>
      <c r="G1616" s="37" t="s">
        <v>4220</v>
      </c>
      <c r="H1616" s="35" t="s">
        <v>3415</v>
      </c>
      <c r="I1616" s="35" t="s">
        <v>3416</v>
      </c>
      <c r="J1616" s="38">
        <v>0.12045855379188709</v>
      </c>
      <c r="K1616" s="35">
        <v>4</v>
      </c>
      <c r="L1616" s="38">
        <f t="shared" si="25"/>
        <v>0.48183421516754837</v>
      </c>
      <c r="M1616" s="35" t="s">
        <v>11</v>
      </c>
      <c r="N1616" s="38"/>
      <c r="O1616" s="35" t="s">
        <v>12</v>
      </c>
    </row>
    <row r="1617" spans="1:15" x14ac:dyDescent="0.25">
      <c r="A1617" s="35">
        <v>1190728790</v>
      </c>
      <c r="B1617" s="35" t="s">
        <v>3761</v>
      </c>
      <c r="C1617" s="35">
        <v>2025</v>
      </c>
      <c r="D1617" s="36">
        <v>45666.935787037037</v>
      </c>
      <c r="E1617" s="37" t="s">
        <v>978</v>
      </c>
      <c r="F1617" s="37" t="s">
        <v>4676</v>
      </c>
      <c r="G1617" s="37" t="s">
        <v>4140</v>
      </c>
      <c r="H1617" s="35" t="s">
        <v>3415</v>
      </c>
      <c r="I1617" s="35" t="s">
        <v>3416</v>
      </c>
      <c r="J1617" s="38">
        <v>0.2409171075837743</v>
      </c>
      <c r="K1617" s="35">
        <v>4</v>
      </c>
      <c r="L1617" s="38">
        <f t="shared" si="25"/>
        <v>0.96366843033509719</v>
      </c>
      <c r="M1617" s="35" t="s">
        <v>11</v>
      </c>
      <c r="N1617" s="38"/>
      <c r="O1617" s="35" t="s">
        <v>12</v>
      </c>
    </row>
    <row r="1618" spans="1:15" x14ac:dyDescent="0.25">
      <c r="A1618" s="35">
        <v>1190728790</v>
      </c>
      <c r="B1618" s="35" t="s">
        <v>3761</v>
      </c>
      <c r="C1618" s="35">
        <v>2025</v>
      </c>
      <c r="D1618" s="36">
        <v>45666.935787037037</v>
      </c>
      <c r="E1618" s="37" t="s">
        <v>978</v>
      </c>
      <c r="F1618" s="37" t="s">
        <v>3981</v>
      </c>
      <c r="G1618" s="37" t="s">
        <v>3729</v>
      </c>
      <c r="H1618" s="35" t="s">
        <v>3419</v>
      </c>
      <c r="I1618" s="35" t="s">
        <v>3416</v>
      </c>
      <c r="J1618" s="38">
        <v>2.5898589065255728</v>
      </c>
      <c r="K1618" s="35">
        <v>1</v>
      </c>
      <c r="L1618" s="38">
        <f t="shared" si="25"/>
        <v>2.5898589065255728</v>
      </c>
      <c r="M1618" s="35" t="s">
        <v>11</v>
      </c>
      <c r="N1618" s="38"/>
      <c r="O1618" s="35" t="s">
        <v>12</v>
      </c>
    </row>
    <row r="1619" spans="1:15" x14ac:dyDescent="0.25">
      <c r="A1619" s="35">
        <v>1190728790</v>
      </c>
      <c r="B1619" s="35" t="s">
        <v>3761</v>
      </c>
      <c r="C1619" s="35">
        <v>2025</v>
      </c>
      <c r="D1619" s="36">
        <v>45666.935787037037</v>
      </c>
      <c r="E1619" s="37" t="s">
        <v>978</v>
      </c>
      <c r="F1619" s="37" t="s">
        <v>3982</v>
      </c>
      <c r="G1619" s="37" t="s">
        <v>3729</v>
      </c>
      <c r="H1619" s="35" t="s">
        <v>3415</v>
      </c>
      <c r="I1619" s="35" t="s">
        <v>3416</v>
      </c>
      <c r="J1619" s="38">
        <v>1.505731922398589</v>
      </c>
      <c r="K1619" s="35">
        <v>4</v>
      </c>
      <c r="L1619" s="38">
        <f t="shared" si="25"/>
        <v>6.022927689594356</v>
      </c>
      <c r="M1619" s="35" t="s">
        <v>11</v>
      </c>
      <c r="N1619" s="38"/>
      <c r="O1619" s="35" t="s">
        <v>12</v>
      </c>
    </row>
    <row r="1620" spans="1:15" x14ac:dyDescent="0.25">
      <c r="A1620" s="35">
        <v>1190720765</v>
      </c>
      <c r="B1620" s="35" t="s">
        <v>3761</v>
      </c>
      <c r="C1620" s="35">
        <v>2025</v>
      </c>
      <c r="D1620" s="36">
        <v>45666.935787037037</v>
      </c>
      <c r="E1620" s="37" t="s">
        <v>294</v>
      </c>
      <c r="F1620" s="37" t="s">
        <v>4677</v>
      </c>
      <c r="G1620" s="37" t="s">
        <v>3984</v>
      </c>
      <c r="H1620" s="35" t="s">
        <v>3419</v>
      </c>
      <c r="I1620" s="35" t="s">
        <v>3416</v>
      </c>
      <c r="J1620" s="38">
        <v>7.0048131539611367</v>
      </c>
      <c r="K1620" s="35">
        <v>3</v>
      </c>
      <c r="L1620" s="38">
        <f t="shared" si="25"/>
        <v>21.014439461883409</v>
      </c>
      <c r="M1620" s="35" t="s">
        <v>11</v>
      </c>
      <c r="N1620" s="38"/>
      <c r="O1620" s="35" t="s">
        <v>12</v>
      </c>
    </row>
    <row r="1621" spans="1:15" x14ac:dyDescent="0.25">
      <c r="A1621" s="35">
        <v>1190720765</v>
      </c>
      <c r="B1621" s="35" t="s">
        <v>3761</v>
      </c>
      <c r="C1621" s="35">
        <v>2025</v>
      </c>
      <c r="D1621" s="36">
        <v>45666.935787037037</v>
      </c>
      <c r="E1621" s="37" t="s">
        <v>294</v>
      </c>
      <c r="F1621" s="37" t="s">
        <v>4678</v>
      </c>
      <c r="G1621" s="37" t="s">
        <v>3729</v>
      </c>
      <c r="H1621" s="35" t="s">
        <v>3415</v>
      </c>
      <c r="I1621" s="35" t="s">
        <v>3416</v>
      </c>
      <c r="J1621" s="38">
        <v>0.2354559043348281</v>
      </c>
      <c r="K1621" s="35">
        <v>4</v>
      </c>
      <c r="L1621" s="38">
        <f t="shared" si="25"/>
        <v>0.94182361733931241</v>
      </c>
      <c r="M1621" s="35" t="s">
        <v>11</v>
      </c>
      <c r="N1621" s="38"/>
      <c r="O1621" s="35" t="s">
        <v>12</v>
      </c>
    </row>
    <row r="1622" spans="1:15" x14ac:dyDescent="0.25">
      <c r="A1622" s="35">
        <v>1190720765</v>
      </c>
      <c r="B1622" s="35" t="s">
        <v>3761</v>
      </c>
      <c r="C1622" s="35">
        <v>2025</v>
      </c>
      <c r="D1622" s="36">
        <v>45666.935787037037</v>
      </c>
      <c r="E1622" s="37" t="s">
        <v>294</v>
      </c>
      <c r="F1622" s="37" t="s">
        <v>3981</v>
      </c>
      <c r="G1622" s="37" t="s">
        <v>3729</v>
      </c>
      <c r="H1622" s="35" t="s">
        <v>3419</v>
      </c>
      <c r="I1622" s="35" t="s">
        <v>3416</v>
      </c>
      <c r="J1622" s="38">
        <v>4.0027503736920771</v>
      </c>
      <c r="K1622" s="35">
        <v>3</v>
      </c>
      <c r="L1622" s="38">
        <f t="shared" si="25"/>
        <v>12.008251121076231</v>
      </c>
      <c r="M1622" s="35" t="s">
        <v>11</v>
      </c>
      <c r="N1622" s="38"/>
      <c r="O1622" s="35" t="s">
        <v>12</v>
      </c>
    </row>
    <row r="1623" spans="1:15" x14ac:dyDescent="0.25">
      <c r="A1623" s="35">
        <v>1190720765</v>
      </c>
      <c r="B1623" s="35" t="s">
        <v>3761</v>
      </c>
      <c r="C1623" s="35">
        <v>2025</v>
      </c>
      <c r="D1623" s="36">
        <v>45666.935787037037</v>
      </c>
      <c r="E1623" s="37" t="s">
        <v>294</v>
      </c>
      <c r="F1623" s="37" t="s">
        <v>4679</v>
      </c>
      <c r="G1623" s="37" t="s">
        <v>4236</v>
      </c>
      <c r="H1623" s="35" t="s">
        <v>3419</v>
      </c>
      <c r="I1623" s="35" t="s">
        <v>3416</v>
      </c>
      <c r="J1623" s="38">
        <v>1.059551569506727</v>
      </c>
      <c r="K1623" s="35">
        <v>1</v>
      </c>
      <c r="L1623" s="38">
        <f t="shared" si="25"/>
        <v>1.059551569506727</v>
      </c>
      <c r="M1623" s="35" t="s">
        <v>11</v>
      </c>
      <c r="N1623" s="38"/>
      <c r="O1623" s="35" t="s">
        <v>12</v>
      </c>
    </row>
    <row r="1624" spans="1:15" x14ac:dyDescent="0.25">
      <c r="A1624" s="35">
        <v>1190720765</v>
      </c>
      <c r="B1624" s="35" t="s">
        <v>3761</v>
      </c>
      <c r="C1624" s="35">
        <v>2025</v>
      </c>
      <c r="D1624" s="36">
        <v>45666.935787037037</v>
      </c>
      <c r="E1624" s="37" t="s">
        <v>294</v>
      </c>
      <c r="F1624" s="37" t="s">
        <v>3769</v>
      </c>
      <c r="G1624" s="37" t="s">
        <v>3770</v>
      </c>
      <c r="H1624" s="35" t="s">
        <v>3419</v>
      </c>
      <c r="I1624" s="35" t="s">
        <v>3416</v>
      </c>
      <c r="J1624" s="38">
        <v>2.17796711509716</v>
      </c>
      <c r="K1624" s="35">
        <v>2</v>
      </c>
      <c r="L1624" s="38">
        <f t="shared" si="25"/>
        <v>4.35593423019432</v>
      </c>
      <c r="M1624" s="35" t="s">
        <v>11</v>
      </c>
      <c r="N1624" s="38"/>
      <c r="O1624" s="35" t="s">
        <v>12</v>
      </c>
    </row>
    <row r="1625" spans="1:15" x14ac:dyDescent="0.25">
      <c r="A1625" s="35">
        <v>1190070315</v>
      </c>
      <c r="B1625" s="35" t="s">
        <v>3761</v>
      </c>
      <c r="C1625" s="35">
        <v>2025</v>
      </c>
      <c r="D1625" s="36">
        <v>45663.092557870368</v>
      </c>
      <c r="E1625" s="37" t="s">
        <v>8</v>
      </c>
      <c r="F1625" s="37" t="s">
        <v>4683</v>
      </c>
      <c r="G1625" s="37" t="s">
        <v>3687</v>
      </c>
      <c r="H1625" s="35" t="s">
        <v>3415</v>
      </c>
      <c r="I1625" s="35" t="s">
        <v>3416</v>
      </c>
      <c r="J1625" s="38">
        <v>0.45</v>
      </c>
      <c r="K1625" s="35">
        <v>4</v>
      </c>
      <c r="L1625" s="38">
        <f t="shared" si="25"/>
        <v>1.8</v>
      </c>
      <c r="M1625" s="42" t="s">
        <v>11</v>
      </c>
      <c r="N1625" s="38"/>
      <c r="O1625" s="35" t="s">
        <v>12</v>
      </c>
    </row>
    <row r="1626" spans="1:15" x14ac:dyDescent="0.25">
      <c r="A1626" s="35">
        <v>1190070315</v>
      </c>
      <c r="B1626" s="35" t="s">
        <v>3761</v>
      </c>
      <c r="C1626" s="35">
        <v>2025</v>
      </c>
      <c r="D1626" s="36">
        <v>45663.092557870368</v>
      </c>
      <c r="E1626" s="37" t="s">
        <v>8</v>
      </c>
      <c r="F1626" s="37" t="s">
        <v>4684</v>
      </c>
      <c r="G1626" s="37" t="s">
        <v>3726</v>
      </c>
      <c r="H1626" s="35" t="s">
        <v>3415</v>
      </c>
      <c r="I1626" s="35" t="s">
        <v>3416</v>
      </c>
      <c r="J1626" s="38">
        <v>0.25</v>
      </c>
      <c r="K1626" s="35">
        <v>4</v>
      </c>
      <c r="L1626" s="38">
        <f t="shared" si="25"/>
        <v>1</v>
      </c>
      <c r="M1626" s="42" t="s">
        <v>11</v>
      </c>
      <c r="N1626" s="38"/>
      <c r="O1626" s="35" t="s">
        <v>12</v>
      </c>
    </row>
    <row r="1627" spans="1:15" x14ac:dyDescent="0.25">
      <c r="A1627" s="35">
        <v>1190070315</v>
      </c>
      <c r="B1627" s="35" t="s">
        <v>3761</v>
      </c>
      <c r="C1627" s="35">
        <v>2025</v>
      </c>
      <c r="D1627" s="36">
        <v>45663.092557870368</v>
      </c>
      <c r="E1627" s="37" t="s">
        <v>8</v>
      </c>
      <c r="F1627" s="37" t="s">
        <v>3750</v>
      </c>
      <c r="G1627" s="37" t="s">
        <v>3751</v>
      </c>
      <c r="H1627" s="35" t="s">
        <v>3419</v>
      </c>
      <c r="I1627" s="35" t="s">
        <v>3530</v>
      </c>
      <c r="J1627" s="38">
        <v>7.5</v>
      </c>
      <c r="K1627" s="35">
        <v>1</v>
      </c>
      <c r="L1627" s="38">
        <f t="shared" si="25"/>
        <v>7.5</v>
      </c>
      <c r="M1627" s="42" t="s">
        <v>11</v>
      </c>
      <c r="N1627" s="38"/>
      <c r="O1627" s="35" t="s">
        <v>12</v>
      </c>
    </row>
    <row r="1628" spans="1:15" x14ac:dyDescent="0.25">
      <c r="A1628" s="35">
        <v>1189946352</v>
      </c>
      <c r="B1628" s="35" t="s">
        <v>3761</v>
      </c>
      <c r="C1628" s="35">
        <v>2025</v>
      </c>
      <c r="D1628" s="36">
        <v>45661.794895833344</v>
      </c>
      <c r="E1628" s="37" t="s">
        <v>1592</v>
      </c>
      <c r="F1628" s="37" t="s">
        <v>3919</v>
      </c>
      <c r="G1628" s="37" t="s">
        <v>3816</v>
      </c>
      <c r="H1628" s="35" t="s">
        <v>3419</v>
      </c>
      <c r="I1628" s="35" t="s">
        <v>3416</v>
      </c>
      <c r="J1628" s="38">
        <v>4.88</v>
      </c>
      <c r="K1628" s="35">
        <v>1</v>
      </c>
      <c r="L1628" s="38">
        <f t="shared" si="25"/>
        <v>4.88</v>
      </c>
      <c r="M1628" s="35" t="s">
        <v>11</v>
      </c>
      <c r="N1628" s="38"/>
      <c r="O1628" s="35" t="s">
        <v>12</v>
      </c>
    </row>
    <row r="1629" spans="1:15" x14ac:dyDescent="0.25">
      <c r="A1629" s="35" t="s">
        <v>1597</v>
      </c>
      <c r="B1629" s="35" t="s">
        <v>3761</v>
      </c>
      <c r="C1629" s="35">
        <v>2025</v>
      </c>
      <c r="D1629" s="36">
        <v>45658</v>
      </c>
      <c r="E1629" s="37" t="s">
        <v>1598</v>
      </c>
      <c r="F1629" s="37" t="s">
        <v>4687</v>
      </c>
      <c r="G1629" s="37" t="s">
        <v>3452</v>
      </c>
      <c r="H1629" s="35" t="s">
        <v>3419</v>
      </c>
      <c r="I1629" s="35" t="s">
        <v>3416</v>
      </c>
      <c r="J1629" s="38">
        <v>22</v>
      </c>
      <c r="K1629" s="35">
        <v>1</v>
      </c>
      <c r="L1629" s="38">
        <f t="shared" si="25"/>
        <v>22</v>
      </c>
      <c r="M1629" s="35" t="s">
        <v>11</v>
      </c>
      <c r="N1629" s="38"/>
      <c r="O1629" s="35" t="s">
        <v>12</v>
      </c>
    </row>
    <row r="1630" spans="1:15" x14ac:dyDescent="0.25">
      <c r="A1630" s="35">
        <v>1188691279</v>
      </c>
      <c r="B1630" s="35" t="s">
        <v>3890</v>
      </c>
      <c r="C1630" s="35">
        <v>2024</v>
      </c>
      <c r="D1630" s="36">
        <v>45653.475821759261</v>
      </c>
      <c r="E1630" s="37" t="s">
        <v>8</v>
      </c>
      <c r="F1630" s="37" t="s">
        <v>4688</v>
      </c>
      <c r="G1630" s="37" t="s">
        <v>3621</v>
      </c>
      <c r="H1630" s="35" t="s">
        <v>3419</v>
      </c>
      <c r="I1630" s="35" t="s">
        <v>3416</v>
      </c>
      <c r="J1630" s="38">
        <v>5</v>
      </c>
      <c r="K1630" s="35">
        <v>2</v>
      </c>
      <c r="L1630" s="38">
        <f t="shared" si="25"/>
        <v>10</v>
      </c>
      <c r="M1630" s="42" t="s">
        <v>11</v>
      </c>
      <c r="N1630" s="38"/>
      <c r="O1630" s="35" t="s">
        <v>12</v>
      </c>
    </row>
    <row r="1631" spans="1:15" x14ac:dyDescent="0.25">
      <c r="A1631" s="35">
        <v>1188681463</v>
      </c>
      <c r="B1631" s="35" t="s">
        <v>3890</v>
      </c>
      <c r="C1631" s="35">
        <v>2024</v>
      </c>
      <c r="D1631" s="36">
        <v>45653.41909722222</v>
      </c>
      <c r="E1631" s="37" t="s">
        <v>469</v>
      </c>
      <c r="F1631" s="37" t="s">
        <v>4689</v>
      </c>
      <c r="G1631" s="37" t="s">
        <v>3700</v>
      </c>
      <c r="H1631" s="35" t="s">
        <v>3415</v>
      </c>
      <c r="I1631" s="35" t="s">
        <v>3416</v>
      </c>
      <c r="J1631" s="38">
        <v>2.4075000000000002</v>
      </c>
      <c r="K1631" s="35">
        <v>4</v>
      </c>
      <c r="L1631" s="38">
        <f t="shared" si="25"/>
        <v>9.6300000000000008</v>
      </c>
      <c r="M1631" s="35" t="s">
        <v>11</v>
      </c>
      <c r="N1631" s="38"/>
      <c r="O1631" s="35" t="s">
        <v>12</v>
      </c>
    </row>
    <row r="1632" spans="1:15" x14ac:dyDescent="0.25">
      <c r="A1632" s="35">
        <v>1188681463</v>
      </c>
      <c r="B1632" s="35" t="s">
        <v>3890</v>
      </c>
      <c r="C1632" s="35">
        <v>2024</v>
      </c>
      <c r="D1632" s="36">
        <v>45653.41909722222</v>
      </c>
      <c r="E1632" s="37" t="s">
        <v>469</v>
      </c>
      <c r="F1632" s="37" t="s">
        <v>4690</v>
      </c>
      <c r="G1632" s="37" t="s">
        <v>3865</v>
      </c>
      <c r="H1632" s="35" t="s">
        <v>3415</v>
      </c>
      <c r="I1632" s="35" t="s">
        <v>3416</v>
      </c>
      <c r="J1632" s="38">
        <v>0.16875000000000001</v>
      </c>
      <c r="K1632" s="35">
        <v>4</v>
      </c>
      <c r="L1632" s="38">
        <f t="shared" si="25"/>
        <v>0.67500000000000004</v>
      </c>
      <c r="M1632" s="35" t="s">
        <v>11</v>
      </c>
      <c r="N1632" s="38"/>
      <c r="O1632" s="35" t="s">
        <v>12</v>
      </c>
    </row>
    <row r="1633" spans="1:15" x14ac:dyDescent="0.25">
      <c r="A1633" s="35">
        <v>1188681463</v>
      </c>
      <c r="B1633" s="35" t="s">
        <v>3890</v>
      </c>
      <c r="C1633" s="35">
        <v>2024</v>
      </c>
      <c r="D1633" s="36">
        <v>45653.41909722222</v>
      </c>
      <c r="E1633" s="37" t="s">
        <v>469</v>
      </c>
      <c r="F1633" s="37" t="s">
        <v>4691</v>
      </c>
      <c r="G1633" s="37" t="s">
        <v>3865</v>
      </c>
      <c r="H1633" s="35" t="s">
        <v>3415</v>
      </c>
      <c r="I1633" s="35" t="s">
        <v>3416</v>
      </c>
      <c r="J1633" s="38">
        <v>0.16875000000000001</v>
      </c>
      <c r="K1633" s="35">
        <v>4</v>
      </c>
      <c r="L1633" s="38">
        <f t="shared" si="25"/>
        <v>0.67500000000000004</v>
      </c>
      <c r="M1633" s="35" t="s">
        <v>11</v>
      </c>
      <c r="N1633" s="38"/>
      <c r="O1633" s="35" t="s">
        <v>12</v>
      </c>
    </row>
    <row r="1634" spans="1:15" x14ac:dyDescent="0.25">
      <c r="A1634" s="35">
        <v>1188504446</v>
      </c>
      <c r="B1634" s="35" t="s">
        <v>3890</v>
      </c>
      <c r="C1634" s="35">
        <v>2024</v>
      </c>
      <c r="D1634" s="36">
        <v>45651.932245370372</v>
      </c>
      <c r="E1634" s="37" t="s">
        <v>1606</v>
      </c>
      <c r="F1634" s="37" t="s">
        <v>4694</v>
      </c>
      <c r="G1634" s="37" t="s">
        <v>3676</v>
      </c>
      <c r="H1634" s="35" t="s">
        <v>3415</v>
      </c>
      <c r="I1634" s="35" t="s">
        <v>3416</v>
      </c>
      <c r="J1634" s="38">
        <v>2.6743965517241381</v>
      </c>
      <c r="K1634" s="35">
        <v>4</v>
      </c>
      <c r="L1634" s="38">
        <f t="shared" si="25"/>
        <v>10.697586206896553</v>
      </c>
      <c r="M1634" s="35" t="s">
        <v>11</v>
      </c>
      <c r="N1634" s="38"/>
      <c r="O1634" s="35" t="s">
        <v>12</v>
      </c>
    </row>
    <row r="1635" spans="1:15" x14ac:dyDescent="0.25">
      <c r="A1635" s="35">
        <v>1188504446</v>
      </c>
      <c r="B1635" s="35" t="s">
        <v>3890</v>
      </c>
      <c r="C1635" s="35">
        <v>2024</v>
      </c>
      <c r="D1635" s="36">
        <v>45651.932245370372</v>
      </c>
      <c r="E1635" s="37" t="s">
        <v>1606</v>
      </c>
      <c r="F1635" s="37" t="s">
        <v>4695</v>
      </c>
      <c r="G1635" s="37" t="s">
        <v>3751</v>
      </c>
      <c r="H1635" s="35" t="s">
        <v>3415</v>
      </c>
      <c r="I1635" s="35" t="s">
        <v>3416</v>
      </c>
      <c r="J1635" s="38">
        <v>5.9431034482758616</v>
      </c>
      <c r="K1635" s="35">
        <v>4</v>
      </c>
      <c r="L1635" s="38">
        <f t="shared" si="25"/>
        <v>23.772413793103446</v>
      </c>
      <c r="M1635" s="35" t="s">
        <v>11</v>
      </c>
      <c r="N1635" s="38"/>
      <c r="O1635" s="35" t="s">
        <v>12</v>
      </c>
    </row>
    <row r="1636" spans="1:15" x14ac:dyDescent="0.25">
      <c r="A1636" s="35">
        <v>1188496516</v>
      </c>
      <c r="B1636" s="35" t="s">
        <v>3890</v>
      </c>
      <c r="C1636" s="35">
        <v>2024</v>
      </c>
      <c r="D1636" s="36">
        <v>45651.932245370372</v>
      </c>
      <c r="E1636" s="37" t="s">
        <v>1613</v>
      </c>
      <c r="F1636" s="37" t="s">
        <v>3919</v>
      </c>
      <c r="G1636" s="37" t="s">
        <v>3816</v>
      </c>
      <c r="H1636" s="35" t="s">
        <v>3419</v>
      </c>
      <c r="I1636" s="35" t="s">
        <v>3416</v>
      </c>
      <c r="J1636" s="38">
        <v>4.22</v>
      </c>
      <c r="K1636" s="35">
        <v>1</v>
      </c>
      <c r="L1636" s="38">
        <f t="shared" si="25"/>
        <v>4.22</v>
      </c>
      <c r="M1636" s="35" t="s">
        <v>11</v>
      </c>
      <c r="N1636" s="38"/>
      <c r="O1636" s="35" t="s">
        <v>12</v>
      </c>
    </row>
    <row r="1637" spans="1:15" x14ac:dyDescent="0.25">
      <c r="A1637" s="35">
        <v>1188496514</v>
      </c>
      <c r="B1637" s="35" t="s">
        <v>3890</v>
      </c>
      <c r="C1637" s="35">
        <v>2024</v>
      </c>
      <c r="D1637" s="36">
        <v>45651.932245370372</v>
      </c>
      <c r="E1637" s="37" t="s">
        <v>1615</v>
      </c>
      <c r="F1637" s="37" t="s">
        <v>3919</v>
      </c>
      <c r="G1637" s="37" t="s">
        <v>3816</v>
      </c>
      <c r="H1637" s="35" t="s">
        <v>3419</v>
      </c>
      <c r="I1637" s="35" t="s">
        <v>3416</v>
      </c>
      <c r="J1637" s="38">
        <v>4.22</v>
      </c>
      <c r="K1637" s="35">
        <v>1</v>
      </c>
      <c r="L1637" s="38">
        <f t="shared" si="25"/>
        <v>4.22</v>
      </c>
      <c r="M1637" s="35" t="s">
        <v>11</v>
      </c>
      <c r="N1637" s="38"/>
      <c r="O1637" s="35" t="s">
        <v>12</v>
      </c>
    </row>
    <row r="1638" spans="1:15" x14ac:dyDescent="0.25">
      <c r="A1638" s="35">
        <v>1188496512</v>
      </c>
      <c r="B1638" s="35" t="s">
        <v>3890</v>
      </c>
      <c r="C1638" s="35">
        <v>2024</v>
      </c>
      <c r="D1638" s="36">
        <v>45651.932245370372</v>
      </c>
      <c r="E1638" s="37" t="s">
        <v>1617</v>
      </c>
      <c r="F1638" s="37" t="s">
        <v>3919</v>
      </c>
      <c r="G1638" s="37" t="s">
        <v>3816</v>
      </c>
      <c r="H1638" s="35" t="s">
        <v>3419</v>
      </c>
      <c r="I1638" s="35" t="s">
        <v>3416</v>
      </c>
      <c r="J1638" s="38">
        <v>4.22</v>
      </c>
      <c r="K1638" s="35">
        <v>1</v>
      </c>
      <c r="L1638" s="38">
        <f t="shared" si="25"/>
        <v>4.22</v>
      </c>
      <c r="M1638" s="35" t="s">
        <v>11</v>
      </c>
      <c r="N1638" s="38"/>
      <c r="O1638" s="35" t="s">
        <v>12</v>
      </c>
    </row>
    <row r="1639" spans="1:15" x14ac:dyDescent="0.25">
      <c r="A1639" s="35">
        <v>1188494512</v>
      </c>
      <c r="B1639" s="35" t="s">
        <v>3890</v>
      </c>
      <c r="C1639" s="35">
        <v>2024</v>
      </c>
      <c r="D1639" s="36">
        <v>45651.932245370372</v>
      </c>
      <c r="E1639" s="37" t="s">
        <v>469</v>
      </c>
      <c r="F1639" s="37" t="s">
        <v>4696</v>
      </c>
      <c r="G1639" s="37" t="s">
        <v>4697</v>
      </c>
      <c r="H1639" s="35" t="s">
        <v>3419</v>
      </c>
      <c r="I1639" s="35" t="s">
        <v>3453</v>
      </c>
      <c r="J1639" s="38">
        <v>6.7986204343534062</v>
      </c>
      <c r="K1639" s="35">
        <v>2</v>
      </c>
      <c r="L1639" s="38">
        <f t="shared" si="25"/>
        <v>13.597240868706812</v>
      </c>
      <c r="M1639" s="35" t="s">
        <v>11</v>
      </c>
      <c r="N1639" s="38"/>
      <c r="O1639" s="35" t="s">
        <v>12</v>
      </c>
    </row>
    <row r="1640" spans="1:15" x14ac:dyDescent="0.25">
      <c r="A1640" s="35">
        <v>1188494512</v>
      </c>
      <c r="B1640" s="35" t="s">
        <v>3890</v>
      </c>
      <c r="C1640" s="35">
        <v>2024</v>
      </c>
      <c r="D1640" s="36">
        <v>45651.932245370372</v>
      </c>
      <c r="E1640" s="37" t="s">
        <v>469</v>
      </c>
      <c r="F1640" s="37" t="s">
        <v>4698</v>
      </c>
      <c r="G1640" s="37" t="s">
        <v>3710</v>
      </c>
      <c r="H1640" s="35" t="s">
        <v>3415</v>
      </c>
      <c r="I1640" s="35" t="s">
        <v>3453</v>
      </c>
      <c r="J1640" s="38">
        <v>7.6725666337611056</v>
      </c>
      <c r="K1640" s="35">
        <v>4</v>
      </c>
      <c r="L1640" s="38">
        <f t="shared" si="25"/>
        <v>30.690266535044422</v>
      </c>
      <c r="M1640" s="35" t="s">
        <v>11</v>
      </c>
      <c r="N1640" s="38"/>
      <c r="O1640" s="35" t="s">
        <v>12</v>
      </c>
    </row>
    <row r="1641" spans="1:15" x14ac:dyDescent="0.25">
      <c r="A1641" s="35">
        <v>1188494512</v>
      </c>
      <c r="B1641" s="35" t="s">
        <v>3890</v>
      </c>
      <c r="C1641" s="35">
        <v>2024</v>
      </c>
      <c r="D1641" s="36">
        <v>45651.932245370372</v>
      </c>
      <c r="E1641" s="37" t="s">
        <v>469</v>
      </c>
      <c r="F1641" s="37" t="s">
        <v>4699</v>
      </c>
      <c r="G1641" s="37" t="s">
        <v>3729</v>
      </c>
      <c r="H1641" s="35" t="s">
        <v>3419</v>
      </c>
      <c r="I1641" s="35" t="s">
        <v>3416</v>
      </c>
      <c r="J1641" s="38">
        <v>1.702492596248766</v>
      </c>
      <c r="K1641" s="35">
        <v>1</v>
      </c>
      <c r="L1641" s="38">
        <f t="shared" si="25"/>
        <v>1.702492596248766</v>
      </c>
      <c r="M1641" s="35" t="s">
        <v>11</v>
      </c>
      <c r="N1641" s="38"/>
      <c r="O1641" s="35" t="s">
        <v>12</v>
      </c>
    </row>
    <row r="1642" spans="1:15" ht="30" x14ac:dyDescent="0.25">
      <c r="A1642" s="35">
        <v>1188486169</v>
      </c>
      <c r="B1642" s="35" t="s">
        <v>3890</v>
      </c>
      <c r="C1642" s="35">
        <v>2024</v>
      </c>
      <c r="D1642" s="36">
        <v>45651.834907407407</v>
      </c>
      <c r="E1642" s="37" t="s">
        <v>1620</v>
      </c>
      <c r="F1642" s="37" t="s">
        <v>4672</v>
      </c>
      <c r="G1642" s="37" t="s">
        <v>3520</v>
      </c>
      <c r="H1642" s="35" t="s">
        <v>3415</v>
      </c>
      <c r="I1642" s="35" t="s">
        <v>3416</v>
      </c>
      <c r="J1642" s="38">
        <v>6.3049999999999997</v>
      </c>
      <c r="K1642" s="35">
        <v>4</v>
      </c>
      <c r="L1642" s="38">
        <f t="shared" si="25"/>
        <v>25.22</v>
      </c>
      <c r="M1642" s="35" t="s">
        <v>11</v>
      </c>
      <c r="N1642" s="38"/>
      <c r="O1642" s="35" t="s">
        <v>12</v>
      </c>
    </row>
    <row r="1643" spans="1:15" x14ac:dyDescent="0.25">
      <c r="A1643" s="35">
        <v>1188355939</v>
      </c>
      <c r="B1643" s="35" t="s">
        <v>3890</v>
      </c>
      <c r="C1643" s="35">
        <v>2024</v>
      </c>
      <c r="D1643" s="36">
        <v>45650.658275462964</v>
      </c>
      <c r="E1643" s="37" t="s">
        <v>61</v>
      </c>
      <c r="F1643" s="37" t="s">
        <v>4700</v>
      </c>
      <c r="G1643" s="37" t="s">
        <v>3694</v>
      </c>
      <c r="H1643" s="35" t="s">
        <v>3419</v>
      </c>
      <c r="I1643" s="35" t="s">
        <v>3453</v>
      </c>
      <c r="J1643" s="38">
        <v>1.95</v>
      </c>
      <c r="K1643" s="35">
        <v>1</v>
      </c>
      <c r="L1643" s="38">
        <f t="shared" si="25"/>
        <v>1.95</v>
      </c>
      <c r="M1643" s="42" t="s">
        <v>11</v>
      </c>
      <c r="N1643" s="38"/>
      <c r="O1643" s="35" t="s">
        <v>12</v>
      </c>
    </row>
    <row r="1644" spans="1:15" x14ac:dyDescent="0.25">
      <c r="A1644" s="35">
        <v>1188344242</v>
      </c>
      <c r="B1644" s="35" t="s">
        <v>3890</v>
      </c>
      <c r="C1644" s="35">
        <v>2024</v>
      </c>
      <c r="D1644" s="36">
        <v>45650.657037037039</v>
      </c>
      <c r="E1644" s="37" t="s">
        <v>762</v>
      </c>
      <c r="F1644" s="37" t="s">
        <v>4701</v>
      </c>
      <c r="G1644" s="37" t="s">
        <v>4147</v>
      </c>
      <c r="H1644" s="35" t="s">
        <v>3419</v>
      </c>
      <c r="I1644" s="35" t="s">
        <v>3416</v>
      </c>
      <c r="J1644" s="38">
        <v>1.143381389252949</v>
      </c>
      <c r="K1644" s="35">
        <v>1</v>
      </c>
      <c r="L1644" s="38">
        <f t="shared" si="25"/>
        <v>1.143381389252949</v>
      </c>
      <c r="M1644" s="35" t="s">
        <v>11</v>
      </c>
      <c r="N1644" s="38"/>
      <c r="O1644" s="35" t="s">
        <v>12</v>
      </c>
    </row>
    <row r="1645" spans="1:15" x14ac:dyDescent="0.25">
      <c r="A1645" s="35">
        <v>1188344242</v>
      </c>
      <c r="B1645" s="35" t="s">
        <v>3890</v>
      </c>
      <c r="C1645" s="35">
        <v>2024</v>
      </c>
      <c r="D1645" s="36">
        <v>45650.657037037039</v>
      </c>
      <c r="E1645" s="37" t="s">
        <v>762</v>
      </c>
      <c r="F1645" s="37" t="s">
        <v>4702</v>
      </c>
      <c r="G1645" s="37" t="s">
        <v>3837</v>
      </c>
      <c r="H1645" s="35" t="s">
        <v>3419</v>
      </c>
      <c r="I1645" s="35" t="s">
        <v>3416</v>
      </c>
      <c r="J1645" s="38">
        <v>1.143381389252949</v>
      </c>
      <c r="K1645" s="35">
        <v>1</v>
      </c>
      <c r="L1645" s="38">
        <f t="shared" si="25"/>
        <v>1.143381389252949</v>
      </c>
      <c r="M1645" s="35" t="s">
        <v>11</v>
      </c>
      <c r="N1645" s="38"/>
      <c r="O1645" s="35" t="s">
        <v>12</v>
      </c>
    </row>
    <row r="1646" spans="1:15" x14ac:dyDescent="0.25">
      <c r="A1646" s="35">
        <v>1188344242</v>
      </c>
      <c r="B1646" s="35" t="s">
        <v>3890</v>
      </c>
      <c r="C1646" s="35">
        <v>2024</v>
      </c>
      <c r="D1646" s="36">
        <v>45650.657037037039</v>
      </c>
      <c r="E1646" s="37" t="s">
        <v>762</v>
      </c>
      <c r="F1646" s="37" t="s">
        <v>3874</v>
      </c>
      <c r="G1646" s="37" t="s">
        <v>4108</v>
      </c>
      <c r="H1646" s="35" t="s">
        <v>3419</v>
      </c>
      <c r="I1646" s="35" t="s">
        <v>3416</v>
      </c>
      <c r="J1646" s="38">
        <v>1.4292267365661859</v>
      </c>
      <c r="K1646" s="35">
        <v>1</v>
      </c>
      <c r="L1646" s="38">
        <f t="shared" si="25"/>
        <v>1.4292267365661859</v>
      </c>
      <c r="M1646" s="35" t="s">
        <v>11</v>
      </c>
      <c r="N1646" s="38"/>
      <c r="O1646" s="35" t="s">
        <v>12</v>
      </c>
    </row>
    <row r="1647" spans="1:15" x14ac:dyDescent="0.25">
      <c r="A1647" s="35">
        <v>1188344242</v>
      </c>
      <c r="B1647" s="35" t="s">
        <v>3890</v>
      </c>
      <c r="C1647" s="35">
        <v>2024</v>
      </c>
      <c r="D1647" s="36">
        <v>45650.657037037039</v>
      </c>
      <c r="E1647" s="37" t="s">
        <v>762</v>
      </c>
      <c r="F1647" s="37" t="s">
        <v>4703</v>
      </c>
      <c r="G1647" s="37" t="s">
        <v>3678</v>
      </c>
      <c r="H1647" s="35" t="s">
        <v>3419</v>
      </c>
      <c r="I1647" s="35" t="s">
        <v>3416</v>
      </c>
      <c r="J1647" s="38">
        <v>34.244272608125819</v>
      </c>
      <c r="K1647" s="35">
        <v>1</v>
      </c>
      <c r="L1647" s="38">
        <f t="shared" si="25"/>
        <v>34.244272608125819</v>
      </c>
      <c r="M1647" s="35" t="s">
        <v>11</v>
      </c>
      <c r="N1647" s="38"/>
      <c r="O1647" s="35" t="s">
        <v>12</v>
      </c>
    </row>
    <row r="1648" spans="1:15" x14ac:dyDescent="0.25">
      <c r="A1648" s="35">
        <v>1188344242</v>
      </c>
      <c r="B1648" s="35" t="s">
        <v>3890</v>
      </c>
      <c r="C1648" s="35">
        <v>2024</v>
      </c>
      <c r="D1648" s="36">
        <v>45650.657037037039</v>
      </c>
      <c r="E1648" s="37" t="s">
        <v>762</v>
      </c>
      <c r="F1648" s="37" t="s">
        <v>4704</v>
      </c>
      <c r="G1648" s="37" t="s">
        <v>3710</v>
      </c>
      <c r="H1648" s="35" t="s">
        <v>3419</v>
      </c>
      <c r="I1648" s="35" t="s">
        <v>3416</v>
      </c>
      <c r="J1648" s="38">
        <v>5.6597378768020974</v>
      </c>
      <c r="K1648" s="35">
        <v>1</v>
      </c>
      <c r="L1648" s="38">
        <f t="shared" si="25"/>
        <v>5.6597378768020974</v>
      </c>
      <c r="M1648" s="35" t="s">
        <v>11</v>
      </c>
      <c r="N1648" s="38"/>
      <c r="O1648" s="35" t="s">
        <v>12</v>
      </c>
    </row>
    <row r="1649" spans="1:15" x14ac:dyDescent="0.25">
      <c r="A1649" s="35">
        <v>1188177427</v>
      </c>
      <c r="B1649" s="35" t="s">
        <v>3890</v>
      </c>
      <c r="C1649" s="35">
        <v>2024</v>
      </c>
      <c r="D1649" s="36">
        <v>45649.392604166656</v>
      </c>
      <c r="E1649" s="37" t="s">
        <v>1627</v>
      </c>
      <c r="F1649" s="37" t="s">
        <v>4706</v>
      </c>
      <c r="G1649" s="37" t="s">
        <v>3648</v>
      </c>
      <c r="H1649" s="35" t="s">
        <v>3419</v>
      </c>
      <c r="I1649" s="35" t="s">
        <v>3416</v>
      </c>
      <c r="J1649" s="38">
        <v>5.9333333333333336</v>
      </c>
      <c r="K1649" s="35">
        <v>2</v>
      </c>
      <c r="L1649" s="38">
        <f t="shared" si="25"/>
        <v>11.866666666666667</v>
      </c>
      <c r="M1649" s="35" t="s">
        <v>11</v>
      </c>
      <c r="N1649" s="38"/>
      <c r="O1649" s="35" t="s">
        <v>12</v>
      </c>
    </row>
    <row r="1650" spans="1:15" x14ac:dyDescent="0.25">
      <c r="A1650" s="35">
        <v>1188177427</v>
      </c>
      <c r="B1650" s="35" t="s">
        <v>3890</v>
      </c>
      <c r="C1650" s="35">
        <v>2024</v>
      </c>
      <c r="D1650" s="36">
        <v>45649.392604166656</v>
      </c>
      <c r="E1650" s="37" t="s">
        <v>1627</v>
      </c>
      <c r="F1650" s="37" t="s">
        <v>4706</v>
      </c>
      <c r="G1650" s="37" t="s">
        <v>3648</v>
      </c>
      <c r="H1650" s="35" t="s">
        <v>3419</v>
      </c>
      <c r="I1650" s="35" t="s">
        <v>3416</v>
      </c>
      <c r="J1650" s="38">
        <v>5.9333333333333336</v>
      </c>
      <c r="K1650" s="35">
        <v>1</v>
      </c>
      <c r="L1650" s="38">
        <f t="shared" si="25"/>
        <v>5.9333333333333336</v>
      </c>
      <c r="M1650" s="35" t="s">
        <v>11</v>
      </c>
      <c r="N1650" s="38"/>
      <c r="O1650" s="35" t="s">
        <v>12</v>
      </c>
    </row>
    <row r="1651" spans="1:15" x14ac:dyDescent="0.25">
      <c r="A1651" s="35">
        <v>1188056180</v>
      </c>
      <c r="B1651" s="35" t="s">
        <v>3890</v>
      </c>
      <c r="C1651" s="35">
        <v>2024</v>
      </c>
      <c r="D1651" s="36">
        <v>45648.429710648154</v>
      </c>
      <c r="E1651" s="37" t="s">
        <v>1630</v>
      </c>
      <c r="F1651" s="37" t="s">
        <v>4707</v>
      </c>
      <c r="G1651" s="37" t="s">
        <v>3865</v>
      </c>
      <c r="H1651" s="35" t="s">
        <v>3419</v>
      </c>
      <c r="I1651" s="35" t="s">
        <v>3416</v>
      </c>
      <c r="J1651" s="38">
        <v>1.1796387520525451</v>
      </c>
      <c r="K1651" s="35">
        <v>2</v>
      </c>
      <c r="L1651" s="38">
        <f t="shared" si="25"/>
        <v>2.3592775041050902</v>
      </c>
      <c r="M1651" s="35" t="s">
        <v>11</v>
      </c>
      <c r="N1651" s="38"/>
      <c r="O1651" s="35" t="s">
        <v>12</v>
      </c>
    </row>
    <row r="1652" spans="1:15" x14ac:dyDescent="0.25">
      <c r="A1652" s="35">
        <v>1188056180</v>
      </c>
      <c r="B1652" s="35" t="s">
        <v>3890</v>
      </c>
      <c r="C1652" s="35">
        <v>2024</v>
      </c>
      <c r="D1652" s="36">
        <v>45648.429710648154</v>
      </c>
      <c r="E1652" s="37" t="s">
        <v>1630</v>
      </c>
      <c r="F1652" s="37" t="s">
        <v>4708</v>
      </c>
      <c r="G1652" s="37" t="s">
        <v>4055</v>
      </c>
      <c r="H1652" s="35" t="s">
        <v>3419</v>
      </c>
      <c r="I1652" s="35" t="s">
        <v>3416</v>
      </c>
      <c r="J1652" s="38">
        <v>33.560722495894908</v>
      </c>
      <c r="K1652" s="35">
        <v>1</v>
      </c>
      <c r="L1652" s="38">
        <f t="shared" si="25"/>
        <v>33.560722495894908</v>
      </c>
      <c r="M1652" s="35" t="s">
        <v>11</v>
      </c>
      <c r="N1652" s="38"/>
      <c r="O1652" s="35" t="s">
        <v>12</v>
      </c>
    </row>
    <row r="1653" spans="1:15" x14ac:dyDescent="0.25">
      <c r="A1653" s="35">
        <v>1188047728</v>
      </c>
      <c r="B1653" s="35" t="s">
        <v>3890</v>
      </c>
      <c r="C1653" s="35">
        <v>2024</v>
      </c>
      <c r="D1653" s="36">
        <v>45648.425567129627</v>
      </c>
      <c r="E1653" s="37" t="s">
        <v>1633</v>
      </c>
      <c r="F1653" s="37" t="s">
        <v>4709</v>
      </c>
      <c r="G1653" s="37" t="s">
        <v>3621</v>
      </c>
      <c r="H1653" s="35" t="s">
        <v>3419</v>
      </c>
      <c r="I1653" s="35" t="s">
        <v>3416</v>
      </c>
      <c r="J1653" s="38">
        <v>0.40836636466591159</v>
      </c>
      <c r="K1653" s="35">
        <v>1</v>
      </c>
      <c r="L1653" s="38">
        <f t="shared" si="25"/>
        <v>0.40836636466591159</v>
      </c>
      <c r="M1653" s="35" t="s">
        <v>11</v>
      </c>
      <c r="N1653" s="38"/>
      <c r="O1653" s="35" t="s">
        <v>12</v>
      </c>
    </row>
    <row r="1654" spans="1:15" x14ac:dyDescent="0.25">
      <c r="A1654" s="35">
        <v>1188047728</v>
      </c>
      <c r="B1654" s="35" t="s">
        <v>3890</v>
      </c>
      <c r="C1654" s="35">
        <v>2024</v>
      </c>
      <c r="D1654" s="36">
        <v>45648.425567129627</v>
      </c>
      <c r="E1654" s="37" t="s">
        <v>1633</v>
      </c>
      <c r="F1654" s="37" t="s">
        <v>4708</v>
      </c>
      <c r="G1654" s="37" t="s">
        <v>4055</v>
      </c>
      <c r="H1654" s="35" t="s">
        <v>3419</v>
      </c>
      <c r="I1654" s="35" t="s">
        <v>3416</v>
      </c>
      <c r="J1654" s="38">
        <v>26.25212344280861</v>
      </c>
      <c r="K1654" s="35">
        <v>3</v>
      </c>
      <c r="L1654" s="38">
        <f t="shared" si="25"/>
        <v>78.756370328425831</v>
      </c>
      <c r="M1654" s="35" t="s">
        <v>11</v>
      </c>
      <c r="N1654" s="38"/>
      <c r="O1654" s="35" t="s">
        <v>12</v>
      </c>
    </row>
    <row r="1655" spans="1:15" x14ac:dyDescent="0.25">
      <c r="A1655" s="35">
        <v>1188047728</v>
      </c>
      <c r="B1655" s="35" t="s">
        <v>3890</v>
      </c>
      <c r="C1655" s="35">
        <v>2024</v>
      </c>
      <c r="D1655" s="36">
        <v>45648.425567129627</v>
      </c>
      <c r="E1655" s="37" t="s">
        <v>1633</v>
      </c>
      <c r="F1655" s="37" t="s">
        <v>4710</v>
      </c>
      <c r="G1655" s="37" t="s">
        <v>4089</v>
      </c>
      <c r="H1655" s="35" t="s">
        <v>3419</v>
      </c>
      <c r="I1655" s="35" t="s">
        <v>3453</v>
      </c>
      <c r="J1655" s="38">
        <v>0.29169026047565122</v>
      </c>
      <c r="K1655" s="35">
        <v>6</v>
      </c>
      <c r="L1655" s="38">
        <f t="shared" si="25"/>
        <v>1.7501415628539072</v>
      </c>
      <c r="M1655" s="35" t="s">
        <v>11</v>
      </c>
      <c r="N1655" s="38"/>
      <c r="O1655" s="35" t="s">
        <v>12</v>
      </c>
    </row>
    <row r="1656" spans="1:15" x14ac:dyDescent="0.25">
      <c r="A1656" s="35">
        <v>1188047728</v>
      </c>
      <c r="B1656" s="35" t="s">
        <v>3890</v>
      </c>
      <c r="C1656" s="35">
        <v>2024</v>
      </c>
      <c r="D1656" s="36">
        <v>45648.425567129627</v>
      </c>
      <c r="E1656" s="37" t="s">
        <v>1633</v>
      </c>
      <c r="F1656" s="37" t="s">
        <v>3938</v>
      </c>
      <c r="G1656" s="37" t="s">
        <v>3939</v>
      </c>
      <c r="H1656" s="35" t="s">
        <v>3419</v>
      </c>
      <c r="I1656" s="35" t="s">
        <v>3416</v>
      </c>
      <c r="J1656" s="38">
        <v>0.50170724801812006</v>
      </c>
      <c r="K1656" s="35">
        <v>3</v>
      </c>
      <c r="L1656" s="38">
        <f t="shared" si="25"/>
        <v>1.5051217440543603</v>
      </c>
      <c r="M1656" s="35" t="s">
        <v>11</v>
      </c>
      <c r="N1656" s="38"/>
      <c r="O1656" s="35" t="s">
        <v>12</v>
      </c>
    </row>
    <row r="1657" spans="1:15" x14ac:dyDescent="0.25">
      <c r="A1657" s="35">
        <v>1187904430</v>
      </c>
      <c r="B1657" s="35" t="s">
        <v>3890</v>
      </c>
      <c r="C1657" s="35">
        <v>2024</v>
      </c>
      <c r="D1657" s="36">
        <v>45646.9687962963</v>
      </c>
      <c r="E1657" s="37" t="s">
        <v>1638</v>
      </c>
      <c r="F1657" s="37" t="s">
        <v>4713</v>
      </c>
      <c r="G1657" s="37" t="s">
        <v>3687</v>
      </c>
      <c r="H1657" s="35" t="s">
        <v>3419</v>
      </c>
      <c r="I1657" s="35" t="s">
        <v>3416</v>
      </c>
      <c r="J1657" s="38">
        <v>0.22403940886699511</v>
      </c>
      <c r="K1657" s="35">
        <v>1</v>
      </c>
      <c r="L1657" s="38">
        <f t="shared" si="25"/>
        <v>0.22403940886699511</v>
      </c>
      <c r="M1657" s="35" t="s">
        <v>11</v>
      </c>
      <c r="N1657" s="38"/>
      <c r="O1657" s="35" t="s">
        <v>12</v>
      </c>
    </row>
    <row r="1658" spans="1:15" x14ac:dyDescent="0.25">
      <c r="A1658" s="35">
        <v>1187904430</v>
      </c>
      <c r="B1658" s="35" t="s">
        <v>3890</v>
      </c>
      <c r="C1658" s="35">
        <v>2024</v>
      </c>
      <c r="D1658" s="36">
        <v>45646.9687962963</v>
      </c>
      <c r="E1658" s="37" t="s">
        <v>1638</v>
      </c>
      <c r="F1658" s="37" t="s">
        <v>4712</v>
      </c>
      <c r="G1658" s="37" t="s">
        <v>3723</v>
      </c>
      <c r="H1658" s="35" t="s">
        <v>3419</v>
      </c>
      <c r="I1658" s="35" t="s">
        <v>3416</v>
      </c>
      <c r="J1658" s="38">
        <v>11.145960591133001</v>
      </c>
      <c r="K1658" s="35">
        <v>1</v>
      </c>
      <c r="L1658" s="38">
        <f t="shared" si="25"/>
        <v>11.145960591133001</v>
      </c>
      <c r="M1658" s="35" t="s">
        <v>11</v>
      </c>
      <c r="N1658" s="38"/>
      <c r="O1658" s="35" t="s">
        <v>12</v>
      </c>
    </row>
    <row r="1659" spans="1:15" x14ac:dyDescent="0.25">
      <c r="A1659" s="35">
        <v>1187557684</v>
      </c>
      <c r="B1659" s="35" t="s">
        <v>3890</v>
      </c>
      <c r="C1659" s="35">
        <v>2024</v>
      </c>
      <c r="D1659" s="36">
        <v>45645.616087962961</v>
      </c>
      <c r="E1659" s="37" t="s">
        <v>1643</v>
      </c>
      <c r="F1659" s="37" t="s">
        <v>4714</v>
      </c>
      <c r="G1659" s="37" t="s">
        <v>4017</v>
      </c>
      <c r="H1659" s="35" t="s">
        <v>3415</v>
      </c>
      <c r="I1659" s="35" t="s">
        <v>3640</v>
      </c>
      <c r="J1659" s="38">
        <v>1.3049999999999999</v>
      </c>
      <c r="K1659" s="35">
        <v>4</v>
      </c>
      <c r="L1659" s="38">
        <f t="shared" si="25"/>
        <v>5.22</v>
      </c>
      <c r="M1659" s="35" t="s">
        <v>11</v>
      </c>
      <c r="N1659" s="38"/>
      <c r="O1659" s="35" t="s">
        <v>12</v>
      </c>
    </row>
    <row r="1660" spans="1:15" x14ac:dyDescent="0.25">
      <c r="A1660" s="35">
        <v>1187633318</v>
      </c>
      <c r="B1660" s="35" t="s">
        <v>3890</v>
      </c>
      <c r="C1660" s="35">
        <v>2024</v>
      </c>
      <c r="D1660" s="36">
        <v>45644.897256944438</v>
      </c>
      <c r="E1660" s="37" t="s">
        <v>1646</v>
      </c>
      <c r="F1660" s="37" t="s">
        <v>4714</v>
      </c>
      <c r="G1660" s="37" t="s">
        <v>4017</v>
      </c>
      <c r="H1660" s="35" t="s">
        <v>3415</v>
      </c>
      <c r="I1660" s="35" t="s">
        <v>4617</v>
      </c>
      <c r="J1660" s="38">
        <v>1.3049999999999999</v>
      </c>
      <c r="K1660" s="35">
        <v>4</v>
      </c>
      <c r="L1660" s="38">
        <f t="shared" si="25"/>
        <v>5.22</v>
      </c>
      <c r="M1660" s="35" t="s">
        <v>11</v>
      </c>
      <c r="N1660" s="38"/>
      <c r="O1660" s="35" t="s">
        <v>12</v>
      </c>
    </row>
    <row r="1661" spans="1:15" x14ac:dyDescent="0.25">
      <c r="A1661" s="35">
        <v>1187561567</v>
      </c>
      <c r="B1661" s="35" t="s">
        <v>3890</v>
      </c>
      <c r="C1661" s="35">
        <v>2024</v>
      </c>
      <c r="D1661" s="36">
        <v>45644.504641203697</v>
      </c>
      <c r="E1661" s="37" t="s">
        <v>8</v>
      </c>
      <c r="F1661" s="37" t="s">
        <v>4640</v>
      </c>
      <c r="G1661" s="37" t="s">
        <v>3740</v>
      </c>
      <c r="H1661" s="35" t="s">
        <v>3415</v>
      </c>
      <c r="I1661" s="35" t="s">
        <v>3640</v>
      </c>
      <c r="J1661" s="38">
        <v>1.95</v>
      </c>
      <c r="K1661" s="35">
        <v>4</v>
      </c>
      <c r="L1661" s="38">
        <f t="shared" si="25"/>
        <v>7.8</v>
      </c>
      <c r="M1661" s="42" t="s">
        <v>11</v>
      </c>
      <c r="N1661" s="38"/>
      <c r="O1661" s="35" t="s">
        <v>12</v>
      </c>
    </row>
    <row r="1662" spans="1:15" x14ac:dyDescent="0.25">
      <c r="A1662" s="35">
        <v>1187376953</v>
      </c>
      <c r="B1662" s="35" t="s">
        <v>3890</v>
      </c>
      <c r="C1662" s="35">
        <v>2024</v>
      </c>
      <c r="D1662" s="36">
        <v>45643.290567129632</v>
      </c>
      <c r="E1662" s="37" t="s">
        <v>414</v>
      </c>
      <c r="F1662" s="37" t="s">
        <v>4716</v>
      </c>
      <c r="G1662" s="37" t="s">
        <v>4309</v>
      </c>
      <c r="H1662" s="35" t="s">
        <v>3415</v>
      </c>
      <c r="I1662" s="35" t="s">
        <v>3453</v>
      </c>
      <c r="J1662" s="38">
        <v>3.205336481700118</v>
      </c>
      <c r="K1662" s="35">
        <v>4</v>
      </c>
      <c r="L1662" s="38">
        <f t="shared" si="25"/>
        <v>12.821345926800472</v>
      </c>
      <c r="M1662" s="35" t="s">
        <v>11</v>
      </c>
      <c r="N1662" s="38"/>
      <c r="O1662" s="35" t="s">
        <v>12</v>
      </c>
    </row>
    <row r="1663" spans="1:15" x14ac:dyDescent="0.25">
      <c r="A1663" s="35">
        <v>1187376953</v>
      </c>
      <c r="B1663" s="35" t="s">
        <v>3890</v>
      </c>
      <c r="C1663" s="35">
        <v>2024</v>
      </c>
      <c r="D1663" s="36">
        <v>45643.290567129632</v>
      </c>
      <c r="E1663" s="37" t="s">
        <v>414</v>
      </c>
      <c r="F1663" s="37" t="s">
        <v>4640</v>
      </c>
      <c r="G1663" s="37" t="s">
        <v>3740</v>
      </c>
      <c r="H1663" s="35" t="s">
        <v>3419</v>
      </c>
      <c r="I1663" s="35" t="s">
        <v>3453</v>
      </c>
      <c r="J1663" s="38">
        <v>2.6693270365997641</v>
      </c>
      <c r="K1663" s="35">
        <v>2</v>
      </c>
      <c r="L1663" s="38">
        <f t="shared" si="25"/>
        <v>5.3386540731995282</v>
      </c>
      <c r="M1663" s="35" t="s">
        <v>11</v>
      </c>
      <c r="N1663" s="38"/>
      <c r="O1663" s="35" t="s">
        <v>12</v>
      </c>
    </row>
    <row r="1664" spans="1:15" x14ac:dyDescent="0.25">
      <c r="A1664" s="35">
        <v>1187376512</v>
      </c>
      <c r="B1664" s="35" t="s">
        <v>3890</v>
      </c>
      <c r="C1664" s="35">
        <v>2024</v>
      </c>
      <c r="D1664" s="36">
        <v>45643.290567129632</v>
      </c>
      <c r="E1664" s="37" t="s">
        <v>1655</v>
      </c>
      <c r="F1664" s="37" t="s">
        <v>4717</v>
      </c>
      <c r="G1664" s="37" t="s">
        <v>4059</v>
      </c>
      <c r="H1664" s="35" t="s">
        <v>3415</v>
      </c>
      <c r="I1664" s="35" t="s">
        <v>3416</v>
      </c>
      <c r="J1664" s="38">
        <v>8.3674999999999997</v>
      </c>
      <c r="K1664" s="35">
        <v>4</v>
      </c>
      <c r="L1664" s="38">
        <f t="shared" si="25"/>
        <v>33.47</v>
      </c>
      <c r="M1664" s="35" t="s">
        <v>11</v>
      </c>
      <c r="N1664" s="38"/>
      <c r="O1664" s="35" t="s">
        <v>12</v>
      </c>
    </row>
    <row r="1665" spans="1:15" x14ac:dyDescent="0.25">
      <c r="A1665" s="35">
        <v>1187045270</v>
      </c>
      <c r="B1665" s="35" t="s">
        <v>3890</v>
      </c>
      <c r="C1665" s="35">
        <v>2024</v>
      </c>
      <c r="D1665" s="36">
        <v>45642.794131944444</v>
      </c>
      <c r="E1665" s="37" t="s">
        <v>1665</v>
      </c>
      <c r="F1665" s="37" t="s">
        <v>4718</v>
      </c>
      <c r="G1665" s="37" t="s">
        <v>3945</v>
      </c>
      <c r="H1665" s="35" t="s">
        <v>3419</v>
      </c>
      <c r="I1665" s="35" t="s">
        <v>3416</v>
      </c>
      <c r="J1665" s="38">
        <v>0.16340659340659339</v>
      </c>
      <c r="K1665" s="35">
        <v>1</v>
      </c>
      <c r="L1665" s="38">
        <f t="shared" si="25"/>
        <v>0.16340659340659339</v>
      </c>
      <c r="M1665" s="35" t="s">
        <v>11</v>
      </c>
      <c r="N1665" s="38"/>
      <c r="O1665" s="35" t="s">
        <v>12</v>
      </c>
    </row>
    <row r="1666" spans="1:15" x14ac:dyDescent="0.25">
      <c r="A1666" s="35">
        <v>1187045270</v>
      </c>
      <c r="B1666" s="35" t="s">
        <v>3890</v>
      </c>
      <c r="C1666" s="35">
        <v>2024</v>
      </c>
      <c r="D1666" s="36">
        <v>45642.794131944444</v>
      </c>
      <c r="E1666" s="37" t="s">
        <v>1665</v>
      </c>
      <c r="F1666" s="37" t="s">
        <v>4719</v>
      </c>
      <c r="G1666" s="37" t="s">
        <v>3879</v>
      </c>
      <c r="H1666" s="35" t="s">
        <v>3419</v>
      </c>
      <c r="I1666" s="35" t="s">
        <v>3416</v>
      </c>
      <c r="J1666" s="38">
        <v>7.3532967032967029</v>
      </c>
      <c r="K1666" s="35">
        <v>2</v>
      </c>
      <c r="L1666" s="38">
        <f t="shared" ref="L1666:L1729" si="26">J1666*K1666</f>
        <v>14.706593406593406</v>
      </c>
      <c r="M1666" s="35" t="s">
        <v>11</v>
      </c>
      <c r="N1666" s="38"/>
      <c r="O1666" s="35" t="s">
        <v>12</v>
      </c>
    </row>
    <row r="1667" spans="1:15" x14ac:dyDescent="0.25">
      <c r="A1667" s="35">
        <v>1187307706</v>
      </c>
      <c r="B1667" s="35" t="s">
        <v>3890</v>
      </c>
      <c r="C1667" s="35">
        <v>2024</v>
      </c>
      <c r="D1667" s="36">
        <v>45642.793483796297</v>
      </c>
      <c r="E1667" s="37" t="s">
        <v>1657</v>
      </c>
      <c r="F1667" s="37" t="s">
        <v>4720</v>
      </c>
      <c r="G1667" s="37" t="s">
        <v>4362</v>
      </c>
      <c r="H1667" s="35" t="s">
        <v>3419</v>
      </c>
      <c r="I1667" s="35" t="s">
        <v>3416</v>
      </c>
      <c r="J1667" s="38">
        <v>10.36</v>
      </c>
      <c r="K1667" s="35">
        <v>2</v>
      </c>
      <c r="L1667" s="38">
        <f t="shared" si="26"/>
        <v>20.72</v>
      </c>
      <c r="M1667" s="35" t="s">
        <v>11</v>
      </c>
      <c r="N1667" s="38"/>
      <c r="O1667" s="35" t="s">
        <v>12</v>
      </c>
    </row>
    <row r="1668" spans="1:15" x14ac:dyDescent="0.25">
      <c r="A1668" s="35">
        <v>1187301326</v>
      </c>
      <c r="B1668" s="35" t="s">
        <v>3890</v>
      </c>
      <c r="C1668" s="35">
        <v>2024</v>
      </c>
      <c r="D1668" s="36">
        <v>45642.793483796297</v>
      </c>
      <c r="E1668" s="37" t="s">
        <v>1660</v>
      </c>
      <c r="F1668" s="37" t="s">
        <v>4714</v>
      </c>
      <c r="G1668" s="37" t="s">
        <v>4721</v>
      </c>
      <c r="H1668" s="35" t="s">
        <v>3415</v>
      </c>
      <c r="I1668" s="35" t="s">
        <v>3416</v>
      </c>
      <c r="J1668" s="38">
        <v>3.8174999999999999</v>
      </c>
      <c r="K1668" s="35">
        <v>4</v>
      </c>
      <c r="L1668" s="38">
        <f t="shared" si="26"/>
        <v>15.27</v>
      </c>
      <c r="M1668" s="35" t="s">
        <v>11</v>
      </c>
      <c r="N1668" s="38"/>
      <c r="O1668" s="35" t="s">
        <v>12</v>
      </c>
    </row>
    <row r="1669" spans="1:15" x14ac:dyDescent="0.25">
      <c r="A1669" s="35">
        <v>1187231107</v>
      </c>
      <c r="B1669" s="35" t="s">
        <v>3890</v>
      </c>
      <c r="C1669" s="35">
        <v>2024</v>
      </c>
      <c r="D1669" s="36">
        <v>45642.793483796297</v>
      </c>
      <c r="E1669" s="37" t="s">
        <v>294</v>
      </c>
      <c r="F1669" s="37" t="s">
        <v>4722</v>
      </c>
      <c r="G1669" s="37" t="s">
        <v>4362</v>
      </c>
      <c r="H1669" s="35" t="s">
        <v>3419</v>
      </c>
      <c r="I1669" s="35" t="s">
        <v>3416</v>
      </c>
      <c r="J1669" s="38">
        <v>31.515470616340181</v>
      </c>
      <c r="K1669" s="35">
        <v>2</v>
      </c>
      <c r="L1669" s="38">
        <f t="shared" si="26"/>
        <v>63.030941232680362</v>
      </c>
      <c r="M1669" s="35" t="s">
        <v>11</v>
      </c>
      <c r="N1669" s="38"/>
      <c r="O1669" s="35" t="s">
        <v>12</v>
      </c>
    </row>
    <row r="1670" spans="1:15" ht="30" x14ac:dyDescent="0.25">
      <c r="A1670" s="35">
        <v>1187231107</v>
      </c>
      <c r="B1670" s="35" t="s">
        <v>3890</v>
      </c>
      <c r="C1670" s="35">
        <v>2024</v>
      </c>
      <c r="D1670" s="36">
        <v>45642.793483796297</v>
      </c>
      <c r="E1670" s="37" t="s">
        <v>294</v>
      </c>
      <c r="F1670" s="37" t="s">
        <v>4723</v>
      </c>
      <c r="G1670" s="37" t="s">
        <v>4724</v>
      </c>
      <c r="H1670" s="35" t="s">
        <v>3415</v>
      </c>
      <c r="I1670" s="35" t="s">
        <v>3416</v>
      </c>
      <c r="J1670" s="38">
        <v>10.4700812231247</v>
      </c>
      <c r="K1670" s="35">
        <v>4</v>
      </c>
      <c r="L1670" s="38">
        <f t="shared" si="26"/>
        <v>41.880324892498798</v>
      </c>
      <c r="M1670" s="35" t="s">
        <v>11</v>
      </c>
      <c r="N1670" s="38"/>
      <c r="O1670" s="35" t="s">
        <v>12</v>
      </c>
    </row>
    <row r="1671" spans="1:15" x14ac:dyDescent="0.25">
      <c r="A1671" s="35">
        <v>1187231107</v>
      </c>
      <c r="B1671" s="35" t="s">
        <v>3890</v>
      </c>
      <c r="C1671" s="35">
        <v>2024</v>
      </c>
      <c r="D1671" s="36">
        <v>45642.793483796297</v>
      </c>
      <c r="E1671" s="37" t="s">
        <v>294</v>
      </c>
      <c r="F1671" s="37" t="s">
        <v>3983</v>
      </c>
      <c r="G1671" s="37" t="s">
        <v>3984</v>
      </c>
      <c r="H1671" s="35" t="s">
        <v>3419</v>
      </c>
      <c r="I1671" s="35" t="s">
        <v>3416</v>
      </c>
      <c r="J1671" s="38">
        <v>5.2087338748208314</v>
      </c>
      <c r="K1671" s="35">
        <v>1</v>
      </c>
      <c r="L1671" s="38">
        <f t="shared" si="26"/>
        <v>5.2087338748208314</v>
      </c>
      <c r="M1671" s="35" t="s">
        <v>11</v>
      </c>
      <c r="N1671" s="38"/>
      <c r="O1671" s="35" t="s">
        <v>12</v>
      </c>
    </row>
    <row r="1672" spans="1:15" x14ac:dyDescent="0.25">
      <c r="A1672" s="35">
        <v>1186578021</v>
      </c>
      <c r="B1672" s="35" t="s">
        <v>3890</v>
      </c>
      <c r="C1672" s="35">
        <v>2024</v>
      </c>
      <c r="D1672" s="36">
        <v>45637.625775462962</v>
      </c>
      <c r="E1672" s="37" t="s">
        <v>8</v>
      </c>
      <c r="F1672" s="37" t="s">
        <v>4725</v>
      </c>
      <c r="G1672" s="37" t="s">
        <v>3652</v>
      </c>
      <c r="H1672" s="35" t="s">
        <v>3419</v>
      </c>
      <c r="I1672" s="35" t="s">
        <v>3416</v>
      </c>
      <c r="J1672" s="38">
        <v>19.87</v>
      </c>
      <c r="K1672" s="35">
        <v>1</v>
      </c>
      <c r="L1672" s="38">
        <f t="shared" si="26"/>
        <v>19.87</v>
      </c>
      <c r="M1672" s="35" t="s">
        <v>11</v>
      </c>
      <c r="N1672" s="38"/>
      <c r="O1672" s="35" t="s">
        <v>12</v>
      </c>
    </row>
    <row r="1673" spans="1:15" x14ac:dyDescent="0.25">
      <c r="A1673" s="35">
        <v>1186398324</v>
      </c>
      <c r="B1673" s="35" t="s">
        <v>3890</v>
      </c>
      <c r="C1673" s="35">
        <v>2024</v>
      </c>
      <c r="D1673" s="36">
        <v>45636.470219907409</v>
      </c>
      <c r="E1673" s="37" t="s">
        <v>1669</v>
      </c>
      <c r="F1673" s="37" t="s">
        <v>4719</v>
      </c>
      <c r="G1673" s="37" t="s">
        <v>3879</v>
      </c>
      <c r="H1673" s="35" t="s">
        <v>3419</v>
      </c>
      <c r="I1673" s="35" t="s">
        <v>3416</v>
      </c>
      <c r="J1673" s="38">
        <v>6.61</v>
      </c>
      <c r="K1673" s="35">
        <v>2</v>
      </c>
      <c r="L1673" s="38">
        <f t="shared" si="26"/>
        <v>13.22</v>
      </c>
      <c r="M1673" s="35" t="s">
        <v>11</v>
      </c>
      <c r="N1673" s="38"/>
      <c r="O1673" s="35" t="s">
        <v>12</v>
      </c>
    </row>
    <row r="1674" spans="1:15" x14ac:dyDescent="0.25">
      <c r="A1674" s="35">
        <v>1186396722</v>
      </c>
      <c r="B1674" s="35" t="s">
        <v>3890</v>
      </c>
      <c r="C1674" s="35">
        <v>2024</v>
      </c>
      <c r="D1674" s="36">
        <v>45636.462418981479</v>
      </c>
      <c r="E1674" s="37" t="s">
        <v>1672</v>
      </c>
      <c r="F1674" s="37" t="s">
        <v>4726</v>
      </c>
      <c r="G1674" s="37" t="s">
        <v>3712</v>
      </c>
      <c r="H1674" s="35" t="s">
        <v>3419</v>
      </c>
      <c r="I1674" s="35" t="s">
        <v>3416</v>
      </c>
      <c r="J1674" s="38">
        <v>1.46</v>
      </c>
      <c r="K1674" s="35">
        <v>2</v>
      </c>
      <c r="L1674" s="38">
        <f t="shared" si="26"/>
        <v>2.92</v>
      </c>
      <c r="M1674" s="35" t="s">
        <v>11</v>
      </c>
      <c r="N1674" s="38"/>
      <c r="O1674" s="35" t="s">
        <v>12</v>
      </c>
    </row>
    <row r="1675" spans="1:15" x14ac:dyDescent="0.25">
      <c r="A1675" s="35">
        <v>1186395521</v>
      </c>
      <c r="B1675" s="35" t="s">
        <v>3890</v>
      </c>
      <c r="C1675" s="35">
        <v>2024</v>
      </c>
      <c r="D1675" s="36">
        <v>45636.462418981479</v>
      </c>
      <c r="E1675" s="37" t="s">
        <v>1674</v>
      </c>
      <c r="F1675" s="37" t="s">
        <v>4727</v>
      </c>
      <c r="G1675" s="37" t="s">
        <v>3945</v>
      </c>
      <c r="H1675" s="35" t="s">
        <v>3419</v>
      </c>
      <c r="I1675" s="35" t="s">
        <v>3416</v>
      </c>
      <c r="J1675" s="38">
        <v>2.61</v>
      </c>
      <c r="K1675" s="35">
        <v>2</v>
      </c>
      <c r="L1675" s="38">
        <f t="shared" si="26"/>
        <v>5.22</v>
      </c>
      <c r="M1675" s="35" t="s">
        <v>11</v>
      </c>
      <c r="N1675" s="38"/>
      <c r="O1675" s="35" t="s">
        <v>12</v>
      </c>
    </row>
    <row r="1676" spans="1:15" x14ac:dyDescent="0.25">
      <c r="A1676" s="35">
        <v>1186395377</v>
      </c>
      <c r="B1676" s="35" t="s">
        <v>3890</v>
      </c>
      <c r="C1676" s="35">
        <v>2024</v>
      </c>
      <c r="D1676" s="36">
        <v>45636.462418981479</v>
      </c>
      <c r="E1676" s="37" t="s">
        <v>965</v>
      </c>
      <c r="F1676" s="37" t="s">
        <v>4718</v>
      </c>
      <c r="G1676" s="37" t="s">
        <v>3945</v>
      </c>
      <c r="H1676" s="35" t="s">
        <v>3415</v>
      </c>
      <c r="I1676" s="35" t="s">
        <v>3416</v>
      </c>
      <c r="J1676" s="38">
        <v>0.22975609756097559</v>
      </c>
      <c r="K1676" s="35">
        <v>4</v>
      </c>
      <c r="L1676" s="38">
        <f t="shared" si="26"/>
        <v>0.91902439024390237</v>
      </c>
      <c r="M1676" s="35" t="s">
        <v>11</v>
      </c>
      <c r="N1676" s="38"/>
      <c r="O1676" s="35" t="s">
        <v>12</v>
      </c>
    </row>
    <row r="1677" spans="1:15" x14ac:dyDescent="0.25">
      <c r="A1677" s="35">
        <v>1186395377</v>
      </c>
      <c r="B1677" s="35" t="s">
        <v>3890</v>
      </c>
      <c r="C1677" s="35">
        <v>2024</v>
      </c>
      <c r="D1677" s="36">
        <v>45636.462418981479</v>
      </c>
      <c r="E1677" s="37" t="s">
        <v>965</v>
      </c>
      <c r="F1677" s="37" t="s">
        <v>4728</v>
      </c>
      <c r="G1677" s="37" t="s">
        <v>4220</v>
      </c>
      <c r="H1677" s="35" t="s">
        <v>3419</v>
      </c>
      <c r="I1677" s="35" t="s">
        <v>3416</v>
      </c>
      <c r="J1677" s="38">
        <v>0.22975609756097559</v>
      </c>
      <c r="K1677" s="35">
        <v>2</v>
      </c>
      <c r="L1677" s="38">
        <f t="shared" si="26"/>
        <v>0.45951219512195118</v>
      </c>
      <c r="M1677" s="35" t="s">
        <v>11</v>
      </c>
      <c r="N1677" s="38"/>
      <c r="O1677" s="35" t="s">
        <v>12</v>
      </c>
    </row>
    <row r="1678" spans="1:15" x14ac:dyDescent="0.25">
      <c r="A1678" s="35">
        <v>1186395377</v>
      </c>
      <c r="B1678" s="35" t="s">
        <v>3890</v>
      </c>
      <c r="C1678" s="35">
        <v>2024</v>
      </c>
      <c r="D1678" s="36">
        <v>45636.462418981479</v>
      </c>
      <c r="E1678" s="37" t="s">
        <v>965</v>
      </c>
      <c r="F1678" s="37" t="s">
        <v>3957</v>
      </c>
      <c r="G1678" s="37" t="s">
        <v>3687</v>
      </c>
      <c r="H1678" s="35" t="s">
        <v>3419</v>
      </c>
      <c r="I1678" s="35" t="s">
        <v>3416</v>
      </c>
      <c r="J1678" s="38">
        <v>4.020731707317073</v>
      </c>
      <c r="K1678" s="35">
        <v>2</v>
      </c>
      <c r="L1678" s="38">
        <f t="shared" si="26"/>
        <v>8.0414634146341459</v>
      </c>
      <c r="M1678" s="35" t="s">
        <v>11</v>
      </c>
      <c r="N1678" s="38"/>
      <c r="O1678" s="35" t="s">
        <v>12</v>
      </c>
    </row>
    <row r="1679" spans="1:15" x14ac:dyDescent="0.25">
      <c r="A1679" s="35">
        <v>1186394921</v>
      </c>
      <c r="B1679" s="35" t="s">
        <v>3890</v>
      </c>
      <c r="C1679" s="35">
        <v>2024</v>
      </c>
      <c r="D1679" s="36">
        <v>45636.462418981479</v>
      </c>
      <c r="E1679" s="37" t="s">
        <v>1677</v>
      </c>
      <c r="F1679" s="37" t="s">
        <v>4729</v>
      </c>
      <c r="G1679" s="37" t="s">
        <v>4220</v>
      </c>
      <c r="H1679" s="35" t="s">
        <v>3419</v>
      </c>
      <c r="I1679" s="35" t="s">
        <v>3416</v>
      </c>
      <c r="J1679" s="38">
        <v>1.206666666666667</v>
      </c>
      <c r="K1679" s="35">
        <v>3</v>
      </c>
      <c r="L1679" s="38">
        <f t="shared" si="26"/>
        <v>3.620000000000001</v>
      </c>
      <c r="M1679" s="35" t="s">
        <v>11</v>
      </c>
      <c r="N1679" s="38"/>
      <c r="O1679" s="35" t="s">
        <v>12</v>
      </c>
    </row>
    <row r="1680" spans="1:15" x14ac:dyDescent="0.25">
      <c r="A1680" s="35">
        <v>1186393498</v>
      </c>
      <c r="B1680" s="35" t="s">
        <v>3890</v>
      </c>
      <c r="C1680" s="35">
        <v>2024</v>
      </c>
      <c r="D1680" s="36">
        <v>45636.445324074077</v>
      </c>
      <c r="E1680" s="37" t="s">
        <v>1679</v>
      </c>
      <c r="F1680" s="37" t="s">
        <v>4730</v>
      </c>
      <c r="G1680" s="37" t="s">
        <v>4220</v>
      </c>
      <c r="H1680" s="35" t="s">
        <v>3415</v>
      </c>
      <c r="I1680" s="35" t="s">
        <v>3416</v>
      </c>
      <c r="J1680" s="38">
        <v>0.64500000000000002</v>
      </c>
      <c r="K1680" s="35">
        <v>4</v>
      </c>
      <c r="L1680" s="38">
        <f t="shared" si="26"/>
        <v>2.58</v>
      </c>
      <c r="M1680" s="35" t="s">
        <v>11</v>
      </c>
      <c r="N1680" s="38"/>
      <c r="O1680" s="35" t="s">
        <v>12</v>
      </c>
    </row>
    <row r="1681" spans="1:15" x14ac:dyDescent="0.25">
      <c r="A1681" s="35">
        <v>1186393412</v>
      </c>
      <c r="B1681" s="35" t="s">
        <v>3890</v>
      </c>
      <c r="C1681" s="35">
        <v>2024</v>
      </c>
      <c r="D1681" s="36">
        <v>45636.445324074077</v>
      </c>
      <c r="E1681" s="37" t="s">
        <v>1546</v>
      </c>
      <c r="F1681" s="37" t="s">
        <v>4731</v>
      </c>
      <c r="G1681" s="37" t="s">
        <v>3680</v>
      </c>
      <c r="H1681" s="35" t="s">
        <v>3415</v>
      </c>
      <c r="I1681" s="35" t="s">
        <v>3416</v>
      </c>
      <c r="J1681" s="38">
        <v>4.3049999999999997</v>
      </c>
      <c r="K1681" s="35">
        <v>4</v>
      </c>
      <c r="L1681" s="38">
        <f t="shared" si="26"/>
        <v>17.22</v>
      </c>
      <c r="M1681" s="35" t="s">
        <v>11</v>
      </c>
      <c r="N1681" s="38"/>
      <c r="O1681" s="35" t="s">
        <v>12</v>
      </c>
    </row>
    <row r="1682" spans="1:15" x14ac:dyDescent="0.25">
      <c r="A1682" s="35">
        <v>1186392523</v>
      </c>
      <c r="B1682" s="35" t="s">
        <v>3890</v>
      </c>
      <c r="C1682" s="35">
        <v>2024</v>
      </c>
      <c r="D1682" s="36">
        <v>45636.445324074077</v>
      </c>
      <c r="E1682" s="37" t="s">
        <v>1682</v>
      </c>
      <c r="F1682" s="37" t="s">
        <v>4732</v>
      </c>
      <c r="G1682" s="37" t="s">
        <v>3652</v>
      </c>
      <c r="H1682" s="35" t="s">
        <v>3419</v>
      </c>
      <c r="I1682" s="35" t="s">
        <v>3416</v>
      </c>
      <c r="J1682" s="38">
        <v>1.3066666666666671</v>
      </c>
      <c r="K1682" s="35">
        <v>1</v>
      </c>
      <c r="L1682" s="38">
        <f t="shared" si="26"/>
        <v>1.3066666666666671</v>
      </c>
      <c r="M1682" s="35" t="s">
        <v>11</v>
      </c>
      <c r="N1682" s="38"/>
      <c r="O1682" s="35" t="s">
        <v>12</v>
      </c>
    </row>
    <row r="1683" spans="1:15" x14ac:dyDescent="0.25">
      <c r="A1683" s="35">
        <v>1186392523</v>
      </c>
      <c r="B1683" s="35" t="s">
        <v>3890</v>
      </c>
      <c r="C1683" s="35">
        <v>2024</v>
      </c>
      <c r="D1683" s="36">
        <v>45636.445324074077</v>
      </c>
      <c r="E1683" s="37" t="s">
        <v>1682</v>
      </c>
      <c r="F1683" s="37" t="s">
        <v>4733</v>
      </c>
      <c r="G1683" s="37" t="s">
        <v>3925</v>
      </c>
      <c r="H1683" s="35" t="s">
        <v>3419</v>
      </c>
      <c r="I1683" s="35" t="s">
        <v>3416</v>
      </c>
      <c r="J1683" s="38">
        <v>1.3066666666666671</v>
      </c>
      <c r="K1683" s="35">
        <v>2</v>
      </c>
      <c r="L1683" s="38">
        <f t="shared" si="26"/>
        <v>2.6133333333333342</v>
      </c>
      <c r="M1683" s="35" t="s">
        <v>11</v>
      </c>
      <c r="N1683" s="38"/>
      <c r="O1683" s="35" t="s">
        <v>12</v>
      </c>
    </row>
    <row r="1684" spans="1:15" x14ac:dyDescent="0.25">
      <c r="A1684" s="35">
        <v>1186392516</v>
      </c>
      <c r="B1684" s="35" t="s">
        <v>3890</v>
      </c>
      <c r="C1684" s="35">
        <v>2024</v>
      </c>
      <c r="D1684" s="36">
        <v>45636.445324074077</v>
      </c>
      <c r="E1684" s="37" t="s">
        <v>1684</v>
      </c>
      <c r="F1684" s="37" t="s">
        <v>4733</v>
      </c>
      <c r="G1684" s="37" t="s">
        <v>3925</v>
      </c>
      <c r="H1684" s="35" t="s">
        <v>3419</v>
      </c>
      <c r="I1684" s="35" t="s">
        <v>3416</v>
      </c>
      <c r="J1684" s="38">
        <v>1.1100000000000001</v>
      </c>
      <c r="K1684" s="35">
        <v>2</v>
      </c>
      <c r="L1684" s="38">
        <f t="shared" si="26"/>
        <v>2.2200000000000002</v>
      </c>
      <c r="M1684" s="35" t="s">
        <v>11</v>
      </c>
      <c r="N1684" s="38"/>
      <c r="O1684" s="35" t="s">
        <v>12</v>
      </c>
    </row>
    <row r="1685" spans="1:15" x14ac:dyDescent="0.25">
      <c r="A1685" s="35">
        <v>1186392450</v>
      </c>
      <c r="B1685" s="35" t="s">
        <v>3890</v>
      </c>
      <c r="C1685" s="35">
        <v>2024</v>
      </c>
      <c r="D1685" s="36">
        <v>45636.445324074077</v>
      </c>
      <c r="E1685" s="37" t="s">
        <v>35</v>
      </c>
      <c r="F1685" s="37" t="s">
        <v>4734</v>
      </c>
      <c r="G1685" s="37" t="s">
        <v>3687</v>
      </c>
      <c r="H1685" s="35" t="s">
        <v>3419</v>
      </c>
      <c r="I1685" s="35" t="s">
        <v>3453</v>
      </c>
      <c r="J1685" s="38">
        <v>0.57863636363636362</v>
      </c>
      <c r="K1685" s="35">
        <v>2</v>
      </c>
      <c r="L1685" s="38">
        <f t="shared" si="26"/>
        <v>1.1572727272727272</v>
      </c>
      <c r="M1685" s="35" t="s">
        <v>11</v>
      </c>
      <c r="N1685" s="38"/>
      <c r="O1685" s="35" t="s">
        <v>12</v>
      </c>
    </row>
    <row r="1686" spans="1:15" x14ac:dyDescent="0.25">
      <c r="A1686" s="35">
        <v>1186392450</v>
      </c>
      <c r="B1686" s="35" t="s">
        <v>3890</v>
      </c>
      <c r="C1686" s="35">
        <v>2024</v>
      </c>
      <c r="D1686" s="36">
        <v>45636.445324074077</v>
      </c>
      <c r="E1686" s="37" t="s">
        <v>35</v>
      </c>
      <c r="F1686" s="37" t="s">
        <v>4735</v>
      </c>
      <c r="G1686" s="37" t="s">
        <v>4140</v>
      </c>
      <c r="H1686" s="35" t="s">
        <v>3415</v>
      </c>
      <c r="I1686" s="35" t="s">
        <v>3416</v>
      </c>
      <c r="J1686" s="38">
        <v>0.28341372912801482</v>
      </c>
      <c r="K1686" s="35">
        <v>4</v>
      </c>
      <c r="L1686" s="38">
        <f t="shared" si="26"/>
        <v>1.1336549165120593</v>
      </c>
      <c r="M1686" s="35" t="s">
        <v>11</v>
      </c>
      <c r="N1686" s="38"/>
      <c r="O1686" s="35" t="s">
        <v>12</v>
      </c>
    </row>
    <row r="1687" spans="1:15" x14ac:dyDescent="0.25">
      <c r="A1687" s="35">
        <v>1186392450</v>
      </c>
      <c r="B1687" s="35" t="s">
        <v>3890</v>
      </c>
      <c r="C1687" s="35">
        <v>2024</v>
      </c>
      <c r="D1687" s="36">
        <v>45636.445324074077</v>
      </c>
      <c r="E1687" s="37" t="s">
        <v>35</v>
      </c>
      <c r="F1687" s="37" t="s">
        <v>4734</v>
      </c>
      <c r="G1687" s="37" t="s">
        <v>3687</v>
      </c>
      <c r="H1687" s="35" t="s">
        <v>3419</v>
      </c>
      <c r="I1687" s="35" t="s">
        <v>3416</v>
      </c>
      <c r="J1687" s="38">
        <v>0.57863636363636362</v>
      </c>
      <c r="K1687" s="35">
        <v>2</v>
      </c>
      <c r="L1687" s="38">
        <f t="shared" si="26"/>
        <v>1.1572727272727272</v>
      </c>
      <c r="M1687" s="35" t="s">
        <v>11</v>
      </c>
      <c r="N1687" s="38"/>
      <c r="O1687" s="35" t="s">
        <v>12</v>
      </c>
    </row>
    <row r="1688" spans="1:15" x14ac:dyDescent="0.25">
      <c r="A1688" s="35">
        <v>1186392450</v>
      </c>
      <c r="B1688" s="35" t="s">
        <v>3890</v>
      </c>
      <c r="C1688" s="35">
        <v>2024</v>
      </c>
      <c r="D1688" s="36">
        <v>45636.445324074077</v>
      </c>
      <c r="E1688" s="37" t="s">
        <v>35</v>
      </c>
      <c r="F1688" s="37" t="s">
        <v>4454</v>
      </c>
      <c r="G1688" s="37" t="s">
        <v>3687</v>
      </c>
      <c r="H1688" s="35" t="s">
        <v>3415</v>
      </c>
      <c r="I1688" s="35" t="s">
        <v>3416</v>
      </c>
      <c r="J1688" s="38">
        <v>0.28341372912801482</v>
      </c>
      <c r="K1688" s="35">
        <v>4</v>
      </c>
      <c r="L1688" s="38">
        <f t="shared" si="26"/>
        <v>1.1336549165120593</v>
      </c>
      <c r="M1688" s="35" t="s">
        <v>11</v>
      </c>
      <c r="N1688" s="38"/>
      <c r="O1688" s="35" t="s">
        <v>12</v>
      </c>
    </row>
    <row r="1689" spans="1:15" x14ac:dyDescent="0.25">
      <c r="A1689" s="35">
        <v>1186392450</v>
      </c>
      <c r="B1689" s="35" t="s">
        <v>3890</v>
      </c>
      <c r="C1689" s="35">
        <v>2024</v>
      </c>
      <c r="D1689" s="36">
        <v>45636.445324074077</v>
      </c>
      <c r="E1689" s="37" t="s">
        <v>35</v>
      </c>
      <c r="F1689" s="37" t="s">
        <v>4452</v>
      </c>
      <c r="G1689" s="37" t="s">
        <v>3687</v>
      </c>
      <c r="H1689" s="35" t="s">
        <v>3419</v>
      </c>
      <c r="I1689" s="35" t="s">
        <v>3416</v>
      </c>
      <c r="J1689" s="38">
        <v>0.28341372912801482</v>
      </c>
      <c r="K1689" s="35">
        <v>2</v>
      </c>
      <c r="L1689" s="38">
        <f t="shared" si="26"/>
        <v>0.56682745825602965</v>
      </c>
      <c r="M1689" s="35" t="s">
        <v>11</v>
      </c>
      <c r="N1689" s="38"/>
      <c r="O1689" s="35" t="s">
        <v>12</v>
      </c>
    </row>
    <row r="1690" spans="1:15" x14ac:dyDescent="0.25">
      <c r="A1690" s="35">
        <v>1186392450</v>
      </c>
      <c r="B1690" s="35" t="s">
        <v>3890</v>
      </c>
      <c r="C1690" s="35">
        <v>2024</v>
      </c>
      <c r="D1690" s="36">
        <v>45636.445324074077</v>
      </c>
      <c r="E1690" s="37" t="s">
        <v>35</v>
      </c>
      <c r="F1690" s="37" t="s">
        <v>4455</v>
      </c>
      <c r="G1690" s="37" t="s">
        <v>3687</v>
      </c>
      <c r="H1690" s="35" t="s">
        <v>3419</v>
      </c>
      <c r="I1690" s="35" t="s">
        <v>3416</v>
      </c>
      <c r="J1690" s="38">
        <v>0.3424582560296846</v>
      </c>
      <c r="K1690" s="35">
        <v>2</v>
      </c>
      <c r="L1690" s="38">
        <f t="shared" si="26"/>
        <v>0.68491651205936921</v>
      </c>
      <c r="M1690" s="35" t="s">
        <v>11</v>
      </c>
      <c r="N1690" s="38"/>
      <c r="O1690" s="35" t="s">
        <v>12</v>
      </c>
    </row>
    <row r="1691" spans="1:15" x14ac:dyDescent="0.25">
      <c r="A1691" s="35">
        <v>1186392450</v>
      </c>
      <c r="B1691" s="35" t="s">
        <v>3890</v>
      </c>
      <c r="C1691" s="35">
        <v>2024</v>
      </c>
      <c r="D1691" s="36">
        <v>45636.445324074077</v>
      </c>
      <c r="E1691" s="37" t="s">
        <v>35</v>
      </c>
      <c r="F1691" s="37" t="s">
        <v>4451</v>
      </c>
      <c r="G1691" s="37" t="s">
        <v>3687</v>
      </c>
      <c r="H1691" s="35" t="s">
        <v>3415</v>
      </c>
      <c r="I1691" s="35" t="s">
        <v>3416</v>
      </c>
      <c r="J1691" s="38">
        <v>0.27160482374768091</v>
      </c>
      <c r="K1691" s="35">
        <v>4</v>
      </c>
      <c r="L1691" s="38">
        <f t="shared" si="26"/>
        <v>1.0864192949907236</v>
      </c>
      <c r="M1691" s="35" t="s">
        <v>11</v>
      </c>
      <c r="N1691" s="38"/>
      <c r="O1691" s="35" t="s">
        <v>12</v>
      </c>
    </row>
    <row r="1692" spans="1:15" x14ac:dyDescent="0.25">
      <c r="A1692" s="35">
        <v>1186392450</v>
      </c>
      <c r="B1692" s="35" t="s">
        <v>3890</v>
      </c>
      <c r="C1692" s="35">
        <v>2024</v>
      </c>
      <c r="D1692" s="36">
        <v>45636.445324074077</v>
      </c>
      <c r="E1692" s="37" t="s">
        <v>35</v>
      </c>
      <c r="F1692" s="37" t="s">
        <v>3834</v>
      </c>
      <c r="G1692" s="37" t="s">
        <v>3751</v>
      </c>
      <c r="H1692" s="35" t="s">
        <v>3415</v>
      </c>
      <c r="I1692" s="35" t="s">
        <v>3416</v>
      </c>
      <c r="J1692" s="38">
        <v>1.4524953617810761</v>
      </c>
      <c r="K1692" s="35">
        <v>4</v>
      </c>
      <c r="L1692" s="38">
        <f t="shared" si="26"/>
        <v>5.8099814471243043</v>
      </c>
      <c r="M1692" s="35" t="s">
        <v>11</v>
      </c>
      <c r="N1692" s="38"/>
      <c r="O1692" s="35" t="s">
        <v>12</v>
      </c>
    </row>
    <row r="1693" spans="1:15" ht="30" x14ac:dyDescent="0.25">
      <c r="A1693" s="35">
        <v>1185932378</v>
      </c>
      <c r="B1693" s="35" t="s">
        <v>3890</v>
      </c>
      <c r="C1693" s="35">
        <v>2024</v>
      </c>
      <c r="D1693" s="36">
        <v>45633.472210648149</v>
      </c>
      <c r="E1693" s="37" t="s">
        <v>1687</v>
      </c>
      <c r="F1693" s="37" t="s">
        <v>4736</v>
      </c>
      <c r="G1693" s="37" t="s">
        <v>3702</v>
      </c>
      <c r="H1693" s="35" t="s">
        <v>3419</v>
      </c>
      <c r="I1693" s="35" t="s">
        <v>3416</v>
      </c>
      <c r="J1693" s="38">
        <v>3.47</v>
      </c>
      <c r="K1693" s="35">
        <v>1</v>
      </c>
      <c r="L1693" s="38">
        <f t="shared" si="26"/>
        <v>3.47</v>
      </c>
      <c r="M1693" s="35" t="s">
        <v>11</v>
      </c>
      <c r="N1693" s="38"/>
      <c r="O1693" s="35" t="s">
        <v>12</v>
      </c>
    </row>
    <row r="1694" spans="1:15" x14ac:dyDescent="0.25">
      <c r="A1694" s="35">
        <v>1185932217</v>
      </c>
      <c r="B1694" s="35" t="s">
        <v>3890</v>
      </c>
      <c r="C1694" s="35">
        <v>2024</v>
      </c>
      <c r="D1694" s="36">
        <v>45633.472210648149</v>
      </c>
      <c r="E1694" s="37" t="s">
        <v>181</v>
      </c>
      <c r="F1694" s="37" t="s">
        <v>4737</v>
      </c>
      <c r="G1694" s="37" t="s">
        <v>3810</v>
      </c>
      <c r="H1694" s="35" t="s">
        <v>3419</v>
      </c>
      <c r="I1694" s="35" t="s">
        <v>3416</v>
      </c>
      <c r="J1694" s="38">
        <v>5.6874876847290636</v>
      </c>
      <c r="K1694" s="35">
        <v>2</v>
      </c>
      <c r="L1694" s="38">
        <f t="shared" si="26"/>
        <v>11.374975369458127</v>
      </c>
      <c r="M1694" s="35" t="s">
        <v>11</v>
      </c>
      <c r="N1694" s="38"/>
      <c r="O1694" s="35" t="s">
        <v>12</v>
      </c>
    </row>
    <row r="1695" spans="1:15" x14ac:dyDescent="0.25">
      <c r="A1695" s="35">
        <v>1185932217</v>
      </c>
      <c r="B1695" s="35" t="s">
        <v>3890</v>
      </c>
      <c r="C1695" s="35">
        <v>2024</v>
      </c>
      <c r="D1695" s="36">
        <v>45633.472210648149</v>
      </c>
      <c r="E1695" s="37" t="s">
        <v>181</v>
      </c>
      <c r="F1695" s="37" t="s">
        <v>4738</v>
      </c>
      <c r="G1695" s="37" t="s">
        <v>4215</v>
      </c>
      <c r="H1695" s="35" t="s">
        <v>3419</v>
      </c>
      <c r="I1695" s="35" t="s">
        <v>3416</v>
      </c>
      <c r="J1695" s="38">
        <v>2.716584564860427</v>
      </c>
      <c r="K1695" s="35">
        <v>1</v>
      </c>
      <c r="L1695" s="38">
        <f t="shared" si="26"/>
        <v>2.716584564860427</v>
      </c>
      <c r="M1695" s="35" t="s">
        <v>11</v>
      </c>
      <c r="N1695" s="38"/>
      <c r="O1695" s="35" t="s">
        <v>12</v>
      </c>
    </row>
    <row r="1696" spans="1:15" x14ac:dyDescent="0.25">
      <c r="A1696" s="35">
        <v>1185932217</v>
      </c>
      <c r="B1696" s="35" t="s">
        <v>3890</v>
      </c>
      <c r="C1696" s="35">
        <v>2024</v>
      </c>
      <c r="D1696" s="36">
        <v>45633.472210648149</v>
      </c>
      <c r="E1696" s="37" t="s">
        <v>181</v>
      </c>
      <c r="F1696" s="37" t="s">
        <v>4739</v>
      </c>
      <c r="G1696" s="37" t="s">
        <v>4059</v>
      </c>
      <c r="H1696" s="35" t="s">
        <v>3415</v>
      </c>
      <c r="I1696" s="35" t="s">
        <v>3416</v>
      </c>
      <c r="J1696" s="38">
        <v>0.7976354679802955</v>
      </c>
      <c r="K1696" s="35">
        <v>4</v>
      </c>
      <c r="L1696" s="38">
        <f t="shared" si="26"/>
        <v>3.190541871921182</v>
      </c>
      <c r="M1696" s="35" t="s">
        <v>11</v>
      </c>
      <c r="N1696" s="38"/>
      <c r="O1696" s="35" t="s">
        <v>12</v>
      </c>
    </row>
    <row r="1697" spans="1:15" x14ac:dyDescent="0.25">
      <c r="A1697" s="35">
        <v>1185932217</v>
      </c>
      <c r="B1697" s="35" t="s">
        <v>3890</v>
      </c>
      <c r="C1697" s="35">
        <v>2024</v>
      </c>
      <c r="D1697" s="36">
        <v>45633.472210648149</v>
      </c>
      <c r="E1697" s="37" t="s">
        <v>181</v>
      </c>
      <c r="F1697" s="37" t="s">
        <v>3913</v>
      </c>
      <c r="G1697" s="37" t="s">
        <v>3694</v>
      </c>
      <c r="H1697" s="35" t="s">
        <v>3419</v>
      </c>
      <c r="I1697" s="35" t="s">
        <v>3416</v>
      </c>
      <c r="J1697" s="38">
        <v>17.917898193760259</v>
      </c>
      <c r="K1697" s="35">
        <v>1</v>
      </c>
      <c r="L1697" s="38">
        <f t="shared" si="26"/>
        <v>17.917898193760259</v>
      </c>
      <c r="M1697" s="35" t="s">
        <v>11</v>
      </c>
      <c r="N1697" s="38"/>
      <c r="O1697" s="35" t="s">
        <v>12</v>
      </c>
    </row>
    <row r="1698" spans="1:15" x14ac:dyDescent="0.25">
      <c r="A1698" s="35">
        <v>1185900927</v>
      </c>
      <c r="B1698" s="35" t="s">
        <v>3890</v>
      </c>
      <c r="C1698" s="35">
        <v>2024</v>
      </c>
      <c r="D1698" s="36">
        <v>45633.046076388891</v>
      </c>
      <c r="E1698" s="37" t="s">
        <v>1690</v>
      </c>
      <c r="F1698" s="37" t="s">
        <v>4740</v>
      </c>
      <c r="G1698" s="37" t="s">
        <v>3751</v>
      </c>
      <c r="H1698" s="35" t="s">
        <v>3419</v>
      </c>
      <c r="I1698" s="35" t="s">
        <v>3416</v>
      </c>
      <c r="J1698" s="38">
        <v>0.48461538461538461</v>
      </c>
      <c r="K1698" s="35">
        <v>2</v>
      </c>
      <c r="L1698" s="38">
        <f t="shared" si="26"/>
        <v>0.96923076923076923</v>
      </c>
      <c r="M1698" s="35" t="s">
        <v>11</v>
      </c>
      <c r="N1698" s="38"/>
      <c r="O1698" s="35" t="s">
        <v>12</v>
      </c>
    </row>
    <row r="1699" spans="1:15" x14ac:dyDescent="0.25">
      <c r="A1699" s="35">
        <v>1185900927</v>
      </c>
      <c r="B1699" s="35" t="s">
        <v>3890</v>
      </c>
      <c r="C1699" s="35">
        <v>2024</v>
      </c>
      <c r="D1699" s="36">
        <v>45633.046076388891</v>
      </c>
      <c r="E1699" s="37" t="s">
        <v>1690</v>
      </c>
      <c r="F1699" s="37" t="s">
        <v>4726</v>
      </c>
      <c r="G1699" s="37" t="s">
        <v>3712</v>
      </c>
      <c r="H1699" s="35" t="s">
        <v>3419</v>
      </c>
      <c r="I1699" s="35" t="s">
        <v>3416</v>
      </c>
      <c r="J1699" s="38">
        <v>0.38769230769230772</v>
      </c>
      <c r="K1699" s="35">
        <v>2</v>
      </c>
      <c r="L1699" s="38">
        <f t="shared" si="26"/>
        <v>0.77538461538461545</v>
      </c>
      <c r="M1699" s="35" t="s">
        <v>11</v>
      </c>
      <c r="N1699" s="38"/>
      <c r="O1699" s="35" t="s">
        <v>12</v>
      </c>
    </row>
    <row r="1700" spans="1:15" x14ac:dyDescent="0.25">
      <c r="A1700" s="35">
        <v>1185900927</v>
      </c>
      <c r="B1700" s="35" t="s">
        <v>3890</v>
      </c>
      <c r="C1700" s="35">
        <v>2024</v>
      </c>
      <c r="D1700" s="36">
        <v>45633.046076388891</v>
      </c>
      <c r="E1700" s="37" t="s">
        <v>1690</v>
      </c>
      <c r="F1700" s="37" t="s">
        <v>4718</v>
      </c>
      <c r="G1700" s="37" t="s">
        <v>3945</v>
      </c>
      <c r="H1700" s="35" t="s">
        <v>3415</v>
      </c>
      <c r="I1700" s="35" t="s">
        <v>3416</v>
      </c>
      <c r="J1700" s="38">
        <v>0.19384615384615381</v>
      </c>
      <c r="K1700" s="35">
        <v>4</v>
      </c>
      <c r="L1700" s="38">
        <f t="shared" si="26"/>
        <v>0.77538461538461523</v>
      </c>
      <c r="M1700" s="35" t="s">
        <v>11</v>
      </c>
      <c r="N1700" s="38"/>
      <c r="O1700" s="35" t="s">
        <v>12</v>
      </c>
    </row>
    <row r="1701" spans="1:15" x14ac:dyDescent="0.25">
      <c r="A1701" s="35">
        <v>1185682918</v>
      </c>
      <c r="B1701" s="35" t="s">
        <v>3890</v>
      </c>
      <c r="C1701" s="35">
        <v>2024</v>
      </c>
      <c r="D1701" s="36">
        <v>45631.58390046296</v>
      </c>
      <c r="E1701" s="37" t="s">
        <v>1699</v>
      </c>
      <c r="F1701" s="37" t="s">
        <v>4722</v>
      </c>
      <c r="G1701" s="37" t="s">
        <v>4362</v>
      </c>
      <c r="H1701" s="35" t="s">
        <v>3419</v>
      </c>
      <c r="I1701" s="35" t="s">
        <v>3416</v>
      </c>
      <c r="J1701" s="38">
        <v>30.47</v>
      </c>
      <c r="K1701" s="35">
        <v>1</v>
      </c>
      <c r="L1701" s="38">
        <f t="shared" si="26"/>
        <v>30.47</v>
      </c>
      <c r="M1701" s="35" t="s">
        <v>11</v>
      </c>
      <c r="N1701" s="38"/>
      <c r="O1701" s="35" t="s">
        <v>12</v>
      </c>
    </row>
    <row r="1702" spans="1:15" x14ac:dyDescent="0.25">
      <c r="A1702" s="35">
        <v>1185656708</v>
      </c>
      <c r="B1702" s="35" t="s">
        <v>3890</v>
      </c>
      <c r="C1702" s="35">
        <v>2024</v>
      </c>
      <c r="D1702" s="36">
        <v>45631.440578703703</v>
      </c>
      <c r="E1702" s="37" t="s">
        <v>965</v>
      </c>
      <c r="F1702" s="37" t="s">
        <v>4744</v>
      </c>
      <c r="G1702" s="37" t="s">
        <v>4362</v>
      </c>
      <c r="H1702" s="35" t="s">
        <v>3419</v>
      </c>
      <c r="I1702" s="35" t="s">
        <v>3416</v>
      </c>
      <c r="J1702" s="38">
        <v>7.1752534562211983</v>
      </c>
      <c r="K1702" s="35">
        <v>1</v>
      </c>
      <c r="L1702" s="38">
        <f t="shared" si="26"/>
        <v>7.1752534562211983</v>
      </c>
      <c r="M1702" s="35" t="s">
        <v>11</v>
      </c>
      <c r="N1702" s="38"/>
      <c r="O1702" s="35" t="s">
        <v>12</v>
      </c>
    </row>
    <row r="1703" spans="1:15" x14ac:dyDescent="0.25">
      <c r="A1703" s="35">
        <v>1185656708</v>
      </c>
      <c r="B1703" s="35" t="s">
        <v>3890</v>
      </c>
      <c r="C1703" s="35">
        <v>2024</v>
      </c>
      <c r="D1703" s="36">
        <v>45631.440578703703</v>
      </c>
      <c r="E1703" s="37" t="s">
        <v>965</v>
      </c>
      <c r="F1703" s="37" t="s">
        <v>4745</v>
      </c>
      <c r="G1703" s="37" t="s">
        <v>4140</v>
      </c>
      <c r="H1703" s="35" t="s">
        <v>3419</v>
      </c>
      <c r="I1703" s="35" t="s">
        <v>3416</v>
      </c>
      <c r="J1703" s="38">
        <v>1.0568202764976959</v>
      </c>
      <c r="K1703" s="35">
        <v>2</v>
      </c>
      <c r="L1703" s="38">
        <f t="shared" si="26"/>
        <v>2.1136405529953919</v>
      </c>
      <c r="M1703" s="35" t="s">
        <v>11</v>
      </c>
      <c r="N1703" s="38"/>
      <c r="O1703" s="35" t="s">
        <v>12</v>
      </c>
    </row>
    <row r="1704" spans="1:15" x14ac:dyDescent="0.25">
      <c r="A1704" s="35">
        <v>1185656708</v>
      </c>
      <c r="B1704" s="35" t="s">
        <v>3890</v>
      </c>
      <c r="C1704" s="35">
        <v>2024</v>
      </c>
      <c r="D1704" s="36">
        <v>45631.440578703703</v>
      </c>
      <c r="E1704" s="37" t="s">
        <v>965</v>
      </c>
      <c r="F1704" s="37" t="s">
        <v>4746</v>
      </c>
      <c r="G1704" s="37" t="s">
        <v>4140</v>
      </c>
      <c r="H1704" s="35" t="s">
        <v>3419</v>
      </c>
      <c r="I1704" s="35" t="s">
        <v>3416</v>
      </c>
      <c r="J1704" s="38">
        <v>1.3905529953917051</v>
      </c>
      <c r="K1704" s="35">
        <v>2</v>
      </c>
      <c r="L1704" s="38">
        <f t="shared" si="26"/>
        <v>2.7811059907834101</v>
      </c>
      <c r="M1704" s="35" t="s">
        <v>11</v>
      </c>
      <c r="N1704" s="38"/>
      <c r="O1704" s="35" t="s">
        <v>12</v>
      </c>
    </row>
    <row r="1705" spans="1:15" x14ac:dyDescent="0.25">
      <c r="A1705" s="35">
        <v>1185656668</v>
      </c>
      <c r="B1705" s="35" t="s">
        <v>3890</v>
      </c>
      <c r="C1705" s="35">
        <v>2024</v>
      </c>
      <c r="D1705" s="36">
        <v>45631.440578703703</v>
      </c>
      <c r="E1705" s="37" t="s">
        <v>8</v>
      </c>
      <c r="F1705" s="37" t="s">
        <v>4744</v>
      </c>
      <c r="G1705" s="37" t="s">
        <v>4362</v>
      </c>
      <c r="H1705" s="35" t="s">
        <v>3419</v>
      </c>
      <c r="I1705" s="35" t="s">
        <v>3416</v>
      </c>
      <c r="J1705" s="38">
        <v>6.44</v>
      </c>
      <c r="K1705" s="35">
        <v>1</v>
      </c>
      <c r="L1705" s="38">
        <f t="shared" si="26"/>
        <v>6.44</v>
      </c>
      <c r="M1705" s="42" t="s">
        <v>11</v>
      </c>
      <c r="N1705" s="38"/>
      <c r="O1705" s="35" t="s">
        <v>12</v>
      </c>
    </row>
    <row r="1706" spans="1:15" x14ac:dyDescent="0.25">
      <c r="A1706" s="35">
        <v>1185364560</v>
      </c>
      <c r="B1706" s="35" t="s">
        <v>3890</v>
      </c>
      <c r="C1706" s="35">
        <v>2024</v>
      </c>
      <c r="D1706" s="36">
        <v>45629.52207175926</v>
      </c>
      <c r="E1706" s="37" t="s">
        <v>8</v>
      </c>
      <c r="F1706" s="37" t="s">
        <v>4722</v>
      </c>
      <c r="G1706" s="37" t="s">
        <v>4362</v>
      </c>
      <c r="H1706" s="35" t="s">
        <v>3419</v>
      </c>
      <c r="I1706" s="35" t="s">
        <v>3416</v>
      </c>
      <c r="J1706" s="38">
        <v>26.25</v>
      </c>
      <c r="K1706" s="35">
        <v>1</v>
      </c>
      <c r="L1706" s="38">
        <f t="shared" si="26"/>
        <v>26.25</v>
      </c>
      <c r="M1706" s="42" t="s">
        <v>11</v>
      </c>
      <c r="N1706" s="38"/>
      <c r="O1706" s="35" t="s">
        <v>12</v>
      </c>
    </row>
    <row r="1707" spans="1:15" x14ac:dyDescent="0.25">
      <c r="A1707" s="35">
        <v>1185221604</v>
      </c>
      <c r="B1707" s="35" t="s">
        <v>3890</v>
      </c>
      <c r="C1707" s="35">
        <v>2024</v>
      </c>
      <c r="D1707" s="36">
        <v>45628.590439814812</v>
      </c>
      <c r="E1707" s="37" t="s">
        <v>1705</v>
      </c>
      <c r="F1707" s="37" t="s">
        <v>4747</v>
      </c>
      <c r="G1707" s="37" t="s">
        <v>3723</v>
      </c>
      <c r="H1707" s="35" t="s">
        <v>3419</v>
      </c>
      <c r="I1707" s="35" t="s">
        <v>3416</v>
      </c>
      <c r="J1707" s="38">
        <v>39.685000000000002</v>
      </c>
      <c r="K1707" s="35">
        <v>2</v>
      </c>
      <c r="L1707" s="38">
        <f t="shared" si="26"/>
        <v>79.37</v>
      </c>
      <c r="M1707" s="35" t="s">
        <v>11</v>
      </c>
      <c r="N1707" s="38"/>
      <c r="O1707" s="35" t="s">
        <v>12</v>
      </c>
    </row>
    <row r="1708" spans="1:15" x14ac:dyDescent="0.25">
      <c r="A1708" s="35">
        <v>1185052001</v>
      </c>
      <c r="B1708" s="35" t="s">
        <v>3890</v>
      </c>
      <c r="C1708" s="35">
        <v>2024</v>
      </c>
      <c r="D1708" s="36">
        <v>45627.444849537038</v>
      </c>
      <c r="E1708" s="37" t="s">
        <v>294</v>
      </c>
      <c r="F1708" s="37" t="s">
        <v>3971</v>
      </c>
      <c r="G1708" s="37" t="s">
        <v>3770</v>
      </c>
      <c r="H1708" s="35" t="s">
        <v>3419</v>
      </c>
      <c r="I1708" s="35" t="s">
        <v>3416</v>
      </c>
      <c r="J1708" s="38">
        <v>7.3066666666666684</v>
      </c>
      <c r="K1708" s="35">
        <v>3</v>
      </c>
      <c r="L1708" s="38">
        <f t="shared" si="26"/>
        <v>21.920000000000005</v>
      </c>
      <c r="M1708" s="35" t="s">
        <v>11</v>
      </c>
      <c r="N1708" s="38"/>
      <c r="O1708" s="35" t="s">
        <v>12</v>
      </c>
    </row>
    <row r="1709" spans="1:15" x14ac:dyDescent="0.25">
      <c r="A1709" s="35">
        <v>1185046727</v>
      </c>
      <c r="B1709" s="35" t="s">
        <v>3890</v>
      </c>
      <c r="C1709" s="35">
        <v>2024</v>
      </c>
      <c r="D1709" s="36">
        <v>45627.416377314818</v>
      </c>
      <c r="E1709" s="37" t="s">
        <v>294</v>
      </c>
      <c r="F1709" s="37" t="s">
        <v>4748</v>
      </c>
      <c r="G1709" s="37" t="s">
        <v>3687</v>
      </c>
      <c r="H1709" s="35" t="s">
        <v>3415</v>
      </c>
      <c r="I1709" s="35" t="s">
        <v>3416</v>
      </c>
      <c r="J1709" s="38">
        <v>4.0549999999999997</v>
      </c>
      <c r="K1709" s="35">
        <v>4</v>
      </c>
      <c r="L1709" s="38">
        <f t="shared" si="26"/>
        <v>16.22</v>
      </c>
      <c r="M1709" s="35" t="s">
        <v>11</v>
      </c>
      <c r="N1709" s="38"/>
      <c r="O1709" s="35" t="s">
        <v>12</v>
      </c>
    </row>
    <row r="1710" spans="1:15" x14ac:dyDescent="0.25">
      <c r="A1710" s="35">
        <v>1185017848</v>
      </c>
      <c r="B1710" s="35" t="s">
        <v>3890</v>
      </c>
      <c r="C1710" s="35">
        <v>2024</v>
      </c>
      <c r="D1710" s="36">
        <v>45627.001875000002</v>
      </c>
      <c r="E1710" s="37" t="s">
        <v>187</v>
      </c>
      <c r="F1710" s="37" t="s">
        <v>4456</v>
      </c>
      <c r="G1710" s="37" t="s">
        <v>3729</v>
      </c>
      <c r="H1710" s="35" t="s">
        <v>3419</v>
      </c>
      <c r="I1710" s="35" t="s">
        <v>3416</v>
      </c>
      <c r="J1710" s="38">
        <v>3.51</v>
      </c>
      <c r="K1710" s="35">
        <v>2</v>
      </c>
      <c r="L1710" s="38">
        <f t="shared" si="26"/>
        <v>7.02</v>
      </c>
      <c r="M1710" s="35" t="s">
        <v>11</v>
      </c>
      <c r="N1710" s="38"/>
      <c r="O1710" s="35" t="s">
        <v>12</v>
      </c>
    </row>
    <row r="1711" spans="1:15" x14ac:dyDescent="0.25">
      <c r="A1711" s="35">
        <v>1184996827</v>
      </c>
      <c r="B1711" s="35" t="s">
        <v>3968</v>
      </c>
      <c r="C1711" s="35">
        <v>2024</v>
      </c>
      <c r="D1711" s="36">
        <v>45626.989768518521</v>
      </c>
      <c r="E1711" s="37" t="s">
        <v>1278</v>
      </c>
      <c r="F1711" s="37" t="s">
        <v>4749</v>
      </c>
      <c r="G1711" s="37" t="s">
        <v>4154</v>
      </c>
      <c r="H1711" s="35" t="s">
        <v>3419</v>
      </c>
      <c r="I1711" s="35" t="s">
        <v>3416</v>
      </c>
      <c r="J1711" s="38">
        <v>0.38769230769230772</v>
      </c>
      <c r="K1711" s="35">
        <v>1</v>
      </c>
      <c r="L1711" s="38">
        <f t="shared" si="26"/>
        <v>0.38769230769230772</v>
      </c>
      <c r="M1711" s="35" t="s">
        <v>11</v>
      </c>
      <c r="N1711" s="38"/>
      <c r="O1711" s="35" t="s">
        <v>12</v>
      </c>
    </row>
    <row r="1712" spans="1:15" x14ac:dyDescent="0.25">
      <c r="A1712" s="35">
        <v>1184996827</v>
      </c>
      <c r="B1712" s="35" t="s">
        <v>3968</v>
      </c>
      <c r="C1712" s="35">
        <v>2024</v>
      </c>
      <c r="D1712" s="36">
        <v>45626.989768518521</v>
      </c>
      <c r="E1712" s="37" t="s">
        <v>1278</v>
      </c>
      <c r="F1712" s="37" t="s">
        <v>4750</v>
      </c>
      <c r="G1712" s="37" t="s">
        <v>3718</v>
      </c>
      <c r="H1712" s="35" t="s">
        <v>3419</v>
      </c>
      <c r="I1712" s="35" t="s">
        <v>3416</v>
      </c>
      <c r="J1712" s="38">
        <v>0.29076923076923078</v>
      </c>
      <c r="K1712" s="35">
        <v>2</v>
      </c>
      <c r="L1712" s="38">
        <f t="shared" si="26"/>
        <v>0.58153846153846156</v>
      </c>
      <c r="M1712" s="35" t="s">
        <v>11</v>
      </c>
      <c r="N1712" s="38"/>
      <c r="O1712" s="35" t="s">
        <v>12</v>
      </c>
    </row>
    <row r="1713" spans="1:15" x14ac:dyDescent="0.25">
      <c r="A1713" s="35">
        <v>1184996827</v>
      </c>
      <c r="B1713" s="35" t="s">
        <v>3968</v>
      </c>
      <c r="C1713" s="35">
        <v>2024</v>
      </c>
      <c r="D1713" s="36">
        <v>45626.989768518521</v>
      </c>
      <c r="E1713" s="37" t="s">
        <v>1278</v>
      </c>
      <c r="F1713" s="37" t="s">
        <v>4751</v>
      </c>
      <c r="G1713" s="37" t="s">
        <v>4409</v>
      </c>
      <c r="H1713" s="35" t="s">
        <v>3419</v>
      </c>
      <c r="I1713" s="35" t="s">
        <v>3416</v>
      </c>
      <c r="J1713" s="38">
        <v>0.77538461538461534</v>
      </c>
      <c r="K1713" s="35">
        <v>2</v>
      </c>
      <c r="L1713" s="38">
        <f t="shared" si="26"/>
        <v>1.5507692307692307</v>
      </c>
      <c r="M1713" s="35" t="s">
        <v>11</v>
      </c>
      <c r="N1713" s="38"/>
      <c r="O1713" s="35" t="s">
        <v>12</v>
      </c>
    </row>
    <row r="1714" spans="1:15" x14ac:dyDescent="0.25">
      <c r="A1714" s="35">
        <v>1184996784</v>
      </c>
      <c r="B1714" s="35" t="s">
        <v>3968</v>
      </c>
      <c r="C1714" s="35">
        <v>2024</v>
      </c>
      <c r="D1714" s="36">
        <v>45626.989768518521</v>
      </c>
      <c r="E1714" s="37" t="s">
        <v>434</v>
      </c>
      <c r="F1714" s="37" t="s">
        <v>4752</v>
      </c>
      <c r="G1714" s="37" t="s">
        <v>4753</v>
      </c>
      <c r="H1714" s="35" t="s">
        <v>3419</v>
      </c>
      <c r="I1714" s="35" t="s">
        <v>3416</v>
      </c>
      <c r="J1714" s="38">
        <v>1.301288659793814</v>
      </c>
      <c r="K1714" s="35">
        <v>2</v>
      </c>
      <c r="L1714" s="38">
        <f t="shared" si="26"/>
        <v>2.6025773195876281</v>
      </c>
      <c r="M1714" s="35" t="s">
        <v>11</v>
      </c>
      <c r="N1714" s="38"/>
      <c r="O1714" s="35" t="s">
        <v>12</v>
      </c>
    </row>
    <row r="1715" spans="1:15" x14ac:dyDescent="0.25">
      <c r="A1715" s="35">
        <v>1184996784</v>
      </c>
      <c r="B1715" s="35" t="s">
        <v>3968</v>
      </c>
      <c r="C1715" s="35">
        <v>2024</v>
      </c>
      <c r="D1715" s="36">
        <v>45626.989768518521</v>
      </c>
      <c r="E1715" s="37" t="s">
        <v>434</v>
      </c>
      <c r="F1715" s="37" t="s">
        <v>3713</v>
      </c>
      <c r="G1715" s="37" t="s">
        <v>3714</v>
      </c>
      <c r="H1715" s="35" t="s">
        <v>3419</v>
      </c>
      <c r="I1715" s="35" t="s">
        <v>3416</v>
      </c>
      <c r="J1715" s="38">
        <v>1.248711340206186</v>
      </c>
      <c r="K1715" s="35">
        <v>2</v>
      </c>
      <c r="L1715" s="38">
        <f t="shared" si="26"/>
        <v>2.497422680412372</v>
      </c>
      <c r="M1715" s="35" t="s">
        <v>11</v>
      </c>
      <c r="N1715" s="38"/>
      <c r="O1715" s="35" t="s">
        <v>12</v>
      </c>
    </row>
    <row r="1716" spans="1:15" x14ac:dyDescent="0.25">
      <c r="A1716" s="35">
        <v>1184623875</v>
      </c>
      <c r="B1716" s="35" t="s">
        <v>3968</v>
      </c>
      <c r="C1716" s="35">
        <v>2024</v>
      </c>
      <c r="D1716" s="36">
        <v>45624.462175925917</v>
      </c>
      <c r="E1716" s="37" t="s">
        <v>35</v>
      </c>
      <c r="F1716" s="37" t="s">
        <v>4755</v>
      </c>
      <c r="G1716" s="37" t="s">
        <v>3714</v>
      </c>
      <c r="H1716" s="35" t="s">
        <v>3419</v>
      </c>
      <c r="I1716" s="35" t="s">
        <v>3416</v>
      </c>
      <c r="J1716" s="38">
        <v>0.26804597701149419</v>
      </c>
      <c r="K1716" s="35">
        <v>2</v>
      </c>
      <c r="L1716" s="38">
        <f t="shared" si="26"/>
        <v>0.53609195402298837</v>
      </c>
      <c r="M1716" s="35" t="s">
        <v>11</v>
      </c>
      <c r="N1716" s="38"/>
      <c r="O1716" s="35" t="s">
        <v>12</v>
      </c>
    </row>
    <row r="1717" spans="1:15" x14ac:dyDescent="0.25">
      <c r="A1717" s="35">
        <v>1184623875</v>
      </c>
      <c r="B1717" s="35" t="s">
        <v>3968</v>
      </c>
      <c r="C1717" s="35">
        <v>2024</v>
      </c>
      <c r="D1717" s="36">
        <v>45624.462175925917</v>
      </c>
      <c r="E1717" s="37" t="s">
        <v>35</v>
      </c>
      <c r="F1717" s="37" t="s">
        <v>4756</v>
      </c>
      <c r="G1717" s="37" t="s">
        <v>3687</v>
      </c>
      <c r="H1717" s="35" t="s">
        <v>3415</v>
      </c>
      <c r="I1717" s="35" t="s">
        <v>3453</v>
      </c>
      <c r="J1717" s="38">
        <v>2.7809770114942531</v>
      </c>
      <c r="K1717" s="35">
        <v>4</v>
      </c>
      <c r="L1717" s="38">
        <f t="shared" si="26"/>
        <v>11.123908045977013</v>
      </c>
      <c r="M1717" s="35" t="s">
        <v>11</v>
      </c>
      <c r="N1717" s="38"/>
      <c r="O1717" s="35" t="s">
        <v>12</v>
      </c>
    </row>
    <row r="1718" spans="1:15" x14ac:dyDescent="0.25">
      <c r="A1718" s="35">
        <v>1184518858</v>
      </c>
      <c r="B1718" s="35" t="s">
        <v>3968</v>
      </c>
      <c r="C1718" s="35">
        <v>2024</v>
      </c>
      <c r="D1718" s="36">
        <v>45623.652789351851</v>
      </c>
      <c r="E1718" s="37" t="s">
        <v>1716</v>
      </c>
      <c r="F1718" s="37" t="s">
        <v>4757</v>
      </c>
      <c r="G1718" s="37" t="s">
        <v>3907</v>
      </c>
      <c r="H1718" s="35" t="s">
        <v>3415</v>
      </c>
      <c r="I1718" s="35" t="s">
        <v>3416</v>
      </c>
      <c r="J1718" s="38">
        <v>0.31354166666666672</v>
      </c>
      <c r="K1718" s="35">
        <v>4</v>
      </c>
      <c r="L1718" s="38">
        <f t="shared" si="26"/>
        <v>1.2541666666666669</v>
      </c>
      <c r="M1718" s="35" t="s">
        <v>11</v>
      </c>
      <c r="N1718" s="38"/>
      <c r="O1718" s="35" t="s">
        <v>12</v>
      </c>
    </row>
    <row r="1719" spans="1:15" x14ac:dyDescent="0.25">
      <c r="A1719" s="35">
        <v>1184518858</v>
      </c>
      <c r="B1719" s="35" t="s">
        <v>3968</v>
      </c>
      <c r="C1719" s="35">
        <v>2024</v>
      </c>
      <c r="D1719" s="36">
        <v>45623.652789351851</v>
      </c>
      <c r="E1719" s="37" t="s">
        <v>1716</v>
      </c>
      <c r="F1719" s="37" t="s">
        <v>4758</v>
      </c>
      <c r="G1719" s="37" t="s">
        <v>4646</v>
      </c>
      <c r="H1719" s="35" t="s">
        <v>3415</v>
      </c>
      <c r="I1719" s="35" t="s">
        <v>3416</v>
      </c>
      <c r="J1719" s="38">
        <v>0.56437500000000007</v>
      </c>
      <c r="K1719" s="35">
        <v>4</v>
      </c>
      <c r="L1719" s="38">
        <f t="shared" si="26"/>
        <v>2.2575000000000003</v>
      </c>
      <c r="M1719" s="35" t="s">
        <v>11</v>
      </c>
      <c r="N1719" s="38"/>
      <c r="O1719" s="35" t="s">
        <v>12</v>
      </c>
    </row>
    <row r="1720" spans="1:15" x14ac:dyDescent="0.25">
      <c r="A1720" s="35">
        <v>1184518858</v>
      </c>
      <c r="B1720" s="35" t="s">
        <v>3968</v>
      </c>
      <c r="C1720" s="35">
        <v>2024</v>
      </c>
      <c r="D1720" s="36">
        <v>45623.652789351851</v>
      </c>
      <c r="E1720" s="37" t="s">
        <v>1716</v>
      </c>
      <c r="F1720" s="37" t="s">
        <v>4759</v>
      </c>
      <c r="G1720" s="37" t="s">
        <v>4273</v>
      </c>
      <c r="H1720" s="35" t="s">
        <v>3415</v>
      </c>
      <c r="I1720" s="35" t="s">
        <v>3416</v>
      </c>
      <c r="J1720" s="38">
        <v>0.31354166666666672</v>
      </c>
      <c r="K1720" s="35">
        <v>4</v>
      </c>
      <c r="L1720" s="38">
        <f t="shared" si="26"/>
        <v>1.2541666666666669</v>
      </c>
      <c r="M1720" s="35" t="s">
        <v>11</v>
      </c>
      <c r="N1720" s="38"/>
      <c r="O1720" s="35" t="s">
        <v>12</v>
      </c>
    </row>
    <row r="1721" spans="1:15" x14ac:dyDescent="0.25">
      <c r="A1721" s="35">
        <v>1184518858</v>
      </c>
      <c r="B1721" s="35" t="s">
        <v>3968</v>
      </c>
      <c r="C1721" s="35">
        <v>2024</v>
      </c>
      <c r="D1721" s="36">
        <v>45623.652789351851</v>
      </c>
      <c r="E1721" s="37" t="s">
        <v>1716</v>
      </c>
      <c r="F1721" s="37" t="s">
        <v>4760</v>
      </c>
      <c r="G1721" s="37" t="s">
        <v>4273</v>
      </c>
      <c r="H1721" s="35" t="s">
        <v>3419</v>
      </c>
      <c r="I1721" s="35" t="s">
        <v>3416</v>
      </c>
      <c r="J1721" s="38">
        <v>0.31354166666666672</v>
      </c>
      <c r="K1721" s="35">
        <v>2</v>
      </c>
      <c r="L1721" s="38">
        <f t="shared" si="26"/>
        <v>0.62708333333333344</v>
      </c>
      <c r="M1721" s="35" t="s">
        <v>11</v>
      </c>
      <c r="N1721" s="38"/>
      <c r="O1721" s="35" t="s">
        <v>12</v>
      </c>
    </row>
    <row r="1722" spans="1:15" x14ac:dyDescent="0.25">
      <c r="A1722" s="35">
        <v>1184518858</v>
      </c>
      <c r="B1722" s="35" t="s">
        <v>3968</v>
      </c>
      <c r="C1722" s="35">
        <v>2024</v>
      </c>
      <c r="D1722" s="36">
        <v>45623.652789351851</v>
      </c>
      <c r="E1722" s="37" t="s">
        <v>1716</v>
      </c>
      <c r="F1722" s="37" t="s">
        <v>4176</v>
      </c>
      <c r="G1722" s="37" t="s">
        <v>4761</v>
      </c>
      <c r="H1722" s="35" t="s">
        <v>3419</v>
      </c>
      <c r="I1722" s="35" t="s">
        <v>3416</v>
      </c>
      <c r="J1722" s="38">
        <v>0.31354166666666672</v>
      </c>
      <c r="K1722" s="35">
        <v>2</v>
      </c>
      <c r="L1722" s="38">
        <f t="shared" si="26"/>
        <v>0.62708333333333344</v>
      </c>
      <c r="M1722" s="35" t="s">
        <v>11</v>
      </c>
      <c r="N1722" s="38"/>
      <c r="O1722" s="35" t="s">
        <v>12</v>
      </c>
    </row>
    <row r="1723" spans="1:15" x14ac:dyDescent="0.25">
      <c r="A1723" s="35">
        <v>1184160765</v>
      </c>
      <c r="B1723" s="35" t="s">
        <v>3968</v>
      </c>
      <c r="C1723" s="35">
        <v>2024</v>
      </c>
      <c r="D1723" s="36">
        <v>45621.598576388889</v>
      </c>
      <c r="E1723" s="37" t="s">
        <v>181</v>
      </c>
      <c r="F1723" s="37" t="s">
        <v>4762</v>
      </c>
      <c r="G1723" s="37" t="s">
        <v>3755</v>
      </c>
      <c r="H1723" s="35" t="s">
        <v>3419</v>
      </c>
      <c r="I1723" s="35" t="s">
        <v>3640</v>
      </c>
      <c r="J1723" s="38">
        <v>0.73211105552776379</v>
      </c>
      <c r="K1723" s="35">
        <v>1</v>
      </c>
      <c r="L1723" s="38">
        <f t="shared" si="26"/>
        <v>0.73211105552776379</v>
      </c>
      <c r="M1723" s="35" t="s">
        <v>11</v>
      </c>
      <c r="N1723" s="38"/>
      <c r="O1723" s="35" t="s">
        <v>12</v>
      </c>
    </row>
    <row r="1724" spans="1:15" x14ac:dyDescent="0.25">
      <c r="A1724" s="35">
        <v>1184160765</v>
      </c>
      <c r="B1724" s="35" t="s">
        <v>3968</v>
      </c>
      <c r="C1724" s="35">
        <v>2024</v>
      </c>
      <c r="D1724" s="36">
        <v>45621.598576388889</v>
      </c>
      <c r="E1724" s="37" t="s">
        <v>181</v>
      </c>
      <c r="F1724" s="37" t="s">
        <v>4763</v>
      </c>
      <c r="G1724" s="37" t="s">
        <v>4392</v>
      </c>
      <c r="H1724" s="35" t="s">
        <v>3419</v>
      </c>
      <c r="I1724" s="35" t="s">
        <v>3416</v>
      </c>
      <c r="J1724" s="38">
        <v>8.3821410705352672</v>
      </c>
      <c r="K1724" s="35">
        <v>2</v>
      </c>
      <c r="L1724" s="38">
        <f t="shared" si="26"/>
        <v>16.764282141070534</v>
      </c>
      <c r="M1724" s="35" t="s">
        <v>11</v>
      </c>
      <c r="N1724" s="38"/>
      <c r="O1724" s="35" t="s">
        <v>12</v>
      </c>
    </row>
    <row r="1725" spans="1:15" x14ac:dyDescent="0.25">
      <c r="A1725" s="35">
        <v>1184160765</v>
      </c>
      <c r="B1725" s="35" t="s">
        <v>3968</v>
      </c>
      <c r="C1725" s="35">
        <v>2024</v>
      </c>
      <c r="D1725" s="36">
        <v>45621.598576388889</v>
      </c>
      <c r="E1725" s="37" t="s">
        <v>181</v>
      </c>
      <c r="F1725" s="37" t="s">
        <v>4764</v>
      </c>
      <c r="G1725" s="37" t="s">
        <v>4097</v>
      </c>
      <c r="H1725" s="35" t="s">
        <v>3419</v>
      </c>
      <c r="I1725" s="35" t="s">
        <v>3416</v>
      </c>
      <c r="J1725" s="38">
        <v>1.8568034017008499</v>
      </c>
      <c r="K1725" s="35">
        <v>2</v>
      </c>
      <c r="L1725" s="38">
        <f t="shared" si="26"/>
        <v>3.7136068034016998</v>
      </c>
      <c r="M1725" s="35" t="s">
        <v>11</v>
      </c>
      <c r="N1725" s="38"/>
      <c r="O1725" s="35" t="s">
        <v>12</v>
      </c>
    </row>
    <row r="1726" spans="1:15" x14ac:dyDescent="0.25">
      <c r="A1726" s="35">
        <v>1183899080</v>
      </c>
      <c r="B1726" s="35" t="s">
        <v>3968</v>
      </c>
      <c r="C1726" s="35">
        <v>2024</v>
      </c>
      <c r="D1726" s="36">
        <v>45619.499363425923</v>
      </c>
      <c r="E1726" s="37" t="s">
        <v>1032</v>
      </c>
      <c r="F1726" s="37" t="s">
        <v>4771</v>
      </c>
      <c r="G1726" s="37" t="s">
        <v>3751</v>
      </c>
      <c r="H1726" s="35" t="s">
        <v>3419</v>
      </c>
      <c r="I1726" s="35" t="s">
        <v>3416</v>
      </c>
      <c r="J1726" s="38">
        <v>0.92005747126436777</v>
      </c>
      <c r="K1726" s="35">
        <v>2</v>
      </c>
      <c r="L1726" s="38">
        <f t="shared" si="26"/>
        <v>1.8401149425287355</v>
      </c>
      <c r="M1726" s="35" t="s">
        <v>11</v>
      </c>
      <c r="N1726" s="38"/>
      <c r="O1726" s="35" t="s">
        <v>12</v>
      </c>
    </row>
    <row r="1727" spans="1:15" x14ac:dyDescent="0.25">
      <c r="A1727" s="35">
        <v>1183899080</v>
      </c>
      <c r="B1727" s="35" t="s">
        <v>3968</v>
      </c>
      <c r="C1727" s="35">
        <v>2024</v>
      </c>
      <c r="D1727" s="36">
        <v>45619.499363425923</v>
      </c>
      <c r="E1727" s="37" t="s">
        <v>1032</v>
      </c>
      <c r="F1727" s="37" t="s">
        <v>4479</v>
      </c>
      <c r="G1727" s="37" t="s">
        <v>4480</v>
      </c>
      <c r="H1727" s="35" t="s">
        <v>3419</v>
      </c>
      <c r="I1727" s="35" t="s">
        <v>3416</v>
      </c>
      <c r="J1727" s="38">
        <v>10.514942528735631</v>
      </c>
      <c r="K1727" s="35">
        <v>1</v>
      </c>
      <c r="L1727" s="38">
        <f t="shared" si="26"/>
        <v>10.514942528735631</v>
      </c>
      <c r="M1727" s="35" t="s">
        <v>11</v>
      </c>
      <c r="N1727" s="38"/>
      <c r="O1727" s="35" t="s">
        <v>12</v>
      </c>
    </row>
    <row r="1728" spans="1:15" x14ac:dyDescent="0.25">
      <c r="A1728" s="35">
        <v>1183899080</v>
      </c>
      <c r="B1728" s="35" t="s">
        <v>3968</v>
      </c>
      <c r="C1728" s="35">
        <v>2024</v>
      </c>
      <c r="D1728" s="36">
        <v>45619.499363425923</v>
      </c>
      <c r="E1728" s="37" t="s">
        <v>1032</v>
      </c>
      <c r="F1728" s="37" t="s">
        <v>4546</v>
      </c>
      <c r="G1728" s="37" t="s">
        <v>3879</v>
      </c>
      <c r="H1728" s="35" t="s">
        <v>3415</v>
      </c>
      <c r="I1728" s="35" t="s">
        <v>3416</v>
      </c>
      <c r="J1728" s="38">
        <v>2.6287356321839082</v>
      </c>
      <c r="K1728" s="35">
        <v>4</v>
      </c>
      <c r="L1728" s="38">
        <f t="shared" si="26"/>
        <v>10.514942528735633</v>
      </c>
      <c r="M1728" s="35" t="s">
        <v>11</v>
      </c>
      <c r="N1728" s="38"/>
      <c r="O1728" s="35" t="s">
        <v>12</v>
      </c>
    </row>
    <row r="1729" spans="1:15" x14ac:dyDescent="0.25">
      <c r="A1729" s="35">
        <v>1183898242</v>
      </c>
      <c r="B1729" s="35" t="s">
        <v>3968</v>
      </c>
      <c r="C1729" s="35">
        <v>2024</v>
      </c>
      <c r="D1729" s="36">
        <v>45619.499363425923</v>
      </c>
      <c r="E1729" s="37" t="s">
        <v>294</v>
      </c>
      <c r="F1729" s="37" t="s">
        <v>4772</v>
      </c>
      <c r="G1729" s="37" t="s">
        <v>3945</v>
      </c>
      <c r="H1729" s="35" t="s">
        <v>3419</v>
      </c>
      <c r="I1729" s="35" t="s">
        <v>3416</v>
      </c>
      <c r="J1729" s="38">
        <v>0.99067941764202105</v>
      </c>
      <c r="K1729" s="35">
        <v>3</v>
      </c>
      <c r="L1729" s="38">
        <f t="shared" si="26"/>
        <v>2.9720382529260632</v>
      </c>
      <c r="M1729" s="35" t="s">
        <v>11</v>
      </c>
      <c r="N1729" s="38"/>
      <c r="O1729" s="35" t="s">
        <v>12</v>
      </c>
    </row>
    <row r="1730" spans="1:15" x14ac:dyDescent="0.25">
      <c r="A1730" s="35">
        <v>1183898242</v>
      </c>
      <c r="B1730" s="35" t="s">
        <v>3968</v>
      </c>
      <c r="C1730" s="35">
        <v>2024</v>
      </c>
      <c r="D1730" s="36">
        <v>45619.499363425923</v>
      </c>
      <c r="E1730" s="37" t="s">
        <v>294</v>
      </c>
      <c r="F1730" s="37" t="s">
        <v>4773</v>
      </c>
      <c r="G1730" s="37" t="s">
        <v>3945</v>
      </c>
      <c r="H1730" s="35" t="s">
        <v>3415</v>
      </c>
      <c r="I1730" s="35" t="s">
        <v>3416</v>
      </c>
      <c r="J1730" s="38">
        <v>0.36498715386811298</v>
      </c>
      <c r="K1730" s="35">
        <v>4</v>
      </c>
      <c r="L1730" s="38">
        <f t="shared" ref="L1730:L1793" si="27">J1730*K1730</f>
        <v>1.4599486154724519</v>
      </c>
      <c r="M1730" s="35" t="s">
        <v>11</v>
      </c>
      <c r="N1730" s="38"/>
      <c r="O1730" s="35" t="s">
        <v>12</v>
      </c>
    </row>
    <row r="1731" spans="1:15" x14ac:dyDescent="0.25">
      <c r="A1731" s="35">
        <v>1183898242</v>
      </c>
      <c r="B1731" s="35" t="s">
        <v>3968</v>
      </c>
      <c r="C1731" s="35">
        <v>2024</v>
      </c>
      <c r="D1731" s="36">
        <v>45619.499363425923</v>
      </c>
      <c r="E1731" s="37" t="s">
        <v>294</v>
      </c>
      <c r="F1731" s="37" t="s">
        <v>3750</v>
      </c>
      <c r="G1731" s="37" t="s">
        <v>3751</v>
      </c>
      <c r="H1731" s="35" t="s">
        <v>3419</v>
      </c>
      <c r="I1731" s="35" t="s">
        <v>3416</v>
      </c>
      <c r="J1731" s="38">
        <v>8.2904224950042824</v>
      </c>
      <c r="K1731" s="35">
        <v>2</v>
      </c>
      <c r="L1731" s="38">
        <f t="shared" si="27"/>
        <v>16.580844990008565</v>
      </c>
      <c r="M1731" s="35" t="s">
        <v>11</v>
      </c>
      <c r="N1731" s="38"/>
      <c r="O1731" s="35" t="s">
        <v>12</v>
      </c>
    </row>
    <row r="1732" spans="1:15" x14ac:dyDescent="0.25">
      <c r="A1732" s="35">
        <v>1183898242</v>
      </c>
      <c r="B1732" s="35" t="s">
        <v>3968</v>
      </c>
      <c r="C1732" s="35">
        <v>2024</v>
      </c>
      <c r="D1732" s="36">
        <v>45619.499363425923</v>
      </c>
      <c r="E1732" s="37" t="s">
        <v>294</v>
      </c>
      <c r="F1732" s="37" t="s">
        <v>4770</v>
      </c>
      <c r="G1732" s="37" t="s">
        <v>3687</v>
      </c>
      <c r="H1732" s="35" t="s">
        <v>3419</v>
      </c>
      <c r="I1732" s="35" t="s">
        <v>3416</v>
      </c>
      <c r="J1732" s="38">
        <v>8.2904224950042824</v>
      </c>
      <c r="K1732" s="35">
        <v>3</v>
      </c>
      <c r="L1732" s="38">
        <f t="shared" si="27"/>
        <v>24.871267485012847</v>
      </c>
      <c r="M1732" s="35" t="s">
        <v>11</v>
      </c>
      <c r="N1732" s="38"/>
      <c r="O1732" s="35" t="s">
        <v>12</v>
      </c>
    </row>
    <row r="1733" spans="1:15" x14ac:dyDescent="0.25">
      <c r="A1733" s="35">
        <v>1183898242</v>
      </c>
      <c r="B1733" s="35" t="s">
        <v>3968</v>
      </c>
      <c r="C1733" s="35">
        <v>2024</v>
      </c>
      <c r="D1733" s="36">
        <v>45619.499363425923</v>
      </c>
      <c r="E1733" s="37" t="s">
        <v>294</v>
      </c>
      <c r="F1733" s="37" t="s">
        <v>4768</v>
      </c>
      <c r="G1733" s="37" t="s">
        <v>4140</v>
      </c>
      <c r="H1733" s="35" t="s">
        <v>3419</v>
      </c>
      <c r="I1733" s="35" t="s">
        <v>3416</v>
      </c>
      <c r="J1733" s="38">
        <v>3.3891664287753351</v>
      </c>
      <c r="K1733" s="35">
        <v>3</v>
      </c>
      <c r="L1733" s="38">
        <f t="shared" si="27"/>
        <v>10.167499286326006</v>
      </c>
      <c r="M1733" s="35" t="s">
        <v>11</v>
      </c>
      <c r="N1733" s="38"/>
      <c r="O1733" s="35" t="s">
        <v>12</v>
      </c>
    </row>
    <row r="1734" spans="1:15" x14ac:dyDescent="0.25">
      <c r="A1734" s="35">
        <v>1183898242</v>
      </c>
      <c r="B1734" s="35" t="s">
        <v>3968</v>
      </c>
      <c r="C1734" s="35">
        <v>2024</v>
      </c>
      <c r="D1734" s="36">
        <v>45619.499363425923</v>
      </c>
      <c r="E1734" s="37" t="s">
        <v>294</v>
      </c>
      <c r="F1734" s="37" t="s">
        <v>3964</v>
      </c>
      <c r="G1734" s="37" t="s">
        <v>3770</v>
      </c>
      <c r="H1734" s="35" t="s">
        <v>3415</v>
      </c>
      <c r="I1734" s="35" t="s">
        <v>3416</v>
      </c>
      <c r="J1734" s="38">
        <v>5.1619611761347421</v>
      </c>
      <c r="K1734" s="35">
        <v>4</v>
      </c>
      <c r="L1734" s="38">
        <f t="shared" si="27"/>
        <v>20.647844704538969</v>
      </c>
      <c r="M1734" s="35" t="s">
        <v>11</v>
      </c>
      <c r="N1734" s="38"/>
      <c r="O1734" s="35" t="s">
        <v>12</v>
      </c>
    </row>
    <row r="1735" spans="1:15" x14ac:dyDescent="0.25">
      <c r="A1735" s="35">
        <v>1183898242</v>
      </c>
      <c r="B1735" s="35" t="s">
        <v>3968</v>
      </c>
      <c r="C1735" s="35">
        <v>2024</v>
      </c>
      <c r="D1735" s="36">
        <v>45619.499363425923</v>
      </c>
      <c r="E1735" s="37" t="s">
        <v>294</v>
      </c>
      <c r="F1735" s="37" t="s">
        <v>3957</v>
      </c>
      <c r="G1735" s="37" t="s">
        <v>3687</v>
      </c>
      <c r="H1735" s="35" t="s">
        <v>3419</v>
      </c>
      <c r="I1735" s="35" t="s">
        <v>3416</v>
      </c>
      <c r="J1735" s="38">
        <v>2.033499857265201</v>
      </c>
      <c r="K1735" s="35">
        <v>2</v>
      </c>
      <c r="L1735" s="38">
        <f t="shared" si="27"/>
        <v>4.066999714530402</v>
      </c>
      <c r="M1735" s="35" t="s">
        <v>11</v>
      </c>
      <c r="N1735" s="38"/>
      <c r="O1735" s="35" t="s">
        <v>12</v>
      </c>
    </row>
    <row r="1736" spans="1:15" x14ac:dyDescent="0.25">
      <c r="A1736" s="35">
        <v>1183898242</v>
      </c>
      <c r="B1736" s="35" t="s">
        <v>3968</v>
      </c>
      <c r="C1736" s="35">
        <v>2024</v>
      </c>
      <c r="D1736" s="36">
        <v>45619.499363425923</v>
      </c>
      <c r="E1736" s="37" t="s">
        <v>294</v>
      </c>
      <c r="F1736" s="37" t="s">
        <v>4623</v>
      </c>
      <c r="G1736" s="37" t="s">
        <v>3687</v>
      </c>
      <c r="H1736" s="35" t="s">
        <v>3419</v>
      </c>
      <c r="I1736" s="35" t="s">
        <v>3416</v>
      </c>
      <c r="J1736" s="38">
        <v>4.9012560662289468</v>
      </c>
      <c r="K1736" s="35">
        <v>3</v>
      </c>
      <c r="L1736" s="38">
        <f t="shared" si="27"/>
        <v>14.703768198686841</v>
      </c>
      <c r="M1736" s="35" t="s">
        <v>11</v>
      </c>
      <c r="N1736" s="38"/>
      <c r="O1736" s="35" t="s">
        <v>12</v>
      </c>
    </row>
    <row r="1737" spans="1:15" x14ac:dyDescent="0.25">
      <c r="A1737" s="35">
        <v>1183898242</v>
      </c>
      <c r="B1737" s="35" t="s">
        <v>3968</v>
      </c>
      <c r="C1737" s="35">
        <v>2024</v>
      </c>
      <c r="D1737" s="36">
        <v>45619.499363425923</v>
      </c>
      <c r="E1737" s="37" t="s">
        <v>294</v>
      </c>
      <c r="F1737" s="37" t="s">
        <v>4580</v>
      </c>
      <c r="G1737" s="37" t="s">
        <v>3687</v>
      </c>
      <c r="H1737" s="35" t="s">
        <v>3415</v>
      </c>
      <c r="I1737" s="35" t="s">
        <v>3416</v>
      </c>
      <c r="J1737" s="38">
        <v>18.718626891236081</v>
      </c>
      <c r="K1737" s="35">
        <v>4</v>
      </c>
      <c r="L1737" s="38">
        <f t="shared" si="27"/>
        <v>74.874507564944324</v>
      </c>
      <c r="M1737" s="35" t="s">
        <v>11</v>
      </c>
      <c r="N1737" s="38"/>
      <c r="O1737" s="35" t="s">
        <v>12</v>
      </c>
    </row>
    <row r="1738" spans="1:15" x14ac:dyDescent="0.25">
      <c r="A1738" s="35">
        <v>1183898242</v>
      </c>
      <c r="B1738" s="35" t="s">
        <v>3968</v>
      </c>
      <c r="C1738" s="35">
        <v>2024</v>
      </c>
      <c r="D1738" s="36">
        <v>45619.499363425923</v>
      </c>
      <c r="E1738" s="37" t="s">
        <v>294</v>
      </c>
      <c r="F1738" s="37" t="s">
        <v>4272</v>
      </c>
      <c r="G1738" s="37" t="s">
        <v>4273</v>
      </c>
      <c r="H1738" s="35" t="s">
        <v>3415</v>
      </c>
      <c r="I1738" s="35" t="s">
        <v>3416</v>
      </c>
      <c r="J1738" s="38">
        <v>3.0763202968883809</v>
      </c>
      <c r="K1738" s="35">
        <v>4</v>
      </c>
      <c r="L1738" s="38">
        <f t="shared" si="27"/>
        <v>12.305281187553524</v>
      </c>
      <c r="M1738" s="35" t="s">
        <v>11</v>
      </c>
      <c r="N1738" s="38"/>
      <c r="O1738" s="35" t="s">
        <v>12</v>
      </c>
    </row>
    <row r="1739" spans="1:15" x14ac:dyDescent="0.25">
      <c r="A1739" s="35">
        <v>1183897966</v>
      </c>
      <c r="B1739" s="35" t="s">
        <v>3968</v>
      </c>
      <c r="C1739" s="35">
        <v>2024</v>
      </c>
      <c r="D1739" s="36">
        <v>45619.499363425923</v>
      </c>
      <c r="E1739" s="37" t="s">
        <v>1726</v>
      </c>
      <c r="F1739" s="37" t="s">
        <v>4479</v>
      </c>
      <c r="G1739" s="37" t="s">
        <v>4480</v>
      </c>
      <c r="H1739" s="35" t="s">
        <v>3419</v>
      </c>
      <c r="I1739" s="35" t="s">
        <v>3416</v>
      </c>
      <c r="J1739" s="38">
        <v>7.8233333333333333</v>
      </c>
      <c r="K1739" s="35">
        <v>3</v>
      </c>
      <c r="L1739" s="38">
        <f t="shared" si="27"/>
        <v>23.47</v>
      </c>
      <c r="M1739" s="35" t="s">
        <v>11</v>
      </c>
      <c r="N1739" s="38"/>
      <c r="O1739" s="35" t="s">
        <v>12</v>
      </c>
    </row>
    <row r="1740" spans="1:15" x14ac:dyDescent="0.25">
      <c r="A1740" s="35">
        <v>1182455939</v>
      </c>
      <c r="B1740" s="35" t="s">
        <v>3968</v>
      </c>
      <c r="C1740" s="35">
        <v>2024</v>
      </c>
      <c r="D1740" s="36">
        <v>45609.675300925926</v>
      </c>
      <c r="E1740" s="37" t="s">
        <v>1733</v>
      </c>
      <c r="F1740" s="37" t="s">
        <v>4774</v>
      </c>
      <c r="G1740" s="37" t="s">
        <v>3455</v>
      </c>
      <c r="H1740" s="35" t="s">
        <v>3419</v>
      </c>
      <c r="I1740" s="35" t="s">
        <v>3416</v>
      </c>
      <c r="J1740" s="38">
        <v>26.17</v>
      </c>
      <c r="K1740" s="35">
        <v>1</v>
      </c>
      <c r="L1740" s="38">
        <f t="shared" si="27"/>
        <v>26.17</v>
      </c>
      <c r="M1740" s="35" t="s">
        <v>11</v>
      </c>
      <c r="N1740" s="38"/>
      <c r="O1740" s="35" t="s">
        <v>12</v>
      </c>
    </row>
    <row r="1741" spans="1:15" ht="30" x14ac:dyDescent="0.25">
      <c r="A1741" s="35">
        <v>1182408312</v>
      </c>
      <c r="B1741" s="35" t="s">
        <v>3968</v>
      </c>
      <c r="C1741" s="35">
        <v>2024</v>
      </c>
      <c r="D1741" s="36">
        <v>45609.675300925926</v>
      </c>
      <c r="E1741" s="37" t="s">
        <v>1736</v>
      </c>
      <c r="F1741" s="37" t="s">
        <v>4775</v>
      </c>
      <c r="G1741" s="37" t="s">
        <v>3678</v>
      </c>
      <c r="H1741" s="35" t="s">
        <v>3419</v>
      </c>
      <c r="I1741" s="35" t="s">
        <v>3416</v>
      </c>
      <c r="J1741" s="38">
        <v>37</v>
      </c>
      <c r="K1741" s="35">
        <v>1</v>
      </c>
      <c r="L1741" s="38">
        <f t="shared" si="27"/>
        <v>37</v>
      </c>
      <c r="M1741" s="35" t="s">
        <v>11</v>
      </c>
      <c r="N1741" s="38"/>
      <c r="O1741" s="35" t="s">
        <v>12</v>
      </c>
    </row>
    <row r="1742" spans="1:15" ht="30" x14ac:dyDescent="0.25">
      <c r="A1742" s="35">
        <v>1182408288</v>
      </c>
      <c r="B1742" s="35" t="s">
        <v>3968</v>
      </c>
      <c r="C1742" s="35">
        <v>2024</v>
      </c>
      <c r="D1742" s="36">
        <v>45609.675300925926</v>
      </c>
      <c r="E1742" s="37" t="s">
        <v>1738</v>
      </c>
      <c r="F1742" s="37" t="s">
        <v>4775</v>
      </c>
      <c r="G1742" s="37" t="s">
        <v>3678</v>
      </c>
      <c r="H1742" s="35" t="s">
        <v>3419</v>
      </c>
      <c r="I1742" s="35" t="s">
        <v>3416</v>
      </c>
      <c r="J1742" s="38">
        <v>35.47</v>
      </c>
      <c r="K1742" s="35">
        <v>1</v>
      </c>
      <c r="L1742" s="38">
        <f t="shared" si="27"/>
        <v>35.47</v>
      </c>
      <c r="M1742" s="35" t="s">
        <v>11</v>
      </c>
      <c r="N1742" s="38"/>
      <c r="O1742" s="35" t="s">
        <v>12</v>
      </c>
    </row>
    <row r="1743" spans="1:15" ht="30" x14ac:dyDescent="0.25">
      <c r="A1743" s="35">
        <v>1182408279</v>
      </c>
      <c r="B1743" s="35" t="s">
        <v>3968</v>
      </c>
      <c r="C1743" s="35">
        <v>2024</v>
      </c>
      <c r="D1743" s="36">
        <v>45609.675300925926</v>
      </c>
      <c r="E1743" s="37" t="s">
        <v>1740</v>
      </c>
      <c r="F1743" s="37" t="s">
        <v>4775</v>
      </c>
      <c r="G1743" s="37" t="s">
        <v>3678</v>
      </c>
      <c r="H1743" s="35" t="s">
        <v>3419</v>
      </c>
      <c r="I1743" s="35" t="s">
        <v>3416</v>
      </c>
      <c r="J1743" s="38">
        <v>29.75741573033708</v>
      </c>
      <c r="K1743" s="35">
        <v>1</v>
      </c>
      <c r="L1743" s="38">
        <f t="shared" si="27"/>
        <v>29.75741573033708</v>
      </c>
      <c r="M1743" s="35" t="s">
        <v>11</v>
      </c>
      <c r="N1743" s="38"/>
      <c r="O1743" s="35" t="s">
        <v>12</v>
      </c>
    </row>
    <row r="1744" spans="1:15" x14ac:dyDescent="0.25">
      <c r="A1744" s="35">
        <v>1182408279</v>
      </c>
      <c r="B1744" s="35" t="s">
        <v>3968</v>
      </c>
      <c r="C1744" s="35">
        <v>2024</v>
      </c>
      <c r="D1744" s="36">
        <v>45609.675300925926</v>
      </c>
      <c r="E1744" s="37" t="s">
        <v>1740</v>
      </c>
      <c r="F1744" s="37" t="s">
        <v>4774</v>
      </c>
      <c r="G1744" s="37" t="s">
        <v>3455</v>
      </c>
      <c r="H1744" s="35" t="s">
        <v>3419</v>
      </c>
      <c r="I1744" s="35" t="s">
        <v>3416</v>
      </c>
      <c r="J1744" s="38">
        <v>20.212584269662919</v>
      </c>
      <c r="K1744" s="35">
        <v>1</v>
      </c>
      <c r="L1744" s="38">
        <f t="shared" si="27"/>
        <v>20.212584269662919</v>
      </c>
      <c r="M1744" s="35" t="s">
        <v>11</v>
      </c>
      <c r="N1744" s="38"/>
      <c r="O1744" s="35" t="s">
        <v>12</v>
      </c>
    </row>
    <row r="1745" spans="1:15" x14ac:dyDescent="0.25">
      <c r="A1745" s="35">
        <v>1181529179</v>
      </c>
      <c r="B1745" s="35" t="s">
        <v>3968</v>
      </c>
      <c r="C1745" s="35">
        <v>2024</v>
      </c>
      <c r="D1745" s="36">
        <v>45603.517824074072</v>
      </c>
      <c r="E1745" s="37" t="s">
        <v>1745</v>
      </c>
      <c r="F1745" s="37" t="s">
        <v>4741</v>
      </c>
      <c r="G1745" s="37" t="s">
        <v>3788</v>
      </c>
      <c r="H1745" s="35" t="s">
        <v>3415</v>
      </c>
      <c r="I1745" s="35" t="s">
        <v>3416</v>
      </c>
      <c r="J1745" s="38">
        <v>31.267499999999998</v>
      </c>
      <c r="K1745" s="35">
        <v>4</v>
      </c>
      <c r="L1745" s="38">
        <f t="shared" si="27"/>
        <v>125.07</v>
      </c>
      <c r="M1745" s="35" t="s">
        <v>11</v>
      </c>
      <c r="N1745" s="38"/>
      <c r="O1745" s="35" t="s">
        <v>12</v>
      </c>
    </row>
    <row r="1746" spans="1:15" x14ac:dyDescent="0.25">
      <c r="A1746" s="35">
        <v>1180954783</v>
      </c>
      <c r="B1746" s="35" t="s">
        <v>3968</v>
      </c>
      <c r="C1746" s="35">
        <v>2024</v>
      </c>
      <c r="D1746" s="36">
        <v>45599.002453703702</v>
      </c>
      <c r="E1746" s="37" t="s">
        <v>1748</v>
      </c>
      <c r="F1746" s="37" t="s">
        <v>4777</v>
      </c>
      <c r="G1746" s="37" t="s">
        <v>4362</v>
      </c>
      <c r="H1746" s="35" t="s">
        <v>3415</v>
      </c>
      <c r="I1746" s="35" t="s">
        <v>4226</v>
      </c>
      <c r="J1746" s="38">
        <v>8.4674999999999994</v>
      </c>
      <c r="K1746" s="35">
        <v>4</v>
      </c>
      <c r="L1746" s="38">
        <f t="shared" si="27"/>
        <v>33.869999999999997</v>
      </c>
      <c r="M1746" s="35" t="s">
        <v>11</v>
      </c>
      <c r="N1746" s="38"/>
      <c r="O1746" s="35" t="s">
        <v>12</v>
      </c>
    </row>
    <row r="1747" spans="1:15" ht="30" x14ac:dyDescent="0.25">
      <c r="A1747" s="35">
        <v>1180487502</v>
      </c>
      <c r="B1747" s="35" t="s">
        <v>4070</v>
      </c>
      <c r="C1747" s="35">
        <v>2024</v>
      </c>
      <c r="D1747" s="36">
        <v>45595.430648148147</v>
      </c>
      <c r="E1747" s="37" t="s">
        <v>8</v>
      </c>
      <c r="F1747" s="37" t="s">
        <v>4775</v>
      </c>
      <c r="G1747" s="37" t="s">
        <v>3678</v>
      </c>
      <c r="H1747" s="35" t="s">
        <v>3419</v>
      </c>
      <c r="I1747" s="35" t="s">
        <v>3416</v>
      </c>
      <c r="J1747" s="38">
        <v>34</v>
      </c>
      <c r="K1747" s="35">
        <v>1</v>
      </c>
      <c r="L1747" s="38">
        <f t="shared" si="27"/>
        <v>34</v>
      </c>
      <c r="M1747" s="42" t="s">
        <v>11</v>
      </c>
      <c r="N1747" s="38"/>
      <c r="O1747" s="35" t="s">
        <v>12</v>
      </c>
    </row>
    <row r="1748" spans="1:15" x14ac:dyDescent="0.25">
      <c r="A1748" s="35">
        <v>1180379545</v>
      </c>
      <c r="B1748" s="35" t="s">
        <v>4070</v>
      </c>
      <c r="C1748" s="35">
        <v>2024</v>
      </c>
      <c r="D1748" s="36">
        <v>45594.66202546296</v>
      </c>
      <c r="E1748" s="37" t="s">
        <v>8</v>
      </c>
      <c r="F1748" s="37" t="s">
        <v>4780</v>
      </c>
      <c r="G1748" s="37" t="s">
        <v>3945</v>
      </c>
      <c r="H1748" s="35" t="s">
        <v>3415</v>
      </c>
      <c r="I1748" s="35" t="s">
        <v>3416</v>
      </c>
      <c r="J1748" s="38">
        <v>0.2</v>
      </c>
      <c r="K1748" s="35">
        <v>4</v>
      </c>
      <c r="L1748" s="38">
        <f t="shared" si="27"/>
        <v>0.8</v>
      </c>
      <c r="M1748" s="42" t="s">
        <v>11</v>
      </c>
      <c r="N1748" s="38"/>
      <c r="O1748" s="35" t="s">
        <v>12</v>
      </c>
    </row>
    <row r="1749" spans="1:15" x14ac:dyDescent="0.25">
      <c r="A1749" s="35">
        <v>1180379545</v>
      </c>
      <c r="B1749" s="35" t="s">
        <v>4070</v>
      </c>
      <c r="C1749" s="35">
        <v>2024</v>
      </c>
      <c r="D1749" s="36">
        <v>45594.66202546296</v>
      </c>
      <c r="E1749" s="37" t="s">
        <v>8</v>
      </c>
      <c r="F1749" s="37" t="s">
        <v>4781</v>
      </c>
      <c r="G1749" s="37" t="s">
        <v>3879</v>
      </c>
      <c r="H1749" s="35" t="s">
        <v>3419</v>
      </c>
      <c r="I1749" s="35" t="s">
        <v>3416</v>
      </c>
      <c r="J1749" s="38">
        <v>0.4</v>
      </c>
      <c r="K1749" s="35">
        <v>1</v>
      </c>
      <c r="L1749" s="38">
        <f t="shared" si="27"/>
        <v>0.4</v>
      </c>
      <c r="M1749" s="42" t="s">
        <v>11</v>
      </c>
      <c r="N1749" s="38"/>
      <c r="O1749" s="35" t="s">
        <v>12</v>
      </c>
    </row>
    <row r="1750" spans="1:15" x14ac:dyDescent="0.25">
      <c r="A1750" s="35">
        <v>1180379545</v>
      </c>
      <c r="B1750" s="35" t="s">
        <v>4070</v>
      </c>
      <c r="C1750" s="35">
        <v>2024</v>
      </c>
      <c r="D1750" s="36">
        <v>45594.66202546296</v>
      </c>
      <c r="E1750" s="37" t="s">
        <v>8</v>
      </c>
      <c r="F1750" s="37" t="s">
        <v>4782</v>
      </c>
      <c r="G1750" s="37" t="s">
        <v>3687</v>
      </c>
      <c r="H1750" s="35" t="s">
        <v>3415</v>
      </c>
      <c r="I1750" s="35" t="s">
        <v>3416</v>
      </c>
      <c r="J1750" s="38">
        <v>0.1</v>
      </c>
      <c r="K1750" s="35">
        <v>4</v>
      </c>
      <c r="L1750" s="38">
        <f t="shared" si="27"/>
        <v>0.4</v>
      </c>
      <c r="M1750" s="42" t="s">
        <v>11</v>
      </c>
      <c r="N1750" s="38"/>
      <c r="O1750" s="35" t="s">
        <v>12</v>
      </c>
    </row>
    <row r="1751" spans="1:15" x14ac:dyDescent="0.25">
      <c r="A1751" s="35">
        <v>1179942773</v>
      </c>
      <c r="B1751" s="35" t="s">
        <v>4070</v>
      </c>
      <c r="C1751" s="35">
        <v>2024</v>
      </c>
      <c r="D1751" s="36">
        <v>45591.477048611108</v>
      </c>
      <c r="E1751" s="37" t="s">
        <v>1758</v>
      </c>
      <c r="F1751" s="37" t="s">
        <v>4715</v>
      </c>
      <c r="G1751" s="37" t="s">
        <v>3687</v>
      </c>
      <c r="H1751" s="35" t="s">
        <v>3415</v>
      </c>
      <c r="I1751" s="35" t="s">
        <v>3416</v>
      </c>
      <c r="J1751" s="38">
        <v>8.3175000000000008</v>
      </c>
      <c r="K1751" s="35">
        <v>4</v>
      </c>
      <c r="L1751" s="38">
        <f t="shared" si="27"/>
        <v>33.270000000000003</v>
      </c>
      <c r="M1751" s="35" t="s">
        <v>11</v>
      </c>
      <c r="N1751" s="38"/>
      <c r="O1751" s="35" t="s">
        <v>12</v>
      </c>
    </row>
    <row r="1752" spans="1:15" x14ac:dyDescent="0.25">
      <c r="A1752" s="35">
        <v>1179920868</v>
      </c>
      <c r="B1752" s="35" t="s">
        <v>4070</v>
      </c>
      <c r="C1752" s="35">
        <v>2024</v>
      </c>
      <c r="D1752" s="36">
        <v>45591.083055555559</v>
      </c>
      <c r="E1752" s="37" t="s">
        <v>788</v>
      </c>
      <c r="F1752" s="37" t="s">
        <v>4218</v>
      </c>
      <c r="G1752" s="37" t="s">
        <v>3694</v>
      </c>
      <c r="H1752" s="35" t="s">
        <v>3419</v>
      </c>
      <c r="I1752" s="35" t="s">
        <v>3416</v>
      </c>
      <c r="J1752" s="38">
        <v>17.12</v>
      </c>
      <c r="K1752" s="35">
        <v>1</v>
      </c>
      <c r="L1752" s="38">
        <f t="shared" si="27"/>
        <v>17.12</v>
      </c>
      <c r="M1752" s="35" t="s">
        <v>11</v>
      </c>
      <c r="N1752" s="38"/>
      <c r="O1752" s="35" t="s">
        <v>12</v>
      </c>
    </row>
    <row r="1753" spans="1:15" x14ac:dyDescent="0.25">
      <c r="A1753" s="35">
        <v>1179590060</v>
      </c>
      <c r="B1753" s="35" t="s">
        <v>4070</v>
      </c>
      <c r="C1753" s="35">
        <v>2024</v>
      </c>
      <c r="D1753" s="36">
        <v>45588.569432870368</v>
      </c>
      <c r="E1753" s="37" t="s">
        <v>237</v>
      </c>
      <c r="F1753" s="37" t="s">
        <v>4783</v>
      </c>
      <c r="G1753" s="37" t="s">
        <v>4784</v>
      </c>
      <c r="H1753" s="35" t="s">
        <v>3419</v>
      </c>
      <c r="I1753" s="35" t="s">
        <v>3416</v>
      </c>
      <c r="J1753" s="38">
        <v>13.95</v>
      </c>
      <c r="K1753" s="35">
        <v>1</v>
      </c>
      <c r="L1753" s="38">
        <f t="shared" si="27"/>
        <v>13.95</v>
      </c>
      <c r="M1753" s="35" t="s">
        <v>11</v>
      </c>
      <c r="N1753" s="38"/>
      <c r="O1753" s="35" t="s">
        <v>12</v>
      </c>
    </row>
    <row r="1754" spans="1:15" x14ac:dyDescent="0.25">
      <c r="A1754" s="35">
        <v>1179331382</v>
      </c>
      <c r="B1754" s="35" t="s">
        <v>4070</v>
      </c>
      <c r="C1754" s="35">
        <v>2024</v>
      </c>
      <c r="D1754" s="36">
        <v>45586.672685185193</v>
      </c>
      <c r="E1754" s="37" t="s">
        <v>1769</v>
      </c>
      <c r="F1754" s="37" t="s">
        <v>4774</v>
      </c>
      <c r="G1754" s="37" t="s">
        <v>3455</v>
      </c>
      <c r="H1754" s="35" t="s">
        <v>3419</v>
      </c>
      <c r="I1754" s="35" t="s">
        <v>3416</v>
      </c>
      <c r="J1754" s="38">
        <v>26.734999999999999</v>
      </c>
      <c r="K1754" s="35">
        <v>2</v>
      </c>
      <c r="L1754" s="38">
        <f t="shared" si="27"/>
        <v>53.47</v>
      </c>
      <c r="M1754" s="35" t="s">
        <v>11</v>
      </c>
      <c r="N1754" s="38"/>
      <c r="O1754" s="35" t="s">
        <v>12</v>
      </c>
    </row>
    <row r="1755" spans="1:15" x14ac:dyDescent="0.25">
      <c r="A1755" s="35">
        <v>1178944065</v>
      </c>
      <c r="B1755" s="35" t="s">
        <v>4070</v>
      </c>
      <c r="C1755" s="35">
        <v>2024</v>
      </c>
      <c r="D1755" s="36">
        <v>45583.713819444441</v>
      </c>
      <c r="E1755" s="37" t="s">
        <v>1774</v>
      </c>
      <c r="F1755" s="37" t="s">
        <v>4786</v>
      </c>
      <c r="G1755" s="37" t="s">
        <v>4220</v>
      </c>
      <c r="H1755" s="35" t="s">
        <v>3415</v>
      </c>
      <c r="I1755" s="35" t="s">
        <v>3416</v>
      </c>
      <c r="J1755" s="38">
        <v>1.105</v>
      </c>
      <c r="K1755" s="35">
        <v>4</v>
      </c>
      <c r="L1755" s="38">
        <f t="shared" si="27"/>
        <v>4.42</v>
      </c>
      <c r="M1755" s="35" t="s">
        <v>11</v>
      </c>
      <c r="N1755" s="38"/>
      <c r="O1755" s="35" t="s">
        <v>12</v>
      </c>
    </row>
    <row r="1756" spans="1:15" x14ac:dyDescent="0.25">
      <c r="A1756" s="35">
        <v>1178792635</v>
      </c>
      <c r="B1756" s="35" t="s">
        <v>4070</v>
      </c>
      <c r="C1756" s="35">
        <v>2024</v>
      </c>
      <c r="D1756" s="36">
        <v>45582.886608796303</v>
      </c>
      <c r="E1756" s="37" t="s">
        <v>1780</v>
      </c>
      <c r="F1756" s="37" t="s">
        <v>4774</v>
      </c>
      <c r="G1756" s="37" t="s">
        <v>3455</v>
      </c>
      <c r="H1756" s="35" t="s">
        <v>3419</v>
      </c>
      <c r="I1756" s="35" t="s">
        <v>3416</v>
      </c>
      <c r="J1756" s="38">
        <v>24.725000000000001</v>
      </c>
      <c r="K1756" s="35">
        <v>2</v>
      </c>
      <c r="L1756" s="38">
        <f t="shared" si="27"/>
        <v>49.45</v>
      </c>
      <c r="M1756" s="35" t="s">
        <v>11</v>
      </c>
      <c r="N1756" s="38"/>
      <c r="O1756" s="35" t="s">
        <v>12</v>
      </c>
    </row>
    <row r="1757" spans="1:15" x14ac:dyDescent="0.25">
      <c r="A1757" s="35">
        <v>1178657863</v>
      </c>
      <c r="B1757" s="35" t="s">
        <v>4070</v>
      </c>
      <c r="C1757" s="35">
        <v>2024</v>
      </c>
      <c r="D1757" s="36">
        <v>45581.634791666656</v>
      </c>
      <c r="E1757" s="37" t="s">
        <v>303</v>
      </c>
      <c r="F1757" s="37" t="s">
        <v>4789</v>
      </c>
      <c r="G1757" s="37" t="s">
        <v>3455</v>
      </c>
      <c r="H1757" s="35" t="s">
        <v>3415</v>
      </c>
      <c r="I1757" s="35" t="s">
        <v>3416</v>
      </c>
      <c r="J1757" s="38">
        <v>15.0525</v>
      </c>
      <c r="K1757" s="35">
        <v>4</v>
      </c>
      <c r="L1757" s="38">
        <f t="shared" si="27"/>
        <v>60.21</v>
      </c>
      <c r="M1757" s="35" t="s">
        <v>11</v>
      </c>
      <c r="N1757" s="38"/>
      <c r="O1757" s="35" t="s">
        <v>12</v>
      </c>
    </row>
    <row r="1758" spans="1:15" x14ac:dyDescent="0.25">
      <c r="A1758" s="35">
        <v>1178602338</v>
      </c>
      <c r="B1758" s="35" t="s">
        <v>4070</v>
      </c>
      <c r="C1758" s="35">
        <v>2024</v>
      </c>
      <c r="D1758" s="36">
        <v>45581.349317129629</v>
      </c>
      <c r="E1758" s="37" t="s">
        <v>1789</v>
      </c>
      <c r="F1758" s="37" t="s">
        <v>4790</v>
      </c>
      <c r="G1758" s="37" t="s">
        <v>3770</v>
      </c>
      <c r="H1758" s="35" t="s">
        <v>3419</v>
      </c>
      <c r="I1758" s="35" t="s">
        <v>3416</v>
      </c>
      <c r="J1758" s="38">
        <v>38.47</v>
      </c>
      <c r="K1758" s="35">
        <v>1</v>
      </c>
      <c r="L1758" s="38">
        <f t="shared" si="27"/>
        <v>38.47</v>
      </c>
      <c r="M1758" s="35" t="s">
        <v>11</v>
      </c>
      <c r="N1758" s="38"/>
      <c r="O1758" s="35" t="s">
        <v>12</v>
      </c>
    </row>
    <row r="1759" spans="1:15" x14ac:dyDescent="0.25">
      <c r="A1759" s="35">
        <v>1178227175</v>
      </c>
      <c r="B1759" s="35" t="s">
        <v>4070</v>
      </c>
      <c r="C1759" s="35">
        <v>2024</v>
      </c>
      <c r="D1759" s="36">
        <v>45578.757743055547</v>
      </c>
      <c r="E1759" s="37" t="s">
        <v>294</v>
      </c>
      <c r="F1759" s="37" t="s">
        <v>4792</v>
      </c>
      <c r="G1759" s="37" t="s">
        <v>3879</v>
      </c>
      <c r="H1759" s="35" t="s">
        <v>3419</v>
      </c>
      <c r="I1759" s="35" t="s">
        <v>3416</v>
      </c>
      <c r="J1759" s="38">
        <v>0.27183768656716423</v>
      </c>
      <c r="K1759" s="35">
        <v>1</v>
      </c>
      <c r="L1759" s="38">
        <f t="shared" si="27"/>
        <v>0.27183768656716423</v>
      </c>
      <c r="M1759" s="35" t="s">
        <v>11</v>
      </c>
      <c r="N1759" s="38"/>
      <c r="O1759" s="35" t="s">
        <v>12</v>
      </c>
    </row>
    <row r="1760" spans="1:15" x14ac:dyDescent="0.25">
      <c r="A1760" s="35">
        <v>1178227175</v>
      </c>
      <c r="B1760" s="35" t="s">
        <v>4070</v>
      </c>
      <c r="C1760" s="35">
        <v>2024</v>
      </c>
      <c r="D1760" s="36">
        <v>45578.757743055547</v>
      </c>
      <c r="E1760" s="37" t="s">
        <v>294</v>
      </c>
      <c r="F1760" s="37" t="s">
        <v>4793</v>
      </c>
      <c r="G1760" s="37" t="s">
        <v>3879</v>
      </c>
      <c r="H1760" s="35" t="s">
        <v>3419</v>
      </c>
      <c r="I1760" s="35" t="s">
        <v>3416</v>
      </c>
      <c r="J1760" s="38">
        <v>0.34275186567164179</v>
      </c>
      <c r="K1760" s="35">
        <v>1</v>
      </c>
      <c r="L1760" s="38">
        <f t="shared" si="27"/>
        <v>0.34275186567164179</v>
      </c>
      <c r="M1760" s="35" t="s">
        <v>11</v>
      </c>
      <c r="N1760" s="38"/>
      <c r="O1760" s="35" t="s">
        <v>12</v>
      </c>
    </row>
    <row r="1761" spans="1:15" x14ac:dyDescent="0.25">
      <c r="A1761" s="35">
        <v>1178227175</v>
      </c>
      <c r="B1761" s="35" t="s">
        <v>4070</v>
      </c>
      <c r="C1761" s="35">
        <v>2024</v>
      </c>
      <c r="D1761" s="36">
        <v>45578.757743055547</v>
      </c>
      <c r="E1761" s="37" t="s">
        <v>294</v>
      </c>
      <c r="F1761" s="37" t="s">
        <v>4794</v>
      </c>
      <c r="G1761" s="37" t="s">
        <v>3879</v>
      </c>
      <c r="H1761" s="35" t="s">
        <v>3419</v>
      </c>
      <c r="I1761" s="35" t="s">
        <v>3416</v>
      </c>
      <c r="J1761" s="38">
        <v>0.39002798507462688</v>
      </c>
      <c r="K1761" s="35">
        <v>1</v>
      </c>
      <c r="L1761" s="38">
        <f t="shared" si="27"/>
        <v>0.39002798507462688</v>
      </c>
      <c r="M1761" s="35" t="s">
        <v>11</v>
      </c>
      <c r="N1761" s="38"/>
      <c r="O1761" s="35" t="s">
        <v>12</v>
      </c>
    </row>
    <row r="1762" spans="1:15" x14ac:dyDescent="0.25">
      <c r="A1762" s="35">
        <v>1178227175</v>
      </c>
      <c r="B1762" s="35" t="s">
        <v>4070</v>
      </c>
      <c r="C1762" s="35">
        <v>2024</v>
      </c>
      <c r="D1762" s="36">
        <v>45578.757743055547</v>
      </c>
      <c r="E1762" s="37" t="s">
        <v>294</v>
      </c>
      <c r="F1762" s="37" t="s">
        <v>4795</v>
      </c>
      <c r="G1762" s="37" t="s">
        <v>3879</v>
      </c>
      <c r="H1762" s="35" t="s">
        <v>3419</v>
      </c>
      <c r="I1762" s="35" t="s">
        <v>3416</v>
      </c>
      <c r="J1762" s="38">
        <v>1.359188432835821</v>
      </c>
      <c r="K1762" s="35">
        <v>1</v>
      </c>
      <c r="L1762" s="38">
        <f t="shared" si="27"/>
        <v>1.359188432835821</v>
      </c>
      <c r="M1762" s="35" t="s">
        <v>11</v>
      </c>
      <c r="N1762" s="38"/>
      <c r="O1762" s="35" t="s">
        <v>12</v>
      </c>
    </row>
    <row r="1763" spans="1:15" x14ac:dyDescent="0.25">
      <c r="A1763" s="35">
        <v>1178227175</v>
      </c>
      <c r="B1763" s="35" t="s">
        <v>4070</v>
      </c>
      <c r="C1763" s="35">
        <v>2024</v>
      </c>
      <c r="D1763" s="36">
        <v>45578.757743055547</v>
      </c>
      <c r="E1763" s="37" t="s">
        <v>294</v>
      </c>
      <c r="F1763" s="37" t="s">
        <v>4796</v>
      </c>
      <c r="G1763" s="37" t="s">
        <v>3879</v>
      </c>
      <c r="H1763" s="35" t="s">
        <v>3419</v>
      </c>
      <c r="I1763" s="35" t="s">
        <v>3416</v>
      </c>
      <c r="J1763" s="38">
        <v>0.28365671641791051</v>
      </c>
      <c r="K1763" s="35">
        <v>1</v>
      </c>
      <c r="L1763" s="38">
        <f t="shared" si="27"/>
        <v>0.28365671641791051</v>
      </c>
      <c r="M1763" s="35" t="s">
        <v>11</v>
      </c>
      <c r="N1763" s="38"/>
      <c r="O1763" s="35" t="s">
        <v>12</v>
      </c>
    </row>
    <row r="1764" spans="1:15" x14ac:dyDescent="0.25">
      <c r="A1764" s="35">
        <v>1178227175</v>
      </c>
      <c r="B1764" s="35" t="s">
        <v>4070</v>
      </c>
      <c r="C1764" s="35">
        <v>2024</v>
      </c>
      <c r="D1764" s="36">
        <v>45578.757743055547</v>
      </c>
      <c r="E1764" s="37" t="s">
        <v>294</v>
      </c>
      <c r="F1764" s="37" t="s">
        <v>4797</v>
      </c>
      <c r="G1764" s="37" t="s">
        <v>3879</v>
      </c>
      <c r="H1764" s="35" t="s">
        <v>3419</v>
      </c>
      <c r="I1764" s="35" t="s">
        <v>3416</v>
      </c>
      <c r="J1764" s="38">
        <v>0.31911380597014932</v>
      </c>
      <c r="K1764" s="35">
        <v>1</v>
      </c>
      <c r="L1764" s="38">
        <f t="shared" si="27"/>
        <v>0.31911380597014932</v>
      </c>
      <c r="M1764" s="35" t="s">
        <v>11</v>
      </c>
      <c r="N1764" s="38"/>
      <c r="O1764" s="35" t="s">
        <v>12</v>
      </c>
    </row>
    <row r="1765" spans="1:15" x14ac:dyDescent="0.25">
      <c r="A1765" s="35">
        <v>1178227175</v>
      </c>
      <c r="B1765" s="35" t="s">
        <v>4070</v>
      </c>
      <c r="C1765" s="35">
        <v>2024</v>
      </c>
      <c r="D1765" s="36">
        <v>45578.757743055547</v>
      </c>
      <c r="E1765" s="37" t="s">
        <v>294</v>
      </c>
      <c r="F1765" s="37" t="s">
        <v>4798</v>
      </c>
      <c r="G1765" s="37" t="s">
        <v>3879</v>
      </c>
      <c r="H1765" s="35" t="s">
        <v>3419</v>
      </c>
      <c r="I1765" s="35" t="s">
        <v>3416</v>
      </c>
      <c r="J1765" s="38">
        <v>0.44912313432835821</v>
      </c>
      <c r="K1765" s="35">
        <v>1</v>
      </c>
      <c r="L1765" s="38">
        <f t="shared" si="27"/>
        <v>0.44912313432835821</v>
      </c>
      <c r="M1765" s="35" t="s">
        <v>11</v>
      </c>
      <c r="N1765" s="38"/>
      <c r="O1765" s="35" t="s">
        <v>12</v>
      </c>
    </row>
    <row r="1766" spans="1:15" x14ac:dyDescent="0.25">
      <c r="A1766" s="35">
        <v>1178227175</v>
      </c>
      <c r="B1766" s="35" t="s">
        <v>4070</v>
      </c>
      <c r="C1766" s="35">
        <v>2024</v>
      </c>
      <c r="D1766" s="36">
        <v>45578.757743055547</v>
      </c>
      <c r="E1766" s="37" t="s">
        <v>294</v>
      </c>
      <c r="F1766" s="37" t="s">
        <v>4799</v>
      </c>
      <c r="G1766" s="37" t="s">
        <v>3879</v>
      </c>
      <c r="H1766" s="35" t="s">
        <v>3419</v>
      </c>
      <c r="I1766" s="35" t="s">
        <v>3416</v>
      </c>
      <c r="J1766" s="38">
        <v>1.347369402985074</v>
      </c>
      <c r="K1766" s="35">
        <v>1</v>
      </c>
      <c r="L1766" s="38">
        <f t="shared" si="27"/>
        <v>1.347369402985074</v>
      </c>
      <c r="M1766" s="35" t="s">
        <v>11</v>
      </c>
      <c r="N1766" s="38"/>
      <c r="O1766" s="35" t="s">
        <v>12</v>
      </c>
    </row>
    <row r="1767" spans="1:15" x14ac:dyDescent="0.25">
      <c r="A1767" s="35">
        <v>1178227175</v>
      </c>
      <c r="B1767" s="35" t="s">
        <v>4070</v>
      </c>
      <c r="C1767" s="35">
        <v>2024</v>
      </c>
      <c r="D1767" s="36">
        <v>45578.757743055547</v>
      </c>
      <c r="E1767" s="37" t="s">
        <v>294</v>
      </c>
      <c r="F1767" s="37" t="s">
        <v>4800</v>
      </c>
      <c r="G1767" s="37" t="s">
        <v>3879</v>
      </c>
      <c r="H1767" s="35" t="s">
        <v>3419</v>
      </c>
      <c r="I1767" s="35" t="s">
        <v>3416</v>
      </c>
      <c r="J1767" s="38">
        <v>0.29547574626865669</v>
      </c>
      <c r="K1767" s="35">
        <v>1</v>
      </c>
      <c r="L1767" s="38">
        <f t="shared" si="27"/>
        <v>0.29547574626865669</v>
      </c>
      <c r="M1767" s="35" t="s">
        <v>11</v>
      </c>
      <c r="N1767" s="38"/>
      <c r="O1767" s="35" t="s">
        <v>12</v>
      </c>
    </row>
    <row r="1768" spans="1:15" x14ac:dyDescent="0.25">
      <c r="A1768" s="35">
        <v>1178227175</v>
      </c>
      <c r="B1768" s="35" t="s">
        <v>4070</v>
      </c>
      <c r="C1768" s="35">
        <v>2024</v>
      </c>
      <c r="D1768" s="36">
        <v>45578.757743055547</v>
      </c>
      <c r="E1768" s="37" t="s">
        <v>294</v>
      </c>
      <c r="F1768" s="37" t="s">
        <v>4801</v>
      </c>
      <c r="G1768" s="37" t="s">
        <v>3879</v>
      </c>
      <c r="H1768" s="35" t="s">
        <v>3419</v>
      </c>
      <c r="I1768" s="35" t="s">
        <v>3416</v>
      </c>
      <c r="J1768" s="38">
        <v>0.33093283582089561</v>
      </c>
      <c r="K1768" s="35">
        <v>1</v>
      </c>
      <c r="L1768" s="38">
        <f t="shared" si="27"/>
        <v>0.33093283582089561</v>
      </c>
      <c r="M1768" s="35" t="s">
        <v>11</v>
      </c>
      <c r="N1768" s="38"/>
      <c r="O1768" s="35" t="s">
        <v>12</v>
      </c>
    </row>
    <row r="1769" spans="1:15" x14ac:dyDescent="0.25">
      <c r="A1769" s="35">
        <v>1178227175</v>
      </c>
      <c r="B1769" s="35" t="s">
        <v>4070</v>
      </c>
      <c r="C1769" s="35">
        <v>2024</v>
      </c>
      <c r="D1769" s="36">
        <v>45578.757743055547</v>
      </c>
      <c r="E1769" s="37" t="s">
        <v>294</v>
      </c>
      <c r="F1769" s="37" t="s">
        <v>4802</v>
      </c>
      <c r="G1769" s="37" t="s">
        <v>3879</v>
      </c>
      <c r="H1769" s="35" t="s">
        <v>3419</v>
      </c>
      <c r="I1769" s="35" t="s">
        <v>3416</v>
      </c>
      <c r="J1769" s="38">
        <v>0.41366604477611929</v>
      </c>
      <c r="K1769" s="35">
        <v>1</v>
      </c>
      <c r="L1769" s="38">
        <f t="shared" si="27"/>
        <v>0.41366604477611929</v>
      </c>
      <c r="M1769" s="35" t="s">
        <v>11</v>
      </c>
      <c r="N1769" s="38"/>
      <c r="O1769" s="35" t="s">
        <v>12</v>
      </c>
    </row>
    <row r="1770" spans="1:15" x14ac:dyDescent="0.25">
      <c r="A1770" s="35">
        <v>1178227175</v>
      </c>
      <c r="B1770" s="35" t="s">
        <v>4070</v>
      </c>
      <c r="C1770" s="35">
        <v>2024</v>
      </c>
      <c r="D1770" s="36">
        <v>45578.757743055547</v>
      </c>
      <c r="E1770" s="37" t="s">
        <v>294</v>
      </c>
      <c r="F1770" s="37" t="s">
        <v>4803</v>
      </c>
      <c r="G1770" s="37" t="s">
        <v>3879</v>
      </c>
      <c r="H1770" s="35" t="s">
        <v>3419</v>
      </c>
      <c r="I1770" s="35" t="s">
        <v>3416</v>
      </c>
      <c r="J1770" s="38">
        <v>1.359188432835821</v>
      </c>
      <c r="K1770" s="35">
        <v>1</v>
      </c>
      <c r="L1770" s="38">
        <f t="shared" si="27"/>
        <v>1.359188432835821</v>
      </c>
      <c r="M1770" s="35" t="s">
        <v>11</v>
      </c>
      <c r="N1770" s="38"/>
      <c r="O1770" s="35" t="s">
        <v>12</v>
      </c>
    </row>
    <row r="1771" spans="1:15" x14ac:dyDescent="0.25">
      <c r="A1771" s="35">
        <v>1178227175</v>
      </c>
      <c r="B1771" s="35" t="s">
        <v>4070</v>
      </c>
      <c r="C1771" s="35">
        <v>2024</v>
      </c>
      <c r="D1771" s="36">
        <v>45578.757743055547</v>
      </c>
      <c r="E1771" s="37" t="s">
        <v>294</v>
      </c>
      <c r="F1771" s="37" t="s">
        <v>4781</v>
      </c>
      <c r="G1771" s="37" t="s">
        <v>3879</v>
      </c>
      <c r="H1771" s="35" t="s">
        <v>3419</v>
      </c>
      <c r="I1771" s="35" t="s">
        <v>3416</v>
      </c>
      <c r="J1771" s="38">
        <v>0.31911380597014932</v>
      </c>
      <c r="K1771" s="35">
        <v>1</v>
      </c>
      <c r="L1771" s="38">
        <f t="shared" si="27"/>
        <v>0.31911380597014932</v>
      </c>
      <c r="M1771" s="35" t="s">
        <v>11</v>
      </c>
      <c r="N1771" s="38"/>
      <c r="O1771" s="35" t="s">
        <v>12</v>
      </c>
    </row>
    <row r="1772" spans="1:15" x14ac:dyDescent="0.25">
      <c r="A1772" s="35">
        <v>1178227175</v>
      </c>
      <c r="B1772" s="35" t="s">
        <v>4070</v>
      </c>
      <c r="C1772" s="35">
        <v>2024</v>
      </c>
      <c r="D1772" s="36">
        <v>45578.757743055547</v>
      </c>
      <c r="E1772" s="37" t="s">
        <v>294</v>
      </c>
      <c r="F1772" s="37" t="s">
        <v>4804</v>
      </c>
      <c r="G1772" s="37" t="s">
        <v>3879</v>
      </c>
      <c r="H1772" s="35" t="s">
        <v>3419</v>
      </c>
      <c r="I1772" s="35" t="s">
        <v>3416</v>
      </c>
      <c r="J1772" s="38">
        <v>0.33093283582089561</v>
      </c>
      <c r="K1772" s="35">
        <v>1</v>
      </c>
      <c r="L1772" s="38">
        <f t="shared" si="27"/>
        <v>0.33093283582089561</v>
      </c>
      <c r="M1772" s="35" t="s">
        <v>11</v>
      </c>
      <c r="N1772" s="38"/>
      <c r="O1772" s="35" t="s">
        <v>12</v>
      </c>
    </row>
    <row r="1773" spans="1:15" x14ac:dyDescent="0.25">
      <c r="A1773" s="35">
        <v>1178227175</v>
      </c>
      <c r="B1773" s="35" t="s">
        <v>4070</v>
      </c>
      <c r="C1773" s="35">
        <v>2024</v>
      </c>
      <c r="D1773" s="36">
        <v>45578.757743055547</v>
      </c>
      <c r="E1773" s="37" t="s">
        <v>294</v>
      </c>
      <c r="F1773" s="37" t="s">
        <v>4805</v>
      </c>
      <c r="G1773" s="37" t="s">
        <v>3879</v>
      </c>
      <c r="H1773" s="35" t="s">
        <v>3419</v>
      </c>
      <c r="I1773" s="35" t="s">
        <v>3416</v>
      </c>
      <c r="J1773" s="38">
        <v>0.40184701492537322</v>
      </c>
      <c r="K1773" s="35">
        <v>1</v>
      </c>
      <c r="L1773" s="38">
        <f t="shared" si="27"/>
        <v>0.40184701492537322</v>
      </c>
      <c r="M1773" s="35" t="s">
        <v>11</v>
      </c>
      <c r="N1773" s="38"/>
      <c r="O1773" s="35" t="s">
        <v>12</v>
      </c>
    </row>
    <row r="1774" spans="1:15" x14ac:dyDescent="0.25">
      <c r="A1774" s="35">
        <v>1178227175</v>
      </c>
      <c r="B1774" s="35" t="s">
        <v>4070</v>
      </c>
      <c r="C1774" s="35">
        <v>2024</v>
      </c>
      <c r="D1774" s="36">
        <v>45578.757743055547</v>
      </c>
      <c r="E1774" s="37" t="s">
        <v>294</v>
      </c>
      <c r="F1774" s="37" t="s">
        <v>4806</v>
      </c>
      <c r="G1774" s="37" t="s">
        <v>3879</v>
      </c>
      <c r="H1774" s="35" t="s">
        <v>3419</v>
      </c>
      <c r="I1774" s="35" t="s">
        <v>3416</v>
      </c>
      <c r="J1774" s="38">
        <v>1.86740671641791</v>
      </c>
      <c r="K1774" s="35">
        <v>1</v>
      </c>
      <c r="L1774" s="38">
        <f t="shared" si="27"/>
        <v>1.86740671641791</v>
      </c>
      <c r="M1774" s="35" t="s">
        <v>11</v>
      </c>
      <c r="N1774" s="38"/>
      <c r="O1774" s="35" t="s">
        <v>12</v>
      </c>
    </row>
    <row r="1775" spans="1:15" x14ac:dyDescent="0.25">
      <c r="A1775" s="35">
        <v>1178227175</v>
      </c>
      <c r="B1775" s="35" t="s">
        <v>4070</v>
      </c>
      <c r="C1775" s="35">
        <v>2024</v>
      </c>
      <c r="D1775" s="36">
        <v>45578.757743055547</v>
      </c>
      <c r="E1775" s="37" t="s">
        <v>294</v>
      </c>
      <c r="F1775" s="37" t="s">
        <v>4807</v>
      </c>
      <c r="G1775" s="37" t="s">
        <v>3879</v>
      </c>
      <c r="H1775" s="35" t="s">
        <v>3419</v>
      </c>
      <c r="I1775" s="35" t="s">
        <v>3416</v>
      </c>
      <c r="J1775" s="38">
        <v>0.33093283582089561</v>
      </c>
      <c r="K1775" s="35">
        <v>1</v>
      </c>
      <c r="L1775" s="38">
        <f t="shared" si="27"/>
        <v>0.33093283582089561</v>
      </c>
      <c r="M1775" s="35" t="s">
        <v>11</v>
      </c>
      <c r="N1775" s="38"/>
      <c r="O1775" s="35" t="s">
        <v>12</v>
      </c>
    </row>
    <row r="1776" spans="1:15" x14ac:dyDescent="0.25">
      <c r="A1776" s="35">
        <v>1178227175</v>
      </c>
      <c r="B1776" s="35" t="s">
        <v>4070</v>
      </c>
      <c r="C1776" s="35">
        <v>2024</v>
      </c>
      <c r="D1776" s="36">
        <v>45578.757743055547</v>
      </c>
      <c r="E1776" s="37" t="s">
        <v>294</v>
      </c>
      <c r="F1776" s="37" t="s">
        <v>4808</v>
      </c>
      <c r="G1776" s="37" t="s">
        <v>3879</v>
      </c>
      <c r="H1776" s="35" t="s">
        <v>3419</v>
      </c>
      <c r="I1776" s="35" t="s">
        <v>3416</v>
      </c>
      <c r="J1776" s="38">
        <v>0.35457089552238802</v>
      </c>
      <c r="K1776" s="35">
        <v>1</v>
      </c>
      <c r="L1776" s="38">
        <f t="shared" si="27"/>
        <v>0.35457089552238802</v>
      </c>
      <c r="M1776" s="35" t="s">
        <v>11</v>
      </c>
      <c r="N1776" s="38"/>
      <c r="O1776" s="35" t="s">
        <v>12</v>
      </c>
    </row>
    <row r="1777" spans="1:15" x14ac:dyDescent="0.25">
      <c r="A1777" s="35">
        <v>1178227175</v>
      </c>
      <c r="B1777" s="35" t="s">
        <v>4070</v>
      </c>
      <c r="C1777" s="35">
        <v>2024</v>
      </c>
      <c r="D1777" s="36">
        <v>45578.757743055547</v>
      </c>
      <c r="E1777" s="37" t="s">
        <v>294</v>
      </c>
      <c r="F1777" s="37" t="s">
        <v>4809</v>
      </c>
      <c r="G1777" s="37" t="s">
        <v>3879</v>
      </c>
      <c r="H1777" s="35" t="s">
        <v>3419</v>
      </c>
      <c r="I1777" s="35" t="s">
        <v>3416</v>
      </c>
      <c r="J1777" s="38">
        <v>0.42548507462686558</v>
      </c>
      <c r="K1777" s="35">
        <v>1</v>
      </c>
      <c r="L1777" s="38">
        <f t="shared" si="27"/>
        <v>0.42548507462686558</v>
      </c>
      <c r="M1777" s="35" t="s">
        <v>11</v>
      </c>
      <c r="N1777" s="38"/>
      <c r="O1777" s="35" t="s">
        <v>12</v>
      </c>
    </row>
    <row r="1778" spans="1:15" x14ac:dyDescent="0.25">
      <c r="A1778" s="35">
        <v>1178227175</v>
      </c>
      <c r="B1778" s="35" t="s">
        <v>4070</v>
      </c>
      <c r="C1778" s="35">
        <v>2024</v>
      </c>
      <c r="D1778" s="36">
        <v>45578.757743055547</v>
      </c>
      <c r="E1778" s="37" t="s">
        <v>294</v>
      </c>
      <c r="F1778" s="37" t="s">
        <v>4810</v>
      </c>
      <c r="G1778" s="37" t="s">
        <v>3879</v>
      </c>
      <c r="H1778" s="35" t="s">
        <v>3419</v>
      </c>
      <c r="I1778" s="35" t="s">
        <v>3416</v>
      </c>
      <c r="J1778" s="38">
        <v>1.477378731343284</v>
      </c>
      <c r="K1778" s="35">
        <v>1</v>
      </c>
      <c r="L1778" s="38">
        <f t="shared" si="27"/>
        <v>1.477378731343284</v>
      </c>
      <c r="M1778" s="35" t="s">
        <v>11</v>
      </c>
      <c r="N1778" s="38"/>
      <c r="O1778" s="35" t="s">
        <v>12</v>
      </c>
    </row>
    <row r="1779" spans="1:15" x14ac:dyDescent="0.25">
      <c r="A1779" s="35">
        <v>1178209541</v>
      </c>
      <c r="B1779" s="35" t="s">
        <v>4070</v>
      </c>
      <c r="C1779" s="35">
        <v>2024</v>
      </c>
      <c r="D1779" s="36">
        <v>45578.757743055547</v>
      </c>
      <c r="E1779" s="37" t="s">
        <v>1796</v>
      </c>
      <c r="F1779" s="37" t="s">
        <v>4811</v>
      </c>
      <c r="G1779" s="37" t="s">
        <v>4108</v>
      </c>
      <c r="H1779" s="35" t="s">
        <v>3419</v>
      </c>
      <c r="I1779" s="35" t="s">
        <v>3416</v>
      </c>
      <c r="J1779" s="38">
        <v>2.11</v>
      </c>
      <c r="K1779" s="35">
        <v>2</v>
      </c>
      <c r="L1779" s="38">
        <f t="shared" si="27"/>
        <v>4.22</v>
      </c>
      <c r="M1779" s="35" t="s">
        <v>11</v>
      </c>
      <c r="N1779" s="38"/>
      <c r="O1779" s="35" t="s">
        <v>12</v>
      </c>
    </row>
    <row r="1780" spans="1:15" x14ac:dyDescent="0.25">
      <c r="A1780" s="35">
        <v>1178208447</v>
      </c>
      <c r="B1780" s="35" t="s">
        <v>4070</v>
      </c>
      <c r="C1780" s="35">
        <v>2024</v>
      </c>
      <c r="D1780" s="36">
        <v>45578.757743055547</v>
      </c>
      <c r="E1780" s="37" t="s">
        <v>1798</v>
      </c>
      <c r="F1780" s="37" t="s">
        <v>4812</v>
      </c>
      <c r="G1780" s="37" t="s">
        <v>3666</v>
      </c>
      <c r="H1780" s="35" t="s">
        <v>3415</v>
      </c>
      <c r="I1780" s="35" t="s">
        <v>3416</v>
      </c>
      <c r="J1780" s="38">
        <v>0.62708333333333333</v>
      </c>
      <c r="K1780" s="35">
        <v>4</v>
      </c>
      <c r="L1780" s="38">
        <f t="shared" si="27"/>
        <v>2.5083333333333333</v>
      </c>
      <c r="M1780" s="35" t="s">
        <v>11</v>
      </c>
      <c r="N1780" s="38"/>
      <c r="O1780" s="35" t="s">
        <v>12</v>
      </c>
    </row>
    <row r="1781" spans="1:15" x14ac:dyDescent="0.25">
      <c r="A1781" s="35">
        <v>1178208447</v>
      </c>
      <c r="B1781" s="35" t="s">
        <v>4070</v>
      </c>
      <c r="C1781" s="35">
        <v>2024</v>
      </c>
      <c r="D1781" s="36">
        <v>45578.757743055547</v>
      </c>
      <c r="E1781" s="37" t="s">
        <v>1798</v>
      </c>
      <c r="F1781" s="37" t="s">
        <v>4813</v>
      </c>
      <c r="G1781" s="37" t="s">
        <v>4814</v>
      </c>
      <c r="H1781" s="35" t="s">
        <v>3415</v>
      </c>
      <c r="I1781" s="35" t="s">
        <v>3416</v>
      </c>
      <c r="J1781" s="38">
        <v>0.62708333333333333</v>
      </c>
      <c r="K1781" s="35">
        <v>4</v>
      </c>
      <c r="L1781" s="38">
        <f t="shared" si="27"/>
        <v>2.5083333333333333</v>
      </c>
      <c r="M1781" s="35" t="s">
        <v>11</v>
      </c>
      <c r="N1781" s="38"/>
      <c r="O1781" s="35" t="s">
        <v>12</v>
      </c>
    </row>
    <row r="1782" spans="1:15" x14ac:dyDescent="0.25">
      <c r="A1782" s="35">
        <v>1178208447</v>
      </c>
      <c r="B1782" s="35" t="s">
        <v>4070</v>
      </c>
      <c r="C1782" s="35">
        <v>2024</v>
      </c>
      <c r="D1782" s="36">
        <v>45578.757743055547</v>
      </c>
      <c r="E1782" s="37" t="s">
        <v>1798</v>
      </c>
      <c r="F1782" s="37" t="s">
        <v>4815</v>
      </c>
      <c r="G1782" s="37" t="s">
        <v>4063</v>
      </c>
      <c r="H1782" s="35" t="s">
        <v>3415</v>
      </c>
      <c r="I1782" s="35" t="s">
        <v>3416</v>
      </c>
      <c r="J1782" s="38">
        <v>0.25083333333333341</v>
      </c>
      <c r="K1782" s="35">
        <v>4</v>
      </c>
      <c r="L1782" s="38">
        <f t="shared" si="27"/>
        <v>1.0033333333333336</v>
      </c>
      <c r="M1782" s="35" t="s">
        <v>11</v>
      </c>
      <c r="N1782" s="38"/>
      <c r="O1782" s="35" t="s">
        <v>12</v>
      </c>
    </row>
    <row r="1783" spans="1:15" x14ac:dyDescent="0.25">
      <c r="A1783" s="35">
        <v>1178206014</v>
      </c>
      <c r="B1783" s="35" t="s">
        <v>4070</v>
      </c>
      <c r="C1783" s="35">
        <v>2024</v>
      </c>
      <c r="D1783" s="36">
        <v>45578.757743055547</v>
      </c>
      <c r="E1783" s="37" t="s">
        <v>1800</v>
      </c>
      <c r="F1783" s="37" t="s">
        <v>4816</v>
      </c>
      <c r="G1783" s="37" t="s">
        <v>4697</v>
      </c>
      <c r="H1783" s="35" t="s">
        <v>3415</v>
      </c>
      <c r="I1783" s="35" t="s">
        <v>3416</v>
      </c>
      <c r="J1783" s="38">
        <v>3.2146323529411771</v>
      </c>
      <c r="K1783" s="35">
        <v>4</v>
      </c>
      <c r="L1783" s="38">
        <f t="shared" si="27"/>
        <v>12.858529411764708</v>
      </c>
      <c r="M1783" s="35" t="s">
        <v>11</v>
      </c>
      <c r="N1783" s="38"/>
      <c r="O1783" s="35" t="s">
        <v>12</v>
      </c>
    </row>
    <row r="1784" spans="1:15" x14ac:dyDescent="0.25">
      <c r="A1784" s="35">
        <v>1178206014</v>
      </c>
      <c r="B1784" s="35" t="s">
        <v>4070</v>
      </c>
      <c r="C1784" s="35">
        <v>2024</v>
      </c>
      <c r="D1784" s="36">
        <v>45578.757743055547</v>
      </c>
      <c r="E1784" s="37" t="s">
        <v>1800</v>
      </c>
      <c r="F1784" s="37" t="s">
        <v>4817</v>
      </c>
      <c r="G1784" s="37" t="s">
        <v>3619</v>
      </c>
      <c r="H1784" s="35" t="s">
        <v>3415</v>
      </c>
      <c r="I1784" s="35" t="s">
        <v>3416</v>
      </c>
      <c r="J1784" s="38">
        <v>0.49036764705882352</v>
      </c>
      <c r="K1784" s="35">
        <v>4</v>
      </c>
      <c r="L1784" s="38">
        <f t="shared" si="27"/>
        <v>1.9614705882352941</v>
      </c>
      <c r="M1784" s="35" t="s">
        <v>11</v>
      </c>
      <c r="N1784" s="38"/>
      <c r="O1784" s="35" t="s">
        <v>12</v>
      </c>
    </row>
    <row r="1785" spans="1:15" x14ac:dyDescent="0.25">
      <c r="A1785" s="35">
        <v>1178155822</v>
      </c>
      <c r="B1785" s="35" t="s">
        <v>4070</v>
      </c>
      <c r="C1785" s="35">
        <v>2024</v>
      </c>
      <c r="D1785" s="36">
        <v>45578.394363425927</v>
      </c>
      <c r="E1785" s="37" t="s">
        <v>1802</v>
      </c>
      <c r="F1785" s="37" t="s">
        <v>3753</v>
      </c>
      <c r="G1785" s="37" t="s">
        <v>3729</v>
      </c>
      <c r="H1785" s="35" t="s">
        <v>3419</v>
      </c>
      <c r="I1785" s="35" t="s">
        <v>3416</v>
      </c>
      <c r="J1785" s="38">
        <v>7.6325925925925926</v>
      </c>
      <c r="K1785" s="35">
        <v>1</v>
      </c>
      <c r="L1785" s="38">
        <f t="shared" si="27"/>
        <v>7.6325925925925926</v>
      </c>
      <c r="M1785" s="35" t="s">
        <v>11</v>
      </c>
      <c r="N1785" s="38"/>
      <c r="O1785" s="35" t="s">
        <v>12</v>
      </c>
    </row>
    <row r="1786" spans="1:15" x14ac:dyDescent="0.25">
      <c r="A1786" s="35">
        <v>1178155822</v>
      </c>
      <c r="B1786" s="35" t="s">
        <v>4070</v>
      </c>
      <c r="C1786" s="35">
        <v>2024</v>
      </c>
      <c r="D1786" s="36">
        <v>45578.394363425927</v>
      </c>
      <c r="E1786" s="37" t="s">
        <v>1802</v>
      </c>
      <c r="F1786" s="37" t="s">
        <v>3753</v>
      </c>
      <c r="G1786" s="37" t="s">
        <v>3729</v>
      </c>
      <c r="H1786" s="35" t="s">
        <v>3419</v>
      </c>
      <c r="I1786" s="35" t="s">
        <v>3416</v>
      </c>
      <c r="J1786" s="38">
        <v>7.0874074074074072</v>
      </c>
      <c r="K1786" s="35">
        <v>1</v>
      </c>
      <c r="L1786" s="38">
        <f t="shared" si="27"/>
        <v>7.0874074074074072</v>
      </c>
      <c r="M1786" s="35" t="s">
        <v>11</v>
      </c>
      <c r="N1786" s="38"/>
      <c r="O1786" s="35" t="s">
        <v>12</v>
      </c>
    </row>
    <row r="1787" spans="1:15" x14ac:dyDescent="0.25">
      <c r="A1787" s="35">
        <v>1178144974</v>
      </c>
      <c r="B1787" s="35" t="s">
        <v>4070</v>
      </c>
      <c r="C1787" s="35">
        <v>2024</v>
      </c>
      <c r="D1787" s="36">
        <v>45578.389374999999</v>
      </c>
      <c r="E1787" s="37" t="s">
        <v>965</v>
      </c>
      <c r="F1787" s="37" t="s">
        <v>4743</v>
      </c>
      <c r="G1787" s="37" t="s">
        <v>3879</v>
      </c>
      <c r="H1787" s="35" t="s">
        <v>3415</v>
      </c>
      <c r="I1787" s="35" t="s">
        <v>3416</v>
      </c>
      <c r="J1787" s="38">
        <v>6.2050000000000001</v>
      </c>
      <c r="K1787" s="35">
        <v>4</v>
      </c>
      <c r="L1787" s="38">
        <f t="shared" si="27"/>
        <v>24.82</v>
      </c>
      <c r="M1787" s="35" t="s">
        <v>11</v>
      </c>
      <c r="N1787" s="38"/>
      <c r="O1787" s="35" t="s">
        <v>12</v>
      </c>
    </row>
    <row r="1788" spans="1:15" x14ac:dyDescent="0.25">
      <c r="A1788" s="35">
        <v>1178100465</v>
      </c>
      <c r="B1788" s="35" t="s">
        <v>4070</v>
      </c>
      <c r="C1788" s="35">
        <v>2024</v>
      </c>
      <c r="D1788" s="36">
        <v>45577.824074074073</v>
      </c>
      <c r="E1788" s="37" t="s">
        <v>1805</v>
      </c>
      <c r="F1788" s="37" t="s">
        <v>4818</v>
      </c>
      <c r="G1788" s="37" t="s">
        <v>3682</v>
      </c>
      <c r="H1788" s="35" t="s">
        <v>3415</v>
      </c>
      <c r="I1788" s="35" t="s">
        <v>3416</v>
      </c>
      <c r="J1788" s="38">
        <v>2.8050000000000002</v>
      </c>
      <c r="K1788" s="35">
        <v>4</v>
      </c>
      <c r="L1788" s="38">
        <f t="shared" si="27"/>
        <v>11.22</v>
      </c>
      <c r="M1788" s="35" t="s">
        <v>11</v>
      </c>
      <c r="N1788" s="38"/>
      <c r="O1788" s="35" t="s">
        <v>12</v>
      </c>
    </row>
    <row r="1789" spans="1:15" x14ac:dyDescent="0.25">
      <c r="A1789" s="35">
        <v>1178100353</v>
      </c>
      <c r="B1789" s="35" t="s">
        <v>4070</v>
      </c>
      <c r="C1789" s="35">
        <v>2024</v>
      </c>
      <c r="D1789" s="36">
        <v>45577.824074074073</v>
      </c>
      <c r="E1789" s="37" t="s">
        <v>1808</v>
      </c>
      <c r="F1789" s="37" t="s">
        <v>4790</v>
      </c>
      <c r="G1789" s="37" t="s">
        <v>3770</v>
      </c>
      <c r="H1789" s="35" t="s">
        <v>3419</v>
      </c>
      <c r="I1789" s="35" t="s">
        <v>3416</v>
      </c>
      <c r="J1789" s="38">
        <v>36.28</v>
      </c>
      <c r="K1789" s="35">
        <v>1</v>
      </c>
      <c r="L1789" s="38">
        <f t="shared" si="27"/>
        <v>36.28</v>
      </c>
      <c r="M1789" s="35" t="s">
        <v>11</v>
      </c>
      <c r="N1789" s="38"/>
      <c r="O1789" s="35" t="s">
        <v>12</v>
      </c>
    </row>
    <row r="1790" spans="1:15" x14ac:dyDescent="0.25">
      <c r="A1790" s="35">
        <v>1178096154</v>
      </c>
      <c r="B1790" s="35" t="s">
        <v>4070</v>
      </c>
      <c r="C1790" s="35">
        <v>2024</v>
      </c>
      <c r="D1790" s="36">
        <v>45577.824074074073</v>
      </c>
      <c r="E1790" s="37" t="s">
        <v>1810</v>
      </c>
      <c r="F1790" s="37" t="s">
        <v>4790</v>
      </c>
      <c r="G1790" s="37" t="s">
        <v>3770</v>
      </c>
      <c r="H1790" s="35" t="s">
        <v>3419</v>
      </c>
      <c r="I1790" s="35" t="s">
        <v>3416</v>
      </c>
      <c r="J1790" s="38">
        <v>33.530555370801459</v>
      </c>
      <c r="K1790" s="35">
        <v>2</v>
      </c>
      <c r="L1790" s="38">
        <f t="shared" si="27"/>
        <v>67.061110741602917</v>
      </c>
      <c r="M1790" s="35" t="s">
        <v>11</v>
      </c>
      <c r="N1790" s="38"/>
      <c r="O1790" s="35" t="s">
        <v>12</v>
      </c>
    </row>
    <row r="1791" spans="1:15" x14ac:dyDescent="0.25">
      <c r="A1791" s="35">
        <v>1178096154</v>
      </c>
      <c r="B1791" s="35" t="s">
        <v>4070</v>
      </c>
      <c r="C1791" s="35">
        <v>2024</v>
      </c>
      <c r="D1791" s="36">
        <v>45577.824074074073</v>
      </c>
      <c r="E1791" s="37" t="s">
        <v>1810</v>
      </c>
      <c r="F1791" s="37" t="s">
        <v>4819</v>
      </c>
      <c r="G1791" s="37" t="s">
        <v>3712</v>
      </c>
      <c r="H1791" s="35" t="s">
        <v>3415</v>
      </c>
      <c r="I1791" s="35" t="s">
        <v>3416</v>
      </c>
      <c r="J1791" s="38">
        <v>4.4722314599268377E-2</v>
      </c>
      <c r="K1791" s="35">
        <v>4</v>
      </c>
      <c r="L1791" s="38">
        <f t="shared" si="27"/>
        <v>0.17888925839707351</v>
      </c>
      <c r="M1791" s="35" t="s">
        <v>11</v>
      </c>
      <c r="N1791" s="38"/>
      <c r="O1791" s="35" t="s">
        <v>12</v>
      </c>
    </row>
    <row r="1792" spans="1:15" x14ac:dyDescent="0.25">
      <c r="A1792" s="35">
        <v>1177755570</v>
      </c>
      <c r="B1792" s="35" t="s">
        <v>4070</v>
      </c>
      <c r="C1792" s="35">
        <v>2024</v>
      </c>
      <c r="D1792" s="36">
        <v>45575.6481712963</v>
      </c>
      <c r="E1792" s="37" t="s">
        <v>1815</v>
      </c>
      <c r="F1792" s="37" t="s">
        <v>4821</v>
      </c>
      <c r="G1792" s="37" t="s">
        <v>3945</v>
      </c>
      <c r="H1792" s="35" t="s">
        <v>3415</v>
      </c>
      <c r="I1792" s="35" t="s">
        <v>3416</v>
      </c>
      <c r="J1792" s="38">
        <v>1.3049999999999999</v>
      </c>
      <c r="K1792" s="35">
        <v>4</v>
      </c>
      <c r="L1792" s="38">
        <f t="shared" si="27"/>
        <v>5.22</v>
      </c>
      <c r="M1792" s="35" t="s">
        <v>11</v>
      </c>
      <c r="N1792" s="38"/>
      <c r="O1792" s="35" t="s">
        <v>12</v>
      </c>
    </row>
    <row r="1793" spans="1:15" x14ac:dyDescent="0.25">
      <c r="A1793" s="35">
        <v>1177755491</v>
      </c>
      <c r="B1793" s="35" t="s">
        <v>4070</v>
      </c>
      <c r="C1793" s="35">
        <v>2024</v>
      </c>
      <c r="D1793" s="36">
        <v>45575.6481712963</v>
      </c>
      <c r="E1793" s="37" t="s">
        <v>318</v>
      </c>
      <c r="F1793" s="37" t="s">
        <v>4822</v>
      </c>
      <c r="G1793" s="37" t="s">
        <v>3925</v>
      </c>
      <c r="H1793" s="35" t="s">
        <v>3415</v>
      </c>
      <c r="I1793" s="35" t="s">
        <v>3416</v>
      </c>
      <c r="J1793" s="38">
        <v>0.26263056092843329</v>
      </c>
      <c r="K1793" s="35">
        <v>4</v>
      </c>
      <c r="L1793" s="38">
        <f t="shared" si="27"/>
        <v>1.0505222437137332</v>
      </c>
      <c r="M1793" s="35" t="s">
        <v>11</v>
      </c>
      <c r="N1793" s="38"/>
      <c r="O1793" s="35" t="s">
        <v>12</v>
      </c>
    </row>
    <row r="1794" spans="1:15" x14ac:dyDescent="0.25">
      <c r="A1794" s="35">
        <v>1177755491</v>
      </c>
      <c r="B1794" s="35" t="s">
        <v>4070</v>
      </c>
      <c r="C1794" s="35">
        <v>2024</v>
      </c>
      <c r="D1794" s="36">
        <v>45575.6481712963</v>
      </c>
      <c r="E1794" s="37" t="s">
        <v>318</v>
      </c>
      <c r="F1794" s="37" t="s">
        <v>4823</v>
      </c>
      <c r="G1794" s="37" t="s">
        <v>3726</v>
      </c>
      <c r="H1794" s="35" t="s">
        <v>3415</v>
      </c>
      <c r="I1794" s="35" t="s">
        <v>3416</v>
      </c>
      <c r="J1794" s="38">
        <v>1.083351063829787</v>
      </c>
      <c r="K1794" s="35">
        <v>4</v>
      </c>
      <c r="L1794" s="38">
        <f t="shared" ref="L1794:L1857" si="28">J1794*K1794</f>
        <v>4.3334042553191479</v>
      </c>
      <c r="M1794" s="35" t="s">
        <v>11</v>
      </c>
      <c r="N1794" s="38"/>
      <c r="O1794" s="35" t="s">
        <v>12</v>
      </c>
    </row>
    <row r="1795" spans="1:15" x14ac:dyDescent="0.25">
      <c r="A1795" s="35">
        <v>1177755491</v>
      </c>
      <c r="B1795" s="35" t="s">
        <v>4070</v>
      </c>
      <c r="C1795" s="35">
        <v>2024</v>
      </c>
      <c r="D1795" s="36">
        <v>45575.6481712963</v>
      </c>
      <c r="E1795" s="37" t="s">
        <v>318</v>
      </c>
      <c r="F1795" s="37" t="s">
        <v>4824</v>
      </c>
      <c r="G1795" s="37" t="s">
        <v>4166</v>
      </c>
      <c r="H1795" s="35" t="s">
        <v>3415</v>
      </c>
      <c r="I1795" s="35" t="s">
        <v>3416</v>
      </c>
      <c r="J1795" s="38">
        <v>0.26263056092843329</v>
      </c>
      <c r="K1795" s="35">
        <v>4</v>
      </c>
      <c r="L1795" s="38">
        <f t="shared" si="28"/>
        <v>1.0505222437137332</v>
      </c>
      <c r="M1795" s="35" t="s">
        <v>11</v>
      </c>
      <c r="N1795" s="38"/>
      <c r="O1795" s="35" t="s">
        <v>12</v>
      </c>
    </row>
    <row r="1796" spans="1:15" x14ac:dyDescent="0.25">
      <c r="A1796" s="35">
        <v>1177755491</v>
      </c>
      <c r="B1796" s="35" t="s">
        <v>4070</v>
      </c>
      <c r="C1796" s="35">
        <v>2024</v>
      </c>
      <c r="D1796" s="36">
        <v>45575.6481712963</v>
      </c>
      <c r="E1796" s="37" t="s">
        <v>318</v>
      </c>
      <c r="F1796" s="37" t="s">
        <v>4825</v>
      </c>
      <c r="G1796" s="37" t="s">
        <v>3879</v>
      </c>
      <c r="H1796" s="35" t="s">
        <v>3415</v>
      </c>
      <c r="I1796" s="35" t="s">
        <v>3416</v>
      </c>
      <c r="J1796" s="38">
        <v>0.53620406189555125</v>
      </c>
      <c r="K1796" s="35">
        <v>4</v>
      </c>
      <c r="L1796" s="38">
        <f t="shared" si="28"/>
        <v>2.144816247582205</v>
      </c>
      <c r="M1796" s="35" t="s">
        <v>11</v>
      </c>
      <c r="N1796" s="38"/>
      <c r="O1796" s="35" t="s">
        <v>12</v>
      </c>
    </row>
    <row r="1797" spans="1:15" x14ac:dyDescent="0.25">
      <c r="A1797" s="35">
        <v>1177755491</v>
      </c>
      <c r="B1797" s="35" t="s">
        <v>4070</v>
      </c>
      <c r="C1797" s="35">
        <v>2024</v>
      </c>
      <c r="D1797" s="36">
        <v>45575.6481712963</v>
      </c>
      <c r="E1797" s="37" t="s">
        <v>318</v>
      </c>
      <c r="F1797" s="37" t="s">
        <v>4826</v>
      </c>
      <c r="G1797" s="37" t="s">
        <v>3726</v>
      </c>
      <c r="H1797" s="35" t="s">
        <v>3415</v>
      </c>
      <c r="I1797" s="35" t="s">
        <v>3416</v>
      </c>
      <c r="J1797" s="38">
        <v>0.26263056092843329</v>
      </c>
      <c r="K1797" s="35">
        <v>4</v>
      </c>
      <c r="L1797" s="38">
        <f t="shared" si="28"/>
        <v>1.0505222437137332</v>
      </c>
      <c r="M1797" s="35" t="s">
        <v>11</v>
      </c>
      <c r="N1797" s="38"/>
      <c r="O1797" s="35" t="s">
        <v>12</v>
      </c>
    </row>
    <row r="1798" spans="1:15" x14ac:dyDescent="0.25">
      <c r="A1798" s="35">
        <v>1177755491</v>
      </c>
      <c r="B1798" s="35" t="s">
        <v>4070</v>
      </c>
      <c r="C1798" s="35">
        <v>2024</v>
      </c>
      <c r="D1798" s="36">
        <v>45575.6481712963</v>
      </c>
      <c r="E1798" s="37" t="s">
        <v>318</v>
      </c>
      <c r="F1798" s="37" t="s">
        <v>4827</v>
      </c>
      <c r="G1798" s="37" t="s">
        <v>3712</v>
      </c>
      <c r="H1798" s="35" t="s">
        <v>3419</v>
      </c>
      <c r="I1798" s="35" t="s">
        <v>3416</v>
      </c>
      <c r="J1798" s="38">
        <v>4.3662330754352032</v>
      </c>
      <c r="K1798" s="35">
        <v>2</v>
      </c>
      <c r="L1798" s="38">
        <f t="shared" si="28"/>
        <v>8.7324661508704065</v>
      </c>
      <c r="M1798" s="35" t="s">
        <v>11</v>
      </c>
      <c r="N1798" s="38"/>
      <c r="O1798" s="35" t="s">
        <v>12</v>
      </c>
    </row>
    <row r="1799" spans="1:15" x14ac:dyDescent="0.25">
      <c r="A1799" s="35">
        <v>1177755491</v>
      </c>
      <c r="B1799" s="35" t="s">
        <v>4070</v>
      </c>
      <c r="C1799" s="35">
        <v>2024</v>
      </c>
      <c r="D1799" s="36">
        <v>45575.6481712963</v>
      </c>
      <c r="E1799" s="37" t="s">
        <v>318</v>
      </c>
      <c r="F1799" s="37" t="s">
        <v>4828</v>
      </c>
      <c r="G1799" s="37" t="s">
        <v>3687</v>
      </c>
      <c r="H1799" s="35" t="s">
        <v>3415</v>
      </c>
      <c r="I1799" s="35" t="s">
        <v>3416</v>
      </c>
      <c r="J1799" s="38">
        <v>0.53620406189555125</v>
      </c>
      <c r="K1799" s="35">
        <v>4</v>
      </c>
      <c r="L1799" s="38">
        <f t="shared" si="28"/>
        <v>2.144816247582205</v>
      </c>
      <c r="M1799" s="35" t="s">
        <v>11</v>
      </c>
      <c r="N1799" s="38"/>
      <c r="O1799" s="35" t="s">
        <v>12</v>
      </c>
    </row>
    <row r="1800" spans="1:15" x14ac:dyDescent="0.25">
      <c r="A1800" s="35">
        <v>1177755491</v>
      </c>
      <c r="B1800" s="35" t="s">
        <v>4070</v>
      </c>
      <c r="C1800" s="35">
        <v>2024</v>
      </c>
      <c r="D1800" s="36">
        <v>45575.6481712963</v>
      </c>
      <c r="E1800" s="37" t="s">
        <v>318</v>
      </c>
      <c r="F1800" s="37" t="s">
        <v>4829</v>
      </c>
      <c r="G1800" s="37" t="s">
        <v>3712</v>
      </c>
      <c r="H1800" s="35" t="s">
        <v>3415</v>
      </c>
      <c r="I1800" s="35" t="s">
        <v>3416</v>
      </c>
      <c r="J1800" s="38">
        <v>0.26263056092843329</v>
      </c>
      <c r="K1800" s="35">
        <v>4</v>
      </c>
      <c r="L1800" s="38">
        <f t="shared" si="28"/>
        <v>1.0505222437137332</v>
      </c>
      <c r="M1800" s="35" t="s">
        <v>11</v>
      </c>
      <c r="N1800" s="38"/>
      <c r="O1800" s="35" t="s">
        <v>12</v>
      </c>
    </row>
    <row r="1801" spans="1:15" x14ac:dyDescent="0.25">
      <c r="A1801" s="35">
        <v>1177755491</v>
      </c>
      <c r="B1801" s="35" t="s">
        <v>4070</v>
      </c>
      <c r="C1801" s="35">
        <v>2024</v>
      </c>
      <c r="D1801" s="36">
        <v>45575.6481712963</v>
      </c>
      <c r="E1801" s="37" t="s">
        <v>318</v>
      </c>
      <c r="F1801" s="37" t="s">
        <v>4198</v>
      </c>
      <c r="G1801" s="37" t="s">
        <v>3729</v>
      </c>
      <c r="H1801" s="35" t="s">
        <v>3419</v>
      </c>
      <c r="I1801" s="35" t="s">
        <v>3416</v>
      </c>
      <c r="J1801" s="38">
        <v>0.53620406189555125</v>
      </c>
      <c r="K1801" s="35">
        <v>2</v>
      </c>
      <c r="L1801" s="38">
        <f t="shared" si="28"/>
        <v>1.0724081237911025</v>
      </c>
      <c r="M1801" s="35" t="s">
        <v>11</v>
      </c>
      <c r="N1801" s="38"/>
      <c r="O1801" s="35" t="s">
        <v>12</v>
      </c>
    </row>
    <row r="1802" spans="1:15" x14ac:dyDescent="0.25">
      <c r="A1802" s="35">
        <v>1177698001</v>
      </c>
      <c r="B1802" s="35" t="s">
        <v>4070</v>
      </c>
      <c r="C1802" s="35">
        <v>2024</v>
      </c>
      <c r="D1802" s="36">
        <v>45574.876527777778</v>
      </c>
      <c r="E1802" s="37" t="s">
        <v>414</v>
      </c>
      <c r="F1802" s="37" t="s">
        <v>4830</v>
      </c>
      <c r="G1802" s="37" t="s">
        <v>4646</v>
      </c>
      <c r="H1802" s="35" t="s">
        <v>3419</v>
      </c>
      <c r="I1802" s="35" t="s">
        <v>3453</v>
      </c>
      <c r="J1802" s="38">
        <v>3.218845671267252</v>
      </c>
      <c r="K1802" s="35">
        <v>2</v>
      </c>
      <c r="L1802" s="38">
        <f t="shared" si="28"/>
        <v>6.4376913425345039</v>
      </c>
      <c r="M1802" s="35" t="s">
        <v>11</v>
      </c>
      <c r="N1802" s="38"/>
      <c r="O1802" s="35" t="s">
        <v>12</v>
      </c>
    </row>
    <row r="1803" spans="1:15" x14ac:dyDescent="0.25">
      <c r="A1803" s="35">
        <v>1177698001</v>
      </c>
      <c r="B1803" s="35" t="s">
        <v>4070</v>
      </c>
      <c r="C1803" s="35">
        <v>2024</v>
      </c>
      <c r="D1803" s="36">
        <v>45574.876527777778</v>
      </c>
      <c r="E1803" s="37" t="s">
        <v>414</v>
      </c>
      <c r="F1803" s="37" t="s">
        <v>4831</v>
      </c>
      <c r="G1803" s="37" t="s">
        <v>3689</v>
      </c>
      <c r="H1803" s="35" t="s">
        <v>3415</v>
      </c>
      <c r="I1803" s="35" t="s">
        <v>3453</v>
      </c>
      <c r="J1803" s="38">
        <v>2.6805771643663738</v>
      </c>
      <c r="K1803" s="35">
        <v>4</v>
      </c>
      <c r="L1803" s="38">
        <f t="shared" si="28"/>
        <v>10.722308657465495</v>
      </c>
      <c r="M1803" s="35" t="s">
        <v>11</v>
      </c>
      <c r="N1803" s="38"/>
      <c r="O1803" s="35" t="s">
        <v>12</v>
      </c>
    </row>
    <row r="1804" spans="1:15" x14ac:dyDescent="0.25">
      <c r="A1804" s="35">
        <v>1177465113</v>
      </c>
      <c r="B1804" s="35" t="s">
        <v>4070</v>
      </c>
      <c r="C1804" s="35">
        <v>2024</v>
      </c>
      <c r="D1804" s="36">
        <v>45573.465775462973</v>
      </c>
      <c r="E1804" s="37" t="s">
        <v>8</v>
      </c>
      <c r="F1804" s="37" t="s">
        <v>4834</v>
      </c>
      <c r="G1804" s="37" t="s">
        <v>3770</v>
      </c>
      <c r="H1804" s="35" t="s">
        <v>3415</v>
      </c>
      <c r="I1804" s="35" t="s">
        <v>3416</v>
      </c>
      <c r="J1804" s="38">
        <v>7.85</v>
      </c>
      <c r="K1804" s="35">
        <v>4</v>
      </c>
      <c r="L1804" s="38">
        <f t="shared" si="28"/>
        <v>31.4</v>
      </c>
      <c r="M1804" s="42" t="s">
        <v>11</v>
      </c>
      <c r="N1804" s="38"/>
      <c r="O1804" s="35" t="s">
        <v>12</v>
      </c>
    </row>
    <row r="1805" spans="1:15" x14ac:dyDescent="0.25">
      <c r="A1805" s="35">
        <v>1177000590</v>
      </c>
      <c r="B1805" s="35" t="s">
        <v>4070</v>
      </c>
      <c r="C1805" s="35">
        <v>2024</v>
      </c>
      <c r="D1805" s="36">
        <v>45570.434849537043</v>
      </c>
      <c r="E1805" s="37" t="s">
        <v>1163</v>
      </c>
      <c r="F1805" s="37" t="s">
        <v>4321</v>
      </c>
      <c r="G1805" s="37" t="s">
        <v>4322</v>
      </c>
      <c r="H1805" s="35" t="s">
        <v>3419</v>
      </c>
      <c r="I1805" s="35" t="s">
        <v>3416</v>
      </c>
      <c r="J1805" s="38">
        <v>18.07</v>
      </c>
      <c r="K1805" s="35">
        <v>1</v>
      </c>
      <c r="L1805" s="38">
        <f t="shared" si="28"/>
        <v>18.07</v>
      </c>
      <c r="M1805" s="35" t="s">
        <v>11</v>
      </c>
      <c r="N1805" s="38"/>
      <c r="O1805" s="35" t="s">
        <v>12</v>
      </c>
    </row>
    <row r="1806" spans="1:15" x14ac:dyDescent="0.25">
      <c r="A1806" s="35">
        <v>1176992416</v>
      </c>
      <c r="B1806" s="35" t="s">
        <v>4070</v>
      </c>
      <c r="C1806" s="35">
        <v>2024</v>
      </c>
      <c r="D1806" s="36">
        <v>45570.411724537043</v>
      </c>
      <c r="E1806" s="37" t="s">
        <v>8</v>
      </c>
      <c r="F1806" s="37" t="s">
        <v>4071</v>
      </c>
      <c r="G1806" s="37" t="s">
        <v>3770</v>
      </c>
      <c r="H1806" s="35" t="s">
        <v>3415</v>
      </c>
      <c r="I1806" s="35" t="s">
        <v>3416</v>
      </c>
      <c r="J1806" s="38">
        <v>9.75</v>
      </c>
      <c r="K1806" s="35">
        <v>4</v>
      </c>
      <c r="L1806" s="38">
        <f t="shared" si="28"/>
        <v>39</v>
      </c>
      <c r="M1806" s="42" t="s">
        <v>11</v>
      </c>
      <c r="N1806" s="38"/>
      <c r="O1806" s="35" t="s">
        <v>12</v>
      </c>
    </row>
    <row r="1807" spans="1:15" ht="30" x14ac:dyDescent="0.25">
      <c r="A1807" s="35">
        <v>1176843944</v>
      </c>
      <c r="B1807" s="35" t="s">
        <v>4070</v>
      </c>
      <c r="C1807" s="35">
        <v>2024</v>
      </c>
      <c r="D1807" s="36">
        <v>45569.332673611112</v>
      </c>
      <c r="E1807" s="37" t="s">
        <v>1826</v>
      </c>
      <c r="F1807" s="37" t="s">
        <v>4820</v>
      </c>
      <c r="G1807" s="37" t="s">
        <v>3520</v>
      </c>
      <c r="H1807" s="35" t="s">
        <v>3419</v>
      </c>
      <c r="I1807" s="35" t="s">
        <v>3416</v>
      </c>
      <c r="J1807" s="38">
        <v>50.47</v>
      </c>
      <c r="K1807" s="35">
        <v>1</v>
      </c>
      <c r="L1807" s="38">
        <f t="shared" si="28"/>
        <v>50.47</v>
      </c>
      <c r="M1807" s="35" t="s">
        <v>11</v>
      </c>
      <c r="N1807" s="38"/>
      <c r="O1807" s="35" t="s">
        <v>12</v>
      </c>
    </row>
    <row r="1808" spans="1:15" x14ac:dyDescent="0.25">
      <c r="A1808" s="35">
        <v>1176841022</v>
      </c>
      <c r="B1808" s="35" t="s">
        <v>4070</v>
      </c>
      <c r="C1808" s="35">
        <v>2024</v>
      </c>
      <c r="D1808" s="36">
        <v>45569.305300925917</v>
      </c>
      <c r="E1808" s="37" t="s">
        <v>1831</v>
      </c>
      <c r="F1808" s="37" t="s">
        <v>4835</v>
      </c>
      <c r="G1808" s="37" t="s">
        <v>3925</v>
      </c>
      <c r="H1808" s="35" t="s">
        <v>3419</v>
      </c>
      <c r="I1808" s="35" t="s">
        <v>3416</v>
      </c>
      <c r="J1808" s="38">
        <v>4.01</v>
      </c>
      <c r="K1808" s="35">
        <v>2</v>
      </c>
      <c r="L1808" s="38">
        <f t="shared" si="28"/>
        <v>8.02</v>
      </c>
      <c r="M1808" s="35" t="s">
        <v>11</v>
      </c>
      <c r="N1808" s="38"/>
      <c r="O1808" s="35" t="s">
        <v>12</v>
      </c>
    </row>
    <row r="1809" spans="1:15" x14ac:dyDescent="0.25">
      <c r="A1809" s="35">
        <v>1176840647</v>
      </c>
      <c r="B1809" s="35" t="s">
        <v>4070</v>
      </c>
      <c r="C1809" s="35">
        <v>2024</v>
      </c>
      <c r="D1809" s="36">
        <v>45569.302847222221</v>
      </c>
      <c r="E1809" s="37" t="s">
        <v>1833</v>
      </c>
      <c r="F1809" s="37" t="s">
        <v>4218</v>
      </c>
      <c r="G1809" s="37" t="s">
        <v>3694</v>
      </c>
      <c r="H1809" s="35" t="s">
        <v>3419</v>
      </c>
      <c r="I1809" s="35" t="s">
        <v>3416</v>
      </c>
      <c r="J1809" s="38">
        <v>18.72</v>
      </c>
      <c r="K1809" s="35">
        <v>1</v>
      </c>
      <c r="L1809" s="38">
        <f t="shared" si="28"/>
        <v>18.72</v>
      </c>
      <c r="M1809" s="35" t="s">
        <v>11</v>
      </c>
      <c r="N1809" s="38"/>
      <c r="O1809" s="35" t="s">
        <v>12</v>
      </c>
    </row>
    <row r="1810" spans="1:15" x14ac:dyDescent="0.25">
      <c r="A1810" s="35">
        <v>1176840646</v>
      </c>
      <c r="B1810" s="35" t="s">
        <v>4070</v>
      </c>
      <c r="C1810" s="35">
        <v>2024</v>
      </c>
      <c r="D1810" s="36">
        <v>45569.302847222221</v>
      </c>
      <c r="E1810" s="37" t="s">
        <v>1835</v>
      </c>
      <c r="F1810" s="37" t="s">
        <v>4218</v>
      </c>
      <c r="G1810" s="37" t="s">
        <v>3694</v>
      </c>
      <c r="H1810" s="35" t="s">
        <v>3419</v>
      </c>
      <c r="I1810" s="35" t="s">
        <v>3416</v>
      </c>
      <c r="J1810" s="38">
        <v>18.72</v>
      </c>
      <c r="K1810" s="35">
        <v>1</v>
      </c>
      <c r="L1810" s="38">
        <f t="shared" si="28"/>
        <v>18.72</v>
      </c>
      <c r="M1810" s="35" t="s">
        <v>11</v>
      </c>
      <c r="N1810" s="38"/>
      <c r="O1810" s="35" t="s">
        <v>12</v>
      </c>
    </row>
    <row r="1811" spans="1:15" x14ac:dyDescent="0.25">
      <c r="A1811" s="35">
        <v>1176840322</v>
      </c>
      <c r="B1811" s="35" t="s">
        <v>4070</v>
      </c>
      <c r="C1811" s="35">
        <v>2024</v>
      </c>
      <c r="D1811" s="36">
        <v>45569.302847222221</v>
      </c>
      <c r="E1811" s="37" t="s">
        <v>1837</v>
      </c>
      <c r="F1811" s="37" t="s">
        <v>4221</v>
      </c>
      <c r="G1811" s="37" t="s">
        <v>1210</v>
      </c>
      <c r="H1811" s="35" t="s">
        <v>3419</v>
      </c>
      <c r="I1811" s="35" t="s">
        <v>3416</v>
      </c>
      <c r="J1811" s="38">
        <v>15.72</v>
      </c>
      <c r="K1811" s="35">
        <v>1</v>
      </c>
      <c r="L1811" s="38">
        <f t="shared" si="28"/>
        <v>15.72</v>
      </c>
      <c r="M1811" s="35" t="s">
        <v>11</v>
      </c>
      <c r="N1811" s="38"/>
      <c r="O1811" s="35" t="s">
        <v>12</v>
      </c>
    </row>
    <row r="1812" spans="1:15" x14ac:dyDescent="0.25">
      <c r="A1812" s="35">
        <v>1176840190</v>
      </c>
      <c r="B1812" s="35" t="s">
        <v>4070</v>
      </c>
      <c r="C1812" s="35">
        <v>2024</v>
      </c>
      <c r="D1812" s="36">
        <v>45569.302847222221</v>
      </c>
      <c r="E1812" s="37" t="s">
        <v>1839</v>
      </c>
      <c r="F1812" s="37" t="s">
        <v>4836</v>
      </c>
      <c r="G1812" s="37" t="s">
        <v>4215</v>
      </c>
      <c r="H1812" s="35" t="s">
        <v>3419</v>
      </c>
      <c r="I1812" s="35" t="s">
        <v>3416</v>
      </c>
      <c r="J1812" s="38">
        <v>1.56</v>
      </c>
      <c r="K1812" s="35">
        <v>2</v>
      </c>
      <c r="L1812" s="38">
        <f t="shared" si="28"/>
        <v>3.12</v>
      </c>
      <c r="M1812" s="35" t="s">
        <v>11</v>
      </c>
      <c r="N1812" s="38"/>
      <c r="O1812" s="35" t="s">
        <v>12</v>
      </c>
    </row>
    <row r="1813" spans="1:15" x14ac:dyDescent="0.25">
      <c r="A1813" s="35">
        <v>1176837643</v>
      </c>
      <c r="B1813" s="35" t="s">
        <v>4070</v>
      </c>
      <c r="C1813" s="35">
        <v>2024</v>
      </c>
      <c r="D1813" s="36">
        <v>45569.27449074074</v>
      </c>
      <c r="E1813" s="37" t="s">
        <v>61</v>
      </c>
      <c r="F1813" s="37" t="s">
        <v>4837</v>
      </c>
      <c r="G1813" s="37" t="s">
        <v>3687</v>
      </c>
      <c r="H1813" s="35" t="s">
        <v>3415</v>
      </c>
      <c r="I1813" s="35" t="s">
        <v>3416</v>
      </c>
      <c r="J1813" s="38">
        <v>5.99</v>
      </c>
      <c r="K1813" s="35">
        <v>4</v>
      </c>
      <c r="L1813" s="38">
        <f t="shared" si="28"/>
        <v>23.96</v>
      </c>
      <c r="M1813" s="42" t="s">
        <v>11</v>
      </c>
      <c r="N1813" s="38"/>
      <c r="O1813" s="35" t="s">
        <v>12</v>
      </c>
    </row>
    <row r="1814" spans="1:15" x14ac:dyDescent="0.25">
      <c r="A1814" s="35">
        <v>1176837004</v>
      </c>
      <c r="B1814" s="35" t="s">
        <v>4070</v>
      </c>
      <c r="C1814" s="35">
        <v>2024</v>
      </c>
      <c r="D1814" s="36">
        <v>45569.274189814823</v>
      </c>
      <c r="E1814" s="37" t="s">
        <v>414</v>
      </c>
      <c r="F1814" s="37" t="s">
        <v>4838</v>
      </c>
      <c r="G1814" s="37" t="s">
        <v>3776</v>
      </c>
      <c r="H1814" s="35" t="s">
        <v>3415</v>
      </c>
      <c r="I1814" s="35" t="s">
        <v>3416</v>
      </c>
      <c r="J1814" s="38">
        <v>0.55499999999999994</v>
      </c>
      <c r="K1814" s="35">
        <v>4</v>
      </c>
      <c r="L1814" s="38">
        <f t="shared" si="28"/>
        <v>2.2199999999999998</v>
      </c>
      <c r="M1814" s="35" t="s">
        <v>11</v>
      </c>
      <c r="N1814" s="38"/>
      <c r="O1814" s="35" t="s">
        <v>12</v>
      </c>
    </row>
    <row r="1815" spans="1:15" x14ac:dyDescent="0.25">
      <c r="A1815" s="35">
        <v>1176836891</v>
      </c>
      <c r="B1815" s="35" t="s">
        <v>4070</v>
      </c>
      <c r="C1815" s="35">
        <v>2024</v>
      </c>
      <c r="D1815" s="36">
        <v>45569.274189814823</v>
      </c>
      <c r="E1815" s="37" t="s">
        <v>1845</v>
      </c>
      <c r="F1815" s="37" t="s">
        <v>4839</v>
      </c>
      <c r="G1815" s="37" t="s">
        <v>3687</v>
      </c>
      <c r="H1815" s="35" t="s">
        <v>3415</v>
      </c>
      <c r="I1815" s="35" t="s">
        <v>3416</v>
      </c>
      <c r="J1815" s="38">
        <v>1.2346153846153849</v>
      </c>
      <c r="K1815" s="35">
        <v>4</v>
      </c>
      <c r="L1815" s="38">
        <f t="shared" si="28"/>
        <v>4.9384615384615396</v>
      </c>
      <c r="M1815" s="35" t="s">
        <v>11</v>
      </c>
      <c r="N1815" s="38"/>
      <c r="O1815" s="35" t="s">
        <v>12</v>
      </c>
    </row>
    <row r="1816" spans="1:15" x14ac:dyDescent="0.25">
      <c r="A1816" s="35">
        <v>1176836891</v>
      </c>
      <c r="B1816" s="35" t="s">
        <v>4070</v>
      </c>
      <c r="C1816" s="35">
        <v>2024</v>
      </c>
      <c r="D1816" s="36">
        <v>45569.274189814823</v>
      </c>
      <c r="E1816" s="37" t="s">
        <v>1845</v>
      </c>
      <c r="F1816" s="37" t="s">
        <v>4840</v>
      </c>
      <c r="G1816" s="37" t="s">
        <v>3687</v>
      </c>
      <c r="H1816" s="35" t="s">
        <v>3415</v>
      </c>
      <c r="I1816" s="35" t="s">
        <v>3416</v>
      </c>
      <c r="J1816" s="38">
        <v>0.24692307692307691</v>
      </c>
      <c r="K1816" s="35">
        <v>4</v>
      </c>
      <c r="L1816" s="38">
        <f t="shared" si="28"/>
        <v>0.98769230769230765</v>
      </c>
      <c r="M1816" s="35" t="s">
        <v>11</v>
      </c>
      <c r="N1816" s="38"/>
      <c r="O1816" s="35" t="s">
        <v>12</v>
      </c>
    </row>
    <row r="1817" spans="1:15" x14ac:dyDescent="0.25">
      <c r="A1817" s="35">
        <v>1176836891</v>
      </c>
      <c r="B1817" s="35" t="s">
        <v>4070</v>
      </c>
      <c r="C1817" s="35">
        <v>2024</v>
      </c>
      <c r="D1817" s="36">
        <v>45569.274189814823</v>
      </c>
      <c r="E1817" s="37" t="s">
        <v>1845</v>
      </c>
      <c r="F1817" s="37" t="s">
        <v>4841</v>
      </c>
      <c r="G1817" s="37" t="s">
        <v>3687</v>
      </c>
      <c r="H1817" s="35" t="s">
        <v>3419</v>
      </c>
      <c r="I1817" s="35" t="s">
        <v>3416</v>
      </c>
      <c r="J1817" s="38">
        <v>0.24692307692307691</v>
      </c>
      <c r="K1817" s="35">
        <v>2</v>
      </c>
      <c r="L1817" s="38">
        <f t="shared" si="28"/>
        <v>0.49384615384615382</v>
      </c>
      <c r="M1817" s="35" t="s">
        <v>11</v>
      </c>
      <c r="N1817" s="38"/>
      <c r="O1817" s="35" t="s">
        <v>12</v>
      </c>
    </row>
    <row r="1818" spans="1:15" x14ac:dyDescent="0.25">
      <c r="A1818" s="35">
        <v>1176534065</v>
      </c>
      <c r="B1818" s="35" t="s">
        <v>4070</v>
      </c>
      <c r="C1818" s="35">
        <v>2024</v>
      </c>
      <c r="D1818" s="36">
        <v>45567.269687499997</v>
      </c>
      <c r="E1818" s="37" t="s">
        <v>181</v>
      </c>
      <c r="F1818" s="37" t="s">
        <v>4842</v>
      </c>
      <c r="G1818" s="37" t="s">
        <v>4392</v>
      </c>
      <c r="H1818" s="35" t="s">
        <v>3415</v>
      </c>
      <c r="I1818" s="35" t="s">
        <v>3416</v>
      </c>
      <c r="J1818" s="38">
        <v>0.64974770642201829</v>
      </c>
      <c r="K1818" s="35">
        <v>4</v>
      </c>
      <c r="L1818" s="38">
        <f t="shared" si="28"/>
        <v>2.5989908256880732</v>
      </c>
      <c r="M1818" s="35" t="s">
        <v>11</v>
      </c>
      <c r="N1818" s="38"/>
      <c r="O1818" s="35" t="s">
        <v>12</v>
      </c>
    </row>
    <row r="1819" spans="1:15" x14ac:dyDescent="0.25">
      <c r="A1819" s="35">
        <v>1176534065</v>
      </c>
      <c r="B1819" s="35" t="s">
        <v>4070</v>
      </c>
      <c r="C1819" s="35">
        <v>2024</v>
      </c>
      <c r="D1819" s="36">
        <v>45567.269687499997</v>
      </c>
      <c r="E1819" s="37" t="s">
        <v>181</v>
      </c>
      <c r="F1819" s="37" t="s">
        <v>3818</v>
      </c>
      <c r="G1819" s="37" t="s">
        <v>4392</v>
      </c>
      <c r="H1819" s="35" t="s">
        <v>3415</v>
      </c>
      <c r="I1819" s="35" t="s">
        <v>3416</v>
      </c>
      <c r="J1819" s="38">
        <v>1.835252293577982</v>
      </c>
      <c r="K1819" s="35">
        <v>4</v>
      </c>
      <c r="L1819" s="38">
        <f t="shared" si="28"/>
        <v>7.3410091743119281</v>
      </c>
      <c r="M1819" s="35" t="s">
        <v>11</v>
      </c>
      <c r="N1819" s="38"/>
      <c r="O1819" s="35" t="s">
        <v>12</v>
      </c>
    </row>
    <row r="1820" spans="1:15" x14ac:dyDescent="0.25">
      <c r="A1820" s="35" t="s">
        <v>1848</v>
      </c>
      <c r="B1820" s="35" t="s">
        <v>4070</v>
      </c>
      <c r="C1820" s="35">
        <v>2024</v>
      </c>
      <c r="D1820" s="36">
        <v>45566</v>
      </c>
      <c r="E1820" s="37" t="s">
        <v>1849</v>
      </c>
      <c r="F1820" s="37" t="s">
        <v>4843</v>
      </c>
      <c r="G1820" s="37" t="s">
        <v>3742</v>
      </c>
      <c r="H1820" s="35" t="s">
        <v>3415</v>
      </c>
      <c r="I1820" s="35" t="s">
        <v>3453</v>
      </c>
      <c r="J1820" s="38">
        <v>12</v>
      </c>
      <c r="K1820" s="35">
        <v>1</v>
      </c>
      <c r="L1820" s="38">
        <f t="shared" si="28"/>
        <v>12</v>
      </c>
      <c r="M1820" s="35" t="s">
        <v>11</v>
      </c>
      <c r="N1820" s="38"/>
      <c r="O1820" s="35" t="s">
        <v>12</v>
      </c>
    </row>
    <row r="1821" spans="1:15" x14ac:dyDescent="0.25">
      <c r="A1821" s="35">
        <v>1176289304</v>
      </c>
      <c r="B1821" s="35" t="s">
        <v>4132</v>
      </c>
      <c r="C1821" s="35">
        <v>2024</v>
      </c>
      <c r="D1821" s="36">
        <v>45565.690694444442</v>
      </c>
      <c r="E1821" s="37" t="s">
        <v>1858</v>
      </c>
      <c r="F1821" s="37" t="s">
        <v>4845</v>
      </c>
      <c r="G1821" s="37" t="s">
        <v>4166</v>
      </c>
      <c r="H1821" s="35" t="s">
        <v>3415</v>
      </c>
      <c r="I1821" s="35" t="s">
        <v>3416</v>
      </c>
      <c r="J1821" s="38">
        <v>0.505</v>
      </c>
      <c r="K1821" s="35">
        <v>4</v>
      </c>
      <c r="L1821" s="38">
        <f t="shared" si="28"/>
        <v>2.02</v>
      </c>
      <c r="M1821" s="35" t="s">
        <v>11</v>
      </c>
      <c r="N1821" s="38"/>
      <c r="O1821" s="35" t="s">
        <v>12</v>
      </c>
    </row>
    <row r="1822" spans="1:15" x14ac:dyDescent="0.25">
      <c r="A1822" s="35">
        <v>1176049465</v>
      </c>
      <c r="B1822" s="35" t="s">
        <v>4132</v>
      </c>
      <c r="C1822" s="35">
        <v>2024</v>
      </c>
      <c r="D1822" s="36">
        <v>45564.36855324074</v>
      </c>
      <c r="E1822" s="37" t="s">
        <v>847</v>
      </c>
      <c r="F1822" s="37" t="s">
        <v>4847</v>
      </c>
      <c r="G1822" s="37" t="s">
        <v>3770</v>
      </c>
      <c r="H1822" s="35" t="s">
        <v>3419</v>
      </c>
      <c r="I1822" s="35" t="s">
        <v>3416</v>
      </c>
      <c r="J1822" s="38">
        <v>17.635000000000002</v>
      </c>
      <c r="K1822" s="35">
        <v>2</v>
      </c>
      <c r="L1822" s="38">
        <f t="shared" si="28"/>
        <v>35.270000000000003</v>
      </c>
      <c r="M1822" s="35" t="s">
        <v>11</v>
      </c>
      <c r="N1822" s="38"/>
      <c r="O1822" s="35" t="s">
        <v>12</v>
      </c>
    </row>
    <row r="1823" spans="1:15" x14ac:dyDescent="0.25">
      <c r="A1823" s="35">
        <v>1176049435</v>
      </c>
      <c r="B1823" s="35" t="s">
        <v>4132</v>
      </c>
      <c r="C1823" s="35">
        <v>2024</v>
      </c>
      <c r="D1823" s="36">
        <v>45564.36855324074</v>
      </c>
      <c r="E1823" s="37" t="s">
        <v>8</v>
      </c>
      <c r="F1823" s="37" t="s">
        <v>4847</v>
      </c>
      <c r="G1823" s="37" t="s">
        <v>3770</v>
      </c>
      <c r="H1823" s="35" t="s">
        <v>3419</v>
      </c>
      <c r="I1823" s="35" t="s">
        <v>3416</v>
      </c>
      <c r="J1823" s="38">
        <v>14.9</v>
      </c>
      <c r="K1823" s="35">
        <v>1</v>
      </c>
      <c r="L1823" s="38">
        <f t="shared" si="28"/>
        <v>14.9</v>
      </c>
      <c r="M1823" s="42" t="s">
        <v>11</v>
      </c>
      <c r="N1823" s="38"/>
      <c r="O1823" s="35" t="s">
        <v>12</v>
      </c>
    </row>
    <row r="1824" spans="1:15" x14ac:dyDescent="0.25">
      <c r="A1824" s="35">
        <v>1176049435</v>
      </c>
      <c r="B1824" s="35" t="s">
        <v>4132</v>
      </c>
      <c r="C1824" s="35">
        <v>2024</v>
      </c>
      <c r="D1824" s="36">
        <v>45564.36855324074</v>
      </c>
      <c r="E1824" s="37" t="s">
        <v>8</v>
      </c>
      <c r="F1824" s="37" t="s">
        <v>4847</v>
      </c>
      <c r="G1824" s="37" t="s">
        <v>3770</v>
      </c>
      <c r="H1824" s="35" t="s">
        <v>3419</v>
      </c>
      <c r="I1824" s="35" t="s">
        <v>3416</v>
      </c>
      <c r="J1824" s="38">
        <v>14.9</v>
      </c>
      <c r="K1824" s="35">
        <v>1</v>
      </c>
      <c r="L1824" s="38">
        <f t="shared" si="28"/>
        <v>14.9</v>
      </c>
      <c r="M1824" s="42" t="s">
        <v>11</v>
      </c>
      <c r="N1824" s="38"/>
      <c r="O1824" s="35" t="s">
        <v>12</v>
      </c>
    </row>
    <row r="1825" spans="1:15" x14ac:dyDescent="0.25">
      <c r="A1825" s="35">
        <v>1176049435</v>
      </c>
      <c r="B1825" s="35" t="s">
        <v>4132</v>
      </c>
      <c r="C1825" s="35">
        <v>2024</v>
      </c>
      <c r="D1825" s="36">
        <v>45564.36855324074</v>
      </c>
      <c r="E1825" s="37" t="s">
        <v>8</v>
      </c>
      <c r="F1825" s="37" t="s">
        <v>4848</v>
      </c>
      <c r="G1825" s="37" t="s">
        <v>3712</v>
      </c>
      <c r="H1825" s="35" t="s">
        <v>3415</v>
      </c>
      <c r="I1825" s="35" t="s">
        <v>3416</v>
      </c>
      <c r="J1825" s="38">
        <v>0.25</v>
      </c>
      <c r="K1825" s="35">
        <v>4</v>
      </c>
      <c r="L1825" s="38">
        <f t="shared" si="28"/>
        <v>1</v>
      </c>
      <c r="M1825" s="42" t="s">
        <v>11</v>
      </c>
      <c r="N1825" s="38"/>
      <c r="O1825" s="35" t="s">
        <v>12</v>
      </c>
    </row>
    <row r="1826" spans="1:15" x14ac:dyDescent="0.25">
      <c r="A1826" s="35">
        <v>1176022114</v>
      </c>
      <c r="B1826" s="35" t="s">
        <v>4132</v>
      </c>
      <c r="C1826" s="35">
        <v>2024</v>
      </c>
      <c r="D1826" s="36">
        <v>45563.99318287037</v>
      </c>
      <c r="E1826" s="37" t="s">
        <v>1032</v>
      </c>
      <c r="F1826" s="37" t="s">
        <v>4849</v>
      </c>
      <c r="G1826" s="37" t="s">
        <v>3729</v>
      </c>
      <c r="H1826" s="35" t="s">
        <v>3415</v>
      </c>
      <c r="I1826" s="35" t="s">
        <v>3416</v>
      </c>
      <c r="J1826" s="38">
        <v>2.4619565217391299</v>
      </c>
      <c r="K1826" s="35">
        <v>4</v>
      </c>
      <c r="L1826" s="38">
        <f t="shared" si="28"/>
        <v>9.8478260869565197</v>
      </c>
      <c r="M1826" s="35" t="s">
        <v>11</v>
      </c>
      <c r="N1826" s="38"/>
      <c r="O1826" s="35" t="s">
        <v>12</v>
      </c>
    </row>
    <row r="1827" spans="1:15" x14ac:dyDescent="0.25">
      <c r="A1827" s="35">
        <v>1176022114</v>
      </c>
      <c r="B1827" s="35" t="s">
        <v>4132</v>
      </c>
      <c r="C1827" s="35">
        <v>2024</v>
      </c>
      <c r="D1827" s="36">
        <v>45563.99318287037</v>
      </c>
      <c r="E1827" s="37" t="s">
        <v>1032</v>
      </c>
      <c r="F1827" s="37" t="s">
        <v>4850</v>
      </c>
      <c r="G1827" s="37" t="s">
        <v>3687</v>
      </c>
      <c r="H1827" s="35" t="s">
        <v>3419</v>
      </c>
      <c r="I1827" s="35" t="s">
        <v>3416</v>
      </c>
      <c r="J1827" s="38">
        <v>3.556159420289855</v>
      </c>
      <c r="K1827" s="35">
        <v>2</v>
      </c>
      <c r="L1827" s="38">
        <f t="shared" si="28"/>
        <v>7.11231884057971</v>
      </c>
      <c r="M1827" s="35" t="s">
        <v>11</v>
      </c>
      <c r="N1827" s="38"/>
      <c r="O1827" s="35" t="s">
        <v>12</v>
      </c>
    </row>
    <row r="1828" spans="1:15" x14ac:dyDescent="0.25">
      <c r="A1828" s="35">
        <v>1176022114</v>
      </c>
      <c r="B1828" s="35" t="s">
        <v>4132</v>
      </c>
      <c r="C1828" s="35">
        <v>2024</v>
      </c>
      <c r="D1828" s="36">
        <v>45563.99318287037</v>
      </c>
      <c r="E1828" s="37" t="s">
        <v>1032</v>
      </c>
      <c r="F1828" s="37" t="s">
        <v>4851</v>
      </c>
      <c r="G1828" s="37" t="s">
        <v>3621</v>
      </c>
      <c r="H1828" s="35" t="s">
        <v>3419</v>
      </c>
      <c r="I1828" s="35" t="s">
        <v>3416</v>
      </c>
      <c r="J1828" s="38">
        <v>0.49239130434782608</v>
      </c>
      <c r="K1828" s="35">
        <v>2</v>
      </c>
      <c r="L1828" s="38">
        <f t="shared" si="28"/>
        <v>0.98478260869565215</v>
      </c>
      <c r="M1828" s="35" t="s">
        <v>11</v>
      </c>
      <c r="N1828" s="38"/>
      <c r="O1828" s="35" t="s">
        <v>12</v>
      </c>
    </row>
    <row r="1829" spans="1:15" x14ac:dyDescent="0.25">
      <c r="A1829" s="35">
        <v>1176022114</v>
      </c>
      <c r="B1829" s="35" t="s">
        <v>4132</v>
      </c>
      <c r="C1829" s="35">
        <v>2024</v>
      </c>
      <c r="D1829" s="36">
        <v>45563.99318287037</v>
      </c>
      <c r="E1829" s="37" t="s">
        <v>1032</v>
      </c>
      <c r="F1829" s="37" t="s">
        <v>4126</v>
      </c>
      <c r="G1829" s="37" t="s">
        <v>3621</v>
      </c>
      <c r="H1829" s="35" t="s">
        <v>3419</v>
      </c>
      <c r="I1829" s="35" t="s">
        <v>3416</v>
      </c>
      <c r="J1829" s="38">
        <v>0.27355072463768121</v>
      </c>
      <c r="K1829" s="35">
        <v>2</v>
      </c>
      <c r="L1829" s="38">
        <f t="shared" si="28"/>
        <v>0.54710144927536242</v>
      </c>
      <c r="M1829" s="35" t="s">
        <v>11</v>
      </c>
      <c r="N1829" s="38"/>
      <c r="O1829" s="35" t="s">
        <v>12</v>
      </c>
    </row>
    <row r="1830" spans="1:15" x14ac:dyDescent="0.25">
      <c r="A1830" s="35">
        <v>1176022114</v>
      </c>
      <c r="B1830" s="35" t="s">
        <v>4132</v>
      </c>
      <c r="C1830" s="35">
        <v>2024</v>
      </c>
      <c r="D1830" s="36">
        <v>45563.99318287037</v>
      </c>
      <c r="E1830" s="37" t="s">
        <v>1032</v>
      </c>
      <c r="F1830" s="37" t="s">
        <v>4852</v>
      </c>
      <c r="G1830" s="37" t="s">
        <v>3729</v>
      </c>
      <c r="H1830" s="35" t="s">
        <v>3419</v>
      </c>
      <c r="I1830" s="35" t="s">
        <v>3416</v>
      </c>
      <c r="J1830" s="38">
        <v>1.367753623188406</v>
      </c>
      <c r="K1830" s="35">
        <v>2</v>
      </c>
      <c r="L1830" s="38">
        <f t="shared" si="28"/>
        <v>2.735507246376812</v>
      </c>
      <c r="M1830" s="35" t="s">
        <v>11</v>
      </c>
      <c r="N1830" s="38"/>
      <c r="O1830" s="35" t="s">
        <v>12</v>
      </c>
    </row>
    <row r="1831" spans="1:15" x14ac:dyDescent="0.25">
      <c r="A1831" s="35">
        <v>1176022114</v>
      </c>
      <c r="B1831" s="35" t="s">
        <v>4132</v>
      </c>
      <c r="C1831" s="35">
        <v>2024</v>
      </c>
      <c r="D1831" s="36">
        <v>45563.99318287037</v>
      </c>
      <c r="E1831" s="37" t="s">
        <v>1032</v>
      </c>
      <c r="F1831" s="37" t="s">
        <v>4853</v>
      </c>
      <c r="G1831" s="37" t="s">
        <v>3621</v>
      </c>
      <c r="H1831" s="35" t="s">
        <v>3415</v>
      </c>
      <c r="I1831" s="35" t="s">
        <v>3416</v>
      </c>
      <c r="J1831" s="38">
        <v>0.27355072463768121</v>
      </c>
      <c r="K1831" s="35">
        <v>4</v>
      </c>
      <c r="L1831" s="38">
        <f t="shared" si="28"/>
        <v>1.0942028985507248</v>
      </c>
      <c r="M1831" s="35" t="s">
        <v>11</v>
      </c>
      <c r="N1831" s="38"/>
      <c r="O1831" s="35" t="s">
        <v>12</v>
      </c>
    </row>
    <row r="1832" spans="1:15" x14ac:dyDescent="0.25">
      <c r="A1832" s="35">
        <v>1176022114</v>
      </c>
      <c r="B1832" s="35" t="s">
        <v>4132</v>
      </c>
      <c r="C1832" s="35">
        <v>2024</v>
      </c>
      <c r="D1832" s="36">
        <v>45563.99318287037</v>
      </c>
      <c r="E1832" s="37" t="s">
        <v>1032</v>
      </c>
      <c r="F1832" s="37" t="s">
        <v>4854</v>
      </c>
      <c r="G1832" s="37" t="s">
        <v>3621</v>
      </c>
      <c r="H1832" s="35" t="s">
        <v>3419</v>
      </c>
      <c r="I1832" s="35" t="s">
        <v>3416</v>
      </c>
      <c r="J1832" s="38">
        <v>0.16413043478260869</v>
      </c>
      <c r="K1832" s="35">
        <v>2</v>
      </c>
      <c r="L1832" s="38">
        <f t="shared" si="28"/>
        <v>0.32826086956521738</v>
      </c>
      <c r="M1832" s="35" t="s">
        <v>11</v>
      </c>
      <c r="N1832" s="38"/>
      <c r="O1832" s="35" t="s">
        <v>12</v>
      </c>
    </row>
    <row r="1833" spans="1:15" x14ac:dyDescent="0.25">
      <c r="A1833" s="35">
        <v>1176021831</v>
      </c>
      <c r="B1833" s="35" t="s">
        <v>4132</v>
      </c>
      <c r="C1833" s="35">
        <v>2024</v>
      </c>
      <c r="D1833" s="36">
        <v>45563.966226851851</v>
      </c>
      <c r="E1833" s="37" t="s">
        <v>1870</v>
      </c>
      <c r="F1833" s="37" t="s">
        <v>4855</v>
      </c>
      <c r="G1833" s="37" t="s">
        <v>4856</v>
      </c>
      <c r="H1833" s="35" t="s">
        <v>3419</v>
      </c>
      <c r="I1833" s="35" t="s">
        <v>3453</v>
      </c>
      <c r="J1833" s="38">
        <v>4.21</v>
      </c>
      <c r="K1833" s="35">
        <v>1</v>
      </c>
      <c r="L1833" s="38">
        <f t="shared" si="28"/>
        <v>4.21</v>
      </c>
      <c r="M1833" s="35" t="s">
        <v>11</v>
      </c>
      <c r="N1833" s="38"/>
      <c r="O1833" s="35" t="s">
        <v>12</v>
      </c>
    </row>
    <row r="1834" spans="1:15" x14ac:dyDescent="0.25">
      <c r="A1834" s="35">
        <v>1175934516</v>
      </c>
      <c r="B1834" s="35" t="s">
        <v>4132</v>
      </c>
      <c r="C1834" s="35">
        <v>2024</v>
      </c>
      <c r="D1834" s="36">
        <v>45563.949525462973</v>
      </c>
      <c r="E1834" s="37" t="s">
        <v>1874</v>
      </c>
      <c r="F1834" s="37" t="s">
        <v>4857</v>
      </c>
      <c r="G1834" s="37" t="s">
        <v>3925</v>
      </c>
      <c r="H1834" s="35" t="s">
        <v>3415</v>
      </c>
      <c r="I1834" s="35" t="s">
        <v>3416</v>
      </c>
      <c r="J1834" s="38">
        <v>1.5049999999999999</v>
      </c>
      <c r="K1834" s="35">
        <v>4</v>
      </c>
      <c r="L1834" s="38">
        <f t="shared" si="28"/>
        <v>6.02</v>
      </c>
      <c r="M1834" s="35" t="s">
        <v>11</v>
      </c>
      <c r="N1834" s="38"/>
      <c r="O1834" s="35" t="s">
        <v>12</v>
      </c>
    </row>
    <row r="1835" spans="1:15" x14ac:dyDescent="0.25">
      <c r="A1835" s="35">
        <v>1175934318</v>
      </c>
      <c r="B1835" s="35" t="s">
        <v>4132</v>
      </c>
      <c r="C1835" s="35">
        <v>2024</v>
      </c>
      <c r="D1835" s="36">
        <v>45563.949525462973</v>
      </c>
      <c r="E1835" s="37" t="s">
        <v>1876</v>
      </c>
      <c r="F1835" s="37" t="s">
        <v>4858</v>
      </c>
      <c r="G1835" s="37" t="s">
        <v>3830</v>
      </c>
      <c r="H1835" s="35" t="s">
        <v>3415</v>
      </c>
      <c r="I1835" s="35" t="s">
        <v>3416</v>
      </c>
      <c r="J1835" s="38">
        <v>0.45500000000000002</v>
      </c>
      <c r="K1835" s="35">
        <v>4</v>
      </c>
      <c r="L1835" s="38">
        <f t="shared" si="28"/>
        <v>1.82</v>
      </c>
      <c r="M1835" s="35" t="s">
        <v>11</v>
      </c>
      <c r="N1835" s="38"/>
      <c r="O1835" s="35" t="s">
        <v>12</v>
      </c>
    </row>
    <row r="1836" spans="1:15" x14ac:dyDescent="0.25">
      <c r="A1836" s="35">
        <v>1175934010</v>
      </c>
      <c r="B1836" s="35" t="s">
        <v>4132</v>
      </c>
      <c r="C1836" s="35">
        <v>2024</v>
      </c>
      <c r="D1836" s="36">
        <v>45563.949525462973</v>
      </c>
      <c r="E1836" s="37" t="s">
        <v>1878</v>
      </c>
      <c r="F1836" s="37" t="s">
        <v>4859</v>
      </c>
      <c r="G1836" s="37" t="s">
        <v>4860</v>
      </c>
      <c r="H1836" s="35" t="s">
        <v>3415</v>
      </c>
      <c r="I1836" s="35" t="s">
        <v>3416</v>
      </c>
      <c r="J1836" s="38">
        <v>1.7050000000000001</v>
      </c>
      <c r="K1836" s="35">
        <v>4</v>
      </c>
      <c r="L1836" s="38">
        <f t="shared" si="28"/>
        <v>6.82</v>
      </c>
      <c r="M1836" s="35" t="s">
        <v>11</v>
      </c>
      <c r="N1836" s="38"/>
      <c r="O1836" s="35" t="s">
        <v>12</v>
      </c>
    </row>
    <row r="1837" spans="1:15" x14ac:dyDescent="0.25">
      <c r="A1837" s="35">
        <v>1175703301</v>
      </c>
      <c r="B1837" s="35" t="s">
        <v>4132</v>
      </c>
      <c r="C1837" s="35">
        <v>2024</v>
      </c>
      <c r="D1837" s="36">
        <v>45561.849710648137</v>
      </c>
      <c r="E1837" s="37" t="s">
        <v>1880</v>
      </c>
      <c r="F1837" s="37" t="s">
        <v>4612</v>
      </c>
      <c r="G1837" s="37" t="s">
        <v>3621</v>
      </c>
      <c r="H1837" s="35" t="s">
        <v>3419</v>
      </c>
      <c r="I1837" s="35" t="s">
        <v>3416</v>
      </c>
      <c r="J1837" s="38">
        <v>4.96</v>
      </c>
      <c r="K1837" s="35">
        <v>2</v>
      </c>
      <c r="L1837" s="38">
        <f t="shared" si="28"/>
        <v>9.92</v>
      </c>
      <c r="M1837" s="35" t="s">
        <v>11</v>
      </c>
      <c r="N1837" s="38"/>
      <c r="O1837" s="35" t="s">
        <v>12</v>
      </c>
    </row>
    <row r="1838" spans="1:15" x14ac:dyDescent="0.25">
      <c r="A1838" s="35">
        <v>1175700549</v>
      </c>
      <c r="B1838" s="35" t="s">
        <v>4132</v>
      </c>
      <c r="C1838" s="35">
        <v>2024</v>
      </c>
      <c r="D1838" s="36">
        <v>45561.849710648137</v>
      </c>
      <c r="E1838" s="37" t="s">
        <v>1883</v>
      </c>
      <c r="F1838" s="37" t="s">
        <v>4612</v>
      </c>
      <c r="G1838" s="37" t="s">
        <v>3621</v>
      </c>
      <c r="H1838" s="35" t="s">
        <v>3419</v>
      </c>
      <c r="I1838" s="35" t="s">
        <v>3416</v>
      </c>
      <c r="J1838" s="38">
        <v>4.72</v>
      </c>
      <c r="K1838" s="35">
        <v>1</v>
      </c>
      <c r="L1838" s="38">
        <f t="shared" si="28"/>
        <v>4.72</v>
      </c>
      <c r="M1838" s="35" t="s">
        <v>11</v>
      </c>
      <c r="N1838" s="38"/>
      <c r="O1838" s="35" t="s">
        <v>12</v>
      </c>
    </row>
    <row r="1839" spans="1:15" x14ac:dyDescent="0.25">
      <c r="A1839" s="35">
        <v>1175134827</v>
      </c>
      <c r="B1839" s="35" t="s">
        <v>4132</v>
      </c>
      <c r="C1839" s="35">
        <v>2024</v>
      </c>
      <c r="D1839" s="36">
        <v>45558.477141203701</v>
      </c>
      <c r="E1839" s="37" t="s">
        <v>1891</v>
      </c>
      <c r="F1839" s="37" t="s">
        <v>4862</v>
      </c>
      <c r="G1839" s="37" t="s">
        <v>3963</v>
      </c>
      <c r="H1839" s="35" t="s">
        <v>3419</v>
      </c>
      <c r="I1839" s="35" t="s">
        <v>3416</v>
      </c>
      <c r="J1839" s="38">
        <v>7.3968749999999996</v>
      </c>
      <c r="K1839" s="35">
        <v>1</v>
      </c>
      <c r="L1839" s="38">
        <f t="shared" si="28"/>
        <v>7.3968749999999996</v>
      </c>
      <c r="M1839" s="35" t="s">
        <v>11</v>
      </c>
      <c r="N1839" s="38"/>
      <c r="O1839" s="35" t="s">
        <v>12</v>
      </c>
    </row>
    <row r="1840" spans="1:15" x14ac:dyDescent="0.25">
      <c r="A1840" s="35">
        <v>1175134827</v>
      </c>
      <c r="B1840" s="35" t="s">
        <v>4132</v>
      </c>
      <c r="C1840" s="35">
        <v>2024</v>
      </c>
      <c r="D1840" s="36">
        <v>45558.477141203701</v>
      </c>
      <c r="E1840" s="37" t="s">
        <v>1891</v>
      </c>
      <c r="F1840" s="37" t="s">
        <v>4833</v>
      </c>
      <c r="G1840" s="37" t="s">
        <v>4863</v>
      </c>
      <c r="H1840" s="35" t="s">
        <v>3419</v>
      </c>
      <c r="I1840" s="35" t="s">
        <v>3416</v>
      </c>
      <c r="J1840" s="38">
        <v>16.026562500000001</v>
      </c>
      <c r="K1840" s="35">
        <v>2</v>
      </c>
      <c r="L1840" s="38">
        <f t="shared" si="28"/>
        <v>32.053125000000001</v>
      </c>
      <c r="M1840" s="35" t="s">
        <v>11</v>
      </c>
      <c r="N1840" s="38"/>
      <c r="O1840" s="35" t="s">
        <v>12</v>
      </c>
    </row>
    <row r="1841" spans="1:15" x14ac:dyDescent="0.25">
      <c r="A1841" s="35">
        <v>1174984890</v>
      </c>
      <c r="B1841" s="35" t="s">
        <v>4132</v>
      </c>
      <c r="C1841" s="35">
        <v>2024</v>
      </c>
      <c r="D1841" s="36">
        <v>45557.53869212963</v>
      </c>
      <c r="E1841" s="37" t="s">
        <v>61</v>
      </c>
      <c r="F1841" s="37" t="s">
        <v>4864</v>
      </c>
      <c r="G1841" s="37" t="s">
        <v>3879</v>
      </c>
      <c r="H1841" s="35" t="s">
        <v>3415</v>
      </c>
      <c r="I1841" s="35" t="s">
        <v>3416</v>
      </c>
      <c r="J1841" s="38">
        <v>2.75</v>
      </c>
      <c r="K1841" s="35">
        <v>4</v>
      </c>
      <c r="L1841" s="38">
        <f t="shared" si="28"/>
        <v>11</v>
      </c>
      <c r="M1841" s="42" t="s">
        <v>11</v>
      </c>
      <c r="N1841" s="38"/>
      <c r="O1841" s="35" t="s">
        <v>12</v>
      </c>
    </row>
    <row r="1842" spans="1:15" x14ac:dyDescent="0.25">
      <c r="A1842" s="35">
        <v>1174534320</v>
      </c>
      <c r="B1842" s="35" t="s">
        <v>4132</v>
      </c>
      <c r="C1842" s="35">
        <v>2024</v>
      </c>
      <c r="D1842" s="36">
        <v>45554.404999999999</v>
      </c>
      <c r="E1842" s="37" t="s">
        <v>1895</v>
      </c>
      <c r="F1842" s="37" t="s">
        <v>4168</v>
      </c>
      <c r="G1842" s="37" t="s">
        <v>3455</v>
      </c>
      <c r="H1842" s="35" t="s">
        <v>3419</v>
      </c>
      <c r="I1842" s="35" t="s">
        <v>3453</v>
      </c>
      <c r="J1842" s="38">
        <v>1.135921288014311</v>
      </c>
      <c r="K1842" s="35">
        <v>1</v>
      </c>
      <c r="L1842" s="38">
        <f t="shared" si="28"/>
        <v>1.135921288014311</v>
      </c>
      <c r="M1842" s="35" t="s">
        <v>11</v>
      </c>
      <c r="N1842" s="38"/>
      <c r="O1842" s="35" t="s">
        <v>12</v>
      </c>
    </row>
    <row r="1843" spans="1:15" x14ac:dyDescent="0.25">
      <c r="A1843" s="35">
        <v>1174534320</v>
      </c>
      <c r="B1843" s="35" t="s">
        <v>4132</v>
      </c>
      <c r="C1843" s="35">
        <v>2024</v>
      </c>
      <c r="D1843" s="36">
        <v>45554.404999999999</v>
      </c>
      <c r="E1843" s="37" t="s">
        <v>1895</v>
      </c>
      <c r="F1843" s="37" t="s">
        <v>4865</v>
      </c>
      <c r="G1843" s="37" t="s">
        <v>4409</v>
      </c>
      <c r="H1843" s="35" t="s">
        <v>3419</v>
      </c>
      <c r="I1843" s="35" t="s">
        <v>3416</v>
      </c>
      <c r="J1843" s="38">
        <v>32.284078711985693</v>
      </c>
      <c r="K1843" s="35">
        <v>1</v>
      </c>
      <c r="L1843" s="38">
        <f t="shared" si="28"/>
        <v>32.284078711985693</v>
      </c>
      <c r="M1843" s="35" t="s">
        <v>11</v>
      </c>
      <c r="N1843" s="38"/>
      <c r="O1843" s="35" t="s">
        <v>12</v>
      </c>
    </row>
    <row r="1844" spans="1:15" x14ac:dyDescent="0.25">
      <c r="A1844" s="35">
        <v>1174423987</v>
      </c>
      <c r="B1844" s="35" t="s">
        <v>4132</v>
      </c>
      <c r="C1844" s="35">
        <v>2024</v>
      </c>
      <c r="D1844" s="36">
        <v>45553.550567129627</v>
      </c>
      <c r="E1844" s="37" t="s">
        <v>1901</v>
      </c>
      <c r="F1844" s="37" t="s">
        <v>4866</v>
      </c>
      <c r="G1844" s="37" t="s">
        <v>4867</v>
      </c>
      <c r="H1844" s="35" t="s">
        <v>3419</v>
      </c>
      <c r="I1844" s="35" t="s">
        <v>3416</v>
      </c>
      <c r="J1844" s="38">
        <v>13.823333333333331</v>
      </c>
      <c r="K1844" s="35">
        <v>3</v>
      </c>
      <c r="L1844" s="38">
        <f t="shared" si="28"/>
        <v>41.469999999999992</v>
      </c>
      <c r="M1844" s="35" t="s">
        <v>11</v>
      </c>
      <c r="N1844" s="38"/>
      <c r="O1844" s="35" t="s">
        <v>12</v>
      </c>
    </row>
    <row r="1845" spans="1:15" x14ac:dyDescent="0.25">
      <c r="A1845" s="35">
        <v>1174258194</v>
      </c>
      <c r="B1845" s="35" t="s">
        <v>4132</v>
      </c>
      <c r="C1845" s="35">
        <v>2024</v>
      </c>
      <c r="D1845" s="36">
        <v>45552.410740740743</v>
      </c>
      <c r="E1845" s="37" t="s">
        <v>1155</v>
      </c>
      <c r="F1845" s="37" t="s">
        <v>4833</v>
      </c>
      <c r="G1845" s="37" t="s">
        <v>4863</v>
      </c>
      <c r="H1845" s="35" t="s">
        <v>3419</v>
      </c>
      <c r="I1845" s="35" t="s">
        <v>3416</v>
      </c>
      <c r="J1845" s="38">
        <v>18.635000000000002</v>
      </c>
      <c r="K1845" s="35">
        <v>2</v>
      </c>
      <c r="L1845" s="38">
        <f t="shared" si="28"/>
        <v>37.270000000000003</v>
      </c>
      <c r="M1845" s="35" t="s">
        <v>11</v>
      </c>
      <c r="N1845" s="38"/>
      <c r="O1845" s="35" t="s">
        <v>12</v>
      </c>
    </row>
    <row r="1846" spans="1:15" x14ac:dyDescent="0.25">
      <c r="A1846" s="35">
        <v>1174064749</v>
      </c>
      <c r="B1846" s="35" t="s">
        <v>4132</v>
      </c>
      <c r="C1846" s="35">
        <v>2024</v>
      </c>
      <c r="D1846" s="36">
        <v>45550.858356481483</v>
      </c>
      <c r="E1846" s="37" t="s">
        <v>1905</v>
      </c>
      <c r="F1846" s="37" t="s">
        <v>4865</v>
      </c>
      <c r="G1846" s="37" t="s">
        <v>4409</v>
      </c>
      <c r="H1846" s="35" t="s">
        <v>3419</v>
      </c>
      <c r="I1846" s="35" t="s">
        <v>3416</v>
      </c>
      <c r="J1846" s="38">
        <v>29.47</v>
      </c>
      <c r="K1846" s="35">
        <v>1</v>
      </c>
      <c r="L1846" s="38">
        <f t="shared" si="28"/>
        <v>29.47</v>
      </c>
      <c r="M1846" s="35" t="s">
        <v>11</v>
      </c>
      <c r="N1846" s="38"/>
      <c r="O1846" s="35" t="s">
        <v>12</v>
      </c>
    </row>
    <row r="1847" spans="1:15" x14ac:dyDescent="0.25">
      <c r="A1847" s="35">
        <v>1173741458</v>
      </c>
      <c r="B1847" s="35" t="s">
        <v>4132</v>
      </c>
      <c r="C1847" s="35">
        <v>2024</v>
      </c>
      <c r="D1847" s="36">
        <v>45548.482465277782</v>
      </c>
      <c r="E1847" s="37" t="s">
        <v>1911</v>
      </c>
      <c r="F1847" s="37" t="s">
        <v>4869</v>
      </c>
      <c r="G1847" s="37" t="s">
        <v>3455</v>
      </c>
      <c r="H1847" s="35" t="s">
        <v>3419</v>
      </c>
      <c r="I1847" s="35" t="s">
        <v>3416</v>
      </c>
      <c r="J1847" s="38">
        <v>8.2100000000000009</v>
      </c>
      <c r="K1847" s="35">
        <v>1</v>
      </c>
      <c r="L1847" s="38">
        <f t="shared" si="28"/>
        <v>8.2100000000000009</v>
      </c>
      <c r="M1847" s="35" t="s">
        <v>11</v>
      </c>
      <c r="N1847" s="38"/>
      <c r="O1847" s="35" t="s">
        <v>12</v>
      </c>
    </row>
    <row r="1848" spans="1:15" x14ac:dyDescent="0.25">
      <c r="A1848" s="35">
        <v>1173739647</v>
      </c>
      <c r="B1848" s="35" t="s">
        <v>4132</v>
      </c>
      <c r="C1848" s="35">
        <v>2024</v>
      </c>
      <c r="D1848" s="36">
        <v>45548.472407407397</v>
      </c>
      <c r="E1848" s="37" t="s">
        <v>1914</v>
      </c>
      <c r="F1848" s="37" t="s">
        <v>4869</v>
      </c>
      <c r="G1848" s="37" t="s">
        <v>3455</v>
      </c>
      <c r="H1848" s="35" t="s">
        <v>3419</v>
      </c>
      <c r="I1848" s="35" t="s">
        <v>3416</v>
      </c>
      <c r="J1848" s="38">
        <v>6.22</v>
      </c>
      <c r="K1848" s="35">
        <v>1</v>
      </c>
      <c r="L1848" s="38">
        <f t="shared" si="28"/>
        <v>6.22</v>
      </c>
      <c r="M1848" s="35" t="s">
        <v>11</v>
      </c>
      <c r="N1848" s="38"/>
      <c r="O1848" s="35" t="s">
        <v>12</v>
      </c>
    </row>
    <row r="1849" spans="1:15" x14ac:dyDescent="0.25">
      <c r="A1849" s="35">
        <v>1173594517</v>
      </c>
      <c r="B1849" s="35" t="s">
        <v>4132</v>
      </c>
      <c r="C1849" s="35">
        <v>2024</v>
      </c>
      <c r="D1849" s="36">
        <v>45547.6794212963</v>
      </c>
      <c r="E1849" s="37" t="s">
        <v>1918</v>
      </c>
      <c r="F1849" s="37" t="s">
        <v>4870</v>
      </c>
      <c r="G1849" s="37" t="s">
        <v>3740</v>
      </c>
      <c r="H1849" s="35" t="s">
        <v>3415</v>
      </c>
      <c r="I1849" s="35" t="s">
        <v>3416</v>
      </c>
      <c r="J1849" s="38">
        <v>0.45500000000000002</v>
      </c>
      <c r="K1849" s="35">
        <v>4</v>
      </c>
      <c r="L1849" s="38">
        <f t="shared" si="28"/>
        <v>1.82</v>
      </c>
      <c r="M1849" s="35" t="s">
        <v>11</v>
      </c>
      <c r="N1849" s="38"/>
      <c r="O1849" s="35" t="s">
        <v>12</v>
      </c>
    </row>
    <row r="1850" spans="1:15" x14ac:dyDescent="0.25">
      <c r="A1850" s="35">
        <v>1173351087</v>
      </c>
      <c r="B1850" s="35" t="s">
        <v>4132</v>
      </c>
      <c r="C1850" s="35">
        <v>2024</v>
      </c>
      <c r="D1850" s="36">
        <v>45545.547395833331</v>
      </c>
      <c r="E1850" s="37" t="s">
        <v>294</v>
      </c>
      <c r="F1850" s="37" t="s">
        <v>4871</v>
      </c>
      <c r="G1850" s="37" t="s">
        <v>3768</v>
      </c>
      <c r="H1850" s="35" t="s">
        <v>3415</v>
      </c>
      <c r="I1850" s="35" t="s">
        <v>3416</v>
      </c>
      <c r="J1850" s="38">
        <v>0.39945652173913038</v>
      </c>
      <c r="K1850" s="35">
        <v>4</v>
      </c>
      <c r="L1850" s="38">
        <f t="shared" si="28"/>
        <v>1.5978260869565215</v>
      </c>
      <c r="M1850" s="35" t="s">
        <v>11</v>
      </c>
      <c r="N1850" s="38"/>
      <c r="O1850" s="35" t="s">
        <v>12</v>
      </c>
    </row>
    <row r="1851" spans="1:15" x14ac:dyDescent="0.25">
      <c r="A1851" s="35">
        <v>1173351087</v>
      </c>
      <c r="B1851" s="35" t="s">
        <v>4132</v>
      </c>
      <c r="C1851" s="35">
        <v>2024</v>
      </c>
      <c r="D1851" s="36">
        <v>45545.547395833331</v>
      </c>
      <c r="E1851" s="37" t="s">
        <v>294</v>
      </c>
      <c r="F1851" s="37" t="s">
        <v>4872</v>
      </c>
      <c r="G1851" s="37" t="s">
        <v>3621</v>
      </c>
      <c r="H1851" s="35" t="s">
        <v>3419</v>
      </c>
      <c r="I1851" s="35" t="s">
        <v>3416</v>
      </c>
      <c r="J1851" s="38">
        <v>0.98532608695652169</v>
      </c>
      <c r="K1851" s="35">
        <v>2</v>
      </c>
      <c r="L1851" s="38">
        <f t="shared" si="28"/>
        <v>1.9706521739130434</v>
      </c>
      <c r="M1851" s="35" t="s">
        <v>11</v>
      </c>
      <c r="N1851" s="38"/>
      <c r="O1851" s="35" t="s">
        <v>12</v>
      </c>
    </row>
    <row r="1852" spans="1:15" x14ac:dyDescent="0.25">
      <c r="A1852" s="35">
        <v>1173351087</v>
      </c>
      <c r="B1852" s="35" t="s">
        <v>4132</v>
      </c>
      <c r="C1852" s="35">
        <v>2024</v>
      </c>
      <c r="D1852" s="36">
        <v>45545.547395833331</v>
      </c>
      <c r="E1852" s="37" t="s">
        <v>294</v>
      </c>
      <c r="F1852" s="37" t="s">
        <v>4873</v>
      </c>
      <c r="G1852" s="37" t="s">
        <v>3621</v>
      </c>
      <c r="H1852" s="35" t="s">
        <v>3415</v>
      </c>
      <c r="I1852" s="35" t="s">
        <v>3416</v>
      </c>
      <c r="J1852" s="38">
        <v>0.3328804347826087</v>
      </c>
      <c r="K1852" s="35">
        <v>4</v>
      </c>
      <c r="L1852" s="38">
        <f t="shared" si="28"/>
        <v>1.3315217391304348</v>
      </c>
      <c r="M1852" s="35" t="s">
        <v>11</v>
      </c>
      <c r="N1852" s="38"/>
      <c r="O1852" s="35" t="s">
        <v>12</v>
      </c>
    </row>
    <row r="1853" spans="1:15" x14ac:dyDescent="0.25">
      <c r="A1853" s="35">
        <v>1173284999</v>
      </c>
      <c r="B1853" s="35" t="s">
        <v>4132</v>
      </c>
      <c r="C1853" s="35">
        <v>2024</v>
      </c>
      <c r="D1853" s="36">
        <v>45544.87568287037</v>
      </c>
      <c r="E1853" s="37" t="s">
        <v>1925</v>
      </c>
      <c r="F1853" s="37" t="s">
        <v>4874</v>
      </c>
      <c r="G1853" s="37" t="s">
        <v>3937</v>
      </c>
      <c r="H1853" s="35" t="s">
        <v>3419</v>
      </c>
      <c r="I1853" s="35" t="s">
        <v>3640</v>
      </c>
      <c r="J1853" s="38">
        <v>7.22</v>
      </c>
      <c r="K1853" s="35">
        <v>1</v>
      </c>
      <c r="L1853" s="38">
        <f t="shared" si="28"/>
        <v>7.22</v>
      </c>
      <c r="M1853" s="35" t="s">
        <v>11</v>
      </c>
      <c r="N1853" s="38"/>
      <c r="O1853" s="35" t="s">
        <v>12</v>
      </c>
    </row>
    <row r="1854" spans="1:15" x14ac:dyDescent="0.25">
      <c r="A1854" s="35">
        <v>1173284146</v>
      </c>
      <c r="B1854" s="35" t="s">
        <v>4132</v>
      </c>
      <c r="C1854" s="35">
        <v>2024</v>
      </c>
      <c r="D1854" s="36">
        <v>45544.87568287037</v>
      </c>
      <c r="E1854" s="37" t="s">
        <v>1568</v>
      </c>
      <c r="F1854" s="37" t="s">
        <v>4874</v>
      </c>
      <c r="G1854" s="37" t="s">
        <v>3937</v>
      </c>
      <c r="H1854" s="35" t="s">
        <v>3419</v>
      </c>
      <c r="I1854" s="35" t="s">
        <v>3640</v>
      </c>
      <c r="J1854" s="38">
        <v>6.04</v>
      </c>
      <c r="K1854" s="35">
        <v>2</v>
      </c>
      <c r="L1854" s="38">
        <f t="shared" si="28"/>
        <v>12.08</v>
      </c>
      <c r="M1854" s="35" t="s">
        <v>11</v>
      </c>
      <c r="N1854" s="38"/>
      <c r="O1854" s="35" t="s">
        <v>12</v>
      </c>
    </row>
    <row r="1855" spans="1:15" x14ac:dyDescent="0.25">
      <c r="A1855" s="35">
        <v>1173259750</v>
      </c>
      <c r="B1855" s="35" t="s">
        <v>4132</v>
      </c>
      <c r="C1855" s="35">
        <v>2024</v>
      </c>
      <c r="D1855" s="36">
        <v>45544.764641203707</v>
      </c>
      <c r="E1855" s="37" t="s">
        <v>1929</v>
      </c>
      <c r="F1855" s="37" t="s">
        <v>4865</v>
      </c>
      <c r="G1855" s="37" t="s">
        <v>4409</v>
      </c>
      <c r="H1855" s="35" t="s">
        <v>3419</v>
      </c>
      <c r="I1855" s="35" t="s">
        <v>3416</v>
      </c>
      <c r="J1855" s="38">
        <v>33.47</v>
      </c>
      <c r="K1855" s="35">
        <v>1</v>
      </c>
      <c r="L1855" s="38">
        <f t="shared" si="28"/>
        <v>33.47</v>
      </c>
      <c r="M1855" s="35" t="s">
        <v>11</v>
      </c>
      <c r="N1855" s="38"/>
      <c r="O1855" s="35" t="s">
        <v>12</v>
      </c>
    </row>
    <row r="1856" spans="1:15" x14ac:dyDescent="0.25">
      <c r="A1856" s="35">
        <v>1173252295</v>
      </c>
      <c r="B1856" s="35" t="s">
        <v>4132</v>
      </c>
      <c r="C1856" s="35">
        <v>2024</v>
      </c>
      <c r="D1856" s="36">
        <v>45544.764641203707</v>
      </c>
      <c r="E1856" s="37" t="s">
        <v>1931</v>
      </c>
      <c r="F1856" s="37" t="s">
        <v>4875</v>
      </c>
      <c r="G1856" s="37" t="s">
        <v>3648</v>
      </c>
      <c r="H1856" s="35" t="s">
        <v>3419</v>
      </c>
      <c r="I1856" s="35" t="s">
        <v>3416</v>
      </c>
      <c r="J1856" s="38">
        <v>5.22</v>
      </c>
      <c r="K1856" s="35">
        <v>1</v>
      </c>
      <c r="L1856" s="38">
        <f t="shared" si="28"/>
        <v>5.22</v>
      </c>
      <c r="M1856" s="35" t="s">
        <v>11</v>
      </c>
      <c r="N1856" s="38"/>
      <c r="O1856" s="35" t="s">
        <v>12</v>
      </c>
    </row>
    <row r="1857" spans="1:15" x14ac:dyDescent="0.25">
      <c r="A1857" s="35">
        <v>1173249016</v>
      </c>
      <c r="B1857" s="35" t="s">
        <v>4132</v>
      </c>
      <c r="C1857" s="35">
        <v>2024</v>
      </c>
      <c r="D1857" s="36">
        <v>45544.764641203707</v>
      </c>
      <c r="E1857" s="37" t="s">
        <v>1933</v>
      </c>
      <c r="F1857" s="37" t="s">
        <v>4876</v>
      </c>
      <c r="G1857" s="37" t="s">
        <v>3648</v>
      </c>
      <c r="H1857" s="35" t="s">
        <v>3419</v>
      </c>
      <c r="I1857" s="35" t="s">
        <v>3416</v>
      </c>
      <c r="J1857" s="38">
        <v>6.21</v>
      </c>
      <c r="K1857" s="35">
        <v>1</v>
      </c>
      <c r="L1857" s="38">
        <f t="shared" si="28"/>
        <v>6.21</v>
      </c>
      <c r="M1857" s="35" t="s">
        <v>11</v>
      </c>
      <c r="N1857" s="38"/>
      <c r="O1857" s="35" t="s">
        <v>12</v>
      </c>
    </row>
    <row r="1858" spans="1:15" x14ac:dyDescent="0.25">
      <c r="A1858" s="35">
        <v>1173248929</v>
      </c>
      <c r="B1858" s="35" t="s">
        <v>4132</v>
      </c>
      <c r="C1858" s="35">
        <v>2024</v>
      </c>
      <c r="D1858" s="36">
        <v>45544.764641203707</v>
      </c>
      <c r="E1858" s="37" t="s">
        <v>1206</v>
      </c>
      <c r="F1858" s="37" t="s">
        <v>4877</v>
      </c>
      <c r="G1858" s="37" t="s">
        <v>3648</v>
      </c>
      <c r="H1858" s="35" t="s">
        <v>3419</v>
      </c>
      <c r="I1858" s="35" t="s">
        <v>3416</v>
      </c>
      <c r="J1858" s="38">
        <v>12.516577540106949</v>
      </c>
      <c r="K1858" s="35">
        <v>1</v>
      </c>
      <c r="L1858" s="38">
        <f t="shared" ref="L1858:L1921" si="29">J1858*K1858</f>
        <v>12.516577540106949</v>
      </c>
      <c r="M1858" s="35" t="s">
        <v>11</v>
      </c>
      <c r="N1858" s="38"/>
      <c r="O1858" s="35" t="s">
        <v>12</v>
      </c>
    </row>
    <row r="1859" spans="1:15" x14ac:dyDescent="0.25">
      <c r="A1859" s="35">
        <v>1173248929</v>
      </c>
      <c r="B1859" s="35" t="s">
        <v>4132</v>
      </c>
      <c r="C1859" s="35">
        <v>2024</v>
      </c>
      <c r="D1859" s="36">
        <v>45544.764641203707</v>
      </c>
      <c r="E1859" s="37" t="s">
        <v>1206</v>
      </c>
      <c r="F1859" s="37" t="s">
        <v>4878</v>
      </c>
      <c r="G1859" s="37" t="s">
        <v>3648</v>
      </c>
      <c r="H1859" s="35" t="s">
        <v>3419</v>
      </c>
      <c r="I1859" s="35" t="s">
        <v>3416</v>
      </c>
      <c r="J1859" s="38">
        <v>7.403422459893048</v>
      </c>
      <c r="K1859" s="35">
        <v>1</v>
      </c>
      <c r="L1859" s="38">
        <f t="shared" si="29"/>
        <v>7.403422459893048</v>
      </c>
      <c r="M1859" s="35" t="s">
        <v>11</v>
      </c>
      <c r="N1859" s="38"/>
      <c r="O1859" s="35" t="s">
        <v>12</v>
      </c>
    </row>
    <row r="1860" spans="1:15" x14ac:dyDescent="0.25">
      <c r="A1860" s="35">
        <v>1173248401</v>
      </c>
      <c r="B1860" s="35" t="s">
        <v>4132</v>
      </c>
      <c r="C1860" s="35">
        <v>2024</v>
      </c>
      <c r="D1860" s="36">
        <v>45544.764641203707</v>
      </c>
      <c r="E1860" s="37" t="s">
        <v>1936</v>
      </c>
      <c r="F1860" s="37" t="s">
        <v>4879</v>
      </c>
      <c r="G1860" s="37" t="s">
        <v>3455</v>
      </c>
      <c r="H1860" s="35" t="s">
        <v>3415</v>
      </c>
      <c r="I1860" s="35" t="s">
        <v>3416</v>
      </c>
      <c r="J1860" s="38">
        <v>1.655</v>
      </c>
      <c r="K1860" s="35">
        <v>4</v>
      </c>
      <c r="L1860" s="38">
        <f t="shared" si="29"/>
        <v>6.62</v>
      </c>
      <c r="M1860" s="35" t="s">
        <v>11</v>
      </c>
      <c r="N1860" s="38"/>
      <c r="O1860" s="35" t="s">
        <v>12</v>
      </c>
    </row>
    <row r="1861" spans="1:15" x14ac:dyDescent="0.25">
      <c r="A1861" s="35">
        <v>1173156218</v>
      </c>
      <c r="B1861" s="35" t="s">
        <v>4132</v>
      </c>
      <c r="C1861" s="35">
        <v>2024</v>
      </c>
      <c r="D1861" s="36">
        <v>45543.950983796298</v>
      </c>
      <c r="E1861" s="37" t="s">
        <v>1938</v>
      </c>
      <c r="F1861" s="37" t="s">
        <v>4880</v>
      </c>
      <c r="G1861" s="37" t="s">
        <v>3639</v>
      </c>
      <c r="H1861" s="35" t="s">
        <v>3419</v>
      </c>
      <c r="I1861" s="35" t="s">
        <v>3416</v>
      </c>
      <c r="J1861" s="38">
        <v>1.72</v>
      </c>
      <c r="K1861" s="35">
        <v>1</v>
      </c>
      <c r="L1861" s="38">
        <f t="shared" si="29"/>
        <v>1.72</v>
      </c>
      <c r="M1861" s="35" t="s">
        <v>11</v>
      </c>
      <c r="N1861" s="38"/>
      <c r="O1861" s="35" t="s">
        <v>12</v>
      </c>
    </row>
    <row r="1862" spans="1:15" x14ac:dyDescent="0.25">
      <c r="A1862" s="35">
        <v>1173150463</v>
      </c>
      <c r="B1862" s="35" t="s">
        <v>4132</v>
      </c>
      <c r="C1862" s="35">
        <v>2024</v>
      </c>
      <c r="D1862" s="36">
        <v>45543.950983796298</v>
      </c>
      <c r="E1862" s="37" t="s">
        <v>1568</v>
      </c>
      <c r="F1862" s="37" t="s">
        <v>4881</v>
      </c>
      <c r="G1862" s="37" t="s">
        <v>4110</v>
      </c>
      <c r="H1862" s="35" t="s">
        <v>3419</v>
      </c>
      <c r="I1862" s="35" t="s">
        <v>3416</v>
      </c>
      <c r="J1862" s="38">
        <v>2.8181227249089962</v>
      </c>
      <c r="K1862" s="35">
        <v>3</v>
      </c>
      <c r="L1862" s="38">
        <f t="shared" si="29"/>
        <v>8.454368174726989</v>
      </c>
      <c r="M1862" s="35" t="s">
        <v>11</v>
      </c>
      <c r="N1862" s="38"/>
      <c r="O1862" s="35" t="s">
        <v>12</v>
      </c>
    </row>
    <row r="1863" spans="1:15" x14ac:dyDescent="0.25">
      <c r="A1863" s="35">
        <v>1173150463</v>
      </c>
      <c r="B1863" s="35" t="s">
        <v>4132</v>
      </c>
      <c r="C1863" s="35">
        <v>2024</v>
      </c>
      <c r="D1863" s="36">
        <v>45543.950983796298</v>
      </c>
      <c r="E1863" s="37" t="s">
        <v>1568</v>
      </c>
      <c r="F1863" s="37" t="s">
        <v>4882</v>
      </c>
      <c r="G1863" s="37" t="s">
        <v>3901</v>
      </c>
      <c r="H1863" s="35" t="s">
        <v>3419</v>
      </c>
      <c r="I1863" s="35" t="s">
        <v>3640</v>
      </c>
      <c r="J1863" s="38">
        <v>5.9978159126365052</v>
      </c>
      <c r="K1863" s="35">
        <v>2</v>
      </c>
      <c r="L1863" s="38">
        <f t="shared" si="29"/>
        <v>11.99563182527301</v>
      </c>
      <c r="M1863" s="35" t="s">
        <v>11</v>
      </c>
      <c r="N1863" s="38"/>
      <c r="O1863" s="35" t="s">
        <v>12</v>
      </c>
    </row>
    <row r="1864" spans="1:15" x14ac:dyDescent="0.25">
      <c r="A1864" s="35">
        <v>1171971359</v>
      </c>
      <c r="B1864" s="35" t="s">
        <v>4158</v>
      </c>
      <c r="C1864" s="35">
        <v>2024</v>
      </c>
      <c r="D1864" s="36">
        <v>45535.532708333332</v>
      </c>
      <c r="E1864" s="37" t="s">
        <v>1950</v>
      </c>
      <c r="F1864" s="37" t="s">
        <v>4747</v>
      </c>
      <c r="G1864" s="37" t="s">
        <v>3723</v>
      </c>
      <c r="H1864" s="35" t="s">
        <v>3419</v>
      </c>
      <c r="I1864" s="35" t="s">
        <v>3640</v>
      </c>
      <c r="J1864" s="38">
        <v>38.47</v>
      </c>
      <c r="K1864" s="35">
        <v>1</v>
      </c>
      <c r="L1864" s="38">
        <f t="shared" si="29"/>
        <v>38.47</v>
      </c>
      <c r="M1864" s="35" t="s">
        <v>11</v>
      </c>
      <c r="N1864" s="38"/>
      <c r="O1864" s="35" t="s">
        <v>12</v>
      </c>
    </row>
    <row r="1865" spans="1:15" x14ac:dyDescent="0.25">
      <c r="A1865" s="35">
        <v>1171928390</v>
      </c>
      <c r="B1865" s="35" t="s">
        <v>4158</v>
      </c>
      <c r="C1865" s="35">
        <v>2024</v>
      </c>
      <c r="D1865" s="36">
        <v>45534.92832175926</v>
      </c>
      <c r="E1865" s="37" t="s">
        <v>1954</v>
      </c>
      <c r="F1865" s="37" t="s">
        <v>4028</v>
      </c>
      <c r="G1865" s="37" t="s">
        <v>3621</v>
      </c>
      <c r="H1865" s="35" t="s">
        <v>3419</v>
      </c>
      <c r="I1865" s="35" t="s">
        <v>3453</v>
      </c>
      <c r="J1865" s="38">
        <v>28.216666666666669</v>
      </c>
      <c r="K1865" s="35">
        <v>3</v>
      </c>
      <c r="L1865" s="38">
        <f t="shared" si="29"/>
        <v>84.65</v>
      </c>
      <c r="M1865" s="35" t="s">
        <v>11</v>
      </c>
      <c r="N1865" s="38"/>
      <c r="O1865" s="35" t="s">
        <v>12</v>
      </c>
    </row>
    <row r="1866" spans="1:15" x14ac:dyDescent="0.25">
      <c r="A1866" s="35">
        <v>1171928259</v>
      </c>
      <c r="B1866" s="35" t="s">
        <v>4158</v>
      </c>
      <c r="C1866" s="35">
        <v>2024</v>
      </c>
      <c r="D1866" s="36">
        <v>45534.924120370371</v>
      </c>
      <c r="E1866" s="37" t="s">
        <v>1956</v>
      </c>
      <c r="F1866" s="37" t="s">
        <v>4887</v>
      </c>
      <c r="G1866" s="37" t="s">
        <v>3726</v>
      </c>
      <c r="H1866" s="35" t="s">
        <v>3419</v>
      </c>
      <c r="I1866" s="35" t="s">
        <v>3416</v>
      </c>
      <c r="J1866" s="38">
        <v>3.01</v>
      </c>
      <c r="K1866" s="35">
        <v>2</v>
      </c>
      <c r="L1866" s="38">
        <f t="shared" si="29"/>
        <v>6.02</v>
      </c>
      <c r="M1866" s="35" t="s">
        <v>11</v>
      </c>
      <c r="N1866" s="38"/>
      <c r="O1866" s="35" t="s">
        <v>12</v>
      </c>
    </row>
    <row r="1867" spans="1:15" x14ac:dyDescent="0.25">
      <c r="A1867" s="35">
        <v>1171926985</v>
      </c>
      <c r="B1867" s="35" t="s">
        <v>4158</v>
      </c>
      <c r="C1867" s="35">
        <v>2024</v>
      </c>
      <c r="D1867" s="36">
        <v>45534.920405092591</v>
      </c>
      <c r="E1867" s="37" t="s">
        <v>1958</v>
      </c>
      <c r="F1867" s="37" t="s">
        <v>4888</v>
      </c>
      <c r="G1867" s="37" t="s">
        <v>3901</v>
      </c>
      <c r="H1867" s="35" t="s">
        <v>3419</v>
      </c>
      <c r="I1867" s="35" t="s">
        <v>3640</v>
      </c>
      <c r="J1867" s="38">
        <v>5.3415789473684212</v>
      </c>
      <c r="K1867" s="35">
        <v>1</v>
      </c>
      <c r="L1867" s="38">
        <f t="shared" si="29"/>
        <v>5.3415789473684212</v>
      </c>
      <c r="M1867" s="35" t="s">
        <v>11</v>
      </c>
      <c r="N1867" s="38"/>
      <c r="O1867" s="35" t="s">
        <v>12</v>
      </c>
    </row>
    <row r="1868" spans="1:15" x14ac:dyDescent="0.25">
      <c r="A1868" s="35">
        <v>1171926985</v>
      </c>
      <c r="B1868" s="35" t="s">
        <v>4158</v>
      </c>
      <c r="C1868" s="35">
        <v>2024</v>
      </c>
      <c r="D1868" s="36">
        <v>45534.920405092591</v>
      </c>
      <c r="E1868" s="37" t="s">
        <v>1958</v>
      </c>
      <c r="F1868" s="37" t="s">
        <v>4889</v>
      </c>
      <c r="G1868" s="37" t="s">
        <v>3720</v>
      </c>
      <c r="H1868" s="35" t="s">
        <v>3419</v>
      </c>
      <c r="I1868" s="35" t="s">
        <v>3416</v>
      </c>
      <c r="J1868" s="38">
        <v>0.62842105263157899</v>
      </c>
      <c r="K1868" s="35">
        <v>1</v>
      </c>
      <c r="L1868" s="38">
        <f t="shared" si="29"/>
        <v>0.62842105263157899</v>
      </c>
      <c r="M1868" s="35" t="s">
        <v>11</v>
      </c>
      <c r="N1868" s="38"/>
      <c r="O1868" s="35" t="s">
        <v>12</v>
      </c>
    </row>
    <row r="1869" spans="1:15" x14ac:dyDescent="0.25">
      <c r="A1869" s="35">
        <v>1171926980</v>
      </c>
      <c r="B1869" s="35" t="s">
        <v>4158</v>
      </c>
      <c r="C1869" s="35">
        <v>2024</v>
      </c>
      <c r="D1869" s="36">
        <v>45534.920405092591</v>
      </c>
      <c r="E1869" s="37" t="s">
        <v>1705</v>
      </c>
      <c r="F1869" s="37" t="s">
        <v>4888</v>
      </c>
      <c r="G1869" s="37" t="s">
        <v>3901</v>
      </c>
      <c r="H1869" s="35" t="s">
        <v>3419</v>
      </c>
      <c r="I1869" s="35" t="s">
        <v>3640</v>
      </c>
      <c r="J1869" s="38">
        <v>6.17</v>
      </c>
      <c r="K1869" s="35">
        <v>1</v>
      </c>
      <c r="L1869" s="38">
        <f t="shared" si="29"/>
        <v>6.17</v>
      </c>
      <c r="M1869" s="35" t="s">
        <v>11</v>
      </c>
      <c r="N1869" s="38"/>
      <c r="O1869" s="35" t="s">
        <v>12</v>
      </c>
    </row>
    <row r="1870" spans="1:15" x14ac:dyDescent="0.25">
      <c r="A1870" s="35">
        <v>1171926979</v>
      </c>
      <c r="B1870" s="35" t="s">
        <v>4158</v>
      </c>
      <c r="C1870" s="35">
        <v>2024</v>
      </c>
      <c r="D1870" s="36">
        <v>45534.920405092591</v>
      </c>
      <c r="E1870" s="37" t="s">
        <v>1961</v>
      </c>
      <c r="F1870" s="37" t="s">
        <v>4888</v>
      </c>
      <c r="G1870" s="37" t="s">
        <v>3901</v>
      </c>
      <c r="H1870" s="35" t="s">
        <v>3419</v>
      </c>
      <c r="I1870" s="35" t="s">
        <v>3640</v>
      </c>
      <c r="J1870" s="38">
        <v>6.22</v>
      </c>
      <c r="K1870" s="35">
        <v>1</v>
      </c>
      <c r="L1870" s="38">
        <f t="shared" si="29"/>
        <v>6.22</v>
      </c>
      <c r="M1870" s="35" t="s">
        <v>11</v>
      </c>
      <c r="N1870" s="38"/>
      <c r="O1870" s="35" t="s">
        <v>12</v>
      </c>
    </row>
    <row r="1871" spans="1:15" x14ac:dyDescent="0.25">
      <c r="A1871" s="35">
        <v>1171926516</v>
      </c>
      <c r="B1871" s="35" t="s">
        <v>4158</v>
      </c>
      <c r="C1871" s="35">
        <v>2024</v>
      </c>
      <c r="D1871" s="36">
        <v>45534.920405092591</v>
      </c>
      <c r="E1871" s="37" t="s">
        <v>414</v>
      </c>
      <c r="F1871" s="37" t="s">
        <v>4888</v>
      </c>
      <c r="G1871" s="37" t="s">
        <v>3901</v>
      </c>
      <c r="H1871" s="35" t="s">
        <v>3419</v>
      </c>
      <c r="I1871" s="35" t="s">
        <v>3640</v>
      </c>
      <c r="J1871" s="38">
        <v>7.0174474756977112</v>
      </c>
      <c r="K1871" s="35">
        <v>1</v>
      </c>
      <c r="L1871" s="38">
        <f t="shared" si="29"/>
        <v>7.0174474756977112</v>
      </c>
      <c r="M1871" s="35" t="s">
        <v>11</v>
      </c>
      <c r="N1871" s="38"/>
      <c r="O1871" s="35" t="s">
        <v>12</v>
      </c>
    </row>
    <row r="1872" spans="1:15" x14ac:dyDescent="0.25">
      <c r="A1872" s="35">
        <v>1171926516</v>
      </c>
      <c r="B1872" s="35" t="s">
        <v>4158</v>
      </c>
      <c r="C1872" s="35">
        <v>2024</v>
      </c>
      <c r="D1872" s="36">
        <v>45534.920405092591</v>
      </c>
      <c r="E1872" s="37" t="s">
        <v>414</v>
      </c>
      <c r="F1872" s="37" t="s">
        <v>4890</v>
      </c>
      <c r="G1872" s="37" t="s">
        <v>4642</v>
      </c>
      <c r="H1872" s="35" t="s">
        <v>3415</v>
      </c>
      <c r="I1872" s="35" t="s">
        <v>3416</v>
      </c>
      <c r="J1872" s="38">
        <v>1.745575415490749</v>
      </c>
      <c r="K1872" s="35">
        <v>4</v>
      </c>
      <c r="L1872" s="38">
        <f t="shared" si="29"/>
        <v>6.9823016619629961</v>
      </c>
      <c r="M1872" s="35" t="s">
        <v>11</v>
      </c>
      <c r="N1872" s="38"/>
      <c r="O1872" s="35" t="s">
        <v>12</v>
      </c>
    </row>
    <row r="1873" spans="1:15" x14ac:dyDescent="0.25">
      <c r="A1873" s="35">
        <v>1171926516</v>
      </c>
      <c r="B1873" s="35" t="s">
        <v>4158</v>
      </c>
      <c r="C1873" s="35">
        <v>2024</v>
      </c>
      <c r="D1873" s="36">
        <v>45534.920405092591</v>
      </c>
      <c r="E1873" s="37" t="s">
        <v>414</v>
      </c>
      <c r="F1873" s="37" t="s">
        <v>4891</v>
      </c>
      <c r="G1873" s="37" t="s">
        <v>4083</v>
      </c>
      <c r="H1873" s="35" t="s">
        <v>3419</v>
      </c>
      <c r="I1873" s="35" t="s">
        <v>3416</v>
      </c>
      <c r="J1873" s="38">
        <v>9.3605017246785831</v>
      </c>
      <c r="K1873" s="35">
        <v>2</v>
      </c>
      <c r="L1873" s="38">
        <f t="shared" si="29"/>
        <v>18.721003449357166</v>
      </c>
      <c r="M1873" s="35" t="s">
        <v>11</v>
      </c>
      <c r="N1873" s="38"/>
      <c r="O1873" s="35" t="s">
        <v>12</v>
      </c>
    </row>
    <row r="1874" spans="1:15" x14ac:dyDescent="0.25">
      <c r="A1874" s="35">
        <v>1171926516</v>
      </c>
      <c r="B1874" s="35" t="s">
        <v>4158</v>
      </c>
      <c r="C1874" s="35">
        <v>2024</v>
      </c>
      <c r="D1874" s="36">
        <v>45534.920405092591</v>
      </c>
      <c r="E1874" s="37" t="s">
        <v>414</v>
      </c>
      <c r="F1874" s="37" t="s">
        <v>4892</v>
      </c>
      <c r="G1874" s="37" t="s">
        <v>3790</v>
      </c>
      <c r="H1874" s="35" t="s">
        <v>3415</v>
      </c>
      <c r="I1874" s="35" t="s">
        <v>3416</v>
      </c>
      <c r="J1874" s="38">
        <v>1.159811853245531</v>
      </c>
      <c r="K1874" s="35">
        <v>4</v>
      </c>
      <c r="L1874" s="38">
        <f t="shared" si="29"/>
        <v>4.6392474129821242</v>
      </c>
      <c r="M1874" s="35" t="s">
        <v>11</v>
      </c>
      <c r="N1874" s="38"/>
      <c r="O1874" s="35" t="s">
        <v>12</v>
      </c>
    </row>
    <row r="1875" spans="1:15" x14ac:dyDescent="0.25">
      <c r="A1875" s="35">
        <v>1171925815</v>
      </c>
      <c r="B1875" s="35" t="s">
        <v>4158</v>
      </c>
      <c r="C1875" s="35">
        <v>2024</v>
      </c>
      <c r="D1875" s="36">
        <v>45534.920405092591</v>
      </c>
      <c r="E1875" s="37" t="s">
        <v>1964</v>
      </c>
      <c r="F1875" s="37" t="s">
        <v>4891</v>
      </c>
      <c r="G1875" s="37" t="s">
        <v>4083</v>
      </c>
      <c r="H1875" s="35" t="s">
        <v>3419</v>
      </c>
      <c r="I1875" s="35" t="s">
        <v>3416</v>
      </c>
      <c r="J1875" s="38">
        <v>6.11</v>
      </c>
      <c r="K1875" s="35">
        <v>2</v>
      </c>
      <c r="L1875" s="38">
        <f t="shared" si="29"/>
        <v>12.22</v>
      </c>
      <c r="M1875" s="35" t="s">
        <v>11</v>
      </c>
      <c r="N1875" s="38"/>
      <c r="O1875" s="35" t="s">
        <v>12</v>
      </c>
    </row>
    <row r="1876" spans="1:15" x14ac:dyDescent="0.25">
      <c r="A1876" s="35">
        <v>1171925783</v>
      </c>
      <c r="B1876" s="35" t="s">
        <v>4158</v>
      </c>
      <c r="C1876" s="35">
        <v>2024</v>
      </c>
      <c r="D1876" s="36">
        <v>45534.920405092591</v>
      </c>
      <c r="E1876" s="37" t="s">
        <v>434</v>
      </c>
      <c r="F1876" s="37" t="s">
        <v>4891</v>
      </c>
      <c r="G1876" s="37" t="s">
        <v>4083</v>
      </c>
      <c r="H1876" s="35" t="s">
        <v>3419</v>
      </c>
      <c r="I1876" s="35" t="s">
        <v>3640</v>
      </c>
      <c r="J1876" s="38">
        <v>3.12</v>
      </c>
      <c r="K1876" s="35">
        <v>1</v>
      </c>
      <c r="L1876" s="38">
        <f t="shared" si="29"/>
        <v>3.12</v>
      </c>
      <c r="M1876" s="35" t="s">
        <v>11</v>
      </c>
      <c r="N1876" s="38"/>
      <c r="O1876" s="35" t="s">
        <v>12</v>
      </c>
    </row>
    <row r="1877" spans="1:15" x14ac:dyDescent="0.25">
      <c r="A1877" s="35">
        <v>1171925262</v>
      </c>
      <c r="B1877" s="35" t="s">
        <v>4158</v>
      </c>
      <c r="C1877" s="35">
        <v>2024</v>
      </c>
      <c r="D1877" s="36">
        <v>45534.907604166663</v>
      </c>
      <c r="E1877" s="37" t="s">
        <v>1966</v>
      </c>
      <c r="F1877" s="37" t="s">
        <v>4893</v>
      </c>
      <c r="G1877" s="37" t="s">
        <v>4083</v>
      </c>
      <c r="H1877" s="35" t="s">
        <v>3419</v>
      </c>
      <c r="I1877" s="35" t="s">
        <v>3640</v>
      </c>
      <c r="J1877" s="38">
        <v>5.72</v>
      </c>
      <c r="K1877" s="35">
        <v>1</v>
      </c>
      <c r="L1877" s="38">
        <f t="shared" si="29"/>
        <v>5.72</v>
      </c>
      <c r="M1877" s="35" t="s">
        <v>11</v>
      </c>
      <c r="N1877" s="38"/>
      <c r="O1877" s="35" t="s">
        <v>12</v>
      </c>
    </row>
    <row r="1878" spans="1:15" x14ac:dyDescent="0.25">
      <c r="A1878" s="35">
        <v>1171656482</v>
      </c>
      <c r="B1878" s="35" t="s">
        <v>4158</v>
      </c>
      <c r="C1878" s="35">
        <v>2024</v>
      </c>
      <c r="D1878" s="36">
        <v>45532.906574074077</v>
      </c>
      <c r="E1878" s="37" t="s">
        <v>61</v>
      </c>
      <c r="F1878" s="37" t="s">
        <v>3693</v>
      </c>
      <c r="G1878" s="37" t="s">
        <v>3694</v>
      </c>
      <c r="H1878" s="35" t="s">
        <v>3419</v>
      </c>
      <c r="I1878" s="35" t="s">
        <v>3453</v>
      </c>
      <c r="J1878" s="38">
        <v>2.95</v>
      </c>
      <c r="K1878" s="35">
        <v>2</v>
      </c>
      <c r="L1878" s="38">
        <f t="shared" si="29"/>
        <v>5.9</v>
      </c>
      <c r="M1878" s="42" t="s">
        <v>11</v>
      </c>
      <c r="N1878" s="38"/>
      <c r="O1878" s="35" t="s">
        <v>12</v>
      </c>
    </row>
    <row r="1879" spans="1:15" x14ac:dyDescent="0.25">
      <c r="A1879" s="35">
        <v>1171563893</v>
      </c>
      <c r="B1879" s="35" t="s">
        <v>4158</v>
      </c>
      <c r="C1879" s="35">
        <v>2024</v>
      </c>
      <c r="D1879" s="36">
        <v>45532.42</v>
      </c>
      <c r="E1879" s="37" t="s">
        <v>1969</v>
      </c>
      <c r="F1879" s="37" t="s">
        <v>4895</v>
      </c>
      <c r="G1879" s="37" t="s">
        <v>4761</v>
      </c>
      <c r="H1879" s="35" t="s">
        <v>3419</v>
      </c>
      <c r="I1879" s="35" t="s">
        <v>3416</v>
      </c>
      <c r="J1879" s="38">
        <v>0.89</v>
      </c>
      <c r="K1879" s="35">
        <v>2</v>
      </c>
      <c r="L1879" s="38">
        <f t="shared" si="29"/>
        <v>1.78</v>
      </c>
      <c r="M1879" s="35" t="s">
        <v>11</v>
      </c>
      <c r="N1879" s="38"/>
      <c r="O1879" s="35" t="s">
        <v>12</v>
      </c>
    </row>
    <row r="1880" spans="1:15" x14ac:dyDescent="0.25">
      <c r="A1880" s="35">
        <v>1171355286</v>
      </c>
      <c r="B1880" s="35" t="s">
        <v>4158</v>
      </c>
      <c r="C1880" s="35">
        <v>2024</v>
      </c>
      <c r="D1880" s="36">
        <v>45530.806041666663</v>
      </c>
      <c r="E1880" s="37" t="s">
        <v>469</v>
      </c>
      <c r="F1880" s="37" t="s">
        <v>4897</v>
      </c>
      <c r="G1880" s="37" t="s">
        <v>3797</v>
      </c>
      <c r="H1880" s="35" t="s">
        <v>3415</v>
      </c>
      <c r="I1880" s="35" t="s">
        <v>3453</v>
      </c>
      <c r="J1880" s="38">
        <v>2.7949999999999999</v>
      </c>
      <c r="K1880" s="35">
        <v>4</v>
      </c>
      <c r="L1880" s="38">
        <f t="shared" si="29"/>
        <v>11.18</v>
      </c>
      <c r="M1880" s="35" t="s">
        <v>11</v>
      </c>
      <c r="N1880" s="38"/>
      <c r="O1880" s="35" t="s">
        <v>12</v>
      </c>
    </row>
    <row r="1881" spans="1:15" x14ac:dyDescent="0.25">
      <c r="A1881" s="35">
        <v>1171320551</v>
      </c>
      <c r="B1881" s="35" t="s">
        <v>4158</v>
      </c>
      <c r="C1881" s="35">
        <v>2024</v>
      </c>
      <c r="D1881" s="36">
        <v>45530.663842592592</v>
      </c>
      <c r="E1881" s="37" t="s">
        <v>1978</v>
      </c>
      <c r="F1881" s="37" t="s">
        <v>4898</v>
      </c>
      <c r="G1881" s="37" t="s">
        <v>3455</v>
      </c>
      <c r="H1881" s="35" t="s">
        <v>3419</v>
      </c>
      <c r="I1881" s="35" t="s">
        <v>3416</v>
      </c>
      <c r="J1881" s="38">
        <v>41.47</v>
      </c>
      <c r="K1881" s="35">
        <v>1</v>
      </c>
      <c r="L1881" s="38">
        <f t="shared" si="29"/>
        <v>41.47</v>
      </c>
      <c r="M1881" s="35" t="s">
        <v>11</v>
      </c>
      <c r="N1881" s="38"/>
      <c r="O1881" s="35" t="s">
        <v>12</v>
      </c>
    </row>
    <row r="1882" spans="1:15" x14ac:dyDescent="0.25">
      <c r="A1882" s="35">
        <v>1171320546</v>
      </c>
      <c r="B1882" s="35" t="s">
        <v>4158</v>
      </c>
      <c r="C1882" s="35">
        <v>2024</v>
      </c>
      <c r="D1882" s="36">
        <v>45530.663842592592</v>
      </c>
      <c r="E1882" s="37" t="s">
        <v>1980</v>
      </c>
      <c r="F1882" s="37" t="s">
        <v>4898</v>
      </c>
      <c r="G1882" s="37" t="s">
        <v>3455</v>
      </c>
      <c r="H1882" s="35" t="s">
        <v>3419</v>
      </c>
      <c r="I1882" s="35" t="s">
        <v>3416</v>
      </c>
      <c r="J1882" s="38">
        <v>41.45</v>
      </c>
      <c r="K1882" s="35">
        <v>1</v>
      </c>
      <c r="L1882" s="38">
        <f t="shared" si="29"/>
        <v>41.45</v>
      </c>
      <c r="M1882" s="35" t="s">
        <v>11</v>
      </c>
      <c r="N1882" s="38"/>
      <c r="O1882" s="35" t="s">
        <v>12</v>
      </c>
    </row>
    <row r="1883" spans="1:15" x14ac:dyDescent="0.25">
      <c r="A1883" s="35">
        <v>1170938490</v>
      </c>
      <c r="B1883" s="35" t="s">
        <v>4158</v>
      </c>
      <c r="C1883" s="35">
        <v>2024</v>
      </c>
      <c r="D1883" s="36">
        <v>45527.640231481477</v>
      </c>
      <c r="E1883" s="37" t="s">
        <v>414</v>
      </c>
      <c r="F1883" s="37" t="s">
        <v>4832</v>
      </c>
      <c r="G1883" s="37" t="s">
        <v>3905</v>
      </c>
      <c r="H1883" s="35" t="s">
        <v>3415</v>
      </c>
      <c r="I1883" s="35" t="s">
        <v>3453</v>
      </c>
      <c r="J1883" s="38">
        <v>3.7949999999999999</v>
      </c>
      <c r="K1883" s="35">
        <v>4</v>
      </c>
      <c r="L1883" s="38">
        <f t="shared" si="29"/>
        <v>15.18</v>
      </c>
      <c r="M1883" s="35" t="s">
        <v>11</v>
      </c>
      <c r="N1883" s="38"/>
      <c r="O1883" s="35" t="s">
        <v>12</v>
      </c>
    </row>
    <row r="1884" spans="1:15" x14ac:dyDescent="0.25">
      <c r="A1884" s="35">
        <v>1170905751</v>
      </c>
      <c r="B1884" s="35" t="s">
        <v>4158</v>
      </c>
      <c r="C1884" s="35">
        <v>2024</v>
      </c>
      <c r="D1884" s="36">
        <v>45527.427812499998</v>
      </c>
      <c r="E1884" s="37" t="s">
        <v>1987</v>
      </c>
      <c r="F1884" s="37" t="s">
        <v>4641</v>
      </c>
      <c r="G1884" s="37" t="s">
        <v>4642</v>
      </c>
      <c r="H1884" s="35" t="s">
        <v>3419</v>
      </c>
      <c r="I1884" s="35" t="s">
        <v>3453</v>
      </c>
      <c r="J1884" s="38">
        <v>4.22</v>
      </c>
      <c r="K1884" s="35">
        <v>1</v>
      </c>
      <c r="L1884" s="38">
        <f t="shared" si="29"/>
        <v>4.22</v>
      </c>
      <c r="M1884" s="35" t="s">
        <v>11</v>
      </c>
      <c r="N1884" s="38"/>
      <c r="O1884" s="35" t="s">
        <v>12</v>
      </c>
    </row>
    <row r="1885" spans="1:15" x14ac:dyDescent="0.25">
      <c r="A1885" s="35">
        <v>1170905060</v>
      </c>
      <c r="B1885" s="35" t="s">
        <v>4158</v>
      </c>
      <c r="C1885" s="35">
        <v>2024</v>
      </c>
      <c r="D1885" s="36">
        <v>45527.427812499998</v>
      </c>
      <c r="E1885" s="37" t="s">
        <v>276</v>
      </c>
      <c r="F1885" s="37" t="s">
        <v>4900</v>
      </c>
      <c r="G1885" s="37" t="s">
        <v>3639</v>
      </c>
      <c r="H1885" s="35" t="s">
        <v>3419</v>
      </c>
      <c r="I1885" s="35" t="s">
        <v>3416</v>
      </c>
      <c r="J1885" s="38">
        <v>35.47</v>
      </c>
      <c r="K1885" s="35">
        <v>1</v>
      </c>
      <c r="L1885" s="38">
        <f t="shared" si="29"/>
        <v>35.47</v>
      </c>
      <c r="M1885" s="35" t="s">
        <v>11</v>
      </c>
      <c r="N1885" s="38"/>
      <c r="O1885" s="35" t="s">
        <v>12</v>
      </c>
    </row>
    <row r="1886" spans="1:15" x14ac:dyDescent="0.25">
      <c r="A1886" s="35">
        <v>1170904876</v>
      </c>
      <c r="B1886" s="35" t="s">
        <v>4158</v>
      </c>
      <c r="C1886" s="35">
        <v>2024</v>
      </c>
      <c r="D1886" s="36">
        <v>45527.427812499998</v>
      </c>
      <c r="E1886" s="37" t="s">
        <v>1271</v>
      </c>
      <c r="F1886" s="37" t="s">
        <v>4901</v>
      </c>
      <c r="G1886" s="37" t="s">
        <v>3664</v>
      </c>
      <c r="H1886" s="35" t="s">
        <v>3419</v>
      </c>
      <c r="I1886" s="35" t="s">
        <v>3416</v>
      </c>
      <c r="J1886" s="38">
        <v>7.3566666666666656</v>
      </c>
      <c r="K1886" s="35">
        <v>3</v>
      </c>
      <c r="L1886" s="38">
        <f t="shared" si="29"/>
        <v>22.069999999999997</v>
      </c>
      <c r="M1886" s="35" t="s">
        <v>11</v>
      </c>
      <c r="N1886" s="38"/>
      <c r="O1886" s="35" t="s">
        <v>12</v>
      </c>
    </row>
    <row r="1887" spans="1:15" x14ac:dyDescent="0.25">
      <c r="A1887" s="35">
        <v>1170904508</v>
      </c>
      <c r="B1887" s="35" t="s">
        <v>4158</v>
      </c>
      <c r="C1887" s="35">
        <v>2024</v>
      </c>
      <c r="D1887" s="36">
        <v>45527.427812499998</v>
      </c>
      <c r="E1887" s="37" t="s">
        <v>294</v>
      </c>
      <c r="F1887" s="37" t="s">
        <v>4382</v>
      </c>
      <c r="G1887" s="37" t="s">
        <v>3621</v>
      </c>
      <c r="H1887" s="35" t="s">
        <v>3415</v>
      </c>
      <c r="I1887" s="35" t="s">
        <v>3416</v>
      </c>
      <c r="J1887" s="38">
        <v>3.2549999999999999</v>
      </c>
      <c r="K1887" s="35">
        <v>4</v>
      </c>
      <c r="L1887" s="38">
        <f t="shared" si="29"/>
        <v>13.02</v>
      </c>
      <c r="M1887" s="35" t="s">
        <v>11</v>
      </c>
      <c r="N1887" s="38"/>
      <c r="O1887" s="35" t="s">
        <v>12</v>
      </c>
    </row>
    <row r="1888" spans="1:15" x14ac:dyDescent="0.25">
      <c r="A1888" s="35">
        <v>1170903505</v>
      </c>
      <c r="B1888" s="35" t="s">
        <v>4158</v>
      </c>
      <c r="C1888" s="35">
        <v>2024</v>
      </c>
      <c r="D1888" s="36">
        <v>45527.427812499998</v>
      </c>
      <c r="E1888" s="37" t="s">
        <v>950</v>
      </c>
      <c r="F1888" s="37" t="s">
        <v>4902</v>
      </c>
      <c r="G1888" s="37" t="s">
        <v>4642</v>
      </c>
      <c r="H1888" s="35" t="s">
        <v>3415</v>
      </c>
      <c r="I1888" s="35" t="s">
        <v>3453</v>
      </c>
      <c r="J1888" s="38">
        <v>6.7</v>
      </c>
      <c r="K1888" s="35">
        <v>4</v>
      </c>
      <c r="L1888" s="38">
        <f t="shared" si="29"/>
        <v>26.8</v>
      </c>
      <c r="M1888" s="35" t="s">
        <v>11</v>
      </c>
      <c r="N1888" s="38"/>
      <c r="O1888" s="35" t="s">
        <v>12</v>
      </c>
    </row>
    <row r="1889" spans="1:15" x14ac:dyDescent="0.25">
      <c r="A1889" s="35">
        <v>1170903073</v>
      </c>
      <c r="B1889" s="35" t="s">
        <v>4158</v>
      </c>
      <c r="C1889" s="35">
        <v>2024</v>
      </c>
      <c r="D1889" s="36">
        <v>45527.427812499998</v>
      </c>
      <c r="E1889" s="37" t="s">
        <v>1992</v>
      </c>
      <c r="F1889" s="37" t="s">
        <v>4903</v>
      </c>
      <c r="G1889" s="37" t="s">
        <v>3855</v>
      </c>
      <c r="H1889" s="35" t="s">
        <v>3419</v>
      </c>
      <c r="I1889" s="35" t="s">
        <v>3416</v>
      </c>
      <c r="J1889" s="38">
        <v>3.73</v>
      </c>
      <c r="K1889" s="35">
        <v>3</v>
      </c>
      <c r="L1889" s="38">
        <f t="shared" si="29"/>
        <v>11.19</v>
      </c>
      <c r="M1889" s="35" t="s">
        <v>11</v>
      </c>
      <c r="N1889" s="38"/>
      <c r="O1889" s="35" t="s">
        <v>12</v>
      </c>
    </row>
    <row r="1890" spans="1:15" x14ac:dyDescent="0.25">
      <c r="A1890" s="35">
        <v>1170801773</v>
      </c>
      <c r="B1890" s="35" t="s">
        <v>4158</v>
      </c>
      <c r="C1890" s="35">
        <v>2024</v>
      </c>
      <c r="D1890" s="36">
        <v>45526.598912037043</v>
      </c>
      <c r="E1890" s="37" t="s">
        <v>8</v>
      </c>
      <c r="F1890" s="37" t="s">
        <v>4904</v>
      </c>
      <c r="G1890" s="37" t="s">
        <v>3455</v>
      </c>
      <c r="H1890" s="35" t="s">
        <v>3419</v>
      </c>
      <c r="I1890" s="35" t="s">
        <v>3416</v>
      </c>
      <c r="J1890" s="38">
        <v>4.4800000000000004</v>
      </c>
      <c r="K1890" s="35">
        <v>2</v>
      </c>
      <c r="L1890" s="38">
        <f t="shared" si="29"/>
        <v>8.9600000000000009</v>
      </c>
      <c r="M1890" s="42" t="s">
        <v>11</v>
      </c>
      <c r="N1890" s="38"/>
      <c r="O1890" s="35" t="s">
        <v>12</v>
      </c>
    </row>
    <row r="1891" spans="1:15" x14ac:dyDescent="0.25">
      <c r="A1891" s="35">
        <v>1170801773</v>
      </c>
      <c r="B1891" s="35" t="s">
        <v>4158</v>
      </c>
      <c r="C1891" s="35">
        <v>2024</v>
      </c>
      <c r="D1891" s="36">
        <v>45526.598912037043</v>
      </c>
      <c r="E1891" s="37" t="s">
        <v>8</v>
      </c>
      <c r="F1891" s="37" t="s">
        <v>4905</v>
      </c>
      <c r="G1891" s="37" t="s">
        <v>3714</v>
      </c>
      <c r="H1891" s="35" t="s">
        <v>3419</v>
      </c>
      <c r="I1891" s="35" t="s">
        <v>3416</v>
      </c>
      <c r="J1891" s="38">
        <v>0.5</v>
      </c>
      <c r="K1891" s="35">
        <v>2</v>
      </c>
      <c r="L1891" s="38">
        <f t="shared" si="29"/>
        <v>1</v>
      </c>
      <c r="M1891" s="42" t="s">
        <v>11</v>
      </c>
      <c r="N1891" s="38"/>
      <c r="O1891" s="35" t="s">
        <v>12</v>
      </c>
    </row>
    <row r="1892" spans="1:15" x14ac:dyDescent="0.25">
      <c r="A1892" s="35">
        <v>1170382684</v>
      </c>
      <c r="B1892" s="35" t="s">
        <v>4158</v>
      </c>
      <c r="C1892" s="35">
        <v>2024</v>
      </c>
      <c r="D1892" s="36">
        <v>45523.53597222222</v>
      </c>
      <c r="E1892" s="37" t="s">
        <v>294</v>
      </c>
      <c r="F1892" s="37" t="s">
        <v>4906</v>
      </c>
      <c r="G1892" s="37" t="s">
        <v>3694</v>
      </c>
      <c r="H1892" s="35" t="s">
        <v>3415</v>
      </c>
      <c r="I1892" s="35" t="s">
        <v>3416</v>
      </c>
      <c r="J1892" s="38">
        <v>2.0345559502664301</v>
      </c>
      <c r="K1892" s="35">
        <v>4</v>
      </c>
      <c r="L1892" s="38">
        <f t="shared" si="29"/>
        <v>8.1382238010657204</v>
      </c>
      <c r="M1892" s="35" t="s">
        <v>11</v>
      </c>
      <c r="N1892" s="38"/>
      <c r="O1892" s="35" t="s">
        <v>12</v>
      </c>
    </row>
    <row r="1893" spans="1:15" x14ac:dyDescent="0.25">
      <c r="A1893" s="35">
        <v>1170382684</v>
      </c>
      <c r="B1893" s="35" t="s">
        <v>4158</v>
      </c>
      <c r="C1893" s="35">
        <v>2024</v>
      </c>
      <c r="D1893" s="36">
        <v>45523.53597222222</v>
      </c>
      <c r="E1893" s="37" t="s">
        <v>294</v>
      </c>
      <c r="F1893" s="37" t="s">
        <v>4907</v>
      </c>
      <c r="G1893" s="37" t="s">
        <v>4908</v>
      </c>
      <c r="H1893" s="35" t="s">
        <v>3419</v>
      </c>
      <c r="I1893" s="35" t="s">
        <v>3416</v>
      </c>
      <c r="J1893" s="38">
        <v>2.0556394316163411</v>
      </c>
      <c r="K1893" s="35">
        <v>2</v>
      </c>
      <c r="L1893" s="38">
        <f t="shared" si="29"/>
        <v>4.1112788632326822</v>
      </c>
      <c r="M1893" s="35" t="s">
        <v>11</v>
      </c>
      <c r="N1893" s="38"/>
      <c r="O1893" s="35" t="s">
        <v>12</v>
      </c>
    </row>
    <row r="1894" spans="1:15" x14ac:dyDescent="0.25">
      <c r="A1894" s="35">
        <v>1170382684</v>
      </c>
      <c r="B1894" s="35" t="s">
        <v>4158</v>
      </c>
      <c r="C1894" s="35">
        <v>2024</v>
      </c>
      <c r="D1894" s="36">
        <v>45523.53597222222</v>
      </c>
      <c r="E1894" s="37" t="s">
        <v>294</v>
      </c>
      <c r="F1894" s="37" t="s">
        <v>4591</v>
      </c>
      <c r="G1894" s="37" t="s">
        <v>3455</v>
      </c>
      <c r="H1894" s="35" t="s">
        <v>3419</v>
      </c>
      <c r="I1894" s="35" t="s">
        <v>3416</v>
      </c>
      <c r="J1894" s="38">
        <v>7.3265097690941383</v>
      </c>
      <c r="K1894" s="35">
        <v>1</v>
      </c>
      <c r="L1894" s="38">
        <f t="shared" si="29"/>
        <v>7.3265097690941383</v>
      </c>
      <c r="M1894" s="35" t="s">
        <v>11</v>
      </c>
      <c r="N1894" s="38"/>
      <c r="O1894" s="35" t="s">
        <v>12</v>
      </c>
    </row>
    <row r="1895" spans="1:15" ht="30" x14ac:dyDescent="0.25">
      <c r="A1895" s="35">
        <v>1170382684</v>
      </c>
      <c r="B1895" s="35" t="s">
        <v>4158</v>
      </c>
      <c r="C1895" s="35">
        <v>2024</v>
      </c>
      <c r="D1895" s="36">
        <v>45523.53597222222</v>
      </c>
      <c r="E1895" s="37" t="s">
        <v>294</v>
      </c>
      <c r="F1895" s="37" t="s">
        <v>4909</v>
      </c>
      <c r="G1895" s="37" t="s">
        <v>4910</v>
      </c>
      <c r="H1895" s="35" t="s">
        <v>3419</v>
      </c>
      <c r="I1895" s="35" t="s">
        <v>3416</v>
      </c>
      <c r="J1895" s="38">
        <v>1.001465364120782</v>
      </c>
      <c r="K1895" s="35">
        <v>1</v>
      </c>
      <c r="L1895" s="38">
        <f t="shared" si="29"/>
        <v>1.001465364120782</v>
      </c>
      <c r="M1895" s="35" t="s">
        <v>11</v>
      </c>
      <c r="N1895" s="38"/>
      <c r="O1895" s="35" t="s">
        <v>12</v>
      </c>
    </row>
    <row r="1896" spans="1:15" x14ac:dyDescent="0.25">
      <c r="A1896" s="35">
        <v>1170382684</v>
      </c>
      <c r="B1896" s="35" t="s">
        <v>4158</v>
      </c>
      <c r="C1896" s="35">
        <v>2024</v>
      </c>
      <c r="D1896" s="36">
        <v>45523.53597222222</v>
      </c>
      <c r="E1896" s="37" t="s">
        <v>294</v>
      </c>
      <c r="F1896" s="37" t="s">
        <v>4911</v>
      </c>
      <c r="G1896" s="37" t="s">
        <v>4059</v>
      </c>
      <c r="H1896" s="35" t="s">
        <v>3415</v>
      </c>
      <c r="I1896" s="35" t="s">
        <v>3416</v>
      </c>
      <c r="J1896" s="38">
        <v>0.79063055062166965</v>
      </c>
      <c r="K1896" s="35">
        <v>4</v>
      </c>
      <c r="L1896" s="38">
        <f t="shared" si="29"/>
        <v>3.1625222024866786</v>
      </c>
      <c r="M1896" s="35" t="s">
        <v>11</v>
      </c>
      <c r="N1896" s="38"/>
      <c r="O1896" s="35" t="s">
        <v>12</v>
      </c>
    </row>
    <row r="1897" spans="1:15" x14ac:dyDescent="0.25">
      <c r="A1897" s="35">
        <v>1169997844</v>
      </c>
      <c r="B1897" s="35" t="s">
        <v>4158</v>
      </c>
      <c r="C1897" s="35">
        <v>2024</v>
      </c>
      <c r="D1897" s="36">
        <v>45520.509687500002</v>
      </c>
      <c r="E1897" s="37" t="s">
        <v>1999</v>
      </c>
      <c r="F1897" s="37" t="s">
        <v>4680</v>
      </c>
      <c r="G1897" s="37" t="s">
        <v>4097</v>
      </c>
      <c r="H1897" s="35" t="s">
        <v>3419</v>
      </c>
      <c r="I1897" s="35" t="s">
        <v>3416</v>
      </c>
      <c r="J1897" s="38">
        <v>24.484999999999999</v>
      </c>
      <c r="K1897" s="35">
        <v>2</v>
      </c>
      <c r="L1897" s="38">
        <f t="shared" si="29"/>
        <v>48.97</v>
      </c>
      <c r="M1897" s="35" t="s">
        <v>11</v>
      </c>
      <c r="N1897" s="38"/>
      <c r="O1897" s="35" t="s">
        <v>12</v>
      </c>
    </row>
    <row r="1898" spans="1:15" x14ac:dyDescent="0.25">
      <c r="A1898" s="35">
        <v>1169903783</v>
      </c>
      <c r="B1898" s="35" t="s">
        <v>4158</v>
      </c>
      <c r="C1898" s="35">
        <v>2024</v>
      </c>
      <c r="D1898" s="36">
        <v>45519.678877314807</v>
      </c>
      <c r="E1898" s="37" t="s">
        <v>902</v>
      </c>
      <c r="F1898" s="37" t="s">
        <v>4846</v>
      </c>
      <c r="G1898" s="37" t="s">
        <v>3714</v>
      </c>
      <c r="H1898" s="35" t="s">
        <v>3419</v>
      </c>
      <c r="I1898" s="35" t="s">
        <v>3416</v>
      </c>
      <c r="J1898" s="38">
        <v>16.72</v>
      </c>
      <c r="K1898" s="35">
        <v>1</v>
      </c>
      <c r="L1898" s="38">
        <f t="shared" si="29"/>
        <v>16.72</v>
      </c>
      <c r="M1898" s="35" t="s">
        <v>11</v>
      </c>
      <c r="N1898" s="38"/>
      <c r="O1898" s="35" t="s">
        <v>12</v>
      </c>
    </row>
    <row r="1899" spans="1:15" x14ac:dyDescent="0.25">
      <c r="A1899" s="35">
        <v>1168891735</v>
      </c>
      <c r="B1899" s="35" t="s">
        <v>4158</v>
      </c>
      <c r="C1899" s="35">
        <v>2024</v>
      </c>
      <c r="D1899" s="36">
        <v>45511.947326388887</v>
      </c>
      <c r="E1899" s="37" t="s">
        <v>2017</v>
      </c>
      <c r="F1899" s="37" t="s">
        <v>4915</v>
      </c>
      <c r="G1899" s="37" t="s">
        <v>3788</v>
      </c>
      <c r="H1899" s="35" t="s">
        <v>3419</v>
      </c>
      <c r="I1899" s="35" t="s">
        <v>3416</v>
      </c>
      <c r="J1899" s="38">
        <v>3.42</v>
      </c>
      <c r="K1899" s="35">
        <v>1</v>
      </c>
      <c r="L1899" s="38">
        <f t="shared" si="29"/>
        <v>3.42</v>
      </c>
      <c r="M1899" s="35" t="s">
        <v>11</v>
      </c>
      <c r="N1899" s="38"/>
      <c r="O1899" s="35" t="s">
        <v>12</v>
      </c>
    </row>
    <row r="1900" spans="1:15" x14ac:dyDescent="0.25">
      <c r="A1900" s="35">
        <v>1168880691</v>
      </c>
      <c r="B1900" s="35" t="s">
        <v>4158</v>
      </c>
      <c r="C1900" s="35">
        <v>2024</v>
      </c>
      <c r="D1900" s="36">
        <v>45511.906504629631</v>
      </c>
      <c r="E1900" s="37" t="s">
        <v>1100</v>
      </c>
      <c r="F1900" s="37" t="s">
        <v>4219</v>
      </c>
      <c r="G1900" s="37" t="s">
        <v>4220</v>
      </c>
      <c r="H1900" s="35" t="s">
        <v>3419</v>
      </c>
      <c r="I1900" s="35" t="s">
        <v>3416</v>
      </c>
      <c r="J1900" s="38">
        <v>38.734999999999999</v>
      </c>
      <c r="K1900" s="35">
        <v>2</v>
      </c>
      <c r="L1900" s="38">
        <f t="shared" si="29"/>
        <v>77.47</v>
      </c>
      <c r="M1900" s="35" t="s">
        <v>11</v>
      </c>
      <c r="N1900" s="38"/>
      <c r="O1900" s="35" t="s">
        <v>12</v>
      </c>
    </row>
    <row r="1901" spans="1:15" x14ac:dyDescent="0.25">
      <c r="A1901" s="35">
        <v>1168521847</v>
      </c>
      <c r="B1901" s="35" t="s">
        <v>4158</v>
      </c>
      <c r="C1901" s="35">
        <v>2024</v>
      </c>
      <c r="D1901" s="36">
        <v>45509.523900462962</v>
      </c>
      <c r="E1901" s="37" t="s">
        <v>2021</v>
      </c>
      <c r="F1901" s="37" t="s">
        <v>4916</v>
      </c>
      <c r="G1901" s="37" t="s">
        <v>4059</v>
      </c>
      <c r="H1901" s="35" t="s">
        <v>3419</v>
      </c>
      <c r="I1901" s="35" t="s">
        <v>3416</v>
      </c>
      <c r="J1901" s="38">
        <v>21.22</v>
      </c>
      <c r="K1901" s="35">
        <v>1</v>
      </c>
      <c r="L1901" s="38">
        <f t="shared" si="29"/>
        <v>21.22</v>
      </c>
      <c r="M1901" s="35" t="s">
        <v>11</v>
      </c>
      <c r="N1901" s="38"/>
      <c r="O1901" s="35" t="s">
        <v>12</v>
      </c>
    </row>
    <row r="1902" spans="1:15" x14ac:dyDescent="0.25">
      <c r="A1902" s="35">
        <v>1167980364</v>
      </c>
      <c r="B1902" s="35" t="s">
        <v>4158</v>
      </c>
      <c r="C1902" s="35">
        <v>2024</v>
      </c>
      <c r="D1902" s="36">
        <v>45505.597951388889</v>
      </c>
      <c r="E1902" s="37" t="s">
        <v>61</v>
      </c>
      <c r="F1902" s="37" t="s">
        <v>4921</v>
      </c>
      <c r="G1902" s="37" t="s">
        <v>3694</v>
      </c>
      <c r="H1902" s="35" t="s">
        <v>3419</v>
      </c>
      <c r="I1902" s="35" t="s">
        <v>3416</v>
      </c>
      <c r="J1902" s="38">
        <v>6.4</v>
      </c>
      <c r="K1902" s="35">
        <v>1</v>
      </c>
      <c r="L1902" s="38">
        <f t="shared" si="29"/>
        <v>6.4</v>
      </c>
      <c r="M1902" s="42" t="s">
        <v>11</v>
      </c>
      <c r="N1902" s="38"/>
      <c r="O1902" s="35" t="s">
        <v>12</v>
      </c>
    </row>
    <row r="1903" spans="1:15" x14ac:dyDescent="0.25">
      <c r="A1903" s="35">
        <v>1167980357</v>
      </c>
      <c r="B1903" s="35" t="s">
        <v>4158</v>
      </c>
      <c r="C1903" s="35">
        <v>2024</v>
      </c>
      <c r="D1903" s="36">
        <v>45505.597951388889</v>
      </c>
      <c r="E1903" s="37" t="s">
        <v>8</v>
      </c>
      <c r="F1903" s="37" t="s">
        <v>4921</v>
      </c>
      <c r="G1903" s="37" t="s">
        <v>3694</v>
      </c>
      <c r="H1903" s="35" t="s">
        <v>3419</v>
      </c>
      <c r="I1903" s="35" t="s">
        <v>3416</v>
      </c>
      <c r="J1903" s="38">
        <v>6.84</v>
      </c>
      <c r="K1903" s="35">
        <v>3</v>
      </c>
      <c r="L1903" s="38">
        <f t="shared" si="29"/>
        <v>20.52</v>
      </c>
      <c r="M1903" s="42" t="s">
        <v>11</v>
      </c>
      <c r="N1903" s="38"/>
      <c r="O1903" s="35" t="s">
        <v>12</v>
      </c>
    </row>
    <row r="1904" spans="1:15" x14ac:dyDescent="0.25">
      <c r="A1904" s="35">
        <v>1167698291</v>
      </c>
      <c r="B1904" s="35" t="s">
        <v>4199</v>
      </c>
      <c r="C1904" s="35">
        <v>2024</v>
      </c>
      <c r="D1904" s="36">
        <v>45503.553993055553</v>
      </c>
      <c r="E1904" s="37" t="s">
        <v>8</v>
      </c>
      <c r="F1904" s="37" t="s">
        <v>4922</v>
      </c>
      <c r="G1904" s="37" t="s">
        <v>3658</v>
      </c>
      <c r="H1904" s="35" t="s">
        <v>3419</v>
      </c>
      <c r="I1904" s="35" t="s">
        <v>3416</v>
      </c>
      <c r="J1904" s="38">
        <v>0.95</v>
      </c>
      <c r="K1904" s="35">
        <v>1</v>
      </c>
      <c r="L1904" s="38">
        <f t="shared" si="29"/>
        <v>0.95</v>
      </c>
      <c r="M1904" s="42" t="s">
        <v>11</v>
      </c>
      <c r="N1904" s="38"/>
      <c r="O1904" s="35" t="s">
        <v>12</v>
      </c>
    </row>
    <row r="1905" spans="1:15" x14ac:dyDescent="0.25">
      <c r="A1905" s="35">
        <v>1167649874</v>
      </c>
      <c r="B1905" s="35" t="s">
        <v>4199</v>
      </c>
      <c r="C1905" s="35">
        <v>2024</v>
      </c>
      <c r="D1905" s="36">
        <v>45503.29005787037</v>
      </c>
      <c r="E1905" s="37" t="s">
        <v>2034</v>
      </c>
      <c r="F1905" s="37" t="s">
        <v>4924</v>
      </c>
      <c r="G1905" s="37" t="s">
        <v>3674</v>
      </c>
      <c r="H1905" s="35" t="s">
        <v>3419</v>
      </c>
      <c r="I1905" s="35" t="s">
        <v>3416</v>
      </c>
      <c r="J1905" s="38">
        <v>8.61</v>
      </c>
      <c r="K1905" s="35">
        <v>2</v>
      </c>
      <c r="L1905" s="38">
        <f t="shared" si="29"/>
        <v>17.22</v>
      </c>
      <c r="M1905" s="35" t="s">
        <v>11</v>
      </c>
      <c r="N1905" s="38"/>
      <c r="O1905" s="35" t="s">
        <v>12</v>
      </c>
    </row>
    <row r="1906" spans="1:15" x14ac:dyDescent="0.25">
      <c r="A1906" s="35">
        <v>1167579643</v>
      </c>
      <c r="B1906" s="35" t="s">
        <v>4199</v>
      </c>
      <c r="C1906" s="35">
        <v>2024</v>
      </c>
      <c r="D1906" s="36">
        <v>45502.688715277778</v>
      </c>
      <c r="E1906" s="37" t="s">
        <v>2036</v>
      </c>
      <c r="F1906" s="37" t="s">
        <v>4925</v>
      </c>
      <c r="G1906" s="37" t="s">
        <v>3710</v>
      </c>
      <c r="H1906" s="35" t="s">
        <v>3419</v>
      </c>
      <c r="I1906" s="35" t="s">
        <v>3416</v>
      </c>
      <c r="J1906" s="38">
        <v>8.7200000000000006</v>
      </c>
      <c r="K1906" s="35">
        <v>1</v>
      </c>
      <c r="L1906" s="38">
        <f t="shared" si="29"/>
        <v>8.7200000000000006</v>
      </c>
      <c r="M1906" s="35" t="s">
        <v>11</v>
      </c>
      <c r="N1906" s="38"/>
      <c r="O1906" s="35" t="s">
        <v>12</v>
      </c>
    </row>
    <row r="1907" spans="1:15" x14ac:dyDescent="0.25">
      <c r="A1907" s="35">
        <v>1167544009</v>
      </c>
      <c r="B1907" s="35" t="s">
        <v>4199</v>
      </c>
      <c r="C1907" s="35">
        <v>2024</v>
      </c>
      <c r="D1907" s="36">
        <v>45502.50513888889</v>
      </c>
      <c r="E1907" s="37" t="s">
        <v>2039</v>
      </c>
      <c r="F1907" s="37" t="s">
        <v>4926</v>
      </c>
      <c r="G1907" s="37" t="s">
        <v>4927</v>
      </c>
      <c r="H1907" s="35" t="s">
        <v>3415</v>
      </c>
      <c r="I1907" s="35" t="s">
        <v>3416</v>
      </c>
      <c r="J1907" s="38">
        <v>1.8049999999999999</v>
      </c>
      <c r="K1907" s="35">
        <v>4</v>
      </c>
      <c r="L1907" s="38">
        <f t="shared" si="29"/>
        <v>7.22</v>
      </c>
      <c r="M1907" s="35" t="s">
        <v>11</v>
      </c>
      <c r="N1907" s="38"/>
      <c r="O1907" s="35" t="s">
        <v>12</v>
      </c>
    </row>
    <row r="1908" spans="1:15" x14ac:dyDescent="0.25">
      <c r="A1908" s="35">
        <v>1167529843</v>
      </c>
      <c r="B1908" s="35" t="s">
        <v>4199</v>
      </c>
      <c r="C1908" s="35">
        <v>2024</v>
      </c>
      <c r="D1908" s="36">
        <v>45502.436192129629</v>
      </c>
      <c r="E1908" s="37" t="s">
        <v>1210</v>
      </c>
      <c r="F1908" s="37" t="s">
        <v>4928</v>
      </c>
      <c r="G1908" s="37" t="s">
        <v>4059</v>
      </c>
      <c r="H1908" s="35" t="s">
        <v>3419</v>
      </c>
      <c r="I1908" s="35" t="s">
        <v>3416</v>
      </c>
      <c r="J1908" s="38">
        <v>20.972837191864279</v>
      </c>
      <c r="K1908" s="35">
        <v>1</v>
      </c>
      <c r="L1908" s="38">
        <f t="shared" si="29"/>
        <v>20.972837191864279</v>
      </c>
      <c r="M1908" s="35" t="s">
        <v>11</v>
      </c>
      <c r="N1908" s="38"/>
      <c r="O1908" s="35" t="s">
        <v>12</v>
      </c>
    </row>
    <row r="1909" spans="1:15" x14ac:dyDescent="0.25">
      <c r="A1909" s="35">
        <v>1167529843</v>
      </c>
      <c r="B1909" s="35" t="s">
        <v>4199</v>
      </c>
      <c r="C1909" s="35">
        <v>2024</v>
      </c>
      <c r="D1909" s="36">
        <v>45502.436192129629</v>
      </c>
      <c r="E1909" s="37" t="s">
        <v>1210</v>
      </c>
      <c r="F1909" s="37" t="s">
        <v>4929</v>
      </c>
      <c r="G1909" s="37" t="s">
        <v>3710</v>
      </c>
      <c r="H1909" s="35" t="s">
        <v>3419</v>
      </c>
      <c r="I1909" s="35" t="s">
        <v>3416</v>
      </c>
      <c r="J1909" s="38">
        <v>45.194098790889498</v>
      </c>
      <c r="K1909" s="35">
        <v>2</v>
      </c>
      <c r="L1909" s="38">
        <f t="shared" si="29"/>
        <v>90.388197581778996</v>
      </c>
      <c r="M1909" s="35" t="s">
        <v>11</v>
      </c>
      <c r="N1909" s="38"/>
      <c r="O1909" s="35" t="s">
        <v>12</v>
      </c>
    </row>
    <row r="1910" spans="1:15" x14ac:dyDescent="0.25">
      <c r="A1910" s="35">
        <v>1167529843</v>
      </c>
      <c r="B1910" s="35" t="s">
        <v>4199</v>
      </c>
      <c r="C1910" s="35">
        <v>2024</v>
      </c>
      <c r="D1910" s="36">
        <v>45502.436192129629</v>
      </c>
      <c r="E1910" s="37" t="s">
        <v>1210</v>
      </c>
      <c r="F1910" s="37" t="s">
        <v>3818</v>
      </c>
      <c r="G1910" s="37" t="s">
        <v>3718</v>
      </c>
      <c r="H1910" s="35" t="s">
        <v>3415</v>
      </c>
      <c r="I1910" s="35" t="s">
        <v>3416</v>
      </c>
      <c r="J1910" s="38">
        <v>0.1997413065891836</v>
      </c>
      <c r="K1910" s="35">
        <v>4</v>
      </c>
      <c r="L1910" s="38">
        <f t="shared" si="29"/>
        <v>0.79896522635673439</v>
      </c>
      <c r="M1910" s="35" t="s">
        <v>11</v>
      </c>
      <c r="N1910" s="38"/>
      <c r="O1910" s="35" t="s">
        <v>12</v>
      </c>
    </row>
    <row r="1911" spans="1:15" x14ac:dyDescent="0.25">
      <c r="A1911" s="35">
        <v>1166882284</v>
      </c>
      <c r="B1911" s="35" t="s">
        <v>4199</v>
      </c>
      <c r="C1911" s="35">
        <v>2024</v>
      </c>
      <c r="D1911" s="36">
        <v>45497.44804398148</v>
      </c>
      <c r="E1911" s="37" t="s">
        <v>2052</v>
      </c>
      <c r="F1911" s="37" t="s">
        <v>4591</v>
      </c>
      <c r="G1911" s="37" t="s">
        <v>3455</v>
      </c>
      <c r="H1911" s="35" t="s">
        <v>3419</v>
      </c>
      <c r="I1911" s="35" t="s">
        <v>3416</v>
      </c>
      <c r="J1911" s="38">
        <v>4.22</v>
      </c>
      <c r="K1911" s="35">
        <v>1</v>
      </c>
      <c r="L1911" s="38">
        <f t="shared" si="29"/>
        <v>4.22</v>
      </c>
      <c r="M1911" s="35" t="s">
        <v>11</v>
      </c>
      <c r="N1911" s="38"/>
      <c r="O1911" s="35" t="s">
        <v>12</v>
      </c>
    </row>
    <row r="1912" spans="1:15" x14ac:dyDescent="0.25">
      <c r="A1912" s="35">
        <v>1166841038</v>
      </c>
      <c r="B1912" s="35" t="s">
        <v>4199</v>
      </c>
      <c r="C1912" s="35">
        <v>2024</v>
      </c>
      <c r="D1912" s="36">
        <v>45496.901701388888</v>
      </c>
      <c r="E1912" s="37" t="s">
        <v>2062</v>
      </c>
      <c r="F1912" s="37" t="s">
        <v>4934</v>
      </c>
      <c r="G1912" s="37" t="s">
        <v>3768</v>
      </c>
      <c r="H1912" s="35" t="s">
        <v>3415</v>
      </c>
      <c r="I1912" s="35" t="s">
        <v>3453</v>
      </c>
      <c r="J1912" s="38">
        <v>0.32500000000000001</v>
      </c>
      <c r="K1912" s="35">
        <v>4</v>
      </c>
      <c r="L1912" s="38">
        <f t="shared" si="29"/>
        <v>1.3</v>
      </c>
      <c r="M1912" s="35" t="s">
        <v>11</v>
      </c>
      <c r="N1912" s="38"/>
      <c r="O1912" s="35" t="s">
        <v>12</v>
      </c>
    </row>
    <row r="1913" spans="1:15" x14ac:dyDescent="0.25">
      <c r="A1913" s="35">
        <v>1166475023</v>
      </c>
      <c r="B1913" s="35" t="s">
        <v>4199</v>
      </c>
      <c r="C1913" s="35">
        <v>2024</v>
      </c>
      <c r="D1913" s="36">
        <v>45494.454699074071</v>
      </c>
      <c r="E1913" s="37" t="s">
        <v>2070</v>
      </c>
      <c r="F1913" s="37" t="s">
        <v>4939</v>
      </c>
      <c r="G1913" s="37" t="s">
        <v>3455</v>
      </c>
      <c r="H1913" s="35" t="s">
        <v>3419</v>
      </c>
      <c r="I1913" s="35" t="s">
        <v>3416</v>
      </c>
      <c r="J1913" s="38">
        <v>1.5938461538461539</v>
      </c>
      <c r="K1913" s="35">
        <v>1</v>
      </c>
      <c r="L1913" s="38">
        <f t="shared" si="29"/>
        <v>1.5938461538461539</v>
      </c>
      <c r="M1913" s="35" t="s">
        <v>11</v>
      </c>
      <c r="N1913" s="38"/>
      <c r="O1913" s="35" t="s">
        <v>12</v>
      </c>
    </row>
    <row r="1914" spans="1:15" x14ac:dyDescent="0.25">
      <c r="A1914" s="35">
        <v>1166475023</v>
      </c>
      <c r="B1914" s="35" t="s">
        <v>4199</v>
      </c>
      <c r="C1914" s="35">
        <v>2024</v>
      </c>
      <c r="D1914" s="36">
        <v>45494.454699074071</v>
      </c>
      <c r="E1914" s="37" t="s">
        <v>2070</v>
      </c>
      <c r="F1914" s="37" t="s">
        <v>4938</v>
      </c>
      <c r="G1914" s="37" t="s">
        <v>3621</v>
      </c>
      <c r="H1914" s="35" t="s">
        <v>3415</v>
      </c>
      <c r="I1914" s="35" t="s">
        <v>3416</v>
      </c>
      <c r="J1914" s="38">
        <v>4.781538461538462</v>
      </c>
      <c r="K1914" s="35">
        <v>4</v>
      </c>
      <c r="L1914" s="38">
        <f t="shared" si="29"/>
        <v>19.126153846153848</v>
      </c>
      <c r="M1914" s="35" t="s">
        <v>11</v>
      </c>
      <c r="N1914" s="38"/>
      <c r="O1914" s="35" t="s">
        <v>12</v>
      </c>
    </row>
    <row r="1915" spans="1:15" x14ac:dyDescent="0.25">
      <c r="A1915" s="35">
        <v>1166167134</v>
      </c>
      <c r="B1915" s="35" t="s">
        <v>4199</v>
      </c>
      <c r="C1915" s="35">
        <v>2024</v>
      </c>
      <c r="D1915" s="36">
        <v>45491.559907407413</v>
      </c>
      <c r="E1915" s="37" t="s">
        <v>237</v>
      </c>
      <c r="F1915" s="37" t="s">
        <v>4945</v>
      </c>
      <c r="G1915" s="37" t="s">
        <v>3455</v>
      </c>
      <c r="H1915" s="35" t="s">
        <v>3415</v>
      </c>
      <c r="I1915" s="35" t="s">
        <v>3416</v>
      </c>
      <c r="J1915" s="38">
        <v>4.6585937500000014</v>
      </c>
      <c r="K1915" s="35">
        <v>4</v>
      </c>
      <c r="L1915" s="38">
        <f t="shared" si="29"/>
        <v>18.634375000000006</v>
      </c>
      <c r="M1915" s="35" t="s">
        <v>11</v>
      </c>
      <c r="N1915" s="38"/>
      <c r="O1915" s="35" t="s">
        <v>12</v>
      </c>
    </row>
    <row r="1916" spans="1:15" x14ac:dyDescent="0.25">
      <c r="A1916" s="35">
        <v>1166167134</v>
      </c>
      <c r="B1916" s="35" t="s">
        <v>4199</v>
      </c>
      <c r="C1916" s="35">
        <v>2024</v>
      </c>
      <c r="D1916" s="36">
        <v>45491.559907407413</v>
      </c>
      <c r="E1916" s="37" t="s">
        <v>237</v>
      </c>
      <c r="F1916" s="37" t="s">
        <v>4946</v>
      </c>
      <c r="G1916" s="37" t="s">
        <v>4059</v>
      </c>
      <c r="H1916" s="35" t="s">
        <v>3415</v>
      </c>
      <c r="I1916" s="35" t="s">
        <v>3416</v>
      </c>
      <c r="J1916" s="38">
        <v>22.978906250000001</v>
      </c>
      <c r="K1916" s="35">
        <v>4</v>
      </c>
      <c r="L1916" s="38">
        <f t="shared" si="29"/>
        <v>91.915625000000006</v>
      </c>
      <c r="M1916" s="35" t="s">
        <v>11</v>
      </c>
      <c r="N1916" s="38"/>
      <c r="O1916" s="35" t="s">
        <v>12</v>
      </c>
    </row>
    <row r="1917" spans="1:15" x14ac:dyDescent="0.25">
      <c r="A1917" s="35">
        <v>1166072731</v>
      </c>
      <c r="B1917" s="35" t="s">
        <v>4199</v>
      </c>
      <c r="C1917" s="35">
        <v>2024</v>
      </c>
      <c r="D1917" s="36">
        <v>45490.776597222219</v>
      </c>
      <c r="E1917" s="37" t="s">
        <v>2081</v>
      </c>
      <c r="F1917" s="37" t="s">
        <v>4090</v>
      </c>
      <c r="G1917" s="37" t="s">
        <v>3788</v>
      </c>
      <c r="H1917" s="35" t="s">
        <v>3419</v>
      </c>
      <c r="I1917" s="35" t="s">
        <v>3416</v>
      </c>
      <c r="J1917" s="38">
        <v>4.5599999999999996</v>
      </c>
      <c r="K1917" s="35">
        <v>2</v>
      </c>
      <c r="L1917" s="38">
        <f t="shared" si="29"/>
        <v>9.1199999999999992</v>
      </c>
      <c r="M1917" s="35" t="s">
        <v>11</v>
      </c>
      <c r="N1917" s="38"/>
      <c r="O1917" s="35" t="s">
        <v>12</v>
      </c>
    </row>
    <row r="1918" spans="1:15" x14ac:dyDescent="0.25">
      <c r="A1918" s="35">
        <v>1166072591</v>
      </c>
      <c r="B1918" s="35" t="s">
        <v>4199</v>
      </c>
      <c r="C1918" s="35">
        <v>2024</v>
      </c>
      <c r="D1918" s="36">
        <v>45490.776597222219</v>
      </c>
      <c r="E1918" s="37" t="s">
        <v>35</v>
      </c>
      <c r="F1918" s="37" t="s">
        <v>4947</v>
      </c>
      <c r="G1918" s="37" t="s">
        <v>3664</v>
      </c>
      <c r="H1918" s="35" t="s">
        <v>3419</v>
      </c>
      <c r="I1918" s="35" t="s">
        <v>3416</v>
      </c>
      <c r="J1918" s="38">
        <v>2.9027445652173909</v>
      </c>
      <c r="K1918" s="35">
        <v>2</v>
      </c>
      <c r="L1918" s="38">
        <f t="shared" si="29"/>
        <v>5.8054891304347818</v>
      </c>
      <c r="M1918" s="35" t="s">
        <v>11</v>
      </c>
      <c r="N1918" s="38"/>
      <c r="O1918" s="35" t="s">
        <v>12</v>
      </c>
    </row>
    <row r="1919" spans="1:15" x14ac:dyDescent="0.25">
      <c r="A1919" s="35">
        <v>1166072591</v>
      </c>
      <c r="B1919" s="35" t="s">
        <v>4199</v>
      </c>
      <c r="C1919" s="35">
        <v>2024</v>
      </c>
      <c r="D1919" s="36">
        <v>45490.776597222219</v>
      </c>
      <c r="E1919" s="37" t="s">
        <v>35</v>
      </c>
      <c r="F1919" s="37" t="s">
        <v>4948</v>
      </c>
      <c r="G1919" s="37" t="s">
        <v>3621</v>
      </c>
      <c r="H1919" s="35" t="s">
        <v>3415</v>
      </c>
      <c r="I1919" s="35" t="s">
        <v>3416</v>
      </c>
      <c r="J1919" s="38">
        <v>0.16320652173913039</v>
      </c>
      <c r="K1919" s="35">
        <v>4</v>
      </c>
      <c r="L1919" s="38">
        <f t="shared" si="29"/>
        <v>0.65282608695652156</v>
      </c>
      <c r="M1919" s="35" t="s">
        <v>11</v>
      </c>
      <c r="N1919" s="38"/>
      <c r="O1919" s="35" t="s">
        <v>12</v>
      </c>
    </row>
    <row r="1920" spans="1:15" x14ac:dyDescent="0.25">
      <c r="A1920" s="35">
        <v>1166072591</v>
      </c>
      <c r="B1920" s="35" t="s">
        <v>4199</v>
      </c>
      <c r="C1920" s="35">
        <v>2024</v>
      </c>
      <c r="D1920" s="36">
        <v>45490.776597222219</v>
      </c>
      <c r="E1920" s="37" t="s">
        <v>35</v>
      </c>
      <c r="F1920" s="37" t="s">
        <v>4949</v>
      </c>
      <c r="G1920" s="37" t="s">
        <v>3455</v>
      </c>
      <c r="H1920" s="35" t="s">
        <v>3419</v>
      </c>
      <c r="I1920" s="35" t="s">
        <v>3416</v>
      </c>
      <c r="J1920" s="38">
        <v>0.92095108695652184</v>
      </c>
      <c r="K1920" s="35">
        <v>2</v>
      </c>
      <c r="L1920" s="38">
        <f t="shared" si="29"/>
        <v>1.8419021739130437</v>
      </c>
      <c r="M1920" s="35" t="s">
        <v>11</v>
      </c>
      <c r="N1920" s="38"/>
      <c r="O1920" s="35" t="s">
        <v>12</v>
      </c>
    </row>
    <row r="1921" spans="1:15" x14ac:dyDescent="0.25">
      <c r="A1921" s="35">
        <v>1166072591</v>
      </c>
      <c r="B1921" s="35" t="s">
        <v>4199</v>
      </c>
      <c r="C1921" s="35">
        <v>2024</v>
      </c>
      <c r="D1921" s="36">
        <v>45490.776597222219</v>
      </c>
      <c r="E1921" s="37" t="s">
        <v>35</v>
      </c>
      <c r="F1921" s="37" t="s">
        <v>4950</v>
      </c>
      <c r="G1921" s="37" t="s">
        <v>4951</v>
      </c>
      <c r="H1921" s="35" t="s">
        <v>3419</v>
      </c>
      <c r="I1921" s="35" t="s">
        <v>3416</v>
      </c>
      <c r="J1921" s="38">
        <v>0.27978260869565219</v>
      </c>
      <c r="K1921" s="35">
        <v>1</v>
      </c>
      <c r="L1921" s="38">
        <f t="shared" si="29"/>
        <v>0.27978260869565219</v>
      </c>
      <c r="M1921" s="35" t="s">
        <v>11</v>
      </c>
      <c r="N1921" s="38"/>
      <c r="O1921" s="35" t="s">
        <v>12</v>
      </c>
    </row>
    <row r="1922" spans="1:15" x14ac:dyDescent="0.25">
      <c r="A1922" s="35">
        <v>1166002807</v>
      </c>
      <c r="B1922" s="35" t="s">
        <v>4199</v>
      </c>
      <c r="C1922" s="35">
        <v>2024</v>
      </c>
      <c r="D1922" s="36">
        <v>45490.359606481477</v>
      </c>
      <c r="E1922" s="37" t="s">
        <v>8</v>
      </c>
      <c r="F1922" s="37" t="s">
        <v>4928</v>
      </c>
      <c r="G1922" s="37" t="s">
        <v>4059</v>
      </c>
      <c r="H1922" s="35" t="s">
        <v>3419</v>
      </c>
      <c r="I1922" s="35" t="s">
        <v>3416</v>
      </c>
      <c r="J1922" s="38">
        <v>19.940000000000001</v>
      </c>
      <c r="K1922" s="35">
        <v>1</v>
      </c>
      <c r="L1922" s="38">
        <f t="shared" ref="L1922:L1985" si="30">J1922*K1922</f>
        <v>19.940000000000001</v>
      </c>
      <c r="M1922" s="42" t="s">
        <v>11</v>
      </c>
      <c r="N1922" s="38"/>
      <c r="O1922" s="35" t="s">
        <v>12</v>
      </c>
    </row>
    <row r="1923" spans="1:15" x14ac:dyDescent="0.25">
      <c r="A1923" s="35">
        <v>1166002534</v>
      </c>
      <c r="B1923" s="35" t="s">
        <v>4199</v>
      </c>
      <c r="C1923" s="35">
        <v>2024</v>
      </c>
      <c r="D1923" s="36">
        <v>45490.359606481477</v>
      </c>
      <c r="E1923" s="37" t="s">
        <v>1159</v>
      </c>
      <c r="F1923" s="37" t="s">
        <v>4952</v>
      </c>
      <c r="G1923" s="37" t="s">
        <v>4059</v>
      </c>
      <c r="H1923" s="35" t="s">
        <v>3419</v>
      </c>
      <c r="I1923" s="35" t="s">
        <v>3416</v>
      </c>
      <c r="J1923" s="38">
        <v>13.72</v>
      </c>
      <c r="K1923" s="35">
        <v>1</v>
      </c>
      <c r="L1923" s="38">
        <f t="shared" si="30"/>
        <v>13.72</v>
      </c>
      <c r="M1923" s="35" t="s">
        <v>11</v>
      </c>
      <c r="N1923" s="38"/>
      <c r="O1923" s="35" t="s">
        <v>12</v>
      </c>
    </row>
    <row r="1924" spans="1:15" x14ac:dyDescent="0.25">
      <c r="A1924" s="35">
        <v>1165908000</v>
      </c>
      <c r="B1924" s="35" t="s">
        <v>4199</v>
      </c>
      <c r="C1924" s="35">
        <v>2024</v>
      </c>
      <c r="D1924" s="36">
        <v>45489.585648148153</v>
      </c>
      <c r="E1924" s="37" t="s">
        <v>2096</v>
      </c>
      <c r="F1924" s="37" t="s">
        <v>4929</v>
      </c>
      <c r="G1924" s="37" t="s">
        <v>3710</v>
      </c>
      <c r="H1924" s="35" t="s">
        <v>3419</v>
      </c>
      <c r="I1924" s="35" t="s">
        <v>3416</v>
      </c>
      <c r="J1924" s="38">
        <v>41.86</v>
      </c>
      <c r="K1924" s="35">
        <v>2</v>
      </c>
      <c r="L1924" s="38">
        <f t="shared" si="30"/>
        <v>83.72</v>
      </c>
      <c r="M1924" s="35" t="s">
        <v>11</v>
      </c>
      <c r="N1924" s="38"/>
      <c r="O1924" s="35" t="s">
        <v>12</v>
      </c>
    </row>
    <row r="1925" spans="1:15" x14ac:dyDescent="0.25">
      <c r="A1925" s="35">
        <v>1165702710</v>
      </c>
      <c r="B1925" s="35" t="s">
        <v>4199</v>
      </c>
      <c r="C1925" s="35">
        <v>2024</v>
      </c>
      <c r="D1925" s="36">
        <v>45488.443645833337</v>
      </c>
      <c r="E1925" s="37" t="s">
        <v>2104</v>
      </c>
      <c r="F1925" s="37" t="s">
        <v>4062</v>
      </c>
      <c r="G1925" s="37" t="s">
        <v>4063</v>
      </c>
      <c r="H1925" s="35" t="s">
        <v>3419</v>
      </c>
      <c r="I1925" s="35" t="s">
        <v>3416</v>
      </c>
      <c r="J1925" s="38">
        <v>8.11</v>
      </c>
      <c r="K1925" s="35">
        <v>2</v>
      </c>
      <c r="L1925" s="38">
        <f t="shared" si="30"/>
        <v>16.22</v>
      </c>
      <c r="M1925" s="35" t="s">
        <v>11</v>
      </c>
      <c r="N1925" s="38"/>
      <c r="O1925" s="35" t="s">
        <v>12</v>
      </c>
    </row>
    <row r="1926" spans="1:15" x14ac:dyDescent="0.25">
      <c r="A1926" s="35">
        <v>1164665208</v>
      </c>
      <c r="B1926" s="35" t="s">
        <v>4199</v>
      </c>
      <c r="C1926" s="35">
        <v>2024</v>
      </c>
      <c r="D1926" s="36">
        <v>45480.355451388888</v>
      </c>
      <c r="E1926" s="37" t="s">
        <v>1413</v>
      </c>
      <c r="F1926" s="37" t="s">
        <v>4963</v>
      </c>
      <c r="G1926" s="37" t="s">
        <v>3455</v>
      </c>
      <c r="H1926" s="35" t="s">
        <v>3419</v>
      </c>
      <c r="I1926" s="35" t="s">
        <v>3416</v>
      </c>
      <c r="J1926" s="38">
        <v>49.174999999999997</v>
      </c>
      <c r="K1926" s="35">
        <v>2</v>
      </c>
      <c r="L1926" s="38">
        <f t="shared" si="30"/>
        <v>98.35</v>
      </c>
      <c r="M1926" s="35" t="s">
        <v>11</v>
      </c>
      <c r="N1926" s="38"/>
      <c r="O1926" s="35" t="s">
        <v>12</v>
      </c>
    </row>
    <row r="1927" spans="1:15" x14ac:dyDescent="0.25">
      <c r="A1927" s="35">
        <v>1164662204</v>
      </c>
      <c r="B1927" s="35" t="s">
        <v>4199</v>
      </c>
      <c r="C1927" s="35">
        <v>2024</v>
      </c>
      <c r="D1927" s="36">
        <v>45480.355451388888</v>
      </c>
      <c r="E1927" s="37" t="s">
        <v>2133</v>
      </c>
      <c r="F1927" s="37" t="s">
        <v>4963</v>
      </c>
      <c r="G1927" s="37" t="s">
        <v>3455</v>
      </c>
      <c r="H1927" s="35" t="s">
        <v>3419</v>
      </c>
      <c r="I1927" s="35" t="s">
        <v>3416</v>
      </c>
      <c r="J1927" s="38">
        <v>55.46</v>
      </c>
      <c r="K1927" s="35">
        <v>1</v>
      </c>
      <c r="L1927" s="38">
        <f t="shared" si="30"/>
        <v>55.46</v>
      </c>
      <c r="M1927" s="35" t="s">
        <v>11</v>
      </c>
      <c r="N1927" s="38"/>
      <c r="O1927" s="35" t="s">
        <v>12</v>
      </c>
    </row>
    <row r="1928" spans="1:15" x14ac:dyDescent="0.25">
      <c r="A1928" s="35">
        <v>1164662202</v>
      </c>
      <c r="B1928" s="35" t="s">
        <v>4199</v>
      </c>
      <c r="C1928" s="35">
        <v>2024</v>
      </c>
      <c r="D1928" s="36">
        <v>45480.355451388888</v>
      </c>
      <c r="E1928" s="37" t="s">
        <v>1736</v>
      </c>
      <c r="F1928" s="37" t="s">
        <v>4963</v>
      </c>
      <c r="G1928" s="37" t="s">
        <v>3455</v>
      </c>
      <c r="H1928" s="35" t="s">
        <v>3419</v>
      </c>
      <c r="I1928" s="35" t="s">
        <v>3416</v>
      </c>
      <c r="J1928" s="38">
        <v>55</v>
      </c>
      <c r="K1928" s="35">
        <v>1</v>
      </c>
      <c r="L1928" s="38">
        <f t="shared" si="30"/>
        <v>55</v>
      </c>
      <c r="M1928" s="35" t="s">
        <v>11</v>
      </c>
      <c r="N1928" s="38"/>
      <c r="O1928" s="35" t="s">
        <v>12</v>
      </c>
    </row>
    <row r="1929" spans="1:15" x14ac:dyDescent="0.25">
      <c r="A1929" s="35">
        <v>1164434971</v>
      </c>
      <c r="B1929" s="35" t="s">
        <v>4199</v>
      </c>
      <c r="C1929" s="35">
        <v>2024</v>
      </c>
      <c r="D1929" s="36">
        <v>45478.441620370373</v>
      </c>
      <c r="E1929" s="37" t="s">
        <v>1210</v>
      </c>
      <c r="F1929" s="37" t="s">
        <v>4965</v>
      </c>
      <c r="G1929" s="37" t="s">
        <v>3710</v>
      </c>
      <c r="H1929" s="35" t="s">
        <v>3419</v>
      </c>
      <c r="I1929" s="35" t="s">
        <v>3416</v>
      </c>
      <c r="J1929" s="38">
        <v>32.725000000000001</v>
      </c>
      <c r="K1929" s="35">
        <v>2</v>
      </c>
      <c r="L1929" s="38">
        <f t="shared" si="30"/>
        <v>65.45</v>
      </c>
      <c r="M1929" s="35" t="s">
        <v>11</v>
      </c>
      <c r="N1929" s="38"/>
      <c r="O1929" s="35" t="s">
        <v>12</v>
      </c>
    </row>
    <row r="1930" spans="1:15" ht="30" x14ac:dyDescent="0.25">
      <c r="A1930" s="35">
        <v>1164362973</v>
      </c>
      <c r="B1930" s="35" t="s">
        <v>4199</v>
      </c>
      <c r="C1930" s="35">
        <v>2024</v>
      </c>
      <c r="D1930" s="36">
        <v>45477.796018518522</v>
      </c>
      <c r="E1930" s="37" t="s">
        <v>442</v>
      </c>
      <c r="F1930" s="37" t="s">
        <v>4515</v>
      </c>
      <c r="G1930" s="37" t="s">
        <v>4966</v>
      </c>
      <c r="H1930" s="35" t="s">
        <v>3419</v>
      </c>
      <c r="I1930" s="35" t="s">
        <v>3416</v>
      </c>
      <c r="J1930" s="38">
        <v>20.357500000000002</v>
      </c>
      <c r="K1930" s="35">
        <v>3</v>
      </c>
      <c r="L1930" s="38">
        <f t="shared" si="30"/>
        <v>61.072500000000005</v>
      </c>
      <c r="M1930" s="35" t="s">
        <v>11</v>
      </c>
      <c r="N1930" s="38"/>
      <c r="O1930" s="35" t="s">
        <v>12</v>
      </c>
    </row>
    <row r="1931" spans="1:15" ht="30" x14ac:dyDescent="0.25">
      <c r="A1931" s="35">
        <v>1164362973</v>
      </c>
      <c r="B1931" s="35" t="s">
        <v>4199</v>
      </c>
      <c r="C1931" s="35">
        <v>2024</v>
      </c>
      <c r="D1931" s="36">
        <v>45477.796018518522</v>
      </c>
      <c r="E1931" s="37" t="s">
        <v>442</v>
      </c>
      <c r="F1931" s="37" t="s">
        <v>4515</v>
      </c>
      <c r="G1931" s="37" t="s">
        <v>4966</v>
      </c>
      <c r="H1931" s="35" t="s">
        <v>3419</v>
      </c>
      <c r="I1931" s="35" t="s">
        <v>3416</v>
      </c>
      <c r="J1931" s="38">
        <v>20.357500000000002</v>
      </c>
      <c r="K1931" s="35">
        <v>1</v>
      </c>
      <c r="L1931" s="38">
        <f t="shared" si="30"/>
        <v>20.357500000000002</v>
      </c>
      <c r="M1931" s="35" t="s">
        <v>11</v>
      </c>
      <c r="N1931" s="38"/>
      <c r="O1931" s="35" t="s">
        <v>12</v>
      </c>
    </row>
    <row r="1932" spans="1:15" x14ac:dyDescent="0.25">
      <c r="A1932" s="35">
        <v>1164271884</v>
      </c>
      <c r="B1932" s="35" t="s">
        <v>4199</v>
      </c>
      <c r="C1932" s="35">
        <v>2024</v>
      </c>
      <c r="D1932" s="36">
        <v>45477.3200462963</v>
      </c>
      <c r="E1932" s="37" t="s">
        <v>2147</v>
      </c>
      <c r="F1932" s="37" t="s">
        <v>4914</v>
      </c>
      <c r="G1932" s="37" t="s">
        <v>3455</v>
      </c>
      <c r="H1932" s="35" t="s">
        <v>3419</v>
      </c>
      <c r="I1932" s="35" t="s">
        <v>3416</v>
      </c>
      <c r="J1932" s="38">
        <v>25.3</v>
      </c>
      <c r="K1932" s="35">
        <v>1</v>
      </c>
      <c r="L1932" s="38">
        <f t="shared" si="30"/>
        <v>25.3</v>
      </c>
      <c r="M1932" s="35" t="s">
        <v>11</v>
      </c>
      <c r="N1932" s="38"/>
      <c r="O1932" s="35" t="s">
        <v>12</v>
      </c>
    </row>
    <row r="1933" spans="1:15" x14ac:dyDescent="0.25">
      <c r="A1933" s="35">
        <v>1164244310</v>
      </c>
      <c r="B1933" s="35" t="s">
        <v>4199</v>
      </c>
      <c r="C1933" s="35">
        <v>2024</v>
      </c>
      <c r="D1933" s="36">
        <v>45476.890289351853</v>
      </c>
      <c r="E1933" s="37" t="s">
        <v>2149</v>
      </c>
      <c r="F1933" s="37" t="s">
        <v>4967</v>
      </c>
      <c r="G1933" s="37" t="s">
        <v>3710</v>
      </c>
      <c r="H1933" s="35" t="s">
        <v>3419</v>
      </c>
      <c r="I1933" s="35" t="s">
        <v>3416</v>
      </c>
      <c r="J1933" s="38">
        <v>42.813912037037028</v>
      </c>
      <c r="K1933" s="35">
        <v>2</v>
      </c>
      <c r="L1933" s="38">
        <f t="shared" si="30"/>
        <v>85.627824074074056</v>
      </c>
      <c r="M1933" s="35" t="s">
        <v>11</v>
      </c>
      <c r="N1933" s="38"/>
      <c r="O1933" s="35" t="s">
        <v>12</v>
      </c>
    </row>
    <row r="1934" spans="1:15" x14ac:dyDescent="0.25">
      <c r="A1934" s="35">
        <v>1164244310</v>
      </c>
      <c r="B1934" s="35" t="s">
        <v>4199</v>
      </c>
      <c r="C1934" s="35">
        <v>2024</v>
      </c>
      <c r="D1934" s="36">
        <v>45476.890289351853</v>
      </c>
      <c r="E1934" s="37" t="s">
        <v>2149</v>
      </c>
      <c r="F1934" s="37" t="s">
        <v>4965</v>
      </c>
      <c r="G1934" s="37" t="s">
        <v>3710</v>
      </c>
      <c r="H1934" s="35" t="s">
        <v>3419</v>
      </c>
      <c r="I1934" s="35" t="s">
        <v>3416</v>
      </c>
      <c r="J1934" s="38">
        <v>27.842175925925929</v>
      </c>
      <c r="K1934" s="35">
        <v>1</v>
      </c>
      <c r="L1934" s="38">
        <f t="shared" si="30"/>
        <v>27.842175925925929</v>
      </c>
      <c r="M1934" s="35" t="s">
        <v>11</v>
      </c>
      <c r="N1934" s="38"/>
      <c r="O1934" s="35" t="s">
        <v>12</v>
      </c>
    </row>
    <row r="1935" spans="1:15" x14ac:dyDescent="0.25">
      <c r="A1935" s="35">
        <v>1164187939</v>
      </c>
      <c r="B1935" s="35" t="s">
        <v>4199</v>
      </c>
      <c r="C1935" s="35">
        <v>2024</v>
      </c>
      <c r="D1935" s="36">
        <v>45476.889930555553</v>
      </c>
      <c r="E1935" s="37" t="s">
        <v>2149</v>
      </c>
      <c r="F1935" s="37" t="s">
        <v>4965</v>
      </c>
      <c r="G1935" s="37" t="s">
        <v>3710</v>
      </c>
      <c r="H1935" s="35" t="s">
        <v>3419</v>
      </c>
      <c r="I1935" s="35" t="s">
        <v>3416</v>
      </c>
      <c r="J1935" s="38">
        <v>27.842175925925929</v>
      </c>
      <c r="K1935" s="35">
        <v>1</v>
      </c>
      <c r="L1935" s="38">
        <f t="shared" si="30"/>
        <v>27.842175925925929</v>
      </c>
      <c r="M1935" s="35" t="s">
        <v>11</v>
      </c>
      <c r="N1935" s="38"/>
      <c r="O1935" s="35" t="s">
        <v>12</v>
      </c>
    </row>
    <row r="1936" spans="1:15" x14ac:dyDescent="0.25">
      <c r="A1936" s="35">
        <v>1164187939</v>
      </c>
      <c r="B1936" s="35" t="s">
        <v>4199</v>
      </c>
      <c r="C1936" s="35">
        <v>2024</v>
      </c>
      <c r="D1936" s="36">
        <v>45476.889930555553</v>
      </c>
      <c r="E1936" s="37" t="s">
        <v>2149</v>
      </c>
      <c r="F1936" s="37" t="s">
        <v>4967</v>
      </c>
      <c r="G1936" s="37" t="s">
        <v>3710</v>
      </c>
      <c r="H1936" s="35" t="s">
        <v>3419</v>
      </c>
      <c r="I1936" s="35" t="s">
        <v>3416</v>
      </c>
      <c r="J1936" s="38">
        <v>42.813912037037028</v>
      </c>
      <c r="K1936" s="35">
        <v>2</v>
      </c>
      <c r="L1936" s="38">
        <f t="shared" si="30"/>
        <v>85.627824074074056</v>
      </c>
      <c r="M1936" s="35" t="s">
        <v>11</v>
      </c>
      <c r="N1936" s="38"/>
      <c r="O1936" s="35" t="s">
        <v>12</v>
      </c>
    </row>
    <row r="1937" spans="1:15" x14ac:dyDescent="0.25">
      <c r="A1937" s="35">
        <v>1164141957</v>
      </c>
      <c r="B1937" s="35" t="s">
        <v>4199</v>
      </c>
      <c r="C1937" s="35">
        <v>2024</v>
      </c>
      <c r="D1937" s="36">
        <v>45476.385057870371</v>
      </c>
      <c r="E1937" s="37" t="s">
        <v>2154</v>
      </c>
      <c r="F1937" s="37" t="s">
        <v>4969</v>
      </c>
      <c r="G1937" s="37" t="s">
        <v>3621</v>
      </c>
      <c r="H1937" s="35" t="s">
        <v>3419</v>
      </c>
      <c r="I1937" s="35" t="s">
        <v>3416</v>
      </c>
      <c r="J1937" s="38">
        <v>8.7200000000000006</v>
      </c>
      <c r="K1937" s="35">
        <v>1</v>
      </c>
      <c r="L1937" s="38">
        <f t="shared" si="30"/>
        <v>8.7200000000000006</v>
      </c>
      <c r="M1937" s="35" t="s">
        <v>11</v>
      </c>
      <c r="N1937" s="38"/>
      <c r="O1937" s="35" t="s">
        <v>12</v>
      </c>
    </row>
    <row r="1938" spans="1:15" x14ac:dyDescent="0.25">
      <c r="A1938" s="35">
        <v>1164123985</v>
      </c>
      <c r="B1938" s="35" t="s">
        <v>4199</v>
      </c>
      <c r="C1938" s="35">
        <v>2024</v>
      </c>
      <c r="D1938" s="36">
        <v>45476.264155092591</v>
      </c>
      <c r="E1938" s="37" t="s">
        <v>2156</v>
      </c>
      <c r="F1938" s="37" t="s">
        <v>4970</v>
      </c>
      <c r="G1938" s="37" t="s">
        <v>3710</v>
      </c>
      <c r="H1938" s="35" t="s">
        <v>3415</v>
      </c>
      <c r="I1938" s="35" t="s">
        <v>3416</v>
      </c>
      <c r="J1938" s="38">
        <v>21.357500000000002</v>
      </c>
      <c r="K1938" s="35">
        <v>4</v>
      </c>
      <c r="L1938" s="38">
        <f t="shared" si="30"/>
        <v>85.43</v>
      </c>
      <c r="M1938" s="35" t="s">
        <v>11</v>
      </c>
      <c r="N1938" s="38"/>
      <c r="O1938" s="35" t="s">
        <v>12</v>
      </c>
    </row>
    <row r="1939" spans="1:15" x14ac:dyDescent="0.25">
      <c r="A1939" s="35">
        <v>1163978777</v>
      </c>
      <c r="B1939" s="35" t="s">
        <v>4199</v>
      </c>
      <c r="C1939" s="35">
        <v>2024</v>
      </c>
      <c r="D1939" s="36">
        <v>45475.31590277778</v>
      </c>
      <c r="E1939" s="37" t="s">
        <v>1210</v>
      </c>
      <c r="F1939" s="37" t="s">
        <v>4977</v>
      </c>
      <c r="G1939" s="37" t="s">
        <v>3710</v>
      </c>
      <c r="H1939" s="35" t="s">
        <v>3415</v>
      </c>
      <c r="I1939" s="35" t="s">
        <v>3416</v>
      </c>
      <c r="J1939" s="38">
        <v>24.357500000000002</v>
      </c>
      <c r="K1939" s="35">
        <v>4</v>
      </c>
      <c r="L1939" s="38">
        <f t="shared" si="30"/>
        <v>97.43</v>
      </c>
      <c r="M1939" s="35" t="s">
        <v>11</v>
      </c>
      <c r="N1939" s="38"/>
      <c r="O1939" s="35" t="s">
        <v>12</v>
      </c>
    </row>
    <row r="1940" spans="1:15" x14ac:dyDescent="0.25">
      <c r="A1940" s="35">
        <v>1163909490</v>
      </c>
      <c r="B1940" s="35" t="s">
        <v>4199</v>
      </c>
      <c r="C1940" s="35">
        <v>2024</v>
      </c>
      <c r="D1940" s="36">
        <v>45474.738935185182</v>
      </c>
      <c r="E1940" s="37" t="s">
        <v>294</v>
      </c>
      <c r="F1940" s="37" t="s">
        <v>4681</v>
      </c>
      <c r="G1940" s="37" t="s">
        <v>4309</v>
      </c>
      <c r="H1940" s="35" t="s">
        <v>3415</v>
      </c>
      <c r="I1940" s="35" t="s">
        <v>3416</v>
      </c>
      <c r="J1940" s="38">
        <v>1.5549999999999999</v>
      </c>
      <c r="K1940" s="35">
        <v>4</v>
      </c>
      <c r="L1940" s="38">
        <f t="shared" si="30"/>
        <v>6.22</v>
      </c>
      <c r="M1940" s="35" t="s">
        <v>11</v>
      </c>
      <c r="N1940" s="38"/>
      <c r="O1940" s="35" t="s">
        <v>12</v>
      </c>
    </row>
    <row r="1941" spans="1:15" x14ac:dyDescent="0.25">
      <c r="A1941" s="35">
        <v>1163903842</v>
      </c>
      <c r="B1941" s="35" t="s">
        <v>4199</v>
      </c>
      <c r="C1941" s="35">
        <v>2024</v>
      </c>
      <c r="D1941" s="36">
        <v>45474.738935185182</v>
      </c>
      <c r="E1941" s="37" t="s">
        <v>1291</v>
      </c>
      <c r="F1941" s="37" t="s">
        <v>4979</v>
      </c>
      <c r="G1941" s="37" t="s">
        <v>3648</v>
      </c>
      <c r="H1941" s="35" t="s">
        <v>3415</v>
      </c>
      <c r="I1941" s="35" t="s">
        <v>3416</v>
      </c>
      <c r="J1941" s="38">
        <v>5.0549999999999997</v>
      </c>
      <c r="K1941" s="35">
        <v>4</v>
      </c>
      <c r="L1941" s="38">
        <f t="shared" si="30"/>
        <v>20.22</v>
      </c>
      <c r="M1941" s="35" t="s">
        <v>11</v>
      </c>
      <c r="N1941" s="38"/>
      <c r="O1941" s="35" t="s">
        <v>12</v>
      </c>
    </row>
    <row r="1942" spans="1:15" x14ac:dyDescent="0.25">
      <c r="A1942" s="35">
        <v>1163680869</v>
      </c>
      <c r="B1942" s="35" t="s">
        <v>3412</v>
      </c>
      <c r="C1942" s="35">
        <v>2024</v>
      </c>
      <c r="D1942" s="36">
        <v>45473.351793981477</v>
      </c>
      <c r="E1942" s="37" t="s">
        <v>2179</v>
      </c>
      <c r="F1942" s="37" t="s">
        <v>4914</v>
      </c>
      <c r="G1942" s="37" t="s">
        <v>3455</v>
      </c>
      <c r="H1942" s="35" t="s">
        <v>3419</v>
      </c>
      <c r="I1942" s="35" t="s">
        <v>3416</v>
      </c>
      <c r="J1942" s="38">
        <v>23.17</v>
      </c>
      <c r="K1942" s="35">
        <v>1</v>
      </c>
      <c r="L1942" s="38">
        <f t="shared" si="30"/>
        <v>23.17</v>
      </c>
      <c r="M1942" s="35" t="s">
        <v>11</v>
      </c>
      <c r="N1942" s="38"/>
      <c r="O1942" s="35" t="s">
        <v>12</v>
      </c>
    </row>
    <row r="1943" spans="1:15" x14ac:dyDescent="0.25">
      <c r="A1943" s="35">
        <v>1163680787</v>
      </c>
      <c r="B1943" s="35" t="s">
        <v>3412</v>
      </c>
      <c r="C1943" s="35">
        <v>2024</v>
      </c>
      <c r="D1943" s="36">
        <v>45473.351793981477</v>
      </c>
      <c r="E1943" s="37" t="s">
        <v>2181</v>
      </c>
      <c r="F1943" s="37" t="s">
        <v>4914</v>
      </c>
      <c r="G1943" s="37" t="s">
        <v>3455</v>
      </c>
      <c r="H1943" s="35" t="s">
        <v>3419</v>
      </c>
      <c r="I1943" s="35" t="s">
        <v>3416</v>
      </c>
      <c r="J1943" s="38">
        <v>27.580188679245278</v>
      </c>
      <c r="K1943" s="35">
        <v>2</v>
      </c>
      <c r="L1943" s="38">
        <f t="shared" si="30"/>
        <v>55.160377358490557</v>
      </c>
      <c r="M1943" s="35" t="s">
        <v>11</v>
      </c>
      <c r="N1943" s="38"/>
      <c r="O1943" s="35" t="s">
        <v>12</v>
      </c>
    </row>
    <row r="1944" spans="1:15" x14ac:dyDescent="0.25">
      <c r="A1944" s="35">
        <v>1163680787</v>
      </c>
      <c r="B1944" s="35" t="s">
        <v>3412</v>
      </c>
      <c r="C1944" s="35">
        <v>2024</v>
      </c>
      <c r="D1944" s="36">
        <v>45473.351793981477</v>
      </c>
      <c r="E1944" s="37" t="s">
        <v>2181</v>
      </c>
      <c r="F1944" s="37" t="s">
        <v>4980</v>
      </c>
      <c r="G1944" s="37" t="s">
        <v>4981</v>
      </c>
      <c r="H1944" s="35" t="s">
        <v>3415</v>
      </c>
      <c r="I1944" s="35" t="s">
        <v>3416</v>
      </c>
      <c r="J1944" s="38">
        <v>0.55160377358490564</v>
      </c>
      <c r="K1944" s="35">
        <v>4</v>
      </c>
      <c r="L1944" s="38">
        <f t="shared" si="30"/>
        <v>2.2064150943396226</v>
      </c>
      <c r="M1944" s="35" t="s">
        <v>11</v>
      </c>
      <c r="N1944" s="38"/>
      <c r="O1944" s="35" t="s">
        <v>12</v>
      </c>
    </row>
    <row r="1945" spans="1:15" ht="30" x14ac:dyDescent="0.25">
      <c r="A1945" s="35">
        <v>1163680787</v>
      </c>
      <c r="B1945" s="35" t="s">
        <v>3412</v>
      </c>
      <c r="C1945" s="35">
        <v>2024</v>
      </c>
      <c r="D1945" s="36">
        <v>45473.351793981477</v>
      </c>
      <c r="E1945" s="37" t="s">
        <v>2181</v>
      </c>
      <c r="F1945" s="37" t="s">
        <v>4982</v>
      </c>
      <c r="G1945" s="37" t="s">
        <v>3710</v>
      </c>
      <c r="H1945" s="35" t="s">
        <v>3415</v>
      </c>
      <c r="I1945" s="35" t="s">
        <v>3416</v>
      </c>
      <c r="J1945" s="38">
        <v>0.27580188679245282</v>
      </c>
      <c r="K1945" s="35">
        <v>4</v>
      </c>
      <c r="L1945" s="38">
        <f t="shared" si="30"/>
        <v>1.1032075471698113</v>
      </c>
      <c r="M1945" s="35" t="s">
        <v>11</v>
      </c>
      <c r="N1945" s="38"/>
      <c r="O1945" s="35" t="s">
        <v>12</v>
      </c>
    </row>
    <row r="1946" spans="1:15" x14ac:dyDescent="0.25">
      <c r="A1946" s="35">
        <v>1163540641</v>
      </c>
      <c r="B1946" s="35" t="s">
        <v>3412</v>
      </c>
      <c r="C1946" s="35">
        <v>2024</v>
      </c>
      <c r="D1946" s="36">
        <v>45472.024791666663</v>
      </c>
      <c r="E1946" s="37" t="s">
        <v>2188</v>
      </c>
      <c r="F1946" s="37" t="s">
        <v>3852</v>
      </c>
      <c r="G1946" s="37" t="s">
        <v>3658</v>
      </c>
      <c r="H1946" s="35" t="s">
        <v>3419</v>
      </c>
      <c r="I1946" s="35" t="s">
        <v>3416</v>
      </c>
      <c r="J1946" s="38">
        <v>1.3066666666666671</v>
      </c>
      <c r="K1946" s="35">
        <v>3</v>
      </c>
      <c r="L1946" s="38">
        <f t="shared" si="30"/>
        <v>3.9200000000000013</v>
      </c>
      <c r="M1946" s="35" t="s">
        <v>11</v>
      </c>
      <c r="N1946" s="38"/>
      <c r="O1946" s="35" t="s">
        <v>12</v>
      </c>
    </row>
    <row r="1947" spans="1:15" x14ac:dyDescent="0.25">
      <c r="A1947" s="35">
        <v>1163540576</v>
      </c>
      <c r="B1947" s="35" t="s">
        <v>3412</v>
      </c>
      <c r="C1947" s="35">
        <v>2024</v>
      </c>
      <c r="D1947" s="36">
        <v>45472.024791666663</v>
      </c>
      <c r="E1947" s="37" t="s">
        <v>1032</v>
      </c>
      <c r="F1947" s="37" t="s">
        <v>4984</v>
      </c>
      <c r="G1947" s="37" t="s">
        <v>3658</v>
      </c>
      <c r="H1947" s="35" t="s">
        <v>3415</v>
      </c>
      <c r="I1947" s="35" t="s">
        <v>3416</v>
      </c>
      <c r="J1947" s="38">
        <v>0.58625954198473285</v>
      </c>
      <c r="K1947" s="35">
        <v>4</v>
      </c>
      <c r="L1947" s="38">
        <f t="shared" si="30"/>
        <v>2.3450381679389314</v>
      </c>
      <c r="M1947" s="35" t="s">
        <v>11</v>
      </c>
      <c r="N1947" s="38"/>
      <c r="O1947" s="35" t="s">
        <v>12</v>
      </c>
    </row>
    <row r="1948" spans="1:15" x14ac:dyDescent="0.25">
      <c r="A1948" s="35">
        <v>1163540576</v>
      </c>
      <c r="B1948" s="35" t="s">
        <v>3412</v>
      </c>
      <c r="C1948" s="35">
        <v>2024</v>
      </c>
      <c r="D1948" s="36">
        <v>45472.024791666663</v>
      </c>
      <c r="E1948" s="37" t="s">
        <v>1032</v>
      </c>
      <c r="F1948" s="37" t="s">
        <v>4985</v>
      </c>
      <c r="G1948" s="37" t="s">
        <v>3658</v>
      </c>
      <c r="H1948" s="35" t="s">
        <v>3419</v>
      </c>
      <c r="I1948" s="35" t="s">
        <v>3416</v>
      </c>
      <c r="J1948" s="38">
        <v>0.49832061068702288</v>
      </c>
      <c r="K1948" s="35">
        <v>3</v>
      </c>
      <c r="L1948" s="38">
        <f t="shared" si="30"/>
        <v>1.4949618320610687</v>
      </c>
      <c r="M1948" s="35" t="s">
        <v>11</v>
      </c>
      <c r="N1948" s="38"/>
      <c r="O1948" s="35" t="s">
        <v>12</v>
      </c>
    </row>
    <row r="1949" spans="1:15" x14ac:dyDescent="0.25">
      <c r="A1949" s="35">
        <v>1163539941</v>
      </c>
      <c r="B1949" s="35" t="s">
        <v>3412</v>
      </c>
      <c r="C1949" s="35">
        <v>2024</v>
      </c>
      <c r="D1949" s="36">
        <v>45472.024791666663</v>
      </c>
      <c r="E1949" s="37" t="s">
        <v>8</v>
      </c>
      <c r="F1949" s="37" t="s">
        <v>4869</v>
      </c>
      <c r="G1949" s="37" t="s">
        <v>3455</v>
      </c>
      <c r="H1949" s="35" t="s">
        <v>3419</v>
      </c>
      <c r="I1949" s="35" t="s">
        <v>3416</v>
      </c>
      <c r="J1949" s="38">
        <v>8.9</v>
      </c>
      <c r="K1949" s="35">
        <v>2</v>
      </c>
      <c r="L1949" s="38">
        <f t="shared" si="30"/>
        <v>17.8</v>
      </c>
      <c r="M1949" s="42" t="s">
        <v>11</v>
      </c>
      <c r="N1949" s="38"/>
      <c r="O1949" s="35" t="s">
        <v>12</v>
      </c>
    </row>
    <row r="1950" spans="1:15" x14ac:dyDescent="0.25">
      <c r="A1950" s="35">
        <v>1163420233</v>
      </c>
      <c r="B1950" s="35" t="s">
        <v>3412</v>
      </c>
      <c r="C1950" s="35">
        <v>2024</v>
      </c>
      <c r="D1950" s="36">
        <v>45471.527233796303</v>
      </c>
      <c r="E1950" s="37" t="s">
        <v>2191</v>
      </c>
      <c r="F1950" s="37" t="s">
        <v>4903</v>
      </c>
      <c r="G1950" s="37" t="s">
        <v>3855</v>
      </c>
      <c r="H1950" s="35" t="s">
        <v>3419</v>
      </c>
      <c r="I1950" s="35" t="s">
        <v>3416</v>
      </c>
      <c r="J1950" s="38">
        <v>1.2150971922246221</v>
      </c>
      <c r="K1950" s="35">
        <v>1</v>
      </c>
      <c r="L1950" s="38">
        <f t="shared" si="30"/>
        <v>1.2150971922246221</v>
      </c>
      <c r="M1950" s="35" t="s">
        <v>11</v>
      </c>
      <c r="N1950" s="38"/>
      <c r="O1950" s="35" t="s">
        <v>12</v>
      </c>
    </row>
    <row r="1951" spans="1:15" ht="30" x14ac:dyDescent="0.25">
      <c r="A1951" s="35">
        <v>1163420233</v>
      </c>
      <c r="B1951" s="35" t="s">
        <v>3412</v>
      </c>
      <c r="C1951" s="35">
        <v>2024</v>
      </c>
      <c r="D1951" s="36">
        <v>45471.527233796303</v>
      </c>
      <c r="E1951" s="37" t="s">
        <v>2191</v>
      </c>
      <c r="F1951" s="37" t="s">
        <v>4986</v>
      </c>
      <c r="G1951" s="37" t="s">
        <v>3710</v>
      </c>
      <c r="H1951" s="35" t="s">
        <v>3419</v>
      </c>
      <c r="I1951" s="35" t="s">
        <v>3416</v>
      </c>
      <c r="J1951" s="38">
        <v>0.46898488120950321</v>
      </c>
      <c r="K1951" s="35">
        <v>1</v>
      </c>
      <c r="L1951" s="38">
        <f t="shared" si="30"/>
        <v>0.46898488120950321</v>
      </c>
      <c r="M1951" s="35" t="s">
        <v>11</v>
      </c>
      <c r="N1951" s="38"/>
      <c r="O1951" s="35" t="s">
        <v>12</v>
      </c>
    </row>
    <row r="1952" spans="1:15" x14ac:dyDescent="0.25">
      <c r="A1952" s="35">
        <v>1163420233</v>
      </c>
      <c r="B1952" s="35" t="s">
        <v>3412</v>
      </c>
      <c r="C1952" s="35">
        <v>2024</v>
      </c>
      <c r="D1952" s="36">
        <v>45471.527233796303</v>
      </c>
      <c r="E1952" s="37" t="s">
        <v>2191</v>
      </c>
      <c r="F1952" s="37" t="s">
        <v>4987</v>
      </c>
      <c r="G1952" s="37" t="s">
        <v>3658</v>
      </c>
      <c r="H1952" s="35" t="s">
        <v>3419</v>
      </c>
      <c r="I1952" s="35" t="s">
        <v>3416</v>
      </c>
      <c r="J1952" s="38">
        <v>18.055917926565879</v>
      </c>
      <c r="K1952" s="35">
        <v>1</v>
      </c>
      <c r="L1952" s="38">
        <f t="shared" si="30"/>
        <v>18.055917926565879</v>
      </c>
      <c r="M1952" s="35" t="s">
        <v>11</v>
      </c>
      <c r="N1952" s="38"/>
      <c r="O1952" s="35" t="s">
        <v>12</v>
      </c>
    </row>
    <row r="1953" spans="1:15" x14ac:dyDescent="0.25">
      <c r="A1953" s="35">
        <v>1163394837</v>
      </c>
      <c r="B1953" s="35" t="s">
        <v>3412</v>
      </c>
      <c r="C1953" s="35">
        <v>2024</v>
      </c>
      <c r="D1953" s="36">
        <v>45470.928078703713</v>
      </c>
      <c r="E1953" s="37" t="s">
        <v>2194</v>
      </c>
      <c r="F1953" s="37" t="s">
        <v>4990</v>
      </c>
      <c r="G1953" s="37" t="s">
        <v>4066</v>
      </c>
      <c r="H1953" s="35" t="s">
        <v>3419</v>
      </c>
      <c r="I1953" s="35" t="s">
        <v>3530</v>
      </c>
      <c r="J1953" s="38">
        <v>0.50166666666666671</v>
      </c>
      <c r="K1953" s="35">
        <v>1</v>
      </c>
      <c r="L1953" s="38">
        <f t="shared" si="30"/>
        <v>0.50166666666666671</v>
      </c>
      <c r="M1953" s="35" t="s">
        <v>11</v>
      </c>
      <c r="N1953" s="38"/>
      <c r="O1953" s="35" t="s">
        <v>12</v>
      </c>
    </row>
    <row r="1954" spans="1:15" x14ac:dyDescent="0.25">
      <c r="A1954" s="35">
        <v>1163394837</v>
      </c>
      <c r="B1954" s="35" t="s">
        <v>3412</v>
      </c>
      <c r="C1954" s="35">
        <v>2024</v>
      </c>
      <c r="D1954" s="36">
        <v>45470.928078703713</v>
      </c>
      <c r="E1954" s="37" t="s">
        <v>2194</v>
      </c>
      <c r="F1954" s="37" t="s">
        <v>4991</v>
      </c>
      <c r="G1954" s="37" t="s">
        <v>4668</v>
      </c>
      <c r="H1954" s="35" t="s">
        <v>3419</v>
      </c>
      <c r="I1954" s="35" t="s">
        <v>3416</v>
      </c>
      <c r="J1954" s="38">
        <v>2.5083333333333329</v>
      </c>
      <c r="K1954" s="35">
        <v>1</v>
      </c>
      <c r="L1954" s="38">
        <f t="shared" si="30"/>
        <v>2.5083333333333329</v>
      </c>
      <c r="M1954" s="35" t="s">
        <v>11</v>
      </c>
      <c r="N1954" s="38"/>
      <c r="O1954" s="35" t="s">
        <v>12</v>
      </c>
    </row>
    <row r="1955" spans="1:15" x14ac:dyDescent="0.25">
      <c r="A1955" s="35">
        <v>1163394837</v>
      </c>
      <c r="B1955" s="35" t="s">
        <v>3412</v>
      </c>
      <c r="C1955" s="35">
        <v>2024</v>
      </c>
      <c r="D1955" s="36">
        <v>45470.928078703713</v>
      </c>
      <c r="E1955" s="37" t="s">
        <v>2194</v>
      </c>
      <c r="F1955" s="37" t="s">
        <v>4992</v>
      </c>
      <c r="G1955" s="37" t="s">
        <v>4561</v>
      </c>
      <c r="H1955" s="35" t="s">
        <v>3419</v>
      </c>
      <c r="I1955" s="35" t="s">
        <v>3416</v>
      </c>
      <c r="J1955" s="38">
        <v>3.01</v>
      </c>
      <c r="K1955" s="35">
        <v>1</v>
      </c>
      <c r="L1955" s="38">
        <f t="shared" si="30"/>
        <v>3.01</v>
      </c>
      <c r="M1955" s="35" t="s">
        <v>11</v>
      </c>
      <c r="N1955" s="38"/>
      <c r="O1955" s="35" t="s">
        <v>12</v>
      </c>
    </row>
    <row r="1956" spans="1:15" x14ac:dyDescent="0.25">
      <c r="A1956" s="35">
        <v>1163389136</v>
      </c>
      <c r="B1956" s="35" t="s">
        <v>3412</v>
      </c>
      <c r="C1956" s="35">
        <v>2024</v>
      </c>
      <c r="D1956" s="36">
        <v>45470.892129629632</v>
      </c>
      <c r="E1956" s="37" t="s">
        <v>2197</v>
      </c>
      <c r="F1956" s="37" t="s">
        <v>4914</v>
      </c>
      <c r="G1956" s="37" t="s">
        <v>3455</v>
      </c>
      <c r="H1956" s="35" t="s">
        <v>3419</v>
      </c>
      <c r="I1956" s="35" t="s">
        <v>3416</v>
      </c>
      <c r="J1956" s="38">
        <v>4.72</v>
      </c>
      <c r="K1956" s="35">
        <v>1</v>
      </c>
      <c r="L1956" s="38">
        <f t="shared" si="30"/>
        <v>4.72</v>
      </c>
      <c r="M1956" s="35" t="s">
        <v>11</v>
      </c>
      <c r="N1956" s="38"/>
      <c r="O1956" s="35" t="s">
        <v>12</v>
      </c>
    </row>
    <row r="1957" spans="1:15" x14ac:dyDescent="0.25">
      <c r="A1957" s="35">
        <v>1163362391</v>
      </c>
      <c r="B1957" s="35" t="s">
        <v>3412</v>
      </c>
      <c r="C1957" s="35">
        <v>2024</v>
      </c>
      <c r="D1957" s="36">
        <v>45470.760937500003</v>
      </c>
      <c r="E1957" s="37" t="s">
        <v>8</v>
      </c>
      <c r="F1957" s="37" t="s">
        <v>3985</v>
      </c>
      <c r="G1957" s="37" t="s">
        <v>4307</v>
      </c>
      <c r="H1957" s="35" t="s">
        <v>3415</v>
      </c>
      <c r="I1957" s="35" t="s">
        <v>3416</v>
      </c>
      <c r="J1957" s="38">
        <v>5.75</v>
      </c>
      <c r="K1957" s="35">
        <v>4</v>
      </c>
      <c r="L1957" s="38">
        <f t="shared" si="30"/>
        <v>23</v>
      </c>
      <c r="M1957" s="42" t="s">
        <v>11</v>
      </c>
      <c r="N1957" s="38"/>
      <c r="O1957" s="35" t="s">
        <v>12</v>
      </c>
    </row>
    <row r="1958" spans="1:15" x14ac:dyDescent="0.25">
      <c r="A1958" s="35">
        <v>1163359815</v>
      </c>
      <c r="B1958" s="35" t="s">
        <v>3412</v>
      </c>
      <c r="C1958" s="35">
        <v>2024</v>
      </c>
      <c r="D1958" s="36">
        <v>45470.760937500003</v>
      </c>
      <c r="E1958" s="37" t="s">
        <v>318</v>
      </c>
      <c r="F1958" s="37" t="s">
        <v>4993</v>
      </c>
      <c r="G1958" s="37" t="s">
        <v>3455</v>
      </c>
      <c r="H1958" s="35" t="s">
        <v>3415</v>
      </c>
      <c r="I1958" s="35" t="s">
        <v>3416</v>
      </c>
      <c r="J1958" s="38">
        <v>1.1842360114777619</v>
      </c>
      <c r="K1958" s="35">
        <v>4</v>
      </c>
      <c r="L1958" s="38">
        <f t="shared" si="30"/>
        <v>4.7369440459110477</v>
      </c>
      <c r="M1958" s="35" t="s">
        <v>11</v>
      </c>
      <c r="N1958" s="38"/>
      <c r="O1958" s="35" t="s">
        <v>12</v>
      </c>
    </row>
    <row r="1959" spans="1:15" x14ac:dyDescent="0.25">
      <c r="A1959" s="35">
        <v>1163359815</v>
      </c>
      <c r="B1959" s="35" t="s">
        <v>3412</v>
      </c>
      <c r="C1959" s="35">
        <v>2024</v>
      </c>
      <c r="D1959" s="36">
        <v>45470.760937500003</v>
      </c>
      <c r="E1959" s="37" t="s">
        <v>318</v>
      </c>
      <c r="F1959" s="37" t="s">
        <v>4994</v>
      </c>
      <c r="G1959" s="37" t="s">
        <v>3455</v>
      </c>
      <c r="H1959" s="35" t="s">
        <v>3415</v>
      </c>
      <c r="I1959" s="35" t="s">
        <v>3416</v>
      </c>
      <c r="J1959" s="38">
        <v>3.5766319942611191</v>
      </c>
      <c r="K1959" s="35">
        <v>4</v>
      </c>
      <c r="L1959" s="38">
        <f t="shared" si="30"/>
        <v>14.306527977044476</v>
      </c>
      <c r="M1959" s="35" t="s">
        <v>11</v>
      </c>
      <c r="N1959" s="38"/>
      <c r="O1959" s="35" t="s">
        <v>12</v>
      </c>
    </row>
    <row r="1960" spans="1:15" x14ac:dyDescent="0.25">
      <c r="A1960" s="35">
        <v>1163359815</v>
      </c>
      <c r="B1960" s="35" t="s">
        <v>3412</v>
      </c>
      <c r="C1960" s="35">
        <v>2024</v>
      </c>
      <c r="D1960" s="36">
        <v>45470.760937500003</v>
      </c>
      <c r="E1960" s="37" t="s">
        <v>318</v>
      </c>
      <c r="F1960" s="37" t="s">
        <v>4995</v>
      </c>
      <c r="G1960" s="37" t="s">
        <v>3455</v>
      </c>
      <c r="H1960" s="35" t="s">
        <v>3415</v>
      </c>
      <c r="I1960" s="35" t="s">
        <v>3416</v>
      </c>
      <c r="J1960" s="38">
        <v>2.9904949784791959</v>
      </c>
      <c r="K1960" s="35">
        <v>4</v>
      </c>
      <c r="L1960" s="38">
        <f t="shared" si="30"/>
        <v>11.961979913916784</v>
      </c>
      <c r="M1960" s="35" t="s">
        <v>11</v>
      </c>
      <c r="N1960" s="38"/>
      <c r="O1960" s="35" t="s">
        <v>12</v>
      </c>
    </row>
    <row r="1961" spans="1:15" x14ac:dyDescent="0.25">
      <c r="A1961" s="35">
        <v>1163359815</v>
      </c>
      <c r="B1961" s="35" t="s">
        <v>3412</v>
      </c>
      <c r="C1961" s="35">
        <v>2024</v>
      </c>
      <c r="D1961" s="36">
        <v>45470.760937500003</v>
      </c>
      <c r="E1961" s="37" t="s">
        <v>318</v>
      </c>
      <c r="F1961" s="37" t="s">
        <v>4996</v>
      </c>
      <c r="G1961" s="37" t="s">
        <v>3455</v>
      </c>
      <c r="H1961" s="35" t="s">
        <v>3415</v>
      </c>
      <c r="I1961" s="35" t="s">
        <v>3416</v>
      </c>
      <c r="J1961" s="38">
        <v>0.58613701578192257</v>
      </c>
      <c r="K1961" s="35">
        <v>4</v>
      </c>
      <c r="L1961" s="38">
        <f t="shared" si="30"/>
        <v>2.3445480631276903</v>
      </c>
      <c r="M1961" s="35" t="s">
        <v>11</v>
      </c>
      <c r="N1961" s="38"/>
      <c r="O1961" s="35" t="s">
        <v>12</v>
      </c>
    </row>
    <row r="1962" spans="1:15" x14ac:dyDescent="0.25">
      <c r="A1962" s="35">
        <v>1163347613</v>
      </c>
      <c r="B1962" s="35" t="s">
        <v>3412</v>
      </c>
      <c r="C1962" s="35">
        <v>2024</v>
      </c>
      <c r="D1962" s="36">
        <v>45470.726585648154</v>
      </c>
      <c r="E1962" s="37" t="s">
        <v>1858</v>
      </c>
      <c r="F1962" s="37" t="s">
        <v>4785</v>
      </c>
      <c r="G1962" s="37" t="s">
        <v>4142</v>
      </c>
      <c r="H1962" s="35" t="s">
        <v>3415</v>
      </c>
      <c r="I1962" s="35" t="s">
        <v>3416</v>
      </c>
      <c r="J1962" s="38">
        <v>0.65500000000000003</v>
      </c>
      <c r="K1962" s="35">
        <v>4</v>
      </c>
      <c r="L1962" s="38">
        <f t="shared" si="30"/>
        <v>2.62</v>
      </c>
      <c r="M1962" s="35" t="s">
        <v>11</v>
      </c>
      <c r="N1962" s="38"/>
      <c r="O1962" s="35" t="s">
        <v>12</v>
      </c>
    </row>
    <row r="1963" spans="1:15" x14ac:dyDescent="0.25">
      <c r="A1963" s="35">
        <v>1163303172</v>
      </c>
      <c r="B1963" s="35" t="s">
        <v>3412</v>
      </c>
      <c r="C1963" s="35">
        <v>2024</v>
      </c>
      <c r="D1963" s="36">
        <v>45470.558449074073</v>
      </c>
      <c r="E1963" s="37" t="s">
        <v>2200</v>
      </c>
      <c r="F1963" s="37" t="s">
        <v>4997</v>
      </c>
      <c r="G1963" s="37" t="s">
        <v>4017</v>
      </c>
      <c r="H1963" s="35" t="s">
        <v>3419</v>
      </c>
      <c r="I1963" s="35" t="s">
        <v>3416</v>
      </c>
      <c r="J1963" s="38">
        <v>15.22</v>
      </c>
      <c r="K1963" s="35">
        <v>1</v>
      </c>
      <c r="L1963" s="38">
        <f t="shared" si="30"/>
        <v>15.22</v>
      </c>
      <c r="M1963" s="35" t="s">
        <v>11</v>
      </c>
      <c r="N1963" s="38"/>
      <c r="O1963" s="35" t="s">
        <v>12</v>
      </c>
    </row>
    <row r="1964" spans="1:15" x14ac:dyDescent="0.25">
      <c r="A1964" s="35">
        <v>1163282779</v>
      </c>
      <c r="B1964" s="35" t="s">
        <v>3412</v>
      </c>
      <c r="C1964" s="35">
        <v>2024</v>
      </c>
      <c r="D1964" s="36">
        <v>45470.31827546296</v>
      </c>
      <c r="E1964" s="37" t="s">
        <v>1459</v>
      </c>
      <c r="F1964" s="37" t="s">
        <v>4998</v>
      </c>
      <c r="G1964" s="37" t="s">
        <v>3772</v>
      </c>
      <c r="H1964" s="35" t="s">
        <v>3415</v>
      </c>
      <c r="I1964" s="35" t="s">
        <v>3416</v>
      </c>
      <c r="J1964" s="38">
        <v>1.5449999999999999</v>
      </c>
      <c r="K1964" s="35">
        <v>4</v>
      </c>
      <c r="L1964" s="38">
        <f t="shared" si="30"/>
        <v>6.18</v>
      </c>
      <c r="M1964" s="35" t="s">
        <v>11</v>
      </c>
      <c r="N1964" s="38"/>
      <c r="O1964" s="35" t="s">
        <v>12</v>
      </c>
    </row>
    <row r="1965" spans="1:15" x14ac:dyDescent="0.25">
      <c r="A1965" s="35">
        <v>1163113103</v>
      </c>
      <c r="B1965" s="35" t="s">
        <v>3412</v>
      </c>
      <c r="C1965" s="35">
        <v>2024</v>
      </c>
      <c r="D1965" s="36">
        <v>45468.873935185176</v>
      </c>
      <c r="E1965" s="37" t="s">
        <v>2203</v>
      </c>
      <c r="F1965" s="37" t="s">
        <v>4999</v>
      </c>
      <c r="G1965" s="37" t="s">
        <v>5000</v>
      </c>
      <c r="H1965" s="35" t="s">
        <v>3419</v>
      </c>
      <c r="I1965" s="35" t="s">
        <v>3416</v>
      </c>
      <c r="J1965" s="38">
        <v>0.21249999999999999</v>
      </c>
      <c r="K1965" s="35">
        <v>8</v>
      </c>
      <c r="L1965" s="38">
        <f t="shared" si="30"/>
        <v>1.7</v>
      </c>
      <c r="M1965" s="35" t="s">
        <v>11</v>
      </c>
      <c r="N1965" s="38"/>
      <c r="O1965" s="35" t="s">
        <v>12</v>
      </c>
    </row>
    <row r="1966" spans="1:15" x14ac:dyDescent="0.25">
      <c r="A1966" s="35">
        <v>1163104506</v>
      </c>
      <c r="B1966" s="35" t="s">
        <v>3412</v>
      </c>
      <c r="C1966" s="35">
        <v>2024</v>
      </c>
      <c r="D1966" s="36">
        <v>45468.873935185176</v>
      </c>
      <c r="E1966" s="37" t="s">
        <v>35</v>
      </c>
      <c r="F1966" s="37" t="s">
        <v>4844</v>
      </c>
      <c r="G1966" s="37" t="s">
        <v>3621</v>
      </c>
      <c r="H1966" s="35" t="s">
        <v>3415</v>
      </c>
      <c r="I1966" s="35" t="s">
        <v>3416</v>
      </c>
      <c r="J1966" s="38">
        <v>17.2575</v>
      </c>
      <c r="K1966" s="35">
        <v>4</v>
      </c>
      <c r="L1966" s="38">
        <f t="shared" si="30"/>
        <v>69.03</v>
      </c>
      <c r="M1966" s="35" t="s">
        <v>11</v>
      </c>
      <c r="N1966" s="38"/>
      <c r="O1966" s="35" t="s">
        <v>12</v>
      </c>
    </row>
    <row r="1967" spans="1:15" x14ac:dyDescent="0.25">
      <c r="A1967" s="35">
        <v>1162882339</v>
      </c>
      <c r="B1967" s="35" t="s">
        <v>3412</v>
      </c>
      <c r="C1967" s="35">
        <v>2024</v>
      </c>
      <c r="D1967" s="36">
        <v>45467.418969907398</v>
      </c>
      <c r="E1967" s="37" t="s">
        <v>1841</v>
      </c>
      <c r="F1967" s="37" t="s">
        <v>4969</v>
      </c>
      <c r="G1967" s="37" t="s">
        <v>3621</v>
      </c>
      <c r="H1967" s="35" t="s">
        <v>3419</v>
      </c>
      <c r="I1967" s="35" t="s">
        <v>3416</v>
      </c>
      <c r="J1967" s="38">
        <v>10.17</v>
      </c>
      <c r="K1967" s="35">
        <v>1</v>
      </c>
      <c r="L1967" s="38">
        <f t="shared" si="30"/>
        <v>10.17</v>
      </c>
      <c r="M1967" s="35" t="s">
        <v>11</v>
      </c>
      <c r="N1967" s="38"/>
      <c r="O1967" s="35" t="s">
        <v>12</v>
      </c>
    </row>
    <row r="1968" spans="1:15" x14ac:dyDescent="0.25">
      <c r="A1968" s="35">
        <v>1162882335</v>
      </c>
      <c r="B1968" s="35" t="s">
        <v>3412</v>
      </c>
      <c r="C1968" s="35">
        <v>2024</v>
      </c>
      <c r="D1968" s="36">
        <v>45467.418969907398</v>
      </c>
      <c r="E1968" s="37" t="s">
        <v>2209</v>
      </c>
      <c r="F1968" s="37" t="s">
        <v>4969</v>
      </c>
      <c r="G1968" s="37" t="s">
        <v>3621</v>
      </c>
      <c r="H1968" s="35" t="s">
        <v>3419</v>
      </c>
      <c r="I1968" s="35" t="s">
        <v>3416</v>
      </c>
      <c r="J1968" s="38">
        <v>10.17</v>
      </c>
      <c r="K1968" s="35">
        <v>1</v>
      </c>
      <c r="L1968" s="38">
        <f t="shared" si="30"/>
        <v>10.17</v>
      </c>
      <c r="M1968" s="35" t="s">
        <v>11</v>
      </c>
      <c r="N1968" s="38"/>
      <c r="O1968" s="35" t="s">
        <v>12</v>
      </c>
    </row>
    <row r="1969" spans="1:15" x14ac:dyDescent="0.25">
      <c r="A1969" s="35">
        <v>1162882331</v>
      </c>
      <c r="B1969" s="35" t="s">
        <v>3412</v>
      </c>
      <c r="C1969" s="35">
        <v>2024</v>
      </c>
      <c r="D1969" s="36">
        <v>45467.418969907398</v>
      </c>
      <c r="E1969" s="37" t="s">
        <v>2211</v>
      </c>
      <c r="F1969" s="37" t="s">
        <v>4969</v>
      </c>
      <c r="G1969" s="37" t="s">
        <v>3621</v>
      </c>
      <c r="H1969" s="35" t="s">
        <v>3419</v>
      </c>
      <c r="I1969" s="35" t="s">
        <v>3416</v>
      </c>
      <c r="J1969" s="38">
        <v>9.9517431192660553</v>
      </c>
      <c r="K1969" s="35">
        <v>1</v>
      </c>
      <c r="L1969" s="38">
        <f t="shared" si="30"/>
        <v>9.9517431192660553</v>
      </c>
      <c r="M1969" s="35" t="s">
        <v>11</v>
      </c>
      <c r="N1969" s="38"/>
      <c r="O1969" s="35" t="s">
        <v>12</v>
      </c>
    </row>
    <row r="1970" spans="1:15" x14ac:dyDescent="0.25">
      <c r="A1970" s="35">
        <v>1162882331</v>
      </c>
      <c r="B1970" s="35" t="s">
        <v>3412</v>
      </c>
      <c r="C1970" s="35">
        <v>2024</v>
      </c>
      <c r="D1970" s="36">
        <v>45467.418969907398</v>
      </c>
      <c r="E1970" s="37" t="s">
        <v>2211</v>
      </c>
      <c r="F1970" s="37" t="s">
        <v>4591</v>
      </c>
      <c r="G1970" s="37" t="s">
        <v>3621</v>
      </c>
      <c r="H1970" s="35" t="s">
        <v>3419</v>
      </c>
      <c r="I1970" s="35" t="s">
        <v>3416</v>
      </c>
      <c r="J1970" s="38">
        <v>2.1682568807339448</v>
      </c>
      <c r="K1970" s="35">
        <v>1</v>
      </c>
      <c r="L1970" s="38">
        <f t="shared" si="30"/>
        <v>2.1682568807339448</v>
      </c>
      <c r="M1970" s="35" t="s">
        <v>11</v>
      </c>
      <c r="N1970" s="38"/>
      <c r="O1970" s="35" t="s">
        <v>12</v>
      </c>
    </row>
    <row r="1971" spans="1:15" x14ac:dyDescent="0.25">
      <c r="A1971" s="35">
        <v>1162368044</v>
      </c>
      <c r="B1971" s="35" t="s">
        <v>3412</v>
      </c>
      <c r="C1971" s="35">
        <v>2024</v>
      </c>
      <c r="D1971" s="36">
        <v>45463.928715277783</v>
      </c>
      <c r="E1971" s="37" t="s">
        <v>2220</v>
      </c>
      <c r="F1971" s="37" t="s">
        <v>4612</v>
      </c>
      <c r="G1971" s="37" t="s">
        <v>3621</v>
      </c>
      <c r="H1971" s="35" t="s">
        <v>3419</v>
      </c>
      <c r="I1971" s="35" t="s">
        <v>3416</v>
      </c>
      <c r="J1971" s="38">
        <v>0.90333333333333321</v>
      </c>
      <c r="K1971" s="35">
        <v>6</v>
      </c>
      <c r="L1971" s="38">
        <f t="shared" si="30"/>
        <v>5.419999999999999</v>
      </c>
      <c r="M1971" s="35" t="s">
        <v>11</v>
      </c>
      <c r="N1971" s="38"/>
      <c r="O1971" s="35" t="s">
        <v>12</v>
      </c>
    </row>
    <row r="1972" spans="1:15" x14ac:dyDescent="0.25">
      <c r="A1972" s="35">
        <v>1161961034</v>
      </c>
      <c r="B1972" s="35" t="s">
        <v>3412</v>
      </c>
      <c r="C1972" s="35">
        <v>2024</v>
      </c>
      <c r="D1972" s="36">
        <v>45460.653067129628</v>
      </c>
      <c r="E1972" s="37" t="s">
        <v>2229</v>
      </c>
      <c r="F1972" s="37" t="s">
        <v>5006</v>
      </c>
      <c r="G1972" s="37" t="s">
        <v>3867</v>
      </c>
      <c r="H1972" s="35" t="s">
        <v>3419</v>
      </c>
      <c r="I1972" s="35" t="s">
        <v>3416</v>
      </c>
      <c r="J1972" s="38">
        <v>48.47</v>
      </c>
      <c r="K1972" s="35">
        <v>1</v>
      </c>
      <c r="L1972" s="38">
        <f t="shared" si="30"/>
        <v>48.47</v>
      </c>
      <c r="M1972" s="35" t="s">
        <v>11</v>
      </c>
      <c r="N1972" s="38"/>
      <c r="O1972" s="35" t="s">
        <v>12</v>
      </c>
    </row>
    <row r="1973" spans="1:15" x14ac:dyDescent="0.25">
      <c r="A1973" s="35">
        <v>1161946216</v>
      </c>
      <c r="B1973" s="35" t="s">
        <v>3412</v>
      </c>
      <c r="C1973" s="35">
        <v>2024</v>
      </c>
      <c r="D1973" s="36">
        <v>45460.581932870373</v>
      </c>
      <c r="E1973" s="37" t="s">
        <v>212</v>
      </c>
      <c r="F1973" s="37" t="s">
        <v>5007</v>
      </c>
      <c r="G1973" s="37" t="s">
        <v>3790</v>
      </c>
      <c r="H1973" s="35" t="s">
        <v>3415</v>
      </c>
      <c r="I1973" s="35" t="s">
        <v>3416</v>
      </c>
      <c r="J1973" s="38">
        <v>0.65500000000000003</v>
      </c>
      <c r="K1973" s="35">
        <v>4</v>
      </c>
      <c r="L1973" s="38">
        <f t="shared" si="30"/>
        <v>2.62</v>
      </c>
      <c r="M1973" s="35" t="s">
        <v>11</v>
      </c>
      <c r="N1973" s="38"/>
      <c r="O1973" s="35" t="s">
        <v>12</v>
      </c>
    </row>
    <row r="1974" spans="1:15" x14ac:dyDescent="0.25">
      <c r="A1974" s="35">
        <v>1161902630</v>
      </c>
      <c r="B1974" s="35" t="s">
        <v>3412</v>
      </c>
      <c r="C1974" s="35">
        <v>2024</v>
      </c>
      <c r="D1974" s="36">
        <v>45460.367615740739</v>
      </c>
      <c r="E1974" s="37" t="s">
        <v>2233</v>
      </c>
      <c r="F1974" s="37" t="s">
        <v>5008</v>
      </c>
      <c r="G1974" s="37" t="s">
        <v>3788</v>
      </c>
      <c r="H1974" s="35" t="s">
        <v>3419</v>
      </c>
      <c r="I1974" s="35" t="s">
        <v>3416</v>
      </c>
      <c r="J1974" s="38">
        <v>8.02</v>
      </c>
      <c r="K1974" s="35">
        <v>1</v>
      </c>
      <c r="L1974" s="38">
        <f t="shared" si="30"/>
        <v>8.02</v>
      </c>
      <c r="M1974" s="35" t="s">
        <v>11</v>
      </c>
      <c r="N1974" s="38"/>
      <c r="O1974" s="35" t="s">
        <v>12</v>
      </c>
    </row>
    <row r="1975" spans="1:15" x14ac:dyDescent="0.25">
      <c r="A1975" s="35">
        <v>1161899774</v>
      </c>
      <c r="B1975" s="35" t="s">
        <v>3412</v>
      </c>
      <c r="C1975" s="35">
        <v>2024</v>
      </c>
      <c r="D1975" s="36">
        <v>45460.367615740739</v>
      </c>
      <c r="E1975" s="37" t="s">
        <v>294</v>
      </c>
      <c r="F1975" s="37" t="s">
        <v>5009</v>
      </c>
      <c r="G1975" s="37" t="s">
        <v>5010</v>
      </c>
      <c r="H1975" s="35" t="s">
        <v>3415</v>
      </c>
      <c r="I1975" s="35" t="s">
        <v>3416</v>
      </c>
      <c r="J1975" s="38">
        <v>0.25362637362637358</v>
      </c>
      <c r="K1975" s="35">
        <v>4</v>
      </c>
      <c r="L1975" s="38">
        <f t="shared" si="30"/>
        <v>1.0145054945054943</v>
      </c>
      <c r="M1975" s="35" t="s">
        <v>11</v>
      </c>
      <c r="N1975" s="38"/>
      <c r="O1975" s="35" t="s">
        <v>12</v>
      </c>
    </row>
    <row r="1976" spans="1:15" x14ac:dyDescent="0.25">
      <c r="A1976" s="35">
        <v>1161899774</v>
      </c>
      <c r="B1976" s="35" t="s">
        <v>3412</v>
      </c>
      <c r="C1976" s="35">
        <v>2024</v>
      </c>
      <c r="D1976" s="36">
        <v>45460.367615740739</v>
      </c>
      <c r="E1976" s="37" t="s">
        <v>294</v>
      </c>
      <c r="F1976" s="37" t="s">
        <v>4994</v>
      </c>
      <c r="G1976" s="37" t="s">
        <v>3621</v>
      </c>
      <c r="H1976" s="35" t="s">
        <v>3415</v>
      </c>
      <c r="I1976" s="35" t="s">
        <v>3416</v>
      </c>
      <c r="J1976" s="38">
        <v>0.44384615384615378</v>
      </c>
      <c r="K1976" s="35">
        <v>4</v>
      </c>
      <c r="L1976" s="38">
        <f t="shared" si="30"/>
        <v>1.7753846153846151</v>
      </c>
      <c r="M1976" s="35" t="s">
        <v>11</v>
      </c>
      <c r="N1976" s="38"/>
      <c r="O1976" s="35" t="s">
        <v>12</v>
      </c>
    </row>
    <row r="1977" spans="1:15" x14ac:dyDescent="0.25">
      <c r="A1977" s="35">
        <v>1161899774</v>
      </c>
      <c r="B1977" s="35" t="s">
        <v>3412</v>
      </c>
      <c r="C1977" s="35">
        <v>2024</v>
      </c>
      <c r="D1977" s="36">
        <v>45460.367615740739</v>
      </c>
      <c r="E1977" s="37" t="s">
        <v>294</v>
      </c>
      <c r="F1977" s="37" t="s">
        <v>4073</v>
      </c>
      <c r="G1977" s="37" t="s">
        <v>4309</v>
      </c>
      <c r="H1977" s="35" t="s">
        <v>3419</v>
      </c>
      <c r="I1977" s="35" t="s">
        <v>3416</v>
      </c>
      <c r="J1977" s="38">
        <v>2.9801098901098899</v>
      </c>
      <c r="K1977" s="35">
        <v>1</v>
      </c>
      <c r="L1977" s="38">
        <f t="shared" si="30"/>
        <v>2.9801098901098899</v>
      </c>
      <c r="M1977" s="35" t="s">
        <v>11</v>
      </c>
      <c r="N1977" s="38"/>
      <c r="O1977" s="35" t="s">
        <v>12</v>
      </c>
    </row>
    <row r="1978" spans="1:15" x14ac:dyDescent="0.25">
      <c r="A1978" s="35">
        <v>1161780833</v>
      </c>
      <c r="B1978" s="35" t="s">
        <v>3412</v>
      </c>
      <c r="C1978" s="35">
        <v>2024</v>
      </c>
      <c r="D1978" s="36">
        <v>45459.568472222221</v>
      </c>
      <c r="E1978" s="37" t="s">
        <v>414</v>
      </c>
      <c r="F1978" s="37" t="s">
        <v>4660</v>
      </c>
      <c r="G1978" s="37" t="s">
        <v>3658</v>
      </c>
      <c r="H1978" s="35" t="s">
        <v>3419</v>
      </c>
      <c r="I1978" s="35" t="s">
        <v>3453</v>
      </c>
      <c r="J1978" s="38">
        <v>7.6000000000000014</v>
      </c>
      <c r="K1978" s="35">
        <v>2</v>
      </c>
      <c r="L1978" s="38">
        <f t="shared" si="30"/>
        <v>15.200000000000003</v>
      </c>
      <c r="M1978" s="35" t="s">
        <v>11</v>
      </c>
      <c r="N1978" s="38"/>
      <c r="O1978" s="35" t="s">
        <v>12</v>
      </c>
    </row>
    <row r="1979" spans="1:15" x14ac:dyDescent="0.25">
      <c r="A1979" s="35">
        <v>1161770456</v>
      </c>
      <c r="B1979" s="35" t="s">
        <v>3412</v>
      </c>
      <c r="C1979" s="35">
        <v>2024</v>
      </c>
      <c r="D1979" s="36">
        <v>45459.514340277783</v>
      </c>
      <c r="E1979" s="37" t="s">
        <v>1278</v>
      </c>
      <c r="F1979" s="37" t="s">
        <v>4778</v>
      </c>
      <c r="G1979" s="37" t="s">
        <v>3455</v>
      </c>
      <c r="H1979" s="35" t="s">
        <v>3415</v>
      </c>
      <c r="I1979" s="35" t="s">
        <v>3416</v>
      </c>
      <c r="J1979" s="38">
        <v>19.817499999999999</v>
      </c>
      <c r="K1979" s="35">
        <v>4</v>
      </c>
      <c r="L1979" s="38">
        <f t="shared" si="30"/>
        <v>79.27</v>
      </c>
      <c r="M1979" s="35" t="s">
        <v>11</v>
      </c>
      <c r="N1979" s="38"/>
      <c r="O1979" s="35" t="s">
        <v>12</v>
      </c>
    </row>
    <row r="1980" spans="1:15" x14ac:dyDescent="0.25">
      <c r="A1980" s="35">
        <v>1161654652</v>
      </c>
      <c r="B1980" s="35" t="s">
        <v>3412</v>
      </c>
      <c r="C1980" s="35">
        <v>2024</v>
      </c>
      <c r="D1980" s="36">
        <v>45458.627222222232</v>
      </c>
      <c r="E1980" s="37" t="s">
        <v>303</v>
      </c>
      <c r="F1980" s="37" t="s">
        <v>5011</v>
      </c>
      <c r="G1980" s="37" t="s">
        <v>3455</v>
      </c>
      <c r="H1980" s="35" t="s">
        <v>3415</v>
      </c>
      <c r="I1980" s="35" t="s">
        <v>3416</v>
      </c>
      <c r="J1980" s="38">
        <v>5.7549999999999999</v>
      </c>
      <c r="K1980" s="35">
        <v>4</v>
      </c>
      <c r="L1980" s="38">
        <f t="shared" si="30"/>
        <v>23.02</v>
      </c>
      <c r="M1980" s="35" t="s">
        <v>11</v>
      </c>
      <c r="N1980" s="38"/>
      <c r="O1980" s="35" t="s">
        <v>12</v>
      </c>
    </row>
    <row r="1981" spans="1:15" x14ac:dyDescent="0.25">
      <c r="A1981" s="35">
        <v>1161652151</v>
      </c>
      <c r="B1981" s="35" t="s">
        <v>3412</v>
      </c>
      <c r="C1981" s="35">
        <v>2024</v>
      </c>
      <c r="D1981" s="36">
        <v>45458.614259259259</v>
      </c>
      <c r="E1981" s="37" t="s">
        <v>303</v>
      </c>
      <c r="F1981" s="37" t="s">
        <v>5012</v>
      </c>
      <c r="G1981" s="37" t="s">
        <v>4307</v>
      </c>
      <c r="H1981" s="35" t="s">
        <v>3415</v>
      </c>
      <c r="I1981" s="35" t="s">
        <v>3416</v>
      </c>
      <c r="J1981" s="38">
        <v>6.2949999999999999</v>
      </c>
      <c r="K1981" s="35">
        <v>4</v>
      </c>
      <c r="L1981" s="38">
        <f t="shared" si="30"/>
        <v>25.18</v>
      </c>
      <c r="M1981" s="35" t="s">
        <v>11</v>
      </c>
      <c r="N1981" s="38"/>
      <c r="O1981" s="35" t="s">
        <v>12</v>
      </c>
    </row>
    <row r="1982" spans="1:15" x14ac:dyDescent="0.25">
      <c r="A1982" s="35">
        <v>1161599605</v>
      </c>
      <c r="B1982" s="35" t="s">
        <v>3412</v>
      </c>
      <c r="C1982" s="35">
        <v>2024</v>
      </c>
      <c r="D1982" s="36">
        <v>45458.327407407407</v>
      </c>
      <c r="E1982" s="37" t="s">
        <v>8</v>
      </c>
      <c r="F1982" s="37" t="s">
        <v>5013</v>
      </c>
      <c r="G1982" s="37" t="s">
        <v>3621</v>
      </c>
      <c r="H1982" s="35" t="s">
        <v>3415</v>
      </c>
      <c r="I1982" s="35" t="s">
        <v>3416</v>
      </c>
      <c r="J1982" s="38">
        <v>0.8</v>
      </c>
      <c r="K1982" s="35">
        <v>4</v>
      </c>
      <c r="L1982" s="38">
        <f t="shared" si="30"/>
        <v>3.2</v>
      </c>
      <c r="M1982" s="42" t="s">
        <v>11</v>
      </c>
      <c r="N1982" s="38"/>
      <c r="O1982" s="35" t="s">
        <v>12</v>
      </c>
    </row>
    <row r="1983" spans="1:15" x14ac:dyDescent="0.25">
      <c r="A1983" s="35">
        <v>1161597251</v>
      </c>
      <c r="B1983" s="35" t="s">
        <v>3412</v>
      </c>
      <c r="C1983" s="35">
        <v>2024</v>
      </c>
      <c r="D1983" s="36">
        <v>45458.326192129629</v>
      </c>
      <c r="E1983" s="37" t="s">
        <v>2241</v>
      </c>
      <c r="F1983" s="37" t="s">
        <v>4941</v>
      </c>
      <c r="G1983" s="37" t="s">
        <v>3455</v>
      </c>
      <c r="H1983" s="35" t="s">
        <v>3415</v>
      </c>
      <c r="I1983" s="35" t="s">
        <v>3416</v>
      </c>
      <c r="J1983" s="38">
        <v>2.2349999999999999</v>
      </c>
      <c r="K1983" s="35">
        <v>4</v>
      </c>
      <c r="L1983" s="38">
        <f t="shared" si="30"/>
        <v>8.94</v>
      </c>
      <c r="M1983" s="35" t="s">
        <v>11</v>
      </c>
      <c r="N1983" s="38"/>
      <c r="O1983" s="35" t="s">
        <v>12</v>
      </c>
    </row>
    <row r="1984" spans="1:15" x14ac:dyDescent="0.25">
      <c r="A1984" s="35">
        <v>1161596697</v>
      </c>
      <c r="B1984" s="35" t="s">
        <v>3412</v>
      </c>
      <c r="C1984" s="35">
        <v>2024</v>
      </c>
      <c r="D1984" s="36">
        <v>45458.326192129629</v>
      </c>
      <c r="E1984" s="37" t="s">
        <v>2243</v>
      </c>
      <c r="F1984" s="37" t="s">
        <v>3722</v>
      </c>
      <c r="G1984" s="37" t="s">
        <v>3723</v>
      </c>
      <c r="H1984" s="35" t="s">
        <v>3419</v>
      </c>
      <c r="I1984" s="35" t="s">
        <v>3530</v>
      </c>
      <c r="J1984" s="38">
        <v>0.33964285714285708</v>
      </c>
      <c r="K1984" s="35">
        <v>2</v>
      </c>
      <c r="L1984" s="38">
        <f t="shared" si="30"/>
        <v>0.67928571428571416</v>
      </c>
      <c r="M1984" s="35" t="s">
        <v>11</v>
      </c>
      <c r="N1984" s="38"/>
      <c r="O1984" s="35" t="s">
        <v>12</v>
      </c>
    </row>
    <row r="1985" spans="1:15" x14ac:dyDescent="0.25">
      <c r="A1985" s="35">
        <v>1161596697</v>
      </c>
      <c r="B1985" s="35" t="s">
        <v>3412</v>
      </c>
      <c r="C1985" s="35">
        <v>2024</v>
      </c>
      <c r="D1985" s="36">
        <v>45458.326192129629</v>
      </c>
      <c r="E1985" s="37" t="s">
        <v>2243</v>
      </c>
      <c r="F1985" s="37" t="s">
        <v>3722</v>
      </c>
      <c r="G1985" s="37" t="s">
        <v>3723</v>
      </c>
      <c r="H1985" s="35" t="s">
        <v>3419</v>
      </c>
      <c r="I1985" s="35" t="s">
        <v>3416</v>
      </c>
      <c r="J1985" s="38">
        <v>0.33964285714285708</v>
      </c>
      <c r="K1985" s="35">
        <v>1</v>
      </c>
      <c r="L1985" s="38">
        <f t="shared" si="30"/>
        <v>0.33964285714285708</v>
      </c>
      <c r="M1985" s="35" t="s">
        <v>11</v>
      </c>
      <c r="N1985" s="38"/>
      <c r="O1985" s="35" t="s">
        <v>12</v>
      </c>
    </row>
    <row r="1986" spans="1:15" x14ac:dyDescent="0.25">
      <c r="A1986" s="35">
        <v>1161596697</v>
      </c>
      <c r="B1986" s="35" t="s">
        <v>3412</v>
      </c>
      <c r="C1986" s="35">
        <v>2024</v>
      </c>
      <c r="D1986" s="36">
        <v>45458.326192129629</v>
      </c>
      <c r="E1986" s="37" t="s">
        <v>2243</v>
      </c>
      <c r="F1986" s="37" t="s">
        <v>5014</v>
      </c>
      <c r="G1986" s="37" t="s">
        <v>3621</v>
      </c>
      <c r="H1986" s="35" t="s">
        <v>3415</v>
      </c>
      <c r="I1986" s="35" t="s">
        <v>3416</v>
      </c>
      <c r="J1986" s="38">
        <v>0.75476190476190474</v>
      </c>
      <c r="K1986" s="35">
        <v>4</v>
      </c>
      <c r="L1986" s="38">
        <f t="shared" ref="L1986:L2049" si="31">J1986*K1986</f>
        <v>3.019047619047619</v>
      </c>
      <c r="M1986" s="35" t="s">
        <v>11</v>
      </c>
      <c r="N1986" s="38"/>
      <c r="O1986" s="35" t="s">
        <v>12</v>
      </c>
    </row>
    <row r="1987" spans="1:15" x14ac:dyDescent="0.25">
      <c r="A1987" s="35">
        <v>1161596697</v>
      </c>
      <c r="B1987" s="35" t="s">
        <v>3412</v>
      </c>
      <c r="C1987" s="35">
        <v>2024</v>
      </c>
      <c r="D1987" s="36">
        <v>45458.326192129629</v>
      </c>
      <c r="E1987" s="37" t="s">
        <v>2243</v>
      </c>
      <c r="F1987" s="37" t="s">
        <v>5015</v>
      </c>
      <c r="G1987" s="37" t="s">
        <v>3621</v>
      </c>
      <c r="H1987" s="35" t="s">
        <v>3415</v>
      </c>
      <c r="I1987" s="35" t="s">
        <v>3416</v>
      </c>
      <c r="J1987" s="38">
        <v>0.45285714285714279</v>
      </c>
      <c r="K1987" s="35">
        <v>4</v>
      </c>
      <c r="L1987" s="38">
        <f t="shared" si="31"/>
        <v>1.8114285714285712</v>
      </c>
      <c r="M1987" s="35" t="s">
        <v>11</v>
      </c>
      <c r="N1987" s="38"/>
      <c r="O1987" s="35" t="s">
        <v>12</v>
      </c>
    </row>
    <row r="1988" spans="1:15" x14ac:dyDescent="0.25">
      <c r="A1988" s="35">
        <v>1161596697</v>
      </c>
      <c r="B1988" s="35" t="s">
        <v>3412</v>
      </c>
      <c r="C1988" s="35">
        <v>2024</v>
      </c>
      <c r="D1988" s="36">
        <v>45458.326192129629</v>
      </c>
      <c r="E1988" s="37" t="s">
        <v>2243</v>
      </c>
      <c r="F1988" s="37" t="s">
        <v>4994</v>
      </c>
      <c r="G1988" s="37" t="s">
        <v>3621</v>
      </c>
      <c r="H1988" s="35" t="s">
        <v>3415</v>
      </c>
      <c r="I1988" s="35" t="s">
        <v>3416</v>
      </c>
      <c r="J1988" s="38">
        <v>0.36480158730158729</v>
      </c>
      <c r="K1988" s="35">
        <v>4</v>
      </c>
      <c r="L1988" s="38">
        <f t="shared" si="31"/>
        <v>1.4592063492063492</v>
      </c>
      <c r="M1988" s="35" t="s">
        <v>11</v>
      </c>
      <c r="N1988" s="38"/>
      <c r="O1988" s="35" t="s">
        <v>12</v>
      </c>
    </row>
    <row r="1989" spans="1:15" x14ac:dyDescent="0.25">
      <c r="A1989" s="35">
        <v>1161596697</v>
      </c>
      <c r="B1989" s="35" t="s">
        <v>3412</v>
      </c>
      <c r="C1989" s="35">
        <v>2024</v>
      </c>
      <c r="D1989" s="36">
        <v>45458.326192129629</v>
      </c>
      <c r="E1989" s="37" t="s">
        <v>2243</v>
      </c>
      <c r="F1989" s="37" t="s">
        <v>5016</v>
      </c>
      <c r="G1989" s="37" t="s">
        <v>3621</v>
      </c>
      <c r="H1989" s="35" t="s">
        <v>3415</v>
      </c>
      <c r="I1989" s="35" t="s">
        <v>3416</v>
      </c>
      <c r="J1989" s="38">
        <v>0.18869047619047619</v>
      </c>
      <c r="K1989" s="35">
        <v>4</v>
      </c>
      <c r="L1989" s="38">
        <f t="shared" si="31"/>
        <v>0.75476190476190474</v>
      </c>
      <c r="M1989" s="35" t="s">
        <v>11</v>
      </c>
      <c r="N1989" s="38"/>
      <c r="O1989" s="35" t="s">
        <v>12</v>
      </c>
    </row>
    <row r="1990" spans="1:15" x14ac:dyDescent="0.25">
      <c r="A1990" s="35">
        <v>1161596697</v>
      </c>
      <c r="B1990" s="35" t="s">
        <v>3412</v>
      </c>
      <c r="C1990" s="35">
        <v>2024</v>
      </c>
      <c r="D1990" s="36">
        <v>45458.326192129629</v>
      </c>
      <c r="E1990" s="37" t="s">
        <v>2243</v>
      </c>
      <c r="F1990" s="37" t="s">
        <v>5017</v>
      </c>
      <c r="G1990" s="37" t="s">
        <v>3621</v>
      </c>
      <c r="H1990" s="35" t="s">
        <v>3419</v>
      </c>
      <c r="I1990" s="35" t="s">
        <v>3416</v>
      </c>
      <c r="J1990" s="38">
        <v>0.20126984126984129</v>
      </c>
      <c r="K1990" s="35">
        <v>2</v>
      </c>
      <c r="L1990" s="38">
        <f t="shared" si="31"/>
        <v>0.40253968253968259</v>
      </c>
      <c r="M1990" s="35" t="s">
        <v>11</v>
      </c>
      <c r="N1990" s="38"/>
      <c r="O1990" s="35" t="s">
        <v>12</v>
      </c>
    </row>
    <row r="1991" spans="1:15" x14ac:dyDescent="0.25">
      <c r="A1991" s="35">
        <v>1161596697</v>
      </c>
      <c r="B1991" s="35" t="s">
        <v>3412</v>
      </c>
      <c r="C1991" s="35">
        <v>2024</v>
      </c>
      <c r="D1991" s="36">
        <v>45458.326192129629</v>
      </c>
      <c r="E1991" s="37" t="s">
        <v>2243</v>
      </c>
      <c r="F1991" s="37" t="s">
        <v>5018</v>
      </c>
      <c r="G1991" s="37" t="s">
        <v>3729</v>
      </c>
      <c r="H1991" s="35" t="s">
        <v>3419</v>
      </c>
      <c r="I1991" s="35" t="s">
        <v>3416</v>
      </c>
      <c r="J1991" s="38">
        <v>0.35222222222222233</v>
      </c>
      <c r="K1991" s="35">
        <v>2</v>
      </c>
      <c r="L1991" s="38">
        <f t="shared" si="31"/>
        <v>0.70444444444444465</v>
      </c>
      <c r="M1991" s="35" t="s">
        <v>11</v>
      </c>
      <c r="N1991" s="38"/>
      <c r="O1991" s="35" t="s">
        <v>12</v>
      </c>
    </row>
    <row r="1992" spans="1:15" x14ac:dyDescent="0.25">
      <c r="A1992" s="35">
        <v>1161596697</v>
      </c>
      <c r="B1992" s="35" t="s">
        <v>3412</v>
      </c>
      <c r="C1992" s="35">
        <v>2024</v>
      </c>
      <c r="D1992" s="36">
        <v>45458.326192129629</v>
      </c>
      <c r="E1992" s="37" t="s">
        <v>2243</v>
      </c>
      <c r="F1992" s="37" t="s">
        <v>3722</v>
      </c>
      <c r="G1992" s="37" t="s">
        <v>3723</v>
      </c>
      <c r="H1992" s="35" t="s">
        <v>3419</v>
      </c>
      <c r="I1992" s="35" t="s">
        <v>3530</v>
      </c>
      <c r="J1992" s="38">
        <v>0.33964285714285708</v>
      </c>
      <c r="K1992" s="35">
        <v>1</v>
      </c>
      <c r="L1992" s="38">
        <f t="shared" si="31"/>
        <v>0.33964285714285708</v>
      </c>
      <c r="M1992" s="35" t="s">
        <v>11</v>
      </c>
      <c r="N1992" s="38"/>
      <c r="O1992" s="35" t="s">
        <v>12</v>
      </c>
    </row>
    <row r="1993" spans="1:15" x14ac:dyDescent="0.25">
      <c r="A1993" s="35">
        <v>1161346361</v>
      </c>
      <c r="B1993" s="35" t="s">
        <v>3412</v>
      </c>
      <c r="C1993" s="35">
        <v>2024</v>
      </c>
      <c r="D1993" s="36">
        <v>45456.556689814817</v>
      </c>
      <c r="E1993" s="37" t="s">
        <v>2253</v>
      </c>
      <c r="F1993" s="37" t="s">
        <v>4944</v>
      </c>
      <c r="G1993" s="37" t="s">
        <v>3621</v>
      </c>
      <c r="H1993" s="35" t="s">
        <v>3419</v>
      </c>
      <c r="I1993" s="35" t="s">
        <v>3416</v>
      </c>
      <c r="J1993" s="38">
        <v>20.734999999999999</v>
      </c>
      <c r="K1993" s="35">
        <v>2</v>
      </c>
      <c r="L1993" s="38">
        <f t="shared" si="31"/>
        <v>41.47</v>
      </c>
      <c r="M1993" s="35" t="s">
        <v>11</v>
      </c>
      <c r="N1993" s="38"/>
      <c r="O1993" s="35" t="s">
        <v>12</v>
      </c>
    </row>
    <row r="1994" spans="1:15" x14ac:dyDescent="0.25">
      <c r="A1994" s="35">
        <v>1161289000</v>
      </c>
      <c r="B1994" s="35" t="s">
        <v>3412</v>
      </c>
      <c r="C1994" s="35">
        <v>2024</v>
      </c>
      <c r="D1994" s="36">
        <v>45455.968298611107</v>
      </c>
      <c r="E1994" s="37" t="s">
        <v>2255</v>
      </c>
      <c r="F1994" s="37" t="s">
        <v>4944</v>
      </c>
      <c r="G1994" s="37" t="s">
        <v>3621</v>
      </c>
      <c r="H1994" s="35" t="s">
        <v>3419</v>
      </c>
      <c r="I1994" s="35" t="s">
        <v>3416</v>
      </c>
      <c r="J1994" s="38">
        <v>18.649999999999999</v>
      </c>
      <c r="K1994" s="35">
        <v>2</v>
      </c>
      <c r="L1994" s="38">
        <f t="shared" si="31"/>
        <v>37.299999999999997</v>
      </c>
      <c r="M1994" s="35" t="s">
        <v>11</v>
      </c>
      <c r="N1994" s="38"/>
      <c r="O1994" s="35" t="s">
        <v>12</v>
      </c>
    </row>
    <row r="1995" spans="1:15" x14ac:dyDescent="0.25">
      <c r="A1995" s="35">
        <v>1161274299</v>
      </c>
      <c r="B1995" s="35" t="s">
        <v>3412</v>
      </c>
      <c r="C1995" s="35">
        <v>2024</v>
      </c>
      <c r="D1995" s="36">
        <v>45455.88652777778</v>
      </c>
      <c r="E1995" s="37" t="s">
        <v>242</v>
      </c>
      <c r="F1995" s="37" t="s">
        <v>5020</v>
      </c>
      <c r="G1995" s="37" t="s">
        <v>4024</v>
      </c>
      <c r="H1995" s="35" t="s">
        <v>3419</v>
      </c>
      <c r="I1995" s="35" t="s">
        <v>3530</v>
      </c>
      <c r="J1995" s="38">
        <v>0.97</v>
      </c>
      <c r="K1995" s="35">
        <v>2</v>
      </c>
      <c r="L1995" s="38">
        <f t="shared" si="31"/>
        <v>1.94</v>
      </c>
      <c r="M1995" s="35" t="s">
        <v>11</v>
      </c>
      <c r="N1995" s="38"/>
      <c r="O1995" s="35" t="s">
        <v>12</v>
      </c>
    </row>
    <row r="1996" spans="1:15" x14ac:dyDescent="0.25">
      <c r="A1996" s="35">
        <v>1161245596</v>
      </c>
      <c r="B1996" s="35" t="s">
        <v>3412</v>
      </c>
      <c r="C1996" s="35">
        <v>2024</v>
      </c>
      <c r="D1996" s="36">
        <v>45455.873437499999</v>
      </c>
      <c r="E1996" s="37" t="s">
        <v>237</v>
      </c>
      <c r="F1996" s="37" t="s">
        <v>5021</v>
      </c>
      <c r="G1996" s="37" t="s">
        <v>3621</v>
      </c>
      <c r="H1996" s="35" t="s">
        <v>3415</v>
      </c>
      <c r="I1996" s="35" t="s">
        <v>3416</v>
      </c>
      <c r="J1996" s="38">
        <v>1.9635</v>
      </c>
      <c r="K1996" s="35">
        <v>4</v>
      </c>
      <c r="L1996" s="38">
        <f t="shared" si="31"/>
        <v>7.8540000000000001</v>
      </c>
      <c r="M1996" s="35" t="s">
        <v>11</v>
      </c>
      <c r="N1996" s="38"/>
      <c r="O1996" s="35" t="s">
        <v>12</v>
      </c>
    </row>
    <row r="1997" spans="1:15" x14ac:dyDescent="0.25">
      <c r="A1997" s="35">
        <v>1161245596</v>
      </c>
      <c r="B1997" s="35" t="s">
        <v>3412</v>
      </c>
      <c r="C1997" s="35">
        <v>2024</v>
      </c>
      <c r="D1997" s="36">
        <v>45455.873437499999</v>
      </c>
      <c r="E1997" s="37" t="s">
        <v>237</v>
      </c>
      <c r="F1997" s="37" t="s">
        <v>5022</v>
      </c>
      <c r="G1997" s="37" t="s">
        <v>3621</v>
      </c>
      <c r="H1997" s="35" t="s">
        <v>3415</v>
      </c>
      <c r="I1997" s="35" t="s">
        <v>3416</v>
      </c>
      <c r="J1997" s="38">
        <v>0.50490000000000002</v>
      </c>
      <c r="K1997" s="35">
        <v>4</v>
      </c>
      <c r="L1997" s="38">
        <f t="shared" si="31"/>
        <v>2.0196000000000001</v>
      </c>
      <c r="M1997" s="35" t="s">
        <v>11</v>
      </c>
      <c r="N1997" s="38"/>
      <c r="O1997" s="35" t="s">
        <v>12</v>
      </c>
    </row>
    <row r="1998" spans="1:15" x14ac:dyDescent="0.25">
      <c r="A1998" s="35">
        <v>1161245596</v>
      </c>
      <c r="B1998" s="35" t="s">
        <v>3412</v>
      </c>
      <c r="C1998" s="35">
        <v>2024</v>
      </c>
      <c r="D1998" s="36">
        <v>45455.873437499999</v>
      </c>
      <c r="E1998" s="37" t="s">
        <v>237</v>
      </c>
      <c r="F1998" s="37" t="s">
        <v>5023</v>
      </c>
      <c r="G1998" s="37" t="s">
        <v>3621</v>
      </c>
      <c r="H1998" s="35" t="s">
        <v>3419</v>
      </c>
      <c r="I1998" s="35" t="s">
        <v>3416</v>
      </c>
      <c r="J1998" s="38">
        <v>0.67320000000000002</v>
      </c>
      <c r="K1998" s="35">
        <v>2</v>
      </c>
      <c r="L1998" s="38">
        <f t="shared" si="31"/>
        <v>1.3464</v>
      </c>
      <c r="M1998" s="35" t="s">
        <v>11</v>
      </c>
      <c r="N1998" s="38"/>
      <c r="O1998" s="35" t="s">
        <v>12</v>
      </c>
    </row>
    <row r="1999" spans="1:15" x14ac:dyDescent="0.25">
      <c r="A1999" s="35">
        <v>1161228140</v>
      </c>
      <c r="B1999" s="35" t="s">
        <v>3412</v>
      </c>
      <c r="C1999" s="35">
        <v>2024</v>
      </c>
      <c r="D1999" s="36">
        <v>45455.693715277783</v>
      </c>
      <c r="E1999" s="37" t="s">
        <v>414</v>
      </c>
      <c r="F1999" s="37" t="s">
        <v>5024</v>
      </c>
      <c r="G1999" s="37" t="s">
        <v>3662</v>
      </c>
      <c r="H1999" s="35" t="s">
        <v>3415</v>
      </c>
      <c r="I1999" s="35" t="s">
        <v>3416</v>
      </c>
      <c r="J1999" s="38">
        <v>0.16583044982698961</v>
      </c>
      <c r="K1999" s="35">
        <v>4</v>
      </c>
      <c r="L1999" s="38">
        <f t="shared" si="31"/>
        <v>0.66332179930795843</v>
      </c>
      <c r="M1999" s="35" t="s">
        <v>11</v>
      </c>
      <c r="N1999" s="38"/>
      <c r="O1999" s="35" t="s">
        <v>12</v>
      </c>
    </row>
    <row r="2000" spans="1:15" x14ac:dyDescent="0.25">
      <c r="A2000" s="35">
        <v>1161228140</v>
      </c>
      <c r="B2000" s="35" t="s">
        <v>3412</v>
      </c>
      <c r="C2000" s="35">
        <v>2024</v>
      </c>
      <c r="D2000" s="36">
        <v>45455.693715277783</v>
      </c>
      <c r="E2000" s="37" t="s">
        <v>414</v>
      </c>
      <c r="F2000" s="37" t="s">
        <v>5025</v>
      </c>
      <c r="G2000" s="37" t="s">
        <v>3865</v>
      </c>
      <c r="H2000" s="35" t="s">
        <v>3415</v>
      </c>
      <c r="I2000" s="35" t="s">
        <v>3416</v>
      </c>
      <c r="J2000" s="38">
        <v>2.2000173010380619</v>
      </c>
      <c r="K2000" s="35">
        <v>4</v>
      </c>
      <c r="L2000" s="38">
        <f t="shared" si="31"/>
        <v>8.8000692041522477</v>
      </c>
      <c r="M2000" s="35" t="s">
        <v>11</v>
      </c>
      <c r="N2000" s="38"/>
      <c r="O2000" s="35" t="s">
        <v>12</v>
      </c>
    </row>
    <row r="2001" spans="1:15" x14ac:dyDescent="0.25">
      <c r="A2001" s="35">
        <v>1161228140</v>
      </c>
      <c r="B2001" s="35" t="s">
        <v>3412</v>
      </c>
      <c r="C2001" s="35">
        <v>2024</v>
      </c>
      <c r="D2001" s="36">
        <v>45455.693715277783</v>
      </c>
      <c r="E2001" s="37" t="s">
        <v>414</v>
      </c>
      <c r="F2001" s="37" t="s">
        <v>5026</v>
      </c>
      <c r="G2001" s="37" t="s">
        <v>4927</v>
      </c>
      <c r="H2001" s="35" t="s">
        <v>3415</v>
      </c>
      <c r="I2001" s="35" t="s">
        <v>3530</v>
      </c>
      <c r="J2001" s="38">
        <v>0.82915224913494812</v>
      </c>
      <c r="K2001" s="35">
        <v>4</v>
      </c>
      <c r="L2001" s="38">
        <f t="shared" si="31"/>
        <v>3.3166089965397925</v>
      </c>
      <c r="M2001" s="35" t="s">
        <v>11</v>
      </c>
      <c r="N2001" s="38"/>
      <c r="O2001" s="35" t="s">
        <v>12</v>
      </c>
    </row>
    <row r="2002" spans="1:15" x14ac:dyDescent="0.25">
      <c r="A2002" s="35">
        <v>1161221042</v>
      </c>
      <c r="B2002" s="35" t="s">
        <v>3412</v>
      </c>
      <c r="C2002" s="35">
        <v>2024</v>
      </c>
      <c r="D2002" s="36">
        <v>45455.65216435185</v>
      </c>
      <c r="E2002" s="37" t="s">
        <v>414</v>
      </c>
      <c r="F2002" s="37" t="s">
        <v>4616</v>
      </c>
      <c r="G2002" s="37" t="s">
        <v>3674</v>
      </c>
      <c r="H2002" s="35" t="s">
        <v>3419</v>
      </c>
      <c r="I2002" s="35" t="s">
        <v>4617</v>
      </c>
      <c r="J2002" s="38">
        <v>12.21</v>
      </c>
      <c r="K2002" s="35">
        <v>1</v>
      </c>
      <c r="L2002" s="38">
        <f t="shared" si="31"/>
        <v>12.21</v>
      </c>
      <c r="M2002" s="35" t="s">
        <v>11</v>
      </c>
      <c r="N2002" s="38"/>
      <c r="O2002" s="35" t="s">
        <v>12</v>
      </c>
    </row>
    <row r="2003" spans="1:15" x14ac:dyDescent="0.25">
      <c r="A2003" s="35">
        <v>1161161813</v>
      </c>
      <c r="B2003" s="35" t="s">
        <v>3412</v>
      </c>
      <c r="C2003" s="35">
        <v>2024</v>
      </c>
      <c r="D2003" s="36">
        <v>45455.376215277778</v>
      </c>
      <c r="E2003" s="37" t="s">
        <v>8</v>
      </c>
      <c r="F2003" s="37" t="s">
        <v>4957</v>
      </c>
      <c r="G2003" s="37" t="s">
        <v>3621</v>
      </c>
      <c r="H2003" s="35" t="s">
        <v>3415</v>
      </c>
      <c r="I2003" s="35" t="s">
        <v>3416</v>
      </c>
      <c r="J2003" s="38">
        <v>41.9</v>
      </c>
      <c r="K2003" s="35">
        <v>4</v>
      </c>
      <c r="L2003" s="38">
        <f t="shared" si="31"/>
        <v>167.6</v>
      </c>
      <c r="M2003" s="42" t="s">
        <v>11</v>
      </c>
      <c r="N2003" s="38"/>
      <c r="O2003" s="35" t="s">
        <v>12</v>
      </c>
    </row>
    <row r="2004" spans="1:15" x14ac:dyDescent="0.25">
      <c r="A2004" s="35">
        <v>1161161813</v>
      </c>
      <c r="B2004" s="35" t="s">
        <v>3412</v>
      </c>
      <c r="C2004" s="35">
        <v>2024</v>
      </c>
      <c r="D2004" s="36">
        <v>45455.376215277778</v>
      </c>
      <c r="E2004" s="37" t="s">
        <v>8</v>
      </c>
      <c r="F2004" s="37" t="s">
        <v>4787</v>
      </c>
      <c r="G2004" s="37" t="s">
        <v>3621</v>
      </c>
      <c r="H2004" s="35" t="s">
        <v>3415</v>
      </c>
      <c r="I2004" s="35" t="s">
        <v>3416</v>
      </c>
      <c r="J2004" s="38">
        <v>5</v>
      </c>
      <c r="K2004" s="35">
        <v>4</v>
      </c>
      <c r="L2004" s="38">
        <f t="shared" si="31"/>
        <v>20</v>
      </c>
      <c r="M2004" s="42" t="s">
        <v>11</v>
      </c>
      <c r="N2004" s="38"/>
      <c r="O2004" s="35" t="s">
        <v>12</v>
      </c>
    </row>
    <row r="2005" spans="1:15" x14ac:dyDescent="0.25">
      <c r="A2005" s="35">
        <v>1161156796</v>
      </c>
      <c r="B2005" s="35" t="s">
        <v>3412</v>
      </c>
      <c r="C2005" s="35">
        <v>2024</v>
      </c>
      <c r="D2005" s="36">
        <v>45455.338935185187</v>
      </c>
      <c r="E2005" s="37" t="s">
        <v>303</v>
      </c>
      <c r="F2005" s="37" t="s">
        <v>5027</v>
      </c>
      <c r="G2005" s="37" t="s">
        <v>3455</v>
      </c>
      <c r="H2005" s="35" t="s">
        <v>3415</v>
      </c>
      <c r="I2005" s="35" t="s">
        <v>3416</v>
      </c>
      <c r="J2005" s="38">
        <v>4.4049999999999994</v>
      </c>
      <c r="K2005" s="35">
        <v>4</v>
      </c>
      <c r="L2005" s="38">
        <f t="shared" si="31"/>
        <v>17.619999999999997</v>
      </c>
      <c r="M2005" s="35" t="s">
        <v>11</v>
      </c>
      <c r="N2005" s="38"/>
      <c r="O2005" s="35" t="s">
        <v>12</v>
      </c>
    </row>
    <row r="2006" spans="1:15" x14ac:dyDescent="0.25">
      <c r="A2006" s="35">
        <v>1161091922</v>
      </c>
      <c r="B2006" s="35" t="s">
        <v>3412</v>
      </c>
      <c r="C2006" s="35">
        <v>2024</v>
      </c>
      <c r="D2006" s="36">
        <v>45454.803807870368</v>
      </c>
      <c r="E2006" s="37" t="s">
        <v>501</v>
      </c>
      <c r="F2006" s="37" t="s">
        <v>5028</v>
      </c>
      <c r="G2006" s="37" t="s">
        <v>3662</v>
      </c>
      <c r="H2006" s="35" t="s">
        <v>3419</v>
      </c>
      <c r="I2006" s="35" t="s">
        <v>3416</v>
      </c>
      <c r="J2006" s="38">
        <v>17.22</v>
      </c>
      <c r="K2006" s="35">
        <v>1</v>
      </c>
      <c r="L2006" s="38">
        <f t="shared" si="31"/>
        <v>17.22</v>
      </c>
      <c r="M2006" s="35" t="s">
        <v>11</v>
      </c>
      <c r="N2006" s="38"/>
      <c r="O2006" s="35" t="s">
        <v>12</v>
      </c>
    </row>
    <row r="2007" spans="1:15" x14ac:dyDescent="0.25">
      <c r="A2007" s="35">
        <v>1160991440</v>
      </c>
      <c r="B2007" s="35" t="s">
        <v>3412</v>
      </c>
      <c r="C2007" s="35">
        <v>2024</v>
      </c>
      <c r="D2007" s="36">
        <v>45454.335046296299</v>
      </c>
      <c r="E2007" s="37" t="s">
        <v>294</v>
      </c>
      <c r="F2007" s="37" t="s">
        <v>4136</v>
      </c>
      <c r="G2007" s="37" t="s">
        <v>3621</v>
      </c>
      <c r="H2007" s="35" t="s">
        <v>3415</v>
      </c>
      <c r="I2007" s="35" t="s">
        <v>3416</v>
      </c>
      <c r="J2007" s="38">
        <v>0.1518325092707046</v>
      </c>
      <c r="K2007" s="35">
        <v>4</v>
      </c>
      <c r="L2007" s="38">
        <f t="shared" si="31"/>
        <v>0.60733003708281841</v>
      </c>
      <c r="M2007" s="35" t="s">
        <v>11</v>
      </c>
      <c r="N2007" s="38"/>
      <c r="O2007" s="35" t="s">
        <v>12</v>
      </c>
    </row>
    <row r="2008" spans="1:15" x14ac:dyDescent="0.25">
      <c r="A2008" s="35">
        <v>1160991440</v>
      </c>
      <c r="B2008" s="35" t="s">
        <v>3412</v>
      </c>
      <c r="C2008" s="35">
        <v>2024</v>
      </c>
      <c r="D2008" s="36">
        <v>45454.335046296299</v>
      </c>
      <c r="E2008" s="37" t="s">
        <v>294</v>
      </c>
      <c r="F2008" s="37" t="s">
        <v>5029</v>
      </c>
      <c r="G2008" s="37" t="s">
        <v>3729</v>
      </c>
      <c r="H2008" s="35" t="s">
        <v>3415</v>
      </c>
      <c r="I2008" s="35" t="s">
        <v>3416</v>
      </c>
      <c r="J2008" s="38">
        <v>0.26028430160692212</v>
      </c>
      <c r="K2008" s="35">
        <v>4</v>
      </c>
      <c r="L2008" s="38">
        <f t="shared" si="31"/>
        <v>1.0411372064276885</v>
      </c>
      <c r="M2008" s="35" t="s">
        <v>11</v>
      </c>
      <c r="N2008" s="38"/>
      <c r="O2008" s="35" t="s">
        <v>12</v>
      </c>
    </row>
    <row r="2009" spans="1:15" x14ac:dyDescent="0.25">
      <c r="A2009" s="35">
        <v>1160991440</v>
      </c>
      <c r="B2009" s="35" t="s">
        <v>3412</v>
      </c>
      <c r="C2009" s="35">
        <v>2024</v>
      </c>
      <c r="D2009" s="36">
        <v>45454.335046296299</v>
      </c>
      <c r="E2009" s="37" t="s">
        <v>294</v>
      </c>
      <c r="F2009" s="37" t="s">
        <v>3965</v>
      </c>
      <c r="G2009" s="37" t="s">
        <v>3621</v>
      </c>
      <c r="H2009" s="35" t="s">
        <v>3415</v>
      </c>
      <c r="I2009" s="35" t="s">
        <v>3416</v>
      </c>
      <c r="J2009" s="38">
        <v>17.135383189122379</v>
      </c>
      <c r="K2009" s="35">
        <v>4</v>
      </c>
      <c r="L2009" s="38">
        <f t="shared" si="31"/>
        <v>68.541532756489516</v>
      </c>
      <c r="M2009" s="35" t="s">
        <v>11</v>
      </c>
      <c r="N2009" s="38"/>
      <c r="O2009" s="35" t="s">
        <v>12</v>
      </c>
    </row>
    <row r="2010" spans="1:15" x14ac:dyDescent="0.25">
      <c r="A2010" s="35">
        <v>1160989782</v>
      </c>
      <c r="B2010" s="35" t="s">
        <v>3412</v>
      </c>
      <c r="C2010" s="35">
        <v>2024</v>
      </c>
      <c r="D2010" s="36">
        <v>45454.320567129631</v>
      </c>
      <c r="E2010" s="37" t="s">
        <v>8</v>
      </c>
      <c r="F2010" s="37" t="s">
        <v>5030</v>
      </c>
      <c r="G2010" s="37" t="s">
        <v>3455</v>
      </c>
      <c r="H2010" s="35" t="s">
        <v>3419</v>
      </c>
      <c r="I2010" s="35" t="s">
        <v>3416</v>
      </c>
      <c r="J2010" s="38">
        <v>4.25</v>
      </c>
      <c r="K2010" s="35">
        <v>2</v>
      </c>
      <c r="L2010" s="38">
        <f t="shared" si="31"/>
        <v>8.5</v>
      </c>
      <c r="M2010" s="42" t="s">
        <v>11</v>
      </c>
      <c r="N2010" s="38"/>
      <c r="O2010" s="35" t="s">
        <v>12</v>
      </c>
    </row>
    <row r="2011" spans="1:15" x14ac:dyDescent="0.25">
      <c r="A2011" s="35">
        <v>1160988571</v>
      </c>
      <c r="B2011" s="35" t="s">
        <v>3412</v>
      </c>
      <c r="C2011" s="35">
        <v>2024</v>
      </c>
      <c r="D2011" s="36">
        <v>45454.312210648153</v>
      </c>
      <c r="E2011" s="37" t="s">
        <v>181</v>
      </c>
      <c r="F2011" s="37" t="s">
        <v>5031</v>
      </c>
      <c r="G2011" s="37" t="s">
        <v>3455</v>
      </c>
      <c r="H2011" s="35" t="s">
        <v>3415</v>
      </c>
      <c r="I2011" s="35" t="s">
        <v>3416</v>
      </c>
      <c r="J2011" s="38">
        <v>3.7850000000000001</v>
      </c>
      <c r="K2011" s="35">
        <v>4</v>
      </c>
      <c r="L2011" s="38">
        <f t="shared" si="31"/>
        <v>15.14</v>
      </c>
      <c r="M2011" s="35" t="s">
        <v>11</v>
      </c>
      <c r="N2011" s="38"/>
      <c r="O2011" s="35" t="s">
        <v>12</v>
      </c>
    </row>
    <row r="2012" spans="1:15" x14ac:dyDescent="0.25">
      <c r="A2012" s="35">
        <v>1160988456</v>
      </c>
      <c r="B2012" s="35" t="s">
        <v>3412</v>
      </c>
      <c r="C2012" s="35">
        <v>2024</v>
      </c>
      <c r="D2012" s="36">
        <v>45454.312210648153</v>
      </c>
      <c r="E2012" s="37" t="s">
        <v>242</v>
      </c>
      <c r="F2012" s="37" t="s">
        <v>4944</v>
      </c>
      <c r="G2012" s="37" t="s">
        <v>3621</v>
      </c>
      <c r="H2012" s="35" t="s">
        <v>3419</v>
      </c>
      <c r="I2012" s="35" t="s">
        <v>3416</v>
      </c>
      <c r="J2012" s="38">
        <v>12.61</v>
      </c>
      <c r="K2012" s="35">
        <v>2</v>
      </c>
      <c r="L2012" s="38">
        <f t="shared" si="31"/>
        <v>25.22</v>
      </c>
      <c r="M2012" s="35" t="s">
        <v>11</v>
      </c>
      <c r="N2012" s="38"/>
      <c r="O2012" s="35" t="s">
        <v>12</v>
      </c>
    </row>
    <row r="2013" spans="1:15" x14ac:dyDescent="0.25">
      <c r="A2013" s="35">
        <v>1160987946</v>
      </c>
      <c r="B2013" s="35" t="s">
        <v>3412</v>
      </c>
      <c r="C2013" s="35">
        <v>2024</v>
      </c>
      <c r="D2013" s="36">
        <v>45454.310497685183</v>
      </c>
      <c r="E2013" s="37" t="s">
        <v>303</v>
      </c>
      <c r="F2013" s="37" t="s">
        <v>5032</v>
      </c>
      <c r="G2013" s="37" t="s">
        <v>3621</v>
      </c>
      <c r="H2013" s="35" t="s">
        <v>3415</v>
      </c>
      <c r="I2013" s="35" t="s">
        <v>3416</v>
      </c>
      <c r="J2013" s="38">
        <v>0.47546382189239328</v>
      </c>
      <c r="K2013" s="35">
        <v>4</v>
      </c>
      <c r="L2013" s="38">
        <f t="shared" si="31"/>
        <v>1.9018552875695731</v>
      </c>
      <c r="M2013" s="35" t="s">
        <v>11</v>
      </c>
      <c r="N2013" s="38"/>
      <c r="O2013" s="35" t="s">
        <v>12</v>
      </c>
    </row>
    <row r="2014" spans="1:15" x14ac:dyDescent="0.25">
      <c r="A2014" s="35">
        <v>1160987946</v>
      </c>
      <c r="B2014" s="35" t="s">
        <v>3412</v>
      </c>
      <c r="C2014" s="35">
        <v>2024</v>
      </c>
      <c r="D2014" s="36">
        <v>45454.310497685183</v>
      </c>
      <c r="E2014" s="37" t="s">
        <v>303</v>
      </c>
      <c r="F2014" s="37" t="s">
        <v>4609</v>
      </c>
      <c r="G2014" s="37" t="s">
        <v>3621</v>
      </c>
      <c r="H2014" s="35" t="s">
        <v>3415</v>
      </c>
      <c r="I2014" s="35" t="s">
        <v>3416</v>
      </c>
      <c r="J2014" s="38">
        <v>5.2195361781076066</v>
      </c>
      <c r="K2014" s="35">
        <v>4</v>
      </c>
      <c r="L2014" s="38">
        <f t="shared" si="31"/>
        <v>20.878144712430426</v>
      </c>
      <c r="M2014" s="35" t="s">
        <v>11</v>
      </c>
      <c r="N2014" s="38"/>
      <c r="O2014" s="35" t="s">
        <v>12</v>
      </c>
    </row>
    <row r="2015" spans="1:15" ht="30" x14ac:dyDescent="0.25">
      <c r="A2015" s="35">
        <v>1160979596</v>
      </c>
      <c r="B2015" s="35" t="s">
        <v>3412</v>
      </c>
      <c r="C2015" s="35">
        <v>2024</v>
      </c>
      <c r="D2015" s="36">
        <v>45454.229004629633</v>
      </c>
      <c r="E2015" s="37" t="s">
        <v>181</v>
      </c>
      <c r="F2015" s="37" t="s">
        <v>5033</v>
      </c>
      <c r="G2015" s="37" t="s">
        <v>3710</v>
      </c>
      <c r="H2015" s="35" t="s">
        <v>3415</v>
      </c>
      <c r="I2015" s="35" t="s">
        <v>3416</v>
      </c>
      <c r="J2015" s="38">
        <v>14.1425</v>
      </c>
      <c r="K2015" s="35">
        <v>4</v>
      </c>
      <c r="L2015" s="38">
        <f t="shared" si="31"/>
        <v>56.57</v>
      </c>
      <c r="M2015" s="35" t="s">
        <v>11</v>
      </c>
      <c r="N2015" s="38"/>
      <c r="O2015" s="35" t="s">
        <v>12</v>
      </c>
    </row>
    <row r="2016" spans="1:15" x14ac:dyDescent="0.25">
      <c r="A2016" s="35">
        <v>1160823851</v>
      </c>
      <c r="B2016" s="35" t="s">
        <v>3412</v>
      </c>
      <c r="C2016" s="35">
        <v>2024</v>
      </c>
      <c r="D2016" s="36">
        <v>45453.337627314817</v>
      </c>
      <c r="E2016" s="37" t="s">
        <v>237</v>
      </c>
      <c r="F2016" s="37" t="s">
        <v>5034</v>
      </c>
      <c r="G2016" s="37" t="s">
        <v>3621</v>
      </c>
      <c r="H2016" s="35" t="s">
        <v>3415</v>
      </c>
      <c r="I2016" s="35" t="s">
        <v>3416</v>
      </c>
      <c r="J2016" s="38">
        <v>4.8687737642585551</v>
      </c>
      <c r="K2016" s="35">
        <v>4</v>
      </c>
      <c r="L2016" s="38">
        <f t="shared" si="31"/>
        <v>19.475095057034221</v>
      </c>
      <c r="M2016" s="35" t="s">
        <v>11</v>
      </c>
      <c r="N2016" s="38"/>
      <c r="O2016" s="35" t="s">
        <v>12</v>
      </c>
    </row>
    <row r="2017" spans="1:15" x14ac:dyDescent="0.25">
      <c r="A2017" s="35">
        <v>1160823851</v>
      </c>
      <c r="B2017" s="35" t="s">
        <v>3412</v>
      </c>
      <c r="C2017" s="35">
        <v>2024</v>
      </c>
      <c r="D2017" s="36">
        <v>45453.337627314817</v>
      </c>
      <c r="E2017" s="37" t="s">
        <v>237</v>
      </c>
      <c r="F2017" s="37" t="s">
        <v>5035</v>
      </c>
      <c r="G2017" s="37" t="s">
        <v>3621</v>
      </c>
      <c r="H2017" s="35" t="s">
        <v>3415</v>
      </c>
      <c r="I2017" s="35" t="s">
        <v>3416</v>
      </c>
      <c r="J2017" s="38">
        <v>6.5099334600760459</v>
      </c>
      <c r="K2017" s="35">
        <v>4</v>
      </c>
      <c r="L2017" s="38">
        <f t="shared" si="31"/>
        <v>26.039733840304184</v>
      </c>
      <c r="M2017" s="35" t="s">
        <v>11</v>
      </c>
      <c r="N2017" s="38"/>
      <c r="O2017" s="35" t="s">
        <v>12</v>
      </c>
    </row>
    <row r="2018" spans="1:15" x14ac:dyDescent="0.25">
      <c r="A2018" s="35">
        <v>1160823851</v>
      </c>
      <c r="B2018" s="35" t="s">
        <v>3412</v>
      </c>
      <c r="C2018" s="35">
        <v>2024</v>
      </c>
      <c r="D2018" s="36">
        <v>45453.337627314817</v>
      </c>
      <c r="E2018" s="37" t="s">
        <v>237</v>
      </c>
      <c r="F2018" s="37" t="s">
        <v>5036</v>
      </c>
      <c r="G2018" s="37" t="s">
        <v>3621</v>
      </c>
      <c r="H2018" s="35" t="s">
        <v>3419</v>
      </c>
      <c r="I2018" s="35" t="s">
        <v>3416</v>
      </c>
      <c r="J2018" s="38">
        <v>0.65646387832699615</v>
      </c>
      <c r="K2018" s="35">
        <v>2</v>
      </c>
      <c r="L2018" s="38">
        <f t="shared" si="31"/>
        <v>1.3129277566539923</v>
      </c>
      <c r="M2018" s="35" t="s">
        <v>11</v>
      </c>
      <c r="N2018" s="38"/>
      <c r="O2018" s="35" t="s">
        <v>12</v>
      </c>
    </row>
    <row r="2019" spans="1:15" x14ac:dyDescent="0.25">
      <c r="A2019" s="35">
        <v>1160823851</v>
      </c>
      <c r="B2019" s="35" t="s">
        <v>3412</v>
      </c>
      <c r="C2019" s="35">
        <v>2024</v>
      </c>
      <c r="D2019" s="36">
        <v>45453.337627314817</v>
      </c>
      <c r="E2019" s="37" t="s">
        <v>237</v>
      </c>
      <c r="F2019" s="37" t="s">
        <v>5037</v>
      </c>
      <c r="G2019" s="37" t="s">
        <v>3621</v>
      </c>
      <c r="H2019" s="35" t="s">
        <v>3419</v>
      </c>
      <c r="I2019" s="35" t="s">
        <v>3416</v>
      </c>
      <c r="J2019" s="38">
        <v>1.3676330798479091</v>
      </c>
      <c r="K2019" s="35">
        <v>2</v>
      </c>
      <c r="L2019" s="38">
        <f t="shared" si="31"/>
        <v>2.7352661596958181</v>
      </c>
      <c r="M2019" s="35" t="s">
        <v>11</v>
      </c>
      <c r="N2019" s="38"/>
      <c r="O2019" s="35" t="s">
        <v>12</v>
      </c>
    </row>
    <row r="2020" spans="1:15" x14ac:dyDescent="0.25">
      <c r="A2020" s="35">
        <v>1160823851</v>
      </c>
      <c r="B2020" s="35" t="s">
        <v>3412</v>
      </c>
      <c r="C2020" s="35">
        <v>2024</v>
      </c>
      <c r="D2020" s="36">
        <v>45453.337627314817</v>
      </c>
      <c r="E2020" s="37" t="s">
        <v>237</v>
      </c>
      <c r="F2020" s="37" t="s">
        <v>4688</v>
      </c>
      <c r="G2020" s="37" t="s">
        <v>3621</v>
      </c>
      <c r="H2020" s="35" t="s">
        <v>3419</v>
      </c>
      <c r="I2020" s="35" t="s">
        <v>3416</v>
      </c>
      <c r="J2020" s="38">
        <v>2.6805608365019009</v>
      </c>
      <c r="K2020" s="35">
        <v>2</v>
      </c>
      <c r="L2020" s="38">
        <f t="shared" si="31"/>
        <v>5.3611216730038018</v>
      </c>
      <c r="M2020" s="35" t="s">
        <v>11</v>
      </c>
      <c r="N2020" s="38"/>
      <c r="O2020" s="35" t="s">
        <v>12</v>
      </c>
    </row>
    <row r="2021" spans="1:15" x14ac:dyDescent="0.25">
      <c r="A2021" s="35">
        <v>1160823851</v>
      </c>
      <c r="B2021" s="35" t="s">
        <v>3412</v>
      </c>
      <c r="C2021" s="35">
        <v>2024</v>
      </c>
      <c r="D2021" s="36">
        <v>45453.337627314817</v>
      </c>
      <c r="E2021" s="37" t="s">
        <v>237</v>
      </c>
      <c r="F2021" s="37" t="s">
        <v>5038</v>
      </c>
      <c r="G2021" s="37" t="s">
        <v>3621</v>
      </c>
      <c r="H2021" s="35" t="s">
        <v>3415</v>
      </c>
      <c r="I2021" s="35" t="s">
        <v>3416</v>
      </c>
      <c r="J2021" s="38">
        <v>0.27352661596958172</v>
      </c>
      <c r="K2021" s="35">
        <v>4</v>
      </c>
      <c r="L2021" s="38">
        <f t="shared" si="31"/>
        <v>1.0941064638783269</v>
      </c>
      <c r="M2021" s="35" t="s">
        <v>11</v>
      </c>
      <c r="N2021" s="38"/>
      <c r="O2021" s="35" t="s">
        <v>12</v>
      </c>
    </row>
    <row r="2022" spans="1:15" x14ac:dyDescent="0.25">
      <c r="A2022" s="35">
        <v>1160823851</v>
      </c>
      <c r="B2022" s="35" t="s">
        <v>3412</v>
      </c>
      <c r="C2022" s="35">
        <v>2024</v>
      </c>
      <c r="D2022" s="36">
        <v>45453.337627314817</v>
      </c>
      <c r="E2022" s="37" t="s">
        <v>237</v>
      </c>
      <c r="F2022" s="37" t="s">
        <v>5039</v>
      </c>
      <c r="G2022" s="37" t="s">
        <v>3621</v>
      </c>
      <c r="H2022" s="35" t="s">
        <v>3415</v>
      </c>
      <c r="I2022" s="35" t="s">
        <v>3416</v>
      </c>
      <c r="J2022" s="38">
        <v>0.38293726235741438</v>
      </c>
      <c r="K2022" s="35">
        <v>4</v>
      </c>
      <c r="L2022" s="38">
        <f t="shared" si="31"/>
        <v>1.5317490494296575</v>
      </c>
      <c r="M2022" s="35" t="s">
        <v>11</v>
      </c>
      <c r="N2022" s="38"/>
      <c r="O2022" s="35" t="s">
        <v>12</v>
      </c>
    </row>
    <row r="2023" spans="1:15" x14ac:dyDescent="0.25">
      <c r="A2023" s="35">
        <v>1160762405</v>
      </c>
      <c r="B2023" s="35" t="s">
        <v>3412</v>
      </c>
      <c r="C2023" s="35">
        <v>2024</v>
      </c>
      <c r="D2023" s="36">
        <v>45452.793113425927</v>
      </c>
      <c r="E2023" s="37" t="s">
        <v>1151</v>
      </c>
      <c r="F2023" s="37" t="s">
        <v>5041</v>
      </c>
      <c r="G2023" s="37" t="s">
        <v>3621</v>
      </c>
      <c r="H2023" s="35" t="s">
        <v>3419</v>
      </c>
      <c r="I2023" s="35" t="s">
        <v>3416</v>
      </c>
      <c r="J2023" s="38">
        <v>7.1000000000000014</v>
      </c>
      <c r="K2023" s="35">
        <v>2</v>
      </c>
      <c r="L2023" s="38">
        <f t="shared" si="31"/>
        <v>14.200000000000003</v>
      </c>
      <c r="M2023" s="35" t="s">
        <v>11</v>
      </c>
      <c r="N2023" s="38"/>
      <c r="O2023" s="35" t="s">
        <v>12</v>
      </c>
    </row>
    <row r="2024" spans="1:15" x14ac:dyDescent="0.25">
      <c r="A2024" s="35">
        <v>1160761957</v>
      </c>
      <c r="B2024" s="35" t="s">
        <v>3412</v>
      </c>
      <c r="C2024" s="35">
        <v>2024</v>
      </c>
      <c r="D2024" s="36">
        <v>45452.793113425927</v>
      </c>
      <c r="E2024" s="37" t="s">
        <v>1503</v>
      </c>
      <c r="F2024" s="37" t="s">
        <v>3641</v>
      </c>
      <c r="G2024" s="37" t="s">
        <v>3621</v>
      </c>
      <c r="H2024" s="35" t="s">
        <v>3415</v>
      </c>
      <c r="I2024" s="35" t="s">
        <v>3416</v>
      </c>
      <c r="J2024" s="38">
        <v>5.8049999999999997</v>
      </c>
      <c r="K2024" s="35">
        <v>4</v>
      </c>
      <c r="L2024" s="38">
        <f t="shared" si="31"/>
        <v>23.22</v>
      </c>
      <c r="M2024" s="35" t="s">
        <v>11</v>
      </c>
      <c r="N2024" s="38"/>
      <c r="O2024" s="35" t="s">
        <v>12</v>
      </c>
    </row>
    <row r="2025" spans="1:15" x14ac:dyDescent="0.25">
      <c r="A2025" s="35">
        <v>1160747266</v>
      </c>
      <c r="B2025" s="35" t="s">
        <v>3412</v>
      </c>
      <c r="C2025" s="35">
        <v>2024</v>
      </c>
      <c r="D2025" s="36">
        <v>45452.730266203696</v>
      </c>
      <c r="E2025" s="37" t="s">
        <v>2277</v>
      </c>
      <c r="F2025" s="37" t="s">
        <v>5042</v>
      </c>
      <c r="G2025" s="37" t="s">
        <v>3621</v>
      </c>
      <c r="H2025" s="35" t="s">
        <v>3419</v>
      </c>
      <c r="I2025" s="35" t="s">
        <v>3416</v>
      </c>
      <c r="J2025" s="38">
        <v>8.17</v>
      </c>
      <c r="K2025" s="35">
        <v>1</v>
      </c>
      <c r="L2025" s="38">
        <f t="shared" si="31"/>
        <v>8.17</v>
      </c>
      <c r="M2025" s="35" t="s">
        <v>11</v>
      </c>
      <c r="N2025" s="38"/>
      <c r="O2025" s="35" t="s">
        <v>12</v>
      </c>
    </row>
    <row r="2026" spans="1:15" x14ac:dyDescent="0.25">
      <c r="A2026" s="35">
        <v>1160744986</v>
      </c>
      <c r="B2026" s="35" t="s">
        <v>3412</v>
      </c>
      <c r="C2026" s="35">
        <v>2024</v>
      </c>
      <c r="D2026" s="36">
        <v>45452.730266203696</v>
      </c>
      <c r="E2026" s="37" t="s">
        <v>237</v>
      </c>
      <c r="F2026" s="37" t="s">
        <v>5042</v>
      </c>
      <c r="G2026" s="37" t="s">
        <v>3621</v>
      </c>
      <c r="H2026" s="35" t="s">
        <v>3419</v>
      </c>
      <c r="I2026" s="35" t="s">
        <v>3416</v>
      </c>
      <c r="J2026" s="38">
        <v>8.8948379351740705</v>
      </c>
      <c r="K2026" s="35">
        <v>3</v>
      </c>
      <c r="L2026" s="38">
        <f t="shared" si="31"/>
        <v>26.684513805522212</v>
      </c>
      <c r="M2026" s="35" t="s">
        <v>11</v>
      </c>
      <c r="N2026" s="38"/>
      <c r="O2026" s="35" t="s">
        <v>12</v>
      </c>
    </row>
    <row r="2027" spans="1:15" x14ac:dyDescent="0.25">
      <c r="A2027" s="35">
        <v>1160744986</v>
      </c>
      <c r="B2027" s="35" t="s">
        <v>3412</v>
      </c>
      <c r="C2027" s="35">
        <v>2024</v>
      </c>
      <c r="D2027" s="36">
        <v>45452.730266203696</v>
      </c>
      <c r="E2027" s="37" t="s">
        <v>237</v>
      </c>
      <c r="F2027" s="37" t="s">
        <v>5043</v>
      </c>
      <c r="G2027" s="37" t="s">
        <v>3621</v>
      </c>
      <c r="H2027" s="35" t="s">
        <v>3415</v>
      </c>
      <c r="I2027" s="35" t="s">
        <v>3416</v>
      </c>
      <c r="J2027" s="38">
        <v>4.9788715486194484</v>
      </c>
      <c r="K2027" s="35">
        <v>4</v>
      </c>
      <c r="L2027" s="38">
        <f t="shared" si="31"/>
        <v>19.915486194477793</v>
      </c>
      <c r="M2027" s="35" t="s">
        <v>11</v>
      </c>
      <c r="N2027" s="38"/>
      <c r="O2027" s="35" t="s">
        <v>12</v>
      </c>
    </row>
    <row r="2028" spans="1:15" x14ac:dyDescent="0.25">
      <c r="A2028" s="35">
        <v>1160737769</v>
      </c>
      <c r="B2028" s="35" t="s">
        <v>3412</v>
      </c>
      <c r="C2028" s="35">
        <v>2024</v>
      </c>
      <c r="D2028" s="36">
        <v>45452.730266203696</v>
      </c>
      <c r="E2028" s="37" t="s">
        <v>442</v>
      </c>
      <c r="F2028" s="37" t="s">
        <v>4025</v>
      </c>
      <c r="G2028" s="37" t="s">
        <v>3658</v>
      </c>
      <c r="H2028" s="35" t="s">
        <v>3415</v>
      </c>
      <c r="I2028" s="35" t="s">
        <v>3416</v>
      </c>
      <c r="J2028" s="38">
        <v>1.645</v>
      </c>
      <c r="K2028" s="35">
        <v>4</v>
      </c>
      <c r="L2028" s="38">
        <f t="shared" si="31"/>
        <v>6.58</v>
      </c>
      <c r="M2028" s="35" t="s">
        <v>11</v>
      </c>
      <c r="N2028" s="38"/>
      <c r="O2028" s="35" t="s">
        <v>12</v>
      </c>
    </row>
    <row r="2029" spans="1:15" x14ac:dyDescent="0.25">
      <c r="A2029" s="35">
        <v>1160540590</v>
      </c>
      <c r="B2029" s="35" t="s">
        <v>3412</v>
      </c>
      <c r="C2029" s="35">
        <v>2024</v>
      </c>
      <c r="D2029" s="36">
        <v>45451.42564814815</v>
      </c>
      <c r="E2029" s="37" t="s">
        <v>2282</v>
      </c>
      <c r="F2029" s="37" t="s">
        <v>5045</v>
      </c>
      <c r="G2029" s="37" t="s">
        <v>3621</v>
      </c>
      <c r="H2029" s="35" t="s">
        <v>3415</v>
      </c>
      <c r="I2029" s="35" t="s">
        <v>3416</v>
      </c>
      <c r="J2029" s="38">
        <v>25.180176719170191</v>
      </c>
      <c r="K2029" s="35">
        <v>4</v>
      </c>
      <c r="L2029" s="38">
        <f t="shared" si="31"/>
        <v>100.72070687668077</v>
      </c>
      <c r="M2029" s="35" t="s">
        <v>11</v>
      </c>
      <c r="N2029" s="38"/>
      <c r="O2029" s="35" t="s">
        <v>12</v>
      </c>
    </row>
    <row r="2030" spans="1:15" x14ac:dyDescent="0.25">
      <c r="A2030" s="35">
        <v>1160540590</v>
      </c>
      <c r="B2030" s="35" t="s">
        <v>3412</v>
      </c>
      <c r="C2030" s="35">
        <v>2024</v>
      </c>
      <c r="D2030" s="36">
        <v>45451.42564814815</v>
      </c>
      <c r="E2030" s="37" t="s">
        <v>2282</v>
      </c>
      <c r="F2030" s="37" t="s">
        <v>5046</v>
      </c>
      <c r="G2030" s="37" t="s">
        <v>3621</v>
      </c>
      <c r="H2030" s="35" t="s">
        <v>3415</v>
      </c>
      <c r="I2030" s="35" t="s">
        <v>3416</v>
      </c>
      <c r="J2030" s="38">
        <v>2.6229350749135611</v>
      </c>
      <c r="K2030" s="35">
        <v>4</v>
      </c>
      <c r="L2030" s="38">
        <f t="shared" si="31"/>
        <v>10.491740299654245</v>
      </c>
      <c r="M2030" s="35" t="s">
        <v>11</v>
      </c>
      <c r="N2030" s="38"/>
      <c r="O2030" s="35" t="s">
        <v>12</v>
      </c>
    </row>
    <row r="2031" spans="1:15" x14ac:dyDescent="0.25">
      <c r="A2031" s="35">
        <v>1160540590</v>
      </c>
      <c r="B2031" s="35" t="s">
        <v>3412</v>
      </c>
      <c r="C2031" s="35">
        <v>2024</v>
      </c>
      <c r="D2031" s="36">
        <v>45451.42564814815</v>
      </c>
      <c r="E2031" s="37" t="s">
        <v>2282</v>
      </c>
      <c r="F2031" s="37" t="s">
        <v>4993</v>
      </c>
      <c r="G2031" s="37" t="s">
        <v>3621</v>
      </c>
      <c r="H2031" s="35" t="s">
        <v>3415</v>
      </c>
      <c r="I2031" s="35" t="s">
        <v>3416</v>
      </c>
      <c r="J2031" s="38">
        <v>0.78688052247406837</v>
      </c>
      <c r="K2031" s="35">
        <v>4</v>
      </c>
      <c r="L2031" s="38">
        <f t="shared" si="31"/>
        <v>3.1475220898962735</v>
      </c>
      <c r="M2031" s="35" t="s">
        <v>11</v>
      </c>
      <c r="N2031" s="38"/>
      <c r="O2031" s="35" t="s">
        <v>12</v>
      </c>
    </row>
    <row r="2032" spans="1:15" x14ac:dyDescent="0.25">
      <c r="A2032" s="35">
        <v>1160540590</v>
      </c>
      <c r="B2032" s="35" t="s">
        <v>3412</v>
      </c>
      <c r="C2032" s="35">
        <v>2024</v>
      </c>
      <c r="D2032" s="36">
        <v>45451.42564814815</v>
      </c>
      <c r="E2032" s="37" t="s">
        <v>2282</v>
      </c>
      <c r="F2032" s="37" t="s">
        <v>4994</v>
      </c>
      <c r="G2032" s="37" t="s">
        <v>3621</v>
      </c>
      <c r="H2032" s="35" t="s">
        <v>3415</v>
      </c>
      <c r="I2032" s="35" t="s">
        <v>3416</v>
      </c>
      <c r="J2032" s="38">
        <v>0.36721091048789861</v>
      </c>
      <c r="K2032" s="35">
        <v>4</v>
      </c>
      <c r="L2032" s="38">
        <f t="shared" si="31"/>
        <v>1.4688436419515944</v>
      </c>
      <c r="M2032" s="35" t="s">
        <v>11</v>
      </c>
      <c r="N2032" s="38"/>
      <c r="O2032" s="35" t="s">
        <v>12</v>
      </c>
    </row>
    <row r="2033" spans="1:15" x14ac:dyDescent="0.25">
      <c r="A2033" s="35">
        <v>1160540590</v>
      </c>
      <c r="B2033" s="35" t="s">
        <v>3412</v>
      </c>
      <c r="C2033" s="35">
        <v>2024</v>
      </c>
      <c r="D2033" s="36">
        <v>45451.42564814815</v>
      </c>
      <c r="E2033" s="37" t="s">
        <v>2282</v>
      </c>
      <c r="F2033" s="37" t="s">
        <v>5041</v>
      </c>
      <c r="G2033" s="37" t="s">
        <v>3621</v>
      </c>
      <c r="H2033" s="35" t="s">
        <v>3419</v>
      </c>
      <c r="I2033" s="35" t="s">
        <v>3416</v>
      </c>
      <c r="J2033" s="38">
        <v>8.3933922397233953</v>
      </c>
      <c r="K2033" s="35">
        <v>2</v>
      </c>
      <c r="L2033" s="38">
        <f t="shared" si="31"/>
        <v>16.786784479446791</v>
      </c>
      <c r="M2033" s="35" t="s">
        <v>11</v>
      </c>
      <c r="N2033" s="38"/>
      <c r="O2033" s="35" t="s">
        <v>12</v>
      </c>
    </row>
    <row r="2034" spans="1:15" x14ac:dyDescent="0.25">
      <c r="A2034" s="35">
        <v>1160540590</v>
      </c>
      <c r="B2034" s="35" t="s">
        <v>3412</v>
      </c>
      <c r="C2034" s="35">
        <v>2024</v>
      </c>
      <c r="D2034" s="36">
        <v>45451.42564814815</v>
      </c>
      <c r="E2034" s="37" t="s">
        <v>2282</v>
      </c>
      <c r="F2034" s="37" t="s">
        <v>4168</v>
      </c>
      <c r="G2034" s="37" t="s">
        <v>3621</v>
      </c>
      <c r="H2034" s="35" t="s">
        <v>3419</v>
      </c>
      <c r="I2034" s="35" t="s">
        <v>3416</v>
      </c>
      <c r="J2034" s="38">
        <v>3.9344026123703419</v>
      </c>
      <c r="K2034" s="35">
        <v>1</v>
      </c>
      <c r="L2034" s="38">
        <f t="shared" si="31"/>
        <v>3.9344026123703419</v>
      </c>
      <c r="M2034" s="35" t="s">
        <v>11</v>
      </c>
      <c r="N2034" s="38"/>
      <c r="O2034" s="35" t="s">
        <v>12</v>
      </c>
    </row>
    <row r="2035" spans="1:15" ht="30" x14ac:dyDescent="0.25">
      <c r="A2035" s="35">
        <v>1160526134</v>
      </c>
      <c r="B2035" s="35" t="s">
        <v>3412</v>
      </c>
      <c r="C2035" s="35">
        <v>2024</v>
      </c>
      <c r="D2035" s="36">
        <v>45451.289351851847</v>
      </c>
      <c r="E2035" s="37" t="s">
        <v>2285</v>
      </c>
      <c r="F2035" s="37" t="s">
        <v>4754</v>
      </c>
      <c r="G2035" s="37" t="s">
        <v>3710</v>
      </c>
      <c r="H2035" s="35" t="s">
        <v>3419</v>
      </c>
      <c r="I2035" s="35" t="s">
        <v>3416</v>
      </c>
      <c r="J2035" s="38">
        <v>30.97</v>
      </c>
      <c r="K2035" s="35">
        <v>1</v>
      </c>
      <c r="L2035" s="38">
        <f t="shared" si="31"/>
        <v>30.97</v>
      </c>
      <c r="M2035" s="35" t="s">
        <v>11</v>
      </c>
      <c r="N2035" s="38"/>
      <c r="O2035" s="35" t="s">
        <v>12</v>
      </c>
    </row>
    <row r="2036" spans="1:15" x14ac:dyDescent="0.25">
      <c r="A2036" s="35">
        <v>1160514968</v>
      </c>
      <c r="B2036" s="35" t="s">
        <v>3412</v>
      </c>
      <c r="C2036" s="35">
        <v>2024</v>
      </c>
      <c r="D2036" s="36">
        <v>45451.023726851847</v>
      </c>
      <c r="E2036" s="37" t="s">
        <v>181</v>
      </c>
      <c r="F2036" s="37" t="s">
        <v>5047</v>
      </c>
      <c r="G2036" s="37" t="s">
        <v>3455</v>
      </c>
      <c r="H2036" s="35" t="s">
        <v>3415</v>
      </c>
      <c r="I2036" s="35" t="s">
        <v>3416</v>
      </c>
      <c r="J2036" s="38">
        <v>5.7949999999999999</v>
      </c>
      <c r="K2036" s="35">
        <v>4</v>
      </c>
      <c r="L2036" s="38">
        <f t="shared" si="31"/>
        <v>23.18</v>
      </c>
      <c r="M2036" s="35" t="s">
        <v>11</v>
      </c>
      <c r="N2036" s="38"/>
      <c r="O2036" s="35" t="s">
        <v>12</v>
      </c>
    </row>
    <row r="2037" spans="1:15" x14ac:dyDescent="0.25">
      <c r="A2037" s="35">
        <v>1160423959</v>
      </c>
      <c r="B2037" s="35" t="s">
        <v>3412</v>
      </c>
      <c r="C2037" s="35">
        <v>2024</v>
      </c>
      <c r="D2037" s="36">
        <v>45450.465162037042</v>
      </c>
      <c r="E2037" s="37" t="s">
        <v>2287</v>
      </c>
      <c r="F2037" s="37" t="s">
        <v>5048</v>
      </c>
      <c r="G2037" s="37" t="s">
        <v>3790</v>
      </c>
      <c r="H2037" s="35" t="s">
        <v>3415</v>
      </c>
      <c r="I2037" s="35" t="s">
        <v>3640</v>
      </c>
      <c r="J2037" s="38">
        <v>9.3674999999999997</v>
      </c>
      <c r="K2037" s="35">
        <v>4</v>
      </c>
      <c r="L2037" s="38">
        <f t="shared" si="31"/>
        <v>37.47</v>
      </c>
      <c r="M2037" s="35" t="s">
        <v>11</v>
      </c>
      <c r="N2037" s="38"/>
      <c r="O2037" s="35" t="s">
        <v>12</v>
      </c>
    </row>
    <row r="2038" spans="1:15" x14ac:dyDescent="0.25">
      <c r="A2038" s="35">
        <v>1160401710</v>
      </c>
      <c r="B2038" s="35" t="s">
        <v>3412</v>
      </c>
      <c r="C2038" s="35">
        <v>2024</v>
      </c>
      <c r="D2038" s="36">
        <v>45450.328298611108</v>
      </c>
      <c r="E2038" s="37" t="s">
        <v>8</v>
      </c>
      <c r="F2038" s="37" t="s">
        <v>4779</v>
      </c>
      <c r="G2038" s="37" t="s">
        <v>3621</v>
      </c>
      <c r="H2038" s="35" t="s">
        <v>3419</v>
      </c>
      <c r="I2038" s="35" t="s">
        <v>3416</v>
      </c>
      <c r="J2038" s="38">
        <v>25.8</v>
      </c>
      <c r="K2038" s="35">
        <v>8</v>
      </c>
      <c r="L2038" s="38">
        <f t="shared" si="31"/>
        <v>206.4</v>
      </c>
      <c r="M2038" s="42" t="s">
        <v>11</v>
      </c>
      <c r="N2038" s="38"/>
      <c r="O2038" s="35" t="s">
        <v>12</v>
      </c>
    </row>
    <row r="2039" spans="1:15" ht="30" x14ac:dyDescent="0.25">
      <c r="A2039" s="35">
        <v>1160375090</v>
      </c>
      <c r="B2039" s="35" t="s">
        <v>3412</v>
      </c>
      <c r="C2039" s="35">
        <v>2024</v>
      </c>
      <c r="D2039" s="36">
        <v>45449.922685185193</v>
      </c>
      <c r="E2039" s="37" t="s">
        <v>2290</v>
      </c>
      <c r="F2039" s="37" t="s">
        <v>4754</v>
      </c>
      <c r="G2039" s="37" t="s">
        <v>3710</v>
      </c>
      <c r="H2039" s="35" t="s">
        <v>3419</v>
      </c>
      <c r="I2039" s="35" t="s">
        <v>3416</v>
      </c>
      <c r="J2039" s="38">
        <v>31.85</v>
      </c>
      <c r="K2039" s="35">
        <v>1</v>
      </c>
      <c r="L2039" s="38">
        <f t="shared" si="31"/>
        <v>31.85</v>
      </c>
      <c r="M2039" s="35" t="s">
        <v>11</v>
      </c>
      <c r="N2039" s="38"/>
      <c r="O2039" s="35" t="s">
        <v>12</v>
      </c>
    </row>
    <row r="2040" spans="1:15" ht="30" x14ac:dyDescent="0.25">
      <c r="A2040" s="35">
        <v>1160352791</v>
      </c>
      <c r="B2040" s="35" t="s">
        <v>3412</v>
      </c>
      <c r="C2040" s="35">
        <v>2024</v>
      </c>
      <c r="D2040" s="36">
        <v>45449.805833333332</v>
      </c>
      <c r="E2040" s="37" t="s">
        <v>8</v>
      </c>
      <c r="F2040" s="37" t="s">
        <v>4754</v>
      </c>
      <c r="G2040" s="37" t="s">
        <v>3710</v>
      </c>
      <c r="H2040" s="35" t="s">
        <v>3419</v>
      </c>
      <c r="I2040" s="35" t="s">
        <v>3416</v>
      </c>
      <c r="J2040" s="38">
        <v>25.9</v>
      </c>
      <c r="K2040" s="35">
        <v>2</v>
      </c>
      <c r="L2040" s="38">
        <f t="shared" si="31"/>
        <v>51.8</v>
      </c>
      <c r="M2040" s="42" t="s">
        <v>11</v>
      </c>
      <c r="N2040" s="38"/>
      <c r="O2040" s="35" t="s">
        <v>12</v>
      </c>
    </row>
    <row r="2041" spans="1:15" x14ac:dyDescent="0.25">
      <c r="A2041" s="35">
        <v>1160350314</v>
      </c>
      <c r="B2041" s="35" t="s">
        <v>3412</v>
      </c>
      <c r="C2041" s="35">
        <v>2024</v>
      </c>
      <c r="D2041" s="36">
        <v>45449.792881944442</v>
      </c>
      <c r="E2041" s="37" t="s">
        <v>2293</v>
      </c>
      <c r="F2041" s="37" t="s">
        <v>4976</v>
      </c>
      <c r="G2041" s="37" t="s">
        <v>3560</v>
      </c>
      <c r="H2041" s="35" t="s">
        <v>3419</v>
      </c>
      <c r="I2041" s="35" t="s">
        <v>3530</v>
      </c>
      <c r="J2041" s="38">
        <v>24.22</v>
      </c>
      <c r="K2041" s="35">
        <v>1</v>
      </c>
      <c r="L2041" s="38">
        <f t="shared" si="31"/>
        <v>24.22</v>
      </c>
      <c r="M2041" s="35" t="s">
        <v>11</v>
      </c>
      <c r="N2041" s="38"/>
      <c r="O2041" s="35" t="s">
        <v>12</v>
      </c>
    </row>
    <row r="2042" spans="1:15" x14ac:dyDescent="0.25">
      <c r="A2042" s="35">
        <v>1160347346</v>
      </c>
      <c r="B2042" s="35" t="s">
        <v>3412</v>
      </c>
      <c r="C2042" s="35">
        <v>2024</v>
      </c>
      <c r="D2042" s="36">
        <v>45449.781087962961</v>
      </c>
      <c r="E2042" s="37" t="s">
        <v>8</v>
      </c>
      <c r="F2042" s="37" t="s">
        <v>4015</v>
      </c>
      <c r="G2042" s="37" t="s">
        <v>3621</v>
      </c>
      <c r="H2042" s="35" t="s">
        <v>3419</v>
      </c>
      <c r="I2042" s="35" t="s">
        <v>3416</v>
      </c>
      <c r="J2042" s="38">
        <v>18.95</v>
      </c>
      <c r="K2042" s="35">
        <v>1</v>
      </c>
      <c r="L2042" s="38">
        <f t="shared" si="31"/>
        <v>18.95</v>
      </c>
      <c r="M2042" s="42" t="s">
        <v>11</v>
      </c>
      <c r="N2042" s="38"/>
      <c r="O2042" s="35" t="s">
        <v>12</v>
      </c>
    </row>
    <row r="2043" spans="1:15" x14ac:dyDescent="0.25">
      <c r="A2043" s="35">
        <v>1160342829</v>
      </c>
      <c r="B2043" s="35" t="s">
        <v>3412</v>
      </c>
      <c r="C2043" s="35">
        <v>2024</v>
      </c>
      <c r="D2043" s="36">
        <v>45449.751296296286</v>
      </c>
      <c r="E2043" s="37" t="s">
        <v>8</v>
      </c>
      <c r="F2043" s="37" t="s">
        <v>5049</v>
      </c>
      <c r="G2043" s="37" t="s">
        <v>3621</v>
      </c>
      <c r="H2043" s="35" t="s">
        <v>3415</v>
      </c>
      <c r="I2043" s="35" t="s">
        <v>3416</v>
      </c>
      <c r="J2043" s="38">
        <v>14.85</v>
      </c>
      <c r="K2043" s="35">
        <v>4</v>
      </c>
      <c r="L2043" s="38">
        <f t="shared" si="31"/>
        <v>59.4</v>
      </c>
      <c r="M2043" s="42" t="s">
        <v>11</v>
      </c>
      <c r="N2043" s="38"/>
      <c r="O2043" s="35" t="s">
        <v>12</v>
      </c>
    </row>
    <row r="2044" spans="1:15" x14ac:dyDescent="0.25">
      <c r="A2044" s="35">
        <v>1160341417</v>
      </c>
      <c r="B2044" s="35" t="s">
        <v>3412</v>
      </c>
      <c r="C2044" s="35">
        <v>2024</v>
      </c>
      <c r="D2044" s="36">
        <v>45449.747291666667</v>
      </c>
      <c r="E2044" s="37" t="s">
        <v>8</v>
      </c>
      <c r="F2044" s="37" t="s">
        <v>5050</v>
      </c>
      <c r="G2044" s="37" t="s">
        <v>3621</v>
      </c>
      <c r="H2044" s="35" t="s">
        <v>3415</v>
      </c>
      <c r="I2044" s="35" t="s">
        <v>3416</v>
      </c>
      <c r="J2044" s="38">
        <v>15.5</v>
      </c>
      <c r="K2044" s="35">
        <v>4</v>
      </c>
      <c r="L2044" s="38">
        <f t="shared" si="31"/>
        <v>62</v>
      </c>
      <c r="M2044" s="42" t="s">
        <v>11</v>
      </c>
      <c r="N2044" s="38"/>
      <c r="O2044" s="35" t="s">
        <v>12</v>
      </c>
    </row>
    <row r="2045" spans="1:15" x14ac:dyDescent="0.25">
      <c r="A2045" s="35">
        <v>1160341417</v>
      </c>
      <c r="B2045" s="35" t="s">
        <v>3412</v>
      </c>
      <c r="C2045" s="35">
        <v>2024</v>
      </c>
      <c r="D2045" s="36">
        <v>45449.747291666667</v>
      </c>
      <c r="E2045" s="37" t="s">
        <v>8</v>
      </c>
      <c r="F2045" s="37" t="s">
        <v>5051</v>
      </c>
      <c r="G2045" s="37" t="s">
        <v>3621</v>
      </c>
      <c r="H2045" s="35" t="s">
        <v>3419</v>
      </c>
      <c r="I2045" s="35" t="s">
        <v>3416</v>
      </c>
      <c r="J2045" s="38">
        <v>15</v>
      </c>
      <c r="K2045" s="35">
        <v>2</v>
      </c>
      <c r="L2045" s="38">
        <f t="shared" si="31"/>
        <v>30</v>
      </c>
      <c r="M2045" s="42" t="s">
        <v>11</v>
      </c>
      <c r="N2045" s="38"/>
      <c r="O2045" s="35" t="s">
        <v>12</v>
      </c>
    </row>
    <row r="2046" spans="1:15" x14ac:dyDescent="0.25">
      <c r="A2046" s="35">
        <v>1160216115</v>
      </c>
      <c r="B2046" s="35" t="s">
        <v>3412</v>
      </c>
      <c r="C2046" s="35">
        <v>2024</v>
      </c>
      <c r="D2046" s="36">
        <v>45448.814201388886</v>
      </c>
      <c r="E2046" s="37" t="s">
        <v>2299</v>
      </c>
      <c r="F2046" s="37" t="s">
        <v>5050</v>
      </c>
      <c r="G2046" s="37" t="s">
        <v>3621</v>
      </c>
      <c r="H2046" s="35" t="s">
        <v>3415</v>
      </c>
      <c r="I2046" s="35" t="s">
        <v>3416</v>
      </c>
      <c r="J2046" s="38">
        <v>16.864177978883859</v>
      </c>
      <c r="K2046" s="35">
        <v>4</v>
      </c>
      <c r="L2046" s="38">
        <f t="shared" si="31"/>
        <v>67.456711915535436</v>
      </c>
      <c r="M2046" s="35" t="s">
        <v>11</v>
      </c>
      <c r="N2046" s="38"/>
      <c r="O2046" s="35" t="s">
        <v>12</v>
      </c>
    </row>
    <row r="2047" spans="1:15" x14ac:dyDescent="0.25">
      <c r="A2047" s="35">
        <v>1160216115</v>
      </c>
      <c r="B2047" s="35" t="s">
        <v>3412</v>
      </c>
      <c r="C2047" s="35">
        <v>2024</v>
      </c>
      <c r="D2047" s="36">
        <v>45448.814201388886</v>
      </c>
      <c r="E2047" s="37" t="s">
        <v>2299</v>
      </c>
      <c r="F2047" s="37" t="s">
        <v>5052</v>
      </c>
      <c r="G2047" s="37" t="s">
        <v>3621</v>
      </c>
      <c r="H2047" s="35" t="s">
        <v>3415</v>
      </c>
      <c r="I2047" s="35" t="s">
        <v>3416</v>
      </c>
      <c r="J2047" s="38">
        <v>0.58152337858220216</v>
      </c>
      <c r="K2047" s="35">
        <v>4</v>
      </c>
      <c r="L2047" s="38">
        <f t="shared" si="31"/>
        <v>2.3260935143288086</v>
      </c>
      <c r="M2047" s="35" t="s">
        <v>11</v>
      </c>
      <c r="N2047" s="38"/>
      <c r="O2047" s="35" t="s">
        <v>12</v>
      </c>
    </row>
    <row r="2048" spans="1:15" x14ac:dyDescent="0.25">
      <c r="A2048" s="35">
        <v>1160216115</v>
      </c>
      <c r="B2048" s="35" t="s">
        <v>3412</v>
      </c>
      <c r="C2048" s="35">
        <v>2024</v>
      </c>
      <c r="D2048" s="36">
        <v>45448.814201388886</v>
      </c>
      <c r="E2048" s="37" t="s">
        <v>2299</v>
      </c>
      <c r="F2048" s="37" t="s">
        <v>5027</v>
      </c>
      <c r="G2048" s="37" t="s">
        <v>3621</v>
      </c>
      <c r="H2048" s="35" t="s">
        <v>3419</v>
      </c>
      <c r="I2048" s="35" t="s">
        <v>3416</v>
      </c>
      <c r="J2048" s="38">
        <v>3.4362745098039218</v>
      </c>
      <c r="K2048" s="35">
        <v>2</v>
      </c>
      <c r="L2048" s="38">
        <f t="shared" si="31"/>
        <v>6.8725490196078436</v>
      </c>
      <c r="M2048" s="35" t="s">
        <v>11</v>
      </c>
      <c r="N2048" s="38"/>
      <c r="O2048" s="35" t="s">
        <v>12</v>
      </c>
    </row>
    <row r="2049" spans="1:15" x14ac:dyDescent="0.25">
      <c r="A2049" s="35">
        <v>1160216115</v>
      </c>
      <c r="B2049" s="35" t="s">
        <v>3412</v>
      </c>
      <c r="C2049" s="35">
        <v>2024</v>
      </c>
      <c r="D2049" s="36">
        <v>45448.814201388886</v>
      </c>
      <c r="E2049" s="37" t="s">
        <v>2299</v>
      </c>
      <c r="F2049" s="37" t="s">
        <v>5053</v>
      </c>
      <c r="G2049" s="37" t="s">
        <v>3621</v>
      </c>
      <c r="H2049" s="35" t="s">
        <v>3419</v>
      </c>
      <c r="I2049" s="35" t="s">
        <v>3416</v>
      </c>
      <c r="J2049" s="38">
        <v>1.5753996983408749</v>
      </c>
      <c r="K2049" s="35">
        <v>2</v>
      </c>
      <c r="L2049" s="38">
        <f t="shared" si="31"/>
        <v>3.1507993966817498</v>
      </c>
      <c r="M2049" s="35" t="s">
        <v>11</v>
      </c>
      <c r="N2049" s="38"/>
      <c r="O2049" s="35" t="s">
        <v>12</v>
      </c>
    </row>
    <row r="2050" spans="1:15" x14ac:dyDescent="0.25">
      <c r="A2050" s="35">
        <v>1160216115</v>
      </c>
      <c r="B2050" s="35" t="s">
        <v>3412</v>
      </c>
      <c r="C2050" s="35">
        <v>2024</v>
      </c>
      <c r="D2050" s="36">
        <v>45448.814201388886</v>
      </c>
      <c r="E2050" s="37" t="s">
        <v>2299</v>
      </c>
      <c r="F2050" s="37" t="s">
        <v>5054</v>
      </c>
      <c r="G2050" s="37" t="s">
        <v>3621</v>
      </c>
      <c r="H2050" s="35" t="s">
        <v>3415</v>
      </c>
      <c r="I2050" s="35" t="s">
        <v>3416</v>
      </c>
      <c r="J2050" s="38">
        <v>2.5904223227752641</v>
      </c>
      <c r="K2050" s="35">
        <v>4</v>
      </c>
      <c r="L2050" s="38">
        <f t="shared" ref="L2050:L2113" si="32">J2050*K2050</f>
        <v>10.361689291101056</v>
      </c>
      <c r="M2050" s="35" t="s">
        <v>11</v>
      </c>
      <c r="N2050" s="38"/>
      <c r="O2050" s="35" t="s">
        <v>12</v>
      </c>
    </row>
    <row r="2051" spans="1:15" x14ac:dyDescent="0.25">
      <c r="A2051" s="35">
        <v>1160216115</v>
      </c>
      <c r="B2051" s="35" t="s">
        <v>3412</v>
      </c>
      <c r="C2051" s="35">
        <v>2024</v>
      </c>
      <c r="D2051" s="36">
        <v>45448.814201388886</v>
      </c>
      <c r="E2051" s="37" t="s">
        <v>2299</v>
      </c>
      <c r="F2051" s="37" t="s">
        <v>5055</v>
      </c>
      <c r="G2051" s="37" t="s">
        <v>3621</v>
      </c>
      <c r="H2051" s="35" t="s">
        <v>3415</v>
      </c>
      <c r="I2051" s="35" t="s">
        <v>3416</v>
      </c>
      <c r="J2051" s="38">
        <v>0.37006033182503772</v>
      </c>
      <c r="K2051" s="35">
        <v>4</v>
      </c>
      <c r="L2051" s="38">
        <f t="shared" si="32"/>
        <v>1.4802413273001509</v>
      </c>
      <c r="M2051" s="35" t="s">
        <v>11</v>
      </c>
      <c r="N2051" s="38"/>
      <c r="O2051" s="35" t="s">
        <v>12</v>
      </c>
    </row>
    <row r="2052" spans="1:15" x14ac:dyDescent="0.25">
      <c r="A2052" s="35">
        <v>1160216115</v>
      </c>
      <c r="B2052" s="35" t="s">
        <v>3412</v>
      </c>
      <c r="C2052" s="35">
        <v>2024</v>
      </c>
      <c r="D2052" s="36">
        <v>45448.814201388886</v>
      </c>
      <c r="E2052" s="37" t="s">
        <v>2299</v>
      </c>
      <c r="F2052" s="37" t="s">
        <v>3863</v>
      </c>
      <c r="G2052" s="37" t="s">
        <v>3621</v>
      </c>
      <c r="H2052" s="35" t="s">
        <v>3415</v>
      </c>
      <c r="I2052" s="35" t="s">
        <v>3416</v>
      </c>
      <c r="J2052" s="38">
        <v>0.95158371040723988</v>
      </c>
      <c r="K2052" s="35">
        <v>4</v>
      </c>
      <c r="L2052" s="38">
        <f t="shared" si="32"/>
        <v>3.8063348416289595</v>
      </c>
      <c r="M2052" s="35" t="s">
        <v>11</v>
      </c>
      <c r="N2052" s="38"/>
      <c r="O2052" s="35" t="s">
        <v>12</v>
      </c>
    </row>
    <row r="2053" spans="1:15" x14ac:dyDescent="0.25">
      <c r="A2053" s="35">
        <v>1160216115</v>
      </c>
      <c r="B2053" s="35" t="s">
        <v>3412</v>
      </c>
      <c r="C2053" s="35">
        <v>2024</v>
      </c>
      <c r="D2053" s="36">
        <v>45448.814201388886</v>
      </c>
      <c r="E2053" s="37" t="s">
        <v>2299</v>
      </c>
      <c r="F2053" s="37" t="s">
        <v>4613</v>
      </c>
      <c r="G2053" s="37" t="s">
        <v>3621</v>
      </c>
      <c r="H2053" s="35" t="s">
        <v>3415</v>
      </c>
      <c r="I2053" s="35" t="s">
        <v>3416</v>
      </c>
      <c r="J2053" s="38">
        <v>4.1763951734539972</v>
      </c>
      <c r="K2053" s="35">
        <v>4</v>
      </c>
      <c r="L2053" s="38">
        <f t="shared" si="32"/>
        <v>16.705580693815989</v>
      </c>
      <c r="M2053" s="35" t="s">
        <v>11</v>
      </c>
      <c r="N2053" s="38"/>
      <c r="O2053" s="35" t="s">
        <v>12</v>
      </c>
    </row>
    <row r="2054" spans="1:15" x14ac:dyDescent="0.25">
      <c r="A2054" s="35">
        <v>1160048543</v>
      </c>
      <c r="B2054" s="35" t="s">
        <v>3412</v>
      </c>
      <c r="C2054" s="35">
        <v>2024</v>
      </c>
      <c r="D2054" s="36">
        <v>45447.580636574072</v>
      </c>
      <c r="E2054" s="37" t="s">
        <v>1400</v>
      </c>
      <c r="F2054" s="37" t="s">
        <v>5057</v>
      </c>
      <c r="G2054" s="37" t="s">
        <v>3886</v>
      </c>
      <c r="H2054" s="35" t="s">
        <v>3415</v>
      </c>
      <c r="I2054" s="35" t="s">
        <v>3453</v>
      </c>
      <c r="J2054" s="38">
        <v>3.1549999999999998</v>
      </c>
      <c r="K2054" s="35">
        <v>4</v>
      </c>
      <c r="L2054" s="38">
        <f t="shared" si="32"/>
        <v>12.62</v>
      </c>
      <c r="M2054" s="35" t="s">
        <v>11</v>
      </c>
      <c r="N2054" s="38"/>
      <c r="O2054" s="35" t="s">
        <v>12</v>
      </c>
    </row>
    <row r="2055" spans="1:15" x14ac:dyDescent="0.25">
      <c r="A2055" s="35">
        <v>1160029000</v>
      </c>
      <c r="B2055" s="35" t="s">
        <v>3412</v>
      </c>
      <c r="C2055" s="35">
        <v>2024</v>
      </c>
      <c r="D2055" s="36">
        <v>45447.471412037034</v>
      </c>
      <c r="E2055" s="37" t="s">
        <v>1377</v>
      </c>
      <c r="F2055" s="37" t="s">
        <v>5059</v>
      </c>
      <c r="G2055" s="37" t="s">
        <v>3842</v>
      </c>
      <c r="H2055" s="35" t="s">
        <v>3415</v>
      </c>
      <c r="I2055" s="35" t="s">
        <v>3453</v>
      </c>
      <c r="J2055" s="38">
        <v>2.1971794871794872</v>
      </c>
      <c r="K2055" s="35">
        <v>4</v>
      </c>
      <c r="L2055" s="38">
        <f t="shared" si="32"/>
        <v>8.7887179487179488</v>
      </c>
      <c r="M2055" s="35" t="s">
        <v>11</v>
      </c>
      <c r="N2055" s="38"/>
      <c r="O2055" s="35" t="s">
        <v>12</v>
      </c>
    </row>
    <row r="2056" spans="1:15" x14ac:dyDescent="0.25">
      <c r="A2056" s="35">
        <v>1160029000</v>
      </c>
      <c r="B2056" s="35" t="s">
        <v>3412</v>
      </c>
      <c r="C2056" s="35">
        <v>2024</v>
      </c>
      <c r="D2056" s="36">
        <v>45447.471412037034</v>
      </c>
      <c r="E2056" s="37" t="s">
        <v>1377</v>
      </c>
      <c r="F2056" s="37" t="s">
        <v>4570</v>
      </c>
      <c r="G2056" s="37" t="s">
        <v>3797</v>
      </c>
      <c r="H2056" s="35" t="s">
        <v>3419</v>
      </c>
      <c r="I2056" s="35" t="s">
        <v>3416</v>
      </c>
      <c r="J2056" s="38">
        <v>0.23128205128205129</v>
      </c>
      <c r="K2056" s="35">
        <v>1</v>
      </c>
      <c r="L2056" s="38">
        <f t="shared" si="32"/>
        <v>0.23128205128205129</v>
      </c>
      <c r="M2056" s="35" t="s">
        <v>11</v>
      </c>
      <c r="N2056" s="38"/>
      <c r="O2056" s="35" t="s">
        <v>12</v>
      </c>
    </row>
    <row r="2057" spans="1:15" x14ac:dyDescent="0.25">
      <c r="A2057" s="35">
        <v>1159507786</v>
      </c>
      <c r="B2057" s="35" t="s">
        <v>3527</v>
      </c>
      <c r="C2057" s="35">
        <v>2024</v>
      </c>
      <c r="D2057" s="36">
        <v>45443.599108796298</v>
      </c>
      <c r="E2057" s="37" t="s">
        <v>294</v>
      </c>
      <c r="F2057" s="37" t="s">
        <v>5060</v>
      </c>
      <c r="G2057" s="37" t="s">
        <v>5010</v>
      </c>
      <c r="H2057" s="35" t="s">
        <v>3419</v>
      </c>
      <c r="I2057" s="35" t="s">
        <v>3416</v>
      </c>
      <c r="J2057" s="38">
        <v>0.2438461538461538</v>
      </c>
      <c r="K2057" s="35">
        <v>2</v>
      </c>
      <c r="L2057" s="38">
        <f t="shared" si="32"/>
        <v>0.48769230769230759</v>
      </c>
      <c r="M2057" s="35" t="s">
        <v>11</v>
      </c>
      <c r="N2057" s="38"/>
      <c r="O2057" s="35" t="s">
        <v>12</v>
      </c>
    </row>
    <row r="2058" spans="1:15" x14ac:dyDescent="0.25">
      <c r="A2058" s="35">
        <v>1159507786</v>
      </c>
      <c r="B2058" s="35" t="s">
        <v>3527</v>
      </c>
      <c r="C2058" s="35">
        <v>2024</v>
      </c>
      <c r="D2058" s="36">
        <v>45443.599108796298</v>
      </c>
      <c r="E2058" s="37" t="s">
        <v>294</v>
      </c>
      <c r="F2058" s="37" t="s">
        <v>5061</v>
      </c>
      <c r="G2058" s="37" t="s">
        <v>3729</v>
      </c>
      <c r="H2058" s="35" t="s">
        <v>3419</v>
      </c>
      <c r="I2058" s="35" t="s">
        <v>3416</v>
      </c>
      <c r="J2058" s="38">
        <v>2.6823076923076918</v>
      </c>
      <c r="K2058" s="35">
        <v>1</v>
      </c>
      <c r="L2058" s="38">
        <f t="shared" si="32"/>
        <v>2.6823076923076918</v>
      </c>
      <c r="M2058" s="35" t="s">
        <v>11</v>
      </c>
      <c r="N2058" s="38"/>
      <c r="O2058" s="35" t="s">
        <v>12</v>
      </c>
    </row>
    <row r="2059" spans="1:15" x14ac:dyDescent="0.25">
      <c r="A2059" s="35">
        <v>1159494258</v>
      </c>
      <c r="B2059" s="35" t="s">
        <v>3527</v>
      </c>
      <c r="C2059" s="35">
        <v>2024</v>
      </c>
      <c r="D2059" s="36">
        <v>45443.523194444453</v>
      </c>
      <c r="E2059" s="37" t="s">
        <v>2312</v>
      </c>
      <c r="F2059" s="37" t="s">
        <v>5062</v>
      </c>
      <c r="G2059" s="37" t="s">
        <v>5063</v>
      </c>
      <c r="H2059" s="35" t="s">
        <v>3419</v>
      </c>
      <c r="I2059" s="35" t="s">
        <v>3416</v>
      </c>
      <c r="J2059" s="38">
        <v>2.5166666666666671</v>
      </c>
      <c r="K2059" s="35">
        <v>1</v>
      </c>
      <c r="L2059" s="38">
        <f t="shared" si="32"/>
        <v>2.5166666666666671</v>
      </c>
      <c r="M2059" s="35" t="s">
        <v>11</v>
      </c>
      <c r="N2059" s="38"/>
      <c r="O2059" s="35" t="s">
        <v>2314</v>
      </c>
    </row>
    <row r="2060" spans="1:15" x14ac:dyDescent="0.25">
      <c r="A2060" s="35">
        <v>1159494258</v>
      </c>
      <c r="B2060" s="35" t="s">
        <v>3527</v>
      </c>
      <c r="C2060" s="35">
        <v>2024</v>
      </c>
      <c r="D2060" s="36">
        <v>45443.523194444453</v>
      </c>
      <c r="E2060" s="37" t="s">
        <v>2312</v>
      </c>
      <c r="F2060" s="37" t="s">
        <v>5064</v>
      </c>
      <c r="G2060" s="37" t="s">
        <v>5063</v>
      </c>
      <c r="H2060" s="35" t="s">
        <v>3419</v>
      </c>
      <c r="I2060" s="35" t="s">
        <v>3416</v>
      </c>
      <c r="J2060" s="38">
        <v>0.5033333333333333</v>
      </c>
      <c r="K2060" s="35">
        <v>1</v>
      </c>
      <c r="L2060" s="38">
        <f t="shared" si="32"/>
        <v>0.5033333333333333</v>
      </c>
      <c r="M2060" s="35" t="s">
        <v>11</v>
      </c>
      <c r="N2060" s="38"/>
      <c r="O2060" s="35" t="s">
        <v>2314</v>
      </c>
    </row>
    <row r="2061" spans="1:15" x14ac:dyDescent="0.25">
      <c r="A2061" s="35">
        <v>1159317207</v>
      </c>
      <c r="B2061" s="35" t="s">
        <v>3527</v>
      </c>
      <c r="C2061" s="35">
        <v>2024</v>
      </c>
      <c r="D2061" s="36">
        <v>45442.309479166674</v>
      </c>
      <c r="E2061" s="37" t="s">
        <v>2318</v>
      </c>
      <c r="F2061" s="37" t="s">
        <v>5065</v>
      </c>
      <c r="G2061" s="37" t="s">
        <v>4463</v>
      </c>
      <c r="H2061" s="35" t="s">
        <v>3419</v>
      </c>
      <c r="I2061" s="35" t="s">
        <v>3416</v>
      </c>
      <c r="J2061" s="38">
        <v>51.813333333333333</v>
      </c>
      <c r="K2061" s="35">
        <v>3</v>
      </c>
      <c r="L2061" s="38">
        <f t="shared" si="32"/>
        <v>155.44</v>
      </c>
      <c r="M2061" s="35" t="s">
        <v>11</v>
      </c>
      <c r="N2061" s="38"/>
      <c r="O2061" s="35" t="s">
        <v>12</v>
      </c>
    </row>
    <row r="2062" spans="1:15" x14ac:dyDescent="0.25">
      <c r="A2062" s="35">
        <v>1159309865</v>
      </c>
      <c r="B2062" s="35" t="s">
        <v>3527</v>
      </c>
      <c r="C2062" s="35">
        <v>2024</v>
      </c>
      <c r="D2062" s="36">
        <v>45442.280451388891</v>
      </c>
      <c r="E2062" s="37" t="s">
        <v>2320</v>
      </c>
      <c r="F2062" s="37" t="s">
        <v>5065</v>
      </c>
      <c r="G2062" s="37" t="s">
        <v>4463</v>
      </c>
      <c r="H2062" s="35" t="s">
        <v>3419</v>
      </c>
      <c r="I2062" s="35" t="s">
        <v>3416</v>
      </c>
      <c r="J2062" s="38">
        <v>57.47</v>
      </c>
      <c r="K2062" s="35">
        <v>1</v>
      </c>
      <c r="L2062" s="38">
        <f t="shared" si="32"/>
        <v>57.47</v>
      </c>
      <c r="M2062" s="35" t="s">
        <v>11</v>
      </c>
      <c r="N2062" s="38"/>
      <c r="O2062" s="35" t="s">
        <v>12</v>
      </c>
    </row>
    <row r="2063" spans="1:15" x14ac:dyDescent="0.25">
      <c r="A2063" s="35">
        <v>1159094593</v>
      </c>
      <c r="B2063" s="35" t="s">
        <v>3527</v>
      </c>
      <c r="C2063" s="35">
        <v>2024</v>
      </c>
      <c r="D2063" s="36">
        <v>45440.670069444437</v>
      </c>
      <c r="E2063" s="37" t="s">
        <v>2327</v>
      </c>
      <c r="F2063" s="37" t="s">
        <v>3977</v>
      </c>
      <c r="G2063" s="37" t="s">
        <v>3621</v>
      </c>
      <c r="H2063" s="35" t="s">
        <v>3419</v>
      </c>
      <c r="I2063" s="35" t="s">
        <v>3416</v>
      </c>
      <c r="J2063" s="38">
        <v>3.4033333333333342</v>
      </c>
      <c r="K2063" s="35">
        <v>6</v>
      </c>
      <c r="L2063" s="38">
        <f t="shared" si="32"/>
        <v>20.420000000000005</v>
      </c>
      <c r="M2063" s="35" t="s">
        <v>11</v>
      </c>
      <c r="N2063" s="38"/>
      <c r="O2063" s="35" t="s">
        <v>12</v>
      </c>
    </row>
    <row r="2064" spans="1:15" x14ac:dyDescent="0.25">
      <c r="A2064" s="35">
        <v>1158035070</v>
      </c>
      <c r="B2064" s="35" t="s">
        <v>3527</v>
      </c>
      <c r="C2064" s="35">
        <v>2024</v>
      </c>
      <c r="D2064" s="36">
        <v>45432.534814814811</v>
      </c>
      <c r="E2064" s="37" t="s">
        <v>755</v>
      </c>
      <c r="F2064" s="37" t="s">
        <v>5076</v>
      </c>
      <c r="G2064" s="37" t="s">
        <v>3729</v>
      </c>
      <c r="H2064" s="35" t="s">
        <v>3419</v>
      </c>
      <c r="I2064" s="35" t="s">
        <v>3416</v>
      </c>
      <c r="J2064" s="38">
        <v>3.61</v>
      </c>
      <c r="K2064" s="35">
        <v>2</v>
      </c>
      <c r="L2064" s="38">
        <f t="shared" si="32"/>
        <v>7.22</v>
      </c>
      <c r="M2064" s="35" t="s">
        <v>11</v>
      </c>
      <c r="N2064" s="38"/>
      <c r="O2064" s="35" t="s">
        <v>12</v>
      </c>
    </row>
    <row r="2065" spans="1:15" x14ac:dyDescent="0.25">
      <c r="A2065" s="35">
        <v>1157957477</v>
      </c>
      <c r="B2065" s="35" t="s">
        <v>3527</v>
      </c>
      <c r="C2065" s="35">
        <v>2024</v>
      </c>
      <c r="D2065" s="36">
        <v>45431.820960648147</v>
      </c>
      <c r="E2065" s="37" t="s">
        <v>2344</v>
      </c>
      <c r="F2065" s="37" t="s">
        <v>4138</v>
      </c>
      <c r="G2065" s="37" t="s">
        <v>3945</v>
      </c>
      <c r="H2065" s="35" t="s">
        <v>3419</v>
      </c>
      <c r="I2065" s="35" t="s">
        <v>3530</v>
      </c>
      <c r="J2065" s="38">
        <v>64.47</v>
      </c>
      <c r="K2065" s="35">
        <v>1</v>
      </c>
      <c r="L2065" s="38">
        <f t="shared" si="32"/>
        <v>64.47</v>
      </c>
      <c r="M2065" s="35" t="s">
        <v>11</v>
      </c>
      <c r="N2065" s="38"/>
      <c r="O2065" s="35" t="s">
        <v>12</v>
      </c>
    </row>
    <row r="2066" spans="1:15" x14ac:dyDescent="0.25">
      <c r="A2066" s="35">
        <v>1157730166</v>
      </c>
      <c r="B2066" s="35" t="s">
        <v>3527</v>
      </c>
      <c r="C2066" s="35">
        <v>2024</v>
      </c>
      <c r="D2066" s="36">
        <v>45429.78802083333</v>
      </c>
      <c r="E2066" s="37" t="s">
        <v>762</v>
      </c>
      <c r="F2066" s="37" t="s">
        <v>5079</v>
      </c>
      <c r="G2066" s="37" t="s">
        <v>3967</v>
      </c>
      <c r="H2066" s="35" t="s">
        <v>3419</v>
      </c>
      <c r="I2066" s="35" t="s">
        <v>3416</v>
      </c>
      <c r="J2066" s="38">
        <v>67.734999999999999</v>
      </c>
      <c r="K2066" s="35">
        <v>2</v>
      </c>
      <c r="L2066" s="38">
        <f t="shared" si="32"/>
        <v>135.47</v>
      </c>
      <c r="M2066" s="35" t="s">
        <v>11</v>
      </c>
      <c r="N2066" s="38"/>
      <c r="O2066" s="35" t="s">
        <v>12</v>
      </c>
    </row>
    <row r="2067" spans="1:15" x14ac:dyDescent="0.25">
      <c r="A2067" s="35">
        <v>1157730107</v>
      </c>
      <c r="B2067" s="35" t="s">
        <v>3527</v>
      </c>
      <c r="C2067" s="35">
        <v>2024</v>
      </c>
      <c r="D2067" s="36">
        <v>45429.787662037037</v>
      </c>
      <c r="E2067" s="37" t="s">
        <v>762</v>
      </c>
      <c r="F2067" s="37" t="s">
        <v>5079</v>
      </c>
      <c r="G2067" s="37" t="s">
        <v>3967</v>
      </c>
      <c r="H2067" s="35" t="s">
        <v>3419</v>
      </c>
      <c r="I2067" s="35" t="s">
        <v>3416</v>
      </c>
      <c r="J2067" s="38">
        <v>67.734999999999999</v>
      </c>
      <c r="K2067" s="35">
        <v>2</v>
      </c>
      <c r="L2067" s="38">
        <f t="shared" si="32"/>
        <v>135.47</v>
      </c>
      <c r="M2067" s="35" t="s">
        <v>11</v>
      </c>
      <c r="N2067" s="38"/>
      <c r="O2067" s="35" t="s">
        <v>12</v>
      </c>
    </row>
    <row r="2068" spans="1:15" x14ac:dyDescent="0.25">
      <c r="A2068" s="35">
        <v>1157729481</v>
      </c>
      <c r="B2068" s="35" t="s">
        <v>3527</v>
      </c>
      <c r="C2068" s="35">
        <v>2024</v>
      </c>
      <c r="D2068" s="36">
        <v>45429.784768518519</v>
      </c>
      <c r="E2068" s="37" t="s">
        <v>2353</v>
      </c>
      <c r="F2068" s="37" t="s">
        <v>5001</v>
      </c>
      <c r="G2068" s="37" t="s">
        <v>3967</v>
      </c>
      <c r="H2068" s="35" t="s">
        <v>3419</v>
      </c>
      <c r="I2068" s="35" t="s">
        <v>3416</v>
      </c>
      <c r="J2068" s="38">
        <v>54.734999999999999</v>
      </c>
      <c r="K2068" s="35">
        <v>1</v>
      </c>
      <c r="L2068" s="38">
        <f t="shared" si="32"/>
        <v>54.734999999999999</v>
      </c>
      <c r="M2068" s="35" t="s">
        <v>11</v>
      </c>
      <c r="N2068" s="38"/>
      <c r="O2068" s="35" t="s">
        <v>12</v>
      </c>
    </row>
    <row r="2069" spans="1:15" x14ac:dyDescent="0.25">
      <c r="A2069" s="35">
        <v>1157729481</v>
      </c>
      <c r="B2069" s="35" t="s">
        <v>3527</v>
      </c>
      <c r="C2069" s="35">
        <v>2024</v>
      </c>
      <c r="D2069" s="36">
        <v>45429.784768518519</v>
      </c>
      <c r="E2069" s="37" t="s">
        <v>2353</v>
      </c>
      <c r="F2069" s="37" t="s">
        <v>5001</v>
      </c>
      <c r="G2069" s="37" t="s">
        <v>3967</v>
      </c>
      <c r="H2069" s="35" t="s">
        <v>3419</v>
      </c>
      <c r="I2069" s="35" t="s">
        <v>3416</v>
      </c>
      <c r="J2069" s="38">
        <v>54.734999999999999</v>
      </c>
      <c r="K2069" s="35">
        <v>1</v>
      </c>
      <c r="L2069" s="38">
        <f t="shared" si="32"/>
        <v>54.734999999999999</v>
      </c>
      <c r="M2069" s="35" t="s">
        <v>11</v>
      </c>
      <c r="N2069" s="38"/>
      <c r="O2069" s="35" t="s">
        <v>12</v>
      </c>
    </row>
    <row r="2070" spans="1:15" x14ac:dyDescent="0.25">
      <c r="A2070" s="35">
        <v>1157729479</v>
      </c>
      <c r="B2070" s="35" t="s">
        <v>3527</v>
      </c>
      <c r="C2070" s="35">
        <v>2024</v>
      </c>
      <c r="D2070" s="36">
        <v>45429.784768518519</v>
      </c>
      <c r="E2070" s="37" t="s">
        <v>2355</v>
      </c>
      <c r="F2070" s="37" t="s">
        <v>5001</v>
      </c>
      <c r="G2070" s="37" t="s">
        <v>3967</v>
      </c>
      <c r="H2070" s="35" t="s">
        <v>3419</v>
      </c>
      <c r="I2070" s="35" t="s">
        <v>3416</v>
      </c>
      <c r="J2070" s="38">
        <v>48.47</v>
      </c>
      <c r="K2070" s="35">
        <v>1</v>
      </c>
      <c r="L2070" s="38">
        <f t="shared" si="32"/>
        <v>48.47</v>
      </c>
      <c r="M2070" s="35" t="s">
        <v>11</v>
      </c>
      <c r="N2070" s="38"/>
      <c r="O2070" s="35" t="s">
        <v>12</v>
      </c>
    </row>
    <row r="2071" spans="1:15" x14ac:dyDescent="0.25">
      <c r="A2071" s="35">
        <v>1157729478</v>
      </c>
      <c r="B2071" s="35" t="s">
        <v>3527</v>
      </c>
      <c r="C2071" s="35">
        <v>2024</v>
      </c>
      <c r="D2071" s="36">
        <v>45429.784768518519</v>
      </c>
      <c r="E2071" s="37" t="s">
        <v>2357</v>
      </c>
      <c r="F2071" s="37" t="s">
        <v>5001</v>
      </c>
      <c r="G2071" s="37" t="s">
        <v>3967</v>
      </c>
      <c r="H2071" s="35" t="s">
        <v>3419</v>
      </c>
      <c r="I2071" s="35" t="s">
        <v>3416</v>
      </c>
      <c r="J2071" s="38">
        <v>57.96</v>
      </c>
      <c r="K2071" s="35">
        <v>1</v>
      </c>
      <c r="L2071" s="38">
        <f t="shared" si="32"/>
        <v>57.96</v>
      </c>
      <c r="M2071" s="35" t="s">
        <v>11</v>
      </c>
      <c r="N2071" s="38"/>
      <c r="O2071" s="35" t="s">
        <v>12</v>
      </c>
    </row>
    <row r="2072" spans="1:15" x14ac:dyDescent="0.25">
      <c r="A2072" s="35">
        <v>1157718280</v>
      </c>
      <c r="B2072" s="35" t="s">
        <v>3527</v>
      </c>
      <c r="C2072" s="35">
        <v>2024</v>
      </c>
      <c r="D2072" s="36">
        <v>45429.701967592591</v>
      </c>
      <c r="E2072" s="37" t="s">
        <v>2359</v>
      </c>
      <c r="F2072" s="37" t="s">
        <v>4954</v>
      </c>
      <c r="G2072" s="37" t="s">
        <v>3967</v>
      </c>
      <c r="H2072" s="35" t="s">
        <v>3419</v>
      </c>
      <c r="I2072" s="35" t="s">
        <v>3416</v>
      </c>
      <c r="J2072" s="38">
        <v>60.234999999999999</v>
      </c>
      <c r="K2072" s="35">
        <v>2</v>
      </c>
      <c r="L2072" s="38">
        <f t="shared" si="32"/>
        <v>120.47</v>
      </c>
      <c r="M2072" s="35" t="s">
        <v>11</v>
      </c>
      <c r="N2072" s="38"/>
      <c r="O2072" s="35" t="s">
        <v>12</v>
      </c>
    </row>
    <row r="2073" spans="1:15" x14ac:dyDescent="0.25">
      <c r="A2073" s="35">
        <v>1157718189</v>
      </c>
      <c r="B2073" s="35" t="s">
        <v>3527</v>
      </c>
      <c r="C2073" s="35">
        <v>2024</v>
      </c>
      <c r="D2073" s="36">
        <v>45429.701504629629</v>
      </c>
      <c r="E2073" s="37" t="s">
        <v>2359</v>
      </c>
      <c r="F2073" s="37" t="s">
        <v>4954</v>
      </c>
      <c r="G2073" s="37" t="s">
        <v>3967</v>
      </c>
      <c r="H2073" s="35" t="s">
        <v>3419</v>
      </c>
      <c r="I2073" s="35" t="s">
        <v>3416</v>
      </c>
      <c r="J2073" s="38">
        <v>60.234999999999999</v>
      </c>
      <c r="K2073" s="35">
        <v>2</v>
      </c>
      <c r="L2073" s="38">
        <f t="shared" si="32"/>
        <v>120.47</v>
      </c>
      <c r="M2073" s="35" t="s">
        <v>11</v>
      </c>
      <c r="N2073" s="38"/>
      <c r="O2073" s="35" t="s">
        <v>12</v>
      </c>
    </row>
    <row r="2074" spans="1:15" x14ac:dyDescent="0.25">
      <c r="A2074" s="35">
        <v>1157693233</v>
      </c>
      <c r="B2074" s="35" t="s">
        <v>3527</v>
      </c>
      <c r="C2074" s="35">
        <v>2024</v>
      </c>
      <c r="D2074" s="36">
        <v>45429.604386574072</v>
      </c>
      <c r="E2074" s="37" t="s">
        <v>2361</v>
      </c>
      <c r="F2074" s="37" t="s">
        <v>5080</v>
      </c>
      <c r="G2074" s="37" t="s">
        <v>3967</v>
      </c>
      <c r="H2074" s="35" t="s">
        <v>3419</v>
      </c>
      <c r="I2074" s="35" t="s">
        <v>3416</v>
      </c>
      <c r="J2074" s="38">
        <v>145.47</v>
      </c>
      <c r="K2074" s="35">
        <v>1</v>
      </c>
      <c r="L2074" s="38">
        <f t="shared" si="32"/>
        <v>145.47</v>
      </c>
      <c r="M2074" s="35" t="s">
        <v>11</v>
      </c>
      <c r="N2074" s="38"/>
      <c r="O2074" s="35" t="s">
        <v>12</v>
      </c>
    </row>
    <row r="2075" spans="1:15" x14ac:dyDescent="0.25">
      <c r="A2075" s="35">
        <v>1157623372</v>
      </c>
      <c r="B2075" s="35" t="s">
        <v>3527</v>
      </c>
      <c r="C2075" s="35">
        <v>2024</v>
      </c>
      <c r="D2075" s="36">
        <v>45428.844050925924</v>
      </c>
      <c r="E2075" s="37" t="s">
        <v>2365</v>
      </c>
      <c r="F2075" s="37" t="s">
        <v>5084</v>
      </c>
      <c r="G2075" s="37" t="s">
        <v>4019</v>
      </c>
      <c r="H2075" s="35" t="s">
        <v>3419</v>
      </c>
      <c r="I2075" s="35" t="s">
        <v>3453</v>
      </c>
      <c r="J2075" s="38">
        <v>0.58133333333333337</v>
      </c>
      <c r="K2075" s="35">
        <v>1</v>
      </c>
      <c r="L2075" s="38">
        <f t="shared" si="32"/>
        <v>0.58133333333333337</v>
      </c>
      <c r="M2075" s="35" t="s">
        <v>11</v>
      </c>
      <c r="N2075" s="38"/>
      <c r="O2075" s="35" t="s">
        <v>12</v>
      </c>
    </row>
    <row r="2076" spans="1:15" x14ac:dyDescent="0.25">
      <c r="A2076" s="35">
        <v>1157623372</v>
      </c>
      <c r="B2076" s="35" t="s">
        <v>3527</v>
      </c>
      <c r="C2076" s="35">
        <v>2024</v>
      </c>
      <c r="D2076" s="36">
        <v>45428.844050925924</v>
      </c>
      <c r="E2076" s="37" t="s">
        <v>2365</v>
      </c>
      <c r="F2076" s="37" t="s">
        <v>4064</v>
      </c>
      <c r="G2076" s="37" t="s">
        <v>3886</v>
      </c>
      <c r="H2076" s="35" t="s">
        <v>3419</v>
      </c>
      <c r="I2076" s="35" t="s">
        <v>3453</v>
      </c>
      <c r="J2076" s="38">
        <v>4.0693333333333328</v>
      </c>
      <c r="K2076" s="35">
        <v>2</v>
      </c>
      <c r="L2076" s="38">
        <f t="shared" si="32"/>
        <v>8.1386666666666656</v>
      </c>
      <c r="M2076" s="35" t="s">
        <v>11</v>
      </c>
      <c r="N2076" s="38"/>
      <c r="O2076" s="35" t="s">
        <v>12</v>
      </c>
    </row>
    <row r="2077" spans="1:15" x14ac:dyDescent="0.25">
      <c r="A2077" s="35">
        <v>1157618950</v>
      </c>
      <c r="B2077" s="35" t="s">
        <v>3527</v>
      </c>
      <c r="C2077" s="35">
        <v>2024</v>
      </c>
      <c r="D2077" s="36">
        <v>45428.844050925924</v>
      </c>
      <c r="E2077" s="37" t="s">
        <v>414</v>
      </c>
      <c r="F2077" s="37" t="s">
        <v>3986</v>
      </c>
      <c r="G2077" s="37" t="s">
        <v>3805</v>
      </c>
      <c r="H2077" s="35" t="s">
        <v>3419</v>
      </c>
      <c r="I2077" s="35" t="s">
        <v>3453</v>
      </c>
      <c r="J2077" s="38">
        <v>4.1000000000000014</v>
      </c>
      <c r="K2077" s="35">
        <v>2</v>
      </c>
      <c r="L2077" s="38">
        <f t="shared" si="32"/>
        <v>8.2000000000000028</v>
      </c>
      <c r="M2077" s="35" t="s">
        <v>11</v>
      </c>
      <c r="N2077" s="38"/>
      <c r="O2077" s="35" t="s">
        <v>12</v>
      </c>
    </row>
    <row r="2078" spans="1:15" x14ac:dyDescent="0.25">
      <c r="A2078" s="35">
        <v>1157618832</v>
      </c>
      <c r="B2078" s="35" t="s">
        <v>3527</v>
      </c>
      <c r="C2078" s="35">
        <v>2024</v>
      </c>
      <c r="D2078" s="36">
        <v>45428.844050925924</v>
      </c>
      <c r="E2078" s="37" t="s">
        <v>2368</v>
      </c>
      <c r="F2078" s="37" t="s">
        <v>5084</v>
      </c>
      <c r="G2078" s="37" t="s">
        <v>4019</v>
      </c>
      <c r="H2078" s="35" t="s">
        <v>3419</v>
      </c>
      <c r="I2078" s="35" t="s">
        <v>3453</v>
      </c>
      <c r="J2078" s="38">
        <v>1.8</v>
      </c>
      <c r="K2078" s="35">
        <v>3</v>
      </c>
      <c r="L2078" s="38">
        <f t="shared" si="32"/>
        <v>5.4</v>
      </c>
      <c r="M2078" s="35" t="s">
        <v>11</v>
      </c>
      <c r="N2078" s="38"/>
      <c r="O2078" s="35" t="s">
        <v>12</v>
      </c>
    </row>
    <row r="2079" spans="1:15" x14ac:dyDescent="0.25">
      <c r="A2079" s="35">
        <v>1157563794</v>
      </c>
      <c r="B2079" s="35" t="s">
        <v>3527</v>
      </c>
      <c r="C2079" s="35">
        <v>2024</v>
      </c>
      <c r="D2079" s="36">
        <v>45428.510312500002</v>
      </c>
      <c r="E2079" s="37" t="s">
        <v>494</v>
      </c>
      <c r="F2079" s="37" t="s">
        <v>5085</v>
      </c>
      <c r="G2079" s="37" t="s">
        <v>3839</v>
      </c>
      <c r="H2079" s="35" t="s">
        <v>3419</v>
      </c>
      <c r="I2079" s="35" t="s">
        <v>3453</v>
      </c>
      <c r="J2079" s="38">
        <v>2.2440000000000002</v>
      </c>
      <c r="K2079" s="35">
        <v>3</v>
      </c>
      <c r="L2079" s="38">
        <f t="shared" si="32"/>
        <v>6.7320000000000011</v>
      </c>
      <c r="M2079" s="35" t="s">
        <v>11</v>
      </c>
      <c r="N2079" s="38"/>
      <c r="O2079" s="35" t="s">
        <v>12</v>
      </c>
    </row>
    <row r="2080" spans="1:15" x14ac:dyDescent="0.25">
      <c r="A2080" s="35">
        <v>1157563794</v>
      </c>
      <c r="B2080" s="35" t="s">
        <v>3527</v>
      </c>
      <c r="C2080" s="35">
        <v>2024</v>
      </c>
      <c r="D2080" s="36">
        <v>45428.510312500002</v>
      </c>
      <c r="E2080" s="37" t="s">
        <v>494</v>
      </c>
      <c r="F2080" s="37" t="s">
        <v>5086</v>
      </c>
      <c r="G2080" s="37" t="s">
        <v>3786</v>
      </c>
      <c r="H2080" s="35" t="s">
        <v>3419</v>
      </c>
      <c r="I2080" s="35" t="s">
        <v>3453</v>
      </c>
      <c r="J2080" s="38">
        <v>1.4025000000000001</v>
      </c>
      <c r="K2080" s="35">
        <v>2</v>
      </c>
      <c r="L2080" s="38">
        <f t="shared" si="32"/>
        <v>2.8050000000000002</v>
      </c>
      <c r="M2080" s="35" t="s">
        <v>11</v>
      </c>
      <c r="N2080" s="38"/>
      <c r="O2080" s="35" t="s">
        <v>12</v>
      </c>
    </row>
    <row r="2081" spans="1:15" x14ac:dyDescent="0.25">
      <c r="A2081" s="35">
        <v>1157563794</v>
      </c>
      <c r="B2081" s="35" t="s">
        <v>3527</v>
      </c>
      <c r="C2081" s="35">
        <v>2024</v>
      </c>
      <c r="D2081" s="36">
        <v>45428.510312500002</v>
      </c>
      <c r="E2081" s="37" t="s">
        <v>494</v>
      </c>
      <c r="F2081" s="37" t="s">
        <v>4266</v>
      </c>
      <c r="G2081" s="37" t="s">
        <v>3882</v>
      </c>
      <c r="H2081" s="35" t="s">
        <v>3419</v>
      </c>
      <c r="I2081" s="35" t="s">
        <v>3453</v>
      </c>
      <c r="J2081" s="38">
        <v>0.84150000000000003</v>
      </c>
      <c r="K2081" s="35">
        <v>2</v>
      </c>
      <c r="L2081" s="38">
        <f t="shared" si="32"/>
        <v>1.6830000000000001</v>
      </c>
      <c r="M2081" s="35" t="s">
        <v>11</v>
      </c>
      <c r="N2081" s="38"/>
      <c r="O2081" s="35" t="s">
        <v>12</v>
      </c>
    </row>
    <row r="2082" spans="1:15" x14ac:dyDescent="0.25">
      <c r="A2082" s="35">
        <v>1157532571</v>
      </c>
      <c r="B2082" s="35" t="s">
        <v>3527</v>
      </c>
      <c r="C2082" s="35">
        <v>2024</v>
      </c>
      <c r="D2082" s="36">
        <v>45428.256516203714</v>
      </c>
      <c r="E2082" s="37" t="s">
        <v>2371</v>
      </c>
      <c r="F2082" s="37" t="s">
        <v>5087</v>
      </c>
      <c r="G2082" s="37" t="s">
        <v>3696</v>
      </c>
      <c r="H2082" s="35" t="s">
        <v>3419</v>
      </c>
      <c r="I2082" s="35" t="s">
        <v>3453</v>
      </c>
      <c r="J2082" s="38">
        <v>1.7044692737430169</v>
      </c>
      <c r="K2082" s="35">
        <v>1</v>
      </c>
      <c r="L2082" s="38">
        <f t="shared" si="32"/>
        <v>1.7044692737430169</v>
      </c>
      <c r="M2082" s="35" t="s">
        <v>11</v>
      </c>
      <c r="N2082" s="38"/>
      <c r="O2082" s="35" t="s">
        <v>12</v>
      </c>
    </row>
    <row r="2083" spans="1:15" x14ac:dyDescent="0.25">
      <c r="A2083" s="35">
        <v>1157532571</v>
      </c>
      <c r="B2083" s="35" t="s">
        <v>3527</v>
      </c>
      <c r="C2083" s="35">
        <v>2024</v>
      </c>
      <c r="D2083" s="36">
        <v>45428.256516203714</v>
      </c>
      <c r="E2083" s="37" t="s">
        <v>2371</v>
      </c>
      <c r="F2083" s="37" t="s">
        <v>5088</v>
      </c>
      <c r="G2083" s="37" t="s">
        <v>3839</v>
      </c>
      <c r="H2083" s="35" t="s">
        <v>3419</v>
      </c>
      <c r="I2083" s="35" t="s">
        <v>3453</v>
      </c>
      <c r="J2083" s="38">
        <v>4.4884357541899442</v>
      </c>
      <c r="K2083" s="35">
        <v>1</v>
      </c>
      <c r="L2083" s="38">
        <f t="shared" si="32"/>
        <v>4.4884357541899442</v>
      </c>
      <c r="M2083" s="35" t="s">
        <v>11</v>
      </c>
      <c r="N2083" s="38"/>
      <c r="O2083" s="35" t="s">
        <v>12</v>
      </c>
    </row>
    <row r="2084" spans="1:15" x14ac:dyDescent="0.25">
      <c r="A2084" s="35">
        <v>1157532571</v>
      </c>
      <c r="B2084" s="35" t="s">
        <v>3527</v>
      </c>
      <c r="C2084" s="35">
        <v>2024</v>
      </c>
      <c r="D2084" s="36">
        <v>45428.256516203714</v>
      </c>
      <c r="E2084" s="37" t="s">
        <v>2371</v>
      </c>
      <c r="F2084" s="37" t="s">
        <v>3946</v>
      </c>
      <c r="G2084" s="37" t="s">
        <v>3947</v>
      </c>
      <c r="H2084" s="35" t="s">
        <v>3419</v>
      </c>
      <c r="I2084" s="35" t="s">
        <v>3453</v>
      </c>
      <c r="J2084" s="38">
        <v>3.977094972067039</v>
      </c>
      <c r="K2084" s="35">
        <v>1</v>
      </c>
      <c r="L2084" s="38">
        <f t="shared" si="32"/>
        <v>3.977094972067039</v>
      </c>
      <c r="M2084" s="35" t="s">
        <v>11</v>
      </c>
      <c r="N2084" s="38"/>
      <c r="O2084" s="35" t="s">
        <v>12</v>
      </c>
    </row>
    <row r="2085" spans="1:15" x14ac:dyDescent="0.25">
      <c r="A2085" s="35">
        <v>1157531990</v>
      </c>
      <c r="B2085" s="35" t="s">
        <v>3527</v>
      </c>
      <c r="C2085" s="35">
        <v>2024</v>
      </c>
      <c r="D2085" s="36">
        <v>45428.256516203714</v>
      </c>
      <c r="E2085" s="37" t="s">
        <v>1400</v>
      </c>
      <c r="F2085" s="37" t="s">
        <v>5087</v>
      </c>
      <c r="G2085" s="37" t="s">
        <v>3696</v>
      </c>
      <c r="H2085" s="35" t="s">
        <v>3419</v>
      </c>
      <c r="I2085" s="35" t="s">
        <v>3453</v>
      </c>
      <c r="J2085" s="38">
        <v>2.1119266055045869</v>
      </c>
      <c r="K2085" s="35">
        <v>3</v>
      </c>
      <c r="L2085" s="38">
        <f t="shared" si="32"/>
        <v>6.3357798165137602</v>
      </c>
      <c r="M2085" s="35" t="s">
        <v>11</v>
      </c>
      <c r="N2085" s="38"/>
      <c r="O2085" s="35" t="s">
        <v>12</v>
      </c>
    </row>
    <row r="2086" spans="1:15" x14ac:dyDescent="0.25">
      <c r="A2086" s="35">
        <v>1157531990</v>
      </c>
      <c r="B2086" s="35" t="s">
        <v>3527</v>
      </c>
      <c r="C2086" s="35">
        <v>2024</v>
      </c>
      <c r="D2086" s="36">
        <v>45428.256516203714</v>
      </c>
      <c r="E2086" s="37" t="s">
        <v>1400</v>
      </c>
      <c r="F2086" s="37" t="s">
        <v>5089</v>
      </c>
      <c r="G2086" s="37" t="s">
        <v>3839</v>
      </c>
      <c r="H2086" s="35" t="s">
        <v>3415</v>
      </c>
      <c r="I2086" s="35" t="s">
        <v>3453</v>
      </c>
      <c r="J2086" s="38">
        <v>4.1710550458715598</v>
      </c>
      <c r="K2086" s="35">
        <v>4</v>
      </c>
      <c r="L2086" s="38">
        <f t="shared" si="32"/>
        <v>16.684220183486239</v>
      </c>
      <c r="M2086" s="35" t="s">
        <v>11</v>
      </c>
      <c r="N2086" s="38"/>
      <c r="O2086" s="35" t="s">
        <v>12</v>
      </c>
    </row>
    <row r="2087" spans="1:15" x14ac:dyDescent="0.25">
      <c r="A2087" s="35">
        <v>1157337467</v>
      </c>
      <c r="B2087" s="35" t="s">
        <v>3527</v>
      </c>
      <c r="C2087" s="35">
        <v>2024</v>
      </c>
      <c r="D2087" s="36">
        <v>45426.702418981477</v>
      </c>
      <c r="E2087" s="37" t="s">
        <v>469</v>
      </c>
      <c r="F2087" s="37" t="s">
        <v>5090</v>
      </c>
      <c r="G2087" s="37" t="s">
        <v>3696</v>
      </c>
      <c r="H2087" s="35" t="s">
        <v>3419</v>
      </c>
      <c r="I2087" s="35" t="s">
        <v>3453</v>
      </c>
      <c r="J2087" s="38">
        <v>1.3585118149824029</v>
      </c>
      <c r="K2087" s="35">
        <v>2</v>
      </c>
      <c r="L2087" s="38">
        <f t="shared" si="32"/>
        <v>2.7170236299648058</v>
      </c>
      <c r="M2087" s="35" t="s">
        <v>11</v>
      </c>
      <c r="N2087" s="38"/>
      <c r="O2087" s="35" t="s">
        <v>12</v>
      </c>
    </row>
    <row r="2088" spans="1:15" x14ac:dyDescent="0.25">
      <c r="A2088" s="35">
        <v>1157337467</v>
      </c>
      <c r="B2088" s="35" t="s">
        <v>3527</v>
      </c>
      <c r="C2088" s="35">
        <v>2024</v>
      </c>
      <c r="D2088" s="36">
        <v>45426.702418981477</v>
      </c>
      <c r="E2088" s="37" t="s">
        <v>469</v>
      </c>
      <c r="F2088" s="37" t="s">
        <v>5085</v>
      </c>
      <c r="G2088" s="37" t="s">
        <v>3839</v>
      </c>
      <c r="H2088" s="35" t="s">
        <v>3419</v>
      </c>
      <c r="I2088" s="35" t="s">
        <v>3453</v>
      </c>
      <c r="J2088" s="38">
        <v>0.90213675213675215</v>
      </c>
      <c r="K2088" s="35">
        <v>1</v>
      </c>
      <c r="L2088" s="38">
        <f t="shared" si="32"/>
        <v>0.90213675213675215</v>
      </c>
      <c r="M2088" s="35" t="s">
        <v>11</v>
      </c>
      <c r="N2088" s="38"/>
      <c r="O2088" s="35" t="s">
        <v>12</v>
      </c>
    </row>
    <row r="2089" spans="1:15" x14ac:dyDescent="0.25">
      <c r="A2089" s="35">
        <v>1157337467</v>
      </c>
      <c r="B2089" s="35" t="s">
        <v>3527</v>
      </c>
      <c r="C2089" s="35">
        <v>2024</v>
      </c>
      <c r="D2089" s="36">
        <v>45426.702418981477</v>
      </c>
      <c r="E2089" s="37" t="s">
        <v>469</v>
      </c>
      <c r="F2089" s="37" t="s">
        <v>5091</v>
      </c>
      <c r="G2089" s="37" t="s">
        <v>3862</v>
      </c>
      <c r="H2089" s="35" t="s">
        <v>3419</v>
      </c>
      <c r="I2089" s="35" t="s">
        <v>3453</v>
      </c>
      <c r="J2089" s="38">
        <v>3.1733986928104581</v>
      </c>
      <c r="K2089" s="35">
        <v>1</v>
      </c>
      <c r="L2089" s="38">
        <f t="shared" si="32"/>
        <v>3.1733986928104581</v>
      </c>
      <c r="M2089" s="35" t="s">
        <v>11</v>
      </c>
      <c r="N2089" s="38"/>
      <c r="O2089" s="35" t="s">
        <v>12</v>
      </c>
    </row>
    <row r="2090" spans="1:15" x14ac:dyDescent="0.25">
      <c r="A2090" s="35">
        <v>1157337467</v>
      </c>
      <c r="B2090" s="35" t="s">
        <v>3527</v>
      </c>
      <c r="C2090" s="35">
        <v>2024</v>
      </c>
      <c r="D2090" s="36">
        <v>45426.702418981477</v>
      </c>
      <c r="E2090" s="37" t="s">
        <v>469</v>
      </c>
      <c r="F2090" s="37" t="s">
        <v>5092</v>
      </c>
      <c r="G2090" s="37" t="s">
        <v>3839</v>
      </c>
      <c r="H2090" s="35" t="s">
        <v>3419</v>
      </c>
      <c r="I2090" s="35" t="s">
        <v>3453</v>
      </c>
      <c r="J2090" s="38">
        <v>2.5153695324283558</v>
      </c>
      <c r="K2090" s="35">
        <v>1</v>
      </c>
      <c r="L2090" s="38">
        <f t="shared" si="32"/>
        <v>2.5153695324283558</v>
      </c>
      <c r="M2090" s="35" t="s">
        <v>11</v>
      </c>
      <c r="N2090" s="38"/>
      <c r="O2090" s="35" t="s">
        <v>12</v>
      </c>
    </row>
    <row r="2091" spans="1:15" x14ac:dyDescent="0.25">
      <c r="A2091" s="35">
        <v>1157337467</v>
      </c>
      <c r="B2091" s="35" t="s">
        <v>3527</v>
      </c>
      <c r="C2091" s="35">
        <v>2024</v>
      </c>
      <c r="D2091" s="36">
        <v>45426.702418981477</v>
      </c>
      <c r="E2091" s="37" t="s">
        <v>469</v>
      </c>
      <c r="F2091" s="37" t="s">
        <v>5093</v>
      </c>
      <c r="G2091" s="37" t="s">
        <v>3839</v>
      </c>
      <c r="H2091" s="35" t="s">
        <v>3415</v>
      </c>
      <c r="I2091" s="35" t="s">
        <v>3453</v>
      </c>
      <c r="J2091" s="38">
        <v>1.5920060331825041</v>
      </c>
      <c r="K2091" s="35">
        <v>4</v>
      </c>
      <c r="L2091" s="38">
        <f t="shared" si="32"/>
        <v>6.3680241327300164</v>
      </c>
      <c r="M2091" s="35" t="s">
        <v>11</v>
      </c>
      <c r="N2091" s="38"/>
      <c r="O2091" s="35" t="s">
        <v>12</v>
      </c>
    </row>
    <row r="2092" spans="1:15" x14ac:dyDescent="0.25">
      <c r="A2092" s="35">
        <v>1157337467</v>
      </c>
      <c r="B2092" s="35" t="s">
        <v>3527</v>
      </c>
      <c r="C2092" s="35">
        <v>2024</v>
      </c>
      <c r="D2092" s="36">
        <v>45426.702418981477</v>
      </c>
      <c r="E2092" s="37" t="s">
        <v>469</v>
      </c>
      <c r="F2092" s="37" t="s">
        <v>5094</v>
      </c>
      <c r="G2092" s="37" t="s">
        <v>3696</v>
      </c>
      <c r="H2092" s="35" t="s">
        <v>3415</v>
      </c>
      <c r="I2092" s="35" t="s">
        <v>3453</v>
      </c>
      <c r="J2092" s="38">
        <v>1.3585118149824029</v>
      </c>
      <c r="K2092" s="35">
        <v>4</v>
      </c>
      <c r="L2092" s="38">
        <f t="shared" si="32"/>
        <v>5.4340472599296117</v>
      </c>
      <c r="M2092" s="35" t="s">
        <v>11</v>
      </c>
      <c r="N2092" s="38"/>
      <c r="O2092" s="35" t="s">
        <v>12</v>
      </c>
    </row>
    <row r="2093" spans="1:15" x14ac:dyDescent="0.25">
      <c r="A2093" s="35">
        <v>1157044005</v>
      </c>
      <c r="B2093" s="35" t="s">
        <v>3527</v>
      </c>
      <c r="C2093" s="35">
        <v>2024</v>
      </c>
      <c r="D2093" s="36">
        <v>45424.515289351853</v>
      </c>
      <c r="E2093" s="37" t="s">
        <v>2385</v>
      </c>
      <c r="F2093" s="37" t="s">
        <v>5099</v>
      </c>
      <c r="G2093" s="37" t="s">
        <v>4398</v>
      </c>
      <c r="H2093" s="35" t="s">
        <v>3415</v>
      </c>
      <c r="I2093" s="35" t="s">
        <v>3453</v>
      </c>
      <c r="J2093" s="38">
        <v>5.34</v>
      </c>
      <c r="K2093" s="35">
        <v>4</v>
      </c>
      <c r="L2093" s="38">
        <f t="shared" si="32"/>
        <v>21.36</v>
      </c>
      <c r="M2093" s="35" t="s">
        <v>11</v>
      </c>
      <c r="N2093" s="38"/>
      <c r="O2093" s="35" t="s">
        <v>12</v>
      </c>
    </row>
    <row r="2094" spans="1:15" x14ac:dyDescent="0.25">
      <c r="A2094" s="35">
        <v>1156983464</v>
      </c>
      <c r="B2094" s="35" t="s">
        <v>3527</v>
      </c>
      <c r="C2094" s="35">
        <v>2024</v>
      </c>
      <c r="D2094" s="36">
        <v>45423.852002314823</v>
      </c>
      <c r="E2094" s="37" t="s">
        <v>2387</v>
      </c>
      <c r="F2094" s="37" t="s">
        <v>5100</v>
      </c>
      <c r="G2094" s="37" t="s">
        <v>4035</v>
      </c>
      <c r="H2094" s="35" t="s">
        <v>3415</v>
      </c>
      <c r="I2094" s="35" t="s">
        <v>3640</v>
      </c>
      <c r="J2094" s="38">
        <v>2.2949999999999999</v>
      </c>
      <c r="K2094" s="35">
        <v>4</v>
      </c>
      <c r="L2094" s="38">
        <f t="shared" si="32"/>
        <v>9.18</v>
      </c>
      <c r="M2094" s="35" t="s">
        <v>11</v>
      </c>
      <c r="N2094" s="38"/>
      <c r="O2094" s="35" t="s">
        <v>12</v>
      </c>
    </row>
    <row r="2095" spans="1:15" x14ac:dyDescent="0.25">
      <c r="A2095" s="35">
        <v>1156914225</v>
      </c>
      <c r="B2095" s="35" t="s">
        <v>3527</v>
      </c>
      <c r="C2095" s="35">
        <v>2024</v>
      </c>
      <c r="D2095" s="36">
        <v>45423.347800925927</v>
      </c>
      <c r="E2095" s="37" t="s">
        <v>2390</v>
      </c>
      <c r="F2095" s="37" t="s">
        <v>5101</v>
      </c>
      <c r="G2095" s="37" t="s">
        <v>3776</v>
      </c>
      <c r="H2095" s="35" t="s">
        <v>3415</v>
      </c>
      <c r="I2095" s="35" t="s">
        <v>3416</v>
      </c>
      <c r="J2095" s="38">
        <v>1.7649999999999999</v>
      </c>
      <c r="K2095" s="35">
        <v>4</v>
      </c>
      <c r="L2095" s="38">
        <f t="shared" si="32"/>
        <v>7.06</v>
      </c>
      <c r="M2095" s="35" t="s">
        <v>11</v>
      </c>
      <c r="N2095" s="38"/>
      <c r="O2095" s="35" t="s">
        <v>12</v>
      </c>
    </row>
    <row r="2096" spans="1:15" x14ac:dyDescent="0.25">
      <c r="A2096" s="35">
        <v>1156898547</v>
      </c>
      <c r="B2096" s="35" t="s">
        <v>3527</v>
      </c>
      <c r="C2096" s="35">
        <v>2024</v>
      </c>
      <c r="D2096" s="36">
        <v>45423.001851851863</v>
      </c>
      <c r="E2096" s="37" t="s">
        <v>79</v>
      </c>
      <c r="F2096" s="37" t="s">
        <v>4804</v>
      </c>
      <c r="G2096" s="37" t="s">
        <v>5102</v>
      </c>
      <c r="H2096" s="35" t="s">
        <v>3419</v>
      </c>
      <c r="I2096" s="35" t="s">
        <v>3416</v>
      </c>
      <c r="J2096" s="38">
        <v>0.26200000000000001</v>
      </c>
      <c r="K2096" s="35">
        <v>10</v>
      </c>
      <c r="L2096" s="38">
        <f t="shared" si="32"/>
        <v>2.62</v>
      </c>
      <c r="M2096" s="35" t="s">
        <v>11</v>
      </c>
      <c r="N2096" s="38"/>
      <c r="O2096" s="35" t="s">
        <v>12</v>
      </c>
    </row>
    <row r="2097" spans="1:15" x14ac:dyDescent="0.25">
      <c r="A2097" s="35">
        <v>1156898505</v>
      </c>
      <c r="B2097" s="35" t="s">
        <v>3527</v>
      </c>
      <c r="C2097" s="35">
        <v>2024</v>
      </c>
      <c r="D2097" s="36">
        <v>45423.001851851863</v>
      </c>
      <c r="E2097" s="37" t="s">
        <v>2395</v>
      </c>
      <c r="F2097" s="37" t="s">
        <v>4796</v>
      </c>
      <c r="G2097" s="37" t="s">
        <v>5102</v>
      </c>
      <c r="H2097" s="35" t="s">
        <v>3419</v>
      </c>
      <c r="I2097" s="35" t="s">
        <v>3416</v>
      </c>
      <c r="J2097" s="38">
        <v>0.32200000000000001</v>
      </c>
      <c r="K2097" s="35">
        <v>10</v>
      </c>
      <c r="L2097" s="38">
        <f t="shared" si="32"/>
        <v>3.22</v>
      </c>
      <c r="M2097" s="35" t="s">
        <v>11</v>
      </c>
      <c r="N2097" s="38"/>
      <c r="O2097" s="35" t="s">
        <v>12</v>
      </c>
    </row>
    <row r="2098" spans="1:15" x14ac:dyDescent="0.25">
      <c r="A2098" s="35">
        <v>1156805109</v>
      </c>
      <c r="B2098" s="35" t="s">
        <v>3527</v>
      </c>
      <c r="C2098" s="35">
        <v>2024</v>
      </c>
      <c r="D2098" s="36">
        <v>45422.524814814817</v>
      </c>
      <c r="E2098" s="37" t="s">
        <v>2397</v>
      </c>
      <c r="F2098" s="37" t="s">
        <v>5105</v>
      </c>
      <c r="G2098" s="37" t="s">
        <v>4409</v>
      </c>
      <c r="H2098" s="35" t="s">
        <v>3419</v>
      </c>
      <c r="I2098" s="35" t="s">
        <v>3416</v>
      </c>
      <c r="J2098" s="38">
        <v>3.2243543543543538</v>
      </c>
      <c r="K2098" s="35">
        <v>1</v>
      </c>
      <c r="L2098" s="38">
        <f t="shared" si="32"/>
        <v>3.2243543543543538</v>
      </c>
      <c r="M2098" s="35" t="s">
        <v>11</v>
      </c>
      <c r="N2098" s="38"/>
      <c r="O2098" s="35" t="s">
        <v>12</v>
      </c>
    </row>
    <row r="2099" spans="1:15" x14ac:dyDescent="0.25">
      <c r="A2099" s="35">
        <v>1156805109</v>
      </c>
      <c r="B2099" s="35" t="s">
        <v>3527</v>
      </c>
      <c r="C2099" s="35">
        <v>2024</v>
      </c>
      <c r="D2099" s="36">
        <v>45422.524814814817</v>
      </c>
      <c r="E2099" s="37" t="s">
        <v>2397</v>
      </c>
      <c r="F2099" s="37" t="s">
        <v>5106</v>
      </c>
      <c r="G2099" s="37" t="s">
        <v>3676</v>
      </c>
      <c r="H2099" s="35" t="s">
        <v>3419</v>
      </c>
      <c r="I2099" s="35" t="s">
        <v>3453</v>
      </c>
      <c r="J2099" s="38">
        <v>0.95168168168168177</v>
      </c>
      <c r="K2099" s="35">
        <v>1</v>
      </c>
      <c r="L2099" s="38">
        <f t="shared" si="32"/>
        <v>0.95168168168168177</v>
      </c>
      <c r="M2099" s="35" t="s">
        <v>11</v>
      </c>
      <c r="N2099" s="38"/>
      <c r="O2099" s="35" t="s">
        <v>12</v>
      </c>
    </row>
    <row r="2100" spans="1:15" x14ac:dyDescent="0.25">
      <c r="A2100" s="35">
        <v>1156805109</v>
      </c>
      <c r="B2100" s="35" t="s">
        <v>3527</v>
      </c>
      <c r="C2100" s="35">
        <v>2024</v>
      </c>
      <c r="D2100" s="36">
        <v>45422.524814814817</v>
      </c>
      <c r="E2100" s="37" t="s">
        <v>2397</v>
      </c>
      <c r="F2100" s="37" t="s">
        <v>5104</v>
      </c>
      <c r="G2100" s="37" t="s">
        <v>3967</v>
      </c>
      <c r="H2100" s="35" t="s">
        <v>3419</v>
      </c>
      <c r="I2100" s="35" t="s">
        <v>3416</v>
      </c>
      <c r="J2100" s="38">
        <v>1.761321321321321</v>
      </c>
      <c r="K2100" s="35">
        <v>3</v>
      </c>
      <c r="L2100" s="38">
        <f t="shared" si="32"/>
        <v>5.2839639639639628</v>
      </c>
      <c r="M2100" s="35" t="s">
        <v>11</v>
      </c>
      <c r="N2100" s="38"/>
      <c r="O2100" s="35" t="s">
        <v>12</v>
      </c>
    </row>
    <row r="2101" spans="1:15" x14ac:dyDescent="0.25">
      <c r="A2101" s="35">
        <v>1156729027</v>
      </c>
      <c r="B2101" s="35" t="s">
        <v>3527</v>
      </c>
      <c r="C2101" s="35">
        <v>2024</v>
      </c>
      <c r="D2101" s="36">
        <v>45421.850497685176</v>
      </c>
      <c r="E2101" s="37" t="s">
        <v>414</v>
      </c>
      <c r="F2101" s="37" t="s">
        <v>5107</v>
      </c>
      <c r="G2101" s="37" t="s">
        <v>4409</v>
      </c>
      <c r="H2101" s="35" t="s">
        <v>3419</v>
      </c>
      <c r="I2101" s="35" t="s">
        <v>3453</v>
      </c>
      <c r="J2101" s="38">
        <v>17.725000000000001</v>
      </c>
      <c r="K2101" s="35">
        <v>2</v>
      </c>
      <c r="L2101" s="38">
        <f t="shared" si="32"/>
        <v>35.450000000000003</v>
      </c>
      <c r="M2101" s="35" t="s">
        <v>11</v>
      </c>
      <c r="N2101" s="38"/>
      <c r="O2101" s="35" t="s">
        <v>12</v>
      </c>
    </row>
    <row r="2102" spans="1:15" x14ac:dyDescent="0.25">
      <c r="A2102" s="35">
        <v>1156554839</v>
      </c>
      <c r="B2102" s="35" t="s">
        <v>3527</v>
      </c>
      <c r="C2102" s="35">
        <v>2024</v>
      </c>
      <c r="D2102" s="36">
        <v>45420.829942129632</v>
      </c>
      <c r="E2102" s="37" t="s">
        <v>469</v>
      </c>
      <c r="F2102" s="37" t="s">
        <v>5108</v>
      </c>
      <c r="G2102" s="37" t="s">
        <v>4072</v>
      </c>
      <c r="H2102" s="35" t="s">
        <v>3419</v>
      </c>
      <c r="I2102" s="35" t="s">
        <v>3453</v>
      </c>
      <c r="J2102" s="38">
        <v>5.6237797660013769</v>
      </c>
      <c r="K2102" s="35">
        <v>1</v>
      </c>
      <c r="L2102" s="38">
        <f t="shared" si="32"/>
        <v>5.6237797660013769</v>
      </c>
      <c r="M2102" s="35" t="s">
        <v>11</v>
      </c>
      <c r="N2102" s="38"/>
      <c r="O2102" s="35" t="s">
        <v>12</v>
      </c>
    </row>
    <row r="2103" spans="1:15" x14ac:dyDescent="0.25">
      <c r="A2103" s="35">
        <v>1156554839</v>
      </c>
      <c r="B2103" s="35" t="s">
        <v>3527</v>
      </c>
      <c r="C2103" s="35">
        <v>2024</v>
      </c>
      <c r="D2103" s="36">
        <v>45420.829942129632</v>
      </c>
      <c r="E2103" s="37" t="s">
        <v>469</v>
      </c>
      <c r="F2103" s="37" t="s">
        <v>5109</v>
      </c>
      <c r="G2103" s="37" t="s">
        <v>4072</v>
      </c>
      <c r="H2103" s="35" t="s">
        <v>3419</v>
      </c>
      <c r="I2103" s="35" t="s">
        <v>3453</v>
      </c>
      <c r="J2103" s="38">
        <v>5.6130268410185824</v>
      </c>
      <c r="K2103" s="35">
        <v>1</v>
      </c>
      <c r="L2103" s="38">
        <f t="shared" si="32"/>
        <v>5.6130268410185824</v>
      </c>
      <c r="M2103" s="35" t="s">
        <v>11</v>
      </c>
      <c r="N2103" s="38"/>
      <c r="O2103" s="35" t="s">
        <v>12</v>
      </c>
    </row>
    <row r="2104" spans="1:15" x14ac:dyDescent="0.25">
      <c r="A2104" s="35">
        <v>1156554839</v>
      </c>
      <c r="B2104" s="35" t="s">
        <v>3527</v>
      </c>
      <c r="C2104" s="35">
        <v>2024</v>
      </c>
      <c r="D2104" s="36">
        <v>45420.829942129632</v>
      </c>
      <c r="E2104" s="37" t="s">
        <v>469</v>
      </c>
      <c r="F2104" s="37" t="s">
        <v>5110</v>
      </c>
      <c r="G2104" s="37" t="s">
        <v>4072</v>
      </c>
      <c r="H2104" s="35" t="s">
        <v>3419</v>
      </c>
      <c r="I2104" s="35" t="s">
        <v>3453</v>
      </c>
      <c r="J2104" s="38">
        <v>5.6130268410185824</v>
      </c>
      <c r="K2104" s="35">
        <v>1</v>
      </c>
      <c r="L2104" s="38">
        <f t="shared" si="32"/>
        <v>5.6130268410185824</v>
      </c>
      <c r="M2104" s="35" t="s">
        <v>11</v>
      </c>
      <c r="N2104" s="38"/>
      <c r="O2104" s="35" t="s">
        <v>12</v>
      </c>
    </row>
    <row r="2105" spans="1:15" x14ac:dyDescent="0.25">
      <c r="A2105" s="35">
        <v>1156554839</v>
      </c>
      <c r="B2105" s="35" t="s">
        <v>3527</v>
      </c>
      <c r="C2105" s="35">
        <v>2024</v>
      </c>
      <c r="D2105" s="36">
        <v>45420.829942129632</v>
      </c>
      <c r="E2105" s="37" t="s">
        <v>469</v>
      </c>
      <c r="F2105" s="37" t="s">
        <v>5111</v>
      </c>
      <c r="G2105" s="37" t="s">
        <v>4072</v>
      </c>
      <c r="H2105" s="35" t="s">
        <v>3419</v>
      </c>
      <c r="I2105" s="35" t="s">
        <v>3453</v>
      </c>
      <c r="J2105" s="38">
        <v>8.1614700619408111</v>
      </c>
      <c r="K2105" s="35">
        <v>1</v>
      </c>
      <c r="L2105" s="38">
        <f t="shared" si="32"/>
        <v>8.1614700619408111</v>
      </c>
      <c r="M2105" s="35" t="s">
        <v>11</v>
      </c>
      <c r="N2105" s="38"/>
      <c r="O2105" s="35" t="s">
        <v>12</v>
      </c>
    </row>
    <row r="2106" spans="1:15" x14ac:dyDescent="0.25">
      <c r="A2106" s="35">
        <v>1156554839</v>
      </c>
      <c r="B2106" s="35" t="s">
        <v>3527</v>
      </c>
      <c r="C2106" s="35">
        <v>2024</v>
      </c>
      <c r="D2106" s="36">
        <v>45420.829942129632</v>
      </c>
      <c r="E2106" s="37" t="s">
        <v>469</v>
      </c>
      <c r="F2106" s="37" t="s">
        <v>5112</v>
      </c>
      <c r="G2106" s="37" t="s">
        <v>4072</v>
      </c>
      <c r="H2106" s="35" t="s">
        <v>3419</v>
      </c>
      <c r="I2106" s="35" t="s">
        <v>3453</v>
      </c>
      <c r="J2106" s="38">
        <v>6.1184143152099111</v>
      </c>
      <c r="K2106" s="35">
        <v>1</v>
      </c>
      <c r="L2106" s="38">
        <f t="shared" si="32"/>
        <v>6.1184143152099111</v>
      </c>
      <c r="M2106" s="35" t="s">
        <v>11</v>
      </c>
      <c r="N2106" s="38"/>
      <c r="O2106" s="35" t="s">
        <v>12</v>
      </c>
    </row>
    <row r="2107" spans="1:15" x14ac:dyDescent="0.25">
      <c r="A2107" s="35">
        <v>1156554839</v>
      </c>
      <c r="B2107" s="35" t="s">
        <v>3527</v>
      </c>
      <c r="C2107" s="35">
        <v>2024</v>
      </c>
      <c r="D2107" s="36">
        <v>45420.829942129632</v>
      </c>
      <c r="E2107" s="37" t="s">
        <v>469</v>
      </c>
      <c r="F2107" s="37" t="s">
        <v>5113</v>
      </c>
      <c r="G2107" s="37" t="s">
        <v>4072</v>
      </c>
      <c r="H2107" s="35" t="s">
        <v>3419</v>
      </c>
      <c r="I2107" s="35" t="s">
        <v>3453</v>
      </c>
      <c r="J2107" s="38">
        <v>7.3657536132140393</v>
      </c>
      <c r="K2107" s="35">
        <v>1</v>
      </c>
      <c r="L2107" s="38">
        <f t="shared" si="32"/>
        <v>7.3657536132140393</v>
      </c>
      <c r="M2107" s="35" t="s">
        <v>11</v>
      </c>
      <c r="N2107" s="38"/>
      <c r="O2107" s="35" t="s">
        <v>12</v>
      </c>
    </row>
    <row r="2108" spans="1:15" x14ac:dyDescent="0.25">
      <c r="A2108" s="35">
        <v>1156554839</v>
      </c>
      <c r="B2108" s="35" t="s">
        <v>3527</v>
      </c>
      <c r="C2108" s="35">
        <v>2024</v>
      </c>
      <c r="D2108" s="36">
        <v>45420.829942129632</v>
      </c>
      <c r="E2108" s="37" t="s">
        <v>469</v>
      </c>
      <c r="F2108" s="37" t="s">
        <v>5114</v>
      </c>
      <c r="G2108" s="37" t="s">
        <v>4072</v>
      </c>
      <c r="H2108" s="35" t="s">
        <v>3419</v>
      </c>
      <c r="I2108" s="35" t="s">
        <v>3453</v>
      </c>
      <c r="J2108" s="38">
        <v>6.4410020646937376</v>
      </c>
      <c r="K2108" s="35">
        <v>1</v>
      </c>
      <c r="L2108" s="38">
        <f t="shared" si="32"/>
        <v>6.4410020646937376</v>
      </c>
      <c r="M2108" s="35" t="s">
        <v>11</v>
      </c>
      <c r="N2108" s="38"/>
      <c r="O2108" s="35" t="s">
        <v>12</v>
      </c>
    </row>
    <row r="2109" spans="1:15" x14ac:dyDescent="0.25">
      <c r="A2109" s="35">
        <v>1156554839</v>
      </c>
      <c r="B2109" s="35" t="s">
        <v>3527</v>
      </c>
      <c r="C2109" s="35">
        <v>2024</v>
      </c>
      <c r="D2109" s="36">
        <v>45420.829942129632</v>
      </c>
      <c r="E2109" s="37" t="s">
        <v>469</v>
      </c>
      <c r="F2109" s="37" t="s">
        <v>3644</v>
      </c>
      <c r="G2109" s="37" t="s">
        <v>4072</v>
      </c>
      <c r="H2109" s="35" t="s">
        <v>3419</v>
      </c>
      <c r="I2109" s="35" t="s">
        <v>3453</v>
      </c>
      <c r="J2109" s="38">
        <v>7.6668355127322778</v>
      </c>
      <c r="K2109" s="35">
        <v>1</v>
      </c>
      <c r="L2109" s="38">
        <f t="shared" si="32"/>
        <v>7.6668355127322778</v>
      </c>
      <c r="M2109" s="35" t="s">
        <v>11</v>
      </c>
      <c r="N2109" s="38"/>
      <c r="O2109" s="35" t="s">
        <v>12</v>
      </c>
    </row>
    <row r="2110" spans="1:15" x14ac:dyDescent="0.25">
      <c r="A2110" s="35">
        <v>1156554839</v>
      </c>
      <c r="B2110" s="35" t="s">
        <v>3527</v>
      </c>
      <c r="C2110" s="35">
        <v>2024</v>
      </c>
      <c r="D2110" s="36">
        <v>45420.829942129632</v>
      </c>
      <c r="E2110" s="37" t="s">
        <v>469</v>
      </c>
      <c r="F2110" s="37" t="s">
        <v>5115</v>
      </c>
      <c r="G2110" s="37" t="s">
        <v>4072</v>
      </c>
      <c r="H2110" s="35" t="s">
        <v>3419</v>
      </c>
      <c r="I2110" s="35" t="s">
        <v>3453</v>
      </c>
      <c r="J2110" s="38">
        <v>8.6776104611149343</v>
      </c>
      <c r="K2110" s="35">
        <v>1</v>
      </c>
      <c r="L2110" s="38">
        <f t="shared" si="32"/>
        <v>8.6776104611149343</v>
      </c>
      <c r="M2110" s="35" t="s">
        <v>11</v>
      </c>
      <c r="N2110" s="38"/>
      <c r="O2110" s="35" t="s">
        <v>12</v>
      </c>
    </row>
    <row r="2111" spans="1:15" x14ac:dyDescent="0.25">
      <c r="A2111" s="35">
        <v>1156554839</v>
      </c>
      <c r="B2111" s="35" t="s">
        <v>3527</v>
      </c>
      <c r="C2111" s="35">
        <v>2024</v>
      </c>
      <c r="D2111" s="36">
        <v>45420.829942129632</v>
      </c>
      <c r="E2111" s="37" t="s">
        <v>469</v>
      </c>
      <c r="F2111" s="37" t="s">
        <v>5116</v>
      </c>
      <c r="G2111" s="37" t="s">
        <v>4072</v>
      </c>
      <c r="H2111" s="35" t="s">
        <v>3419</v>
      </c>
      <c r="I2111" s="35" t="s">
        <v>3453</v>
      </c>
      <c r="J2111" s="38">
        <v>5.6130268410185824</v>
      </c>
      <c r="K2111" s="35">
        <v>1</v>
      </c>
      <c r="L2111" s="38">
        <f t="shared" si="32"/>
        <v>5.6130268410185824</v>
      </c>
      <c r="M2111" s="35" t="s">
        <v>11</v>
      </c>
      <c r="N2111" s="38"/>
      <c r="O2111" s="35" t="s">
        <v>12</v>
      </c>
    </row>
    <row r="2112" spans="1:15" x14ac:dyDescent="0.25">
      <c r="A2112" s="35">
        <v>1156554839</v>
      </c>
      <c r="B2112" s="35" t="s">
        <v>3527</v>
      </c>
      <c r="C2112" s="35">
        <v>2024</v>
      </c>
      <c r="D2112" s="36">
        <v>45420.829942129632</v>
      </c>
      <c r="E2112" s="37" t="s">
        <v>469</v>
      </c>
      <c r="F2112" s="37" t="s">
        <v>5117</v>
      </c>
      <c r="G2112" s="37" t="s">
        <v>4072</v>
      </c>
      <c r="H2112" s="35" t="s">
        <v>3419</v>
      </c>
      <c r="I2112" s="35" t="s">
        <v>3453</v>
      </c>
      <c r="J2112" s="38">
        <v>5.6130268410185824</v>
      </c>
      <c r="K2112" s="35">
        <v>1</v>
      </c>
      <c r="L2112" s="38">
        <f t="shared" si="32"/>
        <v>5.6130268410185824</v>
      </c>
      <c r="M2112" s="35" t="s">
        <v>11</v>
      </c>
      <c r="N2112" s="38"/>
      <c r="O2112" s="35" t="s">
        <v>12</v>
      </c>
    </row>
    <row r="2113" spans="1:15" x14ac:dyDescent="0.25">
      <c r="A2113" s="35">
        <v>1156554839</v>
      </c>
      <c r="B2113" s="35" t="s">
        <v>3527</v>
      </c>
      <c r="C2113" s="35">
        <v>2024</v>
      </c>
      <c r="D2113" s="36">
        <v>45420.829942129632</v>
      </c>
      <c r="E2113" s="37" t="s">
        <v>469</v>
      </c>
      <c r="F2113" s="37" t="s">
        <v>5118</v>
      </c>
      <c r="G2113" s="37" t="s">
        <v>4072</v>
      </c>
      <c r="H2113" s="35" t="s">
        <v>3419</v>
      </c>
      <c r="I2113" s="35" t="s">
        <v>3453</v>
      </c>
      <c r="J2113" s="38">
        <v>5.6130268410185824</v>
      </c>
      <c r="K2113" s="35">
        <v>1</v>
      </c>
      <c r="L2113" s="38">
        <f t="shared" si="32"/>
        <v>5.6130268410185824</v>
      </c>
      <c r="M2113" s="35" t="s">
        <v>11</v>
      </c>
      <c r="N2113" s="38"/>
      <c r="O2113" s="35" t="s">
        <v>12</v>
      </c>
    </row>
    <row r="2114" spans="1:15" x14ac:dyDescent="0.25">
      <c r="A2114" s="35">
        <v>1155735990</v>
      </c>
      <c r="B2114" s="35" t="s">
        <v>3527</v>
      </c>
      <c r="C2114" s="35">
        <v>2024</v>
      </c>
      <c r="D2114" s="36">
        <v>45414.303865740738</v>
      </c>
      <c r="E2114" s="37" t="s">
        <v>469</v>
      </c>
      <c r="F2114" s="37" t="s">
        <v>4521</v>
      </c>
      <c r="G2114" s="37" t="s">
        <v>3742</v>
      </c>
      <c r="H2114" s="35" t="s">
        <v>3419</v>
      </c>
      <c r="I2114" s="35" t="s">
        <v>3453</v>
      </c>
      <c r="J2114" s="38">
        <v>8.0543831494483449</v>
      </c>
      <c r="K2114" s="35">
        <v>2</v>
      </c>
      <c r="L2114" s="38">
        <f t="shared" ref="L2114:L2177" si="33">J2114*K2114</f>
        <v>16.10876629889669</v>
      </c>
      <c r="M2114" s="35" t="s">
        <v>11</v>
      </c>
      <c r="N2114" s="38"/>
      <c r="O2114" s="35" t="s">
        <v>12</v>
      </c>
    </row>
    <row r="2115" spans="1:15" x14ac:dyDescent="0.25">
      <c r="A2115" s="35">
        <v>1155735990</v>
      </c>
      <c r="B2115" s="35" t="s">
        <v>3527</v>
      </c>
      <c r="C2115" s="35">
        <v>2024</v>
      </c>
      <c r="D2115" s="36">
        <v>45414.303865740738</v>
      </c>
      <c r="E2115" s="37" t="s">
        <v>469</v>
      </c>
      <c r="F2115" s="37" t="s">
        <v>4266</v>
      </c>
      <c r="G2115" s="37" t="s">
        <v>3882</v>
      </c>
      <c r="H2115" s="35" t="s">
        <v>3419</v>
      </c>
      <c r="I2115" s="35" t="s">
        <v>3416</v>
      </c>
      <c r="J2115" s="38">
        <v>0.51997993981945834</v>
      </c>
      <c r="K2115" s="35">
        <v>2</v>
      </c>
      <c r="L2115" s="38">
        <f t="shared" si="33"/>
        <v>1.0399598796389167</v>
      </c>
      <c r="M2115" s="35" t="s">
        <v>11</v>
      </c>
      <c r="N2115" s="38"/>
      <c r="O2115" s="35" t="s">
        <v>12</v>
      </c>
    </row>
    <row r="2116" spans="1:15" x14ac:dyDescent="0.25">
      <c r="A2116" s="35">
        <v>1155735990</v>
      </c>
      <c r="B2116" s="35" t="s">
        <v>3527</v>
      </c>
      <c r="C2116" s="35">
        <v>2024</v>
      </c>
      <c r="D2116" s="36">
        <v>45414.303865740738</v>
      </c>
      <c r="E2116" s="37" t="s">
        <v>469</v>
      </c>
      <c r="F2116" s="37" t="s">
        <v>5123</v>
      </c>
      <c r="G2116" s="37" t="s">
        <v>4019</v>
      </c>
      <c r="H2116" s="35" t="s">
        <v>3419</v>
      </c>
      <c r="I2116" s="35" t="s">
        <v>3453</v>
      </c>
      <c r="J2116" s="38">
        <v>2.0056369107321959</v>
      </c>
      <c r="K2116" s="35">
        <v>2</v>
      </c>
      <c r="L2116" s="38">
        <f t="shared" si="33"/>
        <v>4.0112738214643917</v>
      </c>
      <c r="M2116" s="35" t="s">
        <v>11</v>
      </c>
      <c r="N2116" s="38"/>
      <c r="O2116" s="35" t="s">
        <v>12</v>
      </c>
    </row>
    <row r="2117" spans="1:15" x14ac:dyDescent="0.25">
      <c r="A2117" s="35">
        <v>1155735950</v>
      </c>
      <c r="B2117" s="35" t="s">
        <v>3527</v>
      </c>
      <c r="C2117" s="35">
        <v>2024</v>
      </c>
      <c r="D2117" s="36">
        <v>45414.303865740738</v>
      </c>
      <c r="E2117" s="37" t="s">
        <v>414</v>
      </c>
      <c r="F2117" s="37" t="s">
        <v>4521</v>
      </c>
      <c r="G2117" s="37" t="s">
        <v>3742</v>
      </c>
      <c r="H2117" s="35" t="s">
        <v>3419</v>
      </c>
      <c r="I2117" s="35" t="s">
        <v>3453</v>
      </c>
      <c r="J2117" s="38">
        <v>8.6</v>
      </c>
      <c r="K2117" s="35">
        <v>2</v>
      </c>
      <c r="L2117" s="38">
        <f t="shared" si="33"/>
        <v>17.2</v>
      </c>
      <c r="M2117" s="35" t="s">
        <v>11</v>
      </c>
      <c r="N2117" s="38"/>
      <c r="O2117" s="35" t="s">
        <v>12</v>
      </c>
    </row>
    <row r="2118" spans="1:15" x14ac:dyDescent="0.25">
      <c r="A2118" s="35">
        <v>1155735787</v>
      </c>
      <c r="B2118" s="35" t="s">
        <v>3527</v>
      </c>
      <c r="C2118" s="35">
        <v>2024</v>
      </c>
      <c r="D2118" s="36">
        <v>45414.29791666667</v>
      </c>
      <c r="E2118" s="37" t="s">
        <v>2421</v>
      </c>
      <c r="F2118" s="37" t="s">
        <v>5124</v>
      </c>
      <c r="G2118" s="37" t="s">
        <v>3805</v>
      </c>
      <c r="H2118" s="35" t="s">
        <v>3419</v>
      </c>
      <c r="I2118" s="35" t="s">
        <v>3416</v>
      </c>
      <c r="J2118" s="38">
        <v>3.280198886237073</v>
      </c>
      <c r="K2118" s="35">
        <v>1</v>
      </c>
      <c r="L2118" s="38">
        <f t="shared" si="33"/>
        <v>3.280198886237073</v>
      </c>
      <c r="M2118" s="35" t="s">
        <v>11</v>
      </c>
      <c r="N2118" s="38"/>
      <c r="O2118" s="35" t="s">
        <v>12</v>
      </c>
    </row>
    <row r="2119" spans="1:15" x14ac:dyDescent="0.25">
      <c r="A2119" s="35">
        <v>1155735787</v>
      </c>
      <c r="B2119" s="35" t="s">
        <v>3527</v>
      </c>
      <c r="C2119" s="35">
        <v>2024</v>
      </c>
      <c r="D2119" s="36">
        <v>45414.29791666667</v>
      </c>
      <c r="E2119" s="37" t="s">
        <v>2421</v>
      </c>
      <c r="F2119" s="37" t="s">
        <v>3986</v>
      </c>
      <c r="G2119" s="37" t="s">
        <v>3805</v>
      </c>
      <c r="H2119" s="35" t="s">
        <v>3419</v>
      </c>
      <c r="I2119" s="35" t="s">
        <v>3453</v>
      </c>
      <c r="J2119" s="38">
        <v>2.183142402545744</v>
      </c>
      <c r="K2119" s="35">
        <v>2</v>
      </c>
      <c r="L2119" s="38">
        <f t="shared" si="33"/>
        <v>4.366284805091488</v>
      </c>
      <c r="M2119" s="35" t="s">
        <v>11</v>
      </c>
      <c r="N2119" s="38"/>
      <c r="O2119" s="35" t="s">
        <v>12</v>
      </c>
    </row>
    <row r="2120" spans="1:15" x14ac:dyDescent="0.25">
      <c r="A2120" s="35">
        <v>1155735787</v>
      </c>
      <c r="B2120" s="35" t="s">
        <v>3527</v>
      </c>
      <c r="C2120" s="35">
        <v>2024</v>
      </c>
      <c r="D2120" s="36">
        <v>45414.29791666667</v>
      </c>
      <c r="E2120" s="37" t="s">
        <v>2421</v>
      </c>
      <c r="F2120" s="37" t="s">
        <v>5124</v>
      </c>
      <c r="G2120" s="37" t="s">
        <v>3805</v>
      </c>
      <c r="H2120" s="35" t="s">
        <v>3419</v>
      </c>
      <c r="I2120" s="35" t="s">
        <v>3416</v>
      </c>
      <c r="J2120" s="38">
        <v>3.455727923627685</v>
      </c>
      <c r="K2120" s="35">
        <v>1</v>
      </c>
      <c r="L2120" s="38">
        <f t="shared" si="33"/>
        <v>3.455727923627685</v>
      </c>
      <c r="M2120" s="35" t="s">
        <v>11</v>
      </c>
      <c r="N2120" s="38"/>
      <c r="O2120" s="35" t="s">
        <v>12</v>
      </c>
    </row>
    <row r="2121" spans="1:15" x14ac:dyDescent="0.25">
      <c r="A2121" s="35">
        <v>1155735787</v>
      </c>
      <c r="B2121" s="35" t="s">
        <v>3527</v>
      </c>
      <c r="C2121" s="35">
        <v>2024</v>
      </c>
      <c r="D2121" s="36">
        <v>45414.29791666667</v>
      </c>
      <c r="E2121" s="37" t="s">
        <v>2421</v>
      </c>
      <c r="F2121" s="37" t="s">
        <v>3986</v>
      </c>
      <c r="G2121" s="37" t="s">
        <v>3805</v>
      </c>
      <c r="H2121" s="35" t="s">
        <v>3419</v>
      </c>
      <c r="I2121" s="35" t="s">
        <v>3416</v>
      </c>
      <c r="J2121" s="38">
        <v>2.6877883850437549</v>
      </c>
      <c r="K2121" s="35">
        <v>1</v>
      </c>
      <c r="L2121" s="38">
        <f t="shared" si="33"/>
        <v>2.6877883850437549</v>
      </c>
      <c r="M2121" s="35" t="s">
        <v>11</v>
      </c>
      <c r="N2121" s="38"/>
      <c r="O2121" s="35" t="s">
        <v>12</v>
      </c>
    </row>
    <row r="2122" spans="1:15" x14ac:dyDescent="0.25">
      <c r="A2122" s="35">
        <v>1155733905</v>
      </c>
      <c r="B2122" s="35" t="s">
        <v>3527</v>
      </c>
      <c r="C2122" s="35">
        <v>2024</v>
      </c>
      <c r="D2122" s="36">
        <v>45414.297511574077</v>
      </c>
      <c r="E2122" s="37" t="s">
        <v>2423</v>
      </c>
      <c r="F2122" s="37" t="s">
        <v>4416</v>
      </c>
      <c r="G2122" s="37" t="s">
        <v>2045</v>
      </c>
      <c r="H2122" s="35" t="s">
        <v>3419</v>
      </c>
      <c r="I2122" s="35" t="s">
        <v>3530</v>
      </c>
      <c r="J2122" s="38">
        <v>1.666363636363636</v>
      </c>
      <c r="K2122" s="35">
        <v>1</v>
      </c>
      <c r="L2122" s="38">
        <f t="shared" si="33"/>
        <v>1.666363636363636</v>
      </c>
      <c r="M2122" s="35" t="s">
        <v>11</v>
      </c>
      <c r="N2122" s="38"/>
      <c r="O2122" s="35" t="s">
        <v>12</v>
      </c>
    </row>
    <row r="2123" spans="1:15" x14ac:dyDescent="0.25">
      <c r="A2123" s="35">
        <v>1155733905</v>
      </c>
      <c r="B2123" s="35" t="s">
        <v>3527</v>
      </c>
      <c r="C2123" s="35">
        <v>2024</v>
      </c>
      <c r="D2123" s="36">
        <v>45414.297511574077</v>
      </c>
      <c r="E2123" s="37" t="s">
        <v>2423</v>
      </c>
      <c r="F2123" s="37" t="s">
        <v>5086</v>
      </c>
      <c r="G2123" s="37" t="s">
        <v>3786</v>
      </c>
      <c r="H2123" s="35" t="s">
        <v>3419</v>
      </c>
      <c r="I2123" s="35" t="s">
        <v>3530</v>
      </c>
      <c r="J2123" s="38">
        <v>0.27772727272727271</v>
      </c>
      <c r="K2123" s="35">
        <v>2</v>
      </c>
      <c r="L2123" s="38">
        <f t="shared" si="33"/>
        <v>0.55545454545454542</v>
      </c>
      <c r="M2123" s="35" t="s">
        <v>11</v>
      </c>
      <c r="N2123" s="38"/>
      <c r="O2123" s="35" t="s">
        <v>12</v>
      </c>
    </row>
    <row r="2124" spans="1:15" x14ac:dyDescent="0.25">
      <c r="A2124" s="35">
        <v>1155733905</v>
      </c>
      <c r="B2124" s="35" t="s">
        <v>3527</v>
      </c>
      <c r="C2124" s="35">
        <v>2024</v>
      </c>
      <c r="D2124" s="36">
        <v>45414.297511574077</v>
      </c>
      <c r="E2124" s="37" t="s">
        <v>2423</v>
      </c>
      <c r="F2124" s="37" t="s">
        <v>5125</v>
      </c>
      <c r="G2124" s="37" t="s">
        <v>4128</v>
      </c>
      <c r="H2124" s="35" t="s">
        <v>3415</v>
      </c>
      <c r="I2124" s="35" t="s">
        <v>3530</v>
      </c>
      <c r="J2124" s="38">
        <v>1.1109090909090911</v>
      </c>
      <c r="K2124" s="35">
        <v>4</v>
      </c>
      <c r="L2124" s="38">
        <f t="shared" si="33"/>
        <v>4.4436363636363643</v>
      </c>
      <c r="M2124" s="35" t="s">
        <v>11</v>
      </c>
      <c r="N2124" s="38"/>
      <c r="O2124" s="35" t="s">
        <v>12</v>
      </c>
    </row>
    <row r="2125" spans="1:15" x14ac:dyDescent="0.25">
      <c r="A2125" s="35">
        <v>1155733905</v>
      </c>
      <c r="B2125" s="35" t="s">
        <v>3527</v>
      </c>
      <c r="C2125" s="35">
        <v>2024</v>
      </c>
      <c r="D2125" s="36">
        <v>45414.297511574077</v>
      </c>
      <c r="E2125" s="37" t="s">
        <v>2423</v>
      </c>
      <c r="F2125" s="37" t="s">
        <v>4064</v>
      </c>
      <c r="G2125" s="37" t="s">
        <v>3886</v>
      </c>
      <c r="H2125" s="35" t="s">
        <v>3419</v>
      </c>
      <c r="I2125" s="35" t="s">
        <v>3530</v>
      </c>
      <c r="J2125" s="38">
        <v>1.666363636363636</v>
      </c>
      <c r="K2125" s="35">
        <v>2</v>
      </c>
      <c r="L2125" s="38">
        <f t="shared" si="33"/>
        <v>3.3327272727272721</v>
      </c>
      <c r="M2125" s="35" t="s">
        <v>11</v>
      </c>
      <c r="N2125" s="38"/>
      <c r="O2125" s="35" t="s">
        <v>12</v>
      </c>
    </row>
    <row r="2126" spans="1:15" x14ac:dyDescent="0.25">
      <c r="A2126" s="35">
        <v>1155733905</v>
      </c>
      <c r="B2126" s="35" t="s">
        <v>3527</v>
      </c>
      <c r="C2126" s="35">
        <v>2024</v>
      </c>
      <c r="D2126" s="36">
        <v>45414.297511574077</v>
      </c>
      <c r="E2126" s="37" t="s">
        <v>2423</v>
      </c>
      <c r="F2126" s="37" t="s">
        <v>5004</v>
      </c>
      <c r="G2126" s="37" t="s">
        <v>3797</v>
      </c>
      <c r="H2126" s="35" t="s">
        <v>3419</v>
      </c>
      <c r="I2126" s="35" t="s">
        <v>3530</v>
      </c>
      <c r="J2126" s="38">
        <v>1.1109090909090911</v>
      </c>
      <c r="K2126" s="35">
        <v>2</v>
      </c>
      <c r="L2126" s="38">
        <f t="shared" si="33"/>
        <v>2.2218181818181821</v>
      </c>
      <c r="M2126" s="35" t="s">
        <v>11</v>
      </c>
      <c r="N2126" s="38"/>
      <c r="O2126" s="35" t="s">
        <v>12</v>
      </c>
    </row>
    <row r="2127" spans="1:15" x14ac:dyDescent="0.25">
      <c r="A2127" s="35">
        <v>1155611364</v>
      </c>
      <c r="B2127" s="35" t="s">
        <v>3527</v>
      </c>
      <c r="C2127" s="35">
        <v>2024</v>
      </c>
      <c r="D2127" s="36">
        <v>45413.578379629631</v>
      </c>
      <c r="E2127" s="37" t="s">
        <v>2434</v>
      </c>
      <c r="F2127" s="37" t="s">
        <v>5126</v>
      </c>
      <c r="G2127" s="37" t="s">
        <v>3648</v>
      </c>
      <c r="H2127" s="35" t="s">
        <v>3419</v>
      </c>
      <c r="I2127" s="35" t="s">
        <v>3416</v>
      </c>
      <c r="J2127" s="38">
        <v>7.6469548872180457</v>
      </c>
      <c r="K2127" s="35">
        <v>2</v>
      </c>
      <c r="L2127" s="38">
        <f t="shared" si="33"/>
        <v>15.293909774436091</v>
      </c>
      <c r="M2127" s="35" t="s">
        <v>11</v>
      </c>
      <c r="N2127" s="38"/>
      <c r="O2127" s="35" t="s">
        <v>12</v>
      </c>
    </row>
    <row r="2128" spans="1:15" x14ac:dyDescent="0.25">
      <c r="A2128" s="35">
        <v>1155611364</v>
      </c>
      <c r="B2128" s="35" t="s">
        <v>3527</v>
      </c>
      <c r="C2128" s="35">
        <v>2024</v>
      </c>
      <c r="D2128" s="36">
        <v>45413.578379629631</v>
      </c>
      <c r="E2128" s="37" t="s">
        <v>2434</v>
      </c>
      <c r="F2128" s="37" t="s">
        <v>3868</v>
      </c>
      <c r="G2128" s="37" t="s">
        <v>3648</v>
      </c>
      <c r="H2128" s="35" t="s">
        <v>3419</v>
      </c>
      <c r="I2128" s="35" t="s">
        <v>3416</v>
      </c>
      <c r="J2128" s="38">
        <v>1.0830451127819549</v>
      </c>
      <c r="K2128" s="35">
        <v>2</v>
      </c>
      <c r="L2128" s="38">
        <f t="shared" si="33"/>
        <v>2.1660902255639098</v>
      </c>
      <c r="M2128" s="35" t="s">
        <v>11</v>
      </c>
      <c r="N2128" s="38"/>
      <c r="O2128" s="35" t="s">
        <v>12</v>
      </c>
    </row>
    <row r="2129" spans="1:15" x14ac:dyDescent="0.25">
      <c r="A2129" s="35">
        <v>1155611356</v>
      </c>
      <c r="B2129" s="35" t="s">
        <v>3527</v>
      </c>
      <c r="C2129" s="35">
        <v>2024</v>
      </c>
      <c r="D2129" s="36">
        <v>45413.578379629631</v>
      </c>
      <c r="E2129" s="37" t="s">
        <v>2436</v>
      </c>
      <c r="F2129" s="37" t="s">
        <v>5127</v>
      </c>
      <c r="G2129" s="37" t="s">
        <v>5128</v>
      </c>
      <c r="H2129" s="35" t="s">
        <v>3419</v>
      </c>
      <c r="I2129" s="35" t="s">
        <v>3530</v>
      </c>
      <c r="J2129" s="38">
        <v>1.6705778894472361</v>
      </c>
      <c r="K2129" s="35">
        <v>2</v>
      </c>
      <c r="L2129" s="38">
        <f t="shared" si="33"/>
        <v>3.3411557788944721</v>
      </c>
      <c r="M2129" s="35" t="s">
        <v>11</v>
      </c>
      <c r="N2129" s="38"/>
      <c r="O2129" s="35" t="s">
        <v>12</v>
      </c>
    </row>
    <row r="2130" spans="1:15" x14ac:dyDescent="0.25">
      <c r="A2130" s="35">
        <v>1155611356</v>
      </c>
      <c r="B2130" s="35" t="s">
        <v>3527</v>
      </c>
      <c r="C2130" s="35">
        <v>2024</v>
      </c>
      <c r="D2130" s="36">
        <v>45413.578379629631</v>
      </c>
      <c r="E2130" s="37" t="s">
        <v>2436</v>
      </c>
      <c r="F2130" s="37" t="s">
        <v>5126</v>
      </c>
      <c r="G2130" s="37" t="s">
        <v>3648</v>
      </c>
      <c r="H2130" s="35" t="s">
        <v>3419</v>
      </c>
      <c r="I2130" s="35" t="s">
        <v>3416</v>
      </c>
      <c r="J2130" s="38">
        <v>7.3144221105527638</v>
      </c>
      <c r="K2130" s="35">
        <v>2</v>
      </c>
      <c r="L2130" s="38">
        <f t="shared" si="33"/>
        <v>14.628844221105528</v>
      </c>
      <c r="M2130" s="35" t="s">
        <v>11</v>
      </c>
      <c r="N2130" s="38"/>
      <c r="O2130" s="35" t="s">
        <v>12</v>
      </c>
    </row>
    <row r="2131" spans="1:15" x14ac:dyDescent="0.25">
      <c r="A2131" s="35" t="s">
        <v>2425</v>
      </c>
      <c r="B2131" s="35" t="s">
        <v>3527</v>
      </c>
      <c r="C2131" s="35">
        <v>2024</v>
      </c>
      <c r="D2131" s="36">
        <v>45413</v>
      </c>
      <c r="E2131" s="37" t="s">
        <v>2426</v>
      </c>
      <c r="F2131" s="37" t="s">
        <v>4347</v>
      </c>
      <c r="G2131" s="37" t="s">
        <v>3797</v>
      </c>
      <c r="H2131" s="35" t="s">
        <v>3419</v>
      </c>
      <c r="I2131" s="35" t="s">
        <v>3453</v>
      </c>
      <c r="J2131" s="38">
        <v>100</v>
      </c>
      <c r="K2131" s="35">
        <v>1</v>
      </c>
      <c r="L2131" s="38">
        <f t="shared" si="33"/>
        <v>100</v>
      </c>
      <c r="M2131" s="35" t="s">
        <v>11</v>
      </c>
      <c r="N2131" s="38"/>
      <c r="O2131" s="35" t="s">
        <v>12</v>
      </c>
    </row>
    <row r="2132" spans="1:15" x14ac:dyDescent="0.25">
      <c r="A2132" s="35" t="s">
        <v>2425</v>
      </c>
      <c r="B2132" s="35" t="s">
        <v>3527</v>
      </c>
      <c r="C2132" s="35">
        <v>2024</v>
      </c>
      <c r="D2132" s="36">
        <v>45413</v>
      </c>
      <c r="E2132" s="37" t="s">
        <v>2426</v>
      </c>
      <c r="F2132" s="37" t="s">
        <v>5129</v>
      </c>
      <c r="G2132" s="37" t="s">
        <v>3533</v>
      </c>
      <c r="H2132" s="35" t="s">
        <v>3415</v>
      </c>
      <c r="I2132" s="35" t="s">
        <v>3453</v>
      </c>
      <c r="J2132" s="38">
        <v>150</v>
      </c>
      <c r="K2132" s="35">
        <v>1</v>
      </c>
      <c r="L2132" s="38">
        <f t="shared" si="33"/>
        <v>150</v>
      </c>
      <c r="M2132" s="35" t="s">
        <v>11</v>
      </c>
      <c r="N2132" s="38"/>
      <c r="O2132" s="35" t="s">
        <v>12</v>
      </c>
    </row>
    <row r="2133" spans="1:15" x14ac:dyDescent="0.25">
      <c r="A2133" s="35" t="s">
        <v>2425</v>
      </c>
      <c r="B2133" s="35" t="s">
        <v>3527</v>
      </c>
      <c r="C2133" s="35">
        <v>2024</v>
      </c>
      <c r="D2133" s="36">
        <v>45413</v>
      </c>
      <c r="E2133" s="37" t="s">
        <v>2426</v>
      </c>
      <c r="F2133" s="37" t="s">
        <v>5004</v>
      </c>
      <c r="G2133" s="37" t="s">
        <v>3797</v>
      </c>
      <c r="H2133" s="35" t="s">
        <v>3415</v>
      </c>
      <c r="I2133" s="35" t="s">
        <v>3453</v>
      </c>
      <c r="J2133" s="38">
        <v>5</v>
      </c>
      <c r="K2133" s="35">
        <v>1</v>
      </c>
      <c r="L2133" s="38">
        <f t="shared" si="33"/>
        <v>5</v>
      </c>
      <c r="M2133" s="35" t="s">
        <v>11</v>
      </c>
      <c r="N2133" s="38"/>
      <c r="O2133" s="35" t="s">
        <v>12</v>
      </c>
    </row>
    <row r="2134" spans="1:15" x14ac:dyDescent="0.25">
      <c r="A2134" s="35" t="s">
        <v>2425</v>
      </c>
      <c r="B2134" s="35" t="s">
        <v>3527</v>
      </c>
      <c r="C2134" s="35">
        <v>2024</v>
      </c>
      <c r="D2134" s="36">
        <v>45413</v>
      </c>
      <c r="E2134" s="37" t="s">
        <v>2426</v>
      </c>
      <c r="F2134" s="37" t="s">
        <v>5088</v>
      </c>
      <c r="G2134" s="37" t="s">
        <v>3839</v>
      </c>
      <c r="H2134" s="35" t="s">
        <v>3419</v>
      </c>
      <c r="I2134" s="35" t="s">
        <v>3453</v>
      </c>
      <c r="J2134" s="38">
        <v>3.3</v>
      </c>
      <c r="K2134" s="35">
        <v>3</v>
      </c>
      <c r="L2134" s="38">
        <f t="shared" si="33"/>
        <v>9.8999999999999986</v>
      </c>
      <c r="M2134" s="35" t="s">
        <v>11</v>
      </c>
      <c r="N2134" s="38"/>
      <c r="O2134" s="35" t="s">
        <v>12</v>
      </c>
    </row>
    <row r="2135" spans="1:15" x14ac:dyDescent="0.25">
      <c r="A2135" s="35" t="s">
        <v>2428</v>
      </c>
      <c r="B2135" s="35" t="s">
        <v>3527</v>
      </c>
      <c r="C2135" s="35">
        <v>2024</v>
      </c>
      <c r="D2135" s="36">
        <v>45413</v>
      </c>
      <c r="E2135" s="37" t="s">
        <v>2429</v>
      </c>
      <c r="F2135" s="37" t="s">
        <v>5130</v>
      </c>
      <c r="G2135" s="37" t="s">
        <v>3954</v>
      </c>
      <c r="H2135" s="35" t="s">
        <v>3415</v>
      </c>
      <c r="I2135" s="35" t="s">
        <v>3453</v>
      </c>
      <c r="J2135" s="38">
        <v>23</v>
      </c>
      <c r="K2135" s="35">
        <v>1</v>
      </c>
      <c r="L2135" s="38">
        <f t="shared" si="33"/>
        <v>23</v>
      </c>
      <c r="M2135" s="35" t="s">
        <v>11</v>
      </c>
      <c r="N2135" s="38"/>
      <c r="O2135" s="35" t="s">
        <v>12</v>
      </c>
    </row>
    <row r="2136" spans="1:15" x14ac:dyDescent="0.25">
      <c r="A2136" s="35" t="s">
        <v>2430</v>
      </c>
      <c r="B2136" s="35" t="s">
        <v>3527</v>
      </c>
      <c r="C2136" s="35">
        <v>2024</v>
      </c>
      <c r="D2136" s="36">
        <v>45413</v>
      </c>
      <c r="E2136" s="37" t="s">
        <v>2431</v>
      </c>
      <c r="F2136" s="37" t="s">
        <v>5131</v>
      </c>
      <c r="G2136" s="37" t="s">
        <v>3839</v>
      </c>
      <c r="H2136" s="35" t="s">
        <v>3415</v>
      </c>
      <c r="I2136" s="35" t="s">
        <v>3453</v>
      </c>
      <c r="J2136" s="38">
        <v>145</v>
      </c>
      <c r="K2136" s="35">
        <v>1</v>
      </c>
      <c r="L2136" s="38">
        <f t="shared" si="33"/>
        <v>145</v>
      </c>
      <c r="M2136" s="35" t="s">
        <v>11</v>
      </c>
      <c r="N2136" s="38"/>
      <c r="O2136" s="35" t="s">
        <v>12</v>
      </c>
    </row>
    <row r="2137" spans="1:15" x14ac:dyDescent="0.25">
      <c r="A2137" s="35">
        <v>1155225390</v>
      </c>
      <c r="B2137" s="35" t="s">
        <v>3631</v>
      </c>
      <c r="C2137" s="35">
        <v>2024</v>
      </c>
      <c r="D2137" s="36">
        <v>45410.675370370373</v>
      </c>
      <c r="E2137" s="37" t="s">
        <v>2438</v>
      </c>
      <c r="F2137" s="37" t="s">
        <v>5132</v>
      </c>
      <c r="G2137" s="37" t="s">
        <v>3788</v>
      </c>
      <c r="H2137" s="35" t="s">
        <v>3419</v>
      </c>
      <c r="I2137" s="35" t="s">
        <v>3530</v>
      </c>
      <c r="J2137" s="38">
        <v>6.88</v>
      </c>
      <c r="K2137" s="35">
        <v>1</v>
      </c>
      <c r="L2137" s="38">
        <f t="shared" si="33"/>
        <v>6.88</v>
      </c>
      <c r="M2137" s="35" t="s">
        <v>11</v>
      </c>
      <c r="N2137" s="38"/>
      <c r="O2137" s="35" t="s">
        <v>12</v>
      </c>
    </row>
    <row r="2138" spans="1:15" x14ac:dyDescent="0.25">
      <c r="A2138" s="35">
        <v>1155225373</v>
      </c>
      <c r="B2138" s="35" t="s">
        <v>3631</v>
      </c>
      <c r="C2138" s="35">
        <v>2024</v>
      </c>
      <c r="D2138" s="36">
        <v>45410.675370370373</v>
      </c>
      <c r="E2138" s="37" t="s">
        <v>2441</v>
      </c>
      <c r="F2138" s="37" t="s">
        <v>5132</v>
      </c>
      <c r="G2138" s="37" t="s">
        <v>3788</v>
      </c>
      <c r="H2138" s="35" t="s">
        <v>3419</v>
      </c>
      <c r="I2138" s="35" t="s">
        <v>3530</v>
      </c>
      <c r="J2138" s="38">
        <v>6.72</v>
      </c>
      <c r="K2138" s="35">
        <v>1</v>
      </c>
      <c r="L2138" s="38">
        <f t="shared" si="33"/>
        <v>6.72</v>
      </c>
      <c r="M2138" s="35" t="s">
        <v>11</v>
      </c>
      <c r="N2138" s="38"/>
      <c r="O2138" s="35" t="s">
        <v>12</v>
      </c>
    </row>
    <row r="2139" spans="1:15" x14ac:dyDescent="0.25">
      <c r="A2139" s="35">
        <v>1155225368</v>
      </c>
      <c r="B2139" s="35" t="s">
        <v>3631</v>
      </c>
      <c r="C2139" s="35">
        <v>2024</v>
      </c>
      <c r="D2139" s="36">
        <v>45410.675370370373</v>
      </c>
      <c r="E2139" s="37" t="s">
        <v>2443</v>
      </c>
      <c r="F2139" s="37" t="s">
        <v>5132</v>
      </c>
      <c r="G2139" s="37" t="s">
        <v>3788</v>
      </c>
      <c r="H2139" s="35" t="s">
        <v>3419</v>
      </c>
      <c r="I2139" s="35" t="s">
        <v>3530</v>
      </c>
      <c r="J2139" s="38">
        <v>5.8199999999999994</v>
      </c>
      <c r="K2139" s="35">
        <v>1</v>
      </c>
      <c r="L2139" s="38">
        <f t="shared" si="33"/>
        <v>5.8199999999999994</v>
      </c>
      <c r="M2139" s="35" t="s">
        <v>11</v>
      </c>
      <c r="N2139" s="38"/>
      <c r="O2139" s="35" t="s">
        <v>12</v>
      </c>
    </row>
    <row r="2140" spans="1:15" x14ac:dyDescent="0.25">
      <c r="A2140" s="35">
        <v>1155225363</v>
      </c>
      <c r="B2140" s="35" t="s">
        <v>3631</v>
      </c>
      <c r="C2140" s="35">
        <v>2024</v>
      </c>
      <c r="D2140" s="36">
        <v>45410.675370370373</v>
      </c>
      <c r="E2140" s="37" t="s">
        <v>2445</v>
      </c>
      <c r="F2140" s="37" t="s">
        <v>5132</v>
      </c>
      <c r="G2140" s="37" t="s">
        <v>3788</v>
      </c>
      <c r="H2140" s="35" t="s">
        <v>3419</v>
      </c>
      <c r="I2140" s="35" t="s">
        <v>3530</v>
      </c>
      <c r="J2140" s="38">
        <v>5.41</v>
      </c>
      <c r="K2140" s="35">
        <v>1</v>
      </c>
      <c r="L2140" s="38">
        <f t="shared" si="33"/>
        <v>5.41</v>
      </c>
      <c r="M2140" s="35" t="s">
        <v>11</v>
      </c>
      <c r="N2140" s="38"/>
      <c r="O2140" s="35" t="s">
        <v>12</v>
      </c>
    </row>
    <row r="2141" spans="1:15" x14ac:dyDescent="0.25">
      <c r="A2141" s="35">
        <v>1155087691</v>
      </c>
      <c r="B2141" s="35" t="s">
        <v>3631</v>
      </c>
      <c r="C2141" s="35">
        <v>2024</v>
      </c>
      <c r="D2141" s="36">
        <v>45409.634745370371</v>
      </c>
      <c r="E2141" s="37" t="s">
        <v>2450</v>
      </c>
      <c r="F2141" s="37" t="s">
        <v>4114</v>
      </c>
      <c r="G2141" s="37" t="s">
        <v>4103</v>
      </c>
      <c r="H2141" s="35" t="s">
        <v>3419</v>
      </c>
      <c r="I2141" s="35" t="s">
        <v>3416</v>
      </c>
      <c r="J2141" s="38">
        <v>45.47</v>
      </c>
      <c r="K2141" s="35">
        <v>1</v>
      </c>
      <c r="L2141" s="38">
        <f t="shared" si="33"/>
        <v>45.47</v>
      </c>
      <c r="M2141" s="35" t="s">
        <v>11</v>
      </c>
      <c r="N2141" s="38"/>
      <c r="O2141" s="35" t="s">
        <v>12</v>
      </c>
    </row>
    <row r="2142" spans="1:15" x14ac:dyDescent="0.25">
      <c r="A2142" s="35">
        <v>1155086705</v>
      </c>
      <c r="B2142" s="35" t="s">
        <v>3631</v>
      </c>
      <c r="C2142" s="35">
        <v>2024</v>
      </c>
      <c r="D2142" s="36">
        <v>45409.626886574071</v>
      </c>
      <c r="E2142" s="37" t="s">
        <v>2452</v>
      </c>
      <c r="F2142" s="37" t="s">
        <v>5133</v>
      </c>
      <c r="G2142" s="37" t="s">
        <v>3788</v>
      </c>
      <c r="H2142" s="35" t="s">
        <v>3419</v>
      </c>
      <c r="I2142" s="35" t="s">
        <v>3530</v>
      </c>
      <c r="J2142" s="38">
        <v>1.856666666666666</v>
      </c>
      <c r="K2142" s="35">
        <v>3</v>
      </c>
      <c r="L2142" s="38">
        <f t="shared" si="33"/>
        <v>5.5699999999999985</v>
      </c>
      <c r="M2142" s="35" t="s">
        <v>11</v>
      </c>
      <c r="N2142" s="38"/>
      <c r="O2142" s="35" t="s">
        <v>12</v>
      </c>
    </row>
    <row r="2143" spans="1:15" x14ac:dyDescent="0.25">
      <c r="A2143" s="35">
        <v>1155065370</v>
      </c>
      <c r="B2143" s="35" t="s">
        <v>3631</v>
      </c>
      <c r="C2143" s="35">
        <v>2024</v>
      </c>
      <c r="D2143" s="36">
        <v>45409.626886574071</v>
      </c>
      <c r="E2143" s="37" t="s">
        <v>1086</v>
      </c>
      <c r="F2143" s="37" t="s">
        <v>5133</v>
      </c>
      <c r="G2143" s="37" t="s">
        <v>3788</v>
      </c>
      <c r="H2143" s="35" t="s">
        <v>3419</v>
      </c>
      <c r="I2143" s="35" t="s">
        <v>3530</v>
      </c>
      <c r="J2143" s="38">
        <v>2.2200000000000002</v>
      </c>
      <c r="K2143" s="35">
        <v>1</v>
      </c>
      <c r="L2143" s="38">
        <f t="shared" si="33"/>
        <v>2.2200000000000002</v>
      </c>
      <c r="M2143" s="35" t="s">
        <v>11</v>
      </c>
      <c r="N2143" s="38"/>
      <c r="O2143" s="35" t="s">
        <v>12</v>
      </c>
    </row>
    <row r="2144" spans="1:15" x14ac:dyDescent="0.25">
      <c r="A2144" s="35">
        <v>1155065304</v>
      </c>
      <c r="B2144" s="35" t="s">
        <v>3631</v>
      </c>
      <c r="C2144" s="35">
        <v>2024</v>
      </c>
      <c r="D2144" s="36">
        <v>45409.626886574071</v>
      </c>
      <c r="E2144" s="37" t="s">
        <v>237</v>
      </c>
      <c r="F2144" s="37" t="s">
        <v>3800</v>
      </c>
      <c r="G2144" s="37" t="s">
        <v>3788</v>
      </c>
      <c r="H2144" s="35" t="s">
        <v>3419</v>
      </c>
      <c r="I2144" s="35" t="s">
        <v>3416</v>
      </c>
      <c r="J2144" s="38">
        <v>4.17</v>
      </c>
      <c r="K2144" s="35">
        <v>1</v>
      </c>
      <c r="L2144" s="38">
        <f t="shared" si="33"/>
        <v>4.17</v>
      </c>
      <c r="M2144" s="35" t="s">
        <v>11</v>
      </c>
      <c r="N2144" s="38"/>
      <c r="O2144" s="35" t="s">
        <v>12</v>
      </c>
    </row>
    <row r="2145" spans="1:15" x14ac:dyDescent="0.25">
      <c r="A2145" s="35">
        <v>1155065283</v>
      </c>
      <c r="B2145" s="35" t="s">
        <v>3631</v>
      </c>
      <c r="C2145" s="35">
        <v>2024</v>
      </c>
      <c r="D2145" s="36">
        <v>45409.626886574071</v>
      </c>
      <c r="E2145" s="37" t="s">
        <v>2081</v>
      </c>
      <c r="F2145" s="37" t="s">
        <v>3800</v>
      </c>
      <c r="G2145" s="37" t="s">
        <v>3788</v>
      </c>
      <c r="H2145" s="35" t="s">
        <v>3419</v>
      </c>
      <c r="I2145" s="35" t="s">
        <v>3416</v>
      </c>
      <c r="J2145" s="38">
        <v>1.856666666666666</v>
      </c>
      <c r="K2145" s="35">
        <v>3</v>
      </c>
      <c r="L2145" s="38">
        <f t="shared" si="33"/>
        <v>5.5699999999999985</v>
      </c>
      <c r="M2145" s="35" t="s">
        <v>11</v>
      </c>
      <c r="N2145" s="38"/>
      <c r="O2145" s="35" t="s">
        <v>12</v>
      </c>
    </row>
    <row r="2146" spans="1:15" x14ac:dyDescent="0.25">
      <c r="A2146" s="35">
        <v>1155061188</v>
      </c>
      <c r="B2146" s="35" t="s">
        <v>3631</v>
      </c>
      <c r="C2146" s="35">
        <v>2024</v>
      </c>
      <c r="D2146" s="36">
        <v>45409.626886574071</v>
      </c>
      <c r="E2146" s="37" t="s">
        <v>2455</v>
      </c>
      <c r="F2146" s="37" t="s">
        <v>5134</v>
      </c>
      <c r="G2146" s="37" t="s">
        <v>3751</v>
      </c>
      <c r="H2146" s="35" t="s">
        <v>3419</v>
      </c>
      <c r="I2146" s="35" t="s">
        <v>3416</v>
      </c>
      <c r="J2146" s="38">
        <v>4.42</v>
      </c>
      <c r="K2146" s="35">
        <v>1</v>
      </c>
      <c r="L2146" s="38">
        <f t="shared" si="33"/>
        <v>4.42</v>
      </c>
      <c r="M2146" s="35" t="s">
        <v>11</v>
      </c>
      <c r="N2146" s="38"/>
      <c r="O2146" s="35" t="s">
        <v>12</v>
      </c>
    </row>
    <row r="2147" spans="1:15" x14ac:dyDescent="0.25">
      <c r="A2147" s="35">
        <v>1154987230</v>
      </c>
      <c r="B2147" s="35" t="s">
        <v>3631</v>
      </c>
      <c r="C2147" s="35">
        <v>2024</v>
      </c>
      <c r="D2147" s="36">
        <v>45408.831712962958</v>
      </c>
      <c r="E2147" s="37" t="s">
        <v>2457</v>
      </c>
      <c r="F2147" s="37" t="s">
        <v>4502</v>
      </c>
      <c r="G2147" s="37" t="s">
        <v>3666</v>
      </c>
      <c r="H2147" s="35" t="s">
        <v>3419</v>
      </c>
      <c r="I2147" s="35" t="s">
        <v>3453</v>
      </c>
      <c r="J2147" s="38">
        <v>1.5298165137614681</v>
      </c>
      <c r="K2147" s="35">
        <v>2</v>
      </c>
      <c r="L2147" s="38">
        <f t="shared" si="33"/>
        <v>3.0596330275229362</v>
      </c>
      <c r="M2147" s="35" t="s">
        <v>11</v>
      </c>
      <c r="N2147" s="38"/>
      <c r="O2147" s="35" t="s">
        <v>12</v>
      </c>
    </row>
    <row r="2148" spans="1:15" x14ac:dyDescent="0.25">
      <c r="A2148" s="35">
        <v>1154987230</v>
      </c>
      <c r="B2148" s="35" t="s">
        <v>3631</v>
      </c>
      <c r="C2148" s="35">
        <v>2024</v>
      </c>
      <c r="D2148" s="36">
        <v>45408.831712962958</v>
      </c>
      <c r="E2148" s="37" t="s">
        <v>2457</v>
      </c>
      <c r="F2148" s="37" t="s">
        <v>5135</v>
      </c>
      <c r="G2148" s="37" t="s">
        <v>3666</v>
      </c>
      <c r="H2148" s="35" t="s">
        <v>3419</v>
      </c>
      <c r="I2148" s="35" t="s">
        <v>3453</v>
      </c>
      <c r="J2148" s="38">
        <v>3.6103669724770642</v>
      </c>
      <c r="K2148" s="35">
        <v>1</v>
      </c>
      <c r="L2148" s="38">
        <f t="shared" si="33"/>
        <v>3.6103669724770642</v>
      </c>
      <c r="M2148" s="35" t="s">
        <v>11</v>
      </c>
      <c r="N2148" s="38"/>
      <c r="O2148" s="35" t="s">
        <v>12</v>
      </c>
    </row>
    <row r="2149" spans="1:15" x14ac:dyDescent="0.25">
      <c r="A2149" s="35">
        <v>1154966443</v>
      </c>
      <c r="B2149" s="35" t="s">
        <v>3631</v>
      </c>
      <c r="C2149" s="35">
        <v>2024</v>
      </c>
      <c r="D2149" s="36">
        <v>45408.831712962958</v>
      </c>
      <c r="E2149" s="37" t="s">
        <v>8</v>
      </c>
      <c r="F2149" s="37" t="s">
        <v>5136</v>
      </c>
      <c r="G2149" s="37" t="s">
        <v>4236</v>
      </c>
      <c r="H2149" s="35" t="s">
        <v>3419</v>
      </c>
      <c r="I2149" s="35" t="s">
        <v>3416</v>
      </c>
      <c r="J2149" s="38">
        <v>3.09</v>
      </c>
      <c r="K2149" s="35">
        <v>1</v>
      </c>
      <c r="L2149" s="38">
        <f t="shared" si="33"/>
        <v>3.09</v>
      </c>
      <c r="M2149" s="42" t="s">
        <v>11</v>
      </c>
      <c r="N2149" s="38"/>
      <c r="O2149" s="35" t="s">
        <v>12</v>
      </c>
    </row>
    <row r="2150" spans="1:15" x14ac:dyDescent="0.25">
      <c r="A2150" s="35">
        <v>1154966443</v>
      </c>
      <c r="B2150" s="35" t="s">
        <v>3631</v>
      </c>
      <c r="C2150" s="35">
        <v>2024</v>
      </c>
      <c r="D2150" s="36">
        <v>45408.831712962958</v>
      </c>
      <c r="E2150" s="37" t="s">
        <v>8</v>
      </c>
      <c r="F2150" s="37" t="s">
        <v>5137</v>
      </c>
      <c r="G2150" s="37" t="s">
        <v>3729</v>
      </c>
      <c r="H2150" s="35" t="s">
        <v>3419</v>
      </c>
      <c r="I2150" s="35" t="s">
        <v>3416</v>
      </c>
      <c r="J2150" s="38">
        <v>1</v>
      </c>
      <c r="K2150" s="35">
        <v>1</v>
      </c>
      <c r="L2150" s="38">
        <f t="shared" si="33"/>
        <v>1</v>
      </c>
      <c r="M2150" s="42" t="s">
        <v>11</v>
      </c>
      <c r="N2150" s="38"/>
      <c r="O2150" s="35" t="s">
        <v>12</v>
      </c>
    </row>
    <row r="2151" spans="1:15" x14ac:dyDescent="0.25">
      <c r="A2151" s="35">
        <v>1154966443</v>
      </c>
      <c r="B2151" s="35" t="s">
        <v>3631</v>
      </c>
      <c r="C2151" s="35">
        <v>2024</v>
      </c>
      <c r="D2151" s="36">
        <v>45408.831712962958</v>
      </c>
      <c r="E2151" s="37" t="s">
        <v>8</v>
      </c>
      <c r="F2151" s="37" t="s">
        <v>3914</v>
      </c>
      <c r="G2151" s="37" t="s">
        <v>3867</v>
      </c>
      <c r="H2151" s="35" t="s">
        <v>3419</v>
      </c>
      <c r="I2151" s="35" t="s">
        <v>3416</v>
      </c>
      <c r="J2151" s="38">
        <v>0.5</v>
      </c>
      <c r="K2151" s="35">
        <v>2</v>
      </c>
      <c r="L2151" s="38">
        <f t="shared" si="33"/>
        <v>1</v>
      </c>
      <c r="M2151" s="42" t="s">
        <v>11</v>
      </c>
      <c r="N2151" s="38"/>
      <c r="O2151" s="35" t="s">
        <v>12</v>
      </c>
    </row>
    <row r="2152" spans="1:15" x14ac:dyDescent="0.25">
      <c r="A2152" s="35">
        <v>1154847328</v>
      </c>
      <c r="B2152" s="35" t="s">
        <v>3631</v>
      </c>
      <c r="C2152" s="35">
        <v>2024</v>
      </c>
      <c r="D2152" s="36">
        <v>45407.796099537038</v>
      </c>
      <c r="E2152" s="37" t="s">
        <v>1745</v>
      </c>
      <c r="F2152" s="37" t="s">
        <v>5138</v>
      </c>
      <c r="G2152" s="37" t="s">
        <v>3772</v>
      </c>
      <c r="H2152" s="35" t="s">
        <v>3419</v>
      </c>
      <c r="I2152" s="35" t="s">
        <v>3530</v>
      </c>
      <c r="J2152" s="38">
        <v>3.2625000000000002</v>
      </c>
      <c r="K2152" s="35">
        <v>1</v>
      </c>
      <c r="L2152" s="38">
        <f t="shared" si="33"/>
        <v>3.2625000000000002</v>
      </c>
      <c r="M2152" s="35" t="s">
        <v>11</v>
      </c>
      <c r="N2152" s="38"/>
      <c r="O2152" s="35" t="s">
        <v>12</v>
      </c>
    </row>
    <row r="2153" spans="1:15" x14ac:dyDescent="0.25">
      <c r="A2153" s="35">
        <v>1154847328</v>
      </c>
      <c r="B2153" s="35" t="s">
        <v>3631</v>
      </c>
      <c r="C2153" s="35">
        <v>2024</v>
      </c>
      <c r="D2153" s="36">
        <v>45407.796099537038</v>
      </c>
      <c r="E2153" s="37" t="s">
        <v>1745</v>
      </c>
      <c r="F2153" s="37" t="s">
        <v>5139</v>
      </c>
      <c r="G2153" s="37" t="s">
        <v>3624</v>
      </c>
      <c r="H2153" s="35" t="s">
        <v>3419</v>
      </c>
      <c r="I2153" s="35" t="s">
        <v>3416</v>
      </c>
      <c r="J2153" s="38">
        <v>0.65249999999999997</v>
      </c>
      <c r="K2153" s="35">
        <v>3</v>
      </c>
      <c r="L2153" s="38">
        <f t="shared" si="33"/>
        <v>1.9575</v>
      </c>
      <c r="M2153" s="35" t="s">
        <v>11</v>
      </c>
      <c r="N2153" s="38"/>
      <c r="O2153" s="35" t="s">
        <v>12</v>
      </c>
    </row>
    <row r="2154" spans="1:15" x14ac:dyDescent="0.25">
      <c r="A2154" s="35">
        <v>1154101785</v>
      </c>
      <c r="B2154" s="35" t="s">
        <v>3631</v>
      </c>
      <c r="C2154" s="35">
        <v>2024</v>
      </c>
      <c r="D2154" s="36">
        <v>45402.461550925917</v>
      </c>
      <c r="E2154" s="37" t="s">
        <v>2290</v>
      </c>
      <c r="F2154" s="37" t="s">
        <v>4796</v>
      </c>
      <c r="G2154" s="37" t="s">
        <v>3729</v>
      </c>
      <c r="H2154" s="35" t="s">
        <v>3415</v>
      </c>
      <c r="I2154" s="35" t="s">
        <v>3416</v>
      </c>
      <c r="J2154" s="38">
        <v>0.2704639175257732</v>
      </c>
      <c r="K2154" s="35">
        <v>4</v>
      </c>
      <c r="L2154" s="38">
        <f t="shared" si="33"/>
        <v>1.0818556701030928</v>
      </c>
      <c r="M2154" s="35" t="s">
        <v>11</v>
      </c>
      <c r="N2154" s="38"/>
      <c r="O2154" s="35" t="s">
        <v>12</v>
      </c>
    </row>
    <row r="2155" spans="1:15" x14ac:dyDescent="0.25">
      <c r="A2155" s="35">
        <v>1154101785</v>
      </c>
      <c r="B2155" s="35" t="s">
        <v>3631</v>
      </c>
      <c r="C2155" s="35">
        <v>2024</v>
      </c>
      <c r="D2155" s="36">
        <v>45402.461550925917</v>
      </c>
      <c r="E2155" s="37" t="s">
        <v>2290</v>
      </c>
      <c r="F2155" s="37" t="s">
        <v>4792</v>
      </c>
      <c r="G2155" s="37" t="s">
        <v>3729</v>
      </c>
      <c r="H2155" s="35" t="s">
        <v>3415</v>
      </c>
      <c r="I2155" s="35" t="s">
        <v>3416</v>
      </c>
      <c r="J2155" s="38">
        <v>0.2704639175257732</v>
      </c>
      <c r="K2155" s="35">
        <v>4</v>
      </c>
      <c r="L2155" s="38">
        <f t="shared" si="33"/>
        <v>1.0818556701030928</v>
      </c>
      <c r="M2155" s="35" t="s">
        <v>11</v>
      </c>
      <c r="N2155" s="38"/>
      <c r="O2155" s="35" t="s">
        <v>12</v>
      </c>
    </row>
    <row r="2156" spans="1:15" x14ac:dyDescent="0.25">
      <c r="A2156" s="35">
        <v>1154101785</v>
      </c>
      <c r="B2156" s="35" t="s">
        <v>3631</v>
      </c>
      <c r="C2156" s="35">
        <v>2024</v>
      </c>
      <c r="D2156" s="36">
        <v>45402.461550925917</v>
      </c>
      <c r="E2156" s="37" t="s">
        <v>2290</v>
      </c>
      <c r="F2156" s="37" t="s">
        <v>4804</v>
      </c>
      <c r="G2156" s="37" t="s">
        <v>3729</v>
      </c>
      <c r="H2156" s="35" t="s">
        <v>3415</v>
      </c>
      <c r="I2156" s="35" t="s">
        <v>3416</v>
      </c>
      <c r="J2156" s="38">
        <v>0.25543814432989692</v>
      </c>
      <c r="K2156" s="35">
        <v>4</v>
      </c>
      <c r="L2156" s="38">
        <f t="shared" si="33"/>
        <v>1.0217525773195877</v>
      </c>
      <c r="M2156" s="35" t="s">
        <v>11</v>
      </c>
      <c r="N2156" s="38"/>
      <c r="O2156" s="35" t="s">
        <v>12</v>
      </c>
    </row>
    <row r="2157" spans="1:15" x14ac:dyDescent="0.25">
      <c r="A2157" s="35">
        <v>1154101785</v>
      </c>
      <c r="B2157" s="35" t="s">
        <v>3631</v>
      </c>
      <c r="C2157" s="35">
        <v>2024</v>
      </c>
      <c r="D2157" s="36">
        <v>45402.461550925917</v>
      </c>
      <c r="E2157" s="37" t="s">
        <v>2290</v>
      </c>
      <c r="F2157" s="37" t="s">
        <v>4800</v>
      </c>
      <c r="G2157" s="37" t="s">
        <v>3729</v>
      </c>
      <c r="H2157" s="35" t="s">
        <v>3415</v>
      </c>
      <c r="I2157" s="35" t="s">
        <v>3416</v>
      </c>
      <c r="J2157" s="38">
        <v>0.36061855670103088</v>
      </c>
      <c r="K2157" s="35">
        <v>4</v>
      </c>
      <c r="L2157" s="38">
        <f t="shared" si="33"/>
        <v>1.4424742268041235</v>
      </c>
      <c r="M2157" s="35" t="s">
        <v>11</v>
      </c>
      <c r="N2157" s="38"/>
      <c r="O2157" s="35" t="s">
        <v>12</v>
      </c>
    </row>
    <row r="2158" spans="1:15" x14ac:dyDescent="0.25">
      <c r="A2158" s="35">
        <v>1154101785</v>
      </c>
      <c r="B2158" s="35" t="s">
        <v>3631</v>
      </c>
      <c r="C2158" s="35">
        <v>2024</v>
      </c>
      <c r="D2158" s="36">
        <v>45402.461550925917</v>
      </c>
      <c r="E2158" s="37" t="s">
        <v>2290</v>
      </c>
      <c r="F2158" s="37" t="s">
        <v>4808</v>
      </c>
      <c r="G2158" s="37" t="s">
        <v>3729</v>
      </c>
      <c r="H2158" s="35" t="s">
        <v>3415</v>
      </c>
      <c r="I2158" s="35" t="s">
        <v>3416</v>
      </c>
      <c r="J2158" s="38">
        <v>0.30051546391752582</v>
      </c>
      <c r="K2158" s="35">
        <v>4</v>
      </c>
      <c r="L2158" s="38">
        <f t="shared" si="33"/>
        <v>1.2020618556701033</v>
      </c>
      <c r="M2158" s="35" t="s">
        <v>11</v>
      </c>
      <c r="N2158" s="38"/>
      <c r="O2158" s="35" t="s">
        <v>12</v>
      </c>
    </row>
    <row r="2159" spans="1:15" x14ac:dyDescent="0.25">
      <c r="A2159" s="35">
        <v>1154093072</v>
      </c>
      <c r="B2159" s="35" t="s">
        <v>3631</v>
      </c>
      <c r="C2159" s="35">
        <v>2024</v>
      </c>
      <c r="D2159" s="36">
        <v>45402.407696759263</v>
      </c>
      <c r="E2159" s="37" t="s">
        <v>2467</v>
      </c>
      <c r="F2159" s="37" t="s">
        <v>5142</v>
      </c>
      <c r="G2159" s="37" t="s">
        <v>4642</v>
      </c>
      <c r="H2159" s="35" t="s">
        <v>3419</v>
      </c>
      <c r="I2159" s="35" t="s">
        <v>3416</v>
      </c>
      <c r="J2159" s="38">
        <v>1.76</v>
      </c>
      <c r="K2159" s="35">
        <v>1</v>
      </c>
      <c r="L2159" s="38">
        <f t="shared" si="33"/>
        <v>1.76</v>
      </c>
      <c r="M2159" s="35" t="s">
        <v>11</v>
      </c>
      <c r="N2159" s="38"/>
      <c r="O2159" s="35" t="s">
        <v>12</v>
      </c>
    </row>
    <row r="2160" spans="1:15" x14ac:dyDescent="0.25">
      <c r="A2160" s="35">
        <v>1154092405</v>
      </c>
      <c r="B2160" s="35" t="s">
        <v>3631</v>
      </c>
      <c r="C2160" s="35">
        <v>2024</v>
      </c>
      <c r="D2160" s="36">
        <v>45402.403912037043</v>
      </c>
      <c r="E2160" s="37" t="s">
        <v>318</v>
      </c>
      <c r="F2160" s="37" t="s">
        <v>5143</v>
      </c>
      <c r="G2160" s="37" t="s">
        <v>3662</v>
      </c>
      <c r="H2160" s="35" t="s">
        <v>3419</v>
      </c>
      <c r="I2160" s="35" t="s">
        <v>3416</v>
      </c>
      <c r="J2160" s="38">
        <v>11.21</v>
      </c>
      <c r="K2160" s="35">
        <v>1</v>
      </c>
      <c r="L2160" s="38">
        <f t="shared" si="33"/>
        <v>11.21</v>
      </c>
      <c r="M2160" s="35" t="s">
        <v>11</v>
      </c>
      <c r="N2160" s="38"/>
      <c r="O2160" s="35" t="s">
        <v>12</v>
      </c>
    </row>
    <row r="2161" spans="1:15" x14ac:dyDescent="0.25">
      <c r="A2161" s="35">
        <v>1154091419</v>
      </c>
      <c r="B2161" s="35" t="s">
        <v>3631</v>
      </c>
      <c r="C2161" s="35">
        <v>2024</v>
      </c>
      <c r="D2161" s="36">
        <v>45402.403912037043</v>
      </c>
      <c r="E2161" s="37" t="s">
        <v>2470</v>
      </c>
      <c r="F2161" s="37" t="s">
        <v>5144</v>
      </c>
      <c r="G2161" s="37" t="s">
        <v>3905</v>
      </c>
      <c r="H2161" s="35" t="s">
        <v>3419</v>
      </c>
      <c r="I2161" s="35" t="s">
        <v>3416</v>
      </c>
      <c r="J2161" s="38">
        <v>17.335000000000001</v>
      </c>
      <c r="K2161" s="35">
        <v>2</v>
      </c>
      <c r="L2161" s="38">
        <f t="shared" si="33"/>
        <v>34.67</v>
      </c>
      <c r="M2161" s="35" t="s">
        <v>11</v>
      </c>
      <c r="N2161" s="38"/>
      <c r="O2161" s="35" t="s">
        <v>12</v>
      </c>
    </row>
    <row r="2162" spans="1:15" x14ac:dyDescent="0.25">
      <c r="A2162" s="35">
        <v>1153778940</v>
      </c>
      <c r="B2162" s="35" t="s">
        <v>3631</v>
      </c>
      <c r="C2162" s="35">
        <v>2024</v>
      </c>
      <c r="D2162" s="36">
        <v>45399.755428240736</v>
      </c>
      <c r="E2162" s="37" t="s">
        <v>61</v>
      </c>
      <c r="F2162" s="37" t="s">
        <v>5147</v>
      </c>
      <c r="G2162" s="37" t="s">
        <v>5147</v>
      </c>
      <c r="H2162" s="35" t="s">
        <v>3419</v>
      </c>
      <c r="I2162" s="35" t="s">
        <v>3416</v>
      </c>
      <c r="J2162" s="38">
        <v>54.45</v>
      </c>
      <c r="K2162" s="35">
        <v>1</v>
      </c>
      <c r="L2162" s="38">
        <f t="shared" si="33"/>
        <v>54.45</v>
      </c>
      <c r="M2162" s="42" t="s">
        <v>11</v>
      </c>
      <c r="N2162" s="38"/>
      <c r="O2162" s="35" t="s">
        <v>12</v>
      </c>
    </row>
    <row r="2163" spans="1:15" x14ac:dyDescent="0.25">
      <c r="A2163" s="35">
        <v>1153711461</v>
      </c>
      <c r="B2163" s="35" t="s">
        <v>3631</v>
      </c>
      <c r="C2163" s="35">
        <v>2024</v>
      </c>
      <c r="D2163" s="36">
        <v>45399.364768518521</v>
      </c>
      <c r="E2163" s="37" t="s">
        <v>2476</v>
      </c>
      <c r="F2163" s="37" t="s">
        <v>5148</v>
      </c>
      <c r="G2163" s="37" t="s">
        <v>3751</v>
      </c>
      <c r="H2163" s="35" t="s">
        <v>3419</v>
      </c>
      <c r="I2163" s="35" t="s">
        <v>3416</v>
      </c>
      <c r="J2163" s="38">
        <v>3.1066666666666669</v>
      </c>
      <c r="K2163" s="35">
        <v>3</v>
      </c>
      <c r="L2163" s="38">
        <f t="shared" si="33"/>
        <v>9.32</v>
      </c>
      <c r="M2163" s="35" t="s">
        <v>11</v>
      </c>
      <c r="N2163" s="38"/>
      <c r="O2163" s="35" t="s">
        <v>12</v>
      </c>
    </row>
    <row r="2164" spans="1:15" x14ac:dyDescent="0.25">
      <c r="A2164" s="35">
        <v>1153710881</v>
      </c>
      <c r="B2164" s="35" t="s">
        <v>3631</v>
      </c>
      <c r="C2164" s="35">
        <v>2024</v>
      </c>
      <c r="D2164" s="36">
        <v>45399.364768518521</v>
      </c>
      <c r="E2164" s="37" t="s">
        <v>8</v>
      </c>
      <c r="F2164" s="37" t="s">
        <v>5149</v>
      </c>
      <c r="G2164" s="37" t="s">
        <v>4236</v>
      </c>
      <c r="H2164" s="35" t="s">
        <v>3415</v>
      </c>
      <c r="I2164" s="35" t="s">
        <v>3416</v>
      </c>
      <c r="J2164" s="38">
        <v>7.5</v>
      </c>
      <c r="K2164" s="35">
        <v>4</v>
      </c>
      <c r="L2164" s="38">
        <f t="shared" si="33"/>
        <v>30</v>
      </c>
      <c r="M2164" s="42" t="s">
        <v>11</v>
      </c>
      <c r="N2164" s="38"/>
      <c r="O2164" s="35" t="s">
        <v>12</v>
      </c>
    </row>
    <row r="2165" spans="1:15" x14ac:dyDescent="0.25">
      <c r="A2165" s="35">
        <v>1153705698</v>
      </c>
      <c r="B2165" s="35" t="s">
        <v>3631</v>
      </c>
      <c r="C2165" s="35">
        <v>2024</v>
      </c>
      <c r="D2165" s="36">
        <v>45399.364768518521</v>
      </c>
      <c r="E2165" s="37" t="s">
        <v>2478</v>
      </c>
      <c r="F2165" s="37" t="s">
        <v>5150</v>
      </c>
      <c r="G2165" s="37" t="s">
        <v>3700</v>
      </c>
      <c r="H2165" s="35" t="s">
        <v>3419</v>
      </c>
      <c r="I2165" s="35" t="s">
        <v>3530</v>
      </c>
      <c r="J2165" s="38">
        <v>4.21</v>
      </c>
      <c r="K2165" s="35">
        <v>1</v>
      </c>
      <c r="L2165" s="38">
        <f t="shared" si="33"/>
        <v>4.21</v>
      </c>
      <c r="M2165" s="35" t="s">
        <v>11</v>
      </c>
      <c r="N2165" s="38"/>
      <c r="O2165" s="35" t="s">
        <v>12</v>
      </c>
    </row>
    <row r="2166" spans="1:15" x14ac:dyDescent="0.25">
      <c r="A2166" s="35">
        <v>1153702681</v>
      </c>
      <c r="B2166" s="35" t="s">
        <v>3631</v>
      </c>
      <c r="C2166" s="35">
        <v>2024</v>
      </c>
      <c r="D2166" s="36">
        <v>45399.310763888891</v>
      </c>
      <c r="E2166" s="37" t="s">
        <v>2480</v>
      </c>
      <c r="F2166" s="37" t="s">
        <v>4367</v>
      </c>
      <c r="G2166" s="37" t="s">
        <v>3729</v>
      </c>
      <c r="H2166" s="35" t="s">
        <v>3419</v>
      </c>
      <c r="I2166" s="35" t="s">
        <v>3416</v>
      </c>
      <c r="J2166" s="38">
        <v>5.9</v>
      </c>
      <c r="K2166" s="35">
        <v>2</v>
      </c>
      <c r="L2166" s="38">
        <f t="shared" si="33"/>
        <v>11.8</v>
      </c>
      <c r="M2166" s="35" t="s">
        <v>11</v>
      </c>
      <c r="N2166" s="38"/>
      <c r="O2166" s="35" t="s">
        <v>12</v>
      </c>
    </row>
    <row r="2167" spans="1:15" x14ac:dyDescent="0.25">
      <c r="A2167" s="35">
        <v>1153359054</v>
      </c>
      <c r="B2167" s="35" t="s">
        <v>3631</v>
      </c>
      <c r="C2167" s="35">
        <v>2024</v>
      </c>
      <c r="D2167" s="36">
        <v>45396.769143518519</v>
      </c>
      <c r="E2167" s="37" t="s">
        <v>1082</v>
      </c>
      <c r="F2167" s="37" t="s">
        <v>5151</v>
      </c>
      <c r="G2167" s="37" t="s">
        <v>3712</v>
      </c>
      <c r="H2167" s="35" t="s">
        <v>3419</v>
      </c>
      <c r="I2167" s="35" t="s">
        <v>3416</v>
      </c>
      <c r="J2167" s="38">
        <v>3.01</v>
      </c>
      <c r="K2167" s="35">
        <v>2</v>
      </c>
      <c r="L2167" s="38">
        <f t="shared" si="33"/>
        <v>6.02</v>
      </c>
      <c r="M2167" s="35" t="s">
        <v>11</v>
      </c>
      <c r="N2167" s="38"/>
      <c r="O2167" s="35" t="s">
        <v>12</v>
      </c>
    </row>
    <row r="2168" spans="1:15" x14ac:dyDescent="0.25">
      <c r="A2168" s="35">
        <v>1153278715</v>
      </c>
      <c r="B2168" s="35" t="s">
        <v>3631</v>
      </c>
      <c r="C2168" s="35">
        <v>2024</v>
      </c>
      <c r="D2168" s="36">
        <v>45396.048356481479</v>
      </c>
      <c r="E2168" s="37" t="s">
        <v>2484</v>
      </c>
      <c r="F2168" s="37" t="s">
        <v>4099</v>
      </c>
      <c r="G2168" s="37" t="s">
        <v>3757</v>
      </c>
      <c r="H2168" s="35" t="s">
        <v>3419</v>
      </c>
      <c r="I2168" s="35" t="s">
        <v>3416</v>
      </c>
      <c r="J2168" s="38">
        <v>18.43061538461539</v>
      </c>
      <c r="K2168" s="35">
        <v>1</v>
      </c>
      <c r="L2168" s="38">
        <f t="shared" si="33"/>
        <v>18.43061538461539</v>
      </c>
      <c r="M2168" s="35" t="s">
        <v>11</v>
      </c>
      <c r="N2168" s="38"/>
      <c r="O2168" s="35" t="s">
        <v>12</v>
      </c>
    </row>
    <row r="2169" spans="1:15" x14ac:dyDescent="0.25">
      <c r="A2169" s="35">
        <v>1153278715</v>
      </c>
      <c r="B2169" s="35" t="s">
        <v>3631</v>
      </c>
      <c r="C2169" s="35">
        <v>2024</v>
      </c>
      <c r="D2169" s="36">
        <v>45396.048356481479</v>
      </c>
      <c r="E2169" s="37" t="s">
        <v>2484</v>
      </c>
      <c r="F2169" s="37" t="s">
        <v>4099</v>
      </c>
      <c r="G2169" s="37" t="s">
        <v>3757</v>
      </c>
      <c r="H2169" s="35" t="s">
        <v>3419</v>
      </c>
      <c r="I2169" s="35" t="s">
        <v>3530</v>
      </c>
      <c r="J2169" s="38">
        <v>17.34646153846154</v>
      </c>
      <c r="K2169" s="35">
        <v>3</v>
      </c>
      <c r="L2169" s="38">
        <f t="shared" si="33"/>
        <v>52.03938461538462</v>
      </c>
      <c r="M2169" s="35" t="s">
        <v>11</v>
      </c>
      <c r="N2169" s="38"/>
      <c r="O2169" s="35" t="s">
        <v>12</v>
      </c>
    </row>
    <row r="2170" spans="1:15" x14ac:dyDescent="0.25">
      <c r="A2170" s="35">
        <v>1153133381</v>
      </c>
      <c r="B2170" s="35" t="s">
        <v>3631</v>
      </c>
      <c r="C2170" s="35">
        <v>2024</v>
      </c>
      <c r="D2170" s="36">
        <v>45394.997442129628</v>
      </c>
      <c r="E2170" s="37" t="s">
        <v>2486</v>
      </c>
      <c r="F2170" s="37" t="s">
        <v>5152</v>
      </c>
      <c r="G2170" s="37" t="s">
        <v>3674</v>
      </c>
      <c r="H2170" s="35" t="s">
        <v>3419</v>
      </c>
      <c r="I2170" s="35" t="s">
        <v>3416</v>
      </c>
      <c r="J2170" s="38">
        <v>35.47</v>
      </c>
      <c r="K2170" s="35">
        <v>1</v>
      </c>
      <c r="L2170" s="38">
        <f t="shared" si="33"/>
        <v>35.47</v>
      </c>
      <c r="M2170" s="35" t="s">
        <v>11</v>
      </c>
      <c r="N2170" s="38"/>
      <c r="O2170" s="35" t="s">
        <v>12</v>
      </c>
    </row>
    <row r="2171" spans="1:15" x14ac:dyDescent="0.25">
      <c r="A2171" s="35">
        <v>1153090236</v>
      </c>
      <c r="B2171" s="35" t="s">
        <v>3631</v>
      </c>
      <c r="C2171" s="35">
        <v>2024</v>
      </c>
      <c r="D2171" s="36">
        <v>45394.997442129628</v>
      </c>
      <c r="E2171" s="37" t="s">
        <v>294</v>
      </c>
      <c r="F2171" s="37" t="s">
        <v>5153</v>
      </c>
      <c r="G2171" s="37" t="s">
        <v>3529</v>
      </c>
      <c r="H2171" s="35" t="s">
        <v>3415</v>
      </c>
      <c r="I2171" s="35" t="s">
        <v>3416</v>
      </c>
      <c r="J2171" s="38">
        <v>0.44500000000000001</v>
      </c>
      <c r="K2171" s="35">
        <v>4</v>
      </c>
      <c r="L2171" s="38">
        <f t="shared" si="33"/>
        <v>1.78</v>
      </c>
      <c r="M2171" s="35" t="s">
        <v>11</v>
      </c>
      <c r="N2171" s="38"/>
      <c r="O2171" s="35" t="s">
        <v>12</v>
      </c>
    </row>
    <row r="2172" spans="1:15" x14ac:dyDescent="0.25">
      <c r="A2172" s="35">
        <v>1152844092</v>
      </c>
      <c r="B2172" s="35" t="s">
        <v>3631</v>
      </c>
      <c r="C2172" s="35">
        <v>2024</v>
      </c>
      <c r="D2172" s="36">
        <v>45392.484502314823</v>
      </c>
      <c r="E2172" s="37" t="s">
        <v>1433</v>
      </c>
      <c r="F2172" s="37" t="s">
        <v>4930</v>
      </c>
      <c r="G2172" s="37" t="s">
        <v>5155</v>
      </c>
      <c r="H2172" s="35" t="s">
        <v>3419</v>
      </c>
      <c r="I2172" s="35" t="s">
        <v>3416</v>
      </c>
      <c r="J2172" s="38">
        <v>5.22</v>
      </c>
      <c r="K2172" s="35">
        <v>1</v>
      </c>
      <c r="L2172" s="38">
        <f t="shared" si="33"/>
        <v>5.22</v>
      </c>
      <c r="M2172" s="35" t="s">
        <v>11</v>
      </c>
      <c r="N2172" s="38"/>
      <c r="O2172" s="35" t="s">
        <v>12</v>
      </c>
    </row>
    <row r="2173" spans="1:15" x14ac:dyDescent="0.25">
      <c r="A2173" s="35">
        <v>1152843689</v>
      </c>
      <c r="B2173" s="35" t="s">
        <v>3631</v>
      </c>
      <c r="C2173" s="35">
        <v>2024</v>
      </c>
      <c r="D2173" s="36">
        <v>45392.484502314823</v>
      </c>
      <c r="E2173" s="37" t="s">
        <v>2494</v>
      </c>
      <c r="F2173" s="37" t="s">
        <v>4933</v>
      </c>
      <c r="G2173" s="37" t="s">
        <v>4059</v>
      </c>
      <c r="H2173" s="35" t="s">
        <v>3419</v>
      </c>
      <c r="I2173" s="35" t="s">
        <v>3416</v>
      </c>
      <c r="J2173" s="38">
        <v>5.9066666666666663</v>
      </c>
      <c r="K2173" s="35">
        <v>3</v>
      </c>
      <c r="L2173" s="38">
        <f t="shared" si="33"/>
        <v>17.72</v>
      </c>
      <c r="M2173" s="35" t="s">
        <v>11</v>
      </c>
      <c r="N2173" s="38"/>
      <c r="O2173" s="35" t="s">
        <v>12</v>
      </c>
    </row>
    <row r="2174" spans="1:15" x14ac:dyDescent="0.25">
      <c r="A2174" s="35">
        <v>1152711332</v>
      </c>
      <c r="B2174" s="35" t="s">
        <v>3631</v>
      </c>
      <c r="C2174" s="35">
        <v>2024</v>
      </c>
      <c r="D2174" s="36">
        <v>45391.538761574076</v>
      </c>
      <c r="E2174" s="37" t="s">
        <v>2496</v>
      </c>
      <c r="F2174" s="37" t="s">
        <v>5156</v>
      </c>
      <c r="G2174" s="37" t="s">
        <v>5063</v>
      </c>
      <c r="H2174" s="35" t="s">
        <v>3419</v>
      </c>
      <c r="I2174" s="35" t="s">
        <v>3416</v>
      </c>
      <c r="J2174" s="38">
        <v>3.1855043081601621E-2</v>
      </c>
      <c r="K2174" s="35">
        <v>1</v>
      </c>
      <c r="L2174" s="38">
        <f t="shared" si="33"/>
        <v>3.1855043081601621E-2</v>
      </c>
      <c r="M2174" s="35" t="s">
        <v>11</v>
      </c>
      <c r="N2174" s="38"/>
      <c r="O2174" s="35" t="s">
        <v>2314</v>
      </c>
    </row>
    <row r="2175" spans="1:15" x14ac:dyDescent="0.25">
      <c r="A2175" s="35">
        <v>1152711332</v>
      </c>
      <c r="B2175" s="35" t="s">
        <v>3631</v>
      </c>
      <c r="C2175" s="35">
        <v>2024</v>
      </c>
      <c r="D2175" s="36">
        <v>45391.538761574076</v>
      </c>
      <c r="E2175" s="37" t="s">
        <v>2496</v>
      </c>
      <c r="F2175" s="37" t="s">
        <v>5157</v>
      </c>
      <c r="G2175" s="37" t="s">
        <v>5063</v>
      </c>
      <c r="H2175" s="35" t="s">
        <v>3419</v>
      </c>
      <c r="I2175" s="35" t="s">
        <v>3416</v>
      </c>
      <c r="J2175" s="38">
        <v>0.1380385200202737</v>
      </c>
      <c r="K2175" s="35">
        <v>2</v>
      </c>
      <c r="L2175" s="38">
        <f t="shared" si="33"/>
        <v>0.27607704004054739</v>
      </c>
      <c r="M2175" s="35" t="s">
        <v>11</v>
      </c>
      <c r="N2175" s="38"/>
      <c r="O2175" s="35" t="s">
        <v>2314</v>
      </c>
    </row>
    <row r="2176" spans="1:15" x14ac:dyDescent="0.25">
      <c r="A2176" s="35">
        <v>1152711332</v>
      </c>
      <c r="B2176" s="35" t="s">
        <v>3631</v>
      </c>
      <c r="C2176" s="35">
        <v>2024</v>
      </c>
      <c r="D2176" s="36">
        <v>45391.538761574076</v>
      </c>
      <c r="E2176" s="37" t="s">
        <v>2496</v>
      </c>
      <c r="F2176" s="37" t="s">
        <v>5158</v>
      </c>
      <c r="G2176" s="37" t="s">
        <v>5063</v>
      </c>
      <c r="H2176" s="35" t="s">
        <v>3419</v>
      </c>
      <c r="I2176" s="35" t="s">
        <v>3416</v>
      </c>
      <c r="J2176" s="38">
        <v>20.642067916877849</v>
      </c>
      <c r="K2176" s="35">
        <v>1</v>
      </c>
      <c r="L2176" s="38">
        <f t="shared" si="33"/>
        <v>20.642067916877849</v>
      </c>
      <c r="M2176" s="35" t="s">
        <v>11</v>
      </c>
      <c r="N2176" s="38"/>
      <c r="O2176" s="35" t="s">
        <v>2314</v>
      </c>
    </row>
    <row r="2177" spans="1:15" x14ac:dyDescent="0.25">
      <c r="A2177" s="35">
        <v>1152686423</v>
      </c>
      <c r="B2177" s="35" t="s">
        <v>3631</v>
      </c>
      <c r="C2177" s="35">
        <v>2024</v>
      </c>
      <c r="D2177" s="36">
        <v>45391.538761574076</v>
      </c>
      <c r="E2177" s="37" t="s">
        <v>2499</v>
      </c>
      <c r="F2177" s="37" t="s">
        <v>5159</v>
      </c>
      <c r="G2177" s="37" t="s">
        <v>5063</v>
      </c>
      <c r="H2177" s="35" t="s">
        <v>3419</v>
      </c>
      <c r="I2177" s="35" t="s">
        <v>3416</v>
      </c>
      <c r="J2177" s="38">
        <v>9.2200000000000006</v>
      </c>
      <c r="K2177" s="35">
        <v>1</v>
      </c>
      <c r="L2177" s="38">
        <f t="shared" si="33"/>
        <v>9.2200000000000006</v>
      </c>
      <c r="M2177" s="35" t="s">
        <v>11</v>
      </c>
      <c r="N2177" s="38"/>
      <c r="O2177" s="35" t="s">
        <v>2314</v>
      </c>
    </row>
    <row r="2178" spans="1:15" x14ac:dyDescent="0.25">
      <c r="A2178" s="35">
        <v>1152686420</v>
      </c>
      <c r="B2178" s="35" t="s">
        <v>3631</v>
      </c>
      <c r="C2178" s="35">
        <v>2024</v>
      </c>
      <c r="D2178" s="36">
        <v>45391.538761574076</v>
      </c>
      <c r="E2178" s="37" t="s">
        <v>2501</v>
      </c>
      <c r="F2178" s="37" t="s">
        <v>5062</v>
      </c>
      <c r="G2178" s="37" t="s">
        <v>5063</v>
      </c>
      <c r="H2178" s="35" t="s">
        <v>3419</v>
      </c>
      <c r="I2178" s="35" t="s">
        <v>3416</v>
      </c>
      <c r="J2178" s="38">
        <v>2.72189349112426</v>
      </c>
      <c r="K2178" s="35">
        <v>1</v>
      </c>
      <c r="L2178" s="38">
        <f t="shared" ref="L2178:L2241" si="34">J2178*K2178</f>
        <v>2.72189349112426</v>
      </c>
      <c r="M2178" s="35" t="s">
        <v>11</v>
      </c>
      <c r="N2178" s="38"/>
      <c r="O2178" s="35" t="s">
        <v>2314</v>
      </c>
    </row>
    <row r="2179" spans="1:15" x14ac:dyDescent="0.25">
      <c r="A2179" s="35">
        <v>1152686420</v>
      </c>
      <c r="B2179" s="35" t="s">
        <v>3631</v>
      </c>
      <c r="C2179" s="35">
        <v>2024</v>
      </c>
      <c r="D2179" s="36">
        <v>45391.538761574076</v>
      </c>
      <c r="E2179" s="37" t="s">
        <v>2501</v>
      </c>
      <c r="F2179" s="37" t="s">
        <v>5064</v>
      </c>
      <c r="G2179" s="37" t="s">
        <v>5063</v>
      </c>
      <c r="H2179" s="35" t="s">
        <v>3419</v>
      </c>
      <c r="I2179" s="35" t="s">
        <v>3416</v>
      </c>
      <c r="J2179" s="38">
        <v>1.87810650887574</v>
      </c>
      <c r="K2179" s="35">
        <v>1</v>
      </c>
      <c r="L2179" s="38">
        <f t="shared" si="34"/>
        <v>1.87810650887574</v>
      </c>
      <c r="M2179" s="35" t="s">
        <v>11</v>
      </c>
      <c r="N2179" s="38"/>
      <c r="O2179" s="35" t="s">
        <v>2314</v>
      </c>
    </row>
    <row r="2180" spans="1:15" x14ac:dyDescent="0.25">
      <c r="A2180" s="35">
        <v>1152048190</v>
      </c>
      <c r="B2180" s="35" t="s">
        <v>3631</v>
      </c>
      <c r="C2180" s="35">
        <v>2024</v>
      </c>
      <c r="D2180" s="36">
        <v>45385.914710648147</v>
      </c>
      <c r="E2180" s="37" t="s">
        <v>2506</v>
      </c>
      <c r="F2180" s="37" t="s">
        <v>4069</v>
      </c>
      <c r="G2180" s="37" t="s">
        <v>3710</v>
      </c>
      <c r="H2180" s="35" t="s">
        <v>3415</v>
      </c>
      <c r="I2180" s="35" t="s">
        <v>3530</v>
      </c>
      <c r="J2180" s="38">
        <v>1.94</v>
      </c>
      <c r="K2180" s="35">
        <v>4</v>
      </c>
      <c r="L2180" s="38">
        <f t="shared" si="34"/>
        <v>7.76</v>
      </c>
      <c r="M2180" s="35" t="s">
        <v>11</v>
      </c>
      <c r="N2180" s="38"/>
      <c r="O2180" s="35" t="s">
        <v>12</v>
      </c>
    </row>
    <row r="2181" spans="1:15" x14ac:dyDescent="0.25">
      <c r="A2181" s="35">
        <v>1151861739</v>
      </c>
      <c r="B2181" s="35" t="s">
        <v>3631</v>
      </c>
      <c r="C2181" s="35">
        <v>2024</v>
      </c>
      <c r="D2181" s="36">
        <v>45384.626423611109</v>
      </c>
      <c r="E2181" s="37" t="s">
        <v>2511</v>
      </c>
      <c r="F2181" s="37" t="s">
        <v>4502</v>
      </c>
      <c r="G2181" s="37" t="s">
        <v>3666</v>
      </c>
      <c r="H2181" s="35" t="s">
        <v>3419</v>
      </c>
      <c r="I2181" s="35" t="s">
        <v>3416</v>
      </c>
      <c r="J2181" s="38">
        <v>1.135555555555555</v>
      </c>
      <c r="K2181" s="35">
        <v>1</v>
      </c>
      <c r="L2181" s="38">
        <f t="shared" si="34"/>
        <v>1.135555555555555</v>
      </c>
      <c r="M2181" s="35" t="s">
        <v>11</v>
      </c>
      <c r="N2181" s="38"/>
      <c r="O2181" s="35" t="s">
        <v>12</v>
      </c>
    </row>
    <row r="2182" spans="1:15" x14ac:dyDescent="0.25">
      <c r="A2182" s="35">
        <v>1151861739</v>
      </c>
      <c r="B2182" s="35" t="s">
        <v>3631</v>
      </c>
      <c r="C2182" s="35">
        <v>2024</v>
      </c>
      <c r="D2182" s="36">
        <v>45384.626423611109</v>
      </c>
      <c r="E2182" s="37" t="s">
        <v>2511</v>
      </c>
      <c r="F2182" s="37" t="s">
        <v>5160</v>
      </c>
      <c r="G2182" s="37" t="s">
        <v>3712</v>
      </c>
      <c r="H2182" s="35" t="s">
        <v>3419</v>
      </c>
      <c r="I2182" s="35" t="s">
        <v>3416</v>
      </c>
      <c r="J2182" s="38">
        <v>4.5422222222222217</v>
      </c>
      <c r="K2182" s="35">
        <v>2</v>
      </c>
      <c r="L2182" s="38">
        <f t="shared" si="34"/>
        <v>9.0844444444444434</v>
      </c>
      <c r="M2182" s="35" t="s">
        <v>11</v>
      </c>
      <c r="N2182" s="38"/>
      <c r="O2182" s="35" t="s">
        <v>12</v>
      </c>
    </row>
    <row r="2183" spans="1:15" x14ac:dyDescent="0.25">
      <c r="A2183" s="35">
        <v>1151786987</v>
      </c>
      <c r="B2183" s="35" t="s">
        <v>3631</v>
      </c>
      <c r="C2183" s="35">
        <v>2024</v>
      </c>
      <c r="D2183" s="36">
        <v>45383.899143518523</v>
      </c>
      <c r="E2183" s="37" t="s">
        <v>2514</v>
      </c>
      <c r="F2183" s="37" t="s">
        <v>5161</v>
      </c>
      <c r="G2183" s="37" t="s">
        <v>3652</v>
      </c>
      <c r="H2183" s="35" t="s">
        <v>3419</v>
      </c>
      <c r="I2183" s="35" t="s">
        <v>3416</v>
      </c>
      <c r="J2183" s="38">
        <v>3.6</v>
      </c>
      <c r="K2183" s="35">
        <v>2</v>
      </c>
      <c r="L2183" s="38">
        <f t="shared" si="34"/>
        <v>7.2</v>
      </c>
      <c r="M2183" s="35" t="s">
        <v>11</v>
      </c>
      <c r="N2183" s="38"/>
      <c r="O2183" s="35" t="s">
        <v>12</v>
      </c>
    </row>
    <row r="2184" spans="1:15" x14ac:dyDescent="0.25">
      <c r="A2184" s="35">
        <v>1151713514</v>
      </c>
      <c r="B2184" s="35" t="s">
        <v>3631</v>
      </c>
      <c r="C2184" s="35">
        <v>2024</v>
      </c>
      <c r="D2184" s="36">
        <v>45383.514918981477</v>
      </c>
      <c r="E2184" s="37" t="s">
        <v>2517</v>
      </c>
      <c r="F2184" s="37" t="s">
        <v>3845</v>
      </c>
      <c r="G2184" s="37" t="s">
        <v>3846</v>
      </c>
      <c r="H2184" s="35" t="s">
        <v>3419</v>
      </c>
      <c r="I2184" s="35" t="s">
        <v>3416</v>
      </c>
      <c r="J2184" s="38">
        <v>7.22</v>
      </c>
      <c r="K2184" s="35">
        <v>1</v>
      </c>
      <c r="L2184" s="38">
        <f t="shared" si="34"/>
        <v>7.22</v>
      </c>
      <c r="M2184" s="35" t="s">
        <v>11</v>
      </c>
      <c r="N2184" s="38"/>
      <c r="O2184" s="35" t="s">
        <v>12</v>
      </c>
    </row>
    <row r="2185" spans="1:15" x14ac:dyDescent="0.25">
      <c r="A2185" s="35">
        <v>1151712585</v>
      </c>
      <c r="B2185" s="35" t="s">
        <v>3631</v>
      </c>
      <c r="C2185" s="35">
        <v>2024</v>
      </c>
      <c r="D2185" s="36">
        <v>45383.514918981477</v>
      </c>
      <c r="E2185" s="37" t="s">
        <v>2514</v>
      </c>
      <c r="F2185" s="37" t="s">
        <v>5162</v>
      </c>
      <c r="G2185" s="37" t="s">
        <v>3788</v>
      </c>
      <c r="H2185" s="35" t="s">
        <v>3419</v>
      </c>
      <c r="I2185" s="35" t="s">
        <v>3416</v>
      </c>
      <c r="J2185" s="38">
        <v>21.21</v>
      </c>
      <c r="K2185" s="35">
        <v>1</v>
      </c>
      <c r="L2185" s="38">
        <f t="shared" si="34"/>
        <v>21.21</v>
      </c>
      <c r="M2185" s="35" t="s">
        <v>11</v>
      </c>
      <c r="N2185" s="38"/>
      <c r="O2185" s="35" t="s">
        <v>12</v>
      </c>
    </row>
    <row r="2186" spans="1:15" x14ac:dyDescent="0.25">
      <c r="A2186" s="35">
        <v>1151358701</v>
      </c>
      <c r="B2186" s="35" t="s">
        <v>3646</v>
      </c>
      <c r="C2186" s="35">
        <v>2024</v>
      </c>
      <c r="D2186" s="36">
        <v>45381.049733796302</v>
      </c>
      <c r="E2186" s="37" t="s">
        <v>1933</v>
      </c>
      <c r="F2186" s="37" t="s">
        <v>5163</v>
      </c>
      <c r="G2186" s="37" t="s">
        <v>4697</v>
      </c>
      <c r="H2186" s="35" t="s">
        <v>3419</v>
      </c>
      <c r="I2186" s="35" t="s">
        <v>3416</v>
      </c>
      <c r="J2186" s="38">
        <v>10.6</v>
      </c>
      <c r="K2186" s="35">
        <v>2</v>
      </c>
      <c r="L2186" s="38">
        <f t="shared" si="34"/>
        <v>21.2</v>
      </c>
      <c r="M2186" s="35" t="s">
        <v>11</v>
      </c>
      <c r="N2186" s="38"/>
      <c r="O2186" s="35" t="s">
        <v>12</v>
      </c>
    </row>
    <row r="2187" spans="1:15" x14ac:dyDescent="0.25">
      <c r="A2187" s="35">
        <v>1151160283</v>
      </c>
      <c r="B2187" s="35" t="s">
        <v>3646</v>
      </c>
      <c r="C2187" s="35">
        <v>2024</v>
      </c>
      <c r="D2187" s="36">
        <v>45378.993657407409</v>
      </c>
      <c r="E2187" s="37" t="s">
        <v>2522</v>
      </c>
      <c r="F2187" s="37" t="s">
        <v>5164</v>
      </c>
      <c r="G2187" s="37" t="s">
        <v>3751</v>
      </c>
      <c r="H2187" s="35" t="s">
        <v>3419</v>
      </c>
      <c r="I2187" s="35" t="s">
        <v>3416</v>
      </c>
      <c r="J2187" s="38">
        <v>7.56</v>
      </c>
      <c r="K2187" s="35">
        <v>2</v>
      </c>
      <c r="L2187" s="38">
        <f t="shared" si="34"/>
        <v>15.12</v>
      </c>
      <c r="M2187" s="35" t="s">
        <v>11</v>
      </c>
      <c r="N2187" s="38"/>
      <c r="O2187" s="35" t="s">
        <v>12</v>
      </c>
    </row>
    <row r="2188" spans="1:15" x14ac:dyDescent="0.25">
      <c r="A2188" s="35">
        <v>1151119688</v>
      </c>
      <c r="B2188" s="35" t="s">
        <v>3646</v>
      </c>
      <c r="C2188" s="35">
        <v>2024</v>
      </c>
      <c r="D2188" s="36">
        <v>45378.993657407409</v>
      </c>
      <c r="E2188" s="37" t="s">
        <v>2527</v>
      </c>
      <c r="F2188" s="37" t="s">
        <v>5163</v>
      </c>
      <c r="G2188" s="37" t="s">
        <v>4697</v>
      </c>
      <c r="H2188" s="35" t="s">
        <v>3419</v>
      </c>
      <c r="I2188" s="35" t="s">
        <v>3416</v>
      </c>
      <c r="J2188" s="38">
        <v>10.71</v>
      </c>
      <c r="K2188" s="35">
        <v>1</v>
      </c>
      <c r="L2188" s="38">
        <f t="shared" si="34"/>
        <v>10.71</v>
      </c>
      <c r="M2188" s="35" t="s">
        <v>11</v>
      </c>
      <c r="N2188" s="38"/>
      <c r="O2188" s="35" t="s">
        <v>12</v>
      </c>
    </row>
    <row r="2189" spans="1:15" x14ac:dyDescent="0.25">
      <c r="A2189" s="35">
        <v>1151054219</v>
      </c>
      <c r="B2189" s="35" t="s">
        <v>3646</v>
      </c>
      <c r="C2189" s="35">
        <v>2024</v>
      </c>
      <c r="D2189" s="36">
        <v>45378.34412037037</v>
      </c>
      <c r="E2189" s="37" t="s">
        <v>965</v>
      </c>
      <c r="F2189" s="37" t="s">
        <v>5165</v>
      </c>
      <c r="G2189" s="37" t="s">
        <v>3751</v>
      </c>
      <c r="H2189" s="35" t="s">
        <v>3415</v>
      </c>
      <c r="I2189" s="35" t="s">
        <v>3416</v>
      </c>
      <c r="J2189" s="38">
        <v>0.55499999999999994</v>
      </c>
      <c r="K2189" s="35">
        <v>4</v>
      </c>
      <c r="L2189" s="38">
        <f t="shared" si="34"/>
        <v>2.2199999999999998</v>
      </c>
      <c r="M2189" s="35" t="s">
        <v>11</v>
      </c>
      <c r="N2189" s="38"/>
      <c r="O2189" s="35" t="s">
        <v>12</v>
      </c>
    </row>
    <row r="2190" spans="1:15" x14ac:dyDescent="0.25">
      <c r="A2190" s="35">
        <v>1151054214</v>
      </c>
      <c r="B2190" s="35" t="s">
        <v>3646</v>
      </c>
      <c r="C2190" s="35">
        <v>2024</v>
      </c>
      <c r="D2190" s="36">
        <v>45378.34412037037</v>
      </c>
      <c r="E2190" s="37" t="s">
        <v>303</v>
      </c>
      <c r="F2190" s="37" t="s">
        <v>5165</v>
      </c>
      <c r="G2190" s="37" t="s">
        <v>3751</v>
      </c>
      <c r="H2190" s="35" t="s">
        <v>3415</v>
      </c>
      <c r="I2190" s="35" t="s">
        <v>3416</v>
      </c>
      <c r="J2190" s="38">
        <v>0.55499999999999994</v>
      </c>
      <c r="K2190" s="35">
        <v>4</v>
      </c>
      <c r="L2190" s="38">
        <f t="shared" si="34"/>
        <v>2.2199999999999998</v>
      </c>
      <c r="M2190" s="35" t="s">
        <v>11</v>
      </c>
      <c r="N2190" s="38"/>
      <c r="O2190" s="35" t="s">
        <v>12</v>
      </c>
    </row>
    <row r="2191" spans="1:15" x14ac:dyDescent="0.25">
      <c r="A2191" s="35">
        <v>1151054068</v>
      </c>
      <c r="B2191" s="35" t="s">
        <v>3646</v>
      </c>
      <c r="C2191" s="35">
        <v>2024</v>
      </c>
      <c r="D2191" s="36">
        <v>45378.342777777783</v>
      </c>
      <c r="E2191" s="37" t="s">
        <v>910</v>
      </c>
      <c r="F2191" s="37" t="s">
        <v>5165</v>
      </c>
      <c r="G2191" s="37" t="s">
        <v>3751</v>
      </c>
      <c r="H2191" s="35" t="s">
        <v>3415</v>
      </c>
      <c r="I2191" s="35" t="s">
        <v>3416</v>
      </c>
      <c r="J2191" s="38">
        <v>0.52500000000000002</v>
      </c>
      <c r="K2191" s="35">
        <v>4</v>
      </c>
      <c r="L2191" s="38">
        <f t="shared" si="34"/>
        <v>2.1</v>
      </c>
      <c r="M2191" s="35" t="s">
        <v>11</v>
      </c>
      <c r="N2191" s="38"/>
      <c r="O2191" s="35" t="s">
        <v>12</v>
      </c>
    </row>
    <row r="2192" spans="1:15" x14ac:dyDescent="0.25">
      <c r="A2192" s="35">
        <v>1151054061</v>
      </c>
      <c r="B2192" s="35" t="s">
        <v>3646</v>
      </c>
      <c r="C2192" s="35">
        <v>2024</v>
      </c>
      <c r="D2192" s="36">
        <v>45378.342777777783</v>
      </c>
      <c r="E2192" s="37" t="s">
        <v>223</v>
      </c>
      <c r="F2192" s="37" t="s">
        <v>5165</v>
      </c>
      <c r="G2192" s="37" t="s">
        <v>3751</v>
      </c>
      <c r="H2192" s="35" t="s">
        <v>3415</v>
      </c>
      <c r="I2192" s="35" t="s">
        <v>3416</v>
      </c>
      <c r="J2192" s="38">
        <v>0.52500000000000002</v>
      </c>
      <c r="K2192" s="35">
        <v>4</v>
      </c>
      <c r="L2192" s="38">
        <f t="shared" si="34"/>
        <v>2.1</v>
      </c>
      <c r="M2192" s="35" t="s">
        <v>11</v>
      </c>
      <c r="N2192" s="38"/>
      <c r="O2192" s="35" t="s">
        <v>12</v>
      </c>
    </row>
    <row r="2193" spans="1:15" x14ac:dyDescent="0.25">
      <c r="A2193" s="35">
        <v>1151054044</v>
      </c>
      <c r="B2193" s="35" t="s">
        <v>3646</v>
      </c>
      <c r="C2193" s="35">
        <v>2024</v>
      </c>
      <c r="D2193" s="36">
        <v>45378.342777777783</v>
      </c>
      <c r="E2193" s="37" t="s">
        <v>35</v>
      </c>
      <c r="F2193" s="37" t="s">
        <v>5165</v>
      </c>
      <c r="G2193" s="37" t="s">
        <v>3714</v>
      </c>
      <c r="H2193" s="35" t="s">
        <v>3415</v>
      </c>
      <c r="I2193" s="35" t="s">
        <v>3416</v>
      </c>
      <c r="J2193" s="38">
        <v>0.64500000000000002</v>
      </c>
      <c r="K2193" s="35">
        <v>4</v>
      </c>
      <c r="L2193" s="38">
        <f t="shared" si="34"/>
        <v>2.58</v>
      </c>
      <c r="M2193" s="35" t="s">
        <v>11</v>
      </c>
      <c r="N2193" s="38"/>
      <c r="O2193" s="35" t="s">
        <v>12</v>
      </c>
    </row>
    <row r="2194" spans="1:15" x14ac:dyDescent="0.25">
      <c r="A2194" s="35">
        <v>1151053911</v>
      </c>
      <c r="B2194" s="35" t="s">
        <v>3646</v>
      </c>
      <c r="C2194" s="35">
        <v>2024</v>
      </c>
      <c r="D2194" s="36">
        <v>45378.341817129629</v>
      </c>
      <c r="E2194" s="37" t="s">
        <v>8</v>
      </c>
      <c r="F2194" s="37" t="s">
        <v>5165</v>
      </c>
      <c r="G2194" s="37" t="s">
        <v>3714</v>
      </c>
      <c r="H2194" s="35" t="s">
        <v>3419</v>
      </c>
      <c r="I2194" s="35" t="s">
        <v>3416</v>
      </c>
      <c r="J2194" s="38">
        <v>0.5</v>
      </c>
      <c r="K2194" s="35">
        <v>8</v>
      </c>
      <c r="L2194" s="38">
        <f t="shared" si="34"/>
        <v>4</v>
      </c>
      <c r="M2194" s="42" t="s">
        <v>11</v>
      </c>
      <c r="N2194" s="38"/>
      <c r="O2194" s="35" t="s">
        <v>12</v>
      </c>
    </row>
    <row r="2195" spans="1:15" x14ac:dyDescent="0.25">
      <c r="A2195" s="35">
        <v>1151053830</v>
      </c>
      <c r="B2195" s="35" t="s">
        <v>3646</v>
      </c>
      <c r="C2195" s="35">
        <v>2024</v>
      </c>
      <c r="D2195" s="36">
        <v>45378.341180555559</v>
      </c>
      <c r="E2195" s="37" t="s">
        <v>2531</v>
      </c>
      <c r="F2195" s="37" t="s">
        <v>5165</v>
      </c>
      <c r="G2195" s="37" t="s">
        <v>3751</v>
      </c>
      <c r="H2195" s="35" t="s">
        <v>3419</v>
      </c>
      <c r="I2195" s="35" t="s">
        <v>3416</v>
      </c>
      <c r="J2195" s="38">
        <v>0.81</v>
      </c>
      <c r="K2195" s="35">
        <v>2</v>
      </c>
      <c r="L2195" s="38">
        <f t="shared" si="34"/>
        <v>1.62</v>
      </c>
      <c r="M2195" s="35" t="s">
        <v>11</v>
      </c>
      <c r="N2195" s="38"/>
      <c r="O2195" s="35" t="s">
        <v>12</v>
      </c>
    </row>
    <row r="2196" spans="1:15" x14ac:dyDescent="0.25">
      <c r="A2196" s="35">
        <v>1151053810</v>
      </c>
      <c r="B2196" s="35" t="s">
        <v>3646</v>
      </c>
      <c r="C2196" s="35">
        <v>2024</v>
      </c>
      <c r="D2196" s="36">
        <v>45378.341180555559</v>
      </c>
      <c r="E2196" s="37" t="s">
        <v>187</v>
      </c>
      <c r="F2196" s="37" t="s">
        <v>5165</v>
      </c>
      <c r="G2196" s="37" t="s">
        <v>3751</v>
      </c>
      <c r="H2196" s="35" t="s">
        <v>3419</v>
      </c>
      <c r="I2196" s="35" t="s">
        <v>3416</v>
      </c>
      <c r="J2196" s="38">
        <v>0.44400000000000001</v>
      </c>
      <c r="K2196" s="35">
        <v>5</v>
      </c>
      <c r="L2196" s="38">
        <f t="shared" si="34"/>
        <v>2.2200000000000002</v>
      </c>
      <c r="M2196" s="35" t="s">
        <v>11</v>
      </c>
      <c r="N2196" s="38"/>
      <c r="O2196" s="35" t="s">
        <v>12</v>
      </c>
    </row>
    <row r="2197" spans="1:15" x14ac:dyDescent="0.25">
      <c r="A2197" s="35">
        <v>1151053743</v>
      </c>
      <c r="B2197" s="35" t="s">
        <v>3646</v>
      </c>
      <c r="C2197" s="35">
        <v>2024</v>
      </c>
      <c r="D2197" s="36">
        <v>45378.340810185182</v>
      </c>
      <c r="E2197" s="37" t="s">
        <v>2533</v>
      </c>
      <c r="F2197" s="37" t="s">
        <v>5165</v>
      </c>
      <c r="G2197" s="37" t="s">
        <v>3751</v>
      </c>
      <c r="H2197" s="35" t="s">
        <v>3419</v>
      </c>
      <c r="I2197" s="35" t="s">
        <v>3416</v>
      </c>
      <c r="J2197" s="38">
        <v>0.40333333333333332</v>
      </c>
      <c r="K2197" s="35">
        <v>6</v>
      </c>
      <c r="L2197" s="38">
        <f t="shared" si="34"/>
        <v>2.42</v>
      </c>
      <c r="M2197" s="35" t="s">
        <v>11</v>
      </c>
      <c r="N2197" s="38"/>
      <c r="O2197" s="35" t="s">
        <v>12</v>
      </c>
    </row>
    <row r="2198" spans="1:15" x14ac:dyDescent="0.25">
      <c r="A2198" s="35">
        <v>1151053470</v>
      </c>
      <c r="B2198" s="35" t="s">
        <v>3646</v>
      </c>
      <c r="C2198" s="35">
        <v>2024</v>
      </c>
      <c r="D2198" s="36">
        <v>45378.339791666673</v>
      </c>
      <c r="E2198" s="37" t="s">
        <v>2535</v>
      </c>
      <c r="F2198" s="37" t="s">
        <v>5165</v>
      </c>
      <c r="G2198" s="37" t="s">
        <v>3751</v>
      </c>
      <c r="H2198" s="35" t="s">
        <v>3415</v>
      </c>
      <c r="I2198" s="35" t="s">
        <v>3416</v>
      </c>
      <c r="J2198" s="38">
        <v>0.505</v>
      </c>
      <c r="K2198" s="35">
        <v>4</v>
      </c>
      <c r="L2198" s="38">
        <f t="shared" si="34"/>
        <v>2.02</v>
      </c>
      <c r="M2198" s="35" t="s">
        <v>11</v>
      </c>
      <c r="N2198" s="38"/>
      <c r="O2198" s="35" t="s">
        <v>12</v>
      </c>
    </row>
    <row r="2199" spans="1:15" x14ac:dyDescent="0.25">
      <c r="A2199" s="35">
        <v>1151053461</v>
      </c>
      <c r="B2199" s="35" t="s">
        <v>3646</v>
      </c>
      <c r="C2199" s="35">
        <v>2024</v>
      </c>
      <c r="D2199" s="36">
        <v>45378.339791666673</v>
      </c>
      <c r="E2199" s="37" t="s">
        <v>2537</v>
      </c>
      <c r="F2199" s="37" t="s">
        <v>5165</v>
      </c>
      <c r="G2199" s="37" t="s">
        <v>3751</v>
      </c>
      <c r="H2199" s="35" t="s">
        <v>3415</v>
      </c>
      <c r="I2199" s="35" t="s">
        <v>3416</v>
      </c>
      <c r="J2199" s="38">
        <v>0.505</v>
      </c>
      <c r="K2199" s="35">
        <v>4</v>
      </c>
      <c r="L2199" s="38">
        <f t="shared" si="34"/>
        <v>2.02</v>
      </c>
      <c r="M2199" s="35" t="s">
        <v>11</v>
      </c>
      <c r="N2199" s="38"/>
      <c r="O2199" s="35" t="s">
        <v>12</v>
      </c>
    </row>
    <row r="2200" spans="1:15" x14ac:dyDescent="0.25">
      <c r="A2200" s="35">
        <v>1150796374</v>
      </c>
      <c r="B2200" s="35" t="s">
        <v>3646</v>
      </c>
      <c r="C2200" s="35">
        <v>2024</v>
      </c>
      <c r="D2200" s="36">
        <v>45376.616967592592</v>
      </c>
      <c r="E2200" s="37" t="s">
        <v>2542</v>
      </c>
      <c r="F2200" s="37" t="s">
        <v>5169</v>
      </c>
      <c r="G2200" s="37" t="s">
        <v>5170</v>
      </c>
      <c r="H2200" s="35" t="s">
        <v>3419</v>
      </c>
      <c r="I2200" s="35" t="s">
        <v>3416</v>
      </c>
      <c r="J2200" s="38">
        <v>21.47</v>
      </c>
      <c r="K2200" s="35">
        <v>1</v>
      </c>
      <c r="L2200" s="38">
        <f t="shared" si="34"/>
        <v>21.47</v>
      </c>
      <c r="M2200" s="35" t="s">
        <v>11</v>
      </c>
      <c r="N2200" s="38"/>
      <c r="O2200" s="35" t="s">
        <v>12</v>
      </c>
    </row>
    <row r="2201" spans="1:15" x14ac:dyDescent="0.25">
      <c r="A2201" s="35">
        <v>1150754452</v>
      </c>
      <c r="B2201" s="35" t="s">
        <v>3646</v>
      </c>
      <c r="C2201" s="35">
        <v>2024</v>
      </c>
      <c r="D2201" s="36">
        <v>45376.286203703698</v>
      </c>
      <c r="E2201" s="37" t="s">
        <v>1433</v>
      </c>
      <c r="F2201" s="37" t="s">
        <v>5171</v>
      </c>
      <c r="G2201" s="37" t="s">
        <v>3710</v>
      </c>
      <c r="H2201" s="35" t="s">
        <v>3419</v>
      </c>
      <c r="I2201" s="35" t="s">
        <v>3530</v>
      </c>
      <c r="J2201" s="38">
        <v>35.47</v>
      </c>
      <c r="K2201" s="35">
        <v>1</v>
      </c>
      <c r="L2201" s="38">
        <f t="shared" si="34"/>
        <v>35.47</v>
      </c>
      <c r="M2201" s="35" t="s">
        <v>11</v>
      </c>
      <c r="N2201" s="38"/>
      <c r="O2201" s="35" t="s">
        <v>12</v>
      </c>
    </row>
    <row r="2202" spans="1:15" x14ac:dyDescent="0.25">
      <c r="A2202" s="35">
        <v>1150722256</v>
      </c>
      <c r="B2202" s="35" t="s">
        <v>3646</v>
      </c>
      <c r="C2202" s="35">
        <v>2024</v>
      </c>
      <c r="D2202" s="36">
        <v>45375.967905092592</v>
      </c>
      <c r="E2202" s="37" t="s">
        <v>2546</v>
      </c>
      <c r="F2202" s="37" t="s">
        <v>5172</v>
      </c>
      <c r="G2202" s="37" t="s">
        <v>3825</v>
      </c>
      <c r="H2202" s="35" t="s">
        <v>3419</v>
      </c>
      <c r="I2202" s="35" t="s">
        <v>3530</v>
      </c>
      <c r="J2202" s="38">
        <v>0.57182247899159666</v>
      </c>
      <c r="K2202" s="35">
        <v>1</v>
      </c>
      <c r="L2202" s="38">
        <f t="shared" si="34"/>
        <v>0.57182247899159666</v>
      </c>
      <c r="M2202" s="35" t="s">
        <v>11</v>
      </c>
      <c r="N2202" s="38"/>
      <c r="O2202" s="35" t="s">
        <v>12</v>
      </c>
    </row>
    <row r="2203" spans="1:15" x14ac:dyDescent="0.25">
      <c r="A2203" s="35">
        <v>1150722256</v>
      </c>
      <c r="B2203" s="35" t="s">
        <v>3646</v>
      </c>
      <c r="C2203" s="35">
        <v>2024</v>
      </c>
      <c r="D2203" s="36">
        <v>45375.967905092592</v>
      </c>
      <c r="E2203" s="37" t="s">
        <v>2546</v>
      </c>
      <c r="F2203" s="37" t="s">
        <v>4954</v>
      </c>
      <c r="G2203" s="37" t="s">
        <v>3676</v>
      </c>
      <c r="H2203" s="35" t="s">
        <v>3419</v>
      </c>
      <c r="I2203" s="35" t="s">
        <v>3530</v>
      </c>
      <c r="J2203" s="38">
        <v>21.489088760504199</v>
      </c>
      <c r="K2203" s="35">
        <v>2</v>
      </c>
      <c r="L2203" s="38">
        <f t="shared" si="34"/>
        <v>42.978177521008398</v>
      </c>
      <c r="M2203" s="35" t="s">
        <v>11</v>
      </c>
      <c r="N2203" s="38"/>
      <c r="O2203" s="35" t="s">
        <v>12</v>
      </c>
    </row>
    <row r="2204" spans="1:15" ht="30" x14ac:dyDescent="0.25">
      <c r="A2204" s="35">
        <v>1150721908</v>
      </c>
      <c r="B2204" s="35" t="s">
        <v>3646</v>
      </c>
      <c r="C2204" s="35">
        <v>2024</v>
      </c>
      <c r="D2204" s="36">
        <v>45375.967905092592</v>
      </c>
      <c r="E2204" s="37" t="s">
        <v>469</v>
      </c>
      <c r="F2204" s="37" t="s">
        <v>5173</v>
      </c>
      <c r="G2204" s="37" t="s">
        <v>3520</v>
      </c>
      <c r="H2204" s="35" t="s">
        <v>3415</v>
      </c>
      <c r="I2204" s="35" t="s">
        <v>3416</v>
      </c>
      <c r="J2204" s="38">
        <v>0.20698168498168501</v>
      </c>
      <c r="K2204" s="35">
        <v>4</v>
      </c>
      <c r="L2204" s="38">
        <f t="shared" si="34"/>
        <v>0.82792673992674004</v>
      </c>
      <c r="M2204" s="35" t="s">
        <v>11</v>
      </c>
      <c r="N2204" s="38"/>
      <c r="O2204" s="35" t="s">
        <v>12</v>
      </c>
    </row>
    <row r="2205" spans="1:15" x14ac:dyDescent="0.25">
      <c r="A2205" s="35">
        <v>1150721908</v>
      </c>
      <c r="B2205" s="35" t="s">
        <v>3646</v>
      </c>
      <c r="C2205" s="35">
        <v>2024</v>
      </c>
      <c r="D2205" s="36">
        <v>45375.967905092592</v>
      </c>
      <c r="E2205" s="37" t="s">
        <v>469</v>
      </c>
      <c r="F2205" s="37" t="s">
        <v>5174</v>
      </c>
      <c r="G2205" s="37" t="s">
        <v>5175</v>
      </c>
      <c r="H2205" s="35" t="s">
        <v>3415</v>
      </c>
      <c r="I2205" s="35" t="s">
        <v>3416</v>
      </c>
      <c r="J2205" s="38">
        <v>3.2572380952380948</v>
      </c>
      <c r="K2205" s="35">
        <v>4</v>
      </c>
      <c r="L2205" s="38">
        <f t="shared" si="34"/>
        <v>13.028952380952379</v>
      </c>
      <c r="M2205" s="35" t="s">
        <v>11</v>
      </c>
      <c r="N2205" s="38"/>
      <c r="O2205" s="35" t="s">
        <v>12</v>
      </c>
    </row>
    <row r="2206" spans="1:15" x14ac:dyDescent="0.25">
      <c r="A2206" s="35">
        <v>1150721908</v>
      </c>
      <c r="B2206" s="35" t="s">
        <v>3646</v>
      </c>
      <c r="C2206" s="35">
        <v>2024</v>
      </c>
      <c r="D2206" s="36">
        <v>45375.967905092592</v>
      </c>
      <c r="E2206" s="37" t="s">
        <v>469</v>
      </c>
      <c r="F2206" s="37" t="s">
        <v>5176</v>
      </c>
      <c r="G2206" s="37" t="s">
        <v>3678</v>
      </c>
      <c r="H2206" s="35" t="s">
        <v>3419</v>
      </c>
      <c r="I2206" s="35" t="s">
        <v>3416</v>
      </c>
      <c r="J2206" s="38">
        <v>0.37038827838827842</v>
      </c>
      <c r="K2206" s="35">
        <v>1</v>
      </c>
      <c r="L2206" s="38">
        <f t="shared" si="34"/>
        <v>0.37038827838827842</v>
      </c>
      <c r="M2206" s="35" t="s">
        <v>11</v>
      </c>
      <c r="N2206" s="38"/>
      <c r="O2206" s="35" t="s">
        <v>12</v>
      </c>
    </row>
    <row r="2207" spans="1:15" x14ac:dyDescent="0.25">
      <c r="A2207" s="35">
        <v>1150721908</v>
      </c>
      <c r="B2207" s="35" t="s">
        <v>3646</v>
      </c>
      <c r="C2207" s="35">
        <v>2024</v>
      </c>
      <c r="D2207" s="36">
        <v>45375.967905092592</v>
      </c>
      <c r="E2207" s="37" t="s">
        <v>469</v>
      </c>
      <c r="F2207" s="37" t="s">
        <v>5176</v>
      </c>
      <c r="G2207" s="37" t="s">
        <v>3678</v>
      </c>
      <c r="H2207" s="35" t="s">
        <v>3419</v>
      </c>
      <c r="I2207" s="35" t="s">
        <v>3416</v>
      </c>
      <c r="J2207" s="38">
        <v>0.42485714285714288</v>
      </c>
      <c r="K2207" s="35">
        <v>1</v>
      </c>
      <c r="L2207" s="38">
        <f t="shared" si="34"/>
        <v>0.42485714285714288</v>
      </c>
      <c r="M2207" s="35" t="s">
        <v>11</v>
      </c>
      <c r="N2207" s="38"/>
      <c r="O2207" s="35" t="s">
        <v>12</v>
      </c>
    </row>
    <row r="2208" spans="1:15" x14ac:dyDescent="0.25">
      <c r="A2208" s="35">
        <v>1150721908</v>
      </c>
      <c r="B2208" s="35" t="s">
        <v>3646</v>
      </c>
      <c r="C2208" s="35">
        <v>2024</v>
      </c>
      <c r="D2208" s="36">
        <v>45375.967905092592</v>
      </c>
      <c r="E2208" s="37" t="s">
        <v>469</v>
      </c>
      <c r="F2208" s="37" t="s">
        <v>5177</v>
      </c>
      <c r="G2208" s="37" t="s">
        <v>5155</v>
      </c>
      <c r="H2208" s="35" t="s">
        <v>3419</v>
      </c>
      <c r="I2208" s="35" t="s">
        <v>3416</v>
      </c>
      <c r="J2208" s="38">
        <v>0.2178754578754579</v>
      </c>
      <c r="K2208" s="35">
        <v>1</v>
      </c>
      <c r="L2208" s="38">
        <f t="shared" si="34"/>
        <v>0.2178754578754579</v>
      </c>
      <c r="M2208" s="35" t="s">
        <v>11</v>
      </c>
      <c r="N2208" s="38"/>
      <c r="O2208" s="35" t="s">
        <v>12</v>
      </c>
    </row>
    <row r="2209" spans="1:15" x14ac:dyDescent="0.25">
      <c r="A2209" s="35">
        <v>1150694432</v>
      </c>
      <c r="B2209" s="35" t="s">
        <v>3646</v>
      </c>
      <c r="C2209" s="35">
        <v>2024</v>
      </c>
      <c r="D2209" s="36">
        <v>45375.967905092592</v>
      </c>
      <c r="E2209" s="37" t="s">
        <v>2139</v>
      </c>
      <c r="F2209" s="37" t="s">
        <v>5178</v>
      </c>
      <c r="G2209" s="37" t="s">
        <v>3907</v>
      </c>
      <c r="H2209" s="35" t="s">
        <v>3419</v>
      </c>
      <c r="I2209" s="35" t="s">
        <v>3416</v>
      </c>
      <c r="J2209" s="38">
        <v>0.80419354838709678</v>
      </c>
      <c r="K2209" s="35">
        <v>1</v>
      </c>
      <c r="L2209" s="38">
        <f t="shared" si="34"/>
        <v>0.80419354838709678</v>
      </c>
      <c r="M2209" s="35" t="s">
        <v>11</v>
      </c>
      <c r="N2209" s="38"/>
      <c r="O2209" s="35" t="s">
        <v>12</v>
      </c>
    </row>
    <row r="2210" spans="1:15" x14ac:dyDescent="0.25">
      <c r="A2210" s="35">
        <v>1150694432</v>
      </c>
      <c r="B2210" s="35" t="s">
        <v>3646</v>
      </c>
      <c r="C2210" s="35">
        <v>2024</v>
      </c>
      <c r="D2210" s="36">
        <v>45375.967905092592</v>
      </c>
      <c r="E2210" s="37" t="s">
        <v>2139</v>
      </c>
      <c r="F2210" s="37" t="s">
        <v>3919</v>
      </c>
      <c r="G2210" s="37" t="s">
        <v>3551</v>
      </c>
      <c r="H2210" s="35" t="s">
        <v>3419</v>
      </c>
      <c r="I2210" s="35" t="s">
        <v>3416</v>
      </c>
      <c r="J2210" s="38">
        <v>1.965806451612903</v>
      </c>
      <c r="K2210" s="35">
        <v>1</v>
      </c>
      <c r="L2210" s="38">
        <f t="shared" si="34"/>
        <v>1.965806451612903</v>
      </c>
      <c r="M2210" s="35" t="s">
        <v>11</v>
      </c>
      <c r="N2210" s="38"/>
      <c r="O2210" s="35" t="s">
        <v>12</v>
      </c>
    </row>
    <row r="2211" spans="1:15" x14ac:dyDescent="0.25">
      <c r="A2211" s="35">
        <v>1149756834</v>
      </c>
      <c r="B2211" s="35" t="s">
        <v>3646</v>
      </c>
      <c r="C2211" s="35">
        <v>2024</v>
      </c>
      <c r="D2211" s="36">
        <v>45368.346076388887</v>
      </c>
      <c r="E2211" s="37" t="s">
        <v>2556</v>
      </c>
      <c r="F2211" s="37" t="s">
        <v>5181</v>
      </c>
      <c r="G2211" s="37" t="s">
        <v>4392</v>
      </c>
      <c r="H2211" s="35" t="s">
        <v>3415</v>
      </c>
      <c r="I2211" s="35" t="s">
        <v>3416</v>
      </c>
      <c r="J2211" s="38">
        <v>38.512500000000003</v>
      </c>
      <c r="K2211" s="35">
        <v>4</v>
      </c>
      <c r="L2211" s="38">
        <f t="shared" si="34"/>
        <v>154.05000000000001</v>
      </c>
      <c r="M2211" s="35" t="s">
        <v>11</v>
      </c>
      <c r="N2211" s="38"/>
      <c r="O2211" s="35" t="s">
        <v>12</v>
      </c>
    </row>
    <row r="2212" spans="1:15" x14ac:dyDescent="0.25">
      <c r="A2212" s="35">
        <v>1149178291</v>
      </c>
      <c r="B2212" s="35" t="s">
        <v>3646</v>
      </c>
      <c r="C2212" s="35">
        <v>2024</v>
      </c>
      <c r="D2212" s="36">
        <v>45363.482569444437</v>
      </c>
      <c r="E2212" s="37" t="s">
        <v>2563</v>
      </c>
      <c r="F2212" s="37" t="s">
        <v>5182</v>
      </c>
      <c r="G2212" s="37" t="s">
        <v>3710</v>
      </c>
      <c r="H2212" s="35" t="s">
        <v>3419</v>
      </c>
      <c r="I2212" s="35" t="s">
        <v>3416</v>
      </c>
      <c r="J2212" s="38">
        <v>3.091478260869565</v>
      </c>
      <c r="K2212" s="35">
        <v>1</v>
      </c>
      <c r="L2212" s="38">
        <f t="shared" si="34"/>
        <v>3.091478260869565</v>
      </c>
      <c r="M2212" s="35" t="s">
        <v>11</v>
      </c>
      <c r="N2212" s="38"/>
      <c r="O2212" s="35" t="s">
        <v>12</v>
      </c>
    </row>
    <row r="2213" spans="1:15" x14ac:dyDescent="0.25">
      <c r="A2213" s="35">
        <v>1149178291</v>
      </c>
      <c r="B2213" s="35" t="s">
        <v>3646</v>
      </c>
      <c r="C2213" s="35">
        <v>2024</v>
      </c>
      <c r="D2213" s="36">
        <v>45363.482569444437</v>
      </c>
      <c r="E2213" s="37" t="s">
        <v>2563</v>
      </c>
      <c r="F2213" s="37" t="s">
        <v>5183</v>
      </c>
      <c r="G2213" s="37" t="s">
        <v>3710</v>
      </c>
      <c r="H2213" s="35" t="s">
        <v>3419</v>
      </c>
      <c r="I2213" s="35" t="s">
        <v>3416</v>
      </c>
      <c r="J2213" s="38">
        <v>0.21426086956521739</v>
      </c>
      <c r="K2213" s="35">
        <v>2</v>
      </c>
      <c r="L2213" s="38">
        <f t="shared" si="34"/>
        <v>0.42852173913043479</v>
      </c>
      <c r="M2213" s="35" t="s">
        <v>11</v>
      </c>
      <c r="N2213" s="38"/>
      <c r="O2213" s="35" t="s">
        <v>12</v>
      </c>
    </row>
    <row r="2214" spans="1:15" x14ac:dyDescent="0.25">
      <c r="A2214" s="35">
        <v>1149149024</v>
      </c>
      <c r="B2214" s="35" t="s">
        <v>3646</v>
      </c>
      <c r="C2214" s="35">
        <v>2024</v>
      </c>
      <c r="D2214" s="36">
        <v>45363.266504629632</v>
      </c>
      <c r="E2214" s="37" t="s">
        <v>2568</v>
      </c>
      <c r="F2214" s="37" t="s">
        <v>5179</v>
      </c>
      <c r="G2214" s="37" t="s">
        <v>4095</v>
      </c>
      <c r="H2214" s="35" t="s">
        <v>3419</v>
      </c>
      <c r="I2214" s="35" t="s">
        <v>3530</v>
      </c>
      <c r="J2214" s="38">
        <v>4.9066666666666663</v>
      </c>
      <c r="K2214" s="35">
        <v>1</v>
      </c>
      <c r="L2214" s="38">
        <f t="shared" si="34"/>
        <v>4.9066666666666663</v>
      </c>
      <c r="M2214" s="35" t="s">
        <v>11</v>
      </c>
      <c r="N2214" s="38"/>
      <c r="O2214" s="35" t="s">
        <v>12</v>
      </c>
    </row>
    <row r="2215" spans="1:15" x14ac:dyDescent="0.25">
      <c r="A2215" s="35">
        <v>1149149024</v>
      </c>
      <c r="B2215" s="35" t="s">
        <v>3646</v>
      </c>
      <c r="C2215" s="35">
        <v>2024</v>
      </c>
      <c r="D2215" s="36">
        <v>45363.266504629632</v>
      </c>
      <c r="E2215" s="37" t="s">
        <v>2568</v>
      </c>
      <c r="F2215" s="37" t="s">
        <v>5179</v>
      </c>
      <c r="G2215" s="37" t="s">
        <v>4095</v>
      </c>
      <c r="H2215" s="35" t="s">
        <v>3419</v>
      </c>
      <c r="I2215" s="35" t="s">
        <v>3530</v>
      </c>
      <c r="J2215" s="38">
        <v>4.9066666666666663</v>
      </c>
      <c r="K2215" s="35">
        <v>2</v>
      </c>
      <c r="L2215" s="38">
        <f t="shared" si="34"/>
        <v>9.8133333333333326</v>
      </c>
      <c r="M2215" s="35" t="s">
        <v>11</v>
      </c>
      <c r="N2215" s="38"/>
      <c r="O2215" s="35" t="s">
        <v>12</v>
      </c>
    </row>
    <row r="2216" spans="1:15" x14ac:dyDescent="0.25">
      <c r="A2216" s="35">
        <v>1149148310</v>
      </c>
      <c r="B2216" s="35" t="s">
        <v>3646</v>
      </c>
      <c r="C2216" s="35">
        <v>2024</v>
      </c>
      <c r="D2216" s="36">
        <v>45363.254629629628</v>
      </c>
      <c r="E2216" s="37" t="s">
        <v>2570</v>
      </c>
      <c r="F2216" s="37" t="s">
        <v>5179</v>
      </c>
      <c r="G2216" s="37" t="s">
        <v>4095</v>
      </c>
      <c r="H2216" s="35" t="s">
        <v>3419</v>
      </c>
      <c r="I2216" s="35" t="s">
        <v>3530</v>
      </c>
      <c r="J2216" s="38">
        <v>3.61</v>
      </c>
      <c r="K2216" s="35">
        <v>2</v>
      </c>
      <c r="L2216" s="38">
        <f t="shared" si="34"/>
        <v>7.22</v>
      </c>
      <c r="M2216" s="35" t="s">
        <v>11</v>
      </c>
      <c r="N2216" s="38"/>
      <c r="O2216" s="35" t="s">
        <v>12</v>
      </c>
    </row>
    <row r="2217" spans="1:15" x14ac:dyDescent="0.25">
      <c r="A2217" s="35">
        <v>1148950698</v>
      </c>
      <c r="B2217" s="35" t="s">
        <v>3646</v>
      </c>
      <c r="C2217" s="35">
        <v>2024</v>
      </c>
      <c r="D2217" s="36">
        <v>45361.896666666667</v>
      </c>
      <c r="E2217" s="37" t="s">
        <v>2575</v>
      </c>
      <c r="F2217" s="37" t="s">
        <v>4705</v>
      </c>
      <c r="G2217" s="37" t="s">
        <v>3624</v>
      </c>
      <c r="H2217" s="35" t="s">
        <v>3419</v>
      </c>
      <c r="I2217" s="35" t="s">
        <v>3416</v>
      </c>
      <c r="J2217" s="38">
        <v>7.61</v>
      </c>
      <c r="K2217" s="35">
        <v>2</v>
      </c>
      <c r="L2217" s="38">
        <f t="shared" si="34"/>
        <v>15.22</v>
      </c>
      <c r="M2217" s="35" t="s">
        <v>11</v>
      </c>
      <c r="N2217" s="38"/>
      <c r="O2217" s="35" t="s">
        <v>12</v>
      </c>
    </row>
    <row r="2218" spans="1:15" x14ac:dyDescent="0.25">
      <c r="A2218" s="35">
        <v>1148950653</v>
      </c>
      <c r="B2218" s="35" t="s">
        <v>3646</v>
      </c>
      <c r="C2218" s="35">
        <v>2024</v>
      </c>
      <c r="D2218" s="36">
        <v>45361.896666666667</v>
      </c>
      <c r="E2218" s="37" t="s">
        <v>2578</v>
      </c>
      <c r="F2218" s="37" t="s">
        <v>4705</v>
      </c>
      <c r="G2218" s="37" t="s">
        <v>3624</v>
      </c>
      <c r="H2218" s="35" t="s">
        <v>3419</v>
      </c>
      <c r="I2218" s="35" t="s">
        <v>3416</v>
      </c>
      <c r="J2218" s="38">
        <v>7.11</v>
      </c>
      <c r="K2218" s="35">
        <v>2</v>
      </c>
      <c r="L2218" s="38">
        <f t="shared" si="34"/>
        <v>14.22</v>
      </c>
      <c r="M2218" s="35" t="s">
        <v>11</v>
      </c>
      <c r="N2218" s="38"/>
      <c r="O2218" s="35" t="s">
        <v>12</v>
      </c>
    </row>
    <row r="2219" spans="1:15" x14ac:dyDescent="0.25">
      <c r="A2219" s="35">
        <v>1148768637</v>
      </c>
      <c r="B2219" s="35" t="s">
        <v>3646</v>
      </c>
      <c r="C2219" s="35">
        <v>2024</v>
      </c>
      <c r="D2219" s="36">
        <v>45360.476377314822</v>
      </c>
      <c r="E2219" s="37" t="s">
        <v>8</v>
      </c>
      <c r="F2219" s="37" t="s">
        <v>5186</v>
      </c>
      <c r="G2219" s="37" t="s">
        <v>3751</v>
      </c>
      <c r="H2219" s="35" t="s">
        <v>3419</v>
      </c>
      <c r="I2219" s="35" t="s">
        <v>3416</v>
      </c>
      <c r="J2219" s="38">
        <v>5.85</v>
      </c>
      <c r="K2219" s="35">
        <v>2</v>
      </c>
      <c r="L2219" s="38">
        <f t="shared" si="34"/>
        <v>11.7</v>
      </c>
      <c r="M2219" s="42" t="s">
        <v>11</v>
      </c>
      <c r="N2219" s="38"/>
      <c r="O2219" s="35" t="s">
        <v>12</v>
      </c>
    </row>
    <row r="2220" spans="1:15" x14ac:dyDescent="0.25">
      <c r="A2220" s="35">
        <v>1148768637</v>
      </c>
      <c r="B2220" s="35" t="s">
        <v>3646</v>
      </c>
      <c r="C2220" s="35">
        <v>2024</v>
      </c>
      <c r="D2220" s="36">
        <v>45360.476377314822</v>
      </c>
      <c r="E2220" s="37" t="s">
        <v>8</v>
      </c>
      <c r="F2220" s="37" t="s">
        <v>5187</v>
      </c>
      <c r="G2220" s="37" t="s">
        <v>4220</v>
      </c>
      <c r="H2220" s="35" t="s">
        <v>3419</v>
      </c>
      <c r="I2220" s="35" t="s">
        <v>3416</v>
      </c>
      <c r="J2220" s="38">
        <v>0.1</v>
      </c>
      <c r="K2220" s="35">
        <v>2</v>
      </c>
      <c r="L2220" s="38">
        <f t="shared" si="34"/>
        <v>0.2</v>
      </c>
      <c r="M2220" s="42" t="s">
        <v>11</v>
      </c>
      <c r="N2220" s="38"/>
      <c r="O2220" s="35" t="s">
        <v>12</v>
      </c>
    </row>
    <row r="2221" spans="1:15" x14ac:dyDescent="0.25">
      <c r="A2221" s="35">
        <v>1148609174</v>
      </c>
      <c r="B2221" s="35" t="s">
        <v>3646</v>
      </c>
      <c r="C2221" s="35">
        <v>2024</v>
      </c>
      <c r="D2221" s="36">
        <v>45359.433263888888</v>
      </c>
      <c r="E2221" s="37" t="s">
        <v>442</v>
      </c>
      <c r="F2221" s="37" t="s">
        <v>4985</v>
      </c>
      <c r="G2221" s="37" t="s">
        <v>3658</v>
      </c>
      <c r="H2221" s="35" t="s">
        <v>3419</v>
      </c>
      <c r="I2221" s="35" t="s">
        <v>3416</v>
      </c>
      <c r="J2221" s="38">
        <v>0.57989473684210524</v>
      </c>
      <c r="K2221" s="35">
        <v>1</v>
      </c>
      <c r="L2221" s="38">
        <f t="shared" si="34"/>
        <v>0.57989473684210524</v>
      </c>
      <c r="M2221" s="35" t="s">
        <v>11</v>
      </c>
      <c r="N2221" s="38"/>
      <c r="O2221" s="35" t="s">
        <v>12</v>
      </c>
    </row>
    <row r="2222" spans="1:15" x14ac:dyDescent="0.25">
      <c r="A2222" s="35">
        <v>1148609174</v>
      </c>
      <c r="B2222" s="35" t="s">
        <v>3646</v>
      </c>
      <c r="C2222" s="35">
        <v>2024</v>
      </c>
      <c r="D2222" s="36">
        <v>45359.433263888888</v>
      </c>
      <c r="E2222" s="37" t="s">
        <v>442</v>
      </c>
      <c r="F2222" s="37" t="s">
        <v>5190</v>
      </c>
      <c r="G2222" s="37" t="s">
        <v>3772</v>
      </c>
      <c r="H2222" s="35" t="s">
        <v>3415</v>
      </c>
      <c r="I2222" s="35" t="s">
        <v>3416</v>
      </c>
      <c r="J2222" s="38">
        <v>0.16568421052631579</v>
      </c>
      <c r="K2222" s="35">
        <v>4</v>
      </c>
      <c r="L2222" s="38">
        <f t="shared" si="34"/>
        <v>0.66273684210526318</v>
      </c>
      <c r="M2222" s="35" t="s">
        <v>11</v>
      </c>
      <c r="N2222" s="38"/>
      <c r="O2222" s="35" t="s">
        <v>12</v>
      </c>
    </row>
    <row r="2223" spans="1:15" x14ac:dyDescent="0.25">
      <c r="A2223" s="35">
        <v>1148609174</v>
      </c>
      <c r="B2223" s="35" t="s">
        <v>3646</v>
      </c>
      <c r="C2223" s="35">
        <v>2024</v>
      </c>
      <c r="D2223" s="36">
        <v>45359.433263888888</v>
      </c>
      <c r="E2223" s="37" t="s">
        <v>442</v>
      </c>
      <c r="F2223" s="37" t="s">
        <v>5191</v>
      </c>
      <c r="G2223" s="37" t="s">
        <v>3907</v>
      </c>
      <c r="H2223" s="35" t="s">
        <v>3415</v>
      </c>
      <c r="I2223" s="35" t="s">
        <v>3416</v>
      </c>
      <c r="J2223" s="38">
        <v>1.28996992481203</v>
      </c>
      <c r="K2223" s="35">
        <v>4</v>
      </c>
      <c r="L2223" s="38">
        <f t="shared" si="34"/>
        <v>5.15987969924812</v>
      </c>
      <c r="M2223" s="35" t="s">
        <v>11</v>
      </c>
      <c r="N2223" s="38"/>
      <c r="O2223" s="35" t="s">
        <v>12</v>
      </c>
    </row>
    <row r="2224" spans="1:15" x14ac:dyDescent="0.25">
      <c r="A2224" s="35">
        <v>1148609174</v>
      </c>
      <c r="B2224" s="35" t="s">
        <v>3646</v>
      </c>
      <c r="C2224" s="35">
        <v>2024</v>
      </c>
      <c r="D2224" s="36">
        <v>45359.433263888888</v>
      </c>
      <c r="E2224" s="37" t="s">
        <v>442</v>
      </c>
      <c r="F2224" s="37" t="s">
        <v>3852</v>
      </c>
      <c r="G2224" s="37" t="s">
        <v>3658</v>
      </c>
      <c r="H2224" s="35" t="s">
        <v>3419</v>
      </c>
      <c r="I2224" s="35" t="s">
        <v>3416</v>
      </c>
      <c r="J2224" s="38">
        <v>1.467488721804511</v>
      </c>
      <c r="K2224" s="35">
        <v>1</v>
      </c>
      <c r="L2224" s="38">
        <f t="shared" si="34"/>
        <v>1.467488721804511</v>
      </c>
      <c r="M2224" s="35" t="s">
        <v>11</v>
      </c>
      <c r="N2224" s="38"/>
      <c r="O2224" s="35" t="s">
        <v>12</v>
      </c>
    </row>
    <row r="2225" spans="1:15" ht="30" x14ac:dyDescent="0.25">
      <c r="A2225" s="35">
        <v>1148522844</v>
      </c>
      <c r="B2225" s="35" t="s">
        <v>3646</v>
      </c>
      <c r="C2225" s="35">
        <v>2024</v>
      </c>
      <c r="D2225" s="36">
        <v>45358.670023148137</v>
      </c>
      <c r="E2225" s="37" t="s">
        <v>2584</v>
      </c>
      <c r="F2225" s="37" t="s">
        <v>5192</v>
      </c>
      <c r="G2225" s="37" t="s">
        <v>3520</v>
      </c>
      <c r="H2225" s="35" t="s">
        <v>3419</v>
      </c>
      <c r="I2225" s="35" t="s">
        <v>3416</v>
      </c>
      <c r="J2225" s="38">
        <v>2.3278173127987261</v>
      </c>
      <c r="K2225" s="35">
        <v>1</v>
      </c>
      <c r="L2225" s="38">
        <f t="shared" si="34"/>
        <v>2.3278173127987261</v>
      </c>
      <c r="M2225" s="35" t="s">
        <v>11</v>
      </c>
      <c r="N2225" s="38"/>
      <c r="O2225" s="35" t="s">
        <v>12</v>
      </c>
    </row>
    <row r="2226" spans="1:15" x14ac:dyDescent="0.25">
      <c r="A2226" s="35">
        <v>1148522844</v>
      </c>
      <c r="B2226" s="35" t="s">
        <v>3646</v>
      </c>
      <c r="C2226" s="35">
        <v>2024</v>
      </c>
      <c r="D2226" s="36">
        <v>45358.670023148137</v>
      </c>
      <c r="E2226" s="37" t="s">
        <v>2584</v>
      </c>
      <c r="F2226" s="37" t="s">
        <v>5193</v>
      </c>
      <c r="G2226" s="37" t="s">
        <v>3551</v>
      </c>
      <c r="H2226" s="35" t="s">
        <v>3419</v>
      </c>
      <c r="I2226" s="35" t="s">
        <v>3416</v>
      </c>
      <c r="J2226" s="38">
        <v>52.904938927243762</v>
      </c>
      <c r="K2226" s="35">
        <v>1</v>
      </c>
      <c r="L2226" s="38">
        <f t="shared" si="34"/>
        <v>52.904938927243762</v>
      </c>
      <c r="M2226" s="35" t="s">
        <v>11</v>
      </c>
      <c r="N2226" s="38"/>
      <c r="O2226" s="35" t="s">
        <v>12</v>
      </c>
    </row>
    <row r="2227" spans="1:15" x14ac:dyDescent="0.25">
      <c r="A2227" s="35">
        <v>1148522844</v>
      </c>
      <c r="B2227" s="35" t="s">
        <v>3646</v>
      </c>
      <c r="C2227" s="35">
        <v>2024</v>
      </c>
      <c r="D2227" s="36">
        <v>45358.670023148137</v>
      </c>
      <c r="E2227" s="37" t="s">
        <v>2584</v>
      </c>
      <c r="F2227" s="37" t="s">
        <v>5194</v>
      </c>
      <c r="G2227" s="37" t="s">
        <v>3768</v>
      </c>
      <c r="H2227" s="35" t="s">
        <v>3419</v>
      </c>
      <c r="I2227" s="35" t="s">
        <v>3416</v>
      </c>
      <c r="J2227" s="38">
        <v>42.323951141795007</v>
      </c>
      <c r="K2227" s="35">
        <v>1</v>
      </c>
      <c r="L2227" s="38">
        <f t="shared" si="34"/>
        <v>42.323951141795007</v>
      </c>
      <c r="M2227" s="35" t="s">
        <v>11</v>
      </c>
      <c r="N2227" s="38"/>
      <c r="O2227" s="35" t="s">
        <v>12</v>
      </c>
    </row>
    <row r="2228" spans="1:15" x14ac:dyDescent="0.25">
      <c r="A2228" s="35">
        <v>1148522844</v>
      </c>
      <c r="B2228" s="35" t="s">
        <v>3646</v>
      </c>
      <c r="C2228" s="35">
        <v>2024</v>
      </c>
      <c r="D2228" s="36">
        <v>45358.670023148137</v>
      </c>
      <c r="E2228" s="37" t="s">
        <v>2584</v>
      </c>
      <c r="F2228" s="37" t="s">
        <v>3919</v>
      </c>
      <c r="G2228" s="37" t="s">
        <v>3551</v>
      </c>
      <c r="H2228" s="35" t="s">
        <v>3419</v>
      </c>
      <c r="I2228" s="35" t="s">
        <v>3416</v>
      </c>
      <c r="J2228" s="38">
        <v>1.26971853425385</v>
      </c>
      <c r="K2228" s="35">
        <v>1</v>
      </c>
      <c r="L2228" s="38">
        <f t="shared" si="34"/>
        <v>1.26971853425385</v>
      </c>
      <c r="M2228" s="35" t="s">
        <v>11</v>
      </c>
      <c r="N2228" s="38"/>
      <c r="O2228" s="35" t="s">
        <v>12</v>
      </c>
    </row>
    <row r="2229" spans="1:15" x14ac:dyDescent="0.25">
      <c r="A2229" s="35">
        <v>1148522844</v>
      </c>
      <c r="B2229" s="35" t="s">
        <v>3646</v>
      </c>
      <c r="C2229" s="35">
        <v>2024</v>
      </c>
      <c r="D2229" s="36">
        <v>45358.670023148137</v>
      </c>
      <c r="E2229" s="37" t="s">
        <v>2584</v>
      </c>
      <c r="F2229" s="37" t="s">
        <v>5195</v>
      </c>
      <c r="G2229" s="37" t="s">
        <v>3726</v>
      </c>
      <c r="H2229" s="35" t="s">
        <v>3419</v>
      </c>
      <c r="I2229" s="35" t="s">
        <v>3530</v>
      </c>
      <c r="J2229" s="38">
        <v>0.2645246946362188</v>
      </c>
      <c r="K2229" s="35">
        <v>3</v>
      </c>
      <c r="L2229" s="38">
        <f t="shared" si="34"/>
        <v>0.79357408390865647</v>
      </c>
      <c r="M2229" s="35" t="s">
        <v>11</v>
      </c>
      <c r="N2229" s="38"/>
      <c r="O2229" s="35" t="s">
        <v>12</v>
      </c>
    </row>
    <row r="2230" spans="1:15" x14ac:dyDescent="0.25">
      <c r="A2230" s="35">
        <v>1147185687</v>
      </c>
      <c r="B2230" s="35" t="s">
        <v>3721</v>
      </c>
      <c r="C2230" s="35">
        <v>2024</v>
      </c>
      <c r="D2230" s="36">
        <v>45348.006886574083</v>
      </c>
      <c r="E2230" s="37" t="s">
        <v>2600</v>
      </c>
      <c r="F2230" s="37" t="s">
        <v>5198</v>
      </c>
      <c r="G2230" s="37" t="s">
        <v>4309</v>
      </c>
      <c r="H2230" s="35" t="s">
        <v>3419</v>
      </c>
      <c r="I2230" s="35" t="s">
        <v>3416</v>
      </c>
      <c r="J2230" s="38">
        <v>6.1912500000000001</v>
      </c>
      <c r="K2230" s="35">
        <v>1</v>
      </c>
      <c r="L2230" s="38">
        <f t="shared" si="34"/>
        <v>6.1912500000000001</v>
      </c>
      <c r="M2230" s="35" t="s">
        <v>11</v>
      </c>
      <c r="N2230" s="38"/>
      <c r="O2230" s="35" t="s">
        <v>12</v>
      </c>
    </row>
    <row r="2231" spans="1:15" ht="30" x14ac:dyDescent="0.25">
      <c r="A2231" s="35">
        <v>1147185687</v>
      </c>
      <c r="B2231" s="35" t="s">
        <v>3721</v>
      </c>
      <c r="C2231" s="35">
        <v>2024</v>
      </c>
      <c r="D2231" s="36">
        <v>45348.006886574083</v>
      </c>
      <c r="E2231" s="37" t="s">
        <v>2600</v>
      </c>
      <c r="F2231" s="37" t="s">
        <v>5199</v>
      </c>
      <c r="G2231" s="37" t="s">
        <v>5200</v>
      </c>
      <c r="H2231" s="35" t="s">
        <v>3419</v>
      </c>
      <c r="I2231" s="35" t="s">
        <v>3416</v>
      </c>
      <c r="J2231" s="38">
        <v>1.42875</v>
      </c>
      <c r="K2231" s="35">
        <v>1</v>
      </c>
      <c r="L2231" s="38">
        <f t="shared" si="34"/>
        <v>1.42875</v>
      </c>
      <c r="M2231" s="35" t="s">
        <v>11</v>
      </c>
      <c r="N2231" s="38"/>
      <c r="O2231" s="35" t="s">
        <v>12</v>
      </c>
    </row>
    <row r="2232" spans="1:15" x14ac:dyDescent="0.25">
      <c r="A2232" s="35">
        <v>1147180690</v>
      </c>
      <c r="B2232" s="35" t="s">
        <v>3721</v>
      </c>
      <c r="C2232" s="35">
        <v>2024</v>
      </c>
      <c r="D2232" s="36">
        <v>45348.006886574083</v>
      </c>
      <c r="E2232" s="37" t="s">
        <v>2603</v>
      </c>
      <c r="F2232" s="37" t="s">
        <v>3895</v>
      </c>
      <c r="G2232" s="37" t="s">
        <v>3799</v>
      </c>
      <c r="H2232" s="35" t="s">
        <v>3419</v>
      </c>
      <c r="I2232" s="35" t="s">
        <v>3416</v>
      </c>
      <c r="J2232" s="38">
        <v>6.22</v>
      </c>
      <c r="K2232" s="35">
        <v>1</v>
      </c>
      <c r="L2232" s="38">
        <f t="shared" si="34"/>
        <v>6.22</v>
      </c>
      <c r="M2232" s="35" t="s">
        <v>11</v>
      </c>
      <c r="N2232" s="38"/>
      <c r="O2232" s="35" t="s">
        <v>12</v>
      </c>
    </row>
    <row r="2233" spans="1:15" x14ac:dyDescent="0.25">
      <c r="A2233" s="35">
        <v>1147180671</v>
      </c>
      <c r="B2233" s="35" t="s">
        <v>3721</v>
      </c>
      <c r="C2233" s="35">
        <v>2024</v>
      </c>
      <c r="D2233" s="36">
        <v>45348.006886574083</v>
      </c>
      <c r="E2233" s="37" t="s">
        <v>2605</v>
      </c>
      <c r="F2233" s="37" t="s">
        <v>5201</v>
      </c>
      <c r="G2233" s="37" t="s">
        <v>3837</v>
      </c>
      <c r="H2233" s="35" t="s">
        <v>3419</v>
      </c>
      <c r="I2233" s="35" t="s">
        <v>3416</v>
      </c>
      <c r="J2233" s="38">
        <v>3.0968510638297868</v>
      </c>
      <c r="K2233" s="35">
        <v>1</v>
      </c>
      <c r="L2233" s="38">
        <f t="shared" si="34"/>
        <v>3.0968510638297868</v>
      </c>
      <c r="M2233" s="35" t="s">
        <v>11</v>
      </c>
      <c r="N2233" s="38"/>
      <c r="O2233" s="35" t="s">
        <v>12</v>
      </c>
    </row>
    <row r="2234" spans="1:15" x14ac:dyDescent="0.25">
      <c r="A2234" s="35">
        <v>1147180671</v>
      </c>
      <c r="B2234" s="35" t="s">
        <v>3721</v>
      </c>
      <c r="C2234" s="35">
        <v>2024</v>
      </c>
      <c r="D2234" s="36">
        <v>45348.006886574083</v>
      </c>
      <c r="E2234" s="37" t="s">
        <v>2605</v>
      </c>
      <c r="F2234" s="37" t="s">
        <v>3895</v>
      </c>
      <c r="G2234" s="37" t="s">
        <v>3799</v>
      </c>
      <c r="H2234" s="35" t="s">
        <v>3419</v>
      </c>
      <c r="I2234" s="35" t="s">
        <v>3416</v>
      </c>
      <c r="J2234" s="38">
        <v>5.1731489361702128</v>
      </c>
      <c r="K2234" s="35">
        <v>1</v>
      </c>
      <c r="L2234" s="38">
        <f t="shared" si="34"/>
        <v>5.1731489361702128</v>
      </c>
      <c r="M2234" s="35" t="s">
        <v>11</v>
      </c>
      <c r="N2234" s="38"/>
      <c r="O2234" s="35" t="s">
        <v>12</v>
      </c>
    </row>
    <row r="2235" spans="1:15" x14ac:dyDescent="0.25">
      <c r="A2235" s="35">
        <v>1147134772</v>
      </c>
      <c r="B2235" s="35" t="s">
        <v>3721</v>
      </c>
      <c r="C2235" s="35">
        <v>2024</v>
      </c>
      <c r="D2235" s="36">
        <v>45348.006886574083</v>
      </c>
      <c r="E2235" s="37" t="s">
        <v>294</v>
      </c>
      <c r="F2235" s="37" t="s">
        <v>5202</v>
      </c>
      <c r="G2235" s="37" t="s">
        <v>4651</v>
      </c>
      <c r="H2235" s="35" t="s">
        <v>3415</v>
      </c>
      <c r="I2235" s="35" t="s">
        <v>3416</v>
      </c>
      <c r="J2235" s="38">
        <v>0.85247077162899454</v>
      </c>
      <c r="K2235" s="35">
        <v>4</v>
      </c>
      <c r="L2235" s="38">
        <f t="shared" si="34"/>
        <v>3.4098830865159782</v>
      </c>
      <c r="M2235" s="35" t="s">
        <v>11</v>
      </c>
      <c r="N2235" s="38"/>
      <c r="O2235" s="35" t="s">
        <v>12</v>
      </c>
    </row>
    <row r="2236" spans="1:15" x14ac:dyDescent="0.25">
      <c r="A2236" s="35">
        <v>1147134772</v>
      </c>
      <c r="B2236" s="35" t="s">
        <v>3721</v>
      </c>
      <c r="C2236" s="35">
        <v>2024</v>
      </c>
      <c r="D2236" s="36">
        <v>45348.006886574083</v>
      </c>
      <c r="E2236" s="37" t="s">
        <v>294</v>
      </c>
      <c r="F2236" s="37" t="s">
        <v>5203</v>
      </c>
      <c r="G2236" s="37" t="s">
        <v>3529</v>
      </c>
      <c r="H2236" s="35" t="s">
        <v>3415</v>
      </c>
      <c r="I2236" s="35" t="s">
        <v>3416</v>
      </c>
      <c r="J2236" s="38">
        <v>0.13823850350740449</v>
      </c>
      <c r="K2236" s="35">
        <v>4</v>
      </c>
      <c r="L2236" s="38">
        <f t="shared" si="34"/>
        <v>0.55295401402961797</v>
      </c>
      <c r="M2236" s="35" t="s">
        <v>11</v>
      </c>
      <c r="N2236" s="38"/>
      <c r="O2236" s="35" t="s">
        <v>12</v>
      </c>
    </row>
    <row r="2237" spans="1:15" x14ac:dyDescent="0.25">
      <c r="A2237" s="35">
        <v>1147134772</v>
      </c>
      <c r="B2237" s="35" t="s">
        <v>3721</v>
      </c>
      <c r="C2237" s="35">
        <v>2024</v>
      </c>
      <c r="D2237" s="36">
        <v>45348.006886574083</v>
      </c>
      <c r="E2237" s="37" t="s">
        <v>294</v>
      </c>
      <c r="F2237" s="37" t="s">
        <v>5204</v>
      </c>
      <c r="G2237" s="37" t="s">
        <v>4063</v>
      </c>
      <c r="H2237" s="35" t="s">
        <v>3415</v>
      </c>
      <c r="I2237" s="35" t="s">
        <v>3416</v>
      </c>
      <c r="J2237" s="38">
        <v>0.27647700701480898</v>
      </c>
      <c r="K2237" s="35">
        <v>4</v>
      </c>
      <c r="L2237" s="38">
        <f t="shared" si="34"/>
        <v>1.1059080280592359</v>
      </c>
      <c r="M2237" s="35" t="s">
        <v>11</v>
      </c>
      <c r="N2237" s="38"/>
      <c r="O2237" s="35" t="s">
        <v>12</v>
      </c>
    </row>
    <row r="2238" spans="1:15" x14ac:dyDescent="0.25">
      <c r="A2238" s="35">
        <v>1147134772</v>
      </c>
      <c r="B2238" s="35" t="s">
        <v>3721</v>
      </c>
      <c r="C2238" s="35">
        <v>2024</v>
      </c>
      <c r="D2238" s="36">
        <v>45348.006886574083</v>
      </c>
      <c r="E2238" s="37" t="s">
        <v>294</v>
      </c>
      <c r="F2238" s="37" t="s">
        <v>5205</v>
      </c>
      <c r="G2238" s="37" t="s">
        <v>3867</v>
      </c>
      <c r="H2238" s="35" t="s">
        <v>3419</v>
      </c>
      <c r="I2238" s="35" t="s">
        <v>3416</v>
      </c>
      <c r="J2238" s="38">
        <v>0.55295401402961808</v>
      </c>
      <c r="K2238" s="35">
        <v>1</v>
      </c>
      <c r="L2238" s="38">
        <f t="shared" si="34"/>
        <v>0.55295401402961808</v>
      </c>
      <c r="M2238" s="35" t="s">
        <v>11</v>
      </c>
      <c r="N2238" s="38"/>
      <c r="O2238" s="35" t="s">
        <v>12</v>
      </c>
    </row>
    <row r="2239" spans="1:15" x14ac:dyDescent="0.25">
      <c r="A2239" s="35">
        <v>1147134772</v>
      </c>
      <c r="B2239" s="35" t="s">
        <v>3721</v>
      </c>
      <c r="C2239" s="35">
        <v>2024</v>
      </c>
      <c r="D2239" s="36">
        <v>45348.006886574083</v>
      </c>
      <c r="E2239" s="37" t="s">
        <v>294</v>
      </c>
      <c r="F2239" s="37" t="s">
        <v>5206</v>
      </c>
      <c r="G2239" s="37" t="s">
        <v>3718</v>
      </c>
      <c r="H2239" s="35" t="s">
        <v>3415</v>
      </c>
      <c r="I2239" s="35" t="s">
        <v>3416</v>
      </c>
      <c r="J2239" s="38">
        <v>0.161278254091972</v>
      </c>
      <c r="K2239" s="35">
        <v>4</v>
      </c>
      <c r="L2239" s="38">
        <f t="shared" si="34"/>
        <v>0.64511301636788798</v>
      </c>
      <c r="M2239" s="35" t="s">
        <v>11</v>
      </c>
      <c r="N2239" s="38"/>
      <c r="O2239" s="35" t="s">
        <v>12</v>
      </c>
    </row>
    <row r="2240" spans="1:15" x14ac:dyDescent="0.25">
      <c r="A2240" s="35">
        <v>1147134772</v>
      </c>
      <c r="B2240" s="35" t="s">
        <v>3721</v>
      </c>
      <c r="C2240" s="35">
        <v>2024</v>
      </c>
      <c r="D2240" s="36">
        <v>45348.006886574083</v>
      </c>
      <c r="E2240" s="37" t="s">
        <v>294</v>
      </c>
      <c r="F2240" s="37" t="s">
        <v>5207</v>
      </c>
      <c r="G2240" s="37" t="s">
        <v>4057</v>
      </c>
      <c r="H2240" s="35" t="s">
        <v>3415</v>
      </c>
      <c r="I2240" s="35" t="s">
        <v>3416</v>
      </c>
      <c r="J2240" s="38">
        <v>0.1958378799688231</v>
      </c>
      <c r="K2240" s="35">
        <v>4</v>
      </c>
      <c r="L2240" s="38">
        <f t="shared" si="34"/>
        <v>0.78335151987529239</v>
      </c>
      <c r="M2240" s="35" t="s">
        <v>11</v>
      </c>
      <c r="N2240" s="38"/>
      <c r="O2240" s="35" t="s">
        <v>12</v>
      </c>
    </row>
    <row r="2241" spans="1:15" x14ac:dyDescent="0.25">
      <c r="A2241" s="35">
        <v>1147134772</v>
      </c>
      <c r="B2241" s="35" t="s">
        <v>3721</v>
      </c>
      <c r="C2241" s="35">
        <v>2024</v>
      </c>
      <c r="D2241" s="36">
        <v>45348.006886574083</v>
      </c>
      <c r="E2241" s="37" t="s">
        <v>294</v>
      </c>
      <c r="F2241" s="37" t="s">
        <v>5208</v>
      </c>
      <c r="G2241" s="37" t="s">
        <v>4326</v>
      </c>
      <c r="H2241" s="35" t="s">
        <v>3419</v>
      </c>
      <c r="I2241" s="35" t="s">
        <v>3416</v>
      </c>
      <c r="J2241" s="38">
        <v>0.13823850350740449</v>
      </c>
      <c r="K2241" s="35">
        <v>2</v>
      </c>
      <c r="L2241" s="38">
        <f t="shared" si="34"/>
        <v>0.27647700701480898</v>
      </c>
      <c r="M2241" s="35" t="s">
        <v>11</v>
      </c>
      <c r="N2241" s="38"/>
      <c r="O2241" s="35" t="s">
        <v>12</v>
      </c>
    </row>
    <row r="2242" spans="1:15" x14ac:dyDescent="0.25">
      <c r="A2242" s="35">
        <v>1147134772</v>
      </c>
      <c r="B2242" s="35" t="s">
        <v>3721</v>
      </c>
      <c r="C2242" s="35">
        <v>2024</v>
      </c>
      <c r="D2242" s="36">
        <v>45348.006886574083</v>
      </c>
      <c r="E2242" s="37" t="s">
        <v>294</v>
      </c>
      <c r="F2242" s="37" t="s">
        <v>5209</v>
      </c>
      <c r="G2242" s="37" t="s">
        <v>3718</v>
      </c>
      <c r="H2242" s="35" t="s">
        <v>3415</v>
      </c>
      <c r="I2242" s="35" t="s">
        <v>3416</v>
      </c>
      <c r="J2242" s="38">
        <v>0.161278254091972</v>
      </c>
      <c r="K2242" s="35">
        <v>4</v>
      </c>
      <c r="L2242" s="38">
        <f t="shared" ref="L2242:L2305" si="35">J2242*K2242</f>
        <v>0.64511301636788798</v>
      </c>
      <c r="M2242" s="35" t="s">
        <v>11</v>
      </c>
      <c r="N2242" s="38"/>
      <c r="O2242" s="35" t="s">
        <v>12</v>
      </c>
    </row>
    <row r="2243" spans="1:15" x14ac:dyDescent="0.25">
      <c r="A2243" s="35">
        <v>1147134772</v>
      </c>
      <c r="B2243" s="35" t="s">
        <v>3721</v>
      </c>
      <c r="C2243" s="35">
        <v>2024</v>
      </c>
      <c r="D2243" s="36">
        <v>45348.006886574083</v>
      </c>
      <c r="E2243" s="37" t="s">
        <v>294</v>
      </c>
      <c r="F2243" s="37" t="s">
        <v>5210</v>
      </c>
      <c r="G2243" s="37" t="s">
        <v>4063</v>
      </c>
      <c r="H2243" s="35" t="s">
        <v>3419</v>
      </c>
      <c r="I2243" s="35" t="s">
        <v>3416</v>
      </c>
      <c r="J2243" s="38">
        <v>0.161278254091972</v>
      </c>
      <c r="K2243" s="35">
        <v>2</v>
      </c>
      <c r="L2243" s="38">
        <f t="shared" si="35"/>
        <v>0.32255650818394399</v>
      </c>
      <c r="M2243" s="35" t="s">
        <v>11</v>
      </c>
      <c r="N2243" s="38"/>
      <c r="O2243" s="35" t="s">
        <v>12</v>
      </c>
    </row>
    <row r="2244" spans="1:15" x14ac:dyDescent="0.25">
      <c r="A2244" s="35">
        <v>1147134772</v>
      </c>
      <c r="B2244" s="35" t="s">
        <v>3721</v>
      </c>
      <c r="C2244" s="35">
        <v>2024</v>
      </c>
      <c r="D2244" s="36">
        <v>45348.006886574083</v>
      </c>
      <c r="E2244" s="37" t="s">
        <v>294</v>
      </c>
      <c r="F2244" s="37" t="s">
        <v>5211</v>
      </c>
      <c r="G2244" s="37" t="s">
        <v>3867</v>
      </c>
      <c r="H2244" s="35" t="s">
        <v>3419</v>
      </c>
      <c r="I2244" s="35" t="s">
        <v>3416</v>
      </c>
      <c r="J2244" s="38">
        <v>0.74879189399844115</v>
      </c>
      <c r="K2244" s="35">
        <v>1</v>
      </c>
      <c r="L2244" s="38">
        <f t="shared" si="35"/>
        <v>0.74879189399844115</v>
      </c>
      <c r="M2244" s="35" t="s">
        <v>11</v>
      </c>
      <c r="N2244" s="38"/>
      <c r="O2244" s="35" t="s">
        <v>12</v>
      </c>
    </row>
    <row r="2245" spans="1:15" x14ac:dyDescent="0.25">
      <c r="A2245" s="35">
        <v>1147134772</v>
      </c>
      <c r="B2245" s="35" t="s">
        <v>3721</v>
      </c>
      <c r="C2245" s="35">
        <v>2024</v>
      </c>
      <c r="D2245" s="36">
        <v>45348.006886574083</v>
      </c>
      <c r="E2245" s="37" t="s">
        <v>294</v>
      </c>
      <c r="F2245" s="37" t="s">
        <v>5212</v>
      </c>
      <c r="G2245" s="37" t="s">
        <v>4063</v>
      </c>
      <c r="H2245" s="35" t="s">
        <v>3419</v>
      </c>
      <c r="I2245" s="35" t="s">
        <v>3416</v>
      </c>
      <c r="J2245" s="38">
        <v>0.40319563522992979</v>
      </c>
      <c r="K2245" s="35">
        <v>1</v>
      </c>
      <c r="L2245" s="38">
        <f t="shared" si="35"/>
        <v>0.40319563522992979</v>
      </c>
      <c r="M2245" s="35" t="s">
        <v>11</v>
      </c>
      <c r="N2245" s="38"/>
      <c r="O2245" s="35" t="s">
        <v>12</v>
      </c>
    </row>
    <row r="2246" spans="1:15" x14ac:dyDescent="0.25">
      <c r="A2246" s="35">
        <v>1147134772</v>
      </c>
      <c r="B2246" s="35" t="s">
        <v>3721</v>
      </c>
      <c r="C2246" s="35">
        <v>2024</v>
      </c>
      <c r="D2246" s="36">
        <v>45348.006886574083</v>
      </c>
      <c r="E2246" s="37" t="s">
        <v>294</v>
      </c>
      <c r="F2246" s="37" t="s">
        <v>3725</v>
      </c>
      <c r="G2246" s="37" t="s">
        <v>3726</v>
      </c>
      <c r="H2246" s="35" t="s">
        <v>3415</v>
      </c>
      <c r="I2246" s="35" t="s">
        <v>3416</v>
      </c>
      <c r="J2246" s="38">
        <v>0.1958378799688231</v>
      </c>
      <c r="K2246" s="35">
        <v>4</v>
      </c>
      <c r="L2246" s="38">
        <f t="shared" si="35"/>
        <v>0.78335151987529239</v>
      </c>
      <c r="M2246" s="35" t="s">
        <v>11</v>
      </c>
      <c r="N2246" s="38"/>
      <c r="O2246" s="35" t="s">
        <v>12</v>
      </c>
    </row>
    <row r="2247" spans="1:15" x14ac:dyDescent="0.25">
      <c r="A2247" s="35">
        <v>1147134772</v>
      </c>
      <c r="B2247" s="35" t="s">
        <v>3721</v>
      </c>
      <c r="C2247" s="35">
        <v>2024</v>
      </c>
      <c r="D2247" s="36">
        <v>45348.006886574083</v>
      </c>
      <c r="E2247" s="37" t="s">
        <v>294</v>
      </c>
      <c r="F2247" s="37" t="s">
        <v>4673</v>
      </c>
      <c r="G2247" s="37" t="s">
        <v>4220</v>
      </c>
      <c r="H2247" s="35" t="s">
        <v>3419</v>
      </c>
      <c r="I2247" s="35" t="s">
        <v>3416</v>
      </c>
      <c r="J2247" s="38">
        <v>0.40319563522992968</v>
      </c>
      <c r="K2247" s="35">
        <v>3</v>
      </c>
      <c r="L2247" s="38">
        <f t="shared" si="35"/>
        <v>1.209586905689789</v>
      </c>
      <c r="M2247" s="35" t="s">
        <v>11</v>
      </c>
      <c r="N2247" s="38"/>
      <c r="O2247" s="35" t="s">
        <v>12</v>
      </c>
    </row>
    <row r="2248" spans="1:15" x14ac:dyDescent="0.25">
      <c r="A2248" s="35">
        <v>1147134772</v>
      </c>
      <c r="B2248" s="35" t="s">
        <v>3721</v>
      </c>
      <c r="C2248" s="35">
        <v>2024</v>
      </c>
      <c r="D2248" s="36">
        <v>45348.006886574083</v>
      </c>
      <c r="E2248" s="37" t="s">
        <v>294</v>
      </c>
      <c r="F2248" s="37" t="s">
        <v>4065</v>
      </c>
      <c r="G2248" s="37" t="s">
        <v>4066</v>
      </c>
      <c r="H2248" s="35" t="s">
        <v>3419</v>
      </c>
      <c r="I2248" s="35" t="s">
        <v>3416</v>
      </c>
      <c r="J2248" s="38">
        <v>1.6703819173811381</v>
      </c>
      <c r="K2248" s="35">
        <v>2</v>
      </c>
      <c r="L2248" s="38">
        <f t="shared" si="35"/>
        <v>3.3407638347622761</v>
      </c>
      <c r="M2248" s="35" t="s">
        <v>11</v>
      </c>
      <c r="N2248" s="38"/>
      <c r="O2248" s="35" t="s">
        <v>12</v>
      </c>
    </row>
    <row r="2249" spans="1:15" x14ac:dyDescent="0.25">
      <c r="A2249" s="35">
        <v>1146353591</v>
      </c>
      <c r="B2249" s="35" t="s">
        <v>3721</v>
      </c>
      <c r="C2249" s="35">
        <v>2024</v>
      </c>
      <c r="D2249" s="36">
        <v>45341.985775462963</v>
      </c>
      <c r="E2249" s="37" t="s">
        <v>2537</v>
      </c>
      <c r="F2249" s="37" t="s">
        <v>5214</v>
      </c>
      <c r="G2249" s="37" t="s">
        <v>4215</v>
      </c>
      <c r="H2249" s="35" t="s">
        <v>3419</v>
      </c>
      <c r="I2249" s="35" t="s">
        <v>3416</v>
      </c>
      <c r="J2249" s="38">
        <v>0.21422740524781339</v>
      </c>
      <c r="K2249" s="35">
        <v>1</v>
      </c>
      <c r="L2249" s="38">
        <f t="shared" si="35"/>
        <v>0.21422740524781339</v>
      </c>
      <c r="M2249" s="35" t="s">
        <v>11</v>
      </c>
      <c r="N2249" s="38"/>
      <c r="O2249" s="35" t="s">
        <v>12</v>
      </c>
    </row>
    <row r="2250" spans="1:15" x14ac:dyDescent="0.25">
      <c r="A2250" s="35">
        <v>1146353591</v>
      </c>
      <c r="B2250" s="35" t="s">
        <v>3721</v>
      </c>
      <c r="C2250" s="35">
        <v>2024</v>
      </c>
      <c r="D2250" s="36">
        <v>45341.985775462963</v>
      </c>
      <c r="E2250" s="37" t="s">
        <v>2537</v>
      </c>
      <c r="F2250" s="37" t="s">
        <v>4361</v>
      </c>
      <c r="G2250" s="37" t="s">
        <v>3751</v>
      </c>
      <c r="H2250" s="35" t="s">
        <v>3419</v>
      </c>
      <c r="I2250" s="35" t="s">
        <v>3416</v>
      </c>
      <c r="J2250" s="38">
        <v>4.8094052478134106</v>
      </c>
      <c r="K2250" s="35">
        <v>1</v>
      </c>
      <c r="L2250" s="38">
        <f t="shared" si="35"/>
        <v>4.8094052478134106</v>
      </c>
      <c r="M2250" s="35" t="s">
        <v>11</v>
      </c>
      <c r="N2250" s="38"/>
      <c r="O2250" s="35" t="s">
        <v>12</v>
      </c>
    </row>
    <row r="2251" spans="1:15" x14ac:dyDescent="0.25">
      <c r="A2251" s="35">
        <v>1146353591</v>
      </c>
      <c r="B2251" s="35" t="s">
        <v>3721</v>
      </c>
      <c r="C2251" s="35">
        <v>2024</v>
      </c>
      <c r="D2251" s="36">
        <v>45341.985775462963</v>
      </c>
      <c r="E2251" s="37" t="s">
        <v>2537</v>
      </c>
      <c r="F2251" s="37" t="s">
        <v>5214</v>
      </c>
      <c r="G2251" s="37" t="s">
        <v>4215</v>
      </c>
      <c r="H2251" s="35" t="s">
        <v>3419</v>
      </c>
      <c r="I2251" s="35" t="s">
        <v>3416</v>
      </c>
      <c r="J2251" s="38">
        <v>0.21422740524781339</v>
      </c>
      <c r="K2251" s="35">
        <v>3</v>
      </c>
      <c r="L2251" s="38">
        <f t="shared" si="35"/>
        <v>0.6426822157434402</v>
      </c>
      <c r="M2251" s="35" t="s">
        <v>11</v>
      </c>
      <c r="N2251" s="38"/>
      <c r="O2251" s="35" t="s">
        <v>12</v>
      </c>
    </row>
    <row r="2252" spans="1:15" x14ac:dyDescent="0.25">
      <c r="A2252" s="35">
        <v>1146353591</v>
      </c>
      <c r="B2252" s="35" t="s">
        <v>3721</v>
      </c>
      <c r="C2252" s="35">
        <v>2024</v>
      </c>
      <c r="D2252" s="36">
        <v>45341.985775462963</v>
      </c>
      <c r="E2252" s="37" t="s">
        <v>2537</v>
      </c>
      <c r="F2252" s="37" t="s">
        <v>5215</v>
      </c>
      <c r="G2252" s="37" t="s">
        <v>3925</v>
      </c>
      <c r="H2252" s="35" t="s">
        <v>3415</v>
      </c>
      <c r="I2252" s="35" t="s">
        <v>3416</v>
      </c>
      <c r="J2252" s="38">
        <v>0.21422740524781339</v>
      </c>
      <c r="K2252" s="35">
        <v>4</v>
      </c>
      <c r="L2252" s="38">
        <f t="shared" si="35"/>
        <v>0.85690962099125356</v>
      </c>
      <c r="M2252" s="35" t="s">
        <v>11</v>
      </c>
      <c r="N2252" s="38"/>
      <c r="O2252" s="35" t="s">
        <v>12</v>
      </c>
    </row>
    <row r="2253" spans="1:15" x14ac:dyDescent="0.25">
      <c r="A2253" s="35">
        <v>1146353591</v>
      </c>
      <c r="B2253" s="35" t="s">
        <v>3721</v>
      </c>
      <c r="C2253" s="35">
        <v>2024</v>
      </c>
      <c r="D2253" s="36">
        <v>45341.985775462963</v>
      </c>
      <c r="E2253" s="37" t="s">
        <v>2537</v>
      </c>
      <c r="F2253" s="37" t="s">
        <v>4361</v>
      </c>
      <c r="G2253" s="37" t="s">
        <v>3751</v>
      </c>
      <c r="H2253" s="35" t="s">
        <v>3419</v>
      </c>
      <c r="I2253" s="35" t="s">
        <v>3416</v>
      </c>
      <c r="J2253" s="38">
        <v>5.9233877551020413</v>
      </c>
      <c r="K2253" s="35">
        <v>2</v>
      </c>
      <c r="L2253" s="38">
        <f t="shared" si="35"/>
        <v>11.846775510204083</v>
      </c>
      <c r="M2253" s="35" t="s">
        <v>11</v>
      </c>
      <c r="N2253" s="38"/>
      <c r="O2253" s="35" t="s">
        <v>12</v>
      </c>
    </row>
    <row r="2254" spans="1:15" x14ac:dyDescent="0.25">
      <c r="A2254" s="35">
        <v>1146009928</v>
      </c>
      <c r="B2254" s="35" t="s">
        <v>3721</v>
      </c>
      <c r="C2254" s="35">
        <v>2024</v>
      </c>
      <c r="D2254" s="36">
        <v>45339.063958333332</v>
      </c>
      <c r="E2254" s="37" t="s">
        <v>294</v>
      </c>
      <c r="F2254" s="37" t="s">
        <v>5217</v>
      </c>
      <c r="G2254" s="37" t="s">
        <v>3751</v>
      </c>
      <c r="H2254" s="35" t="s">
        <v>3415</v>
      </c>
      <c r="I2254" s="35" t="s">
        <v>3416</v>
      </c>
      <c r="J2254" s="38">
        <v>0.57089241034195159</v>
      </c>
      <c r="K2254" s="35">
        <v>4</v>
      </c>
      <c r="L2254" s="38">
        <f t="shared" si="35"/>
        <v>2.2835696413678064</v>
      </c>
      <c r="M2254" s="35" t="s">
        <v>11</v>
      </c>
      <c r="N2254" s="38"/>
      <c r="O2254" s="35" t="s">
        <v>12</v>
      </c>
    </row>
    <row r="2255" spans="1:15" x14ac:dyDescent="0.25">
      <c r="A2255" s="35">
        <v>1146009928</v>
      </c>
      <c r="B2255" s="35" t="s">
        <v>3721</v>
      </c>
      <c r="C2255" s="35">
        <v>2024</v>
      </c>
      <c r="D2255" s="36">
        <v>45339.063958333332</v>
      </c>
      <c r="E2255" s="37" t="s">
        <v>294</v>
      </c>
      <c r="F2255" s="37" t="s">
        <v>5218</v>
      </c>
      <c r="G2255" s="37" t="s">
        <v>3714</v>
      </c>
      <c r="H2255" s="35" t="s">
        <v>3415</v>
      </c>
      <c r="I2255" s="35" t="s">
        <v>3416</v>
      </c>
      <c r="J2255" s="38">
        <v>0.2854462051709758</v>
      </c>
      <c r="K2255" s="35">
        <v>4</v>
      </c>
      <c r="L2255" s="38">
        <f t="shared" si="35"/>
        <v>1.1417848206839032</v>
      </c>
      <c r="M2255" s="35" t="s">
        <v>11</v>
      </c>
      <c r="N2255" s="38"/>
      <c r="O2255" s="35" t="s">
        <v>12</v>
      </c>
    </row>
    <row r="2256" spans="1:15" x14ac:dyDescent="0.25">
      <c r="A2256" s="35">
        <v>1146009928</v>
      </c>
      <c r="B2256" s="35" t="s">
        <v>3721</v>
      </c>
      <c r="C2256" s="35">
        <v>2024</v>
      </c>
      <c r="D2256" s="36">
        <v>45339.063958333332</v>
      </c>
      <c r="E2256" s="37" t="s">
        <v>294</v>
      </c>
      <c r="F2256" s="37" t="s">
        <v>3834</v>
      </c>
      <c r="G2256" s="37" t="s">
        <v>3751</v>
      </c>
      <c r="H2256" s="35" t="s">
        <v>3415</v>
      </c>
      <c r="I2256" s="35" t="s">
        <v>3416</v>
      </c>
      <c r="J2256" s="38">
        <v>0.39962468723936612</v>
      </c>
      <c r="K2256" s="35">
        <v>4</v>
      </c>
      <c r="L2256" s="38">
        <f t="shared" si="35"/>
        <v>1.5984987489574645</v>
      </c>
      <c r="M2256" s="35" t="s">
        <v>11</v>
      </c>
      <c r="N2256" s="38"/>
      <c r="O2256" s="35" t="s">
        <v>12</v>
      </c>
    </row>
    <row r="2257" spans="1:15" x14ac:dyDescent="0.25">
      <c r="A2257" s="35">
        <v>1146009928</v>
      </c>
      <c r="B2257" s="35" t="s">
        <v>3721</v>
      </c>
      <c r="C2257" s="35">
        <v>2024</v>
      </c>
      <c r="D2257" s="36">
        <v>45339.063958333332</v>
      </c>
      <c r="E2257" s="37" t="s">
        <v>294</v>
      </c>
      <c r="F2257" s="37" t="s">
        <v>5219</v>
      </c>
      <c r="G2257" s="37" t="s">
        <v>3714</v>
      </c>
      <c r="H2257" s="35" t="s">
        <v>3415</v>
      </c>
      <c r="I2257" s="35" t="s">
        <v>3416</v>
      </c>
      <c r="J2257" s="38">
        <v>0.2854462051709758</v>
      </c>
      <c r="K2257" s="35">
        <v>4</v>
      </c>
      <c r="L2257" s="38">
        <f t="shared" si="35"/>
        <v>1.1417848206839032</v>
      </c>
      <c r="M2257" s="35" t="s">
        <v>11</v>
      </c>
      <c r="N2257" s="38"/>
      <c r="O2257" s="35" t="s">
        <v>12</v>
      </c>
    </row>
    <row r="2258" spans="1:15" x14ac:dyDescent="0.25">
      <c r="A2258" s="35">
        <v>1146009928</v>
      </c>
      <c r="B2258" s="35" t="s">
        <v>3721</v>
      </c>
      <c r="C2258" s="35">
        <v>2024</v>
      </c>
      <c r="D2258" s="36">
        <v>45339.063958333332</v>
      </c>
      <c r="E2258" s="37" t="s">
        <v>294</v>
      </c>
      <c r="F2258" s="37" t="s">
        <v>5220</v>
      </c>
      <c r="G2258" s="37" t="s">
        <v>3751</v>
      </c>
      <c r="H2258" s="35" t="s">
        <v>3415</v>
      </c>
      <c r="I2258" s="35" t="s">
        <v>3416</v>
      </c>
      <c r="J2258" s="38">
        <v>0.2854462051709758</v>
      </c>
      <c r="K2258" s="35">
        <v>4</v>
      </c>
      <c r="L2258" s="38">
        <f t="shared" si="35"/>
        <v>1.1417848206839032</v>
      </c>
      <c r="M2258" s="35" t="s">
        <v>11</v>
      </c>
      <c r="N2258" s="38"/>
      <c r="O2258" s="35" t="s">
        <v>12</v>
      </c>
    </row>
    <row r="2259" spans="1:15" x14ac:dyDescent="0.25">
      <c r="A2259" s="35">
        <v>1146009928</v>
      </c>
      <c r="B2259" s="35" t="s">
        <v>3721</v>
      </c>
      <c r="C2259" s="35">
        <v>2024</v>
      </c>
      <c r="D2259" s="36">
        <v>45339.063958333332</v>
      </c>
      <c r="E2259" s="37" t="s">
        <v>294</v>
      </c>
      <c r="F2259" s="37" t="s">
        <v>5221</v>
      </c>
      <c r="G2259" s="37" t="s">
        <v>4063</v>
      </c>
      <c r="H2259" s="35" t="s">
        <v>3415</v>
      </c>
      <c r="I2259" s="35" t="s">
        <v>3416</v>
      </c>
      <c r="J2259" s="38">
        <v>0.17126772310258551</v>
      </c>
      <c r="K2259" s="35">
        <v>4</v>
      </c>
      <c r="L2259" s="38">
        <f t="shared" si="35"/>
        <v>0.68507089241034202</v>
      </c>
      <c r="M2259" s="35" t="s">
        <v>11</v>
      </c>
      <c r="N2259" s="38"/>
      <c r="O2259" s="35" t="s">
        <v>12</v>
      </c>
    </row>
    <row r="2260" spans="1:15" x14ac:dyDescent="0.25">
      <c r="A2260" s="35">
        <v>1146009928</v>
      </c>
      <c r="B2260" s="35" t="s">
        <v>3721</v>
      </c>
      <c r="C2260" s="35">
        <v>2024</v>
      </c>
      <c r="D2260" s="36">
        <v>45339.063958333332</v>
      </c>
      <c r="E2260" s="37" t="s">
        <v>294</v>
      </c>
      <c r="F2260" s="37" t="s">
        <v>5222</v>
      </c>
      <c r="G2260" s="37" t="s">
        <v>4220</v>
      </c>
      <c r="H2260" s="35" t="s">
        <v>3415</v>
      </c>
      <c r="I2260" s="35" t="s">
        <v>3416</v>
      </c>
      <c r="J2260" s="38">
        <v>0.1370141784820684</v>
      </c>
      <c r="K2260" s="35">
        <v>4</v>
      </c>
      <c r="L2260" s="38">
        <f t="shared" si="35"/>
        <v>0.5480567139282736</v>
      </c>
      <c r="M2260" s="35" t="s">
        <v>11</v>
      </c>
      <c r="N2260" s="38"/>
      <c r="O2260" s="35" t="s">
        <v>12</v>
      </c>
    </row>
    <row r="2261" spans="1:15" x14ac:dyDescent="0.25">
      <c r="A2261" s="35">
        <v>1146009928</v>
      </c>
      <c r="B2261" s="35" t="s">
        <v>3721</v>
      </c>
      <c r="C2261" s="35">
        <v>2024</v>
      </c>
      <c r="D2261" s="36">
        <v>45339.063958333332</v>
      </c>
      <c r="E2261" s="37" t="s">
        <v>294</v>
      </c>
      <c r="F2261" s="37" t="s">
        <v>5223</v>
      </c>
      <c r="G2261" s="37" t="s">
        <v>3676</v>
      </c>
      <c r="H2261" s="35" t="s">
        <v>3419</v>
      </c>
      <c r="I2261" s="35" t="s">
        <v>3416</v>
      </c>
      <c r="J2261" s="38">
        <v>0.26261050875729769</v>
      </c>
      <c r="K2261" s="35">
        <v>2</v>
      </c>
      <c r="L2261" s="38">
        <f t="shared" si="35"/>
        <v>0.52522101751459538</v>
      </c>
      <c r="M2261" s="35" t="s">
        <v>11</v>
      </c>
      <c r="N2261" s="38"/>
      <c r="O2261" s="35" t="s">
        <v>12</v>
      </c>
    </row>
    <row r="2262" spans="1:15" x14ac:dyDescent="0.25">
      <c r="A2262" s="35">
        <v>1146009928</v>
      </c>
      <c r="B2262" s="35" t="s">
        <v>3721</v>
      </c>
      <c r="C2262" s="35">
        <v>2024</v>
      </c>
      <c r="D2262" s="36">
        <v>45339.063958333332</v>
      </c>
      <c r="E2262" s="37" t="s">
        <v>294</v>
      </c>
      <c r="F2262" s="37" t="s">
        <v>5224</v>
      </c>
      <c r="G2262" s="37" t="s">
        <v>4220</v>
      </c>
      <c r="H2262" s="35" t="s">
        <v>3419</v>
      </c>
      <c r="I2262" s="35" t="s">
        <v>3416</v>
      </c>
      <c r="J2262" s="38">
        <v>0.2854462051709758</v>
      </c>
      <c r="K2262" s="35">
        <v>2</v>
      </c>
      <c r="L2262" s="38">
        <f t="shared" si="35"/>
        <v>0.57089241034195159</v>
      </c>
      <c r="M2262" s="35" t="s">
        <v>11</v>
      </c>
      <c r="N2262" s="38"/>
      <c r="O2262" s="35" t="s">
        <v>12</v>
      </c>
    </row>
    <row r="2263" spans="1:15" ht="30" x14ac:dyDescent="0.25">
      <c r="A2263" s="35">
        <v>1146009928</v>
      </c>
      <c r="B2263" s="35" t="s">
        <v>3721</v>
      </c>
      <c r="C2263" s="35">
        <v>2024</v>
      </c>
      <c r="D2263" s="36">
        <v>45339.063958333332</v>
      </c>
      <c r="E2263" s="37" t="s">
        <v>294</v>
      </c>
      <c r="F2263" s="37" t="s">
        <v>5225</v>
      </c>
      <c r="G2263" s="37" t="s">
        <v>5226</v>
      </c>
      <c r="H2263" s="35" t="s">
        <v>3419</v>
      </c>
      <c r="I2263" s="35" t="s">
        <v>3416</v>
      </c>
      <c r="J2263" s="38">
        <v>0.51380316930775649</v>
      </c>
      <c r="K2263" s="35">
        <v>2</v>
      </c>
      <c r="L2263" s="38">
        <f t="shared" si="35"/>
        <v>1.027606338615513</v>
      </c>
      <c r="M2263" s="35" t="s">
        <v>11</v>
      </c>
      <c r="N2263" s="38"/>
      <c r="O2263" s="35" t="s">
        <v>12</v>
      </c>
    </row>
    <row r="2264" spans="1:15" x14ac:dyDescent="0.25">
      <c r="A2264" s="35">
        <v>1146009928</v>
      </c>
      <c r="B2264" s="35" t="s">
        <v>3721</v>
      </c>
      <c r="C2264" s="35">
        <v>2024</v>
      </c>
      <c r="D2264" s="36">
        <v>45339.063958333332</v>
      </c>
      <c r="E2264" s="37" t="s">
        <v>294</v>
      </c>
      <c r="F2264" s="37" t="s">
        <v>5227</v>
      </c>
      <c r="G2264" s="37" t="s">
        <v>4326</v>
      </c>
      <c r="H2264" s="35" t="s">
        <v>3419</v>
      </c>
      <c r="I2264" s="35" t="s">
        <v>3416</v>
      </c>
      <c r="J2264" s="38">
        <v>1.027606338615513</v>
      </c>
      <c r="K2264" s="35">
        <v>2</v>
      </c>
      <c r="L2264" s="38">
        <f t="shared" si="35"/>
        <v>2.055212677231026</v>
      </c>
      <c r="M2264" s="35" t="s">
        <v>11</v>
      </c>
      <c r="N2264" s="38"/>
      <c r="O2264" s="35" t="s">
        <v>12</v>
      </c>
    </row>
    <row r="2265" spans="1:15" x14ac:dyDescent="0.25">
      <c r="A2265" s="35">
        <v>1146009928</v>
      </c>
      <c r="B2265" s="35" t="s">
        <v>3721</v>
      </c>
      <c r="C2265" s="35">
        <v>2024</v>
      </c>
      <c r="D2265" s="36">
        <v>45339.063958333332</v>
      </c>
      <c r="E2265" s="37" t="s">
        <v>294</v>
      </c>
      <c r="F2265" s="37" t="s">
        <v>5228</v>
      </c>
      <c r="G2265" s="37" t="s">
        <v>3751</v>
      </c>
      <c r="H2265" s="35" t="s">
        <v>3419</v>
      </c>
      <c r="I2265" s="35" t="s">
        <v>3416</v>
      </c>
      <c r="J2265" s="38">
        <v>0.38820683903252712</v>
      </c>
      <c r="K2265" s="35">
        <v>2</v>
      </c>
      <c r="L2265" s="38">
        <f t="shared" si="35"/>
        <v>0.77641367806505424</v>
      </c>
      <c r="M2265" s="35" t="s">
        <v>11</v>
      </c>
      <c r="N2265" s="38"/>
      <c r="O2265" s="35" t="s">
        <v>12</v>
      </c>
    </row>
    <row r="2266" spans="1:15" x14ac:dyDescent="0.25">
      <c r="A2266" s="35">
        <v>1146009928</v>
      </c>
      <c r="B2266" s="35" t="s">
        <v>3721</v>
      </c>
      <c r="C2266" s="35">
        <v>2024</v>
      </c>
      <c r="D2266" s="36">
        <v>45339.063958333332</v>
      </c>
      <c r="E2266" s="37" t="s">
        <v>294</v>
      </c>
      <c r="F2266" s="37" t="s">
        <v>4804</v>
      </c>
      <c r="G2266" s="37" t="s">
        <v>3751</v>
      </c>
      <c r="H2266" s="35" t="s">
        <v>3415</v>
      </c>
      <c r="I2266" s="35" t="s">
        <v>3416</v>
      </c>
      <c r="J2266" s="38">
        <v>0.68507089241034191</v>
      </c>
      <c r="K2266" s="35">
        <v>4</v>
      </c>
      <c r="L2266" s="38">
        <f t="shared" si="35"/>
        <v>2.7402835696413677</v>
      </c>
      <c r="M2266" s="35" t="s">
        <v>11</v>
      </c>
      <c r="N2266" s="38"/>
      <c r="O2266" s="35" t="s">
        <v>12</v>
      </c>
    </row>
    <row r="2267" spans="1:15" x14ac:dyDescent="0.25">
      <c r="A2267" s="35">
        <v>1146009928</v>
      </c>
      <c r="B2267" s="35" t="s">
        <v>3721</v>
      </c>
      <c r="C2267" s="35">
        <v>2024</v>
      </c>
      <c r="D2267" s="36">
        <v>45339.063958333332</v>
      </c>
      <c r="E2267" s="37" t="s">
        <v>294</v>
      </c>
      <c r="F2267" s="37" t="s">
        <v>4796</v>
      </c>
      <c r="G2267" s="37" t="s">
        <v>3751</v>
      </c>
      <c r="H2267" s="35" t="s">
        <v>3415</v>
      </c>
      <c r="I2267" s="35" t="s">
        <v>3416</v>
      </c>
      <c r="J2267" s="38">
        <v>0.68507089241034191</v>
      </c>
      <c r="K2267" s="35">
        <v>4</v>
      </c>
      <c r="L2267" s="38">
        <f t="shared" si="35"/>
        <v>2.7402835696413677</v>
      </c>
      <c r="M2267" s="35" t="s">
        <v>11</v>
      </c>
      <c r="N2267" s="38"/>
      <c r="O2267" s="35" t="s">
        <v>12</v>
      </c>
    </row>
    <row r="2268" spans="1:15" x14ac:dyDescent="0.25">
      <c r="A2268" s="35">
        <v>1146009928</v>
      </c>
      <c r="B2268" s="35" t="s">
        <v>3721</v>
      </c>
      <c r="C2268" s="35">
        <v>2024</v>
      </c>
      <c r="D2268" s="36">
        <v>45339.063958333332</v>
      </c>
      <c r="E2268" s="37" t="s">
        <v>294</v>
      </c>
      <c r="F2268" s="37" t="s">
        <v>4792</v>
      </c>
      <c r="G2268" s="37" t="s">
        <v>3751</v>
      </c>
      <c r="H2268" s="35" t="s">
        <v>3415</v>
      </c>
      <c r="I2268" s="35" t="s">
        <v>3416</v>
      </c>
      <c r="J2268" s="38">
        <v>0.62798165137614681</v>
      </c>
      <c r="K2268" s="35">
        <v>4</v>
      </c>
      <c r="L2268" s="38">
        <f t="shared" si="35"/>
        <v>2.5119266055045872</v>
      </c>
      <c r="M2268" s="35" t="s">
        <v>11</v>
      </c>
      <c r="N2268" s="38"/>
      <c r="O2268" s="35" t="s">
        <v>12</v>
      </c>
    </row>
    <row r="2269" spans="1:15" x14ac:dyDescent="0.25">
      <c r="A2269" s="35">
        <v>1146009928</v>
      </c>
      <c r="B2269" s="35" t="s">
        <v>3721</v>
      </c>
      <c r="C2269" s="35">
        <v>2024</v>
      </c>
      <c r="D2269" s="36">
        <v>45339.063958333332</v>
      </c>
      <c r="E2269" s="37" t="s">
        <v>294</v>
      </c>
      <c r="F2269" s="37" t="s">
        <v>4800</v>
      </c>
      <c r="G2269" s="37" t="s">
        <v>3751</v>
      </c>
      <c r="H2269" s="35" t="s">
        <v>3415</v>
      </c>
      <c r="I2269" s="35" t="s">
        <v>3416</v>
      </c>
      <c r="J2269" s="38">
        <v>0.67365304420350292</v>
      </c>
      <c r="K2269" s="35">
        <v>4</v>
      </c>
      <c r="L2269" s="38">
        <f t="shared" si="35"/>
        <v>2.6946121768140117</v>
      </c>
      <c r="M2269" s="35" t="s">
        <v>11</v>
      </c>
      <c r="N2269" s="38"/>
      <c r="O2269" s="35" t="s">
        <v>12</v>
      </c>
    </row>
    <row r="2270" spans="1:15" x14ac:dyDescent="0.25">
      <c r="A2270" s="35">
        <v>1146009928</v>
      </c>
      <c r="B2270" s="35" t="s">
        <v>3721</v>
      </c>
      <c r="C2270" s="35">
        <v>2024</v>
      </c>
      <c r="D2270" s="36">
        <v>45339.063958333332</v>
      </c>
      <c r="E2270" s="37" t="s">
        <v>294</v>
      </c>
      <c r="F2270" s="37" t="s">
        <v>4808</v>
      </c>
      <c r="G2270" s="37" t="s">
        <v>3751</v>
      </c>
      <c r="H2270" s="35" t="s">
        <v>3415</v>
      </c>
      <c r="I2270" s="35" t="s">
        <v>3416</v>
      </c>
      <c r="J2270" s="38">
        <v>0.79924937447873223</v>
      </c>
      <c r="K2270" s="35">
        <v>4</v>
      </c>
      <c r="L2270" s="38">
        <f t="shared" si="35"/>
        <v>3.1969974979149289</v>
      </c>
      <c r="M2270" s="35" t="s">
        <v>11</v>
      </c>
      <c r="N2270" s="38"/>
      <c r="O2270" s="35" t="s">
        <v>12</v>
      </c>
    </row>
    <row r="2271" spans="1:15" x14ac:dyDescent="0.25">
      <c r="A2271" s="35">
        <v>1145617307</v>
      </c>
      <c r="B2271" s="35" t="s">
        <v>3721</v>
      </c>
      <c r="C2271" s="35">
        <v>2024</v>
      </c>
      <c r="D2271" s="36">
        <v>45335.5</v>
      </c>
      <c r="E2271" s="37" t="s">
        <v>2622</v>
      </c>
      <c r="F2271" s="37" t="s">
        <v>5231</v>
      </c>
      <c r="G2271" s="37" t="s">
        <v>3886</v>
      </c>
      <c r="H2271" s="35" t="s">
        <v>3419</v>
      </c>
      <c r="I2271" s="35" t="s">
        <v>3416</v>
      </c>
      <c r="J2271" s="38">
        <v>1.72</v>
      </c>
      <c r="K2271" s="35">
        <v>1</v>
      </c>
      <c r="L2271" s="38">
        <f t="shared" si="35"/>
        <v>1.72</v>
      </c>
      <c r="M2271" s="35" t="s">
        <v>11</v>
      </c>
      <c r="N2271" s="38"/>
      <c r="O2271" s="35" t="s">
        <v>12</v>
      </c>
    </row>
    <row r="2272" spans="1:15" x14ac:dyDescent="0.25">
      <c r="A2272" s="35">
        <v>1145617302</v>
      </c>
      <c r="B2272" s="35" t="s">
        <v>3721</v>
      </c>
      <c r="C2272" s="35">
        <v>2024</v>
      </c>
      <c r="D2272" s="36">
        <v>45335.5</v>
      </c>
      <c r="E2272" s="37" t="s">
        <v>2625</v>
      </c>
      <c r="F2272" s="37" t="s">
        <v>5231</v>
      </c>
      <c r="G2272" s="37" t="s">
        <v>3886</v>
      </c>
      <c r="H2272" s="35" t="s">
        <v>3419</v>
      </c>
      <c r="I2272" s="35" t="s">
        <v>3416</v>
      </c>
      <c r="J2272" s="38">
        <v>1.72</v>
      </c>
      <c r="K2272" s="35">
        <v>1</v>
      </c>
      <c r="L2272" s="38">
        <f t="shared" si="35"/>
        <v>1.72</v>
      </c>
      <c r="M2272" s="35" t="s">
        <v>11</v>
      </c>
      <c r="N2272" s="38"/>
      <c r="O2272" s="35" t="s">
        <v>12</v>
      </c>
    </row>
    <row r="2273" spans="1:15" x14ac:dyDescent="0.25">
      <c r="A2273" s="35">
        <v>1145607221</v>
      </c>
      <c r="B2273" s="35" t="s">
        <v>3721</v>
      </c>
      <c r="C2273" s="35">
        <v>2024</v>
      </c>
      <c r="D2273" s="36">
        <v>45335.5</v>
      </c>
      <c r="E2273" s="37" t="s">
        <v>2627</v>
      </c>
      <c r="F2273" s="37" t="s">
        <v>3771</v>
      </c>
      <c r="G2273" s="37" t="s">
        <v>3772</v>
      </c>
      <c r="H2273" s="35" t="s">
        <v>3419</v>
      </c>
      <c r="I2273" s="35" t="s">
        <v>3416</v>
      </c>
      <c r="J2273" s="38">
        <v>1.51</v>
      </c>
      <c r="K2273" s="35">
        <v>2</v>
      </c>
      <c r="L2273" s="38">
        <f t="shared" si="35"/>
        <v>3.02</v>
      </c>
      <c r="M2273" s="35" t="s">
        <v>11</v>
      </c>
      <c r="N2273" s="38"/>
      <c r="O2273" s="35" t="s">
        <v>12</v>
      </c>
    </row>
    <row r="2274" spans="1:15" x14ac:dyDescent="0.25">
      <c r="A2274" s="35">
        <v>1145591681</v>
      </c>
      <c r="B2274" s="35" t="s">
        <v>3721</v>
      </c>
      <c r="C2274" s="35">
        <v>2024</v>
      </c>
      <c r="D2274" s="36">
        <v>45335.281828703701</v>
      </c>
      <c r="E2274" s="37" t="s">
        <v>2629</v>
      </c>
      <c r="F2274" s="37" t="s">
        <v>4453</v>
      </c>
      <c r="G2274" s="37" t="s">
        <v>5232</v>
      </c>
      <c r="H2274" s="35" t="s">
        <v>3415</v>
      </c>
      <c r="I2274" s="35" t="s">
        <v>3416</v>
      </c>
      <c r="J2274" s="38">
        <v>4.1875</v>
      </c>
      <c r="K2274" s="35">
        <v>4</v>
      </c>
      <c r="L2274" s="38">
        <f t="shared" si="35"/>
        <v>16.75</v>
      </c>
      <c r="M2274" s="35" t="s">
        <v>11</v>
      </c>
      <c r="N2274" s="38"/>
      <c r="O2274" s="35" t="s">
        <v>12</v>
      </c>
    </row>
    <row r="2275" spans="1:15" x14ac:dyDescent="0.25">
      <c r="A2275" s="35">
        <v>1145214768</v>
      </c>
      <c r="B2275" s="35" t="s">
        <v>3721</v>
      </c>
      <c r="C2275" s="35">
        <v>2024</v>
      </c>
      <c r="D2275" s="36">
        <v>45332.820416666669</v>
      </c>
      <c r="E2275" s="37" t="s">
        <v>1705</v>
      </c>
      <c r="F2275" s="37" t="s">
        <v>5235</v>
      </c>
      <c r="G2275" s="37" t="s">
        <v>3755</v>
      </c>
      <c r="H2275" s="35" t="s">
        <v>3419</v>
      </c>
      <c r="I2275" s="35" t="s">
        <v>3416</v>
      </c>
      <c r="J2275" s="38">
        <v>16.170000000000002</v>
      </c>
      <c r="K2275" s="35">
        <v>1</v>
      </c>
      <c r="L2275" s="38">
        <f t="shared" si="35"/>
        <v>16.170000000000002</v>
      </c>
      <c r="M2275" s="35" t="s">
        <v>11</v>
      </c>
      <c r="N2275" s="38"/>
      <c r="O2275" s="35" t="s">
        <v>12</v>
      </c>
    </row>
    <row r="2276" spans="1:15" x14ac:dyDescent="0.25">
      <c r="A2276" s="35">
        <v>1145048347</v>
      </c>
      <c r="B2276" s="35" t="s">
        <v>3721</v>
      </c>
      <c r="C2276" s="35">
        <v>2024</v>
      </c>
      <c r="D2276" s="36">
        <v>45331.287905092591</v>
      </c>
      <c r="E2276" s="37" t="s">
        <v>8</v>
      </c>
      <c r="F2276" s="37" t="s">
        <v>4695</v>
      </c>
      <c r="G2276" s="37" t="s">
        <v>3751</v>
      </c>
      <c r="H2276" s="35" t="s">
        <v>3415</v>
      </c>
      <c r="I2276" s="35" t="s">
        <v>3416</v>
      </c>
      <c r="J2276" s="38">
        <v>9.5</v>
      </c>
      <c r="K2276" s="35">
        <v>4</v>
      </c>
      <c r="L2276" s="38">
        <f t="shared" si="35"/>
        <v>38</v>
      </c>
      <c r="M2276" s="42" t="s">
        <v>11</v>
      </c>
      <c r="N2276" s="38"/>
      <c r="O2276" s="35" t="s">
        <v>12</v>
      </c>
    </row>
    <row r="2277" spans="1:15" x14ac:dyDescent="0.25">
      <c r="A2277" s="35">
        <v>1145002820</v>
      </c>
      <c r="B2277" s="35" t="s">
        <v>3721</v>
      </c>
      <c r="C2277" s="35">
        <v>2024</v>
      </c>
      <c r="D2277" s="36">
        <v>45330.834097222221</v>
      </c>
      <c r="E2277" s="37" t="s">
        <v>2639</v>
      </c>
      <c r="F2277" s="37" t="s">
        <v>5236</v>
      </c>
      <c r="G2277" s="37" t="s">
        <v>3710</v>
      </c>
      <c r="H2277" s="35" t="s">
        <v>3415</v>
      </c>
      <c r="I2277" s="35" t="s">
        <v>3416</v>
      </c>
      <c r="J2277" s="38">
        <v>207.48</v>
      </c>
      <c r="K2277" s="35">
        <v>1</v>
      </c>
      <c r="L2277" s="38">
        <f t="shared" si="35"/>
        <v>207.48</v>
      </c>
      <c r="M2277" s="35" t="s">
        <v>11</v>
      </c>
      <c r="N2277" s="38"/>
      <c r="O2277" s="35" t="s">
        <v>12</v>
      </c>
    </row>
    <row r="2278" spans="1:15" x14ac:dyDescent="0.25">
      <c r="A2278" s="35">
        <v>1144803180</v>
      </c>
      <c r="B2278" s="35" t="s">
        <v>3721</v>
      </c>
      <c r="C2278" s="35">
        <v>2024</v>
      </c>
      <c r="D2278" s="36">
        <v>45329.415520833332</v>
      </c>
      <c r="E2278" s="37" t="s">
        <v>2649</v>
      </c>
      <c r="F2278" s="37" t="s">
        <v>4846</v>
      </c>
      <c r="G2278" s="37" t="s">
        <v>3714</v>
      </c>
      <c r="H2278" s="35" t="s">
        <v>3419</v>
      </c>
      <c r="I2278" s="35" t="s">
        <v>3416</v>
      </c>
      <c r="J2278" s="38">
        <v>5.2840047904191616</v>
      </c>
      <c r="K2278" s="35">
        <v>1</v>
      </c>
      <c r="L2278" s="38">
        <f t="shared" si="35"/>
        <v>5.2840047904191616</v>
      </c>
      <c r="M2278" s="35" t="s">
        <v>11</v>
      </c>
      <c r="N2278" s="38"/>
      <c r="O2278" s="35" t="s">
        <v>12</v>
      </c>
    </row>
    <row r="2279" spans="1:15" x14ac:dyDescent="0.25">
      <c r="A2279" s="35">
        <v>1144803180</v>
      </c>
      <c r="B2279" s="35" t="s">
        <v>3721</v>
      </c>
      <c r="C2279" s="35">
        <v>2024</v>
      </c>
      <c r="D2279" s="36">
        <v>45329.415520833332</v>
      </c>
      <c r="E2279" s="37" t="s">
        <v>2649</v>
      </c>
      <c r="F2279" s="37" t="s">
        <v>4239</v>
      </c>
      <c r="G2279" s="37" t="s">
        <v>3714</v>
      </c>
      <c r="H2279" s="35" t="s">
        <v>3419</v>
      </c>
      <c r="I2279" s="35" t="s">
        <v>3416</v>
      </c>
      <c r="J2279" s="38">
        <v>5.2840047904191616</v>
      </c>
      <c r="K2279" s="35">
        <v>1</v>
      </c>
      <c r="L2279" s="38">
        <f t="shared" si="35"/>
        <v>5.2840047904191616</v>
      </c>
      <c r="M2279" s="35" t="s">
        <v>11</v>
      </c>
      <c r="N2279" s="38"/>
      <c r="O2279" s="35" t="s">
        <v>12</v>
      </c>
    </row>
    <row r="2280" spans="1:15" x14ac:dyDescent="0.25">
      <c r="A2280" s="35">
        <v>1144803180</v>
      </c>
      <c r="B2280" s="35" t="s">
        <v>3721</v>
      </c>
      <c r="C2280" s="35">
        <v>2024</v>
      </c>
      <c r="D2280" s="36">
        <v>45329.415520833332</v>
      </c>
      <c r="E2280" s="37" t="s">
        <v>2649</v>
      </c>
      <c r="F2280" s="37" t="s">
        <v>5239</v>
      </c>
      <c r="G2280" s="37" t="s">
        <v>3714</v>
      </c>
      <c r="H2280" s="35" t="s">
        <v>3419</v>
      </c>
      <c r="I2280" s="35" t="s">
        <v>3416</v>
      </c>
      <c r="J2280" s="38">
        <v>4.7254419161676653</v>
      </c>
      <c r="K2280" s="35">
        <v>1</v>
      </c>
      <c r="L2280" s="38">
        <f t="shared" si="35"/>
        <v>4.7254419161676653</v>
      </c>
      <c r="M2280" s="35" t="s">
        <v>11</v>
      </c>
      <c r="N2280" s="38"/>
      <c r="O2280" s="35" t="s">
        <v>12</v>
      </c>
    </row>
    <row r="2281" spans="1:15" x14ac:dyDescent="0.25">
      <c r="A2281" s="35">
        <v>1144803180</v>
      </c>
      <c r="B2281" s="35" t="s">
        <v>3721</v>
      </c>
      <c r="C2281" s="35">
        <v>2024</v>
      </c>
      <c r="D2281" s="36">
        <v>45329.415520833332</v>
      </c>
      <c r="E2281" s="37" t="s">
        <v>2649</v>
      </c>
      <c r="F2281" s="37" t="s">
        <v>5164</v>
      </c>
      <c r="G2281" s="37" t="s">
        <v>3714</v>
      </c>
      <c r="H2281" s="35" t="s">
        <v>3419</v>
      </c>
      <c r="I2281" s="35" t="s">
        <v>3416</v>
      </c>
      <c r="J2281" s="38">
        <v>4.7254419161676653</v>
      </c>
      <c r="K2281" s="35">
        <v>1</v>
      </c>
      <c r="L2281" s="38">
        <f t="shared" si="35"/>
        <v>4.7254419161676653</v>
      </c>
      <c r="M2281" s="35" t="s">
        <v>11</v>
      </c>
      <c r="N2281" s="38"/>
      <c r="O2281" s="35" t="s">
        <v>12</v>
      </c>
    </row>
    <row r="2282" spans="1:15" x14ac:dyDescent="0.25">
      <c r="A2282" s="35">
        <v>1144803180</v>
      </c>
      <c r="B2282" s="35" t="s">
        <v>3721</v>
      </c>
      <c r="C2282" s="35">
        <v>2024</v>
      </c>
      <c r="D2282" s="36">
        <v>45329.415520833332</v>
      </c>
      <c r="E2282" s="37" t="s">
        <v>2649</v>
      </c>
      <c r="F2282" s="37" t="s">
        <v>4589</v>
      </c>
      <c r="G2282" s="37" t="s">
        <v>3714</v>
      </c>
      <c r="H2282" s="35" t="s">
        <v>3419</v>
      </c>
      <c r="I2282" s="35" t="s">
        <v>3416</v>
      </c>
      <c r="J2282" s="38">
        <v>4.7254419161676653</v>
      </c>
      <c r="K2282" s="35">
        <v>1</v>
      </c>
      <c r="L2282" s="38">
        <f t="shared" si="35"/>
        <v>4.7254419161676653</v>
      </c>
      <c r="M2282" s="35" t="s">
        <v>11</v>
      </c>
      <c r="N2282" s="38"/>
      <c r="O2282" s="35" t="s">
        <v>12</v>
      </c>
    </row>
    <row r="2283" spans="1:15" x14ac:dyDescent="0.25">
      <c r="A2283" s="35">
        <v>1144803180</v>
      </c>
      <c r="B2283" s="35" t="s">
        <v>3721</v>
      </c>
      <c r="C2283" s="35">
        <v>2024</v>
      </c>
      <c r="D2283" s="36">
        <v>45329.415520833332</v>
      </c>
      <c r="E2283" s="37" t="s">
        <v>2649</v>
      </c>
      <c r="F2283" s="37" t="s">
        <v>5240</v>
      </c>
      <c r="G2283" s="37" t="s">
        <v>3714</v>
      </c>
      <c r="H2283" s="35" t="s">
        <v>3419</v>
      </c>
      <c r="I2283" s="35" t="s">
        <v>3416</v>
      </c>
      <c r="J2283" s="38">
        <v>4.1445365269461076</v>
      </c>
      <c r="K2283" s="35">
        <v>1</v>
      </c>
      <c r="L2283" s="38">
        <f t="shared" si="35"/>
        <v>4.1445365269461076</v>
      </c>
      <c r="M2283" s="35" t="s">
        <v>11</v>
      </c>
      <c r="N2283" s="38"/>
      <c r="O2283" s="35" t="s">
        <v>12</v>
      </c>
    </row>
    <row r="2284" spans="1:15" x14ac:dyDescent="0.25">
      <c r="A2284" s="35">
        <v>1144803180</v>
      </c>
      <c r="B2284" s="35" t="s">
        <v>3721</v>
      </c>
      <c r="C2284" s="35">
        <v>2024</v>
      </c>
      <c r="D2284" s="36">
        <v>45329.415520833332</v>
      </c>
      <c r="E2284" s="37" t="s">
        <v>2649</v>
      </c>
      <c r="F2284" s="37" t="s">
        <v>4590</v>
      </c>
      <c r="G2284" s="37" t="s">
        <v>3714</v>
      </c>
      <c r="H2284" s="35" t="s">
        <v>3419</v>
      </c>
      <c r="I2284" s="35" t="s">
        <v>3416</v>
      </c>
      <c r="J2284" s="38">
        <v>3.8764263473053888</v>
      </c>
      <c r="K2284" s="35">
        <v>1</v>
      </c>
      <c r="L2284" s="38">
        <f t="shared" si="35"/>
        <v>3.8764263473053888</v>
      </c>
      <c r="M2284" s="35" t="s">
        <v>11</v>
      </c>
      <c r="N2284" s="38"/>
      <c r="O2284" s="35" t="s">
        <v>12</v>
      </c>
    </row>
    <row r="2285" spans="1:15" x14ac:dyDescent="0.25">
      <c r="A2285" s="35">
        <v>1144803180</v>
      </c>
      <c r="B2285" s="35" t="s">
        <v>3721</v>
      </c>
      <c r="C2285" s="35">
        <v>2024</v>
      </c>
      <c r="D2285" s="36">
        <v>45329.415520833332</v>
      </c>
      <c r="E2285" s="37" t="s">
        <v>2649</v>
      </c>
      <c r="F2285" s="37" t="s">
        <v>4129</v>
      </c>
      <c r="G2285" s="37" t="s">
        <v>3714</v>
      </c>
      <c r="H2285" s="35" t="s">
        <v>3419</v>
      </c>
      <c r="I2285" s="35" t="s">
        <v>3416</v>
      </c>
      <c r="J2285" s="38">
        <v>4.7142706586826346</v>
      </c>
      <c r="K2285" s="35">
        <v>1</v>
      </c>
      <c r="L2285" s="38">
        <f t="shared" si="35"/>
        <v>4.7142706586826346</v>
      </c>
      <c r="M2285" s="35" t="s">
        <v>11</v>
      </c>
      <c r="N2285" s="38"/>
      <c r="O2285" s="35" t="s">
        <v>12</v>
      </c>
    </row>
    <row r="2286" spans="1:15" x14ac:dyDescent="0.25">
      <c r="A2286" s="35">
        <v>1144803180</v>
      </c>
      <c r="B2286" s="35" t="s">
        <v>3721</v>
      </c>
      <c r="C2286" s="35">
        <v>2024</v>
      </c>
      <c r="D2286" s="36">
        <v>45329.415520833332</v>
      </c>
      <c r="E2286" s="37" t="s">
        <v>2649</v>
      </c>
      <c r="F2286" s="37" t="s">
        <v>3750</v>
      </c>
      <c r="G2286" s="37" t="s">
        <v>3714</v>
      </c>
      <c r="H2286" s="35" t="s">
        <v>3419</v>
      </c>
      <c r="I2286" s="35" t="s">
        <v>3416</v>
      </c>
      <c r="J2286" s="38">
        <v>3.8764263473053888</v>
      </c>
      <c r="K2286" s="35">
        <v>1</v>
      </c>
      <c r="L2286" s="38">
        <f t="shared" si="35"/>
        <v>3.8764263473053888</v>
      </c>
      <c r="M2286" s="35" t="s">
        <v>11</v>
      </c>
      <c r="N2286" s="38"/>
      <c r="O2286" s="35" t="s">
        <v>12</v>
      </c>
    </row>
    <row r="2287" spans="1:15" x14ac:dyDescent="0.25">
      <c r="A2287" s="35">
        <v>1144803180</v>
      </c>
      <c r="B2287" s="35" t="s">
        <v>3721</v>
      </c>
      <c r="C2287" s="35">
        <v>2024</v>
      </c>
      <c r="D2287" s="36">
        <v>45329.415520833332</v>
      </c>
      <c r="E2287" s="37" t="s">
        <v>2649</v>
      </c>
      <c r="F2287" s="37" t="s">
        <v>4363</v>
      </c>
      <c r="G2287" s="37" t="s">
        <v>3714</v>
      </c>
      <c r="H2287" s="35" t="s">
        <v>3419</v>
      </c>
      <c r="I2287" s="35" t="s">
        <v>3416</v>
      </c>
      <c r="J2287" s="38">
        <v>5.2840047904191616</v>
      </c>
      <c r="K2287" s="35">
        <v>1</v>
      </c>
      <c r="L2287" s="38">
        <f t="shared" si="35"/>
        <v>5.2840047904191616</v>
      </c>
      <c r="M2287" s="35" t="s">
        <v>11</v>
      </c>
      <c r="N2287" s="38"/>
      <c r="O2287" s="35" t="s">
        <v>12</v>
      </c>
    </row>
    <row r="2288" spans="1:15" x14ac:dyDescent="0.25">
      <c r="A2288" s="35">
        <v>1144413764</v>
      </c>
      <c r="B2288" s="35" t="s">
        <v>3721</v>
      </c>
      <c r="C2288" s="35">
        <v>2024</v>
      </c>
      <c r="D2288" s="36">
        <v>45326.736446759263</v>
      </c>
      <c r="E2288" s="37" t="s">
        <v>318</v>
      </c>
      <c r="F2288" s="37" t="s">
        <v>5241</v>
      </c>
      <c r="G2288" s="37" t="s">
        <v>3714</v>
      </c>
      <c r="H2288" s="35" t="s">
        <v>3415</v>
      </c>
      <c r="I2288" s="35" t="s">
        <v>3416</v>
      </c>
      <c r="J2288" s="38">
        <v>2.6428068410462782</v>
      </c>
      <c r="K2288" s="35">
        <v>4</v>
      </c>
      <c r="L2288" s="38">
        <f t="shared" si="35"/>
        <v>10.571227364185113</v>
      </c>
      <c r="M2288" s="35" t="s">
        <v>11</v>
      </c>
      <c r="N2288" s="38"/>
      <c r="O2288" s="35" t="s">
        <v>12</v>
      </c>
    </row>
    <row r="2289" spans="1:15" x14ac:dyDescent="0.25">
      <c r="A2289" s="35">
        <v>1144413764</v>
      </c>
      <c r="B2289" s="35" t="s">
        <v>3721</v>
      </c>
      <c r="C2289" s="35">
        <v>2024</v>
      </c>
      <c r="D2289" s="36">
        <v>45326.736446759263</v>
      </c>
      <c r="E2289" s="37" t="s">
        <v>318</v>
      </c>
      <c r="F2289" s="37" t="s">
        <v>5242</v>
      </c>
      <c r="G2289" s="37" t="s">
        <v>3751</v>
      </c>
      <c r="H2289" s="35" t="s">
        <v>3415</v>
      </c>
      <c r="I2289" s="35" t="s">
        <v>3416</v>
      </c>
      <c r="J2289" s="38">
        <v>2.1121227364185109</v>
      </c>
      <c r="K2289" s="35">
        <v>4</v>
      </c>
      <c r="L2289" s="38">
        <f t="shared" si="35"/>
        <v>8.4484909456740436</v>
      </c>
      <c r="M2289" s="35" t="s">
        <v>11</v>
      </c>
      <c r="N2289" s="38"/>
      <c r="O2289" s="35" t="s">
        <v>12</v>
      </c>
    </row>
    <row r="2290" spans="1:15" x14ac:dyDescent="0.25">
      <c r="A2290" s="35">
        <v>1144413764</v>
      </c>
      <c r="B2290" s="35" t="s">
        <v>3721</v>
      </c>
      <c r="C2290" s="35">
        <v>2024</v>
      </c>
      <c r="D2290" s="36">
        <v>45326.736446759263</v>
      </c>
      <c r="E2290" s="37" t="s">
        <v>318</v>
      </c>
      <c r="F2290" s="37" t="s">
        <v>5243</v>
      </c>
      <c r="G2290" s="37" t="s">
        <v>3751</v>
      </c>
      <c r="H2290" s="35" t="s">
        <v>3415</v>
      </c>
      <c r="I2290" s="35" t="s">
        <v>3416</v>
      </c>
      <c r="J2290" s="38">
        <v>0.5200704225352113</v>
      </c>
      <c r="K2290" s="35">
        <v>4</v>
      </c>
      <c r="L2290" s="38">
        <f t="shared" si="35"/>
        <v>2.0802816901408452</v>
      </c>
      <c r="M2290" s="35" t="s">
        <v>11</v>
      </c>
      <c r="N2290" s="38"/>
      <c r="O2290" s="35" t="s">
        <v>12</v>
      </c>
    </row>
    <row r="2291" spans="1:15" x14ac:dyDescent="0.25">
      <c r="A2291" s="35">
        <v>1143914908</v>
      </c>
      <c r="B2291" s="35" t="s">
        <v>3761</v>
      </c>
      <c r="C2291" s="35">
        <v>2024</v>
      </c>
      <c r="D2291" s="36">
        <v>45322.541446759264</v>
      </c>
      <c r="E2291" s="37" t="s">
        <v>340</v>
      </c>
      <c r="F2291" s="37" t="s">
        <v>5246</v>
      </c>
      <c r="G2291" s="37" t="s">
        <v>3963</v>
      </c>
      <c r="H2291" s="35" t="s">
        <v>3419</v>
      </c>
      <c r="I2291" s="35" t="s">
        <v>3416</v>
      </c>
      <c r="J2291" s="38">
        <v>0.55626205191594558</v>
      </c>
      <c r="K2291" s="35">
        <v>1</v>
      </c>
      <c r="L2291" s="38">
        <f t="shared" si="35"/>
        <v>0.55626205191594558</v>
      </c>
      <c r="M2291" s="35" t="s">
        <v>11</v>
      </c>
      <c r="N2291" s="38"/>
      <c r="O2291" s="35" t="s">
        <v>12</v>
      </c>
    </row>
    <row r="2292" spans="1:15" x14ac:dyDescent="0.25">
      <c r="A2292" s="35">
        <v>1143914908</v>
      </c>
      <c r="B2292" s="35" t="s">
        <v>3761</v>
      </c>
      <c r="C2292" s="35">
        <v>2024</v>
      </c>
      <c r="D2292" s="36">
        <v>45322.541446759264</v>
      </c>
      <c r="E2292" s="37" t="s">
        <v>340</v>
      </c>
      <c r="F2292" s="37" t="s">
        <v>5247</v>
      </c>
      <c r="G2292" s="37" t="s">
        <v>4019</v>
      </c>
      <c r="H2292" s="35" t="s">
        <v>3415</v>
      </c>
      <c r="I2292" s="35" t="s">
        <v>3416</v>
      </c>
      <c r="J2292" s="38">
        <v>11.340934487021009</v>
      </c>
      <c r="K2292" s="35">
        <v>4</v>
      </c>
      <c r="L2292" s="38">
        <f t="shared" si="35"/>
        <v>45.363737948084037</v>
      </c>
      <c r="M2292" s="35" t="s">
        <v>11</v>
      </c>
      <c r="N2292" s="38"/>
      <c r="O2292" s="35" t="s">
        <v>12</v>
      </c>
    </row>
    <row r="2293" spans="1:15" x14ac:dyDescent="0.25">
      <c r="A2293" s="35">
        <v>1143910475</v>
      </c>
      <c r="B2293" s="35" t="s">
        <v>3761</v>
      </c>
      <c r="C2293" s="35">
        <v>2024</v>
      </c>
      <c r="D2293" s="36">
        <v>45322.536828703713</v>
      </c>
      <c r="E2293" s="37" t="s">
        <v>294</v>
      </c>
      <c r="F2293" s="37" t="s">
        <v>5227</v>
      </c>
      <c r="G2293" s="37" t="s">
        <v>4326</v>
      </c>
      <c r="H2293" s="35" t="s">
        <v>3419</v>
      </c>
      <c r="I2293" s="35" t="s">
        <v>3530</v>
      </c>
      <c r="J2293" s="38">
        <v>0.51617647058823535</v>
      </c>
      <c r="K2293" s="35">
        <v>2</v>
      </c>
      <c r="L2293" s="38">
        <f t="shared" si="35"/>
        <v>1.0323529411764707</v>
      </c>
      <c r="M2293" s="35" t="s">
        <v>11</v>
      </c>
      <c r="N2293" s="38"/>
      <c r="O2293" s="35" t="s">
        <v>12</v>
      </c>
    </row>
    <row r="2294" spans="1:15" x14ac:dyDescent="0.25">
      <c r="A2294" s="35">
        <v>1143910475</v>
      </c>
      <c r="B2294" s="35" t="s">
        <v>3761</v>
      </c>
      <c r="C2294" s="35">
        <v>2024</v>
      </c>
      <c r="D2294" s="36">
        <v>45322.536828703713</v>
      </c>
      <c r="E2294" s="37" t="s">
        <v>294</v>
      </c>
      <c r="F2294" s="37" t="s">
        <v>5250</v>
      </c>
      <c r="G2294" s="37" t="s">
        <v>4156</v>
      </c>
      <c r="H2294" s="35" t="s">
        <v>3415</v>
      </c>
      <c r="I2294" s="35" t="s">
        <v>3416</v>
      </c>
      <c r="J2294" s="38">
        <v>0.1605882352941177</v>
      </c>
      <c r="K2294" s="35">
        <v>4</v>
      </c>
      <c r="L2294" s="38">
        <f t="shared" si="35"/>
        <v>0.64235294117647079</v>
      </c>
      <c r="M2294" s="35" t="s">
        <v>11</v>
      </c>
      <c r="N2294" s="38"/>
      <c r="O2294" s="35" t="s">
        <v>12</v>
      </c>
    </row>
    <row r="2295" spans="1:15" ht="30" x14ac:dyDescent="0.25">
      <c r="A2295" s="35">
        <v>1143910475</v>
      </c>
      <c r="B2295" s="35" t="s">
        <v>3761</v>
      </c>
      <c r="C2295" s="35">
        <v>2024</v>
      </c>
      <c r="D2295" s="36">
        <v>45322.536828703713</v>
      </c>
      <c r="E2295" s="37" t="s">
        <v>294</v>
      </c>
      <c r="F2295" s="37" t="s">
        <v>4152</v>
      </c>
      <c r="G2295" s="37" t="s">
        <v>5226</v>
      </c>
      <c r="H2295" s="35" t="s">
        <v>3419</v>
      </c>
      <c r="I2295" s="35" t="s">
        <v>3416</v>
      </c>
      <c r="J2295" s="38">
        <v>0.2752941176470588</v>
      </c>
      <c r="K2295" s="35">
        <v>2</v>
      </c>
      <c r="L2295" s="38">
        <f t="shared" si="35"/>
        <v>0.5505882352941176</v>
      </c>
      <c r="M2295" s="35" t="s">
        <v>11</v>
      </c>
      <c r="N2295" s="38"/>
      <c r="O2295" s="35" t="s">
        <v>12</v>
      </c>
    </row>
    <row r="2296" spans="1:15" x14ac:dyDescent="0.25">
      <c r="A2296" s="35">
        <v>1143910475</v>
      </c>
      <c r="B2296" s="35" t="s">
        <v>3761</v>
      </c>
      <c r="C2296" s="35">
        <v>2024</v>
      </c>
      <c r="D2296" s="36">
        <v>45322.536828703713</v>
      </c>
      <c r="E2296" s="37" t="s">
        <v>294</v>
      </c>
      <c r="F2296" s="37" t="s">
        <v>5251</v>
      </c>
      <c r="G2296" s="37" t="s">
        <v>4326</v>
      </c>
      <c r="H2296" s="35" t="s">
        <v>3419</v>
      </c>
      <c r="I2296" s="35" t="s">
        <v>3416</v>
      </c>
      <c r="J2296" s="38">
        <v>0.74558823529411766</v>
      </c>
      <c r="K2296" s="35">
        <v>2</v>
      </c>
      <c r="L2296" s="38">
        <f t="shared" si="35"/>
        <v>1.4911764705882353</v>
      </c>
      <c r="M2296" s="35" t="s">
        <v>11</v>
      </c>
      <c r="N2296" s="38"/>
      <c r="O2296" s="35" t="s">
        <v>12</v>
      </c>
    </row>
    <row r="2297" spans="1:15" x14ac:dyDescent="0.25">
      <c r="A2297" s="35">
        <v>1143910475</v>
      </c>
      <c r="B2297" s="35" t="s">
        <v>3761</v>
      </c>
      <c r="C2297" s="35">
        <v>2024</v>
      </c>
      <c r="D2297" s="36">
        <v>45322.536828703713</v>
      </c>
      <c r="E2297" s="37" t="s">
        <v>294</v>
      </c>
      <c r="F2297" s="37" t="s">
        <v>5252</v>
      </c>
      <c r="G2297" s="37" t="s">
        <v>3529</v>
      </c>
      <c r="H2297" s="35" t="s">
        <v>3419</v>
      </c>
      <c r="I2297" s="35" t="s">
        <v>3530</v>
      </c>
      <c r="J2297" s="38">
        <v>0.1376470588235294</v>
      </c>
      <c r="K2297" s="35">
        <v>2</v>
      </c>
      <c r="L2297" s="38">
        <f t="shared" si="35"/>
        <v>0.2752941176470588</v>
      </c>
      <c r="M2297" s="35" t="s">
        <v>11</v>
      </c>
      <c r="N2297" s="38"/>
      <c r="O2297" s="35" t="s">
        <v>12</v>
      </c>
    </row>
    <row r="2298" spans="1:15" x14ac:dyDescent="0.25">
      <c r="A2298" s="35">
        <v>1143910475</v>
      </c>
      <c r="B2298" s="35" t="s">
        <v>3761</v>
      </c>
      <c r="C2298" s="35">
        <v>2024</v>
      </c>
      <c r="D2298" s="36">
        <v>45322.536828703713</v>
      </c>
      <c r="E2298" s="37" t="s">
        <v>294</v>
      </c>
      <c r="F2298" s="37" t="s">
        <v>5253</v>
      </c>
      <c r="G2298" s="37" t="s">
        <v>3529</v>
      </c>
      <c r="H2298" s="35" t="s">
        <v>3419</v>
      </c>
      <c r="I2298" s="35" t="s">
        <v>3416</v>
      </c>
      <c r="J2298" s="38">
        <v>0.1376470588235294</v>
      </c>
      <c r="K2298" s="35">
        <v>2</v>
      </c>
      <c r="L2298" s="38">
        <f t="shared" si="35"/>
        <v>0.2752941176470588</v>
      </c>
      <c r="M2298" s="35" t="s">
        <v>11</v>
      </c>
      <c r="N2298" s="38"/>
      <c r="O2298" s="35" t="s">
        <v>12</v>
      </c>
    </row>
    <row r="2299" spans="1:15" x14ac:dyDescent="0.25">
      <c r="A2299" s="35">
        <v>1143910475</v>
      </c>
      <c r="B2299" s="35" t="s">
        <v>3761</v>
      </c>
      <c r="C2299" s="35">
        <v>2024</v>
      </c>
      <c r="D2299" s="36">
        <v>45322.536828703713</v>
      </c>
      <c r="E2299" s="37" t="s">
        <v>294</v>
      </c>
      <c r="F2299" s="37" t="s">
        <v>5254</v>
      </c>
      <c r="G2299" s="37" t="s">
        <v>3720</v>
      </c>
      <c r="H2299" s="35" t="s">
        <v>3419</v>
      </c>
      <c r="I2299" s="35" t="s">
        <v>3416</v>
      </c>
      <c r="J2299" s="38">
        <v>0.28676470588235292</v>
      </c>
      <c r="K2299" s="35">
        <v>2</v>
      </c>
      <c r="L2299" s="38">
        <f t="shared" si="35"/>
        <v>0.57352941176470584</v>
      </c>
      <c r="M2299" s="35" t="s">
        <v>11</v>
      </c>
      <c r="N2299" s="38"/>
      <c r="O2299" s="35" t="s">
        <v>12</v>
      </c>
    </row>
    <row r="2300" spans="1:15" x14ac:dyDescent="0.25">
      <c r="A2300" s="35">
        <v>1143910475</v>
      </c>
      <c r="B2300" s="35" t="s">
        <v>3761</v>
      </c>
      <c r="C2300" s="35">
        <v>2024</v>
      </c>
      <c r="D2300" s="36">
        <v>45322.536828703713</v>
      </c>
      <c r="E2300" s="37" t="s">
        <v>294</v>
      </c>
      <c r="F2300" s="37" t="s">
        <v>5255</v>
      </c>
      <c r="G2300" s="37" t="s">
        <v>3718</v>
      </c>
      <c r="H2300" s="35" t="s">
        <v>3419</v>
      </c>
      <c r="I2300" s="35" t="s">
        <v>3416</v>
      </c>
      <c r="J2300" s="38">
        <v>0.1376470588235294</v>
      </c>
      <c r="K2300" s="35">
        <v>2</v>
      </c>
      <c r="L2300" s="38">
        <f t="shared" si="35"/>
        <v>0.2752941176470588</v>
      </c>
      <c r="M2300" s="35" t="s">
        <v>11</v>
      </c>
      <c r="N2300" s="38"/>
      <c r="O2300" s="35" t="s">
        <v>12</v>
      </c>
    </row>
    <row r="2301" spans="1:15" x14ac:dyDescent="0.25">
      <c r="A2301" s="35">
        <v>1143910475</v>
      </c>
      <c r="B2301" s="35" t="s">
        <v>3761</v>
      </c>
      <c r="C2301" s="35">
        <v>2024</v>
      </c>
      <c r="D2301" s="36">
        <v>45322.536828703713</v>
      </c>
      <c r="E2301" s="37" t="s">
        <v>294</v>
      </c>
      <c r="F2301" s="37" t="s">
        <v>5256</v>
      </c>
      <c r="G2301" s="37" t="s">
        <v>3916</v>
      </c>
      <c r="H2301" s="35" t="s">
        <v>3415</v>
      </c>
      <c r="I2301" s="35" t="s">
        <v>3416</v>
      </c>
      <c r="J2301" s="38">
        <v>0.1605882352941177</v>
      </c>
      <c r="K2301" s="35">
        <v>4</v>
      </c>
      <c r="L2301" s="38">
        <f t="shared" si="35"/>
        <v>0.64235294117647079</v>
      </c>
      <c r="M2301" s="35" t="s">
        <v>11</v>
      </c>
      <c r="N2301" s="38"/>
      <c r="O2301" s="35" t="s">
        <v>12</v>
      </c>
    </row>
    <row r="2302" spans="1:15" x14ac:dyDescent="0.25">
      <c r="A2302" s="35">
        <v>1143910475</v>
      </c>
      <c r="B2302" s="35" t="s">
        <v>3761</v>
      </c>
      <c r="C2302" s="35">
        <v>2024</v>
      </c>
      <c r="D2302" s="36">
        <v>45322.536828703713</v>
      </c>
      <c r="E2302" s="37" t="s">
        <v>294</v>
      </c>
      <c r="F2302" s="37" t="s">
        <v>5257</v>
      </c>
      <c r="G2302" s="37" t="s">
        <v>4147</v>
      </c>
      <c r="H2302" s="35" t="s">
        <v>3415</v>
      </c>
      <c r="I2302" s="35" t="s">
        <v>3416</v>
      </c>
      <c r="J2302" s="38">
        <v>0.2752941176470588</v>
      </c>
      <c r="K2302" s="35">
        <v>4</v>
      </c>
      <c r="L2302" s="38">
        <f t="shared" si="35"/>
        <v>1.1011764705882352</v>
      </c>
      <c r="M2302" s="35" t="s">
        <v>11</v>
      </c>
      <c r="N2302" s="38"/>
      <c r="O2302" s="35" t="s">
        <v>12</v>
      </c>
    </row>
    <row r="2303" spans="1:15" x14ac:dyDescent="0.25">
      <c r="A2303" s="35">
        <v>1143910475</v>
      </c>
      <c r="B2303" s="35" t="s">
        <v>3761</v>
      </c>
      <c r="C2303" s="35">
        <v>2024</v>
      </c>
      <c r="D2303" s="36">
        <v>45322.536828703713</v>
      </c>
      <c r="E2303" s="37" t="s">
        <v>294</v>
      </c>
      <c r="F2303" s="37" t="s">
        <v>5258</v>
      </c>
      <c r="G2303" s="37" t="s">
        <v>5259</v>
      </c>
      <c r="H2303" s="35" t="s">
        <v>3419</v>
      </c>
      <c r="I2303" s="35" t="s">
        <v>3416</v>
      </c>
      <c r="J2303" s="38">
        <v>0.2752941176470588</v>
      </c>
      <c r="K2303" s="35">
        <v>1</v>
      </c>
      <c r="L2303" s="38">
        <f t="shared" si="35"/>
        <v>0.2752941176470588</v>
      </c>
      <c r="M2303" s="35" t="s">
        <v>11</v>
      </c>
      <c r="N2303" s="38"/>
      <c r="O2303" s="35" t="s">
        <v>12</v>
      </c>
    </row>
    <row r="2304" spans="1:15" x14ac:dyDescent="0.25">
      <c r="A2304" s="35">
        <v>1143910475</v>
      </c>
      <c r="B2304" s="35" t="s">
        <v>3761</v>
      </c>
      <c r="C2304" s="35">
        <v>2024</v>
      </c>
      <c r="D2304" s="36">
        <v>45322.536828703713</v>
      </c>
      <c r="E2304" s="37" t="s">
        <v>294</v>
      </c>
      <c r="F2304" s="37" t="s">
        <v>5260</v>
      </c>
      <c r="G2304" s="37" t="s">
        <v>3945</v>
      </c>
      <c r="H2304" s="35" t="s">
        <v>3415</v>
      </c>
      <c r="I2304" s="35" t="s">
        <v>3416</v>
      </c>
      <c r="J2304" s="38">
        <v>0.86029411764705888</v>
      </c>
      <c r="K2304" s="35">
        <v>4</v>
      </c>
      <c r="L2304" s="38">
        <f t="shared" si="35"/>
        <v>3.4411764705882355</v>
      </c>
      <c r="M2304" s="35" t="s">
        <v>11</v>
      </c>
      <c r="N2304" s="38"/>
      <c r="O2304" s="35" t="s">
        <v>12</v>
      </c>
    </row>
    <row r="2305" spans="1:15" x14ac:dyDescent="0.25">
      <c r="A2305" s="35">
        <v>1143910475</v>
      </c>
      <c r="B2305" s="35" t="s">
        <v>3761</v>
      </c>
      <c r="C2305" s="35">
        <v>2024</v>
      </c>
      <c r="D2305" s="36">
        <v>45322.536828703713</v>
      </c>
      <c r="E2305" s="37" t="s">
        <v>294</v>
      </c>
      <c r="F2305" s="37" t="s">
        <v>5261</v>
      </c>
      <c r="G2305" s="37" t="s">
        <v>3648</v>
      </c>
      <c r="H2305" s="35" t="s">
        <v>3419</v>
      </c>
      <c r="I2305" s="35" t="s">
        <v>3416</v>
      </c>
      <c r="J2305" s="38">
        <v>0.1376470588235294</v>
      </c>
      <c r="K2305" s="35">
        <v>2</v>
      </c>
      <c r="L2305" s="38">
        <f t="shared" si="35"/>
        <v>0.2752941176470588</v>
      </c>
      <c r="M2305" s="35" t="s">
        <v>11</v>
      </c>
      <c r="N2305" s="38"/>
      <c r="O2305" s="35" t="s">
        <v>12</v>
      </c>
    </row>
    <row r="2306" spans="1:15" x14ac:dyDescent="0.25">
      <c r="A2306" s="35">
        <v>1143910475</v>
      </c>
      <c r="B2306" s="35" t="s">
        <v>3761</v>
      </c>
      <c r="C2306" s="35">
        <v>2024</v>
      </c>
      <c r="D2306" s="36">
        <v>45322.536828703713</v>
      </c>
      <c r="E2306" s="37" t="s">
        <v>294</v>
      </c>
      <c r="F2306" s="37" t="s">
        <v>5249</v>
      </c>
      <c r="G2306" s="37" t="s">
        <v>4326</v>
      </c>
      <c r="H2306" s="35" t="s">
        <v>3415</v>
      </c>
      <c r="I2306" s="35" t="s">
        <v>3416</v>
      </c>
      <c r="J2306" s="38">
        <v>1.0897058823529411</v>
      </c>
      <c r="K2306" s="35">
        <v>4</v>
      </c>
      <c r="L2306" s="38">
        <f t="shared" ref="L2306:L2369" si="36">J2306*K2306</f>
        <v>4.3588235294117643</v>
      </c>
      <c r="M2306" s="35" t="s">
        <v>11</v>
      </c>
      <c r="N2306" s="38"/>
      <c r="O2306" s="35" t="s">
        <v>12</v>
      </c>
    </row>
    <row r="2307" spans="1:15" x14ac:dyDescent="0.25">
      <c r="A2307" s="35">
        <v>1143738321</v>
      </c>
      <c r="B2307" s="35" t="s">
        <v>3761</v>
      </c>
      <c r="C2307" s="35">
        <v>2024</v>
      </c>
      <c r="D2307" s="36">
        <v>45320.962650462963</v>
      </c>
      <c r="E2307" s="37" t="s">
        <v>469</v>
      </c>
      <c r="F2307" s="37" t="s">
        <v>5262</v>
      </c>
      <c r="G2307" s="37" t="s">
        <v>4856</v>
      </c>
      <c r="H2307" s="35" t="s">
        <v>3419</v>
      </c>
      <c r="I2307" s="35" t="s">
        <v>3453</v>
      </c>
      <c r="J2307" s="38">
        <v>12.02535135135135</v>
      </c>
      <c r="K2307" s="35">
        <v>1</v>
      </c>
      <c r="L2307" s="38">
        <f t="shared" si="36"/>
        <v>12.02535135135135</v>
      </c>
      <c r="M2307" s="35" t="s">
        <v>11</v>
      </c>
      <c r="N2307" s="38"/>
      <c r="O2307" s="35" t="s">
        <v>12</v>
      </c>
    </row>
    <row r="2308" spans="1:15" x14ac:dyDescent="0.25">
      <c r="A2308" s="35">
        <v>1143738321</v>
      </c>
      <c r="B2308" s="35" t="s">
        <v>3761</v>
      </c>
      <c r="C2308" s="35">
        <v>2024</v>
      </c>
      <c r="D2308" s="36">
        <v>45320.962650462963</v>
      </c>
      <c r="E2308" s="37" t="s">
        <v>469</v>
      </c>
      <c r="F2308" s="37" t="s">
        <v>5263</v>
      </c>
      <c r="G2308" s="37" t="s">
        <v>3837</v>
      </c>
      <c r="H2308" s="35" t="s">
        <v>3415</v>
      </c>
      <c r="I2308" s="35" t="s">
        <v>3416</v>
      </c>
      <c r="J2308" s="38">
        <v>0.53616216216216217</v>
      </c>
      <c r="K2308" s="35">
        <v>4</v>
      </c>
      <c r="L2308" s="38">
        <f t="shared" si="36"/>
        <v>2.1446486486486487</v>
      </c>
      <c r="M2308" s="35" t="s">
        <v>11</v>
      </c>
      <c r="N2308" s="38"/>
      <c r="O2308" s="35" t="s">
        <v>12</v>
      </c>
    </row>
    <row r="2309" spans="1:15" x14ac:dyDescent="0.25">
      <c r="A2309" s="35">
        <v>1143729431</v>
      </c>
      <c r="B2309" s="35" t="s">
        <v>3761</v>
      </c>
      <c r="C2309" s="35">
        <v>2024</v>
      </c>
      <c r="D2309" s="36">
        <v>45320.962650462963</v>
      </c>
      <c r="E2309" s="37" t="s">
        <v>2470</v>
      </c>
      <c r="F2309" s="37" t="s">
        <v>5264</v>
      </c>
      <c r="G2309" s="37" t="s">
        <v>3865</v>
      </c>
      <c r="H2309" s="35" t="s">
        <v>3419</v>
      </c>
      <c r="I2309" s="35" t="s">
        <v>3416</v>
      </c>
      <c r="J2309" s="38">
        <v>32.869024390243901</v>
      </c>
      <c r="K2309" s="35">
        <v>1</v>
      </c>
      <c r="L2309" s="38">
        <f t="shared" si="36"/>
        <v>32.869024390243901</v>
      </c>
      <c r="M2309" s="35" t="s">
        <v>11</v>
      </c>
      <c r="N2309" s="38"/>
      <c r="O2309" s="35" t="s">
        <v>12</v>
      </c>
    </row>
    <row r="2310" spans="1:15" x14ac:dyDescent="0.25">
      <c r="A2310" s="35">
        <v>1143729431</v>
      </c>
      <c r="B2310" s="35" t="s">
        <v>3761</v>
      </c>
      <c r="C2310" s="35">
        <v>2024</v>
      </c>
      <c r="D2310" s="36">
        <v>45320.962650462963</v>
      </c>
      <c r="E2310" s="37" t="s">
        <v>2470</v>
      </c>
      <c r="F2310" s="37" t="s">
        <v>5265</v>
      </c>
      <c r="G2310" s="37" t="s">
        <v>3710</v>
      </c>
      <c r="H2310" s="35" t="s">
        <v>3419</v>
      </c>
      <c r="I2310" s="35" t="s">
        <v>3416</v>
      </c>
      <c r="J2310" s="38">
        <v>13.6009756097561</v>
      </c>
      <c r="K2310" s="35">
        <v>1</v>
      </c>
      <c r="L2310" s="38">
        <f t="shared" si="36"/>
        <v>13.6009756097561</v>
      </c>
      <c r="M2310" s="35" t="s">
        <v>11</v>
      </c>
      <c r="N2310" s="38"/>
      <c r="O2310" s="35" t="s">
        <v>12</v>
      </c>
    </row>
    <row r="2311" spans="1:15" x14ac:dyDescent="0.25">
      <c r="A2311" s="35">
        <v>1143489086</v>
      </c>
      <c r="B2311" s="35" t="s">
        <v>3761</v>
      </c>
      <c r="C2311" s="35">
        <v>2024</v>
      </c>
      <c r="D2311" s="36">
        <v>45319.519131944442</v>
      </c>
      <c r="E2311" s="37" t="s">
        <v>2664</v>
      </c>
      <c r="F2311" s="37" t="s">
        <v>5238</v>
      </c>
      <c r="G2311" s="37" t="s">
        <v>4561</v>
      </c>
      <c r="H2311" s="35" t="s">
        <v>3419</v>
      </c>
      <c r="I2311" s="35" t="s">
        <v>3530</v>
      </c>
      <c r="J2311" s="38">
        <v>10.61</v>
      </c>
      <c r="K2311" s="35">
        <v>2</v>
      </c>
      <c r="L2311" s="38">
        <f t="shared" si="36"/>
        <v>21.22</v>
      </c>
      <c r="M2311" s="35" t="s">
        <v>11</v>
      </c>
      <c r="N2311" s="38"/>
      <c r="O2311" s="35" t="s">
        <v>12</v>
      </c>
    </row>
    <row r="2312" spans="1:15" ht="30" x14ac:dyDescent="0.25">
      <c r="A2312" s="35">
        <v>1143393647</v>
      </c>
      <c r="B2312" s="35" t="s">
        <v>3761</v>
      </c>
      <c r="C2312" s="35">
        <v>2024</v>
      </c>
      <c r="D2312" s="36">
        <v>45318.410740740743</v>
      </c>
      <c r="E2312" s="37" t="s">
        <v>2667</v>
      </c>
      <c r="F2312" s="37" t="s">
        <v>5266</v>
      </c>
      <c r="G2312" s="37" t="s">
        <v>3520</v>
      </c>
      <c r="H2312" s="35" t="s">
        <v>3419</v>
      </c>
      <c r="I2312" s="35" t="s">
        <v>3416</v>
      </c>
      <c r="J2312" s="38">
        <v>4.2759615384615381</v>
      </c>
      <c r="K2312" s="35">
        <v>1</v>
      </c>
      <c r="L2312" s="38">
        <f t="shared" si="36"/>
        <v>4.2759615384615381</v>
      </c>
      <c r="M2312" s="35" t="s">
        <v>11</v>
      </c>
      <c r="N2312" s="38"/>
      <c r="O2312" s="35" t="s">
        <v>12</v>
      </c>
    </row>
    <row r="2313" spans="1:15" ht="30" x14ac:dyDescent="0.25">
      <c r="A2313" s="35">
        <v>1143393647</v>
      </c>
      <c r="B2313" s="35" t="s">
        <v>3761</v>
      </c>
      <c r="C2313" s="35">
        <v>2024</v>
      </c>
      <c r="D2313" s="36">
        <v>45318.410740740743</v>
      </c>
      <c r="E2313" s="37" t="s">
        <v>2667</v>
      </c>
      <c r="F2313" s="37" t="s">
        <v>5267</v>
      </c>
      <c r="G2313" s="37" t="s">
        <v>3520</v>
      </c>
      <c r="H2313" s="35" t="s">
        <v>3419</v>
      </c>
      <c r="I2313" s="35" t="s">
        <v>3416</v>
      </c>
      <c r="J2313" s="38">
        <v>7.9817948717948717</v>
      </c>
      <c r="K2313" s="35">
        <v>1</v>
      </c>
      <c r="L2313" s="38">
        <f t="shared" si="36"/>
        <v>7.9817948717948717</v>
      </c>
      <c r="M2313" s="35" t="s">
        <v>11</v>
      </c>
      <c r="N2313" s="38"/>
      <c r="O2313" s="35" t="s">
        <v>12</v>
      </c>
    </row>
    <row r="2314" spans="1:15" ht="30" x14ac:dyDescent="0.25">
      <c r="A2314" s="35">
        <v>1143393647</v>
      </c>
      <c r="B2314" s="35" t="s">
        <v>3761</v>
      </c>
      <c r="C2314" s="35">
        <v>2024</v>
      </c>
      <c r="D2314" s="36">
        <v>45318.410740740743</v>
      </c>
      <c r="E2314" s="37" t="s">
        <v>2667</v>
      </c>
      <c r="F2314" s="37" t="s">
        <v>5268</v>
      </c>
      <c r="G2314" s="37" t="s">
        <v>3520</v>
      </c>
      <c r="H2314" s="35" t="s">
        <v>3419</v>
      </c>
      <c r="I2314" s="35" t="s">
        <v>3416</v>
      </c>
      <c r="J2314" s="38">
        <v>9.6921794871794873</v>
      </c>
      <c r="K2314" s="35">
        <v>1</v>
      </c>
      <c r="L2314" s="38">
        <f t="shared" si="36"/>
        <v>9.6921794871794873</v>
      </c>
      <c r="M2314" s="35" t="s">
        <v>11</v>
      </c>
      <c r="N2314" s="38"/>
      <c r="O2314" s="35" t="s">
        <v>12</v>
      </c>
    </row>
    <row r="2315" spans="1:15" ht="30" x14ac:dyDescent="0.25">
      <c r="A2315" s="35">
        <v>1143393647</v>
      </c>
      <c r="B2315" s="35" t="s">
        <v>3761</v>
      </c>
      <c r="C2315" s="35">
        <v>2024</v>
      </c>
      <c r="D2315" s="36">
        <v>45318.410740740743</v>
      </c>
      <c r="E2315" s="37" t="s">
        <v>2667</v>
      </c>
      <c r="F2315" s="37" t="s">
        <v>5269</v>
      </c>
      <c r="G2315" s="37" t="s">
        <v>3520</v>
      </c>
      <c r="H2315" s="35" t="s">
        <v>3419</v>
      </c>
      <c r="I2315" s="35" t="s">
        <v>3416</v>
      </c>
      <c r="J2315" s="38">
        <v>10.5473717948718</v>
      </c>
      <c r="K2315" s="35">
        <v>1</v>
      </c>
      <c r="L2315" s="38">
        <f t="shared" si="36"/>
        <v>10.5473717948718</v>
      </c>
      <c r="M2315" s="35" t="s">
        <v>11</v>
      </c>
      <c r="N2315" s="38"/>
      <c r="O2315" s="35" t="s">
        <v>12</v>
      </c>
    </row>
    <row r="2316" spans="1:15" ht="30" x14ac:dyDescent="0.25">
      <c r="A2316" s="35">
        <v>1143393647</v>
      </c>
      <c r="B2316" s="35" t="s">
        <v>3761</v>
      </c>
      <c r="C2316" s="35">
        <v>2024</v>
      </c>
      <c r="D2316" s="36">
        <v>45318.410740740743</v>
      </c>
      <c r="E2316" s="37" t="s">
        <v>2667</v>
      </c>
      <c r="F2316" s="37" t="s">
        <v>5270</v>
      </c>
      <c r="G2316" s="37" t="s">
        <v>3520</v>
      </c>
      <c r="H2316" s="35" t="s">
        <v>3419</v>
      </c>
      <c r="I2316" s="35" t="s">
        <v>3416</v>
      </c>
      <c r="J2316" s="38">
        <v>3.4207692307692308</v>
      </c>
      <c r="K2316" s="35">
        <v>1</v>
      </c>
      <c r="L2316" s="38">
        <f t="shared" si="36"/>
        <v>3.4207692307692308</v>
      </c>
      <c r="M2316" s="35" t="s">
        <v>11</v>
      </c>
      <c r="N2316" s="38"/>
      <c r="O2316" s="35" t="s">
        <v>12</v>
      </c>
    </row>
    <row r="2317" spans="1:15" ht="30" x14ac:dyDescent="0.25">
      <c r="A2317" s="35">
        <v>1143393647</v>
      </c>
      <c r="B2317" s="35" t="s">
        <v>3761</v>
      </c>
      <c r="C2317" s="35">
        <v>2024</v>
      </c>
      <c r="D2317" s="36">
        <v>45318.410740740743</v>
      </c>
      <c r="E2317" s="37" t="s">
        <v>2667</v>
      </c>
      <c r="F2317" s="37" t="s">
        <v>5271</v>
      </c>
      <c r="G2317" s="37" t="s">
        <v>3520</v>
      </c>
      <c r="H2317" s="35" t="s">
        <v>3419</v>
      </c>
      <c r="I2317" s="35" t="s">
        <v>3416</v>
      </c>
      <c r="J2317" s="38">
        <v>6.2714102564102561</v>
      </c>
      <c r="K2317" s="35">
        <v>1</v>
      </c>
      <c r="L2317" s="38">
        <f t="shared" si="36"/>
        <v>6.2714102564102561</v>
      </c>
      <c r="M2317" s="35" t="s">
        <v>11</v>
      </c>
      <c r="N2317" s="38"/>
      <c r="O2317" s="35" t="s">
        <v>12</v>
      </c>
    </row>
    <row r="2318" spans="1:15" ht="30" x14ac:dyDescent="0.25">
      <c r="A2318" s="35">
        <v>1143393647</v>
      </c>
      <c r="B2318" s="35" t="s">
        <v>3761</v>
      </c>
      <c r="C2318" s="35">
        <v>2024</v>
      </c>
      <c r="D2318" s="36">
        <v>45318.410740740743</v>
      </c>
      <c r="E2318" s="37" t="s">
        <v>2667</v>
      </c>
      <c r="F2318" s="37" t="s">
        <v>5272</v>
      </c>
      <c r="G2318" s="37" t="s">
        <v>3520</v>
      </c>
      <c r="H2318" s="35" t="s">
        <v>3419</v>
      </c>
      <c r="I2318" s="35" t="s">
        <v>3416</v>
      </c>
      <c r="J2318" s="38">
        <v>2.2805128205128211</v>
      </c>
      <c r="K2318" s="35">
        <v>1</v>
      </c>
      <c r="L2318" s="38">
        <f t="shared" si="36"/>
        <v>2.2805128205128211</v>
      </c>
      <c r="M2318" s="35" t="s">
        <v>11</v>
      </c>
      <c r="N2318" s="38"/>
      <c r="O2318" s="35" t="s">
        <v>12</v>
      </c>
    </row>
    <row r="2319" spans="1:15" x14ac:dyDescent="0.25">
      <c r="A2319" s="35">
        <v>1143280006</v>
      </c>
      <c r="B2319" s="35" t="s">
        <v>3761</v>
      </c>
      <c r="C2319" s="35">
        <v>2024</v>
      </c>
      <c r="D2319" s="36">
        <v>45317.382962962962</v>
      </c>
      <c r="E2319" s="37" t="s">
        <v>2675</v>
      </c>
      <c r="F2319" s="37" t="s">
        <v>3864</v>
      </c>
      <c r="G2319" s="37" t="s">
        <v>3865</v>
      </c>
      <c r="H2319" s="35" t="s">
        <v>3419</v>
      </c>
      <c r="I2319" s="35" t="s">
        <v>3416</v>
      </c>
      <c r="J2319" s="38">
        <v>10.61</v>
      </c>
      <c r="K2319" s="35">
        <v>2</v>
      </c>
      <c r="L2319" s="38">
        <f t="shared" si="36"/>
        <v>21.22</v>
      </c>
      <c r="M2319" s="35" t="s">
        <v>11</v>
      </c>
      <c r="N2319" s="38"/>
      <c r="O2319" s="35" t="s">
        <v>12</v>
      </c>
    </row>
    <row r="2320" spans="1:15" x14ac:dyDescent="0.25">
      <c r="A2320" s="35">
        <v>1142970152</v>
      </c>
      <c r="B2320" s="35" t="s">
        <v>3761</v>
      </c>
      <c r="C2320" s="35">
        <v>2024</v>
      </c>
      <c r="D2320" s="36">
        <v>45314.815347222233</v>
      </c>
      <c r="E2320" s="37" t="s">
        <v>8</v>
      </c>
      <c r="F2320" s="37" t="s">
        <v>5213</v>
      </c>
      <c r="G2320" s="37" t="s">
        <v>4450</v>
      </c>
      <c r="H2320" s="35" t="s">
        <v>3415</v>
      </c>
      <c r="I2320" s="35" t="s">
        <v>3416</v>
      </c>
      <c r="J2320" s="38">
        <v>17.8</v>
      </c>
      <c r="K2320" s="35">
        <v>4</v>
      </c>
      <c r="L2320" s="38">
        <f t="shared" si="36"/>
        <v>71.2</v>
      </c>
      <c r="M2320" s="42" t="s">
        <v>11</v>
      </c>
      <c r="N2320" s="38"/>
      <c r="O2320" s="35" t="s">
        <v>12</v>
      </c>
    </row>
    <row r="2321" spans="1:15" x14ac:dyDescent="0.25">
      <c r="A2321" s="35">
        <v>1142934950</v>
      </c>
      <c r="B2321" s="35" t="s">
        <v>3761</v>
      </c>
      <c r="C2321" s="35">
        <v>2024</v>
      </c>
      <c r="D2321" s="36">
        <v>45314.476388888892</v>
      </c>
      <c r="E2321" s="37" t="s">
        <v>2680</v>
      </c>
      <c r="F2321" s="37" t="s">
        <v>5245</v>
      </c>
      <c r="G2321" s="37" t="s">
        <v>3876</v>
      </c>
      <c r="H2321" s="35" t="s">
        <v>3419</v>
      </c>
      <c r="I2321" s="35" t="s">
        <v>3416</v>
      </c>
      <c r="J2321" s="38">
        <v>15.22</v>
      </c>
      <c r="K2321" s="35">
        <v>1</v>
      </c>
      <c r="L2321" s="38">
        <f t="shared" si="36"/>
        <v>15.22</v>
      </c>
      <c r="M2321" s="35" t="s">
        <v>11</v>
      </c>
      <c r="N2321" s="38"/>
      <c r="O2321" s="35" t="s">
        <v>12</v>
      </c>
    </row>
    <row r="2322" spans="1:15" x14ac:dyDescent="0.25">
      <c r="A2322" s="35">
        <v>1142836065</v>
      </c>
      <c r="B2322" s="35" t="s">
        <v>3761</v>
      </c>
      <c r="C2322" s="35">
        <v>2024</v>
      </c>
      <c r="D2322" s="36">
        <v>45313.640162037038</v>
      </c>
      <c r="E2322" s="37" t="s">
        <v>882</v>
      </c>
      <c r="F2322" s="37" t="s">
        <v>5275</v>
      </c>
      <c r="G2322" s="37" t="s">
        <v>3624</v>
      </c>
      <c r="H2322" s="35" t="s">
        <v>3415</v>
      </c>
      <c r="I2322" s="35" t="s">
        <v>3416</v>
      </c>
      <c r="J2322" s="38">
        <v>2.7949999999999999</v>
      </c>
      <c r="K2322" s="35">
        <v>4</v>
      </c>
      <c r="L2322" s="38">
        <f t="shared" si="36"/>
        <v>11.18</v>
      </c>
      <c r="M2322" s="35" t="s">
        <v>11</v>
      </c>
      <c r="N2322" s="38"/>
      <c r="O2322" s="35" t="s">
        <v>12</v>
      </c>
    </row>
    <row r="2323" spans="1:15" x14ac:dyDescent="0.25">
      <c r="A2323" s="35">
        <v>1142692836</v>
      </c>
      <c r="B2323" s="35" t="s">
        <v>3761</v>
      </c>
      <c r="C2323" s="35">
        <v>2024</v>
      </c>
      <c r="D2323" s="36">
        <v>45312.730868055558</v>
      </c>
      <c r="E2323" s="37" t="s">
        <v>469</v>
      </c>
      <c r="F2323" s="37" t="s">
        <v>5276</v>
      </c>
      <c r="G2323" s="37" t="s">
        <v>4409</v>
      </c>
      <c r="H2323" s="35" t="s">
        <v>3419</v>
      </c>
      <c r="I2323" s="35" t="s">
        <v>3416</v>
      </c>
      <c r="J2323" s="38">
        <v>0.59074074074074079</v>
      </c>
      <c r="K2323" s="35">
        <v>2</v>
      </c>
      <c r="L2323" s="38">
        <f t="shared" si="36"/>
        <v>1.1814814814814816</v>
      </c>
      <c r="M2323" s="35" t="s">
        <v>11</v>
      </c>
      <c r="N2323" s="38"/>
      <c r="O2323" s="35" t="s">
        <v>12</v>
      </c>
    </row>
    <row r="2324" spans="1:15" x14ac:dyDescent="0.25">
      <c r="A2324" s="35">
        <v>1142692836</v>
      </c>
      <c r="B2324" s="35" t="s">
        <v>3761</v>
      </c>
      <c r="C2324" s="35">
        <v>2024</v>
      </c>
      <c r="D2324" s="36">
        <v>45312.730868055558</v>
      </c>
      <c r="E2324" s="37" t="s">
        <v>469</v>
      </c>
      <c r="F2324" s="37" t="s">
        <v>5277</v>
      </c>
      <c r="G2324" s="37" t="s">
        <v>3788</v>
      </c>
      <c r="H2324" s="35" t="s">
        <v>3419</v>
      </c>
      <c r="I2324" s="35" t="s">
        <v>3416</v>
      </c>
      <c r="J2324" s="38">
        <v>1.052592592592593</v>
      </c>
      <c r="K2324" s="35">
        <v>1</v>
      </c>
      <c r="L2324" s="38">
        <f t="shared" si="36"/>
        <v>1.052592592592593</v>
      </c>
      <c r="M2324" s="35" t="s">
        <v>11</v>
      </c>
      <c r="N2324" s="38"/>
      <c r="O2324" s="35" t="s">
        <v>12</v>
      </c>
    </row>
    <row r="2325" spans="1:15" x14ac:dyDescent="0.25">
      <c r="A2325" s="35">
        <v>1142692836</v>
      </c>
      <c r="B2325" s="35" t="s">
        <v>3761</v>
      </c>
      <c r="C2325" s="35">
        <v>2024</v>
      </c>
      <c r="D2325" s="36">
        <v>45312.730868055558</v>
      </c>
      <c r="E2325" s="37" t="s">
        <v>469</v>
      </c>
      <c r="F2325" s="37" t="s">
        <v>5278</v>
      </c>
      <c r="G2325" s="37" t="s">
        <v>3624</v>
      </c>
      <c r="H2325" s="35" t="s">
        <v>3415</v>
      </c>
      <c r="I2325" s="35" t="s">
        <v>3416</v>
      </c>
      <c r="J2325" s="38">
        <v>2.5777777777777779</v>
      </c>
      <c r="K2325" s="35">
        <v>4</v>
      </c>
      <c r="L2325" s="38">
        <f t="shared" si="36"/>
        <v>10.311111111111112</v>
      </c>
      <c r="M2325" s="35" t="s">
        <v>11</v>
      </c>
      <c r="N2325" s="38"/>
      <c r="O2325" s="35" t="s">
        <v>12</v>
      </c>
    </row>
    <row r="2326" spans="1:15" x14ac:dyDescent="0.25">
      <c r="A2326" s="35">
        <v>1142692836</v>
      </c>
      <c r="B2326" s="35" t="s">
        <v>3761</v>
      </c>
      <c r="C2326" s="35">
        <v>2024</v>
      </c>
      <c r="D2326" s="36">
        <v>45312.730868055558</v>
      </c>
      <c r="E2326" s="37" t="s">
        <v>469</v>
      </c>
      <c r="F2326" s="37" t="s">
        <v>5279</v>
      </c>
      <c r="G2326" s="37" t="s">
        <v>3842</v>
      </c>
      <c r="H2326" s="35" t="s">
        <v>3419</v>
      </c>
      <c r="I2326" s="35" t="s">
        <v>3416</v>
      </c>
      <c r="J2326" s="38">
        <v>1.60037037037037</v>
      </c>
      <c r="K2326" s="35">
        <v>1</v>
      </c>
      <c r="L2326" s="38">
        <f t="shared" si="36"/>
        <v>1.60037037037037</v>
      </c>
      <c r="M2326" s="35" t="s">
        <v>11</v>
      </c>
      <c r="N2326" s="38"/>
      <c r="O2326" s="35" t="s">
        <v>12</v>
      </c>
    </row>
    <row r="2327" spans="1:15" x14ac:dyDescent="0.25">
      <c r="A2327" s="35">
        <v>1142692836</v>
      </c>
      <c r="B2327" s="35" t="s">
        <v>3761</v>
      </c>
      <c r="C2327" s="35">
        <v>2024</v>
      </c>
      <c r="D2327" s="36">
        <v>45312.730868055558</v>
      </c>
      <c r="E2327" s="37" t="s">
        <v>469</v>
      </c>
      <c r="F2327" s="37" t="s">
        <v>5280</v>
      </c>
      <c r="G2327" s="37" t="s">
        <v>3551</v>
      </c>
      <c r="H2327" s="35" t="s">
        <v>3415</v>
      </c>
      <c r="I2327" s="35" t="s">
        <v>3416</v>
      </c>
      <c r="J2327" s="38">
        <v>0.21481481481481479</v>
      </c>
      <c r="K2327" s="35">
        <v>4</v>
      </c>
      <c r="L2327" s="38">
        <f t="shared" si="36"/>
        <v>0.85925925925925917</v>
      </c>
      <c r="M2327" s="35" t="s">
        <v>11</v>
      </c>
      <c r="N2327" s="38"/>
      <c r="O2327" s="35" t="s">
        <v>12</v>
      </c>
    </row>
    <row r="2328" spans="1:15" x14ac:dyDescent="0.25">
      <c r="A2328" s="35">
        <v>1142692836</v>
      </c>
      <c r="B2328" s="35" t="s">
        <v>3761</v>
      </c>
      <c r="C2328" s="35">
        <v>2024</v>
      </c>
      <c r="D2328" s="36">
        <v>45312.730868055558</v>
      </c>
      <c r="E2328" s="37" t="s">
        <v>469</v>
      </c>
      <c r="F2328" s="37" t="s">
        <v>5281</v>
      </c>
      <c r="G2328" s="37" t="s">
        <v>3837</v>
      </c>
      <c r="H2328" s="35" t="s">
        <v>3419</v>
      </c>
      <c r="I2328" s="35" t="s">
        <v>3416</v>
      </c>
      <c r="J2328" s="38">
        <v>1.342592592592593</v>
      </c>
      <c r="K2328" s="35">
        <v>2</v>
      </c>
      <c r="L2328" s="38">
        <f t="shared" si="36"/>
        <v>2.685185185185186</v>
      </c>
      <c r="M2328" s="35" t="s">
        <v>11</v>
      </c>
      <c r="N2328" s="38"/>
      <c r="O2328" s="35" t="s">
        <v>12</v>
      </c>
    </row>
    <row r="2329" spans="1:15" x14ac:dyDescent="0.25">
      <c r="A2329" s="35">
        <v>1142560986</v>
      </c>
      <c r="B2329" s="35" t="s">
        <v>3761</v>
      </c>
      <c r="C2329" s="35">
        <v>2024</v>
      </c>
      <c r="D2329" s="36">
        <v>45311.496331018519</v>
      </c>
      <c r="E2329" s="37" t="s">
        <v>2685</v>
      </c>
      <c r="F2329" s="37" t="s">
        <v>5245</v>
      </c>
      <c r="G2329" s="37" t="s">
        <v>3876</v>
      </c>
      <c r="H2329" s="35" t="s">
        <v>3419</v>
      </c>
      <c r="I2329" s="35" t="s">
        <v>3416</v>
      </c>
      <c r="J2329" s="38">
        <v>16.734999999999999</v>
      </c>
      <c r="K2329" s="35">
        <v>1</v>
      </c>
      <c r="L2329" s="38">
        <f t="shared" si="36"/>
        <v>16.734999999999999</v>
      </c>
      <c r="M2329" s="35" t="s">
        <v>11</v>
      </c>
      <c r="N2329" s="38"/>
      <c r="O2329" s="35" t="s">
        <v>12</v>
      </c>
    </row>
    <row r="2330" spans="1:15" x14ac:dyDescent="0.25">
      <c r="A2330" s="35">
        <v>1142560986</v>
      </c>
      <c r="B2330" s="35" t="s">
        <v>3761</v>
      </c>
      <c r="C2330" s="35">
        <v>2024</v>
      </c>
      <c r="D2330" s="36">
        <v>45311.496331018519</v>
      </c>
      <c r="E2330" s="37" t="s">
        <v>2685</v>
      </c>
      <c r="F2330" s="37" t="s">
        <v>5245</v>
      </c>
      <c r="G2330" s="37" t="s">
        <v>3876</v>
      </c>
      <c r="H2330" s="35" t="s">
        <v>3419</v>
      </c>
      <c r="I2330" s="35" t="s">
        <v>3416</v>
      </c>
      <c r="J2330" s="38">
        <v>16.734999999999999</v>
      </c>
      <c r="K2330" s="35">
        <v>1</v>
      </c>
      <c r="L2330" s="38">
        <f t="shared" si="36"/>
        <v>16.734999999999999</v>
      </c>
      <c r="M2330" s="35" t="s">
        <v>11</v>
      </c>
      <c r="N2330" s="38"/>
      <c r="O2330" s="35" t="s">
        <v>12</v>
      </c>
    </row>
    <row r="2331" spans="1:15" x14ac:dyDescent="0.25">
      <c r="A2331" s="35">
        <v>1142556696</v>
      </c>
      <c r="B2331" s="35" t="s">
        <v>3761</v>
      </c>
      <c r="C2331" s="35">
        <v>2024</v>
      </c>
      <c r="D2331" s="36">
        <v>45311.474421296298</v>
      </c>
      <c r="E2331" s="37" t="s">
        <v>2688</v>
      </c>
      <c r="F2331" s="37" t="s">
        <v>4380</v>
      </c>
      <c r="G2331" s="37" t="s">
        <v>3551</v>
      </c>
      <c r="H2331" s="35" t="s">
        <v>3419</v>
      </c>
      <c r="I2331" s="35" t="s">
        <v>3416</v>
      </c>
      <c r="J2331" s="38">
        <v>24.184639131360441</v>
      </c>
      <c r="K2331" s="35">
        <v>2</v>
      </c>
      <c r="L2331" s="38">
        <f t="shared" si="36"/>
        <v>48.369278262720883</v>
      </c>
      <c r="M2331" s="35" t="s">
        <v>11</v>
      </c>
      <c r="N2331" s="38"/>
      <c r="O2331" s="35" t="s">
        <v>12</v>
      </c>
    </row>
    <row r="2332" spans="1:15" x14ac:dyDescent="0.25">
      <c r="A2332" s="35">
        <v>1142556696</v>
      </c>
      <c r="B2332" s="35" t="s">
        <v>3761</v>
      </c>
      <c r="C2332" s="35">
        <v>2024</v>
      </c>
      <c r="D2332" s="36">
        <v>45311.474421296298</v>
      </c>
      <c r="E2332" s="37" t="s">
        <v>2688</v>
      </c>
      <c r="F2332" s="37" t="s">
        <v>4931</v>
      </c>
      <c r="G2332" s="37" t="s">
        <v>3738</v>
      </c>
      <c r="H2332" s="35" t="s">
        <v>3419</v>
      </c>
      <c r="I2332" s="35" t="s">
        <v>3416</v>
      </c>
      <c r="J2332" s="38">
        <v>19.10024057909304</v>
      </c>
      <c r="K2332" s="35">
        <v>3</v>
      </c>
      <c r="L2332" s="38">
        <f t="shared" si="36"/>
        <v>57.300721737279119</v>
      </c>
      <c r="M2332" s="35" t="s">
        <v>11</v>
      </c>
      <c r="N2332" s="38"/>
      <c r="O2332" s="35" t="s">
        <v>12</v>
      </c>
    </row>
    <row r="2333" spans="1:15" x14ac:dyDescent="0.25">
      <c r="A2333" s="35">
        <v>1141272630</v>
      </c>
      <c r="B2333" s="35" t="s">
        <v>3761</v>
      </c>
      <c r="C2333" s="35">
        <v>2024</v>
      </c>
      <c r="D2333" s="36">
        <v>45300.914351851847</v>
      </c>
      <c r="E2333" s="37" t="s">
        <v>2693</v>
      </c>
      <c r="F2333" s="37" t="s">
        <v>4445</v>
      </c>
      <c r="G2333" s="37" t="s">
        <v>4480</v>
      </c>
      <c r="H2333" s="35" t="s">
        <v>3419</v>
      </c>
      <c r="I2333" s="35" t="s">
        <v>3416</v>
      </c>
      <c r="J2333" s="38">
        <v>5.6000000000000014</v>
      </c>
      <c r="K2333" s="35">
        <v>2</v>
      </c>
      <c r="L2333" s="38">
        <f t="shared" si="36"/>
        <v>11.200000000000003</v>
      </c>
      <c r="M2333" s="35" t="s">
        <v>11</v>
      </c>
      <c r="N2333" s="38"/>
      <c r="O2333" s="35" t="s">
        <v>12</v>
      </c>
    </row>
    <row r="2334" spans="1:15" x14ac:dyDescent="0.25">
      <c r="A2334" s="35">
        <v>1141270423</v>
      </c>
      <c r="B2334" s="35" t="s">
        <v>3761</v>
      </c>
      <c r="C2334" s="35">
        <v>2024</v>
      </c>
      <c r="D2334" s="36">
        <v>45300.914351851847</v>
      </c>
      <c r="E2334" s="37" t="s">
        <v>2696</v>
      </c>
      <c r="F2334" s="37" t="s">
        <v>5154</v>
      </c>
      <c r="G2334" s="37" t="s">
        <v>3945</v>
      </c>
      <c r="H2334" s="35" t="s">
        <v>3419</v>
      </c>
      <c r="I2334" s="35" t="s">
        <v>3416</v>
      </c>
      <c r="J2334" s="38">
        <v>7.71</v>
      </c>
      <c r="K2334" s="35">
        <v>1</v>
      </c>
      <c r="L2334" s="38">
        <f t="shared" si="36"/>
        <v>7.71</v>
      </c>
      <c r="M2334" s="35" t="s">
        <v>11</v>
      </c>
      <c r="N2334" s="38"/>
      <c r="O2334" s="35" t="s">
        <v>12</v>
      </c>
    </row>
    <row r="2335" spans="1:15" ht="30" x14ac:dyDescent="0.25">
      <c r="A2335" s="35">
        <v>1141179035</v>
      </c>
      <c r="B2335" s="35" t="s">
        <v>3761</v>
      </c>
      <c r="C2335" s="35">
        <v>2024</v>
      </c>
      <c r="D2335" s="36">
        <v>45300.368541666663</v>
      </c>
      <c r="E2335" s="37" t="s">
        <v>1288</v>
      </c>
      <c r="F2335" s="37" t="s">
        <v>5284</v>
      </c>
      <c r="G2335" s="37" t="s">
        <v>4215</v>
      </c>
      <c r="H2335" s="35" t="s">
        <v>3419</v>
      </c>
      <c r="I2335" s="35" t="s">
        <v>3416</v>
      </c>
      <c r="J2335" s="38">
        <v>3.74</v>
      </c>
      <c r="K2335" s="35">
        <v>1</v>
      </c>
      <c r="L2335" s="38">
        <f t="shared" si="36"/>
        <v>3.74</v>
      </c>
      <c r="M2335" s="35" t="s">
        <v>11</v>
      </c>
      <c r="N2335" s="38"/>
      <c r="O2335" s="35" t="s">
        <v>12</v>
      </c>
    </row>
    <row r="2336" spans="1:15" x14ac:dyDescent="0.25">
      <c r="A2336" s="35">
        <v>1141146578</v>
      </c>
      <c r="B2336" s="35" t="s">
        <v>3761</v>
      </c>
      <c r="C2336" s="35">
        <v>2024</v>
      </c>
      <c r="D2336" s="36">
        <v>45300.368541666663</v>
      </c>
      <c r="E2336" s="37" t="s">
        <v>1278</v>
      </c>
      <c r="F2336" s="37" t="s">
        <v>5285</v>
      </c>
      <c r="G2336" s="37" t="s">
        <v>3925</v>
      </c>
      <c r="H2336" s="35" t="s">
        <v>3415</v>
      </c>
      <c r="I2336" s="35" t="s">
        <v>3416</v>
      </c>
      <c r="J2336" s="38">
        <v>2.1688581314878892</v>
      </c>
      <c r="K2336" s="35">
        <v>4</v>
      </c>
      <c r="L2336" s="38">
        <f t="shared" si="36"/>
        <v>8.6754325259515568</v>
      </c>
      <c r="M2336" s="35" t="s">
        <v>11</v>
      </c>
      <c r="N2336" s="38"/>
      <c r="O2336" s="35" t="s">
        <v>12</v>
      </c>
    </row>
    <row r="2337" spans="1:15" x14ac:dyDescent="0.25">
      <c r="A2337" s="35">
        <v>1141146578</v>
      </c>
      <c r="B2337" s="35" t="s">
        <v>3761</v>
      </c>
      <c r="C2337" s="35">
        <v>2024</v>
      </c>
      <c r="D2337" s="36">
        <v>45300.368541666663</v>
      </c>
      <c r="E2337" s="37" t="s">
        <v>1278</v>
      </c>
      <c r="F2337" s="37" t="s">
        <v>5166</v>
      </c>
      <c r="G2337" s="37" t="s">
        <v>3529</v>
      </c>
      <c r="H2337" s="35" t="s">
        <v>3419</v>
      </c>
      <c r="I2337" s="35" t="s">
        <v>3416</v>
      </c>
      <c r="J2337" s="38">
        <v>3.7412802768166089</v>
      </c>
      <c r="K2337" s="35">
        <v>1</v>
      </c>
      <c r="L2337" s="38">
        <f t="shared" si="36"/>
        <v>3.7412802768166089</v>
      </c>
      <c r="M2337" s="35" t="s">
        <v>11</v>
      </c>
      <c r="N2337" s="38"/>
      <c r="O2337" s="35" t="s">
        <v>12</v>
      </c>
    </row>
    <row r="2338" spans="1:15" x14ac:dyDescent="0.25">
      <c r="A2338" s="35">
        <v>1141146578</v>
      </c>
      <c r="B2338" s="35" t="s">
        <v>3761</v>
      </c>
      <c r="C2338" s="35">
        <v>2024</v>
      </c>
      <c r="D2338" s="36">
        <v>45300.368541666663</v>
      </c>
      <c r="E2338" s="37" t="s">
        <v>1278</v>
      </c>
      <c r="F2338" s="37" t="s">
        <v>5166</v>
      </c>
      <c r="G2338" s="37" t="s">
        <v>3529</v>
      </c>
      <c r="H2338" s="35" t="s">
        <v>3419</v>
      </c>
      <c r="I2338" s="35" t="s">
        <v>3416</v>
      </c>
      <c r="J2338" s="38">
        <v>3.2532871972318338</v>
      </c>
      <c r="K2338" s="35">
        <v>1</v>
      </c>
      <c r="L2338" s="38">
        <f t="shared" si="36"/>
        <v>3.2532871972318338</v>
      </c>
      <c r="M2338" s="35" t="s">
        <v>11</v>
      </c>
      <c r="N2338" s="38"/>
      <c r="O2338" s="35" t="s">
        <v>12</v>
      </c>
    </row>
    <row r="2339" spans="1:15" x14ac:dyDescent="0.25">
      <c r="A2339" s="35">
        <v>1141134230</v>
      </c>
      <c r="B2339" s="35" t="s">
        <v>3761</v>
      </c>
      <c r="C2339" s="35">
        <v>2024</v>
      </c>
      <c r="D2339" s="36">
        <v>45299.876898148148</v>
      </c>
      <c r="E2339" s="37" t="s">
        <v>2699</v>
      </c>
      <c r="F2339" s="37" t="s">
        <v>5286</v>
      </c>
      <c r="G2339" s="37" t="s">
        <v>3925</v>
      </c>
      <c r="H2339" s="35" t="s">
        <v>3415</v>
      </c>
      <c r="I2339" s="35" t="s">
        <v>3416</v>
      </c>
      <c r="J2339" s="38">
        <v>5.1666369313113298</v>
      </c>
      <c r="K2339" s="35">
        <v>4</v>
      </c>
      <c r="L2339" s="38">
        <f t="shared" si="36"/>
        <v>20.666547725245319</v>
      </c>
      <c r="M2339" s="35" t="s">
        <v>11</v>
      </c>
      <c r="N2339" s="38"/>
      <c r="O2339" s="35" t="s">
        <v>12</v>
      </c>
    </row>
    <row r="2340" spans="1:15" ht="30" x14ac:dyDescent="0.25">
      <c r="A2340" s="35">
        <v>1141134230</v>
      </c>
      <c r="B2340" s="35" t="s">
        <v>3761</v>
      </c>
      <c r="C2340" s="35">
        <v>2024</v>
      </c>
      <c r="D2340" s="36">
        <v>45299.876898148148</v>
      </c>
      <c r="E2340" s="37" t="s">
        <v>2699</v>
      </c>
      <c r="F2340" s="37" t="s">
        <v>3833</v>
      </c>
      <c r="G2340" s="37" t="s">
        <v>3520</v>
      </c>
      <c r="H2340" s="35" t="s">
        <v>3419</v>
      </c>
      <c r="I2340" s="35" t="s">
        <v>3416</v>
      </c>
      <c r="J2340" s="38">
        <v>2.973452274754683</v>
      </c>
      <c r="K2340" s="35">
        <v>1</v>
      </c>
      <c r="L2340" s="38">
        <f t="shared" si="36"/>
        <v>2.973452274754683</v>
      </c>
      <c r="M2340" s="35" t="s">
        <v>11</v>
      </c>
      <c r="N2340" s="38"/>
      <c r="O2340" s="35" t="s">
        <v>12</v>
      </c>
    </row>
    <row r="2341" spans="1:15" x14ac:dyDescent="0.25">
      <c r="A2341" s="35">
        <v>1140693847</v>
      </c>
      <c r="B2341" s="35" t="s">
        <v>3761</v>
      </c>
      <c r="C2341" s="35">
        <v>2024</v>
      </c>
      <c r="D2341" s="36">
        <v>45296.50304398148</v>
      </c>
      <c r="E2341" s="37" t="s">
        <v>2702</v>
      </c>
      <c r="F2341" s="37" t="s">
        <v>5287</v>
      </c>
      <c r="G2341" s="37" t="s">
        <v>4142</v>
      </c>
      <c r="H2341" s="35" t="s">
        <v>3419</v>
      </c>
      <c r="I2341" s="35" t="s">
        <v>3416</v>
      </c>
      <c r="J2341" s="38">
        <v>9.2200000000000006</v>
      </c>
      <c r="K2341" s="35">
        <v>1</v>
      </c>
      <c r="L2341" s="38">
        <f t="shared" si="36"/>
        <v>9.2200000000000006</v>
      </c>
      <c r="M2341" s="35" t="s">
        <v>11</v>
      </c>
      <c r="N2341" s="38"/>
      <c r="O2341" s="35" t="s">
        <v>12</v>
      </c>
    </row>
    <row r="2342" spans="1:15" x14ac:dyDescent="0.25">
      <c r="A2342" s="35">
        <v>1140693498</v>
      </c>
      <c r="B2342" s="35" t="s">
        <v>3761</v>
      </c>
      <c r="C2342" s="35">
        <v>2024</v>
      </c>
      <c r="D2342" s="36">
        <v>45296.50304398148</v>
      </c>
      <c r="E2342" s="37" t="s">
        <v>2705</v>
      </c>
      <c r="F2342" s="37" t="s">
        <v>5288</v>
      </c>
      <c r="G2342" s="37" t="s">
        <v>3905</v>
      </c>
      <c r="H2342" s="35" t="s">
        <v>3419</v>
      </c>
      <c r="I2342" s="35" t="s">
        <v>3530</v>
      </c>
      <c r="J2342" s="38">
        <v>13.71</v>
      </c>
      <c r="K2342" s="35">
        <v>1</v>
      </c>
      <c r="L2342" s="38">
        <f t="shared" si="36"/>
        <v>13.71</v>
      </c>
      <c r="M2342" s="35" t="s">
        <v>11</v>
      </c>
      <c r="N2342" s="38"/>
      <c r="O2342" s="35" t="s">
        <v>12</v>
      </c>
    </row>
    <row r="2343" spans="1:15" x14ac:dyDescent="0.25">
      <c r="A2343" s="35">
        <v>1140644791</v>
      </c>
      <c r="B2343" s="35" t="s">
        <v>3761</v>
      </c>
      <c r="C2343" s="35">
        <v>2024</v>
      </c>
      <c r="D2343" s="36">
        <v>45295.984895833331</v>
      </c>
      <c r="E2343" s="37" t="s">
        <v>2707</v>
      </c>
      <c r="F2343" s="37" t="s">
        <v>5289</v>
      </c>
      <c r="G2343" s="37" t="s">
        <v>3680</v>
      </c>
      <c r="H2343" s="35" t="s">
        <v>3419</v>
      </c>
      <c r="I2343" s="35" t="s">
        <v>3416</v>
      </c>
      <c r="J2343" s="38">
        <v>48.42</v>
      </c>
      <c r="K2343" s="35">
        <v>1</v>
      </c>
      <c r="L2343" s="38">
        <f t="shared" si="36"/>
        <v>48.42</v>
      </c>
      <c r="M2343" s="35" t="s">
        <v>11</v>
      </c>
      <c r="N2343" s="38"/>
      <c r="O2343" s="35" t="s">
        <v>12</v>
      </c>
    </row>
    <row r="2344" spans="1:15" x14ac:dyDescent="0.25">
      <c r="A2344" s="35">
        <v>1139362216</v>
      </c>
      <c r="B2344" s="35" t="s">
        <v>3890</v>
      </c>
      <c r="C2344" s="35">
        <v>2023</v>
      </c>
      <c r="D2344" s="36">
        <v>45284.77003472222</v>
      </c>
      <c r="E2344" s="37" t="s">
        <v>294</v>
      </c>
      <c r="F2344" s="37" t="s">
        <v>5294</v>
      </c>
      <c r="G2344" s="37" t="s">
        <v>3554</v>
      </c>
      <c r="H2344" s="35" t="s">
        <v>3419</v>
      </c>
      <c r="I2344" s="35" t="s">
        <v>3416</v>
      </c>
      <c r="J2344" s="38">
        <v>1.118825301204819</v>
      </c>
      <c r="K2344" s="35">
        <v>1</v>
      </c>
      <c r="L2344" s="38">
        <f t="shared" si="36"/>
        <v>1.118825301204819</v>
      </c>
      <c r="M2344" s="35" t="s">
        <v>11</v>
      </c>
      <c r="N2344" s="38"/>
      <c r="O2344" s="35" t="s">
        <v>12</v>
      </c>
    </row>
    <row r="2345" spans="1:15" x14ac:dyDescent="0.25">
      <c r="A2345" s="35">
        <v>1139362216</v>
      </c>
      <c r="B2345" s="35" t="s">
        <v>3890</v>
      </c>
      <c r="C2345" s="35">
        <v>2023</v>
      </c>
      <c r="D2345" s="36">
        <v>45284.77003472222</v>
      </c>
      <c r="E2345" s="37" t="s">
        <v>294</v>
      </c>
      <c r="F2345" s="37" t="s">
        <v>5294</v>
      </c>
      <c r="G2345" s="37" t="s">
        <v>3726</v>
      </c>
      <c r="H2345" s="35" t="s">
        <v>3419</v>
      </c>
      <c r="I2345" s="35" t="s">
        <v>3416</v>
      </c>
      <c r="J2345" s="38">
        <v>1.707680722891566</v>
      </c>
      <c r="K2345" s="35">
        <v>1</v>
      </c>
      <c r="L2345" s="38">
        <f t="shared" si="36"/>
        <v>1.707680722891566</v>
      </c>
      <c r="M2345" s="35" t="s">
        <v>11</v>
      </c>
      <c r="N2345" s="38"/>
      <c r="O2345" s="35" t="s">
        <v>12</v>
      </c>
    </row>
    <row r="2346" spans="1:15" x14ac:dyDescent="0.25">
      <c r="A2346" s="35">
        <v>1139362216</v>
      </c>
      <c r="B2346" s="35" t="s">
        <v>3890</v>
      </c>
      <c r="C2346" s="35">
        <v>2023</v>
      </c>
      <c r="D2346" s="36">
        <v>45284.77003472222</v>
      </c>
      <c r="E2346" s="37" t="s">
        <v>294</v>
      </c>
      <c r="F2346" s="37" t="s">
        <v>5295</v>
      </c>
      <c r="G2346" s="37" t="s">
        <v>3810</v>
      </c>
      <c r="H2346" s="35" t="s">
        <v>3419</v>
      </c>
      <c r="I2346" s="35" t="s">
        <v>3416</v>
      </c>
      <c r="J2346" s="38">
        <v>0.1177710843373494</v>
      </c>
      <c r="K2346" s="35">
        <v>2</v>
      </c>
      <c r="L2346" s="38">
        <f t="shared" si="36"/>
        <v>0.23554216867469879</v>
      </c>
      <c r="M2346" s="35" t="s">
        <v>11</v>
      </c>
      <c r="N2346" s="38"/>
      <c r="O2346" s="35" t="s">
        <v>12</v>
      </c>
    </row>
    <row r="2347" spans="1:15" x14ac:dyDescent="0.25">
      <c r="A2347" s="35">
        <v>1139362216</v>
      </c>
      <c r="B2347" s="35" t="s">
        <v>3890</v>
      </c>
      <c r="C2347" s="35">
        <v>2023</v>
      </c>
      <c r="D2347" s="36">
        <v>45284.77003472222</v>
      </c>
      <c r="E2347" s="37" t="s">
        <v>294</v>
      </c>
      <c r="F2347" s="37" t="s">
        <v>4728</v>
      </c>
      <c r="G2347" s="37" t="s">
        <v>4220</v>
      </c>
      <c r="H2347" s="35" t="s">
        <v>3419</v>
      </c>
      <c r="I2347" s="35" t="s">
        <v>3416</v>
      </c>
      <c r="J2347" s="38">
        <v>0.14132530120481929</v>
      </c>
      <c r="K2347" s="35">
        <v>2</v>
      </c>
      <c r="L2347" s="38">
        <f t="shared" si="36"/>
        <v>0.28265060240963857</v>
      </c>
      <c r="M2347" s="35" t="s">
        <v>11</v>
      </c>
      <c r="N2347" s="38"/>
      <c r="O2347" s="35" t="s">
        <v>12</v>
      </c>
    </row>
    <row r="2348" spans="1:15" x14ac:dyDescent="0.25">
      <c r="A2348" s="35">
        <v>1139362216</v>
      </c>
      <c r="B2348" s="35" t="s">
        <v>3890</v>
      </c>
      <c r="C2348" s="35">
        <v>2023</v>
      </c>
      <c r="D2348" s="36">
        <v>45284.77003472222</v>
      </c>
      <c r="E2348" s="37" t="s">
        <v>294</v>
      </c>
      <c r="F2348" s="37" t="s">
        <v>5293</v>
      </c>
      <c r="G2348" s="37" t="s">
        <v>3945</v>
      </c>
      <c r="H2348" s="35" t="s">
        <v>3415</v>
      </c>
      <c r="I2348" s="35" t="s">
        <v>3416</v>
      </c>
      <c r="J2348" s="38">
        <v>1.118825301204819</v>
      </c>
      <c r="K2348" s="35">
        <v>4</v>
      </c>
      <c r="L2348" s="38">
        <f t="shared" si="36"/>
        <v>4.4753012048192762</v>
      </c>
      <c r="M2348" s="35" t="s">
        <v>11</v>
      </c>
      <c r="N2348" s="38"/>
      <c r="O2348" s="35" t="s">
        <v>12</v>
      </c>
    </row>
    <row r="2349" spans="1:15" x14ac:dyDescent="0.25">
      <c r="A2349" s="35">
        <v>1139327696</v>
      </c>
      <c r="B2349" s="35" t="s">
        <v>3890</v>
      </c>
      <c r="C2349" s="35">
        <v>2023</v>
      </c>
      <c r="D2349" s="36">
        <v>45284.474537037036</v>
      </c>
      <c r="E2349" s="37" t="s">
        <v>237</v>
      </c>
      <c r="F2349" s="37" t="s">
        <v>4733</v>
      </c>
      <c r="G2349" s="37" t="s">
        <v>3925</v>
      </c>
      <c r="H2349" s="35" t="s">
        <v>3415</v>
      </c>
      <c r="I2349" s="35" t="s">
        <v>3416</v>
      </c>
      <c r="J2349" s="38">
        <v>0.31908355795148252</v>
      </c>
      <c r="K2349" s="35">
        <v>4</v>
      </c>
      <c r="L2349" s="38">
        <f t="shared" si="36"/>
        <v>1.2763342318059301</v>
      </c>
      <c r="M2349" s="35" t="s">
        <v>11</v>
      </c>
      <c r="N2349" s="38"/>
      <c r="O2349" s="35" t="s">
        <v>12</v>
      </c>
    </row>
    <row r="2350" spans="1:15" x14ac:dyDescent="0.25">
      <c r="A2350" s="35">
        <v>1139327696</v>
      </c>
      <c r="B2350" s="35" t="s">
        <v>3890</v>
      </c>
      <c r="C2350" s="35">
        <v>2023</v>
      </c>
      <c r="D2350" s="36">
        <v>45284.474537037036</v>
      </c>
      <c r="E2350" s="37" t="s">
        <v>237</v>
      </c>
      <c r="F2350" s="37" t="s">
        <v>5299</v>
      </c>
      <c r="G2350" s="37" t="s">
        <v>3726</v>
      </c>
      <c r="H2350" s="35" t="s">
        <v>3419</v>
      </c>
      <c r="I2350" s="35" t="s">
        <v>3416</v>
      </c>
      <c r="J2350" s="38">
        <v>8.4557142857142864</v>
      </c>
      <c r="K2350" s="35">
        <v>2</v>
      </c>
      <c r="L2350" s="38">
        <f t="shared" si="36"/>
        <v>16.911428571428573</v>
      </c>
      <c r="M2350" s="35" t="s">
        <v>11</v>
      </c>
      <c r="N2350" s="38"/>
      <c r="O2350" s="35" t="s">
        <v>12</v>
      </c>
    </row>
    <row r="2351" spans="1:15" x14ac:dyDescent="0.25">
      <c r="A2351" s="35">
        <v>1139327696</v>
      </c>
      <c r="B2351" s="35" t="s">
        <v>3890</v>
      </c>
      <c r="C2351" s="35">
        <v>2023</v>
      </c>
      <c r="D2351" s="36">
        <v>45284.474537037036</v>
      </c>
      <c r="E2351" s="37" t="s">
        <v>237</v>
      </c>
      <c r="F2351" s="37" t="s">
        <v>5297</v>
      </c>
      <c r="G2351" s="37" t="s">
        <v>3925</v>
      </c>
      <c r="H2351" s="35" t="s">
        <v>3419</v>
      </c>
      <c r="I2351" s="35" t="s">
        <v>3416</v>
      </c>
      <c r="J2351" s="38">
        <v>1.5422371967654991</v>
      </c>
      <c r="K2351" s="35">
        <v>1</v>
      </c>
      <c r="L2351" s="38">
        <f t="shared" si="36"/>
        <v>1.5422371967654991</v>
      </c>
      <c r="M2351" s="35" t="s">
        <v>11</v>
      </c>
      <c r="N2351" s="38"/>
      <c r="O2351" s="35" t="s">
        <v>12</v>
      </c>
    </row>
    <row r="2352" spans="1:15" x14ac:dyDescent="0.25">
      <c r="A2352" s="35">
        <v>1139275440</v>
      </c>
      <c r="B2352" s="35" t="s">
        <v>3890</v>
      </c>
      <c r="C2352" s="35">
        <v>2023</v>
      </c>
      <c r="D2352" s="36">
        <v>45283.842013888891</v>
      </c>
      <c r="E2352" s="37" t="s">
        <v>1148</v>
      </c>
      <c r="F2352" s="37" t="s">
        <v>5300</v>
      </c>
      <c r="G2352" s="37" t="s">
        <v>4215</v>
      </c>
      <c r="H2352" s="35" t="s">
        <v>3419</v>
      </c>
      <c r="I2352" s="35" t="s">
        <v>3416</v>
      </c>
      <c r="J2352" s="38">
        <v>13.13</v>
      </c>
      <c r="K2352" s="35">
        <v>1</v>
      </c>
      <c r="L2352" s="38">
        <f t="shared" si="36"/>
        <v>13.13</v>
      </c>
      <c r="M2352" s="35" t="s">
        <v>11</v>
      </c>
      <c r="N2352" s="38"/>
      <c r="O2352" s="35" t="s">
        <v>12</v>
      </c>
    </row>
    <row r="2353" spans="1:15" ht="30" x14ac:dyDescent="0.25">
      <c r="A2353" s="35">
        <v>1139260024</v>
      </c>
      <c r="B2353" s="35" t="s">
        <v>3890</v>
      </c>
      <c r="C2353" s="35">
        <v>2023</v>
      </c>
      <c r="D2353" s="36">
        <v>45283.795266203713</v>
      </c>
      <c r="E2353" s="37" t="s">
        <v>318</v>
      </c>
      <c r="F2353" s="37" t="s">
        <v>5303</v>
      </c>
      <c r="G2353" s="37" t="s">
        <v>4097</v>
      </c>
      <c r="H2353" s="35" t="s">
        <v>3415</v>
      </c>
      <c r="I2353" s="35" t="s">
        <v>3416</v>
      </c>
      <c r="J2353" s="38">
        <v>1.749301252471984</v>
      </c>
      <c r="K2353" s="35">
        <v>4</v>
      </c>
      <c r="L2353" s="38">
        <f t="shared" si="36"/>
        <v>6.9972050098879359</v>
      </c>
      <c r="M2353" s="35" t="s">
        <v>11</v>
      </c>
      <c r="N2353" s="38"/>
      <c r="O2353" s="35" t="s">
        <v>12</v>
      </c>
    </row>
    <row r="2354" spans="1:15" x14ac:dyDescent="0.25">
      <c r="A2354" s="35">
        <v>1139260024</v>
      </c>
      <c r="B2354" s="35" t="s">
        <v>3890</v>
      </c>
      <c r="C2354" s="35">
        <v>2023</v>
      </c>
      <c r="D2354" s="36">
        <v>45283.795266203713</v>
      </c>
      <c r="E2354" s="37" t="s">
        <v>318</v>
      </c>
      <c r="F2354" s="37" t="s">
        <v>4742</v>
      </c>
      <c r="G2354" s="37" t="s">
        <v>3925</v>
      </c>
      <c r="H2354" s="35" t="s">
        <v>3415</v>
      </c>
      <c r="I2354" s="35" t="s">
        <v>3416</v>
      </c>
      <c r="J2354" s="38">
        <v>0.57527356624917603</v>
      </c>
      <c r="K2354" s="35">
        <v>4</v>
      </c>
      <c r="L2354" s="38">
        <f t="shared" si="36"/>
        <v>2.3010942649967041</v>
      </c>
      <c r="M2354" s="35" t="s">
        <v>11</v>
      </c>
      <c r="N2354" s="38"/>
      <c r="O2354" s="35" t="s">
        <v>12</v>
      </c>
    </row>
    <row r="2355" spans="1:15" x14ac:dyDescent="0.25">
      <c r="A2355" s="35">
        <v>1139260024</v>
      </c>
      <c r="B2355" s="35" t="s">
        <v>3890</v>
      </c>
      <c r="C2355" s="35">
        <v>2023</v>
      </c>
      <c r="D2355" s="36">
        <v>45283.795266203713</v>
      </c>
      <c r="E2355" s="37" t="s">
        <v>318</v>
      </c>
      <c r="F2355" s="37" t="s">
        <v>3746</v>
      </c>
      <c r="G2355" s="37" t="s">
        <v>3652</v>
      </c>
      <c r="H2355" s="35" t="s">
        <v>3419</v>
      </c>
      <c r="I2355" s="35" t="s">
        <v>3416</v>
      </c>
      <c r="J2355" s="38">
        <v>5.8583981542518133</v>
      </c>
      <c r="K2355" s="35">
        <v>3</v>
      </c>
      <c r="L2355" s="38">
        <f t="shared" si="36"/>
        <v>17.575194462755441</v>
      </c>
      <c r="M2355" s="35" t="s">
        <v>11</v>
      </c>
      <c r="N2355" s="38"/>
      <c r="O2355" s="35" t="s">
        <v>12</v>
      </c>
    </row>
    <row r="2356" spans="1:15" x14ac:dyDescent="0.25">
      <c r="A2356" s="35">
        <v>1139260024</v>
      </c>
      <c r="B2356" s="35" t="s">
        <v>3890</v>
      </c>
      <c r="C2356" s="35">
        <v>2023</v>
      </c>
      <c r="D2356" s="36">
        <v>45283.795266203713</v>
      </c>
      <c r="E2356" s="37" t="s">
        <v>318</v>
      </c>
      <c r="F2356" s="37" t="s">
        <v>4559</v>
      </c>
      <c r="G2356" s="37" t="s">
        <v>3945</v>
      </c>
      <c r="H2356" s="35" t="s">
        <v>3419</v>
      </c>
      <c r="I2356" s="35" t="s">
        <v>3416</v>
      </c>
      <c r="J2356" s="38">
        <v>1.749301252471984</v>
      </c>
      <c r="K2356" s="35">
        <v>1</v>
      </c>
      <c r="L2356" s="38">
        <f t="shared" si="36"/>
        <v>1.749301252471984</v>
      </c>
      <c r="M2356" s="35" t="s">
        <v>11</v>
      </c>
      <c r="N2356" s="38"/>
      <c r="O2356" s="35" t="s">
        <v>12</v>
      </c>
    </row>
    <row r="2357" spans="1:15" x14ac:dyDescent="0.25">
      <c r="A2357" s="35">
        <v>1139260024</v>
      </c>
      <c r="B2357" s="35" t="s">
        <v>3890</v>
      </c>
      <c r="C2357" s="35">
        <v>2023</v>
      </c>
      <c r="D2357" s="36">
        <v>45283.795266203713</v>
      </c>
      <c r="E2357" s="37" t="s">
        <v>318</v>
      </c>
      <c r="F2357" s="37" t="s">
        <v>3924</v>
      </c>
      <c r="G2357" s="37" t="s">
        <v>3925</v>
      </c>
      <c r="H2357" s="35" t="s">
        <v>3415</v>
      </c>
      <c r="I2357" s="35" t="s">
        <v>3416</v>
      </c>
      <c r="J2357" s="38">
        <v>1.749301252471984</v>
      </c>
      <c r="K2357" s="35">
        <v>4</v>
      </c>
      <c r="L2357" s="38">
        <f t="shared" si="36"/>
        <v>6.9972050098879359</v>
      </c>
      <c r="M2357" s="35" t="s">
        <v>11</v>
      </c>
      <c r="N2357" s="38"/>
      <c r="O2357" s="35" t="s">
        <v>12</v>
      </c>
    </row>
    <row r="2358" spans="1:15" x14ac:dyDescent="0.25">
      <c r="A2358" s="35">
        <v>1139244084</v>
      </c>
      <c r="B2358" s="35" t="s">
        <v>3890</v>
      </c>
      <c r="C2358" s="35">
        <v>2023</v>
      </c>
      <c r="D2358" s="36">
        <v>45283.795266203713</v>
      </c>
      <c r="E2358" s="37" t="s">
        <v>1745</v>
      </c>
      <c r="F2358" s="37" t="s">
        <v>4886</v>
      </c>
      <c r="G2358" s="37" t="s">
        <v>4473</v>
      </c>
      <c r="H2358" s="35" t="s">
        <v>3419</v>
      </c>
      <c r="I2358" s="35" t="s">
        <v>3416</v>
      </c>
      <c r="J2358" s="38">
        <v>14.64</v>
      </c>
      <c r="K2358" s="35">
        <v>2</v>
      </c>
      <c r="L2358" s="38">
        <f t="shared" si="36"/>
        <v>29.28</v>
      </c>
      <c r="M2358" s="35" t="s">
        <v>11</v>
      </c>
      <c r="N2358" s="38"/>
      <c r="O2358" s="35" t="s">
        <v>12</v>
      </c>
    </row>
    <row r="2359" spans="1:15" x14ac:dyDescent="0.25">
      <c r="A2359" s="35">
        <v>1139241260</v>
      </c>
      <c r="B2359" s="35" t="s">
        <v>3890</v>
      </c>
      <c r="C2359" s="35">
        <v>2023</v>
      </c>
      <c r="D2359" s="36">
        <v>45283.795266203713</v>
      </c>
      <c r="E2359" s="37" t="s">
        <v>223</v>
      </c>
      <c r="F2359" s="37" t="s">
        <v>4559</v>
      </c>
      <c r="G2359" s="37" t="s">
        <v>3945</v>
      </c>
      <c r="H2359" s="35" t="s">
        <v>3419</v>
      </c>
      <c r="I2359" s="35" t="s">
        <v>3416</v>
      </c>
      <c r="J2359" s="38">
        <v>1.086363904452964</v>
      </c>
      <c r="K2359" s="35">
        <v>1</v>
      </c>
      <c r="L2359" s="38">
        <f t="shared" si="36"/>
        <v>1.086363904452964</v>
      </c>
      <c r="M2359" s="35" t="s">
        <v>11</v>
      </c>
      <c r="N2359" s="38"/>
      <c r="O2359" s="35" t="s">
        <v>12</v>
      </c>
    </row>
    <row r="2360" spans="1:15" x14ac:dyDescent="0.25">
      <c r="A2360" s="35">
        <v>1139241260</v>
      </c>
      <c r="B2360" s="35" t="s">
        <v>3890</v>
      </c>
      <c r="C2360" s="35">
        <v>2023</v>
      </c>
      <c r="D2360" s="36">
        <v>45283.795266203713</v>
      </c>
      <c r="E2360" s="37" t="s">
        <v>223</v>
      </c>
      <c r="F2360" s="37" t="s">
        <v>5168</v>
      </c>
      <c r="G2360" s="37" t="s">
        <v>4063</v>
      </c>
      <c r="H2360" s="35" t="s">
        <v>3419</v>
      </c>
      <c r="I2360" s="35" t="s">
        <v>3416</v>
      </c>
      <c r="J2360" s="38">
        <v>12.70121203184901</v>
      </c>
      <c r="K2360" s="35">
        <v>3</v>
      </c>
      <c r="L2360" s="38">
        <f t="shared" si="36"/>
        <v>38.103636095547031</v>
      </c>
      <c r="M2360" s="35" t="s">
        <v>11</v>
      </c>
      <c r="N2360" s="38"/>
      <c r="O2360" s="35" t="s">
        <v>12</v>
      </c>
    </row>
    <row r="2361" spans="1:15" ht="30" x14ac:dyDescent="0.25">
      <c r="A2361" s="35">
        <v>1139240939</v>
      </c>
      <c r="B2361" s="35" t="s">
        <v>3890</v>
      </c>
      <c r="C2361" s="35">
        <v>2023</v>
      </c>
      <c r="D2361" s="36">
        <v>45283.795266203713</v>
      </c>
      <c r="E2361" s="37" t="s">
        <v>882</v>
      </c>
      <c r="F2361" s="37" t="s">
        <v>4959</v>
      </c>
      <c r="G2361" s="37" t="s">
        <v>3846</v>
      </c>
      <c r="H2361" s="35" t="s">
        <v>3415</v>
      </c>
      <c r="I2361" s="35" t="s">
        <v>3416</v>
      </c>
      <c r="J2361" s="38">
        <v>20.309999999999999</v>
      </c>
      <c r="K2361" s="35">
        <v>4</v>
      </c>
      <c r="L2361" s="38">
        <f t="shared" si="36"/>
        <v>81.239999999999995</v>
      </c>
      <c r="M2361" s="35" t="s">
        <v>11</v>
      </c>
      <c r="N2361" s="38"/>
      <c r="O2361" s="35" t="s">
        <v>12</v>
      </c>
    </row>
    <row r="2362" spans="1:15" x14ac:dyDescent="0.25">
      <c r="A2362" s="35">
        <v>1139234090</v>
      </c>
      <c r="B2362" s="35" t="s">
        <v>3890</v>
      </c>
      <c r="C2362" s="35">
        <v>2023</v>
      </c>
      <c r="D2362" s="36">
        <v>45283.795266203713</v>
      </c>
      <c r="E2362" s="37" t="s">
        <v>2722</v>
      </c>
      <c r="F2362" s="37" t="s">
        <v>5304</v>
      </c>
      <c r="G2362" s="37" t="s">
        <v>5141</v>
      </c>
      <c r="H2362" s="35" t="s">
        <v>3419</v>
      </c>
      <c r="I2362" s="35" t="s">
        <v>3416</v>
      </c>
      <c r="J2362" s="38">
        <v>20.382917152858809</v>
      </c>
      <c r="K2362" s="35">
        <v>1</v>
      </c>
      <c r="L2362" s="38">
        <f t="shared" si="36"/>
        <v>20.382917152858809</v>
      </c>
      <c r="M2362" s="35" t="s">
        <v>11</v>
      </c>
      <c r="N2362" s="38"/>
      <c r="O2362" s="35" t="s">
        <v>12</v>
      </c>
    </row>
    <row r="2363" spans="1:15" x14ac:dyDescent="0.25">
      <c r="A2363" s="35">
        <v>1139234090</v>
      </c>
      <c r="B2363" s="35" t="s">
        <v>3890</v>
      </c>
      <c r="C2363" s="35">
        <v>2023</v>
      </c>
      <c r="D2363" s="36">
        <v>45283.795266203713</v>
      </c>
      <c r="E2363" s="37" t="s">
        <v>2722</v>
      </c>
      <c r="F2363" s="37" t="s">
        <v>5305</v>
      </c>
      <c r="G2363" s="37" t="s">
        <v>4220</v>
      </c>
      <c r="H2363" s="35" t="s">
        <v>3419</v>
      </c>
      <c r="I2363" s="35" t="s">
        <v>3416</v>
      </c>
      <c r="J2363" s="38">
        <v>1.061610268378063</v>
      </c>
      <c r="K2363" s="35">
        <v>2</v>
      </c>
      <c r="L2363" s="38">
        <f t="shared" si="36"/>
        <v>2.1232205367561261</v>
      </c>
      <c r="M2363" s="35" t="s">
        <v>11</v>
      </c>
      <c r="N2363" s="38"/>
      <c r="O2363" s="35" t="s">
        <v>12</v>
      </c>
    </row>
    <row r="2364" spans="1:15" x14ac:dyDescent="0.25">
      <c r="A2364" s="35">
        <v>1139234090</v>
      </c>
      <c r="B2364" s="35" t="s">
        <v>3890</v>
      </c>
      <c r="C2364" s="35">
        <v>2023</v>
      </c>
      <c r="D2364" s="36">
        <v>45283.795266203713</v>
      </c>
      <c r="E2364" s="37" t="s">
        <v>2722</v>
      </c>
      <c r="F2364" s="37" t="s">
        <v>5302</v>
      </c>
      <c r="G2364" s="37" t="s">
        <v>3457</v>
      </c>
      <c r="H2364" s="35" t="s">
        <v>3415</v>
      </c>
      <c r="I2364" s="35" t="s">
        <v>3530</v>
      </c>
      <c r="J2364" s="38">
        <v>10.350700116686109</v>
      </c>
      <c r="K2364" s="35">
        <v>4</v>
      </c>
      <c r="L2364" s="38">
        <f t="shared" si="36"/>
        <v>41.402800466744438</v>
      </c>
      <c r="M2364" s="35" t="s">
        <v>11</v>
      </c>
      <c r="N2364" s="38"/>
      <c r="O2364" s="35" t="s">
        <v>12</v>
      </c>
    </row>
    <row r="2365" spans="1:15" x14ac:dyDescent="0.25">
      <c r="A2365" s="35">
        <v>1139234090</v>
      </c>
      <c r="B2365" s="35" t="s">
        <v>3890</v>
      </c>
      <c r="C2365" s="35">
        <v>2023</v>
      </c>
      <c r="D2365" s="36">
        <v>45283.795266203713</v>
      </c>
      <c r="E2365" s="37" t="s">
        <v>2722</v>
      </c>
      <c r="F2365" s="37" t="s">
        <v>4886</v>
      </c>
      <c r="G2365" s="37" t="s">
        <v>4473</v>
      </c>
      <c r="H2365" s="35" t="s">
        <v>3419</v>
      </c>
      <c r="I2365" s="35" t="s">
        <v>3416</v>
      </c>
      <c r="J2365" s="38">
        <v>13.27012835472579</v>
      </c>
      <c r="K2365" s="35">
        <v>1</v>
      </c>
      <c r="L2365" s="38">
        <f t="shared" si="36"/>
        <v>13.27012835472579</v>
      </c>
      <c r="M2365" s="35" t="s">
        <v>11</v>
      </c>
      <c r="N2365" s="38"/>
      <c r="O2365" s="35" t="s">
        <v>12</v>
      </c>
    </row>
    <row r="2366" spans="1:15" x14ac:dyDescent="0.25">
      <c r="A2366" s="35">
        <v>1139234090</v>
      </c>
      <c r="B2366" s="35" t="s">
        <v>3890</v>
      </c>
      <c r="C2366" s="35">
        <v>2023</v>
      </c>
      <c r="D2366" s="36">
        <v>45283.795266203713</v>
      </c>
      <c r="E2366" s="37" t="s">
        <v>2722</v>
      </c>
      <c r="F2366" s="37" t="s">
        <v>4886</v>
      </c>
      <c r="G2366" s="37" t="s">
        <v>4473</v>
      </c>
      <c r="H2366" s="35" t="s">
        <v>3419</v>
      </c>
      <c r="I2366" s="35" t="s">
        <v>3416</v>
      </c>
      <c r="J2366" s="38">
        <v>13.80093348891482</v>
      </c>
      <c r="K2366" s="35">
        <v>1</v>
      </c>
      <c r="L2366" s="38">
        <f t="shared" si="36"/>
        <v>13.80093348891482</v>
      </c>
      <c r="M2366" s="35" t="s">
        <v>11</v>
      </c>
      <c r="N2366" s="38"/>
      <c r="O2366" s="35" t="s">
        <v>12</v>
      </c>
    </row>
    <row r="2367" spans="1:15" x14ac:dyDescent="0.25">
      <c r="A2367" s="35">
        <v>1139146401</v>
      </c>
      <c r="B2367" s="35" t="s">
        <v>3890</v>
      </c>
      <c r="C2367" s="35">
        <v>2023</v>
      </c>
      <c r="D2367" s="36">
        <v>45282.654097222221</v>
      </c>
      <c r="E2367" s="37" t="s">
        <v>2724</v>
      </c>
      <c r="F2367" s="37" t="s">
        <v>5306</v>
      </c>
      <c r="G2367" s="37" t="s">
        <v>5307</v>
      </c>
      <c r="H2367" s="35" t="s">
        <v>3419</v>
      </c>
      <c r="I2367" s="35" t="s">
        <v>3416</v>
      </c>
      <c r="J2367" s="38">
        <v>15.090731707317071</v>
      </c>
      <c r="K2367" s="35">
        <v>1</v>
      </c>
      <c r="L2367" s="38">
        <f t="shared" si="36"/>
        <v>15.090731707317071</v>
      </c>
      <c r="M2367" s="35" t="s">
        <v>11</v>
      </c>
      <c r="N2367" s="38"/>
      <c r="O2367" s="35" t="s">
        <v>2314</v>
      </c>
    </row>
    <row r="2368" spans="1:15" x14ac:dyDescent="0.25">
      <c r="A2368" s="35">
        <v>1139146401</v>
      </c>
      <c r="B2368" s="35" t="s">
        <v>3890</v>
      </c>
      <c r="C2368" s="35">
        <v>2023</v>
      </c>
      <c r="D2368" s="36">
        <v>45282.654097222221</v>
      </c>
      <c r="E2368" s="37" t="s">
        <v>2724</v>
      </c>
      <c r="F2368" s="37" t="s">
        <v>5308</v>
      </c>
      <c r="G2368" s="37" t="s">
        <v>5307</v>
      </c>
      <c r="H2368" s="35" t="s">
        <v>3419</v>
      </c>
      <c r="I2368" s="35" t="s">
        <v>3416</v>
      </c>
      <c r="J2368" s="38">
        <v>10.689268292682931</v>
      </c>
      <c r="K2368" s="35">
        <v>1</v>
      </c>
      <c r="L2368" s="38">
        <f t="shared" si="36"/>
        <v>10.689268292682931</v>
      </c>
      <c r="M2368" s="35" t="s">
        <v>11</v>
      </c>
      <c r="N2368" s="38"/>
      <c r="O2368" s="35" t="s">
        <v>2314</v>
      </c>
    </row>
    <row r="2369" spans="1:15" x14ac:dyDescent="0.25">
      <c r="A2369" s="35">
        <v>1139146022</v>
      </c>
      <c r="B2369" s="35" t="s">
        <v>3890</v>
      </c>
      <c r="C2369" s="35">
        <v>2023</v>
      </c>
      <c r="D2369" s="36">
        <v>45282.654097222221</v>
      </c>
      <c r="E2369" s="37" t="s">
        <v>2727</v>
      </c>
      <c r="F2369" s="37" t="s">
        <v>5309</v>
      </c>
      <c r="G2369" s="37" t="s">
        <v>5307</v>
      </c>
      <c r="H2369" s="35" t="s">
        <v>3419</v>
      </c>
      <c r="I2369" s="35" t="s">
        <v>3416</v>
      </c>
      <c r="J2369" s="38">
        <v>21.78</v>
      </c>
      <c r="K2369" s="35">
        <v>1</v>
      </c>
      <c r="L2369" s="38">
        <f t="shared" si="36"/>
        <v>21.78</v>
      </c>
      <c r="M2369" s="35" t="s">
        <v>11</v>
      </c>
      <c r="N2369" s="38"/>
      <c r="O2369" s="35" t="s">
        <v>2314</v>
      </c>
    </row>
    <row r="2370" spans="1:15" x14ac:dyDescent="0.25">
      <c r="A2370" s="35">
        <v>1139144749</v>
      </c>
      <c r="B2370" s="35" t="s">
        <v>3890</v>
      </c>
      <c r="C2370" s="35">
        <v>2023</v>
      </c>
      <c r="D2370" s="36">
        <v>45282.654097222221</v>
      </c>
      <c r="E2370" s="37" t="s">
        <v>2729</v>
      </c>
      <c r="F2370" s="37" t="s">
        <v>5310</v>
      </c>
      <c r="G2370" s="37" t="s">
        <v>5307</v>
      </c>
      <c r="H2370" s="35" t="s">
        <v>3419</v>
      </c>
      <c r="I2370" s="35" t="s">
        <v>3416</v>
      </c>
      <c r="J2370" s="38">
        <v>2.5130434782608702</v>
      </c>
      <c r="K2370" s="35">
        <v>1</v>
      </c>
      <c r="L2370" s="38">
        <f t="shared" ref="L2370:L2433" si="37">J2370*K2370</f>
        <v>2.5130434782608702</v>
      </c>
      <c r="M2370" s="35" t="s">
        <v>11</v>
      </c>
      <c r="N2370" s="38"/>
      <c r="O2370" s="35" t="s">
        <v>2314</v>
      </c>
    </row>
    <row r="2371" spans="1:15" x14ac:dyDescent="0.25">
      <c r="A2371" s="35">
        <v>1139144749</v>
      </c>
      <c r="B2371" s="35" t="s">
        <v>3890</v>
      </c>
      <c r="C2371" s="35">
        <v>2023</v>
      </c>
      <c r="D2371" s="36">
        <v>45282.654097222221</v>
      </c>
      <c r="E2371" s="37" t="s">
        <v>2729</v>
      </c>
      <c r="F2371" s="37" t="s">
        <v>5311</v>
      </c>
      <c r="G2371" s="37" t="s">
        <v>5307</v>
      </c>
      <c r="H2371" s="35" t="s">
        <v>3419</v>
      </c>
      <c r="I2371" s="35" t="s">
        <v>3416</v>
      </c>
      <c r="J2371" s="38">
        <v>0.37695652173913041</v>
      </c>
      <c r="K2371" s="35">
        <v>1</v>
      </c>
      <c r="L2371" s="38">
        <f t="shared" si="37"/>
        <v>0.37695652173913041</v>
      </c>
      <c r="M2371" s="35" t="s">
        <v>11</v>
      </c>
      <c r="N2371" s="38"/>
      <c r="O2371" s="35" t="s">
        <v>2314</v>
      </c>
    </row>
    <row r="2372" spans="1:15" x14ac:dyDescent="0.25">
      <c r="A2372" s="35">
        <v>1139144749</v>
      </c>
      <c r="B2372" s="35" t="s">
        <v>3890</v>
      </c>
      <c r="C2372" s="35">
        <v>2023</v>
      </c>
      <c r="D2372" s="36">
        <v>45282.654097222221</v>
      </c>
      <c r="E2372" s="37" t="s">
        <v>2729</v>
      </c>
      <c r="F2372" s="37" t="s">
        <v>5312</v>
      </c>
      <c r="G2372" s="37" t="s">
        <v>5307</v>
      </c>
      <c r="H2372" s="35" t="s">
        <v>3419</v>
      </c>
      <c r="I2372" s="35" t="s">
        <v>3416</v>
      </c>
      <c r="J2372" s="38">
        <v>1.2565217391304351</v>
      </c>
      <c r="K2372" s="35">
        <v>1</v>
      </c>
      <c r="L2372" s="38">
        <f t="shared" si="37"/>
        <v>1.2565217391304351</v>
      </c>
      <c r="M2372" s="35" t="s">
        <v>11</v>
      </c>
      <c r="N2372" s="38"/>
      <c r="O2372" s="35" t="s">
        <v>2314</v>
      </c>
    </row>
    <row r="2373" spans="1:15" x14ac:dyDescent="0.25">
      <c r="A2373" s="35">
        <v>1139144749</v>
      </c>
      <c r="B2373" s="35" t="s">
        <v>3890</v>
      </c>
      <c r="C2373" s="35">
        <v>2023</v>
      </c>
      <c r="D2373" s="36">
        <v>45282.654097222221</v>
      </c>
      <c r="E2373" s="37" t="s">
        <v>2729</v>
      </c>
      <c r="F2373" s="37" t="s">
        <v>5313</v>
      </c>
      <c r="G2373" s="37" t="s">
        <v>5307</v>
      </c>
      <c r="H2373" s="35" t="s">
        <v>3419</v>
      </c>
      <c r="I2373" s="35" t="s">
        <v>3416</v>
      </c>
      <c r="J2373" s="38">
        <v>1.633478260869565</v>
      </c>
      <c r="K2373" s="35">
        <v>1</v>
      </c>
      <c r="L2373" s="38">
        <f t="shared" si="37"/>
        <v>1.633478260869565</v>
      </c>
      <c r="M2373" s="35" t="s">
        <v>11</v>
      </c>
      <c r="N2373" s="38"/>
      <c r="O2373" s="35" t="s">
        <v>2314</v>
      </c>
    </row>
    <row r="2374" spans="1:15" x14ac:dyDescent="0.25">
      <c r="A2374" s="35">
        <v>1139144443</v>
      </c>
      <c r="B2374" s="35" t="s">
        <v>3890</v>
      </c>
      <c r="C2374" s="35">
        <v>2023</v>
      </c>
      <c r="D2374" s="36">
        <v>45282.654097222221</v>
      </c>
      <c r="E2374" s="37" t="s">
        <v>2731</v>
      </c>
      <c r="F2374" s="37" t="s">
        <v>5314</v>
      </c>
      <c r="G2374" s="37" t="s">
        <v>5307</v>
      </c>
      <c r="H2374" s="35" t="s">
        <v>3419</v>
      </c>
      <c r="I2374" s="35" t="s">
        <v>3416</v>
      </c>
      <c r="J2374" s="38">
        <v>0.1411889132020423</v>
      </c>
      <c r="K2374" s="35">
        <v>1</v>
      </c>
      <c r="L2374" s="38">
        <f t="shared" si="37"/>
        <v>0.1411889132020423</v>
      </c>
      <c r="M2374" s="35" t="s">
        <v>11</v>
      </c>
      <c r="N2374" s="38"/>
      <c r="O2374" s="35" t="s">
        <v>2314</v>
      </c>
    </row>
    <row r="2375" spans="1:15" x14ac:dyDescent="0.25">
      <c r="A2375" s="35">
        <v>1139144443</v>
      </c>
      <c r="B2375" s="35" t="s">
        <v>3890</v>
      </c>
      <c r="C2375" s="35">
        <v>2023</v>
      </c>
      <c r="D2375" s="36">
        <v>45282.654097222221</v>
      </c>
      <c r="E2375" s="37" t="s">
        <v>2731</v>
      </c>
      <c r="F2375" s="37" t="s">
        <v>5315</v>
      </c>
      <c r="G2375" s="37" t="s">
        <v>5307</v>
      </c>
      <c r="H2375" s="35" t="s">
        <v>3419</v>
      </c>
      <c r="I2375" s="35" t="s">
        <v>3416</v>
      </c>
      <c r="J2375" s="38">
        <v>0.35840262582056892</v>
      </c>
      <c r="K2375" s="35">
        <v>1</v>
      </c>
      <c r="L2375" s="38">
        <f t="shared" si="37"/>
        <v>0.35840262582056892</v>
      </c>
      <c r="M2375" s="35" t="s">
        <v>11</v>
      </c>
      <c r="N2375" s="38"/>
      <c r="O2375" s="35" t="s">
        <v>2314</v>
      </c>
    </row>
    <row r="2376" spans="1:15" x14ac:dyDescent="0.25">
      <c r="A2376" s="35">
        <v>1139144443</v>
      </c>
      <c r="B2376" s="35" t="s">
        <v>3890</v>
      </c>
      <c r="C2376" s="35">
        <v>2023</v>
      </c>
      <c r="D2376" s="36">
        <v>45282.654097222221</v>
      </c>
      <c r="E2376" s="37" t="s">
        <v>2731</v>
      </c>
      <c r="F2376" s="37" t="s">
        <v>5316</v>
      </c>
      <c r="G2376" s="37" t="s">
        <v>5307</v>
      </c>
      <c r="H2376" s="35" t="s">
        <v>3419</v>
      </c>
      <c r="I2376" s="35" t="s">
        <v>3416</v>
      </c>
      <c r="J2376" s="38">
        <v>0.16291028446389499</v>
      </c>
      <c r="K2376" s="35">
        <v>1</v>
      </c>
      <c r="L2376" s="38">
        <f t="shared" si="37"/>
        <v>0.16291028446389499</v>
      </c>
      <c r="M2376" s="35" t="s">
        <v>11</v>
      </c>
      <c r="N2376" s="38"/>
      <c r="O2376" s="35" t="s">
        <v>2314</v>
      </c>
    </row>
    <row r="2377" spans="1:15" x14ac:dyDescent="0.25">
      <c r="A2377" s="35">
        <v>1139144443</v>
      </c>
      <c r="B2377" s="35" t="s">
        <v>3890</v>
      </c>
      <c r="C2377" s="35">
        <v>2023</v>
      </c>
      <c r="D2377" s="36">
        <v>45282.654097222221</v>
      </c>
      <c r="E2377" s="37" t="s">
        <v>2731</v>
      </c>
      <c r="F2377" s="37" t="s">
        <v>5317</v>
      </c>
      <c r="G2377" s="37" t="s">
        <v>5307</v>
      </c>
      <c r="H2377" s="35" t="s">
        <v>3419</v>
      </c>
      <c r="I2377" s="35" t="s">
        <v>3416</v>
      </c>
      <c r="J2377" s="38">
        <v>8.688548504741064</v>
      </c>
      <c r="K2377" s="35">
        <v>1</v>
      </c>
      <c r="L2377" s="38">
        <f t="shared" si="37"/>
        <v>8.688548504741064</v>
      </c>
      <c r="M2377" s="35" t="s">
        <v>11</v>
      </c>
      <c r="N2377" s="38"/>
      <c r="O2377" s="35" t="s">
        <v>2314</v>
      </c>
    </row>
    <row r="2378" spans="1:15" x14ac:dyDescent="0.25">
      <c r="A2378" s="35">
        <v>1139144443</v>
      </c>
      <c r="B2378" s="35" t="s">
        <v>3890</v>
      </c>
      <c r="C2378" s="35">
        <v>2023</v>
      </c>
      <c r="D2378" s="36">
        <v>45282.654097222221</v>
      </c>
      <c r="E2378" s="37" t="s">
        <v>2731</v>
      </c>
      <c r="F2378" s="37" t="s">
        <v>5318</v>
      </c>
      <c r="G2378" s="37" t="s">
        <v>5307</v>
      </c>
      <c r="H2378" s="35" t="s">
        <v>3419</v>
      </c>
      <c r="I2378" s="35" t="s">
        <v>3416</v>
      </c>
      <c r="J2378" s="38">
        <v>3.258205689277899</v>
      </c>
      <c r="K2378" s="35">
        <v>1</v>
      </c>
      <c r="L2378" s="38">
        <f t="shared" si="37"/>
        <v>3.258205689277899</v>
      </c>
      <c r="M2378" s="35" t="s">
        <v>11</v>
      </c>
      <c r="N2378" s="38"/>
      <c r="O2378" s="35" t="s">
        <v>2314</v>
      </c>
    </row>
    <row r="2379" spans="1:15" x14ac:dyDescent="0.25">
      <c r="A2379" s="35">
        <v>1139144443</v>
      </c>
      <c r="B2379" s="35" t="s">
        <v>3890</v>
      </c>
      <c r="C2379" s="35">
        <v>2023</v>
      </c>
      <c r="D2379" s="36">
        <v>45282.654097222221</v>
      </c>
      <c r="E2379" s="37" t="s">
        <v>2731</v>
      </c>
      <c r="F2379" s="37" t="s">
        <v>5319</v>
      </c>
      <c r="G2379" s="37" t="s">
        <v>5307</v>
      </c>
      <c r="H2379" s="35" t="s">
        <v>3419</v>
      </c>
      <c r="I2379" s="35" t="s">
        <v>3416</v>
      </c>
      <c r="J2379" s="38">
        <v>1.086068563092633</v>
      </c>
      <c r="K2379" s="35">
        <v>1</v>
      </c>
      <c r="L2379" s="38">
        <f t="shared" si="37"/>
        <v>1.086068563092633</v>
      </c>
      <c r="M2379" s="35" t="s">
        <v>11</v>
      </c>
      <c r="N2379" s="38"/>
      <c r="O2379" s="35" t="s">
        <v>2314</v>
      </c>
    </row>
    <row r="2380" spans="1:15" x14ac:dyDescent="0.25">
      <c r="A2380" s="35">
        <v>1139144443</v>
      </c>
      <c r="B2380" s="35" t="s">
        <v>3890</v>
      </c>
      <c r="C2380" s="35">
        <v>2023</v>
      </c>
      <c r="D2380" s="36">
        <v>45282.654097222221</v>
      </c>
      <c r="E2380" s="37" t="s">
        <v>2731</v>
      </c>
      <c r="F2380" s="37" t="s">
        <v>5320</v>
      </c>
      <c r="G2380" s="37" t="s">
        <v>5307</v>
      </c>
      <c r="H2380" s="35" t="s">
        <v>3419</v>
      </c>
      <c r="I2380" s="35" t="s">
        <v>3416</v>
      </c>
      <c r="J2380" s="38">
        <v>0.1086068563092633</v>
      </c>
      <c r="K2380" s="35">
        <v>1</v>
      </c>
      <c r="L2380" s="38">
        <f t="shared" si="37"/>
        <v>0.1086068563092633</v>
      </c>
      <c r="M2380" s="35" t="s">
        <v>11</v>
      </c>
      <c r="N2380" s="38"/>
      <c r="O2380" s="35" t="s">
        <v>2314</v>
      </c>
    </row>
    <row r="2381" spans="1:15" x14ac:dyDescent="0.25">
      <c r="A2381" s="35">
        <v>1139144443</v>
      </c>
      <c r="B2381" s="35" t="s">
        <v>3890</v>
      </c>
      <c r="C2381" s="35">
        <v>2023</v>
      </c>
      <c r="D2381" s="36">
        <v>45282.654097222221</v>
      </c>
      <c r="E2381" s="37" t="s">
        <v>2731</v>
      </c>
      <c r="F2381" s="37" t="s">
        <v>5321</v>
      </c>
      <c r="G2381" s="37" t="s">
        <v>5307</v>
      </c>
      <c r="H2381" s="35" t="s">
        <v>3419</v>
      </c>
      <c r="I2381" s="35" t="s">
        <v>3416</v>
      </c>
      <c r="J2381" s="38">
        <v>0.24979576951130561</v>
      </c>
      <c r="K2381" s="35">
        <v>1</v>
      </c>
      <c r="L2381" s="38">
        <f t="shared" si="37"/>
        <v>0.24979576951130561</v>
      </c>
      <c r="M2381" s="35" t="s">
        <v>11</v>
      </c>
      <c r="N2381" s="38"/>
      <c r="O2381" s="35" t="s">
        <v>2314</v>
      </c>
    </row>
    <row r="2382" spans="1:15" x14ac:dyDescent="0.25">
      <c r="A2382" s="35">
        <v>1139144443</v>
      </c>
      <c r="B2382" s="35" t="s">
        <v>3890</v>
      </c>
      <c r="C2382" s="35">
        <v>2023</v>
      </c>
      <c r="D2382" s="36">
        <v>45282.654097222221</v>
      </c>
      <c r="E2382" s="37" t="s">
        <v>2731</v>
      </c>
      <c r="F2382" s="37" t="s">
        <v>5322</v>
      </c>
      <c r="G2382" s="37" t="s">
        <v>5307</v>
      </c>
      <c r="H2382" s="35" t="s">
        <v>3419</v>
      </c>
      <c r="I2382" s="35" t="s">
        <v>3416</v>
      </c>
      <c r="J2382" s="38">
        <v>0.17377097009482129</v>
      </c>
      <c r="K2382" s="35">
        <v>1</v>
      </c>
      <c r="L2382" s="38">
        <f t="shared" si="37"/>
        <v>0.17377097009482129</v>
      </c>
      <c r="M2382" s="35" t="s">
        <v>11</v>
      </c>
      <c r="N2382" s="38"/>
      <c r="O2382" s="35" t="s">
        <v>2314</v>
      </c>
    </row>
    <row r="2383" spans="1:15" x14ac:dyDescent="0.25">
      <c r="A2383" s="35">
        <v>1139144443</v>
      </c>
      <c r="B2383" s="35" t="s">
        <v>3890</v>
      </c>
      <c r="C2383" s="35">
        <v>2023</v>
      </c>
      <c r="D2383" s="36">
        <v>45282.654097222221</v>
      </c>
      <c r="E2383" s="37" t="s">
        <v>2731</v>
      </c>
      <c r="F2383" s="37" t="s">
        <v>5323</v>
      </c>
      <c r="G2383" s="37" t="s">
        <v>5307</v>
      </c>
      <c r="H2383" s="35" t="s">
        <v>3419</v>
      </c>
      <c r="I2383" s="35" t="s">
        <v>3416</v>
      </c>
      <c r="J2383" s="38">
        <v>0.47787016776075858</v>
      </c>
      <c r="K2383" s="35">
        <v>1</v>
      </c>
      <c r="L2383" s="38">
        <f t="shared" si="37"/>
        <v>0.47787016776075858</v>
      </c>
      <c r="M2383" s="35" t="s">
        <v>11</v>
      </c>
      <c r="N2383" s="38"/>
      <c r="O2383" s="35" t="s">
        <v>2314</v>
      </c>
    </row>
    <row r="2384" spans="1:15" x14ac:dyDescent="0.25">
      <c r="A2384" s="35">
        <v>1139144443</v>
      </c>
      <c r="B2384" s="35" t="s">
        <v>3890</v>
      </c>
      <c r="C2384" s="35">
        <v>2023</v>
      </c>
      <c r="D2384" s="36">
        <v>45282.654097222221</v>
      </c>
      <c r="E2384" s="37" t="s">
        <v>2731</v>
      </c>
      <c r="F2384" s="37" t="s">
        <v>5324</v>
      </c>
      <c r="G2384" s="37" t="s">
        <v>5307</v>
      </c>
      <c r="H2384" s="35" t="s">
        <v>3419</v>
      </c>
      <c r="I2384" s="35" t="s">
        <v>3416</v>
      </c>
      <c r="J2384" s="38">
        <v>0.18463165572574761</v>
      </c>
      <c r="K2384" s="35">
        <v>1</v>
      </c>
      <c r="L2384" s="38">
        <f t="shared" si="37"/>
        <v>0.18463165572574761</v>
      </c>
      <c r="M2384" s="35" t="s">
        <v>11</v>
      </c>
      <c r="N2384" s="38"/>
      <c r="O2384" s="35" t="s">
        <v>2314</v>
      </c>
    </row>
    <row r="2385" spans="1:15" x14ac:dyDescent="0.25">
      <c r="A2385" s="35">
        <v>1139144394</v>
      </c>
      <c r="B2385" s="35" t="s">
        <v>3890</v>
      </c>
      <c r="C2385" s="35">
        <v>2023</v>
      </c>
      <c r="D2385" s="36">
        <v>45282.654097222221</v>
      </c>
      <c r="E2385" s="37" t="s">
        <v>2733</v>
      </c>
      <c r="F2385" s="37" t="s">
        <v>5325</v>
      </c>
      <c r="G2385" s="37" t="s">
        <v>5307</v>
      </c>
      <c r="H2385" s="35" t="s">
        <v>3419</v>
      </c>
      <c r="I2385" s="35" t="s">
        <v>3416</v>
      </c>
      <c r="J2385" s="38">
        <v>5.4123408423114592</v>
      </c>
      <c r="K2385" s="35">
        <v>1</v>
      </c>
      <c r="L2385" s="38">
        <f t="shared" si="37"/>
        <v>5.4123408423114592</v>
      </c>
      <c r="M2385" s="35" t="s">
        <v>11</v>
      </c>
      <c r="N2385" s="38"/>
      <c r="O2385" s="35" t="s">
        <v>2314</v>
      </c>
    </row>
    <row r="2386" spans="1:15" x14ac:dyDescent="0.25">
      <c r="A2386" s="35">
        <v>1139144394</v>
      </c>
      <c r="B2386" s="35" t="s">
        <v>3890</v>
      </c>
      <c r="C2386" s="35">
        <v>2023</v>
      </c>
      <c r="D2386" s="36">
        <v>45282.654097222221</v>
      </c>
      <c r="E2386" s="37" t="s">
        <v>2733</v>
      </c>
      <c r="F2386" s="37" t="s">
        <v>5326</v>
      </c>
      <c r="G2386" s="37" t="s">
        <v>5307</v>
      </c>
      <c r="H2386" s="35" t="s">
        <v>3419</v>
      </c>
      <c r="I2386" s="35" t="s">
        <v>3416</v>
      </c>
      <c r="J2386" s="38">
        <v>0.51417238001958865</v>
      </c>
      <c r="K2386" s="35">
        <v>1</v>
      </c>
      <c r="L2386" s="38">
        <f t="shared" si="37"/>
        <v>0.51417238001958865</v>
      </c>
      <c r="M2386" s="35" t="s">
        <v>11</v>
      </c>
      <c r="N2386" s="38"/>
      <c r="O2386" s="35" t="s">
        <v>2314</v>
      </c>
    </row>
    <row r="2387" spans="1:15" x14ac:dyDescent="0.25">
      <c r="A2387" s="35">
        <v>1139144394</v>
      </c>
      <c r="B2387" s="35" t="s">
        <v>3890</v>
      </c>
      <c r="C2387" s="35">
        <v>2023</v>
      </c>
      <c r="D2387" s="36">
        <v>45282.654097222221</v>
      </c>
      <c r="E2387" s="37" t="s">
        <v>2733</v>
      </c>
      <c r="F2387" s="37" t="s">
        <v>5327</v>
      </c>
      <c r="G2387" s="37" t="s">
        <v>5307</v>
      </c>
      <c r="H2387" s="35" t="s">
        <v>3419</v>
      </c>
      <c r="I2387" s="35" t="s">
        <v>3416</v>
      </c>
      <c r="J2387" s="38">
        <v>2.0296278158667969</v>
      </c>
      <c r="K2387" s="35">
        <v>1</v>
      </c>
      <c r="L2387" s="38">
        <f t="shared" si="37"/>
        <v>2.0296278158667969</v>
      </c>
      <c r="M2387" s="35" t="s">
        <v>11</v>
      </c>
      <c r="N2387" s="38"/>
      <c r="O2387" s="35" t="s">
        <v>2314</v>
      </c>
    </row>
    <row r="2388" spans="1:15" ht="30" x14ac:dyDescent="0.25">
      <c r="A2388" s="35">
        <v>1139144394</v>
      </c>
      <c r="B2388" s="35" t="s">
        <v>3890</v>
      </c>
      <c r="C2388" s="35">
        <v>2023</v>
      </c>
      <c r="D2388" s="36">
        <v>45282.654097222221</v>
      </c>
      <c r="E2388" s="37" t="s">
        <v>2733</v>
      </c>
      <c r="F2388" s="37" t="s">
        <v>5328</v>
      </c>
      <c r="G2388" s="37" t="s">
        <v>5329</v>
      </c>
      <c r="H2388" s="35" t="s">
        <v>3419</v>
      </c>
      <c r="I2388" s="35" t="s">
        <v>3416</v>
      </c>
      <c r="J2388" s="38">
        <v>0.20296278158667971</v>
      </c>
      <c r="K2388" s="35">
        <v>1</v>
      </c>
      <c r="L2388" s="38">
        <f t="shared" si="37"/>
        <v>0.20296278158667971</v>
      </c>
      <c r="M2388" s="35" t="s">
        <v>11</v>
      </c>
      <c r="N2388" s="38"/>
      <c r="O2388" s="35" t="s">
        <v>12</v>
      </c>
    </row>
    <row r="2389" spans="1:15" x14ac:dyDescent="0.25">
      <c r="A2389" s="35">
        <v>1139144394</v>
      </c>
      <c r="B2389" s="35" t="s">
        <v>3890</v>
      </c>
      <c r="C2389" s="35">
        <v>2023</v>
      </c>
      <c r="D2389" s="36">
        <v>45282.654097222221</v>
      </c>
      <c r="E2389" s="37" t="s">
        <v>2733</v>
      </c>
      <c r="F2389" s="37" t="s">
        <v>5330</v>
      </c>
      <c r="G2389" s="37" t="s">
        <v>5307</v>
      </c>
      <c r="H2389" s="35" t="s">
        <v>3419</v>
      </c>
      <c r="I2389" s="35" t="s">
        <v>3416</v>
      </c>
      <c r="J2389" s="38">
        <v>0.13530852105778651</v>
      </c>
      <c r="K2389" s="35">
        <v>1</v>
      </c>
      <c r="L2389" s="38">
        <f t="shared" si="37"/>
        <v>0.13530852105778651</v>
      </c>
      <c r="M2389" s="35" t="s">
        <v>11</v>
      </c>
      <c r="N2389" s="38"/>
      <c r="O2389" s="35" t="s">
        <v>2314</v>
      </c>
    </row>
    <row r="2390" spans="1:15" x14ac:dyDescent="0.25">
      <c r="A2390" s="35">
        <v>1139144394</v>
      </c>
      <c r="B2390" s="35" t="s">
        <v>3890</v>
      </c>
      <c r="C2390" s="35">
        <v>2023</v>
      </c>
      <c r="D2390" s="36">
        <v>45282.654097222221</v>
      </c>
      <c r="E2390" s="37" t="s">
        <v>2733</v>
      </c>
      <c r="F2390" s="37" t="s">
        <v>5331</v>
      </c>
      <c r="G2390" s="37" t="s">
        <v>5307</v>
      </c>
      <c r="H2390" s="35" t="s">
        <v>3419</v>
      </c>
      <c r="I2390" s="35" t="s">
        <v>3416</v>
      </c>
      <c r="J2390" s="38">
        <v>0.27061704211557303</v>
      </c>
      <c r="K2390" s="35">
        <v>1</v>
      </c>
      <c r="L2390" s="38">
        <f t="shared" si="37"/>
        <v>0.27061704211557303</v>
      </c>
      <c r="M2390" s="35" t="s">
        <v>11</v>
      </c>
      <c r="N2390" s="38"/>
      <c r="O2390" s="35" t="s">
        <v>2314</v>
      </c>
    </row>
    <row r="2391" spans="1:15" x14ac:dyDescent="0.25">
      <c r="A2391" s="35">
        <v>1139144394</v>
      </c>
      <c r="B2391" s="35" t="s">
        <v>3890</v>
      </c>
      <c r="C2391" s="35">
        <v>2023</v>
      </c>
      <c r="D2391" s="36">
        <v>45282.654097222221</v>
      </c>
      <c r="E2391" s="37" t="s">
        <v>2733</v>
      </c>
      <c r="F2391" s="37" t="s">
        <v>5332</v>
      </c>
      <c r="G2391" s="37" t="s">
        <v>5307</v>
      </c>
      <c r="H2391" s="35" t="s">
        <v>3419</v>
      </c>
      <c r="I2391" s="35" t="s">
        <v>3416</v>
      </c>
      <c r="J2391" s="38">
        <v>0.20296278158667971</v>
      </c>
      <c r="K2391" s="35">
        <v>1</v>
      </c>
      <c r="L2391" s="38">
        <f t="shared" si="37"/>
        <v>0.20296278158667971</v>
      </c>
      <c r="M2391" s="35" t="s">
        <v>11</v>
      </c>
      <c r="N2391" s="38"/>
      <c r="O2391" s="35" t="s">
        <v>2314</v>
      </c>
    </row>
    <row r="2392" spans="1:15" x14ac:dyDescent="0.25">
      <c r="A2392" s="35">
        <v>1139144394</v>
      </c>
      <c r="B2392" s="35" t="s">
        <v>3890</v>
      </c>
      <c r="C2392" s="35">
        <v>2023</v>
      </c>
      <c r="D2392" s="36">
        <v>45282.654097222221</v>
      </c>
      <c r="E2392" s="37" t="s">
        <v>2733</v>
      </c>
      <c r="F2392" s="37" t="s">
        <v>5333</v>
      </c>
      <c r="G2392" s="37" t="s">
        <v>5307</v>
      </c>
      <c r="H2392" s="35" t="s">
        <v>3419</v>
      </c>
      <c r="I2392" s="35" t="s">
        <v>3416</v>
      </c>
      <c r="J2392" s="38">
        <v>0.13530852105778651</v>
      </c>
      <c r="K2392" s="35">
        <v>1</v>
      </c>
      <c r="L2392" s="38">
        <f t="shared" si="37"/>
        <v>0.13530852105778651</v>
      </c>
      <c r="M2392" s="35" t="s">
        <v>11</v>
      </c>
      <c r="N2392" s="38"/>
      <c r="O2392" s="35" t="s">
        <v>2314</v>
      </c>
    </row>
    <row r="2393" spans="1:15" x14ac:dyDescent="0.25">
      <c r="A2393" s="35">
        <v>1139144394</v>
      </c>
      <c r="B2393" s="35" t="s">
        <v>3890</v>
      </c>
      <c r="C2393" s="35">
        <v>2023</v>
      </c>
      <c r="D2393" s="36">
        <v>45282.654097222221</v>
      </c>
      <c r="E2393" s="37" t="s">
        <v>2733</v>
      </c>
      <c r="F2393" s="37" t="s">
        <v>5334</v>
      </c>
      <c r="G2393" s="37" t="s">
        <v>5307</v>
      </c>
      <c r="H2393" s="35" t="s">
        <v>3419</v>
      </c>
      <c r="I2393" s="35" t="s">
        <v>3416</v>
      </c>
      <c r="J2393" s="38">
        <v>0.1623702252693438</v>
      </c>
      <c r="K2393" s="35">
        <v>1</v>
      </c>
      <c r="L2393" s="38">
        <f t="shared" si="37"/>
        <v>0.1623702252693438</v>
      </c>
      <c r="M2393" s="35" t="s">
        <v>11</v>
      </c>
      <c r="N2393" s="38"/>
      <c r="O2393" s="35" t="s">
        <v>2314</v>
      </c>
    </row>
    <row r="2394" spans="1:15" ht="30" x14ac:dyDescent="0.25">
      <c r="A2394" s="35">
        <v>1139144394</v>
      </c>
      <c r="B2394" s="35" t="s">
        <v>3890</v>
      </c>
      <c r="C2394" s="35">
        <v>2023</v>
      </c>
      <c r="D2394" s="36">
        <v>45282.654097222221</v>
      </c>
      <c r="E2394" s="37" t="s">
        <v>2733</v>
      </c>
      <c r="F2394" s="37" t="s">
        <v>5335</v>
      </c>
      <c r="G2394" s="37" t="s">
        <v>5307</v>
      </c>
      <c r="H2394" s="35" t="s">
        <v>3419</v>
      </c>
      <c r="I2394" s="35" t="s">
        <v>3416</v>
      </c>
      <c r="J2394" s="38">
        <v>0.1623702252693438</v>
      </c>
      <c r="K2394" s="35">
        <v>1</v>
      </c>
      <c r="L2394" s="38">
        <f t="shared" si="37"/>
        <v>0.1623702252693438</v>
      </c>
      <c r="M2394" s="35" t="s">
        <v>11</v>
      </c>
      <c r="N2394" s="38"/>
      <c r="O2394" s="35" t="s">
        <v>2314</v>
      </c>
    </row>
    <row r="2395" spans="1:15" x14ac:dyDescent="0.25">
      <c r="A2395" s="35">
        <v>1139144394</v>
      </c>
      <c r="B2395" s="35" t="s">
        <v>3890</v>
      </c>
      <c r="C2395" s="35">
        <v>2023</v>
      </c>
      <c r="D2395" s="36">
        <v>45282.654097222221</v>
      </c>
      <c r="E2395" s="37" t="s">
        <v>2733</v>
      </c>
      <c r="F2395" s="37" t="s">
        <v>5336</v>
      </c>
      <c r="G2395" s="37" t="s">
        <v>5307</v>
      </c>
      <c r="H2395" s="35" t="s">
        <v>3419</v>
      </c>
      <c r="I2395" s="35" t="s">
        <v>3416</v>
      </c>
      <c r="J2395" s="38">
        <v>6.7654260528893242E-2</v>
      </c>
      <c r="K2395" s="35">
        <v>1</v>
      </c>
      <c r="L2395" s="38">
        <f t="shared" si="37"/>
        <v>6.7654260528893242E-2</v>
      </c>
      <c r="M2395" s="35" t="s">
        <v>11</v>
      </c>
      <c r="N2395" s="38"/>
      <c r="O2395" s="35" t="s">
        <v>2314</v>
      </c>
    </row>
    <row r="2396" spans="1:15" x14ac:dyDescent="0.25">
      <c r="A2396" s="35">
        <v>1139144394</v>
      </c>
      <c r="B2396" s="35" t="s">
        <v>3890</v>
      </c>
      <c r="C2396" s="35">
        <v>2023</v>
      </c>
      <c r="D2396" s="36">
        <v>45282.654097222221</v>
      </c>
      <c r="E2396" s="37" t="s">
        <v>2733</v>
      </c>
      <c r="F2396" s="37" t="s">
        <v>5337</v>
      </c>
      <c r="G2396" s="37" t="s">
        <v>5307</v>
      </c>
      <c r="H2396" s="35" t="s">
        <v>3419</v>
      </c>
      <c r="I2396" s="35" t="s">
        <v>3416</v>
      </c>
      <c r="J2396" s="38">
        <v>6.7654260528893242E-2</v>
      </c>
      <c r="K2396" s="35">
        <v>1</v>
      </c>
      <c r="L2396" s="38">
        <f t="shared" si="37"/>
        <v>6.7654260528893242E-2</v>
      </c>
      <c r="M2396" s="35" t="s">
        <v>11</v>
      </c>
      <c r="N2396" s="38"/>
      <c r="O2396" s="35" t="s">
        <v>2314</v>
      </c>
    </row>
    <row r="2397" spans="1:15" x14ac:dyDescent="0.25">
      <c r="A2397" s="35">
        <v>1139144394</v>
      </c>
      <c r="B2397" s="35" t="s">
        <v>3890</v>
      </c>
      <c r="C2397" s="35">
        <v>2023</v>
      </c>
      <c r="D2397" s="36">
        <v>45282.654097222221</v>
      </c>
      <c r="E2397" s="37" t="s">
        <v>2733</v>
      </c>
      <c r="F2397" s="37" t="s">
        <v>5338</v>
      </c>
      <c r="G2397" s="37" t="s">
        <v>5307</v>
      </c>
      <c r="H2397" s="35" t="s">
        <v>3419</v>
      </c>
      <c r="I2397" s="35" t="s">
        <v>3416</v>
      </c>
      <c r="J2397" s="38">
        <v>6.7654260528893242E-2</v>
      </c>
      <c r="K2397" s="35">
        <v>1</v>
      </c>
      <c r="L2397" s="38">
        <f t="shared" si="37"/>
        <v>6.7654260528893242E-2</v>
      </c>
      <c r="M2397" s="35" t="s">
        <v>11</v>
      </c>
      <c r="N2397" s="38"/>
      <c r="O2397" s="35" t="s">
        <v>2314</v>
      </c>
    </row>
    <row r="2398" spans="1:15" x14ac:dyDescent="0.25">
      <c r="A2398" s="35">
        <v>1139144394</v>
      </c>
      <c r="B2398" s="35" t="s">
        <v>3890</v>
      </c>
      <c r="C2398" s="35">
        <v>2023</v>
      </c>
      <c r="D2398" s="36">
        <v>45282.654097222221</v>
      </c>
      <c r="E2398" s="37" t="s">
        <v>2733</v>
      </c>
      <c r="F2398" s="37" t="s">
        <v>5339</v>
      </c>
      <c r="G2398" s="37" t="s">
        <v>5307</v>
      </c>
      <c r="H2398" s="35" t="s">
        <v>3419</v>
      </c>
      <c r="I2398" s="35" t="s">
        <v>3416</v>
      </c>
      <c r="J2398" s="38">
        <v>6.7654260528893242E-2</v>
      </c>
      <c r="K2398" s="35">
        <v>1</v>
      </c>
      <c r="L2398" s="38">
        <f t="shared" si="37"/>
        <v>6.7654260528893242E-2</v>
      </c>
      <c r="M2398" s="35" t="s">
        <v>11</v>
      </c>
      <c r="N2398" s="38"/>
      <c r="O2398" s="35" t="s">
        <v>2314</v>
      </c>
    </row>
    <row r="2399" spans="1:15" x14ac:dyDescent="0.25">
      <c r="A2399" s="35">
        <v>1139144394</v>
      </c>
      <c r="B2399" s="35" t="s">
        <v>3890</v>
      </c>
      <c r="C2399" s="35">
        <v>2023</v>
      </c>
      <c r="D2399" s="36">
        <v>45282.654097222221</v>
      </c>
      <c r="E2399" s="37" t="s">
        <v>2733</v>
      </c>
      <c r="F2399" s="37" t="s">
        <v>5340</v>
      </c>
      <c r="G2399" s="37" t="s">
        <v>5307</v>
      </c>
      <c r="H2399" s="35" t="s">
        <v>3419</v>
      </c>
      <c r="I2399" s="35" t="s">
        <v>3416</v>
      </c>
      <c r="J2399" s="38">
        <v>6.7654260528893242E-2</v>
      </c>
      <c r="K2399" s="35">
        <v>1</v>
      </c>
      <c r="L2399" s="38">
        <f t="shared" si="37"/>
        <v>6.7654260528893242E-2</v>
      </c>
      <c r="M2399" s="35" t="s">
        <v>11</v>
      </c>
      <c r="N2399" s="38"/>
      <c r="O2399" s="35" t="s">
        <v>2314</v>
      </c>
    </row>
    <row r="2400" spans="1:15" x14ac:dyDescent="0.25">
      <c r="A2400" s="35">
        <v>1139144394</v>
      </c>
      <c r="B2400" s="35" t="s">
        <v>3890</v>
      </c>
      <c r="C2400" s="35">
        <v>2023</v>
      </c>
      <c r="D2400" s="36">
        <v>45282.654097222221</v>
      </c>
      <c r="E2400" s="37" t="s">
        <v>2733</v>
      </c>
      <c r="F2400" s="37" t="s">
        <v>5341</v>
      </c>
      <c r="G2400" s="37" t="s">
        <v>5307</v>
      </c>
      <c r="H2400" s="35" t="s">
        <v>3419</v>
      </c>
      <c r="I2400" s="35" t="s">
        <v>3416</v>
      </c>
      <c r="J2400" s="38">
        <v>6.7654260528893242E-2</v>
      </c>
      <c r="K2400" s="35">
        <v>1</v>
      </c>
      <c r="L2400" s="38">
        <f t="shared" si="37"/>
        <v>6.7654260528893242E-2</v>
      </c>
      <c r="M2400" s="35" t="s">
        <v>11</v>
      </c>
      <c r="N2400" s="38"/>
      <c r="O2400" s="35" t="s">
        <v>2314</v>
      </c>
    </row>
    <row r="2401" spans="1:15" x14ac:dyDescent="0.25">
      <c r="A2401" s="35">
        <v>1139144394</v>
      </c>
      <c r="B2401" s="35" t="s">
        <v>3890</v>
      </c>
      <c r="C2401" s="35">
        <v>2023</v>
      </c>
      <c r="D2401" s="36">
        <v>45282.654097222221</v>
      </c>
      <c r="E2401" s="37" t="s">
        <v>2733</v>
      </c>
      <c r="F2401" s="37" t="s">
        <v>5342</v>
      </c>
      <c r="G2401" s="37" t="s">
        <v>5307</v>
      </c>
      <c r="H2401" s="35" t="s">
        <v>3419</v>
      </c>
      <c r="I2401" s="35" t="s">
        <v>3416</v>
      </c>
      <c r="J2401" s="38">
        <v>0.93362879529872667</v>
      </c>
      <c r="K2401" s="35">
        <v>1</v>
      </c>
      <c r="L2401" s="38">
        <f t="shared" si="37"/>
        <v>0.93362879529872667</v>
      </c>
      <c r="M2401" s="35" t="s">
        <v>11</v>
      </c>
      <c r="N2401" s="38"/>
      <c r="O2401" s="35" t="s">
        <v>2314</v>
      </c>
    </row>
    <row r="2402" spans="1:15" x14ac:dyDescent="0.25">
      <c r="A2402" s="35">
        <v>1139144394</v>
      </c>
      <c r="B2402" s="35" t="s">
        <v>3890</v>
      </c>
      <c r="C2402" s="35">
        <v>2023</v>
      </c>
      <c r="D2402" s="36">
        <v>45282.654097222221</v>
      </c>
      <c r="E2402" s="37" t="s">
        <v>2733</v>
      </c>
      <c r="F2402" s="37" t="s">
        <v>5343</v>
      </c>
      <c r="G2402" s="37" t="s">
        <v>5307</v>
      </c>
      <c r="H2402" s="35" t="s">
        <v>3419</v>
      </c>
      <c r="I2402" s="35" t="s">
        <v>3416</v>
      </c>
      <c r="J2402" s="38">
        <v>0.27061704211557303</v>
      </c>
      <c r="K2402" s="35">
        <v>1</v>
      </c>
      <c r="L2402" s="38">
        <f t="shared" si="37"/>
        <v>0.27061704211557303</v>
      </c>
      <c r="M2402" s="35" t="s">
        <v>11</v>
      </c>
      <c r="N2402" s="38"/>
      <c r="O2402" s="35" t="s">
        <v>2314</v>
      </c>
    </row>
    <row r="2403" spans="1:15" x14ac:dyDescent="0.25">
      <c r="A2403" s="35">
        <v>1139144394</v>
      </c>
      <c r="B2403" s="35" t="s">
        <v>3890</v>
      </c>
      <c r="C2403" s="35">
        <v>2023</v>
      </c>
      <c r="D2403" s="36">
        <v>45282.654097222221</v>
      </c>
      <c r="E2403" s="37" t="s">
        <v>2733</v>
      </c>
      <c r="F2403" s="37" t="s">
        <v>5344</v>
      </c>
      <c r="G2403" s="37" t="s">
        <v>5307</v>
      </c>
      <c r="H2403" s="35" t="s">
        <v>3419</v>
      </c>
      <c r="I2403" s="35" t="s">
        <v>3416</v>
      </c>
      <c r="J2403" s="38">
        <v>0.24355533790401571</v>
      </c>
      <c r="K2403" s="35">
        <v>1</v>
      </c>
      <c r="L2403" s="38">
        <f t="shared" si="37"/>
        <v>0.24355533790401571</v>
      </c>
      <c r="M2403" s="35" t="s">
        <v>11</v>
      </c>
      <c r="N2403" s="38"/>
      <c r="O2403" s="35" t="s">
        <v>2314</v>
      </c>
    </row>
    <row r="2404" spans="1:15" x14ac:dyDescent="0.25">
      <c r="A2404" s="35">
        <v>1139144394</v>
      </c>
      <c r="B2404" s="35" t="s">
        <v>3890</v>
      </c>
      <c r="C2404" s="35">
        <v>2023</v>
      </c>
      <c r="D2404" s="36">
        <v>45282.654097222221</v>
      </c>
      <c r="E2404" s="37" t="s">
        <v>2733</v>
      </c>
      <c r="F2404" s="37" t="s">
        <v>5345</v>
      </c>
      <c r="G2404" s="37" t="s">
        <v>5307</v>
      </c>
      <c r="H2404" s="35" t="s">
        <v>3419</v>
      </c>
      <c r="I2404" s="35" t="s">
        <v>3416</v>
      </c>
      <c r="J2404" s="38">
        <v>0.13530852105778651</v>
      </c>
      <c r="K2404" s="35">
        <v>1</v>
      </c>
      <c r="L2404" s="38">
        <f t="shared" si="37"/>
        <v>0.13530852105778651</v>
      </c>
      <c r="M2404" s="35" t="s">
        <v>11</v>
      </c>
      <c r="N2404" s="38"/>
      <c r="O2404" s="35" t="s">
        <v>2314</v>
      </c>
    </row>
    <row r="2405" spans="1:15" x14ac:dyDescent="0.25">
      <c r="A2405" s="35">
        <v>1139144394</v>
      </c>
      <c r="B2405" s="35" t="s">
        <v>3890</v>
      </c>
      <c r="C2405" s="35">
        <v>2023</v>
      </c>
      <c r="D2405" s="36">
        <v>45282.654097222221</v>
      </c>
      <c r="E2405" s="37" t="s">
        <v>2733</v>
      </c>
      <c r="F2405" s="37" t="s">
        <v>5346</v>
      </c>
      <c r="G2405" s="37" t="s">
        <v>5307</v>
      </c>
      <c r="H2405" s="35" t="s">
        <v>3419</v>
      </c>
      <c r="I2405" s="35" t="s">
        <v>3416</v>
      </c>
      <c r="J2405" s="38">
        <v>0.13530852105778651</v>
      </c>
      <c r="K2405" s="35">
        <v>1</v>
      </c>
      <c r="L2405" s="38">
        <f t="shared" si="37"/>
        <v>0.13530852105778651</v>
      </c>
      <c r="M2405" s="35" t="s">
        <v>11</v>
      </c>
      <c r="N2405" s="38"/>
      <c r="O2405" s="35" t="s">
        <v>2314</v>
      </c>
    </row>
    <row r="2406" spans="1:15" x14ac:dyDescent="0.25">
      <c r="A2406" s="35">
        <v>1139144394</v>
      </c>
      <c r="B2406" s="35" t="s">
        <v>3890</v>
      </c>
      <c r="C2406" s="35">
        <v>2023</v>
      </c>
      <c r="D2406" s="36">
        <v>45282.654097222221</v>
      </c>
      <c r="E2406" s="37" t="s">
        <v>2733</v>
      </c>
      <c r="F2406" s="37" t="s">
        <v>5347</v>
      </c>
      <c r="G2406" s="37" t="s">
        <v>5307</v>
      </c>
      <c r="H2406" s="35" t="s">
        <v>3419</v>
      </c>
      <c r="I2406" s="35" t="s">
        <v>3416</v>
      </c>
      <c r="J2406" s="38">
        <v>0.27061704211557303</v>
      </c>
      <c r="K2406" s="35">
        <v>1</v>
      </c>
      <c r="L2406" s="38">
        <f t="shared" si="37"/>
        <v>0.27061704211557303</v>
      </c>
      <c r="M2406" s="35" t="s">
        <v>11</v>
      </c>
      <c r="N2406" s="38"/>
      <c r="O2406" s="35" t="s">
        <v>2314</v>
      </c>
    </row>
    <row r="2407" spans="1:15" x14ac:dyDescent="0.25">
      <c r="A2407" s="35">
        <v>1139144394</v>
      </c>
      <c r="B2407" s="35" t="s">
        <v>3890</v>
      </c>
      <c r="C2407" s="35">
        <v>2023</v>
      </c>
      <c r="D2407" s="36">
        <v>45282.654097222221</v>
      </c>
      <c r="E2407" s="37" t="s">
        <v>2733</v>
      </c>
      <c r="F2407" s="37" t="s">
        <v>5348</v>
      </c>
      <c r="G2407" s="37" t="s">
        <v>5307</v>
      </c>
      <c r="H2407" s="35" t="s">
        <v>3419</v>
      </c>
      <c r="I2407" s="35" t="s">
        <v>3416</v>
      </c>
      <c r="J2407" s="38">
        <v>0.13530852105778651</v>
      </c>
      <c r="K2407" s="35">
        <v>1</v>
      </c>
      <c r="L2407" s="38">
        <f t="shared" si="37"/>
        <v>0.13530852105778651</v>
      </c>
      <c r="M2407" s="35" t="s">
        <v>11</v>
      </c>
      <c r="N2407" s="38"/>
      <c r="O2407" s="35" t="s">
        <v>2314</v>
      </c>
    </row>
    <row r="2408" spans="1:15" x14ac:dyDescent="0.25">
      <c r="A2408" s="35">
        <v>1139144394</v>
      </c>
      <c r="B2408" s="35" t="s">
        <v>3890</v>
      </c>
      <c r="C2408" s="35">
        <v>2023</v>
      </c>
      <c r="D2408" s="36">
        <v>45282.654097222221</v>
      </c>
      <c r="E2408" s="37" t="s">
        <v>2733</v>
      </c>
      <c r="F2408" s="37" t="s">
        <v>5349</v>
      </c>
      <c r="G2408" s="37" t="s">
        <v>5307</v>
      </c>
      <c r="H2408" s="35" t="s">
        <v>3419</v>
      </c>
      <c r="I2408" s="35" t="s">
        <v>3416</v>
      </c>
      <c r="J2408" s="38">
        <v>0.3382713026444662</v>
      </c>
      <c r="K2408" s="35">
        <v>1</v>
      </c>
      <c r="L2408" s="38">
        <f t="shared" si="37"/>
        <v>0.3382713026444662</v>
      </c>
      <c r="M2408" s="35" t="s">
        <v>11</v>
      </c>
      <c r="N2408" s="38"/>
      <c r="O2408" s="35" t="s">
        <v>2314</v>
      </c>
    </row>
    <row r="2409" spans="1:15" x14ac:dyDescent="0.25">
      <c r="A2409" s="35">
        <v>1139144394</v>
      </c>
      <c r="B2409" s="35" t="s">
        <v>3890</v>
      </c>
      <c r="C2409" s="35">
        <v>2023</v>
      </c>
      <c r="D2409" s="36">
        <v>45282.654097222221</v>
      </c>
      <c r="E2409" s="37" t="s">
        <v>2733</v>
      </c>
      <c r="F2409" s="37" t="s">
        <v>5350</v>
      </c>
      <c r="G2409" s="37" t="s">
        <v>5307</v>
      </c>
      <c r="H2409" s="35" t="s">
        <v>3419</v>
      </c>
      <c r="I2409" s="35" t="s">
        <v>3416</v>
      </c>
      <c r="J2409" s="38">
        <v>6.7654260528893242E-2</v>
      </c>
      <c r="K2409" s="35">
        <v>1</v>
      </c>
      <c r="L2409" s="38">
        <f t="shared" si="37"/>
        <v>6.7654260528893242E-2</v>
      </c>
      <c r="M2409" s="35" t="s">
        <v>11</v>
      </c>
      <c r="N2409" s="38"/>
      <c r="O2409" s="35" t="s">
        <v>2314</v>
      </c>
    </row>
    <row r="2410" spans="1:15" x14ac:dyDescent="0.25">
      <c r="A2410" s="35">
        <v>1139144394</v>
      </c>
      <c r="B2410" s="35" t="s">
        <v>3890</v>
      </c>
      <c r="C2410" s="35">
        <v>2023</v>
      </c>
      <c r="D2410" s="36">
        <v>45282.654097222221</v>
      </c>
      <c r="E2410" s="37" t="s">
        <v>2733</v>
      </c>
      <c r="F2410" s="37" t="s">
        <v>5351</v>
      </c>
      <c r="G2410" s="37" t="s">
        <v>5307</v>
      </c>
      <c r="H2410" s="35" t="s">
        <v>3419</v>
      </c>
      <c r="I2410" s="35" t="s">
        <v>3416</v>
      </c>
      <c r="J2410" s="38">
        <v>0.10824681684622919</v>
      </c>
      <c r="K2410" s="35">
        <v>1</v>
      </c>
      <c r="L2410" s="38">
        <f t="shared" si="37"/>
        <v>0.10824681684622919</v>
      </c>
      <c r="M2410" s="35" t="s">
        <v>11</v>
      </c>
      <c r="N2410" s="38"/>
      <c r="O2410" s="35" t="s">
        <v>2314</v>
      </c>
    </row>
    <row r="2411" spans="1:15" x14ac:dyDescent="0.25">
      <c r="A2411" s="35">
        <v>1139144394</v>
      </c>
      <c r="B2411" s="35" t="s">
        <v>3890</v>
      </c>
      <c r="C2411" s="35">
        <v>2023</v>
      </c>
      <c r="D2411" s="36">
        <v>45282.654097222221</v>
      </c>
      <c r="E2411" s="37" t="s">
        <v>2733</v>
      </c>
      <c r="F2411" s="37" t="s">
        <v>5352</v>
      </c>
      <c r="G2411" s="37" t="s">
        <v>5307</v>
      </c>
      <c r="H2411" s="35" t="s">
        <v>3419</v>
      </c>
      <c r="I2411" s="35" t="s">
        <v>3416</v>
      </c>
      <c r="J2411" s="38">
        <v>0.1623702252693438</v>
      </c>
      <c r="K2411" s="35">
        <v>1</v>
      </c>
      <c r="L2411" s="38">
        <f t="shared" si="37"/>
        <v>0.1623702252693438</v>
      </c>
      <c r="M2411" s="35" t="s">
        <v>11</v>
      </c>
      <c r="N2411" s="38"/>
      <c r="O2411" s="35" t="s">
        <v>2314</v>
      </c>
    </row>
    <row r="2412" spans="1:15" x14ac:dyDescent="0.25">
      <c r="A2412" s="35">
        <v>1139144394</v>
      </c>
      <c r="B2412" s="35" t="s">
        <v>3890</v>
      </c>
      <c r="C2412" s="35">
        <v>2023</v>
      </c>
      <c r="D2412" s="36">
        <v>45282.654097222221</v>
      </c>
      <c r="E2412" s="37" t="s">
        <v>2733</v>
      </c>
      <c r="F2412" s="37" t="s">
        <v>5353</v>
      </c>
      <c r="G2412" s="37" t="s">
        <v>5307</v>
      </c>
      <c r="H2412" s="35" t="s">
        <v>3419</v>
      </c>
      <c r="I2412" s="35" t="s">
        <v>3416</v>
      </c>
      <c r="J2412" s="38">
        <v>0.13530852105778651</v>
      </c>
      <c r="K2412" s="35">
        <v>1</v>
      </c>
      <c r="L2412" s="38">
        <f t="shared" si="37"/>
        <v>0.13530852105778651</v>
      </c>
      <c r="M2412" s="35" t="s">
        <v>11</v>
      </c>
      <c r="N2412" s="38"/>
      <c r="O2412" s="35" t="s">
        <v>2314</v>
      </c>
    </row>
    <row r="2413" spans="1:15" x14ac:dyDescent="0.25">
      <c r="A2413" s="35">
        <v>1139144394</v>
      </c>
      <c r="B2413" s="35" t="s">
        <v>3890</v>
      </c>
      <c r="C2413" s="35">
        <v>2023</v>
      </c>
      <c r="D2413" s="36">
        <v>45282.654097222221</v>
      </c>
      <c r="E2413" s="37" t="s">
        <v>2733</v>
      </c>
      <c r="F2413" s="37" t="s">
        <v>5354</v>
      </c>
      <c r="G2413" s="37" t="s">
        <v>5307</v>
      </c>
      <c r="H2413" s="35" t="s">
        <v>3419</v>
      </c>
      <c r="I2413" s="35" t="s">
        <v>3416</v>
      </c>
      <c r="J2413" s="38">
        <v>9.4715964740450548E-2</v>
      </c>
      <c r="K2413" s="35">
        <v>1</v>
      </c>
      <c r="L2413" s="38">
        <f t="shared" si="37"/>
        <v>9.4715964740450548E-2</v>
      </c>
      <c r="M2413" s="35" t="s">
        <v>11</v>
      </c>
      <c r="N2413" s="38"/>
      <c r="O2413" s="35" t="s">
        <v>2314</v>
      </c>
    </row>
    <row r="2414" spans="1:15" x14ac:dyDescent="0.25">
      <c r="A2414" s="35">
        <v>1139144394</v>
      </c>
      <c r="B2414" s="35" t="s">
        <v>3890</v>
      </c>
      <c r="C2414" s="35">
        <v>2023</v>
      </c>
      <c r="D2414" s="36">
        <v>45282.654097222221</v>
      </c>
      <c r="E2414" s="37" t="s">
        <v>2733</v>
      </c>
      <c r="F2414" s="37" t="s">
        <v>5355</v>
      </c>
      <c r="G2414" s="37" t="s">
        <v>5307</v>
      </c>
      <c r="H2414" s="35" t="s">
        <v>3419</v>
      </c>
      <c r="I2414" s="35" t="s">
        <v>3416</v>
      </c>
      <c r="J2414" s="38">
        <v>9.4715964740450548E-2</v>
      </c>
      <c r="K2414" s="35">
        <v>1</v>
      </c>
      <c r="L2414" s="38">
        <f t="shared" si="37"/>
        <v>9.4715964740450548E-2</v>
      </c>
      <c r="M2414" s="35" t="s">
        <v>11</v>
      </c>
      <c r="N2414" s="38"/>
      <c r="O2414" s="35" t="s">
        <v>2314</v>
      </c>
    </row>
    <row r="2415" spans="1:15" x14ac:dyDescent="0.25">
      <c r="A2415" s="35">
        <v>1139144394</v>
      </c>
      <c r="B2415" s="35" t="s">
        <v>3890</v>
      </c>
      <c r="C2415" s="35">
        <v>2023</v>
      </c>
      <c r="D2415" s="36">
        <v>45282.654097222221</v>
      </c>
      <c r="E2415" s="37" t="s">
        <v>2733</v>
      </c>
      <c r="F2415" s="37" t="s">
        <v>5356</v>
      </c>
      <c r="G2415" s="37" t="s">
        <v>5307</v>
      </c>
      <c r="H2415" s="35" t="s">
        <v>3419</v>
      </c>
      <c r="I2415" s="35" t="s">
        <v>3416</v>
      </c>
      <c r="J2415" s="38">
        <v>6.7654260528893242E-2</v>
      </c>
      <c r="K2415" s="35">
        <v>1</v>
      </c>
      <c r="L2415" s="38">
        <f t="shared" si="37"/>
        <v>6.7654260528893242E-2</v>
      </c>
      <c r="M2415" s="35" t="s">
        <v>11</v>
      </c>
      <c r="N2415" s="38"/>
      <c r="O2415" s="35" t="s">
        <v>2314</v>
      </c>
    </row>
    <row r="2416" spans="1:15" x14ac:dyDescent="0.25">
      <c r="A2416" s="35">
        <v>1139144394</v>
      </c>
      <c r="B2416" s="35" t="s">
        <v>3890</v>
      </c>
      <c r="C2416" s="35">
        <v>2023</v>
      </c>
      <c r="D2416" s="36">
        <v>45282.654097222221</v>
      </c>
      <c r="E2416" s="37" t="s">
        <v>2733</v>
      </c>
      <c r="F2416" s="37" t="s">
        <v>5357</v>
      </c>
      <c r="G2416" s="37" t="s">
        <v>5307</v>
      </c>
      <c r="H2416" s="35" t="s">
        <v>3419</v>
      </c>
      <c r="I2416" s="35" t="s">
        <v>3416</v>
      </c>
      <c r="J2416" s="38">
        <v>6.7654260528893242E-2</v>
      </c>
      <c r="K2416" s="35">
        <v>1</v>
      </c>
      <c r="L2416" s="38">
        <f t="shared" si="37"/>
        <v>6.7654260528893242E-2</v>
      </c>
      <c r="M2416" s="35" t="s">
        <v>11</v>
      </c>
      <c r="N2416" s="38"/>
      <c r="O2416" s="35" t="s">
        <v>2314</v>
      </c>
    </row>
    <row r="2417" spans="1:15" x14ac:dyDescent="0.25">
      <c r="A2417" s="35">
        <v>1139144394</v>
      </c>
      <c r="B2417" s="35" t="s">
        <v>3890</v>
      </c>
      <c r="C2417" s="35">
        <v>2023</v>
      </c>
      <c r="D2417" s="36">
        <v>45282.654097222221</v>
      </c>
      <c r="E2417" s="37" t="s">
        <v>2733</v>
      </c>
      <c r="F2417" s="37" t="s">
        <v>5358</v>
      </c>
      <c r="G2417" s="37" t="s">
        <v>5307</v>
      </c>
      <c r="H2417" s="35" t="s">
        <v>3419</v>
      </c>
      <c r="I2417" s="35" t="s">
        <v>3416</v>
      </c>
      <c r="J2417" s="38">
        <v>6.7654260528893242E-2</v>
      </c>
      <c r="K2417" s="35">
        <v>1</v>
      </c>
      <c r="L2417" s="38">
        <f t="shared" si="37"/>
        <v>6.7654260528893242E-2</v>
      </c>
      <c r="M2417" s="35" t="s">
        <v>11</v>
      </c>
      <c r="N2417" s="38"/>
      <c r="O2417" s="35" t="s">
        <v>2314</v>
      </c>
    </row>
    <row r="2418" spans="1:15" x14ac:dyDescent="0.25">
      <c r="A2418" s="35">
        <v>1139144394</v>
      </c>
      <c r="B2418" s="35" t="s">
        <v>3890</v>
      </c>
      <c r="C2418" s="35">
        <v>2023</v>
      </c>
      <c r="D2418" s="36">
        <v>45282.654097222221</v>
      </c>
      <c r="E2418" s="37" t="s">
        <v>2733</v>
      </c>
      <c r="F2418" s="37" t="s">
        <v>5359</v>
      </c>
      <c r="G2418" s="37" t="s">
        <v>5307</v>
      </c>
      <c r="H2418" s="35" t="s">
        <v>3419</v>
      </c>
      <c r="I2418" s="35" t="s">
        <v>3416</v>
      </c>
      <c r="J2418" s="38">
        <v>6.7654260528893242E-2</v>
      </c>
      <c r="K2418" s="35">
        <v>1</v>
      </c>
      <c r="L2418" s="38">
        <f t="shared" si="37"/>
        <v>6.7654260528893242E-2</v>
      </c>
      <c r="M2418" s="35" t="s">
        <v>11</v>
      </c>
      <c r="N2418" s="38"/>
      <c r="O2418" s="35" t="s">
        <v>2314</v>
      </c>
    </row>
    <row r="2419" spans="1:15" x14ac:dyDescent="0.25">
      <c r="A2419" s="35">
        <v>1139144394</v>
      </c>
      <c r="B2419" s="35" t="s">
        <v>3890</v>
      </c>
      <c r="C2419" s="35">
        <v>2023</v>
      </c>
      <c r="D2419" s="36">
        <v>45282.654097222221</v>
      </c>
      <c r="E2419" s="37" t="s">
        <v>2733</v>
      </c>
      <c r="F2419" s="37" t="s">
        <v>5360</v>
      </c>
      <c r="G2419" s="37" t="s">
        <v>5307</v>
      </c>
      <c r="H2419" s="35" t="s">
        <v>3419</v>
      </c>
      <c r="I2419" s="35" t="s">
        <v>3416</v>
      </c>
      <c r="J2419" s="38">
        <v>6.7654260528893242E-2</v>
      </c>
      <c r="K2419" s="35">
        <v>1</v>
      </c>
      <c r="L2419" s="38">
        <f t="shared" si="37"/>
        <v>6.7654260528893242E-2</v>
      </c>
      <c r="M2419" s="35" t="s">
        <v>11</v>
      </c>
      <c r="N2419" s="38"/>
      <c r="O2419" s="35" t="s">
        <v>2314</v>
      </c>
    </row>
    <row r="2420" spans="1:15" ht="30" x14ac:dyDescent="0.25">
      <c r="A2420" s="35">
        <v>1139144394</v>
      </c>
      <c r="B2420" s="35" t="s">
        <v>3890</v>
      </c>
      <c r="C2420" s="35">
        <v>2023</v>
      </c>
      <c r="D2420" s="36">
        <v>45282.654097222221</v>
      </c>
      <c r="E2420" s="37" t="s">
        <v>2733</v>
      </c>
      <c r="F2420" s="37" t="s">
        <v>5361</v>
      </c>
      <c r="G2420" s="37" t="s">
        <v>5307</v>
      </c>
      <c r="H2420" s="35" t="s">
        <v>3419</v>
      </c>
      <c r="I2420" s="35" t="s">
        <v>3416</v>
      </c>
      <c r="J2420" s="38">
        <v>9.4715964740450548E-2</v>
      </c>
      <c r="K2420" s="35">
        <v>1</v>
      </c>
      <c r="L2420" s="38">
        <f t="shared" si="37"/>
        <v>9.4715964740450548E-2</v>
      </c>
      <c r="M2420" s="35" t="s">
        <v>11</v>
      </c>
      <c r="N2420" s="38"/>
      <c r="O2420" s="35" t="s">
        <v>2314</v>
      </c>
    </row>
    <row r="2421" spans="1:15" x14ac:dyDescent="0.25">
      <c r="A2421" s="35">
        <v>1139144394</v>
      </c>
      <c r="B2421" s="35" t="s">
        <v>3890</v>
      </c>
      <c r="C2421" s="35">
        <v>2023</v>
      </c>
      <c r="D2421" s="36">
        <v>45282.654097222221</v>
      </c>
      <c r="E2421" s="37" t="s">
        <v>2733</v>
      </c>
      <c r="F2421" s="37" t="s">
        <v>5362</v>
      </c>
      <c r="G2421" s="37" t="s">
        <v>5307</v>
      </c>
      <c r="H2421" s="35" t="s">
        <v>3419</v>
      </c>
      <c r="I2421" s="35" t="s">
        <v>3416</v>
      </c>
      <c r="J2421" s="38">
        <v>9.4715964740450548E-2</v>
      </c>
      <c r="K2421" s="35">
        <v>1</v>
      </c>
      <c r="L2421" s="38">
        <f t="shared" si="37"/>
        <v>9.4715964740450548E-2</v>
      </c>
      <c r="M2421" s="35" t="s">
        <v>11</v>
      </c>
      <c r="N2421" s="38"/>
      <c r="O2421" s="35" t="s">
        <v>2314</v>
      </c>
    </row>
    <row r="2422" spans="1:15" x14ac:dyDescent="0.25">
      <c r="A2422" s="35">
        <v>1139144394</v>
      </c>
      <c r="B2422" s="35" t="s">
        <v>3890</v>
      </c>
      <c r="C2422" s="35">
        <v>2023</v>
      </c>
      <c r="D2422" s="36">
        <v>45282.654097222221</v>
      </c>
      <c r="E2422" s="37" t="s">
        <v>2733</v>
      </c>
      <c r="F2422" s="37" t="s">
        <v>5363</v>
      </c>
      <c r="G2422" s="37" t="s">
        <v>5307</v>
      </c>
      <c r="H2422" s="35" t="s">
        <v>3419</v>
      </c>
      <c r="I2422" s="35" t="s">
        <v>3416</v>
      </c>
      <c r="J2422" s="38">
        <v>0.1623702252693438</v>
      </c>
      <c r="K2422" s="35">
        <v>1</v>
      </c>
      <c r="L2422" s="38">
        <f t="shared" si="37"/>
        <v>0.1623702252693438</v>
      </c>
      <c r="M2422" s="35" t="s">
        <v>11</v>
      </c>
      <c r="N2422" s="38"/>
      <c r="O2422" s="35" t="s">
        <v>2314</v>
      </c>
    </row>
    <row r="2423" spans="1:15" x14ac:dyDescent="0.25">
      <c r="A2423" s="35">
        <v>1139144394</v>
      </c>
      <c r="B2423" s="35" t="s">
        <v>3890</v>
      </c>
      <c r="C2423" s="35">
        <v>2023</v>
      </c>
      <c r="D2423" s="36">
        <v>45282.654097222221</v>
      </c>
      <c r="E2423" s="37" t="s">
        <v>2733</v>
      </c>
      <c r="F2423" s="37" t="s">
        <v>5364</v>
      </c>
      <c r="G2423" s="37" t="s">
        <v>5307</v>
      </c>
      <c r="H2423" s="35" t="s">
        <v>3419</v>
      </c>
      <c r="I2423" s="35" t="s">
        <v>3416</v>
      </c>
      <c r="J2423" s="38">
        <v>6.7654260528893242E-2</v>
      </c>
      <c r="K2423" s="35">
        <v>1</v>
      </c>
      <c r="L2423" s="38">
        <f t="shared" si="37"/>
        <v>6.7654260528893242E-2</v>
      </c>
      <c r="M2423" s="35" t="s">
        <v>11</v>
      </c>
      <c r="N2423" s="38"/>
      <c r="O2423" s="35" t="s">
        <v>2314</v>
      </c>
    </row>
    <row r="2424" spans="1:15" x14ac:dyDescent="0.25">
      <c r="A2424" s="35">
        <v>1139144394</v>
      </c>
      <c r="B2424" s="35" t="s">
        <v>3890</v>
      </c>
      <c r="C2424" s="35">
        <v>2023</v>
      </c>
      <c r="D2424" s="36">
        <v>45282.654097222221</v>
      </c>
      <c r="E2424" s="37" t="s">
        <v>2733</v>
      </c>
      <c r="F2424" s="37" t="s">
        <v>5365</v>
      </c>
      <c r="G2424" s="37" t="s">
        <v>5307</v>
      </c>
      <c r="H2424" s="35" t="s">
        <v>3419</v>
      </c>
      <c r="I2424" s="35" t="s">
        <v>3416</v>
      </c>
      <c r="J2424" s="38">
        <v>6.7654260528893242E-2</v>
      </c>
      <c r="K2424" s="35">
        <v>1</v>
      </c>
      <c r="L2424" s="38">
        <f t="shared" si="37"/>
        <v>6.7654260528893242E-2</v>
      </c>
      <c r="M2424" s="35" t="s">
        <v>11</v>
      </c>
      <c r="N2424" s="38"/>
      <c r="O2424" s="35" t="s">
        <v>2314</v>
      </c>
    </row>
    <row r="2425" spans="1:15" x14ac:dyDescent="0.25">
      <c r="A2425" s="35">
        <v>1139144394</v>
      </c>
      <c r="B2425" s="35" t="s">
        <v>3890</v>
      </c>
      <c r="C2425" s="35">
        <v>2023</v>
      </c>
      <c r="D2425" s="36">
        <v>45282.654097222221</v>
      </c>
      <c r="E2425" s="37" t="s">
        <v>2733</v>
      </c>
      <c r="F2425" s="37" t="s">
        <v>5366</v>
      </c>
      <c r="G2425" s="37" t="s">
        <v>5307</v>
      </c>
      <c r="H2425" s="35" t="s">
        <v>3419</v>
      </c>
      <c r="I2425" s="35" t="s">
        <v>3416</v>
      </c>
      <c r="J2425" s="38">
        <v>9.4715964740450548E-2</v>
      </c>
      <c r="K2425" s="35">
        <v>1</v>
      </c>
      <c r="L2425" s="38">
        <f t="shared" si="37"/>
        <v>9.4715964740450548E-2</v>
      </c>
      <c r="M2425" s="35" t="s">
        <v>11</v>
      </c>
      <c r="N2425" s="38"/>
      <c r="O2425" s="35" t="s">
        <v>2314</v>
      </c>
    </row>
    <row r="2426" spans="1:15" x14ac:dyDescent="0.25">
      <c r="A2426" s="35">
        <v>1139144394</v>
      </c>
      <c r="B2426" s="35" t="s">
        <v>3890</v>
      </c>
      <c r="C2426" s="35">
        <v>2023</v>
      </c>
      <c r="D2426" s="36">
        <v>45282.654097222221</v>
      </c>
      <c r="E2426" s="37" t="s">
        <v>2733</v>
      </c>
      <c r="F2426" s="37" t="s">
        <v>5367</v>
      </c>
      <c r="G2426" s="37" t="s">
        <v>5307</v>
      </c>
      <c r="H2426" s="35" t="s">
        <v>3419</v>
      </c>
      <c r="I2426" s="35" t="s">
        <v>3416</v>
      </c>
      <c r="J2426" s="38">
        <v>6.7654260528893242E-2</v>
      </c>
      <c r="K2426" s="35">
        <v>1</v>
      </c>
      <c r="L2426" s="38">
        <f t="shared" si="37"/>
        <v>6.7654260528893242E-2</v>
      </c>
      <c r="M2426" s="35" t="s">
        <v>11</v>
      </c>
      <c r="N2426" s="38"/>
      <c r="O2426" s="35" t="s">
        <v>2314</v>
      </c>
    </row>
    <row r="2427" spans="1:15" x14ac:dyDescent="0.25">
      <c r="A2427" s="35">
        <v>1139144394</v>
      </c>
      <c r="B2427" s="35" t="s">
        <v>3890</v>
      </c>
      <c r="C2427" s="35">
        <v>2023</v>
      </c>
      <c r="D2427" s="36">
        <v>45282.654097222221</v>
      </c>
      <c r="E2427" s="37" t="s">
        <v>2733</v>
      </c>
      <c r="F2427" s="37" t="s">
        <v>5368</v>
      </c>
      <c r="G2427" s="37" t="s">
        <v>5307</v>
      </c>
      <c r="H2427" s="35" t="s">
        <v>3419</v>
      </c>
      <c r="I2427" s="35" t="s">
        <v>3416</v>
      </c>
      <c r="J2427" s="38">
        <v>6.7654260528893242E-2</v>
      </c>
      <c r="K2427" s="35">
        <v>1</v>
      </c>
      <c r="L2427" s="38">
        <f t="shared" si="37"/>
        <v>6.7654260528893242E-2</v>
      </c>
      <c r="M2427" s="35" t="s">
        <v>11</v>
      </c>
      <c r="N2427" s="38"/>
      <c r="O2427" s="35" t="s">
        <v>2314</v>
      </c>
    </row>
    <row r="2428" spans="1:15" x14ac:dyDescent="0.25">
      <c r="A2428" s="35">
        <v>1139144394</v>
      </c>
      <c r="B2428" s="35" t="s">
        <v>3890</v>
      </c>
      <c r="C2428" s="35">
        <v>2023</v>
      </c>
      <c r="D2428" s="36">
        <v>45282.654097222221</v>
      </c>
      <c r="E2428" s="37" t="s">
        <v>2733</v>
      </c>
      <c r="F2428" s="37" t="s">
        <v>5369</v>
      </c>
      <c r="G2428" s="37" t="s">
        <v>5307</v>
      </c>
      <c r="H2428" s="35" t="s">
        <v>3419</v>
      </c>
      <c r="I2428" s="35" t="s">
        <v>3416</v>
      </c>
      <c r="J2428" s="38">
        <v>0.10824681684622919</v>
      </c>
      <c r="K2428" s="35">
        <v>1</v>
      </c>
      <c r="L2428" s="38">
        <f t="shared" si="37"/>
        <v>0.10824681684622919</v>
      </c>
      <c r="M2428" s="35" t="s">
        <v>11</v>
      </c>
      <c r="N2428" s="38"/>
      <c r="O2428" s="35" t="s">
        <v>2314</v>
      </c>
    </row>
    <row r="2429" spans="1:15" x14ac:dyDescent="0.25">
      <c r="A2429" s="35">
        <v>1139144394</v>
      </c>
      <c r="B2429" s="35" t="s">
        <v>3890</v>
      </c>
      <c r="C2429" s="35">
        <v>2023</v>
      </c>
      <c r="D2429" s="36">
        <v>45282.654097222221</v>
      </c>
      <c r="E2429" s="37" t="s">
        <v>2733</v>
      </c>
      <c r="F2429" s="37" t="s">
        <v>5370</v>
      </c>
      <c r="G2429" s="37" t="s">
        <v>5307</v>
      </c>
      <c r="H2429" s="35" t="s">
        <v>3419</v>
      </c>
      <c r="I2429" s="35" t="s">
        <v>3416</v>
      </c>
      <c r="J2429" s="38">
        <v>6.7654260528893242E-2</v>
      </c>
      <c r="K2429" s="35">
        <v>1</v>
      </c>
      <c r="L2429" s="38">
        <f t="shared" si="37"/>
        <v>6.7654260528893242E-2</v>
      </c>
      <c r="M2429" s="35" t="s">
        <v>11</v>
      </c>
      <c r="N2429" s="38"/>
      <c r="O2429" s="35" t="s">
        <v>2314</v>
      </c>
    </row>
    <row r="2430" spans="1:15" x14ac:dyDescent="0.25">
      <c r="A2430" s="35">
        <v>1139144394</v>
      </c>
      <c r="B2430" s="35" t="s">
        <v>3890</v>
      </c>
      <c r="C2430" s="35">
        <v>2023</v>
      </c>
      <c r="D2430" s="36">
        <v>45282.654097222221</v>
      </c>
      <c r="E2430" s="37" t="s">
        <v>2733</v>
      </c>
      <c r="F2430" s="37" t="s">
        <v>5371</v>
      </c>
      <c r="G2430" s="37" t="s">
        <v>5307</v>
      </c>
      <c r="H2430" s="35" t="s">
        <v>3419</v>
      </c>
      <c r="I2430" s="35" t="s">
        <v>3416</v>
      </c>
      <c r="J2430" s="38">
        <v>8.1185112634671888E-2</v>
      </c>
      <c r="K2430" s="35">
        <v>1</v>
      </c>
      <c r="L2430" s="38">
        <f t="shared" si="37"/>
        <v>8.1185112634671888E-2</v>
      </c>
      <c r="M2430" s="35" t="s">
        <v>11</v>
      </c>
      <c r="N2430" s="38"/>
      <c r="O2430" s="35" t="s">
        <v>2314</v>
      </c>
    </row>
    <row r="2431" spans="1:15" x14ac:dyDescent="0.25">
      <c r="A2431" s="35">
        <v>1139144394</v>
      </c>
      <c r="B2431" s="35" t="s">
        <v>3890</v>
      </c>
      <c r="C2431" s="35">
        <v>2023</v>
      </c>
      <c r="D2431" s="36">
        <v>45282.654097222221</v>
      </c>
      <c r="E2431" s="37" t="s">
        <v>2733</v>
      </c>
      <c r="F2431" s="37" t="s">
        <v>5372</v>
      </c>
      <c r="G2431" s="37" t="s">
        <v>5307</v>
      </c>
      <c r="H2431" s="35" t="s">
        <v>3419</v>
      </c>
      <c r="I2431" s="35" t="s">
        <v>3416</v>
      </c>
      <c r="J2431" s="38">
        <v>9.4715964740450548E-2</v>
      </c>
      <c r="K2431" s="35">
        <v>1</v>
      </c>
      <c r="L2431" s="38">
        <f t="shared" si="37"/>
        <v>9.4715964740450548E-2</v>
      </c>
      <c r="M2431" s="35" t="s">
        <v>11</v>
      </c>
      <c r="N2431" s="38"/>
      <c r="O2431" s="35" t="s">
        <v>2314</v>
      </c>
    </row>
    <row r="2432" spans="1:15" x14ac:dyDescent="0.25">
      <c r="A2432" s="35">
        <v>1139144394</v>
      </c>
      <c r="B2432" s="35" t="s">
        <v>3890</v>
      </c>
      <c r="C2432" s="35">
        <v>2023</v>
      </c>
      <c r="D2432" s="36">
        <v>45282.654097222221</v>
      </c>
      <c r="E2432" s="37" t="s">
        <v>2733</v>
      </c>
      <c r="F2432" s="37" t="s">
        <v>5373</v>
      </c>
      <c r="G2432" s="37" t="s">
        <v>5307</v>
      </c>
      <c r="H2432" s="35" t="s">
        <v>3419</v>
      </c>
      <c r="I2432" s="35" t="s">
        <v>3416</v>
      </c>
      <c r="J2432" s="38">
        <v>6.7654260528893242E-2</v>
      </c>
      <c r="K2432" s="35">
        <v>1</v>
      </c>
      <c r="L2432" s="38">
        <f t="shared" si="37"/>
        <v>6.7654260528893242E-2</v>
      </c>
      <c r="M2432" s="35" t="s">
        <v>11</v>
      </c>
      <c r="N2432" s="38"/>
      <c r="O2432" s="35" t="s">
        <v>2314</v>
      </c>
    </row>
    <row r="2433" spans="1:15" x14ac:dyDescent="0.25">
      <c r="A2433" s="35">
        <v>1139144394</v>
      </c>
      <c r="B2433" s="35" t="s">
        <v>3890</v>
      </c>
      <c r="C2433" s="35">
        <v>2023</v>
      </c>
      <c r="D2433" s="36">
        <v>45282.654097222221</v>
      </c>
      <c r="E2433" s="37" t="s">
        <v>2733</v>
      </c>
      <c r="F2433" s="37" t="s">
        <v>5374</v>
      </c>
      <c r="G2433" s="37" t="s">
        <v>5307</v>
      </c>
      <c r="H2433" s="35" t="s">
        <v>3419</v>
      </c>
      <c r="I2433" s="35" t="s">
        <v>3416</v>
      </c>
      <c r="J2433" s="38">
        <v>6.7654260528893242E-2</v>
      </c>
      <c r="K2433" s="35">
        <v>1</v>
      </c>
      <c r="L2433" s="38">
        <f t="shared" si="37"/>
        <v>6.7654260528893242E-2</v>
      </c>
      <c r="M2433" s="35" t="s">
        <v>11</v>
      </c>
      <c r="N2433" s="38"/>
      <c r="O2433" s="35" t="s">
        <v>2314</v>
      </c>
    </row>
    <row r="2434" spans="1:15" x14ac:dyDescent="0.25">
      <c r="A2434" s="35">
        <v>1139144394</v>
      </c>
      <c r="B2434" s="35" t="s">
        <v>3890</v>
      </c>
      <c r="C2434" s="35">
        <v>2023</v>
      </c>
      <c r="D2434" s="36">
        <v>45282.654097222221</v>
      </c>
      <c r="E2434" s="37" t="s">
        <v>2733</v>
      </c>
      <c r="F2434" s="37" t="s">
        <v>5375</v>
      </c>
      <c r="G2434" s="37" t="s">
        <v>5307</v>
      </c>
      <c r="H2434" s="35" t="s">
        <v>3419</v>
      </c>
      <c r="I2434" s="35" t="s">
        <v>3416</v>
      </c>
      <c r="J2434" s="38">
        <v>9.4715964740450548E-2</v>
      </c>
      <c r="K2434" s="35">
        <v>1</v>
      </c>
      <c r="L2434" s="38">
        <f t="shared" ref="L2434:L2497" si="38">J2434*K2434</f>
        <v>9.4715964740450548E-2</v>
      </c>
      <c r="M2434" s="35" t="s">
        <v>11</v>
      </c>
      <c r="N2434" s="38"/>
      <c r="O2434" s="35" t="s">
        <v>2314</v>
      </c>
    </row>
    <row r="2435" spans="1:15" x14ac:dyDescent="0.25">
      <c r="A2435" s="35">
        <v>1139144394</v>
      </c>
      <c r="B2435" s="35" t="s">
        <v>3890</v>
      </c>
      <c r="C2435" s="35">
        <v>2023</v>
      </c>
      <c r="D2435" s="36">
        <v>45282.654097222221</v>
      </c>
      <c r="E2435" s="37" t="s">
        <v>2733</v>
      </c>
      <c r="F2435" s="37" t="s">
        <v>5376</v>
      </c>
      <c r="G2435" s="37" t="s">
        <v>5307</v>
      </c>
      <c r="H2435" s="35" t="s">
        <v>3419</v>
      </c>
      <c r="I2435" s="35" t="s">
        <v>3416</v>
      </c>
      <c r="J2435" s="38">
        <v>5.4123408423114597E-2</v>
      </c>
      <c r="K2435" s="35">
        <v>1</v>
      </c>
      <c r="L2435" s="38">
        <f t="shared" si="38"/>
        <v>5.4123408423114597E-2</v>
      </c>
      <c r="M2435" s="35" t="s">
        <v>11</v>
      </c>
      <c r="N2435" s="38"/>
      <c r="O2435" s="35" t="s">
        <v>2314</v>
      </c>
    </row>
    <row r="2436" spans="1:15" x14ac:dyDescent="0.25">
      <c r="A2436" s="35">
        <v>1139144394</v>
      </c>
      <c r="B2436" s="35" t="s">
        <v>3890</v>
      </c>
      <c r="C2436" s="35">
        <v>2023</v>
      </c>
      <c r="D2436" s="36">
        <v>45282.654097222221</v>
      </c>
      <c r="E2436" s="37" t="s">
        <v>2733</v>
      </c>
      <c r="F2436" s="37" t="s">
        <v>5377</v>
      </c>
      <c r="G2436" s="37" t="s">
        <v>5307</v>
      </c>
      <c r="H2436" s="35" t="s">
        <v>3419</v>
      </c>
      <c r="I2436" s="35" t="s">
        <v>3416</v>
      </c>
      <c r="J2436" s="38">
        <v>6.7654260528893242E-2</v>
      </c>
      <c r="K2436" s="35">
        <v>1</v>
      </c>
      <c r="L2436" s="38">
        <f t="shared" si="38"/>
        <v>6.7654260528893242E-2</v>
      </c>
      <c r="M2436" s="35" t="s">
        <v>11</v>
      </c>
      <c r="N2436" s="38"/>
      <c r="O2436" s="35" t="s">
        <v>2314</v>
      </c>
    </row>
    <row r="2437" spans="1:15" x14ac:dyDescent="0.25">
      <c r="A2437" s="35">
        <v>1139144394</v>
      </c>
      <c r="B2437" s="35" t="s">
        <v>3890</v>
      </c>
      <c r="C2437" s="35">
        <v>2023</v>
      </c>
      <c r="D2437" s="36">
        <v>45282.654097222221</v>
      </c>
      <c r="E2437" s="37" t="s">
        <v>2733</v>
      </c>
      <c r="F2437" s="37" t="s">
        <v>5378</v>
      </c>
      <c r="G2437" s="37" t="s">
        <v>5307</v>
      </c>
      <c r="H2437" s="35" t="s">
        <v>3419</v>
      </c>
      <c r="I2437" s="35" t="s">
        <v>3416</v>
      </c>
      <c r="J2437" s="38">
        <v>8.1185112634671888E-2</v>
      </c>
      <c r="K2437" s="35">
        <v>1</v>
      </c>
      <c r="L2437" s="38">
        <f t="shared" si="38"/>
        <v>8.1185112634671888E-2</v>
      </c>
      <c r="M2437" s="35" t="s">
        <v>11</v>
      </c>
      <c r="N2437" s="38"/>
      <c r="O2437" s="35" t="s">
        <v>2314</v>
      </c>
    </row>
    <row r="2438" spans="1:15" x14ac:dyDescent="0.25">
      <c r="A2438" s="35">
        <v>1139144394</v>
      </c>
      <c r="B2438" s="35" t="s">
        <v>3890</v>
      </c>
      <c r="C2438" s="35">
        <v>2023</v>
      </c>
      <c r="D2438" s="36">
        <v>45282.654097222221</v>
      </c>
      <c r="E2438" s="37" t="s">
        <v>2733</v>
      </c>
      <c r="F2438" s="37" t="s">
        <v>5379</v>
      </c>
      <c r="G2438" s="37" t="s">
        <v>5307</v>
      </c>
      <c r="H2438" s="35" t="s">
        <v>3419</v>
      </c>
      <c r="I2438" s="35" t="s">
        <v>3416</v>
      </c>
      <c r="J2438" s="38">
        <v>2.7061704211557298E-2</v>
      </c>
      <c r="K2438" s="35">
        <v>1</v>
      </c>
      <c r="L2438" s="38">
        <f t="shared" si="38"/>
        <v>2.7061704211557298E-2</v>
      </c>
      <c r="M2438" s="35" t="s">
        <v>11</v>
      </c>
      <c r="N2438" s="38"/>
      <c r="O2438" s="35" t="s">
        <v>2314</v>
      </c>
    </row>
    <row r="2439" spans="1:15" x14ac:dyDescent="0.25">
      <c r="A2439" s="35">
        <v>1139144394</v>
      </c>
      <c r="B2439" s="35" t="s">
        <v>3890</v>
      </c>
      <c r="C2439" s="35">
        <v>2023</v>
      </c>
      <c r="D2439" s="36">
        <v>45282.654097222221</v>
      </c>
      <c r="E2439" s="37" t="s">
        <v>2733</v>
      </c>
      <c r="F2439" s="37" t="s">
        <v>5380</v>
      </c>
      <c r="G2439" s="37" t="s">
        <v>5307</v>
      </c>
      <c r="H2439" s="35" t="s">
        <v>3419</v>
      </c>
      <c r="I2439" s="35" t="s">
        <v>3416</v>
      </c>
      <c r="J2439" s="38">
        <v>8.1185112634671888E-2</v>
      </c>
      <c r="K2439" s="35">
        <v>1</v>
      </c>
      <c r="L2439" s="38">
        <f t="shared" si="38"/>
        <v>8.1185112634671888E-2</v>
      </c>
      <c r="M2439" s="35" t="s">
        <v>11</v>
      </c>
      <c r="N2439" s="38"/>
      <c r="O2439" s="35" t="s">
        <v>2314</v>
      </c>
    </row>
    <row r="2440" spans="1:15" x14ac:dyDescent="0.25">
      <c r="A2440" s="35">
        <v>1139144394</v>
      </c>
      <c r="B2440" s="35" t="s">
        <v>3890</v>
      </c>
      <c r="C2440" s="35">
        <v>2023</v>
      </c>
      <c r="D2440" s="36">
        <v>45282.654097222221</v>
      </c>
      <c r="E2440" s="37" t="s">
        <v>2733</v>
      </c>
      <c r="F2440" s="37" t="s">
        <v>5381</v>
      </c>
      <c r="G2440" s="37" t="s">
        <v>5307</v>
      </c>
      <c r="H2440" s="35" t="s">
        <v>3419</v>
      </c>
      <c r="I2440" s="35" t="s">
        <v>3416</v>
      </c>
      <c r="J2440" s="38">
        <v>2.7061704211557298E-2</v>
      </c>
      <c r="K2440" s="35">
        <v>1</v>
      </c>
      <c r="L2440" s="38">
        <f t="shared" si="38"/>
        <v>2.7061704211557298E-2</v>
      </c>
      <c r="M2440" s="35" t="s">
        <v>11</v>
      </c>
      <c r="N2440" s="38"/>
      <c r="O2440" s="35" t="s">
        <v>2314</v>
      </c>
    </row>
    <row r="2441" spans="1:15" x14ac:dyDescent="0.25">
      <c r="A2441" s="35">
        <v>1139144394</v>
      </c>
      <c r="B2441" s="35" t="s">
        <v>3890</v>
      </c>
      <c r="C2441" s="35">
        <v>2023</v>
      </c>
      <c r="D2441" s="36">
        <v>45282.654097222221</v>
      </c>
      <c r="E2441" s="37" t="s">
        <v>2733</v>
      </c>
      <c r="F2441" s="37" t="s">
        <v>5382</v>
      </c>
      <c r="G2441" s="37" t="s">
        <v>5307</v>
      </c>
      <c r="H2441" s="35" t="s">
        <v>3419</v>
      </c>
      <c r="I2441" s="35" t="s">
        <v>3416</v>
      </c>
      <c r="J2441" s="38">
        <v>4.0592556317335937E-2</v>
      </c>
      <c r="K2441" s="35">
        <v>1</v>
      </c>
      <c r="L2441" s="38">
        <f t="shared" si="38"/>
        <v>4.0592556317335937E-2</v>
      </c>
      <c r="M2441" s="35" t="s">
        <v>11</v>
      </c>
      <c r="N2441" s="38"/>
      <c r="O2441" s="35" t="s">
        <v>2314</v>
      </c>
    </row>
    <row r="2442" spans="1:15" x14ac:dyDescent="0.25">
      <c r="A2442" s="35">
        <v>1139144394</v>
      </c>
      <c r="B2442" s="35" t="s">
        <v>3890</v>
      </c>
      <c r="C2442" s="35">
        <v>2023</v>
      </c>
      <c r="D2442" s="36">
        <v>45282.654097222221</v>
      </c>
      <c r="E2442" s="37" t="s">
        <v>2733</v>
      </c>
      <c r="F2442" s="37" t="s">
        <v>5383</v>
      </c>
      <c r="G2442" s="37" t="s">
        <v>5307</v>
      </c>
      <c r="H2442" s="35" t="s">
        <v>3419</v>
      </c>
      <c r="I2442" s="35" t="s">
        <v>3416</v>
      </c>
      <c r="J2442" s="38">
        <v>8.1185112634671888E-2</v>
      </c>
      <c r="K2442" s="35">
        <v>1</v>
      </c>
      <c r="L2442" s="38">
        <f t="shared" si="38"/>
        <v>8.1185112634671888E-2</v>
      </c>
      <c r="M2442" s="35" t="s">
        <v>11</v>
      </c>
      <c r="N2442" s="38"/>
      <c r="O2442" s="35" t="s">
        <v>2314</v>
      </c>
    </row>
    <row r="2443" spans="1:15" x14ac:dyDescent="0.25">
      <c r="A2443" s="35">
        <v>1139144394</v>
      </c>
      <c r="B2443" s="35" t="s">
        <v>3890</v>
      </c>
      <c r="C2443" s="35">
        <v>2023</v>
      </c>
      <c r="D2443" s="36">
        <v>45282.654097222221</v>
      </c>
      <c r="E2443" s="37" t="s">
        <v>2733</v>
      </c>
      <c r="F2443" s="37" t="s">
        <v>5384</v>
      </c>
      <c r="G2443" s="37" t="s">
        <v>5307</v>
      </c>
      <c r="H2443" s="35" t="s">
        <v>3419</v>
      </c>
      <c r="I2443" s="35" t="s">
        <v>3416</v>
      </c>
      <c r="J2443" s="38">
        <v>4.0592556317335937E-2</v>
      </c>
      <c r="K2443" s="35">
        <v>1</v>
      </c>
      <c r="L2443" s="38">
        <f t="shared" si="38"/>
        <v>4.0592556317335937E-2</v>
      </c>
      <c r="M2443" s="35" t="s">
        <v>11</v>
      </c>
      <c r="N2443" s="38"/>
      <c r="O2443" s="35" t="s">
        <v>2314</v>
      </c>
    </row>
    <row r="2444" spans="1:15" x14ac:dyDescent="0.25">
      <c r="A2444" s="35">
        <v>1139144394</v>
      </c>
      <c r="B2444" s="35" t="s">
        <v>3890</v>
      </c>
      <c r="C2444" s="35">
        <v>2023</v>
      </c>
      <c r="D2444" s="36">
        <v>45282.654097222221</v>
      </c>
      <c r="E2444" s="37" t="s">
        <v>2733</v>
      </c>
      <c r="F2444" s="37" t="s">
        <v>5385</v>
      </c>
      <c r="G2444" s="37" t="s">
        <v>5307</v>
      </c>
      <c r="H2444" s="35" t="s">
        <v>3419</v>
      </c>
      <c r="I2444" s="35" t="s">
        <v>3416</v>
      </c>
      <c r="J2444" s="38">
        <v>4.0592556317335937E-2</v>
      </c>
      <c r="K2444" s="35">
        <v>1</v>
      </c>
      <c r="L2444" s="38">
        <f t="shared" si="38"/>
        <v>4.0592556317335937E-2</v>
      </c>
      <c r="M2444" s="35" t="s">
        <v>11</v>
      </c>
      <c r="N2444" s="38"/>
      <c r="O2444" s="35" t="s">
        <v>2314</v>
      </c>
    </row>
    <row r="2445" spans="1:15" x14ac:dyDescent="0.25">
      <c r="A2445" s="35">
        <v>1139144394</v>
      </c>
      <c r="B2445" s="35" t="s">
        <v>3890</v>
      </c>
      <c r="C2445" s="35">
        <v>2023</v>
      </c>
      <c r="D2445" s="36">
        <v>45282.654097222221</v>
      </c>
      <c r="E2445" s="37" t="s">
        <v>2733</v>
      </c>
      <c r="F2445" s="37" t="s">
        <v>5386</v>
      </c>
      <c r="G2445" s="37" t="s">
        <v>5307</v>
      </c>
      <c r="H2445" s="35" t="s">
        <v>3419</v>
      </c>
      <c r="I2445" s="35" t="s">
        <v>3416</v>
      </c>
      <c r="J2445" s="38">
        <v>8.1185112634671888E-2</v>
      </c>
      <c r="K2445" s="35">
        <v>1</v>
      </c>
      <c r="L2445" s="38">
        <f t="shared" si="38"/>
        <v>8.1185112634671888E-2</v>
      </c>
      <c r="M2445" s="35" t="s">
        <v>11</v>
      </c>
      <c r="N2445" s="38"/>
      <c r="O2445" s="35" t="s">
        <v>2314</v>
      </c>
    </row>
    <row r="2446" spans="1:15" x14ac:dyDescent="0.25">
      <c r="A2446" s="35">
        <v>1139144394</v>
      </c>
      <c r="B2446" s="35" t="s">
        <v>3890</v>
      </c>
      <c r="C2446" s="35">
        <v>2023</v>
      </c>
      <c r="D2446" s="36">
        <v>45282.654097222221</v>
      </c>
      <c r="E2446" s="37" t="s">
        <v>2733</v>
      </c>
      <c r="F2446" s="37" t="s">
        <v>5387</v>
      </c>
      <c r="G2446" s="37" t="s">
        <v>5307</v>
      </c>
      <c r="H2446" s="35" t="s">
        <v>3419</v>
      </c>
      <c r="I2446" s="35" t="s">
        <v>3416</v>
      </c>
      <c r="J2446" s="38">
        <v>2.7061704211557298E-2</v>
      </c>
      <c r="K2446" s="35">
        <v>1</v>
      </c>
      <c r="L2446" s="38">
        <f t="shared" si="38"/>
        <v>2.7061704211557298E-2</v>
      </c>
      <c r="M2446" s="35" t="s">
        <v>11</v>
      </c>
      <c r="N2446" s="38"/>
      <c r="O2446" s="35" t="s">
        <v>2314</v>
      </c>
    </row>
    <row r="2447" spans="1:15" x14ac:dyDescent="0.25">
      <c r="A2447" s="35">
        <v>1139144394</v>
      </c>
      <c r="B2447" s="35" t="s">
        <v>3890</v>
      </c>
      <c r="C2447" s="35">
        <v>2023</v>
      </c>
      <c r="D2447" s="36">
        <v>45282.654097222221</v>
      </c>
      <c r="E2447" s="37" t="s">
        <v>2733</v>
      </c>
      <c r="F2447" s="37" t="s">
        <v>5388</v>
      </c>
      <c r="G2447" s="37" t="s">
        <v>5307</v>
      </c>
      <c r="H2447" s="35" t="s">
        <v>3419</v>
      </c>
      <c r="I2447" s="35" t="s">
        <v>3416</v>
      </c>
      <c r="J2447" s="38">
        <v>4.0592556317335937E-2</v>
      </c>
      <c r="K2447" s="35">
        <v>1</v>
      </c>
      <c r="L2447" s="38">
        <f t="shared" si="38"/>
        <v>4.0592556317335937E-2</v>
      </c>
      <c r="M2447" s="35" t="s">
        <v>11</v>
      </c>
      <c r="N2447" s="38"/>
      <c r="O2447" s="35" t="s">
        <v>2314</v>
      </c>
    </row>
    <row r="2448" spans="1:15" x14ac:dyDescent="0.25">
      <c r="A2448" s="35">
        <v>1139144394</v>
      </c>
      <c r="B2448" s="35" t="s">
        <v>3890</v>
      </c>
      <c r="C2448" s="35">
        <v>2023</v>
      </c>
      <c r="D2448" s="36">
        <v>45282.654097222221</v>
      </c>
      <c r="E2448" s="37" t="s">
        <v>2733</v>
      </c>
      <c r="F2448" s="37" t="s">
        <v>5389</v>
      </c>
      <c r="G2448" s="37" t="s">
        <v>5307</v>
      </c>
      <c r="H2448" s="35" t="s">
        <v>3419</v>
      </c>
      <c r="I2448" s="35" t="s">
        <v>3416</v>
      </c>
      <c r="J2448" s="38">
        <v>2.7061704211557298E-2</v>
      </c>
      <c r="K2448" s="35">
        <v>1</v>
      </c>
      <c r="L2448" s="38">
        <f t="shared" si="38"/>
        <v>2.7061704211557298E-2</v>
      </c>
      <c r="M2448" s="35" t="s">
        <v>11</v>
      </c>
      <c r="N2448" s="38"/>
      <c r="O2448" s="35" t="s">
        <v>2314</v>
      </c>
    </row>
    <row r="2449" spans="1:15" x14ac:dyDescent="0.25">
      <c r="A2449" s="35">
        <v>1139144394</v>
      </c>
      <c r="B2449" s="35" t="s">
        <v>3890</v>
      </c>
      <c r="C2449" s="35">
        <v>2023</v>
      </c>
      <c r="D2449" s="36">
        <v>45282.654097222221</v>
      </c>
      <c r="E2449" s="37" t="s">
        <v>2733</v>
      </c>
      <c r="F2449" s="37" t="s">
        <v>5390</v>
      </c>
      <c r="G2449" s="37" t="s">
        <v>5307</v>
      </c>
      <c r="H2449" s="35" t="s">
        <v>3419</v>
      </c>
      <c r="I2449" s="35" t="s">
        <v>3416</v>
      </c>
      <c r="J2449" s="38">
        <v>6.7654260528893242E-2</v>
      </c>
      <c r="K2449" s="35">
        <v>1</v>
      </c>
      <c r="L2449" s="38">
        <f t="shared" si="38"/>
        <v>6.7654260528893242E-2</v>
      </c>
      <c r="M2449" s="35" t="s">
        <v>11</v>
      </c>
      <c r="N2449" s="38"/>
      <c r="O2449" s="35" t="s">
        <v>2314</v>
      </c>
    </row>
    <row r="2450" spans="1:15" x14ac:dyDescent="0.25">
      <c r="A2450" s="35">
        <v>1139144394</v>
      </c>
      <c r="B2450" s="35" t="s">
        <v>3890</v>
      </c>
      <c r="C2450" s="35">
        <v>2023</v>
      </c>
      <c r="D2450" s="36">
        <v>45282.654097222221</v>
      </c>
      <c r="E2450" s="37" t="s">
        <v>2733</v>
      </c>
      <c r="F2450" s="37" t="s">
        <v>5391</v>
      </c>
      <c r="G2450" s="37" t="s">
        <v>5307</v>
      </c>
      <c r="H2450" s="35" t="s">
        <v>3419</v>
      </c>
      <c r="I2450" s="35" t="s">
        <v>3416</v>
      </c>
      <c r="J2450" s="38">
        <v>0.36533300685602349</v>
      </c>
      <c r="K2450" s="35">
        <v>1</v>
      </c>
      <c r="L2450" s="38">
        <f t="shared" si="38"/>
        <v>0.36533300685602349</v>
      </c>
      <c r="M2450" s="35" t="s">
        <v>11</v>
      </c>
      <c r="N2450" s="38"/>
      <c r="O2450" s="35" t="s">
        <v>2314</v>
      </c>
    </row>
    <row r="2451" spans="1:15" x14ac:dyDescent="0.25">
      <c r="A2451" s="35">
        <v>1139144394</v>
      </c>
      <c r="B2451" s="35" t="s">
        <v>3890</v>
      </c>
      <c r="C2451" s="35">
        <v>2023</v>
      </c>
      <c r="D2451" s="36">
        <v>45282.654097222221</v>
      </c>
      <c r="E2451" s="37" t="s">
        <v>2733</v>
      </c>
      <c r="F2451" s="37" t="s">
        <v>5392</v>
      </c>
      <c r="G2451" s="37" t="s">
        <v>5307</v>
      </c>
      <c r="H2451" s="35" t="s">
        <v>3419</v>
      </c>
      <c r="I2451" s="35" t="s">
        <v>3416</v>
      </c>
      <c r="J2451" s="38">
        <v>4.0592556317335937E-2</v>
      </c>
      <c r="K2451" s="35">
        <v>1</v>
      </c>
      <c r="L2451" s="38">
        <f t="shared" si="38"/>
        <v>4.0592556317335937E-2</v>
      </c>
      <c r="M2451" s="35" t="s">
        <v>11</v>
      </c>
      <c r="N2451" s="38"/>
      <c r="O2451" s="35" t="s">
        <v>2314</v>
      </c>
    </row>
    <row r="2452" spans="1:15" x14ac:dyDescent="0.25">
      <c r="A2452" s="35">
        <v>1139144394</v>
      </c>
      <c r="B2452" s="35" t="s">
        <v>3890</v>
      </c>
      <c r="C2452" s="35">
        <v>2023</v>
      </c>
      <c r="D2452" s="36">
        <v>45282.654097222221</v>
      </c>
      <c r="E2452" s="37" t="s">
        <v>2733</v>
      </c>
      <c r="F2452" s="37" t="s">
        <v>5393</v>
      </c>
      <c r="G2452" s="37" t="s">
        <v>5307</v>
      </c>
      <c r="H2452" s="35" t="s">
        <v>3419</v>
      </c>
      <c r="I2452" s="35" t="s">
        <v>3416</v>
      </c>
      <c r="J2452" s="38">
        <v>4.0592556317335937E-2</v>
      </c>
      <c r="K2452" s="35">
        <v>1</v>
      </c>
      <c r="L2452" s="38">
        <f t="shared" si="38"/>
        <v>4.0592556317335937E-2</v>
      </c>
      <c r="M2452" s="35" t="s">
        <v>11</v>
      </c>
      <c r="N2452" s="38"/>
      <c r="O2452" s="35" t="s">
        <v>2314</v>
      </c>
    </row>
    <row r="2453" spans="1:15" x14ac:dyDescent="0.25">
      <c r="A2453" s="35">
        <v>1139144394</v>
      </c>
      <c r="B2453" s="35" t="s">
        <v>3890</v>
      </c>
      <c r="C2453" s="35">
        <v>2023</v>
      </c>
      <c r="D2453" s="36">
        <v>45282.654097222221</v>
      </c>
      <c r="E2453" s="37" t="s">
        <v>2733</v>
      </c>
      <c r="F2453" s="37" t="s">
        <v>5394</v>
      </c>
      <c r="G2453" s="37" t="s">
        <v>5307</v>
      </c>
      <c r="H2453" s="35" t="s">
        <v>3419</v>
      </c>
      <c r="I2453" s="35" t="s">
        <v>3416</v>
      </c>
      <c r="J2453" s="38">
        <v>0.10824681684622919</v>
      </c>
      <c r="K2453" s="35">
        <v>1</v>
      </c>
      <c r="L2453" s="38">
        <f t="shared" si="38"/>
        <v>0.10824681684622919</v>
      </c>
      <c r="M2453" s="35" t="s">
        <v>11</v>
      </c>
      <c r="N2453" s="38"/>
      <c r="O2453" s="35" t="s">
        <v>2314</v>
      </c>
    </row>
    <row r="2454" spans="1:15" x14ac:dyDescent="0.25">
      <c r="A2454" s="35">
        <v>1139144394</v>
      </c>
      <c r="B2454" s="35" t="s">
        <v>3890</v>
      </c>
      <c r="C2454" s="35">
        <v>2023</v>
      </c>
      <c r="D2454" s="36">
        <v>45282.654097222221</v>
      </c>
      <c r="E2454" s="37" t="s">
        <v>2733</v>
      </c>
      <c r="F2454" s="37" t="s">
        <v>5395</v>
      </c>
      <c r="G2454" s="37" t="s">
        <v>5307</v>
      </c>
      <c r="H2454" s="35" t="s">
        <v>3419</v>
      </c>
      <c r="I2454" s="35" t="s">
        <v>3416</v>
      </c>
      <c r="J2454" s="38">
        <v>4.0592556317335937E-2</v>
      </c>
      <c r="K2454" s="35">
        <v>1</v>
      </c>
      <c r="L2454" s="38">
        <f t="shared" si="38"/>
        <v>4.0592556317335937E-2</v>
      </c>
      <c r="M2454" s="35" t="s">
        <v>11</v>
      </c>
      <c r="N2454" s="38"/>
      <c r="O2454" s="35" t="s">
        <v>2314</v>
      </c>
    </row>
    <row r="2455" spans="1:15" x14ac:dyDescent="0.25">
      <c r="A2455" s="35">
        <v>1139144394</v>
      </c>
      <c r="B2455" s="35" t="s">
        <v>3890</v>
      </c>
      <c r="C2455" s="35">
        <v>2023</v>
      </c>
      <c r="D2455" s="36">
        <v>45282.654097222221</v>
      </c>
      <c r="E2455" s="37" t="s">
        <v>2733</v>
      </c>
      <c r="F2455" s="37" t="s">
        <v>5396</v>
      </c>
      <c r="G2455" s="37" t="s">
        <v>5307</v>
      </c>
      <c r="H2455" s="35" t="s">
        <v>3419</v>
      </c>
      <c r="I2455" s="35" t="s">
        <v>3416</v>
      </c>
      <c r="J2455" s="38">
        <v>4.0592556317335937E-2</v>
      </c>
      <c r="K2455" s="35">
        <v>1</v>
      </c>
      <c r="L2455" s="38">
        <f t="shared" si="38"/>
        <v>4.0592556317335937E-2</v>
      </c>
      <c r="M2455" s="35" t="s">
        <v>11</v>
      </c>
      <c r="N2455" s="38"/>
      <c r="O2455" s="35" t="s">
        <v>2314</v>
      </c>
    </row>
    <row r="2456" spans="1:15" x14ac:dyDescent="0.25">
      <c r="A2456" s="35">
        <v>1139144394</v>
      </c>
      <c r="B2456" s="35" t="s">
        <v>3890</v>
      </c>
      <c r="C2456" s="35">
        <v>2023</v>
      </c>
      <c r="D2456" s="36">
        <v>45282.654097222221</v>
      </c>
      <c r="E2456" s="37" t="s">
        <v>2733</v>
      </c>
      <c r="F2456" s="37" t="s">
        <v>5397</v>
      </c>
      <c r="G2456" s="37" t="s">
        <v>5307</v>
      </c>
      <c r="H2456" s="35" t="s">
        <v>3419</v>
      </c>
      <c r="I2456" s="35" t="s">
        <v>3416</v>
      </c>
      <c r="J2456" s="38">
        <v>5.4123408423114597E-2</v>
      </c>
      <c r="K2456" s="35">
        <v>1</v>
      </c>
      <c r="L2456" s="38">
        <f t="shared" si="38"/>
        <v>5.4123408423114597E-2</v>
      </c>
      <c r="M2456" s="35" t="s">
        <v>11</v>
      </c>
      <c r="N2456" s="38"/>
      <c r="O2456" s="35" t="s">
        <v>2314</v>
      </c>
    </row>
    <row r="2457" spans="1:15" x14ac:dyDescent="0.25">
      <c r="A2457" s="35">
        <v>1139144394</v>
      </c>
      <c r="B2457" s="35" t="s">
        <v>3890</v>
      </c>
      <c r="C2457" s="35">
        <v>2023</v>
      </c>
      <c r="D2457" s="36">
        <v>45282.654097222221</v>
      </c>
      <c r="E2457" s="37" t="s">
        <v>2733</v>
      </c>
      <c r="F2457" s="37" t="s">
        <v>5398</v>
      </c>
      <c r="G2457" s="37" t="s">
        <v>5307</v>
      </c>
      <c r="H2457" s="35" t="s">
        <v>3419</v>
      </c>
      <c r="I2457" s="35" t="s">
        <v>3416</v>
      </c>
      <c r="J2457" s="38">
        <v>8.1185112634671888E-2</v>
      </c>
      <c r="K2457" s="35">
        <v>1</v>
      </c>
      <c r="L2457" s="38">
        <f t="shared" si="38"/>
        <v>8.1185112634671888E-2</v>
      </c>
      <c r="M2457" s="35" t="s">
        <v>11</v>
      </c>
      <c r="N2457" s="38"/>
      <c r="O2457" s="35" t="s">
        <v>2314</v>
      </c>
    </row>
    <row r="2458" spans="1:15" x14ac:dyDescent="0.25">
      <c r="A2458" s="35">
        <v>1139144394</v>
      </c>
      <c r="B2458" s="35" t="s">
        <v>3890</v>
      </c>
      <c r="C2458" s="35">
        <v>2023</v>
      </c>
      <c r="D2458" s="36">
        <v>45282.654097222221</v>
      </c>
      <c r="E2458" s="37" t="s">
        <v>2733</v>
      </c>
      <c r="F2458" s="37" t="s">
        <v>5399</v>
      </c>
      <c r="G2458" s="37" t="s">
        <v>5307</v>
      </c>
      <c r="H2458" s="35" t="s">
        <v>3419</v>
      </c>
      <c r="I2458" s="35" t="s">
        <v>3416</v>
      </c>
      <c r="J2458" s="38">
        <v>4.0592556317335937E-2</v>
      </c>
      <c r="K2458" s="35">
        <v>1</v>
      </c>
      <c r="L2458" s="38">
        <f t="shared" si="38"/>
        <v>4.0592556317335937E-2</v>
      </c>
      <c r="M2458" s="35" t="s">
        <v>11</v>
      </c>
      <c r="N2458" s="38"/>
      <c r="O2458" s="35" t="s">
        <v>2314</v>
      </c>
    </row>
    <row r="2459" spans="1:15" x14ac:dyDescent="0.25">
      <c r="A2459" s="35">
        <v>1139144394</v>
      </c>
      <c r="B2459" s="35" t="s">
        <v>3890</v>
      </c>
      <c r="C2459" s="35">
        <v>2023</v>
      </c>
      <c r="D2459" s="36">
        <v>45282.654097222221</v>
      </c>
      <c r="E2459" s="37" t="s">
        <v>2733</v>
      </c>
      <c r="F2459" s="37" t="s">
        <v>5400</v>
      </c>
      <c r="G2459" s="37" t="s">
        <v>5307</v>
      </c>
      <c r="H2459" s="35" t="s">
        <v>3419</v>
      </c>
      <c r="I2459" s="35" t="s">
        <v>3416</v>
      </c>
      <c r="J2459" s="38">
        <v>4.0592556317335937E-2</v>
      </c>
      <c r="K2459" s="35">
        <v>1</v>
      </c>
      <c r="L2459" s="38">
        <f t="shared" si="38"/>
        <v>4.0592556317335937E-2</v>
      </c>
      <c r="M2459" s="35" t="s">
        <v>11</v>
      </c>
      <c r="N2459" s="38"/>
      <c r="O2459" s="35" t="s">
        <v>2314</v>
      </c>
    </row>
    <row r="2460" spans="1:15" x14ac:dyDescent="0.25">
      <c r="A2460" s="35">
        <v>1139144394</v>
      </c>
      <c r="B2460" s="35" t="s">
        <v>3890</v>
      </c>
      <c r="C2460" s="35">
        <v>2023</v>
      </c>
      <c r="D2460" s="36">
        <v>45282.654097222221</v>
      </c>
      <c r="E2460" s="37" t="s">
        <v>2733</v>
      </c>
      <c r="F2460" s="37" t="s">
        <v>5401</v>
      </c>
      <c r="G2460" s="37" t="s">
        <v>5307</v>
      </c>
      <c r="H2460" s="35" t="s">
        <v>3419</v>
      </c>
      <c r="I2460" s="35" t="s">
        <v>3416</v>
      </c>
      <c r="J2460" s="38">
        <v>8.1185112634671888E-2</v>
      </c>
      <c r="K2460" s="35">
        <v>1</v>
      </c>
      <c r="L2460" s="38">
        <f t="shared" si="38"/>
        <v>8.1185112634671888E-2</v>
      </c>
      <c r="M2460" s="35" t="s">
        <v>11</v>
      </c>
      <c r="N2460" s="38"/>
      <c r="O2460" s="35" t="s">
        <v>2314</v>
      </c>
    </row>
    <row r="2461" spans="1:15" x14ac:dyDescent="0.25">
      <c r="A2461" s="35">
        <v>1139144394</v>
      </c>
      <c r="B2461" s="35" t="s">
        <v>3890</v>
      </c>
      <c r="C2461" s="35">
        <v>2023</v>
      </c>
      <c r="D2461" s="36">
        <v>45282.654097222221</v>
      </c>
      <c r="E2461" s="37" t="s">
        <v>2733</v>
      </c>
      <c r="F2461" s="37" t="s">
        <v>5402</v>
      </c>
      <c r="G2461" s="37" t="s">
        <v>5307</v>
      </c>
      <c r="H2461" s="35" t="s">
        <v>3419</v>
      </c>
      <c r="I2461" s="35" t="s">
        <v>3416</v>
      </c>
      <c r="J2461" s="38">
        <v>4.0592556317335937E-2</v>
      </c>
      <c r="K2461" s="35">
        <v>1</v>
      </c>
      <c r="L2461" s="38">
        <f t="shared" si="38"/>
        <v>4.0592556317335937E-2</v>
      </c>
      <c r="M2461" s="35" t="s">
        <v>11</v>
      </c>
      <c r="N2461" s="38"/>
      <c r="O2461" s="35" t="s">
        <v>2314</v>
      </c>
    </row>
    <row r="2462" spans="1:15" x14ac:dyDescent="0.25">
      <c r="A2462" s="35">
        <v>1139144394</v>
      </c>
      <c r="B2462" s="35" t="s">
        <v>3890</v>
      </c>
      <c r="C2462" s="35">
        <v>2023</v>
      </c>
      <c r="D2462" s="36">
        <v>45282.654097222221</v>
      </c>
      <c r="E2462" s="37" t="s">
        <v>2733</v>
      </c>
      <c r="F2462" s="37" t="s">
        <v>5403</v>
      </c>
      <c r="G2462" s="37" t="s">
        <v>5307</v>
      </c>
      <c r="H2462" s="35" t="s">
        <v>3419</v>
      </c>
      <c r="I2462" s="35" t="s">
        <v>3416</v>
      </c>
      <c r="J2462" s="38">
        <v>6.7654260528893242E-2</v>
      </c>
      <c r="K2462" s="35">
        <v>1</v>
      </c>
      <c r="L2462" s="38">
        <f t="shared" si="38"/>
        <v>6.7654260528893242E-2</v>
      </c>
      <c r="M2462" s="35" t="s">
        <v>11</v>
      </c>
      <c r="N2462" s="38"/>
      <c r="O2462" s="35" t="s">
        <v>2314</v>
      </c>
    </row>
    <row r="2463" spans="1:15" x14ac:dyDescent="0.25">
      <c r="A2463" s="35">
        <v>1139144394</v>
      </c>
      <c r="B2463" s="35" t="s">
        <v>3890</v>
      </c>
      <c r="C2463" s="35">
        <v>2023</v>
      </c>
      <c r="D2463" s="36">
        <v>45282.654097222221</v>
      </c>
      <c r="E2463" s="37" t="s">
        <v>2733</v>
      </c>
      <c r="F2463" s="37" t="s">
        <v>5404</v>
      </c>
      <c r="G2463" s="37" t="s">
        <v>5307</v>
      </c>
      <c r="H2463" s="35" t="s">
        <v>3419</v>
      </c>
      <c r="I2463" s="35" t="s">
        <v>3416</v>
      </c>
      <c r="J2463" s="38">
        <v>9.4715964740450548E-2</v>
      </c>
      <c r="K2463" s="35">
        <v>1</v>
      </c>
      <c r="L2463" s="38">
        <f t="shared" si="38"/>
        <v>9.4715964740450548E-2</v>
      </c>
      <c r="M2463" s="35" t="s">
        <v>11</v>
      </c>
      <c r="N2463" s="38"/>
      <c r="O2463" s="35" t="s">
        <v>2314</v>
      </c>
    </row>
    <row r="2464" spans="1:15" x14ac:dyDescent="0.25">
      <c r="A2464" s="35">
        <v>1139144394</v>
      </c>
      <c r="B2464" s="35" t="s">
        <v>3890</v>
      </c>
      <c r="C2464" s="35">
        <v>2023</v>
      </c>
      <c r="D2464" s="36">
        <v>45282.654097222221</v>
      </c>
      <c r="E2464" s="37" t="s">
        <v>2733</v>
      </c>
      <c r="F2464" s="37" t="s">
        <v>5405</v>
      </c>
      <c r="G2464" s="37" t="s">
        <v>5307</v>
      </c>
      <c r="H2464" s="35" t="s">
        <v>3419</v>
      </c>
      <c r="I2464" s="35" t="s">
        <v>3416</v>
      </c>
      <c r="J2464" s="38">
        <v>0.10824681684622919</v>
      </c>
      <c r="K2464" s="35">
        <v>1</v>
      </c>
      <c r="L2464" s="38">
        <f t="shared" si="38"/>
        <v>0.10824681684622919</v>
      </c>
      <c r="M2464" s="35" t="s">
        <v>11</v>
      </c>
      <c r="N2464" s="38"/>
      <c r="O2464" s="35" t="s">
        <v>2314</v>
      </c>
    </row>
    <row r="2465" spans="1:15" x14ac:dyDescent="0.25">
      <c r="A2465" s="35">
        <v>1139144394</v>
      </c>
      <c r="B2465" s="35" t="s">
        <v>3890</v>
      </c>
      <c r="C2465" s="35">
        <v>2023</v>
      </c>
      <c r="D2465" s="36">
        <v>45282.654097222221</v>
      </c>
      <c r="E2465" s="37" t="s">
        <v>2733</v>
      </c>
      <c r="F2465" s="37" t="s">
        <v>5406</v>
      </c>
      <c r="G2465" s="37" t="s">
        <v>5307</v>
      </c>
      <c r="H2465" s="35" t="s">
        <v>3419</v>
      </c>
      <c r="I2465" s="35" t="s">
        <v>3416</v>
      </c>
      <c r="J2465" s="38">
        <v>8.1185112634671888E-2</v>
      </c>
      <c r="K2465" s="35">
        <v>1</v>
      </c>
      <c r="L2465" s="38">
        <f t="shared" si="38"/>
        <v>8.1185112634671888E-2</v>
      </c>
      <c r="M2465" s="35" t="s">
        <v>11</v>
      </c>
      <c r="N2465" s="38"/>
      <c r="O2465" s="35" t="s">
        <v>2314</v>
      </c>
    </row>
    <row r="2466" spans="1:15" x14ac:dyDescent="0.25">
      <c r="A2466" s="35">
        <v>1139144394</v>
      </c>
      <c r="B2466" s="35" t="s">
        <v>3890</v>
      </c>
      <c r="C2466" s="35">
        <v>2023</v>
      </c>
      <c r="D2466" s="36">
        <v>45282.654097222221</v>
      </c>
      <c r="E2466" s="37" t="s">
        <v>2733</v>
      </c>
      <c r="F2466" s="37" t="s">
        <v>5407</v>
      </c>
      <c r="G2466" s="37" t="s">
        <v>5307</v>
      </c>
      <c r="H2466" s="35" t="s">
        <v>3419</v>
      </c>
      <c r="I2466" s="35" t="s">
        <v>3416</v>
      </c>
      <c r="J2466" s="38">
        <v>6.7654260528893242E-2</v>
      </c>
      <c r="K2466" s="35">
        <v>1</v>
      </c>
      <c r="L2466" s="38">
        <f t="shared" si="38"/>
        <v>6.7654260528893242E-2</v>
      </c>
      <c r="M2466" s="35" t="s">
        <v>11</v>
      </c>
      <c r="N2466" s="38"/>
      <c r="O2466" s="35" t="s">
        <v>2314</v>
      </c>
    </row>
    <row r="2467" spans="1:15" x14ac:dyDescent="0.25">
      <c r="A2467" s="35">
        <v>1139144394</v>
      </c>
      <c r="B2467" s="35" t="s">
        <v>3890</v>
      </c>
      <c r="C2467" s="35">
        <v>2023</v>
      </c>
      <c r="D2467" s="36">
        <v>45282.654097222221</v>
      </c>
      <c r="E2467" s="37" t="s">
        <v>2733</v>
      </c>
      <c r="F2467" s="37" t="s">
        <v>5408</v>
      </c>
      <c r="G2467" s="37" t="s">
        <v>5307</v>
      </c>
      <c r="H2467" s="35" t="s">
        <v>3419</v>
      </c>
      <c r="I2467" s="35" t="s">
        <v>3416</v>
      </c>
      <c r="J2467" s="38">
        <v>8.1185112634671888E-2</v>
      </c>
      <c r="K2467" s="35">
        <v>1</v>
      </c>
      <c r="L2467" s="38">
        <f t="shared" si="38"/>
        <v>8.1185112634671888E-2</v>
      </c>
      <c r="M2467" s="35" t="s">
        <v>11</v>
      </c>
      <c r="N2467" s="38"/>
      <c r="O2467" s="35" t="s">
        <v>2314</v>
      </c>
    </row>
    <row r="2468" spans="1:15" x14ac:dyDescent="0.25">
      <c r="A2468" s="35">
        <v>1139144394</v>
      </c>
      <c r="B2468" s="35" t="s">
        <v>3890</v>
      </c>
      <c r="C2468" s="35">
        <v>2023</v>
      </c>
      <c r="D2468" s="36">
        <v>45282.654097222221</v>
      </c>
      <c r="E2468" s="37" t="s">
        <v>2733</v>
      </c>
      <c r="F2468" s="37" t="s">
        <v>5409</v>
      </c>
      <c r="G2468" s="37" t="s">
        <v>5307</v>
      </c>
      <c r="H2468" s="35" t="s">
        <v>3419</v>
      </c>
      <c r="I2468" s="35" t="s">
        <v>3416</v>
      </c>
      <c r="J2468" s="38">
        <v>0.1217776689520078</v>
      </c>
      <c r="K2468" s="35">
        <v>1</v>
      </c>
      <c r="L2468" s="38">
        <f t="shared" si="38"/>
        <v>0.1217776689520078</v>
      </c>
      <c r="M2468" s="35" t="s">
        <v>11</v>
      </c>
      <c r="N2468" s="38"/>
      <c r="O2468" s="35" t="s">
        <v>2314</v>
      </c>
    </row>
    <row r="2469" spans="1:15" x14ac:dyDescent="0.25">
      <c r="A2469" s="35">
        <v>1139144394</v>
      </c>
      <c r="B2469" s="35" t="s">
        <v>3890</v>
      </c>
      <c r="C2469" s="35">
        <v>2023</v>
      </c>
      <c r="D2469" s="36">
        <v>45282.654097222221</v>
      </c>
      <c r="E2469" s="37" t="s">
        <v>2733</v>
      </c>
      <c r="F2469" s="37" t="s">
        <v>5410</v>
      </c>
      <c r="G2469" s="37" t="s">
        <v>5307</v>
      </c>
      <c r="H2469" s="35" t="s">
        <v>3419</v>
      </c>
      <c r="I2469" s="35" t="s">
        <v>3416</v>
      </c>
      <c r="J2469" s="38">
        <v>5.4123408423114597E-2</v>
      </c>
      <c r="K2469" s="35">
        <v>1</v>
      </c>
      <c r="L2469" s="38">
        <f t="shared" si="38"/>
        <v>5.4123408423114597E-2</v>
      </c>
      <c r="M2469" s="35" t="s">
        <v>11</v>
      </c>
      <c r="N2469" s="38"/>
      <c r="O2469" s="35" t="s">
        <v>2314</v>
      </c>
    </row>
    <row r="2470" spans="1:15" x14ac:dyDescent="0.25">
      <c r="A2470" s="35">
        <v>1139144394</v>
      </c>
      <c r="B2470" s="35" t="s">
        <v>3890</v>
      </c>
      <c r="C2470" s="35">
        <v>2023</v>
      </c>
      <c r="D2470" s="36">
        <v>45282.654097222221</v>
      </c>
      <c r="E2470" s="37" t="s">
        <v>2733</v>
      </c>
      <c r="F2470" s="37" t="s">
        <v>5411</v>
      </c>
      <c r="G2470" s="37" t="s">
        <v>5307</v>
      </c>
      <c r="H2470" s="35" t="s">
        <v>3419</v>
      </c>
      <c r="I2470" s="35" t="s">
        <v>3416</v>
      </c>
      <c r="J2470" s="38">
        <v>8.1185112634671888E-2</v>
      </c>
      <c r="K2470" s="35">
        <v>1</v>
      </c>
      <c r="L2470" s="38">
        <f t="shared" si="38"/>
        <v>8.1185112634671888E-2</v>
      </c>
      <c r="M2470" s="35" t="s">
        <v>11</v>
      </c>
      <c r="N2470" s="38"/>
      <c r="O2470" s="35" t="s">
        <v>2314</v>
      </c>
    </row>
    <row r="2471" spans="1:15" x14ac:dyDescent="0.25">
      <c r="A2471" s="35">
        <v>1139144394</v>
      </c>
      <c r="B2471" s="35" t="s">
        <v>3890</v>
      </c>
      <c r="C2471" s="35">
        <v>2023</v>
      </c>
      <c r="D2471" s="36">
        <v>45282.654097222221</v>
      </c>
      <c r="E2471" s="37" t="s">
        <v>2733</v>
      </c>
      <c r="F2471" s="37" t="s">
        <v>5412</v>
      </c>
      <c r="G2471" s="37" t="s">
        <v>5307</v>
      </c>
      <c r="H2471" s="35" t="s">
        <v>3419</v>
      </c>
      <c r="I2471" s="35" t="s">
        <v>3416</v>
      </c>
      <c r="J2471" s="38">
        <v>5.4123408423114597E-2</v>
      </c>
      <c r="K2471" s="35">
        <v>1</v>
      </c>
      <c r="L2471" s="38">
        <f t="shared" si="38"/>
        <v>5.4123408423114597E-2</v>
      </c>
      <c r="M2471" s="35" t="s">
        <v>11</v>
      </c>
      <c r="N2471" s="38"/>
      <c r="O2471" s="35" t="s">
        <v>2314</v>
      </c>
    </row>
    <row r="2472" spans="1:15" x14ac:dyDescent="0.25">
      <c r="A2472" s="35">
        <v>1139144394</v>
      </c>
      <c r="B2472" s="35" t="s">
        <v>3890</v>
      </c>
      <c r="C2472" s="35">
        <v>2023</v>
      </c>
      <c r="D2472" s="36">
        <v>45282.654097222221</v>
      </c>
      <c r="E2472" s="37" t="s">
        <v>2733</v>
      </c>
      <c r="F2472" s="37" t="s">
        <v>5413</v>
      </c>
      <c r="G2472" s="37" t="s">
        <v>5307</v>
      </c>
      <c r="H2472" s="35" t="s">
        <v>3419</v>
      </c>
      <c r="I2472" s="35" t="s">
        <v>3416</v>
      </c>
      <c r="J2472" s="38">
        <v>9.4715964740450548E-2</v>
      </c>
      <c r="K2472" s="35">
        <v>1</v>
      </c>
      <c r="L2472" s="38">
        <f t="shared" si="38"/>
        <v>9.4715964740450548E-2</v>
      </c>
      <c r="M2472" s="35" t="s">
        <v>11</v>
      </c>
      <c r="N2472" s="38"/>
      <c r="O2472" s="35" t="s">
        <v>2314</v>
      </c>
    </row>
    <row r="2473" spans="1:15" x14ac:dyDescent="0.25">
      <c r="A2473" s="35">
        <v>1139144394</v>
      </c>
      <c r="B2473" s="35" t="s">
        <v>3890</v>
      </c>
      <c r="C2473" s="35">
        <v>2023</v>
      </c>
      <c r="D2473" s="36">
        <v>45282.654097222221</v>
      </c>
      <c r="E2473" s="37" t="s">
        <v>2733</v>
      </c>
      <c r="F2473" s="37" t="s">
        <v>5414</v>
      </c>
      <c r="G2473" s="37" t="s">
        <v>5307</v>
      </c>
      <c r="H2473" s="35" t="s">
        <v>3419</v>
      </c>
      <c r="I2473" s="35" t="s">
        <v>3416</v>
      </c>
      <c r="J2473" s="38">
        <v>2.7061704211557298E-2</v>
      </c>
      <c r="K2473" s="35">
        <v>1</v>
      </c>
      <c r="L2473" s="38">
        <f t="shared" si="38"/>
        <v>2.7061704211557298E-2</v>
      </c>
      <c r="M2473" s="35" t="s">
        <v>11</v>
      </c>
      <c r="N2473" s="38"/>
      <c r="O2473" s="35" t="s">
        <v>2314</v>
      </c>
    </row>
    <row r="2474" spans="1:15" x14ac:dyDescent="0.25">
      <c r="A2474" s="35">
        <v>1139144394</v>
      </c>
      <c r="B2474" s="35" t="s">
        <v>3890</v>
      </c>
      <c r="C2474" s="35">
        <v>2023</v>
      </c>
      <c r="D2474" s="36">
        <v>45282.654097222221</v>
      </c>
      <c r="E2474" s="37" t="s">
        <v>2733</v>
      </c>
      <c r="F2474" s="37" t="s">
        <v>5415</v>
      </c>
      <c r="G2474" s="37" t="s">
        <v>5307</v>
      </c>
      <c r="H2474" s="35" t="s">
        <v>3419</v>
      </c>
      <c r="I2474" s="35" t="s">
        <v>3416</v>
      </c>
      <c r="J2474" s="38">
        <v>5.4123408423114597E-2</v>
      </c>
      <c r="K2474" s="35">
        <v>1</v>
      </c>
      <c r="L2474" s="38">
        <f t="shared" si="38"/>
        <v>5.4123408423114597E-2</v>
      </c>
      <c r="M2474" s="35" t="s">
        <v>11</v>
      </c>
      <c r="N2474" s="38"/>
      <c r="O2474" s="35" t="s">
        <v>2314</v>
      </c>
    </row>
    <row r="2475" spans="1:15" x14ac:dyDescent="0.25">
      <c r="A2475" s="35">
        <v>1139144394</v>
      </c>
      <c r="B2475" s="35" t="s">
        <v>3890</v>
      </c>
      <c r="C2475" s="35">
        <v>2023</v>
      </c>
      <c r="D2475" s="36">
        <v>45282.654097222221</v>
      </c>
      <c r="E2475" s="37" t="s">
        <v>2733</v>
      </c>
      <c r="F2475" s="37" t="s">
        <v>5416</v>
      </c>
      <c r="G2475" s="37" t="s">
        <v>5307</v>
      </c>
      <c r="H2475" s="35" t="s">
        <v>3419</v>
      </c>
      <c r="I2475" s="35" t="s">
        <v>3416</v>
      </c>
      <c r="J2475" s="38">
        <v>5.4123408423114597E-2</v>
      </c>
      <c r="K2475" s="35">
        <v>1</v>
      </c>
      <c r="L2475" s="38">
        <f t="shared" si="38"/>
        <v>5.4123408423114597E-2</v>
      </c>
      <c r="M2475" s="35" t="s">
        <v>11</v>
      </c>
      <c r="N2475" s="38"/>
      <c r="O2475" s="35" t="s">
        <v>2314</v>
      </c>
    </row>
    <row r="2476" spans="1:15" x14ac:dyDescent="0.25">
      <c r="A2476" s="35">
        <v>1139144394</v>
      </c>
      <c r="B2476" s="35" t="s">
        <v>3890</v>
      </c>
      <c r="C2476" s="35">
        <v>2023</v>
      </c>
      <c r="D2476" s="36">
        <v>45282.654097222221</v>
      </c>
      <c r="E2476" s="37" t="s">
        <v>2733</v>
      </c>
      <c r="F2476" s="37" t="s">
        <v>5417</v>
      </c>
      <c r="G2476" s="37" t="s">
        <v>5307</v>
      </c>
      <c r="H2476" s="35" t="s">
        <v>3419</v>
      </c>
      <c r="I2476" s="35" t="s">
        <v>3416</v>
      </c>
      <c r="J2476" s="38">
        <v>9.4715964740450548E-2</v>
      </c>
      <c r="K2476" s="35">
        <v>1</v>
      </c>
      <c r="L2476" s="38">
        <f t="shared" si="38"/>
        <v>9.4715964740450548E-2</v>
      </c>
      <c r="M2476" s="35" t="s">
        <v>11</v>
      </c>
      <c r="N2476" s="38"/>
      <c r="O2476" s="35" t="s">
        <v>2314</v>
      </c>
    </row>
    <row r="2477" spans="1:15" x14ac:dyDescent="0.25">
      <c r="A2477" s="35">
        <v>1139144394</v>
      </c>
      <c r="B2477" s="35" t="s">
        <v>3890</v>
      </c>
      <c r="C2477" s="35">
        <v>2023</v>
      </c>
      <c r="D2477" s="36">
        <v>45282.654097222221</v>
      </c>
      <c r="E2477" s="37" t="s">
        <v>2733</v>
      </c>
      <c r="F2477" s="37" t="s">
        <v>5418</v>
      </c>
      <c r="G2477" s="37" t="s">
        <v>5307</v>
      </c>
      <c r="H2477" s="35" t="s">
        <v>3419</v>
      </c>
      <c r="I2477" s="35" t="s">
        <v>3416</v>
      </c>
      <c r="J2477" s="38">
        <v>9.4715964740450548E-2</v>
      </c>
      <c r="K2477" s="35">
        <v>1</v>
      </c>
      <c r="L2477" s="38">
        <f t="shared" si="38"/>
        <v>9.4715964740450548E-2</v>
      </c>
      <c r="M2477" s="35" t="s">
        <v>11</v>
      </c>
      <c r="N2477" s="38"/>
      <c r="O2477" s="35" t="s">
        <v>2314</v>
      </c>
    </row>
    <row r="2478" spans="1:15" x14ac:dyDescent="0.25">
      <c r="A2478" s="35">
        <v>1139144394</v>
      </c>
      <c r="B2478" s="35" t="s">
        <v>3890</v>
      </c>
      <c r="C2478" s="35">
        <v>2023</v>
      </c>
      <c r="D2478" s="36">
        <v>45282.654097222221</v>
      </c>
      <c r="E2478" s="37" t="s">
        <v>2733</v>
      </c>
      <c r="F2478" s="37" t="s">
        <v>5419</v>
      </c>
      <c r="G2478" s="37" t="s">
        <v>5307</v>
      </c>
      <c r="H2478" s="35" t="s">
        <v>3419</v>
      </c>
      <c r="I2478" s="35" t="s">
        <v>3416</v>
      </c>
      <c r="J2478" s="38">
        <v>2.7061704211557298E-2</v>
      </c>
      <c r="K2478" s="35">
        <v>1</v>
      </c>
      <c r="L2478" s="38">
        <f t="shared" si="38"/>
        <v>2.7061704211557298E-2</v>
      </c>
      <c r="M2478" s="35" t="s">
        <v>11</v>
      </c>
      <c r="N2478" s="38"/>
      <c r="O2478" s="35" t="s">
        <v>2314</v>
      </c>
    </row>
    <row r="2479" spans="1:15" x14ac:dyDescent="0.25">
      <c r="A2479" s="35">
        <v>1139144394</v>
      </c>
      <c r="B2479" s="35" t="s">
        <v>3890</v>
      </c>
      <c r="C2479" s="35">
        <v>2023</v>
      </c>
      <c r="D2479" s="36">
        <v>45282.654097222221</v>
      </c>
      <c r="E2479" s="37" t="s">
        <v>2733</v>
      </c>
      <c r="F2479" s="37" t="s">
        <v>5420</v>
      </c>
      <c r="G2479" s="37" t="s">
        <v>5307</v>
      </c>
      <c r="H2479" s="35" t="s">
        <v>3419</v>
      </c>
      <c r="I2479" s="35" t="s">
        <v>3416</v>
      </c>
      <c r="J2479" s="38">
        <v>9.4715964740450548E-2</v>
      </c>
      <c r="K2479" s="35">
        <v>1</v>
      </c>
      <c r="L2479" s="38">
        <f t="shared" si="38"/>
        <v>9.4715964740450548E-2</v>
      </c>
      <c r="M2479" s="35" t="s">
        <v>11</v>
      </c>
      <c r="N2479" s="38"/>
      <c r="O2479" s="35" t="s">
        <v>2314</v>
      </c>
    </row>
    <row r="2480" spans="1:15" x14ac:dyDescent="0.25">
      <c r="A2480" s="35">
        <v>1139144394</v>
      </c>
      <c r="B2480" s="35" t="s">
        <v>3890</v>
      </c>
      <c r="C2480" s="35">
        <v>2023</v>
      </c>
      <c r="D2480" s="36">
        <v>45282.654097222221</v>
      </c>
      <c r="E2480" s="37" t="s">
        <v>2733</v>
      </c>
      <c r="F2480" s="37" t="s">
        <v>5421</v>
      </c>
      <c r="G2480" s="37" t="s">
        <v>5307</v>
      </c>
      <c r="H2480" s="35" t="s">
        <v>3419</v>
      </c>
      <c r="I2480" s="35" t="s">
        <v>3416</v>
      </c>
      <c r="J2480" s="38">
        <v>4.5057737512242886</v>
      </c>
      <c r="K2480" s="35">
        <v>1</v>
      </c>
      <c r="L2480" s="38">
        <f t="shared" si="38"/>
        <v>4.5057737512242886</v>
      </c>
      <c r="M2480" s="35" t="s">
        <v>11</v>
      </c>
      <c r="N2480" s="38"/>
      <c r="O2480" s="35" t="s">
        <v>2314</v>
      </c>
    </row>
    <row r="2481" spans="1:15" x14ac:dyDescent="0.25">
      <c r="A2481" s="35">
        <v>1139144394</v>
      </c>
      <c r="B2481" s="35" t="s">
        <v>3890</v>
      </c>
      <c r="C2481" s="35">
        <v>2023</v>
      </c>
      <c r="D2481" s="36">
        <v>45282.654097222221</v>
      </c>
      <c r="E2481" s="37" t="s">
        <v>2733</v>
      </c>
      <c r="F2481" s="37" t="s">
        <v>5422</v>
      </c>
      <c r="G2481" s="37" t="s">
        <v>5307</v>
      </c>
      <c r="H2481" s="35" t="s">
        <v>3419</v>
      </c>
      <c r="I2481" s="35" t="s">
        <v>3416</v>
      </c>
      <c r="J2481" s="38">
        <v>2.70617042115573</v>
      </c>
      <c r="K2481" s="35">
        <v>1</v>
      </c>
      <c r="L2481" s="38">
        <f t="shared" si="38"/>
        <v>2.70617042115573</v>
      </c>
      <c r="M2481" s="35" t="s">
        <v>11</v>
      </c>
      <c r="N2481" s="38"/>
      <c r="O2481" s="35" t="s">
        <v>2314</v>
      </c>
    </row>
    <row r="2482" spans="1:15" x14ac:dyDescent="0.25">
      <c r="A2482" s="35">
        <v>1139144394</v>
      </c>
      <c r="B2482" s="35" t="s">
        <v>3890</v>
      </c>
      <c r="C2482" s="35">
        <v>2023</v>
      </c>
      <c r="D2482" s="36">
        <v>45282.654097222221</v>
      </c>
      <c r="E2482" s="37" t="s">
        <v>2733</v>
      </c>
      <c r="F2482" s="37" t="s">
        <v>5423</v>
      </c>
      <c r="G2482" s="37" t="s">
        <v>5307</v>
      </c>
      <c r="H2482" s="35" t="s">
        <v>3419</v>
      </c>
      <c r="I2482" s="35" t="s">
        <v>3416</v>
      </c>
      <c r="J2482" s="38">
        <v>0.6765426052889324</v>
      </c>
      <c r="K2482" s="35">
        <v>1</v>
      </c>
      <c r="L2482" s="38">
        <f t="shared" si="38"/>
        <v>0.6765426052889324</v>
      </c>
      <c r="M2482" s="35" t="s">
        <v>11</v>
      </c>
      <c r="N2482" s="38"/>
      <c r="O2482" s="35" t="s">
        <v>2314</v>
      </c>
    </row>
    <row r="2483" spans="1:15" x14ac:dyDescent="0.25">
      <c r="A2483" s="35">
        <v>1139144394</v>
      </c>
      <c r="B2483" s="35" t="s">
        <v>3890</v>
      </c>
      <c r="C2483" s="35">
        <v>2023</v>
      </c>
      <c r="D2483" s="36">
        <v>45282.654097222221</v>
      </c>
      <c r="E2483" s="37" t="s">
        <v>2733</v>
      </c>
      <c r="F2483" s="37" t="s">
        <v>5424</v>
      </c>
      <c r="G2483" s="37" t="s">
        <v>5307</v>
      </c>
      <c r="H2483" s="35" t="s">
        <v>3419</v>
      </c>
      <c r="I2483" s="35" t="s">
        <v>3416</v>
      </c>
      <c r="J2483" s="38">
        <v>0.81185112634671885</v>
      </c>
      <c r="K2483" s="35">
        <v>1</v>
      </c>
      <c r="L2483" s="38">
        <f t="shared" si="38"/>
        <v>0.81185112634671885</v>
      </c>
      <c r="M2483" s="35" t="s">
        <v>11</v>
      </c>
      <c r="N2483" s="38"/>
      <c r="O2483" s="35" t="s">
        <v>2314</v>
      </c>
    </row>
    <row r="2484" spans="1:15" x14ac:dyDescent="0.25">
      <c r="A2484" s="35">
        <v>1139144394</v>
      </c>
      <c r="B2484" s="35" t="s">
        <v>3890</v>
      </c>
      <c r="C2484" s="35">
        <v>2023</v>
      </c>
      <c r="D2484" s="36">
        <v>45282.654097222221</v>
      </c>
      <c r="E2484" s="37" t="s">
        <v>2733</v>
      </c>
      <c r="F2484" s="37" t="s">
        <v>5425</v>
      </c>
      <c r="G2484" s="37" t="s">
        <v>5307</v>
      </c>
      <c r="H2484" s="35" t="s">
        <v>3419</v>
      </c>
      <c r="I2484" s="35" t="s">
        <v>3416</v>
      </c>
      <c r="J2484" s="38">
        <v>0.40592556317335943</v>
      </c>
      <c r="K2484" s="35">
        <v>1</v>
      </c>
      <c r="L2484" s="38">
        <f t="shared" si="38"/>
        <v>0.40592556317335943</v>
      </c>
      <c r="M2484" s="35" t="s">
        <v>11</v>
      </c>
      <c r="N2484" s="38"/>
      <c r="O2484" s="35" t="s">
        <v>2314</v>
      </c>
    </row>
    <row r="2485" spans="1:15" x14ac:dyDescent="0.25">
      <c r="A2485" s="35">
        <v>1139144394</v>
      </c>
      <c r="B2485" s="35" t="s">
        <v>3890</v>
      </c>
      <c r="C2485" s="35">
        <v>2023</v>
      </c>
      <c r="D2485" s="36">
        <v>45282.654097222221</v>
      </c>
      <c r="E2485" s="37" t="s">
        <v>2733</v>
      </c>
      <c r="F2485" s="37" t="s">
        <v>5426</v>
      </c>
      <c r="G2485" s="37" t="s">
        <v>5307</v>
      </c>
      <c r="H2485" s="35" t="s">
        <v>3419</v>
      </c>
      <c r="I2485" s="35" t="s">
        <v>3416</v>
      </c>
      <c r="J2485" s="38">
        <v>0.6765426052889324</v>
      </c>
      <c r="K2485" s="35">
        <v>1</v>
      </c>
      <c r="L2485" s="38">
        <f t="shared" si="38"/>
        <v>0.6765426052889324</v>
      </c>
      <c r="M2485" s="35" t="s">
        <v>11</v>
      </c>
      <c r="N2485" s="38"/>
      <c r="O2485" s="35" t="s">
        <v>2314</v>
      </c>
    </row>
    <row r="2486" spans="1:15" ht="30" x14ac:dyDescent="0.25">
      <c r="A2486" s="35">
        <v>1139144394</v>
      </c>
      <c r="B2486" s="35" t="s">
        <v>3890</v>
      </c>
      <c r="C2486" s="35">
        <v>2023</v>
      </c>
      <c r="D2486" s="36">
        <v>45282.654097222221</v>
      </c>
      <c r="E2486" s="37" t="s">
        <v>2733</v>
      </c>
      <c r="F2486" s="37" t="s">
        <v>5427</v>
      </c>
      <c r="G2486" s="37" t="s">
        <v>5307</v>
      </c>
      <c r="H2486" s="35" t="s">
        <v>3419</v>
      </c>
      <c r="I2486" s="35" t="s">
        <v>3416</v>
      </c>
      <c r="J2486" s="38">
        <v>0.3382713026444662</v>
      </c>
      <c r="K2486" s="35">
        <v>1</v>
      </c>
      <c r="L2486" s="38">
        <f t="shared" si="38"/>
        <v>0.3382713026444662</v>
      </c>
      <c r="M2486" s="35" t="s">
        <v>11</v>
      </c>
      <c r="N2486" s="38"/>
      <c r="O2486" s="35" t="s">
        <v>2314</v>
      </c>
    </row>
    <row r="2487" spans="1:15" x14ac:dyDescent="0.25">
      <c r="A2487" s="35">
        <v>1139143756</v>
      </c>
      <c r="B2487" s="35" t="s">
        <v>3890</v>
      </c>
      <c r="C2487" s="35">
        <v>2023</v>
      </c>
      <c r="D2487" s="36">
        <v>45282.654097222221</v>
      </c>
      <c r="E2487" s="37" t="s">
        <v>2735</v>
      </c>
      <c r="F2487" s="37" t="s">
        <v>5428</v>
      </c>
      <c r="G2487" s="37" t="s">
        <v>5429</v>
      </c>
      <c r="H2487" s="35" t="s">
        <v>3419</v>
      </c>
      <c r="I2487" s="35" t="s">
        <v>3416</v>
      </c>
      <c r="J2487" s="38">
        <v>3.43745247148289</v>
      </c>
      <c r="K2487" s="35">
        <v>1</v>
      </c>
      <c r="L2487" s="38">
        <f t="shared" si="38"/>
        <v>3.43745247148289</v>
      </c>
      <c r="M2487" s="35" t="s">
        <v>11</v>
      </c>
      <c r="N2487" s="38"/>
      <c r="O2487" s="35" t="s">
        <v>2314</v>
      </c>
    </row>
    <row r="2488" spans="1:15" x14ac:dyDescent="0.25">
      <c r="A2488" s="35">
        <v>1139143756</v>
      </c>
      <c r="B2488" s="35" t="s">
        <v>3890</v>
      </c>
      <c r="C2488" s="35">
        <v>2023</v>
      </c>
      <c r="D2488" s="36">
        <v>45282.654097222221</v>
      </c>
      <c r="E2488" s="37" t="s">
        <v>2735</v>
      </c>
      <c r="F2488" s="37" t="s">
        <v>5430</v>
      </c>
      <c r="G2488" s="37" t="s">
        <v>5429</v>
      </c>
      <c r="H2488" s="35" t="s">
        <v>3419</v>
      </c>
      <c r="I2488" s="35" t="s">
        <v>3416</v>
      </c>
      <c r="J2488" s="38">
        <v>9.8103802281368822</v>
      </c>
      <c r="K2488" s="35">
        <v>1</v>
      </c>
      <c r="L2488" s="38">
        <f t="shared" si="38"/>
        <v>9.8103802281368822</v>
      </c>
      <c r="M2488" s="35" t="s">
        <v>11</v>
      </c>
      <c r="N2488" s="38"/>
      <c r="O2488" s="35" t="s">
        <v>2314</v>
      </c>
    </row>
    <row r="2489" spans="1:15" x14ac:dyDescent="0.25">
      <c r="A2489" s="35">
        <v>1139143756</v>
      </c>
      <c r="B2489" s="35" t="s">
        <v>3890</v>
      </c>
      <c r="C2489" s="35">
        <v>2023</v>
      </c>
      <c r="D2489" s="36">
        <v>45282.654097222221</v>
      </c>
      <c r="E2489" s="37" t="s">
        <v>2735</v>
      </c>
      <c r="F2489" s="37" t="s">
        <v>5319</v>
      </c>
      <c r="G2489" s="37" t="s">
        <v>5274</v>
      </c>
      <c r="H2489" s="35" t="s">
        <v>3419</v>
      </c>
      <c r="I2489" s="35" t="s">
        <v>3416</v>
      </c>
      <c r="J2489" s="38">
        <v>3.2628517110266162</v>
      </c>
      <c r="K2489" s="35">
        <v>1</v>
      </c>
      <c r="L2489" s="38">
        <f t="shared" si="38"/>
        <v>3.2628517110266162</v>
      </c>
      <c r="M2489" s="35" t="s">
        <v>11</v>
      </c>
      <c r="N2489" s="38"/>
      <c r="O2489" s="35" t="s">
        <v>2314</v>
      </c>
    </row>
    <row r="2490" spans="1:15" x14ac:dyDescent="0.25">
      <c r="A2490" s="35">
        <v>1139143756</v>
      </c>
      <c r="B2490" s="35" t="s">
        <v>3890</v>
      </c>
      <c r="C2490" s="35">
        <v>2023</v>
      </c>
      <c r="D2490" s="36">
        <v>45282.654097222221</v>
      </c>
      <c r="E2490" s="37" t="s">
        <v>2735</v>
      </c>
      <c r="F2490" s="37" t="s">
        <v>5431</v>
      </c>
      <c r="G2490" s="37" t="s">
        <v>5429</v>
      </c>
      <c r="H2490" s="35" t="s">
        <v>3419</v>
      </c>
      <c r="I2490" s="35" t="s">
        <v>3416</v>
      </c>
      <c r="J2490" s="38">
        <v>4.3541064638783276</v>
      </c>
      <c r="K2490" s="35">
        <v>1</v>
      </c>
      <c r="L2490" s="38">
        <f t="shared" si="38"/>
        <v>4.3541064638783276</v>
      </c>
      <c r="M2490" s="35" t="s">
        <v>11</v>
      </c>
      <c r="N2490" s="38"/>
      <c r="O2490" s="35" t="s">
        <v>2314</v>
      </c>
    </row>
    <row r="2491" spans="1:15" x14ac:dyDescent="0.25">
      <c r="A2491" s="35">
        <v>1139143756</v>
      </c>
      <c r="B2491" s="35" t="s">
        <v>3890</v>
      </c>
      <c r="C2491" s="35">
        <v>2023</v>
      </c>
      <c r="D2491" s="36">
        <v>45282.654097222221</v>
      </c>
      <c r="E2491" s="37" t="s">
        <v>2735</v>
      </c>
      <c r="F2491" s="37" t="s">
        <v>5432</v>
      </c>
      <c r="G2491" s="37" t="s">
        <v>5429</v>
      </c>
      <c r="H2491" s="35" t="s">
        <v>3419</v>
      </c>
      <c r="I2491" s="35" t="s">
        <v>3416</v>
      </c>
      <c r="J2491" s="38">
        <v>1.6259695817490489</v>
      </c>
      <c r="K2491" s="35">
        <v>1</v>
      </c>
      <c r="L2491" s="38">
        <f t="shared" si="38"/>
        <v>1.6259695817490489</v>
      </c>
      <c r="M2491" s="35" t="s">
        <v>11</v>
      </c>
      <c r="N2491" s="38"/>
      <c r="O2491" s="35" t="s">
        <v>2314</v>
      </c>
    </row>
    <row r="2492" spans="1:15" x14ac:dyDescent="0.25">
      <c r="A2492" s="35">
        <v>1139143756</v>
      </c>
      <c r="B2492" s="35" t="s">
        <v>3890</v>
      </c>
      <c r="C2492" s="35">
        <v>2023</v>
      </c>
      <c r="D2492" s="36">
        <v>45282.654097222221</v>
      </c>
      <c r="E2492" s="37" t="s">
        <v>2735</v>
      </c>
      <c r="F2492" s="37" t="s">
        <v>5319</v>
      </c>
      <c r="G2492" s="37" t="s">
        <v>5429</v>
      </c>
      <c r="H2492" s="35" t="s">
        <v>3419</v>
      </c>
      <c r="I2492" s="35" t="s">
        <v>3416</v>
      </c>
      <c r="J2492" s="38">
        <v>0.8184410646387833</v>
      </c>
      <c r="K2492" s="35">
        <v>1</v>
      </c>
      <c r="L2492" s="38">
        <f t="shared" si="38"/>
        <v>0.8184410646387833</v>
      </c>
      <c r="M2492" s="35" t="s">
        <v>11</v>
      </c>
      <c r="N2492" s="38"/>
      <c r="O2492" s="35" t="s">
        <v>2314</v>
      </c>
    </row>
    <row r="2493" spans="1:15" x14ac:dyDescent="0.25">
      <c r="A2493" s="35">
        <v>1139143756</v>
      </c>
      <c r="B2493" s="35" t="s">
        <v>3890</v>
      </c>
      <c r="C2493" s="35">
        <v>2023</v>
      </c>
      <c r="D2493" s="36">
        <v>45282.654097222221</v>
      </c>
      <c r="E2493" s="37" t="s">
        <v>2735</v>
      </c>
      <c r="F2493" s="37" t="s">
        <v>5433</v>
      </c>
      <c r="G2493" s="37" t="s">
        <v>5429</v>
      </c>
      <c r="H2493" s="35" t="s">
        <v>3419</v>
      </c>
      <c r="I2493" s="35" t="s">
        <v>3416</v>
      </c>
      <c r="J2493" s="38">
        <v>4.3541064638783276</v>
      </c>
      <c r="K2493" s="35">
        <v>1</v>
      </c>
      <c r="L2493" s="38">
        <f t="shared" si="38"/>
        <v>4.3541064638783276</v>
      </c>
      <c r="M2493" s="35" t="s">
        <v>11</v>
      </c>
      <c r="N2493" s="38"/>
      <c r="O2493" s="35" t="s">
        <v>2314</v>
      </c>
    </row>
    <row r="2494" spans="1:15" x14ac:dyDescent="0.25">
      <c r="A2494" s="35">
        <v>1139143756</v>
      </c>
      <c r="B2494" s="35" t="s">
        <v>3890</v>
      </c>
      <c r="C2494" s="35">
        <v>2023</v>
      </c>
      <c r="D2494" s="36">
        <v>45282.654097222221</v>
      </c>
      <c r="E2494" s="37" t="s">
        <v>2735</v>
      </c>
      <c r="F2494" s="37" t="s">
        <v>5434</v>
      </c>
      <c r="G2494" s="37" t="s">
        <v>5429</v>
      </c>
      <c r="H2494" s="35" t="s">
        <v>3419</v>
      </c>
      <c r="I2494" s="35" t="s">
        <v>3416</v>
      </c>
      <c r="J2494" s="38">
        <v>2.509885931558935</v>
      </c>
      <c r="K2494" s="35">
        <v>1</v>
      </c>
      <c r="L2494" s="38">
        <f t="shared" si="38"/>
        <v>2.509885931558935</v>
      </c>
      <c r="M2494" s="35" t="s">
        <v>11</v>
      </c>
      <c r="N2494" s="38"/>
      <c r="O2494" s="35" t="s">
        <v>2314</v>
      </c>
    </row>
    <row r="2495" spans="1:15" x14ac:dyDescent="0.25">
      <c r="A2495" s="35">
        <v>1139143756</v>
      </c>
      <c r="B2495" s="35" t="s">
        <v>3890</v>
      </c>
      <c r="C2495" s="35">
        <v>2023</v>
      </c>
      <c r="D2495" s="36">
        <v>45282.654097222221</v>
      </c>
      <c r="E2495" s="37" t="s">
        <v>2735</v>
      </c>
      <c r="F2495" s="37" t="s">
        <v>5435</v>
      </c>
      <c r="G2495" s="37" t="s">
        <v>5429</v>
      </c>
      <c r="H2495" s="35" t="s">
        <v>3419</v>
      </c>
      <c r="I2495" s="35" t="s">
        <v>3416</v>
      </c>
      <c r="J2495" s="38">
        <v>10.90163498098859</v>
      </c>
      <c r="K2495" s="35">
        <v>1</v>
      </c>
      <c r="L2495" s="38">
        <f t="shared" si="38"/>
        <v>10.90163498098859</v>
      </c>
      <c r="M2495" s="35" t="s">
        <v>11</v>
      </c>
      <c r="N2495" s="38"/>
      <c r="O2495" s="35" t="s">
        <v>2314</v>
      </c>
    </row>
    <row r="2496" spans="1:15" x14ac:dyDescent="0.25">
      <c r="A2496" s="35">
        <v>1139143756</v>
      </c>
      <c r="B2496" s="35" t="s">
        <v>3890</v>
      </c>
      <c r="C2496" s="35">
        <v>2023</v>
      </c>
      <c r="D2496" s="36">
        <v>45282.654097222221</v>
      </c>
      <c r="E2496" s="37" t="s">
        <v>2735</v>
      </c>
      <c r="F2496" s="37" t="s">
        <v>5436</v>
      </c>
      <c r="G2496" s="37" t="s">
        <v>5429</v>
      </c>
      <c r="H2496" s="35" t="s">
        <v>3419</v>
      </c>
      <c r="I2496" s="35" t="s">
        <v>3416</v>
      </c>
      <c r="J2496" s="38">
        <v>8.7191254752851712</v>
      </c>
      <c r="K2496" s="35">
        <v>1</v>
      </c>
      <c r="L2496" s="38">
        <f t="shared" si="38"/>
        <v>8.7191254752851712</v>
      </c>
      <c r="M2496" s="35" t="s">
        <v>11</v>
      </c>
      <c r="N2496" s="38"/>
      <c r="O2496" s="35" t="s">
        <v>2314</v>
      </c>
    </row>
    <row r="2497" spans="1:15" x14ac:dyDescent="0.25">
      <c r="A2497" s="35">
        <v>1139143756</v>
      </c>
      <c r="B2497" s="35" t="s">
        <v>3890</v>
      </c>
      <c r="C2497" s="35">
        <v>2023</v>
      </c>
      <c r="D2497" s="36">
        <v>45282.654097222221</v>
      </c>
      <c r="E2497" s="37" t="s">
        <v>2735</v>
      </c>
      <c r="F2497" s="37" t="s">
        <v>5437</v>
      </c>
      <c r="G2497" s="37" t="s">
        <v>5429</v>
      </c>
      <c r="H2497" s="35" t="s">
        <v>3419</v>
      </c>
      <c r="I2497" s="35" t="s">
        <v>3416</v>
      </c>
      <c r="J2497" s="38">
        <v>9.5375665399239544</v>
      </c>
      <c r="K2497" s="35">
        <v>1</v>
      </c>
      <c r="L2497" s="38">
        <f t="shared" si="38"/>
        <v>9.5375665399239544</v>
      </c>
      <c r="M2497" s="35" t="s">
        <v>11</v>
      </c>
      <c r="N2497" s="38"/>
      <c r="O2497" s="35" t="s">
        <v>2314</v>
      </c>
    </row>
    <row r="2498" spans="1:15" x14ac:dyDescent="0.25">
      <c r="A2498" s="35">
        <v>1139143756</v>
      </c>
      <c r="B2498" s="35" t="s">
        <v>3890</v>
      </c>
      <c r="C2498" s="35">
        <v>2023</v>
      </c>
      <c r="D2498" s="36">
        <v>45282.654097222221</v>
      </c>
      <c r="E2498" s="37" t="s">
        <v>2735</v>
      </c>
      <c r="F2498" s="37" t="s">
        <v>5438</v>
      </c>
      <c r="G2498" s="37" t="s">
        <v>5429</v>
      </c>
      <c r="H2498" s="35" t="s">
        <v>3419</v>
      </c>
      <c r="I2498" s="35" t="s">
        <v>3416</v>
      </c>
      <c r="J2498" s="38">
        <v>2.007908745247148</v>
      </c>
      <c r="K2498" s="35">
        <v>1</v>
      </c>
      <c r="L2498" s="38">
        <f t="shared" ref="L2498:L2561" si="39">J2498*K2498</f>
        <v>2.007908745247148</v>
      </c>
      <c r="M2498" s="35" t="s">
        <v>11</v>
      </c>
      <c r="N2498" s="38"/>
      <c r="O2498" s="35" t="s">
        <v>2314</v>
      </c>
    </row>
    <row r="2499" spans="1:15" x14ac:dyDescent="0.25">
      <c r="A2499" s="35">
        <v>1139143756</v>
      </c>
      <c r="B2499" s="35" t="s">
        <v>3890</v>
      </c>
      <c r="C2499" s="35">
        <v>2023</v>
      </c>
      <c r="D2499" s="36">
        <v>45282.654097222221</v>
      </c>
      <c r="E2499" s="37" t="s">
        <v>2735</v>
      </c>
      <c r="F2499" s="37" t="s">
        <v>5313</v>
      </c>
      <c r="G2499" s="37" t="s">
        <v>5307</v>
      </c>
      <c r="H2499" s="35" t="s">
        <v>3419</v>
      </c>
      <c r="I2499" s="35" t="s">
        <v>3416</v>
      </c>
      <c r="J2499" s="38">
        <v>1.800570342205323</v>
      </c>
      <c r="K2499" s="35">
        <v>1</v>
      </c>
      <c r="L2499" s="38">
        <f t="shared" si="39"/>
        <v>1.800570342205323</v>
      </c>
      <c r="M2499" s="35" t="s">
        <v>11</v>
      </c>
      <c r="N2499" s="38"/>
      <c r="O2499" s="35" t="s">
        <v>2314</v>
      </c>
    </row>
    <row r="2500" spans="1:15" x14ac:dyDescent="0.25">
      <c r="A2500" s="35">
        <v>1139136931</v>
      </c>
      <c r="B2500" s="35" t="s">
        <v>3890</v>
      </c>
      <c r="C2500" s="35">
        <v>2023</v>
      </c>
      <c r="D2500" s="36">
        <v>45282.443553240737</v>
      </c>
      <c r="E2500" s="37" t="s">
        <v>8</v>
      </c>
      <c r="F2500" s="37" t="s">
        <v>5439</v>
      </c>
      <c r="G2500" s="37" t="s">
        <v>3925</v>
      </c>
      <c r="H2500" s="35" t="s">
        <v>3419</v>
      </c>
      <c r="I2500" s="35" t="s">
        <v>3416</v>
      </c>
      <c r="J2500" s="38">
        <v>0.6</v>
      </c>
      <c r="K2500" s="35">
        <v>2</v>
      </c>
      <c r="L2500" s="38">
        <f t="shared" si="39"/>
        <v>1.2</v>
      </c>
      <c r="M2500" s="42" t="s">
        <v>11</v>
      </c>
      <c r="N2500" s="38"/>
      <c r="O2500" s="35" t="s">
        <v>12</v>
      </c>
    </row>
    <row r="2501" spans="1:15" x14ac:dyDescent="0.25">
      <c r="A2501" s="35">
        <v>1139136931</v>
      </c>
      <c r="B2501" s="35" t="s">
        <v>3890</v>
      </c>
      <c r="C2501" s="35">
        <v>2023</v>
      </c>
      <c r="D2501" s="36">
        <v>45282.443553240737</v>
      </c>
      <c r="E2501" s="37" t="s">
        <v>8</v>
      </c>
      <c r="F2501" s="37" t="s">
        <v>5440</v>
      </c>
      <c r="G2501" s="37" t="s">
        <v>4215</v>
      </c>
      <c r="H2501" s="35" t="s">
        <v>3419</v>
      </c>
      <c r="I2501" s="35" t="s">
        <v>3416</v>
      </c>
      <c r="J2501" s="38">
        <v>1.5</v>
      </c>
      <c r="K2501" s="35">
        <v>1</v>
      </c>
      <c r="L2501" s="38">
        <f t="shared" si="39"/>
        <v>1.5</v>
      </c>
      <c r="M2501" s="42" t="s">
        <v>11</v>
      </c>
      <c r="N2501" s="38"/>
      <c r="O2501" s="35" t="s">
        <v>12</v>
      </c>
    </row>
    <row r="2502" spans="1:15" x14ac:dyDescent="0.25">
      <c r="A2502" s="35">
        <v>1139136931</v>
      </c>
      <c r="B2502" s="35" t="s">
        <v>3890</v>
      </c>
      <c r="C2502" s="35">
        <v>2023</v>
      </c>
      <c r="D2502" s="36">
        <v>45282.443553240737</v>
      </c>
      <c r="E2502" s="37" t="s">
        <v>8</v>
      </c>
      <c r="F2502" s="37" t="s">
        <v>4836</v>
      </c>
      <c r="G2502" s="37" t="s">
        <v>3925</v>
      </c>
      <c r="H2502" s="35" t="s">
        <v>3415</v>
      </c>
      <c r="I2502" s="35" t="s">
        <v>3416</v>
      </c>
      <c r="J2502" s="38">
        <v>0.99</v>
      </c>
      <c r="K2502" s="35">
        <v>4</v>
      </c>
      <c r="L2502" s="38">
        <f t="shared" si="39"/>
        <v>3.96</v>
      </c>
      <c r="M2502" s="42" t="s">
        <v>11</v>
      </c>
      <c r="N2502" s="38"/>
      <c r="O2502" s="35" t="s">
        <v>12</v>
      </c>
    </row>
    <row r="2503" spans="1:15" x14ac:dyDescent="0.25">
      <c r="A2503" s="35">
        <v>1139136931</v>
      </c>
      <c r="B2503" s="35" t="s">
        <v>3890</v>
      </c>
      <c r="C2503" s="35">
        <v>2023</v>
      </c>
      <c r="D2503" s="36">
        <v>45282.443553240737</v>
      </c>
      <c r="E2503" s="37" t="s">
        <v>8</v>
      </c>
      <c r="F2503" s="37" t="s">
        <v>5440</v>
      </c>
      <c r="G2503" s="37" t="s">
        <v>3925</v>
      </c>
      <c r="H2503" s="35" t="s">
        <v>3419</v>
      </c>
      <c r="I2503" s="35" t="s">
        <v>3453</v>
      </c>
      <c r="J2503" s="38">
        <v>1.25</v>
      </c>
      <c r="K2503" s="35">
        <v>2</v>
      </c>
      <c r="L2503" s="38">
        <f t="shared" si="39"/>
        <v>2.5</v>
      </c>
      <c r="M2503" s="42" t="s">
        <v>11</v>
      </c>
      <c r="N2503" s="38"/>
      <c r="O2503" s="35" t="s">
        <v>12</v>
      </c>
    </row>
    <row r="2504" spans="1:15" x14ac:dyDescent="0.25">
      <c r="A2504" s="35">
        <v>1139136931</v>
      </c>
      <c r="B2504" s="35" t="s">
        <v>3890</v>
      </c>
      <c r="C2504" s="35">
        <v>2023</v>
      </c>
      <c r="D2504" s="36">
        <v>45282.443553240737</v>
      </c>
      <c r="E2504" s="37" t="s">
        <v>8</v>
      </c>
      <c r="F2504" s="37" t="s">
        <v>5441</v>
      </c>
      <c r="G2504" s="37" t="s">
        <v>3925</v>
      </c>
      <c r="H2504" s="35" t="s">
        <v>3415</v>
      </c>
      <c r="I2504" s="35" t="s">
        <v>3453</v>
      </c>
      <c r="J2504" s="38">
        <v>6.95</v>
      </c>
      <c r="K2504" s="35">
        <v>4</v>
      </c>
      <c r="L2504" s="38">
        <f t="shared" si="39"/>
        <v>27.8</v>
      </c>
      <c r="M2504" s="42" t="s">
        <v>11</v>
      </c>
      <c r="N2504" s="38"/>
      <c r="O2504" s="35" t="s">
        <v>12</v>
      </c>
    </row>
    <row r="2505" spans="1:15" x14ac:dyDescent="0.25">
      <c r="A2505" s="35">
        <v>1139136931</v>
      </c>
      <c r="B2505" s="35" t="s">
        <v>3890</v>
      </c>
      <c r="C2505" s="35">
        <v>2023</v>
      </c>
      <c r="D2505" s="36">
        <v>45282.443553240737</v>
      </c>
      <c r="E2505" s="37" t="s">
        <v>8</v>
      </c>
      <c r="F2505" s="37" t="s">
        <v>5440</v>
      </c>
      <c r="G2505" s="37" t="s">
        <v>4215</v>
      </c>
      <c r="H2505" s="35" t="s">
        <v>3419</v>
      </c>
      <c r="I2505" s="35" t="s">
        <v>3416</v>
      </c>
      <c r="J2505" s="38">
        <v>3.45</v>
      </c>
      <c r="K2505" s="35">
        <v>1</v>
      </c>
      <c r="L2505" s="38">
        <f t="shared" si="39"/>
        <v>3.45</v>
      </c>
      <c r="M2505" s="42" t="s">
        <v>11</v>
      </c>
      <c r="N2505" s="38"/>
      <c r="O2505" s="35" t="s">
        <v>12</v>
      </c>
    </row>
    <row r="2506" spans="1:15" ht="30" x14ac:dyDescent="0.25">
      <c r="A2506" s="35">
        <v>1139136931</v>
      </c>
      <c r="B2506" s="35" t="s">
        <v>3890</v>
      </c>
      <c r="C2506" s="35">
        <v>2023</v>
      </c>
      <c r="D2506" s="36">
        <v>45282.443553240737</v>
      </c>
      <c r="E2506" s="37" t="s">
        <v>8</v>
      </c>
      <c r="F2506" s="37" t="s">
        <v>5442</v>
      </c>
      <c r="G2506" s="37" t="s">
        <v>4215</v>
      </c>
      <c r="H2506" s="35" t="s">
        <v>3419</v>
      </c>
      <c r="I2506" s="35" t="s">
        <v>3416</v>
      </c>
      <c r="J2506" s="38">
        <v>0.55000000000000004</v>
      </c>
      <c r="K2506" s="35">
        <v>1</v>
      </c>
      <c r="L2506" s="38">
        <f t="shared" si="39"/>
        <v>0.55000000000000004</v>
      </c>
      <c r="M2506" s="42" t="s">
        <v>11</v>
      </c>
      <c r="N2506" s="38"/>
      <c r="O2506" s="35" t="s">
        <v>12</v>
      </c>
    </row>
    <row r="2507" spans="1:15" x14ac:dyDescent="0.25">
      <c r="A2507" s="35">
        <v>1139136931</v>
      </c>
      <c r="B2507" s="35" t="s">
        <v>3890</v>
      </c>
      <c r="C2507" s="35">
        <v>2023</v>
      </c>
      <c r="D2507" s="36">
        <v>45282.443553240737</v>
      </c>
      <c r="E2507" s="37" t="s">
        <v>8</v>
      </c>
      <c r="F2507" s="37" t="s">
        <v>5443</v>
      </c>
      <c r="G2507" s="37" t="s">
        <v>3674</v>
      </c>
      <c r="H2507" s="35" t="s">
        <v>3419</v>
      </c>
      <c r="I2507" s="35" t="s">
        <v>3416</v>
      </c>
      <c r="J2507" s="38">
        <v>1</v>
      </c>
      <c r="K2507" s="35">
        <v>2</v>
      </c>
      <c r="L2507" s="38">
        <f t="shared" si="39"/>
        <v>2</v>
      </c>
      <c r="M2507" s="42" t="s">
        <v>11</v>
      </c>
      <c r="N2507" s="38"/>
      <c r="O2507" s="35" t="s">
        <v>12</v>
      </c>
    </row>
    <row r="2508" spans="1:15" x14ac:dyDescent="0.25">
      <c r="A2508" s="35">
        <v>1138813801</v>
      </c>
      <c r="B2508" s="35" t="s">
        <v>3890</v>
      </c>
      <c r="C2508" s="35">
        <v>2023</v>
      </c>
      <c r="D2508" s="36">
        <v>45279.434687499997</v>
      </c>
      <c r="E2508" s="37" t="s">
        <v>1911</v>
      </c>
      <c r="F2508" s="37" t="s">
        <v>4452</v>
      </c>
      <c r="G2508" s="37" t="s">
        <v>5232</v>
      </c>
      <c r="H2508" s="35" t="s">
        <v>3415</v>
      </c>
      <c r="I2508" s="35" t="s">
        <v>3416</v>
      </c>
      <c r="J2508" s="38">
        <v>8.16</v>
      </c>
      <c r="K2508" s="35">
        <v>4</v>
      </c>
      <c r="L2508" s="38">
        <f t="shared" si="39"/>
        <v>32.64</v>
      </c>
      <c r="M2508" s="35" t="s">
        <v>11</v>
      </c>
      <c r="N2508" s="38"/>
      <c r="O2508" s="35" t="s">
        <v>12</v>
      </c>
    </row>
    <row r="2509" spans="1:15" x14ac:dyDescent="0.25">
      <c r="A2509" s="35">
        <v>1138813507</v>
      </c>
      <c r="B2509" s="35" t="s">
        <v>3890</v>
      </c>
      <c r="C2509" s="35">
        <v>2023</v>
      </c>
      <c r="D2509" s="36">
        <v>45279.434687499997</v>
      </c>
      <c r="E2509" s="37" t="s">
        <v>1682</v>
      </c>
      <c r="F2509" s="37" t="s">
        <v>5447</v>
      </c>
      <c r="G2509" s="37" t="s">
        <v>4856</v>
      </c>
      <c r="H2509" s="35" t="s">
        <v>3419</v>
      </c>
      <c r="I2509" s="35" t="s">
        <v>3453</v>
      </c>
      <c r="J2509" s="38">
        <v>12.93</v>
      </c>
      <c r="K2509" s="35">
        <v>1</v>
      </c>
      <c r="L2509" s="38">
        <f t="shared" si="39"/>
        <v>12.93</v>
      </c>
      <c r="M2509" s="35" t="s">
        <v>11</v>
      </c>
      <c r="N2509" s="38"/>
      <c r="O2509" s="35" t="s">
        <v>12</v>
      </c>
    </row>
    <row r="2510" spans="1:15" x14ac:dyDescent="0.25">
      <c r="A2510" s="35">
        <v>1138674465</v>
      </c>
      <c r="B2510" s="35" t="s">
        <v>3890</v>
      </c>
      <c r="C2510" s="35">
        <v>2023</v>
      </c>
      <c r="D2510" s="36">
        <v>45277.986168981479</v>
      </c>
      <c r="E2510" s="37" t="s">
        <v>2743</v>
      </c>
      <c r="F2510" s="37" t="s">
        <v>3861</v>
      </c>
      <c r="G2510" s="37" t="s">
        <v>3862</v>
      </c>
      <c r="H2510" s="35" t="s">
        <v>3415</v>
      </c>
      <c r="I2510" s="35" t="s">
        <v>3530</v>
      </c>
      <c r="J2510" s="38">
        <v>1.7949999999999999</v>
      </c>
      <c r="K2510" s="35">
        <v>4</v>
      </c>
      <c r="L2510" s="38">
        <f t="shared" si="39"/>
        <v>7.18</v>
      </c>
      <c r="M2510" s="35" t="s">
        <v>11</v>
      </c>
      <c r="N2510" s="38"/>
      <c r="O2510" s="35" t="s">
        <v>12</v>
      </c>
    </row>
    <row r="2511" spans="1:15" x14ac:dyDescent="0.25">
      <c r="A2511" s="35">
        <v>1138674136</v>
      </c>
      <c r="B2511" s="35" t="s">
        <v>3890</v>
      </c>
      <c r="C2511" s="35">
        <v>2023</v>
      </c>
      <c r="D2511" s="36">
        <v>45277.986168981479</v>
      </c>
      <c r="E2511" s="37" t="s">
        <v>1455</v>
      </c>
      <c r="F2511" s="37" t="s">
        <v>4455</v>
      </c>
      <c r="G2511" s="37" t="s">
        <v>5232</v>
      </c>
      <c r="H2511" s="35" t="s">
        <v>3415</v>
      </c>
      <c r="I2511" s="35" t="s">
        <v>3416</v>
      </c>
      <c r="J2511" s="38">
        <v>5.422877930476961</v>
      </c>
      <c r="K2511" s="35">
        <v>4</v>
      </c>
      <c r="L2511" s="38">
        <f t="shared" si="39"/>
        <v>21.691511721907844</v>
      </c>
      <c r="M2511" s="35" t="s">
        <v>11</v>
      </c>
      <c r="N2511" s="38"/>
      <c r="O2511" s="35" t="s">
        <v>12</v>
      </c>
    </row>
    <row r="2512" spans="1:15" x14ac:dyDescent="0.25">
      <c r="A2512" s="35">
        <v>1138674136</v>
      </c>
      <c r="B2512" s="35" t="s">
        <v>3890</v>
      </c>
      <c r="C2512" s="35">
        <v>2023</v>
      </c>
      <c r="D2512" s="36">
        <v>45277.986168981479</v>
      </c>
      <c r="E2512" s="37" t="s">
        <v>1455</v>
      </c>
      <c r="F2512" s="37" t="s">
        <v>4454</v>
      </c>
      <c r="G2512" s="37" t="s">
        <v>5232</v>
      </c>
      <c r="H2512" s="35" t="s">
        <v>3415</v>
      </c>
      <c r="I2512" s="35" t="s">
        <v>3416</v>
      </c>
      <c r="J2512" s="38">
        <v>3.3090622473726761</v>
      </c>
      <c r="K2512" s="35">
        <v>4</v>
      </c>
      <c r="L2512" s="38">
        <f t="shared" si="39"/>
        <v>13.236248989490704</v>
      </c>
      <c r="M2512" s="35" t="s">
        <v>11</v>
      </c>
      <c r="N2512" s="38"/>
      <c r="O2512" s="35" t="s">
        <v>12</v>
      </c>
    </row>
    <row r="2513" spans="1:15" x14ac:dyDescent="0.25">
      <c r="A2513" s="35">
        <v>1138674136</v>
      </c>
      <c r="B2513" s="35" t="s">
        <v>3890</v>
      </c>
      <c r="C2513" s="35">
        <v>2023</v>
      </c>
      <c r="D2513" s="36">
        <v>45277.986168981479</v>
      </c>
      <c r="E2513" s="37" t="s">
        <v>1455</v>
      </c>
      <c r="F2513" s="37" t="s">
        <v>4451</v>
      </c>
      <c r="G2513" s="37" t="s">
        <v>5232</v>
      </c>
      <c r="H2513" s="35" t="s">
        <v>3415</v>
      </c>
      <c r="I2513" s="35" t="s">
        <v>3416</v>
      </c>
      <c r="J2513" s="38">
        <v>4.9580598221503642</v>
      </c>
      <c r="K2513" s="35">
        <v>4</v>
      </c>
      <c r="L2513" s="38">
        <f t="shared" si="39"/>
        <v>19.832239288601457</v>
      </c>
      <c r="M2513" s="35" t="s">
        <v>11</v>
      </c>
      <c r="N2513" s="38"/>
      <c r="O2513" s="35" t="s">
        <v>12</v>
      </c>
    </row>
    <row r="2514" spans="1:15" ht="30" x14ac:dyDescent="0.25">
      <c r="A2514" s="35">
        <v>1138668475</v>
      </c>
      <c r="B2514" s="35" t="s">
        <v>3890</v>
      </c>
      <c r="C2514" s="35">
        <v>2023</v>
      </c>
      <c r="D2514" s="36">
        <v>45277.986168981479</v>
      </c>
      <c r="E2514" s="37" t="s">
        <v>2747</v>
      </c>
      <c r="F2514" s="37" t="s">
        <v>5448</v>
      </c>
      <c r="G2514" s="37" t="s">
        <v>3520</v>
      </c>
      <c r="H2514" s="35" t="s">
        <v>3419</v>
      </c>
      <c r="I2514" s="35" t="s">
        <v>3416</v>
      </c>
      <c r="J2514" s="38">
        <v>5.5619047619047617</v>
      </c>
      <c r="K2514" s="35">
        <v>1</v>
      </c>
      <c r="L2514" s="38">
        <f t="shared" si="39"/>
        <v>5.5619047619047617</v>
      </c>
      <c r="M2514" s="35" t="s">
        <v>11</v>
      </c>
      <c r="N2514" s="38"/>
      <c r="O2514" s="35" t="s">
        <v>12</v>
      </c>
    </row>
    <row r="2515" spans="1:15" ht="30" x14ac:dyDescent="0.25">
      <c r="A2515" s="35">
        <v>1138668475</v>
      </c>
      <c r="B2515" s="35" t="s">
        <v>3890</v>
      </c>
      <c r="C2515" s="35">
        <v>2023</v>
      </c>
      <c r="D2515" s="36">
        <v>45277.986168981479</v>
      </c>
      <c r="E2515" s="37" t="s">
        <v>2747</v>
      </c>
      <c r="F2515" s="37" t="s">
        <v>5271</v>
      </c>
      <c r="G2515" s="37" t="s">
        <v>3520</v>
      </c>
      <c r="H2515" s="35" t="s">
        <v>3419</v>
      </c>
      <c r="I2515" s="35" t="s">
        <v>3416</v>
      </c>
      <c r="J2515" s="38">
        <v>6.118095238095238</v>
      </c>
      <c r="K2515" s="35">
        <v>1</v>
      </c>
      <c r="L2515" s="38">
        <f t="shared" si="39"/>
        <v>6.118095238095238</v>
      </c>
      <c r="M2515" s="35" t="s">
        <v>11</v>
      </c>
      <c r="N2515" s="38"/>
      <c r="O2515" s="35" t="s">
        <v>12</v>
      </c>
    </row>
    <row r="2516" spans="1:15" ht="30" x14ac:dyDescent="0.25">
      <c r="A2516" s="35">
        <v>1138668474</v>
      </c>
      <c r="B2516" s="35" t="s">
        <v>3890</v>
      </c>
      <c r="C2516" s="35">
        <v>2023</v>
      </c>
      <c r="D2516" s="36">
        <v>45277.986168981479</v>
      </c>
      <c r="E2516" s="37" t="s">
        <v>2644</v>
      </c>
      <c r="F2516" s="37" t="s">
        <v>4315</v>
      </c>
      <c r="G2516" s="37" t="s">
        <v>3520</v>
      </c>
      <c r="H2516" s="35" t="s">
        <v>3419</v>
      </c>
      <c r="I2516" s="35" t="s">
        <v>3416</v>
      </c>
      <c r="J2516" s="38">
        <v>9.18</v>
      </c>
      <c r="K2516" s="35">
        <v>1</v>
      </c>
      <c r="L2516" s="38">
        <f t="shared" si="39"/>
        <v>9.18</v>
      </c>
      <c r="M2516" s="35" t="s">
        <v>11</v>
      </c>
      <c r="N2516" s="38"/>
      <c r="O2516" s="35" t="s">
        <v>12</v>
      </c>
    </row>
    <row r="2517" spans="1:15" ht="30" x14ac:dyDescent="0.25">
      <c r="A2517" s="35">
        <v>1138668473</v>
      </c>
      <c r="B2517" s="35" t="s">
        <v>3890</v>
      </c>
      <c r="C2517" s="35">
        <v>2023</v>
      </c>
      <c r="D2517" s="36">
        <v>45277.986168981479</v>
      </c>
      <c r="E2517" s="37" t="s">
        <v>2750</v>
      </c>
      <c r="F2517" s="37" t="s">
        <v>5449</v>
      </c>
      <c r="G2517" s="37" t="s">
        <v>3520</v>
      </c>
      <c r="H2517" s="35" t="s">
        <v>3419</v>
      </c>
      <c r="I2517" s="35" t="s">
        <v>3416</v>
      </c>
      <c r="J2517" s="38">
        <v>4.68</v>
      </c>
      <c r="K2517" s="35">
        <v>1</v>
      </c>
      <c r="L2517" s="38">
        <f t="shared" si="39"/>
        <v>4.68</v>
      </c>
      <c r="M2517" s="35" t="s">
        <v>11</v>
      </c>
      <c r="N2517" s="38"/>
      <c r="O2517" s="35" t="s">
        <v>12</v>
      </c>
    </row>
    <row r="2518" spans="1:15" ht="30" x14ac:dyDescent="0.25">
      <c r="A2518" s="35">
        <v>1138668463</v>
      </c>
      <c r="B2518" s="35" t="s">
        <v>3890</v>
      </c>
      <c r="C2518" s="35">
        <v>2023</v>
      </c>
      <c r="D2518" s="36">
        <v>45277.986168981479</v>
      </c>
      <c r="E2518" s="37" t="s">
        <v>2752</v>
      </c>
      <c r="F2518" s="37" t="s">
        <v>5450</v>
      </c>
      <c r="G2518" s="37" t="s">
        <v>3520</v>
      </c>
      <c r="H2518" s="35" t="s">
        <v>3419</v>
      </c>
      <c r="I2518" s="35" t="s">
        <v>3416</v>
      </c>
      <c r="J2518" s="38">
        <v>6.3521004098360656</v>
      </c>
      <c r="K2518" s="35">
        <v>1</v>
      </c>
      <c r="L2518" s="38">
        <f t="shared" si="39"/>
        <v>6.3521004098360656</v>
      </c>
      <c r="M2518" s="35" t="s">
        <v>11</v>
      </c>
      <c r="N2518" s="38"/>
      <c r="O2518" s="35" t="s">
        <v>12</v>
      </c>
    </row>
    <row r="2519" spans="1:15" ht="30" x14ac:dyDescent="0.25">
      <c r="A2519" s="35">
        <v>1138668463</v>
      </c>
      <c r="B2519" s="35" t="s">
        <v>3890</v>
      </c>
      <c r="C2519" s="35">
        <v>2023</v>
      </c>
      <c r="D2519" s="36">
        <v>45277.986168981479</v>
      </c>
      <c r="E2519" s="37" t="s">
        <v>2752</v>
      </c>
      <c r="F2519" s="37" t="s">
        <v>3833</v>
      </c>
      <c r="G2519" s="37" t="s">
        <v>3520</v>
      </c>
      <c r="H2519" s="35" t="s">
        <v>3419</v>
      </c>
      <c r="I2519" s="35" t="s">
        <v>3416</v>
      </c>
      <c r="J2519" s="38">
        <v>2.3223872950819668</v>
      </c>
      <c r="K2519" s="35">
        <v>1</v>
      </c>
      <c r="L2519" s="38">
        <f t="shared" si="39"/>
        <v>2.3223872950819668</v>
      </c>
      <c r="M2519" s="35" t="s">
        <v>11</v>
      </c>
      <c r="N2519" s="38"/>
      <c r="O2519" s="35" t="s">
        <v>12</v>
      </c>
    </row>
    <row r="2520" spans="1:15" ht="30" x14ac:dyDescent="0.25">
      <c r="A2520" s="35">
        <v>1138668463</v>
      </c>
      <c r="B2520" s="35" t="s">
        <v>3890</v>
      </c>
      <c r="C2520" s="35">
        <v>2023</v>
      </c>
      <c r="D2520" s="36">
        <v>45277.986168981479</v>
      </c>
      <c r="E2520" s="37" t="s">
        <v>2752</v>
      </c>
      <c r="F2520" s="37" t="s">
        <v>5451</v>
      </c>
      <c r="G2520" s="37" t="s">
        <v>3520</v>
      </c>
      <c r="H2520" s="35" t="s">
        <v>3419</v>
      </c>
      <c r="I2520" s="35" t="s">
        <v>3416</v>
      </c>
      <c r="J2520" s="38">
        <v>5.8218750000000004</v>
      </c>
      <c r="K2520" s="35">
        <v>1</v>
      </c>
      <c r="L2520" s="38">
        <f t="shared" si="39"/>
        <v>5.8218750000000004</v>
      </c>
      <c r="M2520" s="35" t="s">
        <v>11</v>
      </c>
      <c r="N2520" s="38"/>
      <c r="O2520" s="35" t="s">
        <v>12</v>
      </c>
    </row>
    <row r="2521" spans="1:15" ht="30" x14ac:dyDescent="0.25">
      <c r="A2521" s="35">
        <v>1138668463</v>
      </c>
      <c r="B2521" s="35" t="s">
        <v>3890</v>
      </c>
      <c r="C2521" s="35">
        <v>2023</v>
      </c>
      <c r="D2521" s="36">
        <v>45277.986168981479</v>
      </c>
      <c r="E2521" s="37" t="s">
        <v>2752</v>
      </c>
      <c r="F2521" s="37" t="s">
        <v>5266</v>
      </c>
      <c r="G2521" s="37" t="s">
        <v>3520</v>
      </c>
      <c r="H2521" s="35" t="s">
        <v>3419</v>
      </c>
      <c r="I2521" s="35" t="s">
        <v>3416</v>
      </c>
      <c r="J2521" s="38">
        <v>3.054098360655737</v>
      </c>
      <c r="K2521" s="35">
        <v>1</v>
      </c>
      <c r="L2521" s="38">
        <f t="shared" si="39"/>
        <v>3.054098360655737</v>
      </c>
      <c r="M2521" s="35" t="s">
        <v>11</v>
      </c>
      <c r="N2521" s="38"/>
      <c r="O2521" s="35" t="s">
        <v>12</v>
      </c>
    </row>
    <row r="2522" spans="1:15" ht="30" x14ac:dyDescent="0.25">
      <c r="A2522" s="35">
        <v>1138668463</v>
      </c>
      <c r="B2522" s="35" t="s">
        <v>3890</v>
      </c>
      <c r="C2522" s="35">
        <v>2023</v>
      </c>
      <c r="D2522" s="36">
        <v>45277.986168981479</v>
      </c>
      <c r="E2522" s="37" t="s">
        <v>2752</v>
      </c>
      <c r="F2522" s="37" t="s">
        <v>4316</v>
      </c>
      <c r="G2522" s="37" t="s">
        <v>3520</v>
      </c>
      <c r="H2522" s="35" t="s">
        <v>3419</v>
      </c>
      <c r="I2522" s="35" t="s">
        <v>3416</v>
      </c>
      <c r="J2522" s="38">
        <v>3.1495389344262299</v>
      </c>
      <c r="K2522" s="35">
        <v>1</v>
      </c>
      <c r="L2522" s="38">
        <f t="shared" si="39"/>
        <v>3.1495389344262299</v>
      </c>
      <c r="M2522" s="35" t="s">
        <v>11</v>
      </c>
      <c r="N2522" s="38"/>
      <c r="O2522" s="35" t="s">
        <v>12</v>
      </c>
    </row>
    <row r="2523" spans="1:15" ht="30" x14ac:dyDescent="0.25">
      <c r="A2523" s="35">
        <v>1138610285</v>
      </c>
      <c r="B2523" s="35" t="s">
        <v>3890</v>
      </c>
      <c r="C2523" s="35">
        <v>2023</v>
      </c>
      <c r="D2523" s="36">
        <v>45277.572962962957</v>
      </c>
      <c r="E2523" s="37" t="s">
        <v>35</v>
      </c>
      <c r="F2523" s="37" t="s">
        <v>5452</v>
      </c>
      <c r="G2523" s="37" t="s">
        <v>3520</v>
      </c>
      <c r="H2523" s="35" t="s">
        <v>3419</v>
      </c>
      <c r="I2523" s="35" t="s">
        <v>3416</v>
      </c>
      <c r="J2523" s="38">
        <v>23.3</v>
      </c>
      <c r="K2523" s="35">
        <v>1</v>
      </c>
      <c r="L2523" s="38">
        <f t="shared" si="39"/>
        <v>23.3</v>
      </c>
      <c r="M2523" s="35" t="s">
        <v>11</v>
      </c>
      <c r="N2523" s="38"/>
      <c r="O2523" s="35" t="s">
        <v>12</v>
      </c>
    </row>
    <row r="2524" spans="1:15" ht="30" x14ac:dyDescent="0.25">
      <c r="A2524" s="35">
        <v>1138593240</v>
      </c>
      <c r="B2524" s="35" t="s">
        <v>3890</v>
      </c>
      <c r="C2524" s="35">
        <v>2023</v>
      </c>
      <c r="D2524" s="36">
        <v>45277.451296296298</v>
      </c>
      <c r="E2524" s="37" t="s">
        <v>2755</v>
      </c>
      <c r="F2524" s="37" t="s">
        <v>5453</v>
      </c>
      <c r="G2524" s="37" t="s">
        <v>3520</v>
      </c>
      <c r="H2524" s="35" t="s">
        <v>3419</v>
      </c>
      <c r="I2524" s="35" t="s">
        <v>3416</v>
      </c>
      <c r="J2524" s="38">
        <v>70.28</v>
      </c>
      <c r="K2524" s="35">
        <v>1</v>
      </c>
      <c r="L2524" s="38">
        <f t="shared" si="39"/>
        <v>70.28</v>
      </c>
      <c r="M2524" s="35" t="s">
        <v>11</v>
      </c>
      <c r="N2524" s="38"/>
      <c r="O2524" s="35" t="s">
        <v>12</v>
      </c>
    </row>
    <row r="2525" spans="1:15" x14ac:dyDescent="0.25">
      <c r="A2525" s="35">
        <v>1138582468</v>
      </c>
      <c r="B2525" s="35" t="s">
        <v>3890</v>
      </c>
      <c r="C2525" s="35">
        <v>2023</v>
      </c>
      <c r="D2525" s="36">
        <v>45277.437673611108</v>
      </c>
      <c r="E2525" s="37" t="s">
        <v>2757</v>
      </c>
      <c r="F2525" s="37" t="s">
        <v>5454</v>
      </c>
      <c r="G2525" s="37" t="s">
        <v>4766</v>
      </c>
      <c r="H2525" s="35" t="s">
        <v>3419</v>
      </c>
      <c r="I2525" s="35" t="s">
        <v>3416</v>
      </c>
      <c r="J2525" s="38">
        <v>1.8729251923391721</v>
      </c>
      <c r="K2525" s="35">
        <v>1</v>
      </c>
      <c r="L2525" s="38">
        <f t="shared" si="39"/>
        <v>1.8729251923391721</v>
      </c>
      <c r="M2525" s="35" t="s">
        <v>11</v>
      </c>
      <c r="N2525" s="38"/>
      <c r="O2525" s="35" t="s">
        <v>12</v>
      </c>
    </row>
    <row r="2526" spans="1:15" x14ac:dyDescent="0.25">
      <c r="A2526" s="35">
        <v>1138582468</v>
      </c>
      <c r="B2526" s="35" t="s">
        <v>3890</v>
      </c>
      <c r="C2526" s="35">
        <v>2023</v>
      </c>
      <c r="D2526" s="36">
        <v>45277.437673611108</v>
      </c>
      <c r="E2526" s="37" t="s">
        <v>2757</v>
      </c>
      <c r="F2526" s="37" t="s">
        <v>5455</v>
      </c>
      <c r="G2526" s="37" t="s">
        <v>4215</v>
      </c>
      <c r="H2526" s="35" t="s">
        <v>3419</v>
      </c>
      <c r="I2526" s="35" t="s">
        <v>3416</v>
      </c>
      <c r="J2526" s="38">
        <v>0.18729251923391721</v>
      </c>
      <c r="K2526" s="35">
        <v>2</v>
      </c>
      <c r="L2526" s="38">
        <f t="shared" si="39"/>
        <v>0.37458503846783442</v>
      </c>
      <c r="M2526" s="35" t="s">
        <v>11</v>
      </c>
      <c r="N2526" s="38"/>
      <c r="O2526" s="35" t="s">
        <v>12</v>
      </c>
    </row>
    <row r="2527" spans="1:15" ht="30" x14ac:dyDescent="0.25">
      <c r="A2527" s="35">
        <v>1138582468</v>
      </c>
      <c r="B2527" s="35" t="s">
        <v>3890</v>
      </c>
      <c r="C2527" s="35">
        <v>2023</v>
      </c>
      <c r="D2527" s="36">
        <v>45277.437673611108</v>
      </c>
      <c r="E2527" s="37" t="s">
        <v>2757</v>
      </c>
      <c r="F2527" s="37" t="s">
        <v>5456</v>
      </c>
      <c r="G2527" s="37" t="s">
        <v>3520</v>
      </c>
      <c r="H2527" s="35" t="s">
        <v>3419</v>
      </c>
      <c r="I2527" s="35" t="s">
        <v>3416</v>
      </c>
      <c r="J2527" s="38">
        <v>62.420434604681617</v>
      </c>
      <c r="K2527" s="35">
        <v>2</v>
      </c>
      <c r="L2527" s="38">
        <f t="shared" si="39"/>
        <v>124.84086920936323</v>
      </c>
      <c r="M2527" s="35" t="s">
        <v>11</v>
      </c>
      <c r="N2527" s="38"/>
      <c r="O2527" s="35" t="s">
        <v>12</v>
      </c>
    </row>
    <row r="2528" spans="1:15" x14ac:dyDescent="0.25">
      <c r="A2528" s="35">
        <v>1138582468</v>
      </c>
      <c r="B2528" s="35" t="s">
        <v>3890</v>
      </c>
      <c r="C2528" s="35">
        <v>2023</v>
      </c>
      <c r="D2528" s="36">
        <v>45277.437673611108</v>
      </c>
      <c r="E2528" s="37" t="s">
        <v>2757</v>
      </c>
      <c r="F2528" s="37" t="s">
        <v>4064</v>
      </c>
      <c r="G2528" s="37" t="s">
        <v>4651</v>
      </c>
      <c r="H2528" s="35" t="s">
        <v>3419</v>
      </c>
      <c r="I2528" s="35" t="s">
        <v>3416</v>
      </c>
      <c r="J2528" s="38">
        <v>2.081027991487969E-2</v>
      </c>
      <c r="K2528" s="35">
        <v>2</v>
      </c>
      <c r="L2528" s="38">
        <f t="shared" si="39"/>
        <v>4.1620559829759381E-2</v>
      </c>
      <c r="M2528" s="35" t="s">
        <v>11</v>
      </c>
      <c r="N2528" s="38"/>
      <c r="O2528" s="35" t="s">
        <v>12</v>
      </c>
    </row>
    <row r="2529" spans="1:15" x14ac:dyDescent="0.25">
      <c r="A2529" s="35">
        <v>1138167691</v>
      </c>
      <c r="B2529" s="35" t="s">
        <v>3890</v>
      </c>
      <c r="C2529" s="35">
        <v>2023</v>
      </c>
      <c r="D2529" s="36">
        <v>45273.346493055556</v>
      </c>
      <c r="E2529" s="37" t="s">
        <v>2761</v>
      </c>
      <c r="F2529" s="37" t="s">
        <v>5676</v>
      </c>
      <c r="G2529" s="37" t="s">
        <v>3551</v>
      </c>
      <c r="H2529" s="35" t="s">
        <v>3415</v>
      </c>
      <c r="I2529" s="35" t="s">
        <v>3416</v>
      </c>
      <c r="J2529" s="38">
        <v>175.04</v>
      </c>
      <c r="K2529" s="35">
        <v>1</v>
      </c>
      <c r="L2529" s="38">
        <f t="shared" si="39"/>
        <v>175.04</v>
      </c>
      <c r="M2529" s="35" t="s">
        <v>11</v>
      </c>
      <c r="N2529" s="38"/>
      <c r="O2529" s="35" t="s">
        <v>12</v>
      </c>
    </row>
    <row r="2530" spans="1:15" x14ac:dyDescent="0.25">
      <c r="A2530" s="35">
        <v>1137865781</v>
      </c>
      <c r="B2530" s="35" t="s">
        <v>3890</v>
      </c>
      <c r="C2530" s="35">
        <v>2023</v>
      </c>
      <c r="D2530" s="36">
        <v>45270.80400462963</v>
      </c>
      <c r="E2530" s="37" t="s">
        <v>294</v>
      </c>
      <c r="F2530" s="37" t="s">
        <v>5458</v>
      </c>
      <c r="G2530" s="37" t="s">
        <v>4215</v>
      </c>
      <c r="H2530" s="35" t="s">
        <v>3419</v>
      </c>
      <c r="I2530" s="35" t="s">
        <v>3416</v>
      </c>
      <c r="J2530" s="38">
        <v>3.9067605633802822</v>
      </c>
      <c r="K2530" s="35">
        <v>2</v>
      </c>
      <c r="L2530" s="38">
        <f t="shared" si="39"/>
        <v>7.8135211267605644</v>
      </c>
      <c r="M2530" s="35" t="s">
        <v>11</v>
      </c>
      <c r="N2530" s="38"/>
      <c r="O2530" s="35" t="s">
        <v>12</v>
      </c>
    </row>
    <row r="2531" spans="1:15" x14ac:dyDescent="0.25">
      <c r="A2531" s="35">
        <v>1137865781</v>
      </c>
      <c r="B2531" s="35" t="s">
        <v>3890</v>
      </c>
      <c r="C2531" s="35">
        <v>2023</v>
      </c>
      <c r="D2531" s="36">
        <v>45270.80400462963</v>
      </c>
      <c r="E2531" s="37" t="s">
        <v>294</v>
      </c>
      <c r="F2531" s="37" t="s">
        <v>5459</v>
      </c>
      <c r="G2531" s="37" t="s">
        <v>3876</v>
      </c>
      <c r="H2531" s="35" t="s">
        <v>3415</v>
      </c>
      <c r="I2531" s="35" t="s">
        <v>3416</v>
      </c>
      <c r="J2531" s="38">
        <v>0.1166197183098592</v>
      </c>
      <c r="K2531" s="35">
        <v>4</v>
      </c>
      <c r="L2531" s="38">
        <f t="shared" si="39"/>
        <v>0.46647887323943682</v>
      </c>
      <c r="M2531" s="35" t="s">
        <v>11</v>
      </c>
      <c r="N2531" s="38"/>
      <c r="O2531" s="35" t="s">
        <v>12</v>
      </c>
    </row>
    <row r="2532" spans="1:15" x14ac:dyDescent="0.25">
      <c r="A2532" s="35">
        <v>1137444373</v>
      </c>
      <c r="B2532" s="35" t="s">
        <v>3890</v>
      </c>
      <c r="C2532" s="35">
        <v>2023</v>
      </c>
      <c r="D2532" s="36">
        <v>45266.994803240741</v>
      </c>
      <c r="E2532" s="37" t="s">
        <v>902</v>
      </c>
      <c r="F2532" s="37" t="s">
        <v>5460</v>
      </c>
      <c r="G2532" s="37" t="s">
        <v>3925</v>
      </c>
      <c r="H2532" s="35" t="s">
        <v>3415</v>
      </c>
      <c r="I2532" s="35" t="s">
        <v>3416</v>
      </c>
      <c r="J2532" s="38">
        <v>0.79499999999999993</v>
      </c>
      <c r="K2532" s="35">
        <v>4</v>
      </c>
      <c r="L2532" s="38">
        <f t="shared" si="39"/>
        <v>3.1799999999999997</v>
      </c>
      <c r="M2532" s="35" t="s">
        <v>11</v>
      </c>
      <c r="N2532" s="38"/>
      <c r="O2532" s="35" t="s">
        <v>12</v>
      </c>
    </row>
    <row r="2533" spans="1:15" x14ac:dyDescent="0.25">
      <c r="A2533" s="35">
        <v>1136403616</v>
      </c>
      <c r="B2533" s="35" t="s">
        <v>3968</v>
      </c>
      <c r="C2533" s="35">
        <v>2023</v>
      </c>
      <c r="D2533" s="36">
        <v>45259.448611111111</v>
      </c>
      <c r="E2533" s="37" t="s">
        <v>1155</v>
      </c>
      <c r="F2533" s="37" t="s">
        <v>5471</v>
      </c>
      <c r="G2533" s="37" t="s">
        <v>3662</v>
      </c>
      <c r="H2533" s="35" t="s">
        <v>3419</v>
      </c>
      <c r="I2533" s="35" t="s">
        <v>3416</v>
      </c>
      <c r="J2533" s="38">
        <v>44.28</v>
      </c>
      <c r="K2533" s="35">
        <v>1</v>
      </c>
      <c r="L2533" s="38">
        <f t="shared" si="39"/>
        <v>44.28</v>
      </c>
      <c r="M2533" s="35" t="s">
        <v>11</v>
      </c>
      <c r="N2533" s="38"/>
      <c r="O2533" s="35" t="s">
        <v>12</v>
      </c>
    </row>
    <row r="2534" spans="1:15" x14ac:dyDescent="0.25">
      <c r="A2534" s="35">
        <v>1135360376</v>
      </c>
      <c r="B2534" s="35" t="s">
        <v>3968</v>
      </c>
      <c r="C2534" s="35">
        <v>2023</v>
      </c>
      <c r="D2534" s="36">
        <v>45249.757731481477</v>
      </c>
      <c r="E2534" s="37" t="s">
        <v>2783</v>
      </c>
      <c r="F2534" s="37" t="s">
        <v>5473</v>
      </c>
      <c r="G2534" s="37" t="s">
        <v>4215</v>
      </c>
      <c r="H2534" s="35" t="s">
        <v>3415</v>
      </c>
      <c r="I2534" s="35" t="s">
        <v>3416</v>
      </c>
      <c r="J2534" s="38">
        <v>11.365</v>
      </c>
      <c r="K2534" s="35">
        <v>4</v>
      </c>
      <c r="L2534" s="38">
        <f t="shared" si="39"/>
        <v>45.46</v>
      </c>
      <c r="M2534" s="35" t="s">
        <v>11</v>
      </c>
      <c r="N2534" s="38"/>
      <c r="O2534" s="35" t="s">
        <v>12</v>
      </c>
    </row>
    <row r="2535" spans="1:15" x14ac:dyDescent="0.25">
      <c r="A2535" s="35">
        <v>1135236814</v>
      </c>
      <c r="B2535" s="35" t="s">
        <v>3968</v>
      </c>
      <c r="C2535" s="35">
        <v>2023</v>
      </c>
      <c r="D2535" s="36">
        <v>45248.887731481482</v>
      </c>
      <c r="E2535" s="37" t="s">
        <v>2786</v>
      </c>
      <c r="F2535" s="37" t="s">
        <v>5474</v>
      </c>
      <c r="G2535" s="37" t="s">
        <v>4017</v>
      </c>
      <c r="H2535" s="35" t="s">
        <v>3419</v>
      </c>
      <c r="I2535" s="35" t="s">
        <v>3416</v>
      </c>
      <c r="J2535" s="38">
        <v>14.68</v>
      </c>
      <c r="K2535" s="35">
        <v>1</v>
      </c>
      <c r="L2535" s="38">
        <f t="shared" si="39"/>
        <v>14.68</v>
      </c>
      <c r="M2535" s="35" t="s">
        <v>11</v>
      </c>
      <c r="N2535" s="38"/>
      <c r="O2535" s="35" t="s">
        <v>12</v>
      </c>
    </row>
    <row r="2536" spans="1:15" x14ac:dyDescent="0.25">
      <c r="A2536" s="35">
        <v>1135235966</v>
      </c>
      <c r="B2536" s="35" t="s">
        <v>3968</v>
      </c>
      <c r="C2536" s="35">
        <v>2023</v>
      </c>
      <c r="D2536" s="36">
        <v>45248.887731481482</v>
      </c>
      <c r="E2536" s="37" t="s">
        <v>2096</v>
      </c>
      <c r="F2536" s="37" t="s">
        <v>5475</v>
      </c>
      <c r="G2536" s="37" t="s">
        <v>5476</v>
      </c>
      <c r="H2536" s="35" t="s">
        <v>3419</v>
      </c>
      <c r="I2536" s="35" t="s">
        <v>3416</v>
      </c>
      <c r="J2536" s="38">
        <v>2.111082802547771</v>
      </c>
      <c r="K2536" s="35">
        <v>1</v>
      </c>
      <c r="L2536" s="38">
        <f t="shared" si="39"/>
        <v>2.111082802547771</v>
      </c>
      <c r="M2536" s="35" t="s">
        <v>11</v>
      </c>
      <c r="N2536" s="38"/>
      <c r="O2536" s="35" t="s">
        <v>12</v>
      </c>
    </row>
    <row r="2537" spans="1:15" ht="30" x14ac:dyDescent="0.25">
      <c r="A2537" s="35">
        <v>1135235966</v>
      </c>
      <c r="B2537" s="35" t="s">
        <v>3968</v>
      </c>
      <c r="C2537" s="35">
        <v>2023</v>
      </c>
      <c r="D2537" s="36">
        <v>45248.887731481482</v>
      </c>
      <c r="E2537" s="37" t="s">
        <v>2096</v>
      </c>
      <c r="F2537" s="37" t="s">
        <v>5477</v>
      </c>
      <c r="G2537" s="37" t="s">
        <v>5478</v>
      </c>
      <c r="H2537" s="35" t="s">
        <v>3419</v>
      </c>
      <c r="I2537" s="35" t="s">
        <v>3416</v>
      </c>
      <c r="J2537" s="38">
        <v>7.0809235668789814</v>
      </c>
      <c r="K2537" s="35">
        <v>1</v>
      </c>
      <c r="L2537" s="38">
        <f t="shared" si="39"/>
        <v>7.0809235668789814</v>
      </c>
      <c r="M2537" s="35" t="s">
        <v>11</v>
      </c>
      <c r="N2537" s="38"/>
      <c r="O2537" s="35" t="s">
        <v>12</v>
      </c>
    </row>
    <row r="2538" spans="1:15" x14ac:dyDescent="0.25">
      <c r="A2538" s="35">
        <v>1135235966</v>
      </c>
      <c r="B2538" s="35" t="s">
        <v>3968</v>
      </c>
      <c r="C2538" s="35">
        <v>2023</v>
      </c>
      <c r="D2538" s="36">
        <v>45248.887731481482</v>
      </c>
      <c r="E2538" s="37" t="s">
        <v>2096</v>
      </c>
      <c r="F2538" s="37" t="s">
        <v>5475</v>
      </c>
      <c r="G2538" s="37" t="s">
        <v>3718</v>
      </c>
      <c r="H2538" s="35" t="s">
        <v>3419</v>
      </c>
      <c r="I2538" s="35" t="s">
        <v>3416</v>
      </c>
      <c r="J2538" s="38">
        <v>2.2210350318471339</v>
      </c>
      <c r="K2538" s="35">
        <v>2</v>
      </c>
      <c r="L2538" s="38">
        <f t="shared" si="39"/>
        <v>4.4420700636942678</v>
      </c>
      <c r="M2538" s="35" t="s">
        <v>11</v>
      </c>
      <c r="N2538" s="38"/>
      <c r="O2538" s="35" t="s">
        <v>12</v>
      </c>
    </row>
    <row r="2539" spans="1:15" x14ac:dyDescent="0.25">
      <c r="A2539" s="35">
        <v>1135235966</v>
      </c>
      <c r="B2539" s="35" t="s">
        <v>3968</v>
      </c>
      <c r="C2539" s="35">
        <v>2023</v>
      </c>
      <c r="D2539" s="36">
        <v>45248.887731481482</v>
      </c>
      <c r="E2539" s="37" t="s">
        <v>2096</v>
      </c>
      <c r="F2539" s="37" t="s">
        <v>5475</v>
      </c>
      <c r="G2539" s="37" t="s">
        <v>3963</v>
      </c>
      <c r="H2539" s="35" t="s">
        <v>3419</v>
      </c>
      <c r="I2539" s="35" t="s">
        <v>3416</v>
      </c>
      <c r="J2539" s="38">
        <v>2.6168630573248408</v>
      </c>
      <c r="K2539" s="35">
        <v>1</v>
      </c>
      <c r="L2539" s="38">
        <f t="shared" si="39"/>
        <v>2.6168630573248408</v>
      </c>
      <c r="M2539" s="35" t="s">
        <v>11</v>
      </c>
      <c r="N2539" s="38"/>
      <c r="O2539" s="35" t="s">
        <v>12</v>
      </c>
    </row>
    <row r="2540" spans="1:15" ht="30" x14ac:dyDescent="0.25">
      <c r="A2540" s="35">
        <v>1135235966</v>
      </c>
      <c r="B2540" s="35" t="s">
        <v>3968</v>
      </c>
      <c r="C2540" s="35">
        <v>2023</v>
      </c>
      <c r="D2540" s="36">
        <v>45248.887731481482</v>
      </c>
      <c r="E2540" s="37" t="s">
        <v>2096</v>
      </c>
      <c r="F2540" s="37" t="s">
        <v>5477</v>
      </c>
      <c r="G2540" s="37" t="s">
        <v>5478</v>
      </c>
      <c r="H2540" s="35" t="s">
        <v>3419</v>
      </c>
      <c r="I2540" s="35" t="s">
        <v>3416</v>
      </c>
      <c r="J2540" s="38">
        <v>7.1468949044585983</v>
      </c>
      <c r="K2540" s="35">
        <v>3</v>
      </c>
      <c r="L2540" s="38">
        <f t="shared" si="39"/>
        <v>21.440684713375795</v>
      </c>
      <c r="M2540" s="35" t="s">
        <v>11</v>
      </c>
      <c r="N2540" s="38"/>
      <c r="O2540" s="35" t="s">
        <v>12</v>
      </c>
    </row>
    <row r="2541" spans="1:15" x14ac:dyDescent="0.25">
      <c r="A2541" s="35">
        <v>1135235966</v>
      </c>
      <c r="B2541" s="35" t="s">
        <v>3968</v>
      </c>
      <c r="C2541" s="35">
        <v>2023</v>
      </c>
      <c r="D2541" s="36">
        <v>45248.887731481482</v>
      </c>
      <c r="E2541" s="37" t="s">
        <v>2096</v>
      </c>
      <c r="F2541" s="37" t="s">
        <v>5479</v>
      </c>
      <c r="G2541" s="37" t="s">
        <v>3907</v>
      </c>
      <c r="H2541" s="35" t="s">
        <v>3415</v>
      </c>
      <c r="I2541" s="35" t="s">
        <v>3416</v>
      </c>
      <c r="J2541" s="38">
        <v>4.3870939490445862</v>
      </c>
      <c r="K2541" s="35">
        <v>4</v>
      </c>
      <c r="L2541" s="38">
        <f t="shared" si="39"/>
        <v>17.548375796178345</v>
      </c>
      <c r="M2541" s="35" t="s">
        <v>11</v>
      </c>
      <c r="N2541" s="38"/>
      <c r="O2541" s="35" t="s">
        <v>12</v>
      </c>
    </row>
    <row r="2542" spans="1:15" x14ac:dyDescent="0.25">
      <c r="A2542" s="35">
        <v>1135235427</v>
      </c>
      <c r="B2542" s="35" t="s">
        <v>3968</v>
      </c>
      <c r="C2542" s="35">
        <v>2023</v>
      </c>
      <c r="D2542" s="36">
        <v>45248.887731481482</v>
      </c>
      <c r="E2542" s="37" t="s">
        <v>2789</v>
      </c>
      <c r="F2542" s="37" t="s">
        <v>5480</v>
      </c>
      <c r="G2542" s="37" t="s">
        <v>3905</v>
      </c>
      <c r="H2542" s="35" t="s">
        <v>3415</v>
      </c>
      <c r="I2542" s="35" t="s">
        <v>3416</v>
      </c>
      <c r="J2542" s="38">
        <v>4.2949999999999999</v>
      </c>
      <c r="K2542" s="35">
        <v>4</v>
      </c>
      <c r="L2542" s="38">
        <f t="shared" si="39"/>
        <v>17.18</v>
      </c>
      <c r="M2542" s="35" t="s">
        <v>11</v>
      </c>
      <c r="N2542" s="38"/>
      <c r="O2542" s="35" t="s">
        <v>12</v>
      </c>
    </row>
    <row r="2543" spans="1:15" x14ac:dyDescent="0.25">
      <c r="A2543" s="35">
        <v>1135234620</v>
      </c>
      <c r="B2543" s="35" t="s">
        <v>3968</v>
      </c>
      <c r="C2543" s="35">
        <v>2023</v>
      </c>
      <c r="D2543" s="36">
        <v>45248.887731481482</v>
      </c>
      <c r="E2543" s="37" t="s">
        <v>2649</v>
      </c>
      <c r="F2543" s="37" t="s">
        <v>5481</v>
      </c>
      <c r="G2543" s="37" t="s">
        <v>4473</v>
      </c>
      <c r="H2543" s="35" t="s">
        <v>3415</v>
      </c>
      <c r="I2543" s="35" t="s">
        <v>3416</v>
      </c>
      <c r="J2543" s="38">
        <v>1.12247005988024</v>
      </c>
      <c r="K2543" s="35">
        <v>4</v>
      </c>
      <c r="L2543" s="38">
        <f t="shared" si="39"/>
        <v>4.4898802395209598</v>
      </c>
      <c r="M2543" s="35" t="s">
        <v>11</v>
      </c>
      <c r="N2543" s="38"/>
      <c r="O2543" s="35" t="s">
        <v>12</v>
      </c>
    </row>
    <row r="2544" spans="1:15" x14ac:dyDescent="0.25">
      <c r="A2544" s="35">
        <v>1135234620</v>
      </c>
      <c r="B2544" s="35" t="s">
        <v>3968</v>
      </c>
      <c r="C2544" s="35">
        <v>2023</v>
      </c>
      <c r="D2544" s="36">
        <v>45248.887731481482</v>
      </c>
      <c r="E2544" s="37" t="s">
        <v>2649</v>
      </c>
      <c r="F2544" s="37" t="s">
        <v>5482</v>
      </c>
      <c r="G2544" s="37" t="s">
        <v>3925</v>
      </c>
      <c r="H2544" s="35" t="s">
        <v>3415</v>
      </c>
      <c r="I2544" s="35" t="s">
        <v>3416</v>
      </c>
      <c r="J2544" s="38">
        <v>2.74252994011976</v>
      </c>
      <c r="K2544" s="35">
        <v>4</v>
      </c>
      <c r="L2544" s="38">
        <f t="shared" si="39"/>
        <v>10.97011976047904</v>
      </c>
      <c r="M2544" s="35" t="s">
        <v>11</v>
      </c>
      <c r="N2544" s="38"/>
      <c r="O2544" s="35" t="s">
        <v>12</v>
      </c>
    </row>
    <row r="2545" spans="1:15" x14ac:dyDescent="0.25">
      <c r="A2545" s="35">
        <v>1134798910</v>
      </c>
      <c r="B2545" s="35" t="s">
        <v>3968</v>
      </c>
      <c r="C2545" s="35">
        <v>2023</v>
      </c>
      <c r="D2545" s="36">
        <v>45245.394687499997</v>
      </c>
      <c r="E2545" s="37" t="s">
        <v>318</v>
      </c>
      <c r="F2545" s="37" t="s">
        <v>5483</v>
      </c>
      <c r="G2545" s="37" t="s">
        <v>4108</v>
      </c>
      <c r="H2545" s="35" t="s">
        <v>3415</v>
      </c>
      <c r="I2545" s="35" t="s">
        <v>3416</v>
      </c>
      <c r="J2545" s="38">
        <v>1.9280219780219781</v>
      </c>
      <c r="K2545" s="35">
        <v>4</v>
      </c>
      <c r="L2545" s="38">
        <f t="shared" si="39"/>
        <v>7.7120879120879122</v>
      </c>
      <c r="M2545" s="35" t="s">
        <v>11</v>
      </c>
      <c r="N2545" s="38"/>
      <c r="O2545" s="35" t="s">
        <v>12</v>
      </c>
    </row>
    <row r="2546" spans="1:15" x14ac:dyDescent="0.25">
      <c r="A2546" s="35">
        <v>1134798910</v>
      </c>
      <c r="B2546" s="35" t="s">
        <v>3968</v>
      </c>
      <c r="C2546" s="35">
        <v>2023</v>
      </c>
      <c r="D2546" s="36">
        <v>45245.394687499997</v>
      </c>
      <c r="E2546" s="37" t="s">
        <v>318</v>
      </c>
      <c r="F2546" s="37" t="s">
        <v>5484</v>
      </c>
      <c r="G2546" s="37" t="s">
        <v>3551</v>
      </c>
      <c r="H2546" s="35" t="s">
        <v>3415</v>
      </c>
      <c r="I2546" s="35" t="s">
        <v>3416</v>
      </c>
      <c r="J2546" s="38">
        <v>1.0969780219780221</v>
      </c>
      <c r="K2546" s="35">
        <v>4</v>
      </c>
      <c r="L2546" s="38">
        <f t="shared" si="39"/>
        <v>4.3879120879120883</v>
      </c>
      <c r="M2546" s="35" t="s">
        <v>11</v>
      </c>
      <c r="N2546" s="38"/>
      <c r="O2546" s="35" t="s">
        <v>12</v>
      </c>
    </row>
    <row r="2547" spans="1:15" ht="30" x14ac:dyDescent="0.25">
      <c r="A2547" s="35">
        <v>1134536720</v>
      </c>
      <c r="B2547" s="35" t="s">
        <v>3968</v>
      </c>
      <c r="C2547" s="35">
        <v>2023</v>
      </c>
      <c r="D2547" s="36">
        <v>45243.460625</v>
      </c>
      <c r="E2547" s="37" t="s">
        <v>2794</v>
      </c>
      <c r="F2547" s="37" t="s">
        <v>5056</v>
      </c>
      <c r="G2547" s="37" t="s">
        <v>3927</v>
      </c>
      <c r="H2547" s="35" t="s">
        <v>3419</v>
      </c>
      <c r="I2547" s="35" t="s">
        <v>3416</v>
      </c>
      <c r="J2547" s="38">
        <v>41.45</v>
      </c>
      <c r="K2547" s="35">
        <v>1</v>
      </c>
      <c r="L2547" s="38">
        <f t="shared" si="39"/>
        <v>41.45</v>
      </c>
      <c r="M2547" s="35" t="s">
        <v>11</v>
      </c>
      <c r="N2547" s="38"/>
      <c r="O2547" s="35" t="s">
        <v>12</v>
      </c>
    </row>
    <row r="2548" spans="1:15" x14ac:dyDescent="0.25">
      <c r="A2548" s="35">
        <v>1134532014</v>
      </c>
      <c r="B2548" s="35" t="s">
        <v>3968</v>
      </c>
      <c r="C2548" s="35">
        <v>2023</v>
      </c>
      <c r="D2548" s="36">
        <v>45243.404421296298</v>
      </c>
      <c r="E2548" s="37" t="s">
        <v>294</v>
      </c>
      <c r="F2548" s="37" t="s">
        <v>4451</v>
      </c>
      <c r="G2548" s="37" t="s">
        <v>3925</v>
      </c>
      <c r="H2548" s="35" t="s">
        <v>3415</v>
      </c>
      <c r="I2548" s="35" t="s">
        <v>3416</v>
      </c>
      <c r="J2548" s="38">
        <v>0.79915018931426163</v>
      </c>
      <c r="K2548" s="35">
        <v>4</v>
      </c>
      <c r="L2548" s="38">
        <f t="shared" si="39"/>
        <v>3.1966007572570465</v>
      </c>
      <c r="M2548" s="35" t="s">
        <v>11</v>
      </c>
      <c r="N2548" s="38"/>
      <c r="O2548" s="35" t="s">
        <v>12</v>
      </c>
    </row>
    <row r="2549" spans="1:15" x14ac:dyDescent="0.25">
      <c r="A2549" s="35">
        <v>1134532014</v>
      </c>
      <c r="B2549" s="35" t="s">
        <v>3968</v>
      </c>
      <c r="C2549" s="35">
        <v>2023</v>
      </c>
      <c r="D2549" s="36">
        <v>45243.404421296298</v>
      </c>
      <c r="E2549" s="37" t="s">
        <v>294</v>
      </c>
      <c r="F2549" s="37" t="s">
        <v>4452</v>
      </c>
      <c r="G2549" s="37" t="s">
        <v>3925</v>
      </c>
      <c r="H2549" s="35" t="s">
        <v>3415</v>
      </c>
      <c r="I2549" s="35" t="s">
        <v>3416</v>
      </c>
      <c r="J2549" s="38">
        <v>0.70195624737063522</v>
      </c>
      <c r="K2549" s="35">
        <v>4</v>
      </c>
      <c r="L2549" s="38">
        <f t="shared" si="39"/>
        <v>2.8078249894825409</v>
      </c>
      <c r="M2549" s="35" t="s">
        <v>11</v>
      </c>
      <c r="N2549" s="38"/>
      <c r="O2549" s="35" t="s">
        <v>12</v>
      </c>
    </row>
    <row r="2550" spans="1:15" x14ac:dyDescent="0.25">
      <c r="A2550" s="35">
        <v>1134532014</v>
      </c>
      <c r="B2550" s="35" t="s">
        <v>3968</v>
      </c>
      <c r="C2550" s="35">
        <v>2023</v>
      </c>
      <c r="D2550" s="36">
        <v>45243.404421296298</v>
      </c>
      <c r="E2550" s="37" t="s">
        <v>294</v>
      </c>
      <c r="F2550" s="37" t="s">
        <v>4454</v>
      </c>
      <c r="G2550" s="37" t="s">
        <v>3925</v>
      </c>
      <c r="H2550" s="35" t="s">
        <v>3415</v>
      </c>
      <c r="I2550" s="35" t="s">
        <v>3416</v>
      </c>
      <c r="J2550" s="38">
        <v>0.70195624737063522</v>
      </c>
      <c r="K2550" s="35">
        <v>4</v>
      </c>
      <c r="L2550" s="38">
        <f t="shared" si="39"/>
        <v>2.8078249894825409</v>
      </c>
      <c r="M2550" s="35" t="s">
        <v>11</v>
      </c>
      <c r="N2550" s="38"/>
      <c r="O2550" s="35" t="s">
        <v>12</v>
      </c>
    </row>
    <row r="2551" spans="1:15" x14ac:dyDescent="0.25">
      <c r="A2551" s="35">
        <v>1134532014</v>
      </c>
      <c r="B2551" s="35" t="s">
        <v>3968</v>
      </c>
      <c r="C2551" s="35">
        <v>2023</v>
      </c>
      <c r="D2551" s="36">
        <v>45243.404421296298</v>
      </c>
      <c r="E2551" s="37" t="s">
        <v>294</v>
      </c>
      <c r="F2551" s="37" t="s">
        <v>4453</v>
      </c>
      <c r="G2551" s="37" t="s">
        <v>3925</v>
      </c>
      <c r="H2551" s="35" t="s">
        <v>3415</v>
      </c>
      <c r="I2551" s="35" t="s">
        <v>3416</v>
      </c>
      <c r="J2551" s="38">
        <v>0.70195624737063522</v>
      </c>
      <c r="K2551" s="35">
        <v>4</v>
      </c>
      <c r="L2551" s="38">
        <f t="shared" si="39"/>
        <v>2.8078249894825409</v>
      </c>
      <c r="M2551" s="35" t="s">
        <v>11</v>
      </c>
      <c r="N2551" s="38"/>
      <c r="O2551" s="35" t="s">
        <v>12</v>
      </c>
    </row>
    <row r="2552" spans="1:15" x14ac:dyDescent="0.25">
      <c r="A2552" s="35">
        <v>1134532014</v>
      </c>
      <c r="B2552" s="35" t="s">
        <v>3968</v>
      </c>
      <c r="C2552" s="35">
        <v>2023</v>
      </c>
      <c r="D2552" s="36">
        <v>45243.404421296298</v>
      </c>
      <c r="E2552" s="37" t="s">
        <v>294</v>
      </c>
      <c r="F2552" s="37" t="s">
        <v>4455</v>
      </c>
      <c r="G2552" s="37" t="s">
        <v>3925</v>
      </c>
      <c r="H2552" s="35" t="s">
        <v>3415</v>
      </c>
      <c r="I2552" s="35" t="s">
        <v>3416</v>
      </c>
      <c r="J2552" s="38">
        <v>0.70195624737063522</v>
      </c>
      <c r="K2552" s="35">
        <v>4</v>
      </c>
      <c r="L2552" s="38">
        <f t="shared" si="39"/>
        <v>2.8078249894825409</v>
      </c>
      <c r="M2552" s="35" t="s">
        <v>11</v>
      </c>
      <c r="N2552" s="38"/>
      <c r="O2552" s="35" t="s">
        <v>12</v>
      </c>
    </row>
    <row r="2553" spans="1:15" ht="30" x14ac:dyDescent="0.25">
      <c r="A2553" s="35">
        <v>1134532014</v>
      </c>
      <c r="B2553" s="35" t="s">
        <v>3968</v>
      </c>
      <c r="C2553" s="35">
        <v>2023</v>
      </c>
      <c r="D2553" s="36">
        <v>45243.404421296298</v>
      </c>
      <c r="E2553" s="37" t="s">
        <v>294</v>
      </c>
      <c r="F2553" s="37" t="s">
        <v>5485</v>
      </c>
      <c r="G2553" s="37" t="s">
        <v>3520</v>
      </c>
      <c r="H2553" s="35" t="s">
        <v>3419</v>
      </c>
      <c r="I2553" s="35" t="s">
        <v>3416</v>
      </c>
      <c r="J2553" s="38">
        <v>2.1382667227597811</v>
      </c>
      <c r="K2553" s="35">
        <v>1</v>
      </c>
      <c r="L2553" s="38">
        <f t="shared" si="39"/>
        <v>2.1382667227597811</v>
      </c>
      <c r="M2553" s="35" t="s">
        <v>11</v>
      </c>
      <c r="N2553" s="38"/>
      <c r="O2553" s="35" t="s">
        <v>12</v>
      </c>
    </row>
    <row r="2554" spans="1:15" ht="30" x14ac:dyDescent="0.25">
      <c r="A2554" s="35">
        <v>1134532014</v>
      </c>
      <c r="B2554" s="35" t="s">
        <v>3968</v>
      </c>
      <c r="C2554" s="35">
        <v>2023</v>
      </c>
      <c r="D2554" s="36">
        <v>45243.404421296298</v>
      </c>
      <c r="E2554" s="37" t="s">
        <v>294</v>
      </c>
      <c r="F2554" s="37" t="s">
        <v>5486</v>
      </c>
      <c r="G2554" s="37" t="s">
        <v>3520</v>
      </c>
      <c r="H2554" s="35" t="s">
        <v>3419</v>
      </c>
      <c r="I2554" s="35" t="s">
        <v>3416</v>
      </c>
      <c r="J2554" s="38">
        <v>4.2657341186369377</v>
      </c>
      <c r="K2554" s="35">
        <v>1</v>
      </c>
      <c r="L2554" s="38">
        <f t="shared" si="39"/>
        <v>4.2657341186369377</v>
      </c>
      <c r="M2554" s="35" t="s">
        <v>11</v>
      </c>
      <c r="N2554" s="38"/>
      <c r="O2554" s="35" t="s">
        <v>12</v>
      </c>
    </row>
    <row r="2555" spans="1:15" ht="30" x14ac:dyDescent="0.25">
      <c r="A2555" s="35">
        <v>1134532014</v>
      </c>
      <c r="B2555" s="35" t="s">
        <v>3968</v>
      </c>
      <c r="C2555" s="35">
        <v>2023</v>
      </c>
      <c r="D2555" s="36">
        <v>45243.404421296298</v>
      </c>
      <c r="E2555" s="37" t="s">
        <v>294</v>
      </c>
      <c r="F2555" s="37" t="s">
        <v>5487</v>
      </c>
      <c r="G2555" s="37" t="s">
        <v>3520</v>
      </c>
      <c r="H2555" s="35" t="s">
        <v>3419</v>
      </c>
      <c r="I2555" s="35" t="s">
        <v>3416</v>
      </c>
      <c r="J2555" s="38">
        <v>3.0238115271350439</v>
      </c>
      <c r="K2555" s="35">
        <v>1</v>
      </c>
      <c r="L2555" s="38">
        <f t="shared" si="39"/>
        <v>3.0238115271350439</v>
      </c>
      <c r="M2555" s="35" t="s">
        <v>11</v>
      </c>
      <c r="N2555" s="38"/>
      <c r="O2555" s="35" t="s">
        <v>12</v>
      </c>
    </row>
    <row r="2556" spans="1:15" x14ac:dyDescent="0.25">
      <c r="A2556" s="35">
        <v>1134532014</v>
      </c>
      <c r="B2556" s="35" t="s">
        <v>3968</v>
      </c>
      <c r="C2556" s="35">
        <v>2023</v>
      </c>
      <c r="D2556" s="36">
        <v>45243.404421296298</v>
      </c>
      <c r="E2556" s="37" t="s">
        <v>294</v>
      </c>
      <c r="F2556" s="37" t="s">
        <v>5488</v>
      </c>
      <c r="G2556" s="37" t="s">
        <v>3551</v>
      </c>
      <c r="H2556" s="35" t="s">
        <v>3415</v>
      </c>
      <c r="I2556" s="35" t="s">
        <v>3416</v>
      </c>
      <c r="J2556" s="38">
        <v>0.1079932688262516</v>
      </c>
      <c r="K2556" s="35">
        <v>4</v>
      </c>
      <c r="L2556" s="38">
        <f t="shared" si="39"/>
        <v>0.43197307530500639</v>
      </c>
      <c r="M2556" s="35" t="s">
        <v>11</v>
      </c>
      <c r="N2556" s="38"/>
      <c r="O2556" s="35" t="s">
        <v>12</v>
      </c>
    </row>
    <row r="2557" spans="1:15" x14ac:dyDescent="0.25">
      <c r="A2557" s="35">
        <v>1134532014</v>
      </c>
      <c r="B2557" s="35" t="s">
        <v>3968</v>
      </c>
      <c r="C2557" s="35">
        <v>2023</v>
      </c>
      <c r="D2557" s="36">
        <v>45243.404421296298</v>
      </c>
      <c r="E2557" s="37" t="s">
        <v>294</v>
      </c>
      <c r="F2557" s="37" t="s">
        <v>5489</v>
      </c>
      <c r="G2557" s="37" t="s">
        <v>3551</v>
      </c>
      <c r="H2557" s="35" t="s">
        <v>3415</v>
      </c>
      <c r="I2557" s="35" t="s">
        <v>3416</v>
      </c>
      <c r="J2557" s="38">
        <v>0.1295919225915019</v>
      </c>
      <c r="K2557" s="35">
        <v>4</v>
      </c>
      <c r="L2557" s="38">
        <f t="shared" si="39"/>
        <v>0.51836769036600761</v>
      </c>
      <c r="M2557" s="35" t="s">
        <v>11</v>
      </c>
      <c r="N2557" s="38"/>
      <c r="O2557" s="35" t="s">
        <v>12</v>
      </c>
    </row>
    <row r="2558" spans="1:15" x14ac:dyDescent="0.25">
      <c r="A2558" s="35">
        <v>1134532014</v>
      </c>
      <c r="B2558" s="35" t="s">
        <v>3968</v>
      </c>
      <c r="C2558" s="35">
        <v>2023</v>
      </c>
      <c r="D2558" s="36">
        <v>45243.404421296298</v>
      </c>
      <c r="E2558" s="37" t="s">
        <v>294</v>
      </c>
      <c r="F2558" s="37" t="s">
        <v>5490</v>
      </c>
      <c r="G2558" s="37" t="s">
        <v>4066</v>
      </c>
      <c r="H2558" s="35" t="s">
        <v>3415</v>
      </c>
      <c r="I2558" s="35" t="s">
        <v>3416</v>
      </c>
      <c r="J2558" s="38">
        <v>0.2159865376525032</v>
      </c>
      <c r="K2558" s="35">
        <v>4</v>
      </c>
      <c r="L2558" s="38">
        <f t="shared" si="39"/>
        <v>0.86394615061001279</v>
      </c>
      <c r="M2558" s="35" t="s">
        <v>11</v>
      </c>
      <c r="N2558" s="38"/>
      <c r="O2558" s="35" t="s">
        <v>12</v>
      </c>
    </row>
    <row r="2559" spans="1:15" x14ac:dyDescent="0.25">
      <c r="A2559" s="35">
        <v>1134164877</v>
      </c>
      <c r="B2559" s="35" t="s">
        <v>3968</v>
      </c>
      <c r="C2559" s="35">
        <v>2023</v>
      </c>
      <c r="D2559" s="36">
        <v>45240.419594907413</v>
      </c>
      <c r="E2559" s="37" t="s">
        <v>2798</v>
      </c>
      <c r="F2559" s="37" t="s">
        <v>4312</v>
      </c>
      <c r="G2559" s="37" t="s">
        <v>3876</v>
      </c>
      <c r="H2559" s="35" t="s">
        <v>3419</v>
      </c>
      <c r="I2559" s="35" t="s">
        <v>3640</v>
      </c>
      <c r="J2559" s="38">
        <v>11.28</v>
      </c>
      <c r="K2559" s="35">
        <v>1</v>
      </c>
      <c r="L2559" s="38">
        <f t="shared" si="39"/>
        <v>11.28</v>
      </c>
      <c r="M2559" s="35" t="s">
        <v>11</v>
      </c>
      <c r="N2559" s="38"/>
      <c r="O2559" s="35" t="s">
        <v>12</v>
      </c>
    </row>
    <row r="2560" spans="1:15" x14ac:dyDescent="0.25">
      <c r="A2560" s="35">
        <v>1134049704</v>
      </c>
      <c r="B2560" s="35" t="s">
        <v>3968</v>
      </c>
      <c r="C2560" s="35">
        <v>2023</v>
      </c>
      <c r="D2560" s="36">
        <v>45239.493750000001</v>
      </c>
      <c r="E2560" s="37" t="s">
        <v>2600</v>
      </c>
      <c r="F2560" s="37" t="s">
        <v>5491</v>
      </c>
      <c r="G2560" s="37" t="s">
        <v>3551</v>
      </c>
      <c r="H2560" s="35" t="s">
        <v>3419</v>
      </c>
      <c r="I2560" s="35" t="s">
        <v>3416</v>
      </c>
      <c r="J2560" s="38">
        <v>21.54</v>
      </c>
      <c r="K2560" s="35">
        <v>2</v>
      </c>
      <c r="L2560" s="38">
        <f t="shared" si="39"/>
        <v>43.08</v>
      </c>
      <c r="M2560" s="35" t="s">
        <v>11</v>
      </c>
      <c r="N2560" s="38"/>
      <c r="O2560" s="35" t="s">
        <v>12</v>
      </c>
    </row>
    <row r="2561" spans="1:15" ht="30" x14ac:dyDescent="0.25">
      <c r="A2561" s="35">
        <v>1133899735</v>
      </c>
      <c r="B2561" s="35" t="s">
        <v>3968</v>
      </c>
      <c r="C2561" s="35">
        <v>2023</v>
      </c>
      <c r="D2561" s="36">
        <v>45238.392407407409</v>
      </c>
      <c r="E2561" s="37" t="s">
        <v>1032</v>
      </c>
      <c r="F2561" s="37" t="s">
        <v>5492</v>
      </c>
      <c r="G2561" s="37" t="s">
        <v>3520</v>
      </c>
      <c r="H2561" s="35" t="s">
        <v>3419</v>
      </c>
      <c r="I2561" s="35" t="s">
        <v>3416</v>
      </c>
      <c r="J2561" s="38">
        <v>5.4559615384615388</v>
      </c>
      <c r="K2561" s="35">
        <v>1</v>
      </c>
      <c r="L2561" s="38">
        <f t="shared" si="39"/>
        <v>5.4559615384615388</v>
      </c>
      <c r="M2561" s="35" t="s">
        <v>11</v>
      </c>
      <c r="N2561" s="38"/>
      <c r="O2561" s="35" t="s">
        <v>12</v>
      </c>
    </row>
    <row r="2562" spans="1:15" ht="30" x14ac:dyDescent="0.25">
      <c r="A2562" s="35">
        <v>1133899735</v>
      </c>
      <c r="B2562" s="35" t="s">
        <v>3968</v>
      </c>
      <c r="C2562" s="35">
        <v>2023</v>
      </c>
      <c r="D2562" s="36">
        <v>45238.392407407409</v>
      </c>
      <c r="E2562" s="37" t="s">
        <v>1032</v>
      </c>
      <c r="F2562" s="37" t="s">
        <v>5492</v>
      </c>
      <c r="G2562" s="37" t="s">
        <v>3520</v>
      </c>
      <c r="H2562" s="35" t="s">
        <v>3419</v>
      </c>
      <c r="I2562" s="35" t="s">
        <v>3416</v>
      </c>
      <c r="J2562" s="38">
        <v>6.1240384615384613</v>
      </c>
      <c r="K2562" s="35">
        <v>1</v>
      </c>
      <c r="L2562" s="38">
        <f t="shared" ref="L2562:L2625" si="40">J2562*K2562</f>
        <v>6.1240384615384613</v>
      </c>
      <c r="M2562" s="35" t="s">
        <v>11</v>
      </c>
      <c r="N2562" s="38"/>
      <c r="O2562" s="35" t="s">
        <v>12</v>
      </c>
    </row>
    <row r="2563" spans="1:15" x14ac:dyDescent="0.25">
      <c r="A2563" s="35">
        <v>1133575080</v>
      </c>
      <c r="B2563" s="35" t="s">
        <v>3968</v>
      </c>
      <c r="C2563" s="35">
        <v>2023</v>
      </c>
      <c r="D2563" s="36">
        <v>45235.88175925926</v>
      </c>
      <c r="E2563" s="37" t="s">
        <v>2805</v>
      </c>
      <c r="F2563" s="37" t="s">
        <v>4062</v>
      </c>
      <c r="G2563" s="37" t="s">
        <v>4063</v>
      </c>
      <c r="H2563" s="35" t="s">
        <v>3419</v>
      </c>
      <c r="I2563" s="35" t="s">
        <v>3416</v>
      </c>
      <c r="J2563" s="38">
        <v>10.68</v>
      </c>
      <c r="K2563" s="35">
        <v>1</v>
      </c>
      <c r="L2563" s="38">
        <f t="shared" si="40"/>
        <v>10.68</v>
      </c>
      <c r="M2563" s="35" t="s">
        <v>11</v>
      </c>
      <c r="N2563" s="38"/>
      <c r="O2563" s="35" t="s">
        <v>12</v>
      </c>
    </row>
    <row r="2564" spans="1:15" x14ac:dyDescent="0.25">
      <c r="A2564" s="35">
        <v>1133561839</v>
      </c>
      <c r="B2564" s="35" t="s">
        <v>3968</v>
      </c>
      <c r="C2564" s="35">
        <v>2023</v>
      </c>
      <c r="D2564" s="36">
        <v>45235.835787037038</v>
      </c>
      <c r="E2564" s="37" t="s">
        <v>2808</v>
      </c>
      <c r="F2564" s="37" t="s">
        <v>5493</v>
      </c>
      <c r="G2564" s="37" t="s">
        <v>3772</v>
      </c>
      <c r="H2564" s="35" t="s">
        <v>3415</v>
      </c>
      <c r="I2564" s="35" t="s">
        <v>3416</v>
      </c>
      <c r="J2564" s="38">
        <v>0.6913636363636364</v>
      </c>
      <c r="K2564" s="35">
        <v>4</v>
      </c>
      <c r="L2564" s="38">
        <f t="shared" si="40"/>
        <v>2.7654545454545456</v>
      </c>
      <c r="M2564" s="35" t="s">
        <v>11</v>
      </c>
      <c r="N2564" s="38"/>
      <c r="O2564" s="35" t="s">
        <v>12</v>
      </c>
    </row>
    <row r="2565" spans="1:15" x14ac:dyDescent="0.25">
      <c r="A2565" s="35">
        <v>1133561839</v>
      </c>
      <c r="B2565" s="35" t="s">
        <v>3968</v>
      </c>
      <c r="C2565" s="35">
        <v>2023</v>
      </c>
      <c r="D2565" s="36">
        <v>45235.835787037038</v>
      </c>
      <c r="E2565" s="37" t="s">
        <v>2808</v>
      </c>
      <c r="F2565" s="37" t="s">
        <v>5003</v>
      </c>
      <c r="G2565" s="37" t="s">
        <v>3810</v>
      </c>
      <c r="H2565" s="35" t="s">
        <v>3419</v>
      </c>
      <c r="I2565" s="35" t="s">
        <v>3416</v>
      </c>
      <c r="J2565" s="38">
        <v>0.61454545454545451</v>
      </c>
      <c r="K2565" s="35">
        <v>1</v>
      </c>
      <c r="L2565" s="38">
        <f t="shared" si="40"/>
        <v>0.61454545454545451</v>
      </c>
      <c r="M2565" s="35" t="s">
        <v>11</v>
      </c>
      <c r="N2565" s="38"/>
      <c r="O2565" s="35" t="s">
        <v>12</v>
      </c>
    </row>
    <row r="2566" spans="1:15" x14ac:dyDescent="0.25">
      <c r="A2566" s="35">
        <v>1133561482</v>
      </c>
      <c r="B2566" s="35" t="s">
        <v>3968</v>
      </c>
      <c r="C2566" s="35">
        <v>2023</v>
      </c>
      <c r="D2566" s="36">
        <v>45235.835787037038</v>
      </c>
      <c r="E2566" s="37" t="s">
        <v>2810</v>
      </c>
      <c r="F2566" s="37" t="s">
        <v>5494</v>
      </c>
      <c r="G2566" s="37" t="s">
        <v>3554</v>
      </c>
      <c r="H2566" s="35" t="s">
        <v>3419</v>
      </c>
      <c r="I2566" s="35" t="s">
        <v>3416</v>
      </c>
      <c r="J2566" s="38">
        <v>7.9177777777777774</v>
      </c>
      <c r="K2566" s="35">
        <v>1</v>
      </c>
      <c r="L2566" s="38">
        <f t="shared" si="40"/>
        <v>7.9177777777777774</v>
      </c>
      <c r="M2566" s="35" t="s">
        <v>11</v>
      </c>
      <c r="N2566" s="38"/>
      <c r="O2566" s="35" t="s">
        <v>12</v>
      </c>
    </row>
    <row r="2567" spans="1:15" x14ac:dyDescent="0.25">
      <c r="A2567" s="35">
        <v>1133561482</v>
      </c>
      <c r="B2567" s="35" t="s">
        <v>3968</v>
      </c>
      <c r="C2567" s="35">
        <v>2023</v>
      </c>
      <c r="D2567" s="36">
        <v>45235.835787037038</v>
      </c>
      <c r="E2567" s="37" t="s">
        <v>2810</v>
      </c>
      <c r="F2567" s="37" t="s">
        <v>4727</v>
      </c>
      <c r="G2567" s="37" t="s">
        <v>3945</v>
      </c>
      <c r="H2567" s="35" t="s">
        <v>3415</v>
      </c>
      <c r="I2567" s="35" t="s">
        <v>3416</v>
      </c>
      <c r="J2567" s="38">
        <v>0.56555555555555559</v>
      </c>
      <c r="K2567" s="35">
        <v>4</v>
      </c>
      <c r="L2567" s="38">
        <f t="shared" si="40"/>
        <v>2.2622222222222224</v>
      </c>
      <c r="M2567" s="35" t="s">
        <v>11</v>
      </c>
      <c r="N2567" s="38"/>
      <c r="O2567" s="35" t="s">
        <v>12</v>
      </c>
    </row>
    <row r="2568" spans="1:15" x14ac:dyDescent="0.25">
      <c r="A2568" s="35">
        <v>1132884708</v>
      </c>
      <c r="B2568" s="35" t="s">
        <v>4070</v>
      </c>
      <c r="C2568" s="35">
        <v>2023</v>
      </c>
      <c r="D2568" s="36">
        <v>45230.772638888891</v>
      </c>
      <c r="E2568" s="37" t="s">
        <v>2812</v>
      </c>
      <c r="F2568" s="37" t="s">
        <v>4732</v>
      </c>
      <c r="G2568" s="37" t="s">
        <v>3652</v>
      </c>
      <c r="H2568" s="35" t="s">
        <v>3419</v>
      </c>
      <c r="I2568" s="35" t="s">
        <v>3416</v>
      </c>
      <c r="J2568" s="38">
        <v>0.35619047619047622</v>
      </c>
      <c r="K2568" s="35">
        <v>1</v>
      </c>
      <c r="L2568" s="38">
        <f t="shared" si="40"/>
        <v>0.35619047619047622</v>
      </c>
      <c r="M2568" s="35" t="s">
        <v>11</v>
      </c>
      <c r="N2568" s="38"/>
      <c r="O2568" s="35" t="s">
        <v>12</v>
      </c>
    </row>
    <row r="2569" spans="1:15" x14ac:dyDescent="0.25">
      <c r="A2569" s="35">
        <v>1132884708</v>
      </c>
      <c r="B2569" s="35" t="s">
        <v>4070</v>
      </c>
      <c r="C2569" s="35">
        <v>2023</v>
      </c>
      <c r="D2569" s="36">
        <v>45230.772638888891</v>
      </c>
      <c r="E2569" s="37" t="s">
        <v>2812</v>
      </c>
      <c r="F2569" s="37" t="s">
        <v>4453</v>
      </c>
      <c r="G2569" s="37" t="s">
        <v>5495</v>
      </c>
      <c r="H2569" s="35" t="s">
        <v>3419</v>
      </c>
      <c r="I2569" s="35" t="s">
        <v>3416</v>
      </c>
      <c r="J2569" s="38">
        <v>2.374603174603175</v>
      </c>
      <c r="K2569" s="35">
        <v>3</v>
      </c>
      <c r="L2569" s="38">
        <f t="shared" si="40"/>
        <v>7.1238095238095251</v>
      </c>
      <c r="M2569" s="35" t="s">
        <v>11</v>
      </c>
      <c r="N2569" s="38"/>
      <c r="O2569" s="35" t="s">
        <v>12</v>
      </c>
    </row>
    <row r="2570" spans="1:15" x14ac:dyDescent="0.25">
      <c r="A2570" s="35">
        <v>1132737205</v>
      </c>
      <c r="B2570" s="35" t="s">
        <v>4070</v>
      </c>
      <c r="C2570" s="35">
        <v>2023</v>
      </c>
      <c r="D2570" s="36">
        <v>45229.643009259264</v>
      </c>
      <c r="E2570" s="37" t="s">
        <v>2815</v>
      </c>
      <c r="F2570" s="37" t="s">
        <v>5171</v>
      </c>
      <c r="G2570" s="37" t="s">
        <v>3710</v>
      </c>
      <c r="H2570" s="35" t="s">
        <v>3419</v>
      </c>
      <c r="I2570" s="35" t="s">
        <v>3530</v>
      </c>
      <c r="J2570" s="38">
        <v>43.28</v>
      </c>
      <c r="K2570" s="35">
        <v>1</v>
      </c>
      <c r="L2570" s="38">
        <f t="shared" si="40"/>
        <v>43.28</v>
      </c>
      <c r="M2570" s="35" t="s">
        <v>11</v>
      </c>
      <c r="N2570" s="38"/>
      <c r="O2570" s="35" t="s">
        <v>12</v>
      </c>
    </row>
    <row r="2571" spans="1:15" ht="30" x14ac:dyDescent="0.25">
      <c r="A2571" s="35">
        <v>1132028696</v>
      </c>
      <c r="B2571" s="35" t="s">
        <v>4070</v>
      </c>
      <c r="C2571" s="35">
        <v>2023</v>
      </c>
      <c r="D2571" s="36">
        <v>45223.527013888888</v>
      </c>
      <c r="E2571" s="37" t="s">
        <v>2818</v>
      </c>
      <c r="F2571" s="37" t="s">
        <v>5496</v>
      </c>
      <c r="G2571" s="37" t="s">
        <v>4103</v>
      </c>
      <c r="H2571" s="35" t="s">
        <v>3419</v>
      </c>
      <c r="I2571" s="35" t="s">
        <v>3416</v>
      </c>
      <c r="J2571" s="38">
        <v>26.461834262641801</v>
      </c>
      <c r="K2571" s="35">
        <v>2</v>
      </c>
      <c r="L2571" s="38">
        <f t="shared" si="40"/>
        <v>52.923668525283603</v>
      </c>
      <c r="M2571" s="35" t="s">
        <v>11</v>
      </c>
      <c r="N2571" s="38"/>
      <c r="O2571" s="35" t="s">
        <v>12</v>
      </c>
    </row>
    <row r="2572" spans="1:15" x14ac:dyDescent="0.25">
      <c r="A2572" s="35">
        <v>1132028696</v>
      </c>
      <c r="B2572" s="35" t="s">
        <v>4070</v>
      </c>
      <c r="C2572" s="35">
        <v>2023</v>
      </c>
      <c r="D2572" s="36">
        <v>45223.527013888888</v>
      </c>
      <c r="E2572" s="37" t="s">
        <v>2818</v>
      </c>
      <c r="F2572" s="37" t="s">
        <v>3897</v>
      </c>
      <c r="G2572" s="37" t="s">
        <v>3664</v>
      </c>
      <c r="H2572" s="35" t="s">
        <v>3419</v>
      </c>
      <c r="I2572" s="35" t="s">
        <v>3416</v>
      </c>
      <c r="J2572" s="38">
        <v>0.77180349932705239</v>
      </c>
      <c r="K2572" s="35">
        <v>1</v>
      </c>
      <c r="L2572" s="38">
        <f t="shared" si="40"/>
        <v>0.77180349932705239</v>
      </c>
      <c r="M2572" s="35" t="s">
        <v>11</v>
      </c>
      <c r="N2572" s="38"/>
      <c r="O2572" s="35" t="s">
        <v>12</v>
      </c>
    </row>
    <row r="2573" spans="1:15" x14ac:dyDescent="0.25">
      <c r="A2573" s="35">
        <v>1132028696</v>
      </c>
      <c r="B2573" s="35" t="s">
        <v>4070</v>
      </c>
      <c r="C2573" s="35">
        <v>2023</v>
      </c>
      <c r="D2573" s="36">
        <v>45223.527013888888</v>
      </c>
      <c r="E2573" s="37" t="s">
        <v>2818</v>
      </c>
      <c r="F2573" s="37" t="s">
        <v>5497</v>
      </c>
      <c r="G2573" s="37" t="s">
        <v>4063</v>
      </c>
      <c r="H2573" s="35" t="s">
        <v>3419</v>
      </c>
      <c r="I2573" s="35" t="s">
        <v>3416</v>
      </c>
      <c r="J2573" s="38">
        <v>7.3431590078830986</v>
      </c>
      <c r="K2573" s="35">
        <v>2</v>
      </c>
      <c r="L2573" s="38">
        <f t="shared" si="40"/>
        <v>14.686318015766197</v>
      </c>
      <c r="M2573" s="35" t="s">
        <v>11</v>
      </c>
      <c r="N2573" s="38"/>
      <c r="O2573" s="35" t="s">
        <v>12</v>
      </c>
    </row>
    <row r="2574" spans="1:15" ht="30" x14ac:dyDescent="0.25">
      <c r="A2574" s="35">
        <v>1132028696</v>
      </c>
      <c r="B2574" s="35" t="s">
        <v>4070</v>
      </c>
      <c r="C2574" s="35">
        <v>2023</v>
      </c>
      <c r="D2574" s="36">
        <v>45223.527013888888</v>
      </c>
      <c r="E2574" s="37" t="s">
        <v>2818</v>
      </c>
      <c r="F2574" s="37" t="s">
        <v>5496</v>
      </c>
      <c r="G2574" s="37" t="s">
        <v>4103</v>
      </c>
      <c r="H2574" s="35" t="s">
        <v>3419</v>
      </c>
      <c r="I2574" s="35" t="s">
        <v>3416</v>
      </c>
      <c r="J2574" s="38">
        <v>23.154104979811571</v>
      </c>
      <c r="K2574" s="35">
        <v>2</v>
      </c>
      <c r="L2574" s="38">
        <f t="shared" si="40"/>
        <v>46.308209959623142</v>
      </c>
      <c r="M2574" s="35" t="s">
        <v>11</v>
      </c>
      <c r="N2574" s="38"/>
      <c r="O2574" s="35" t="s">
        <v>12</v>
      </c>
    </row>
    <row r="2575" spans="1:15" x14ac:dyDescent="0.25">
      <c r="A2575" s="35">
        <v>1131267164</v>
      </c>
      <c r="B2575" s="35" t="s">
        <v>4070</v>
      </c>
      <c r="C2575" s="35">
        <v>2023</v>
      </c>
      <c r="D2575" s="36">
        <v>45217.448101851849</v>
      </c>
      <c r="E2575" s="37" t="s">
        <v>2824</v>
      </c>
      <c r="F2575" s="37" t="s">
        <v>5498</v>
      </c>
      <c r="G2575" s="37" t="s">
        <v>5000</v>
      </c>
      <c r="H2575" s="35" t="s">
        <v>3419</v>
      </c>
      <c r="I2575" s="35" t="s">
        <v>3416</v>
      </c>
      <c r="J2575" s="38">
        <v>5.18</v>
      </c>
      <c r="K2575" s="35">
        <v>1</v>
      </c>
      <c r="L2575" s="38">
        <f t="shared" si="40"/>
        <v>5.18</v>
      </c>
      <c r="M2575" s="35" t="s">
        <v>11</v>
      </c>
      <c r="N2575" s="38"/>
      <c r="O2575" s="35" t="s">
        <v>12</v>
      </c>
    </row>
    <row r="2576" spans="1:15" x14ac:dyDescent="0.25">
      <c r="A2576" s="35">
        <v>1131126689</v>
      </c>
      <c r="B2576" s="35" t="s">
        <v>4070</v>
      </c>
      <c r="C2576" s="35">
        <v>2023</v>
      </c>
      <c r="D2576" s="36">
        <v>45215.893078703702</v>
      </c>
      <c r="E2576" s="37" t="s">
        <v>2827</v>
      </c>
      <c r="F2576" s="37" t="s">
        <v>5499</v>
      </c>
      <c r="G2576" s="37" t="s">
        <v>4309</v>
      </c>
      <c r="H2576" s="35" t="s">
        <v>3419</v>
      </c>
      <c r="I2576" s="35" t="s">
        <v>3416</v>
      </c>
      <c r="J2576" s="38">
        <v>3.91</v>
      </c>
      <c r="K2576" s="35">
        <v>1</v>
      </c>
      <c r="L2576" s="38">
        <f t="shared" si="40"/>
        <v>3.91</v>
      </c>
      <c r="M2576" s="35" t="s">
        <v>11</v>
      </c>
      <c r="N2576" s="38"/>
      <c r="O2576" s="35" t="s">
        <v>12</v>
      </c>
    </row>
    <row r="2577" spans="1:15" x14ac:dyDescent="0.25">
      <c r="A2577" s="35">
        <v>1131125971</v>
      </c>
      <c r="B2577" s="35" t="s">
        <v>4070</v>
      </c>
      <c r="C2577" s="35">
        <v>2023</v>
      </c>
      <c r="D2577" s="36">
        <v>45215.893078703702</v>
      </c>
      <c r="E2577" s="37" t="s">
        <v>2327</v>
      </c>
      <c r="F2577" s="37" t="s">
        <v>3697</v>
      </c>
      <c r="G2577" s="37" t="s">
        <v>3799</v>
      </c>
      <c r="H2577" s="35" t="s">
        <v>3415</v>
      </c>
      <c r="I2577" s="35" t="s">
        <v>3416</v>
      </c>
      <c r="J2577" s="38">
        <v>1.4450000000000001</v>
      </c>
      <c r="K2577" s="35">
        <v>4</v>
      </c>
      <c r="L2577" s="38">
        <f t="shared" si="40"/>
        <v>5.78</v>
      </c>
      <c r="M2577" s="35" t="s">
        <v>11</v>
      </c>
      <c r="N2577" s="38"/>
      <c r="O2577" s="35" t="s">
        <v>12</v>
      </c>
    </row>
    <row r="2578" spans="1:15" x14ac:dyDescent="0.25">
      <c r="A2578" s="35">
        <v>1131115415</v>
      </c>
      <c r="B2578" s="35" t="s">
        <v>4070</v>
      </c>
      <c r="C2578" s="35">
        <v>2023</v>
      </c>
      <c r="D2578" s="36">
        <v>45215.893078703702</v>
      </c>
      <c r="E2578" s="37" t="s">
        <v>294</v>
      </c>
      <c r="F2578" s="37" t="s">
        <v>5500</v>
      </c>
      <c r="G2578" s="37" t="s">
        <v>3529</v>
      </c>
      <c r="H2578" s="35" t="s">
        <v>3415</v>
      </c>
      <c r="I2578" s="35" t="s">
        <v>3530</v>
      </c>
      <c r="J2578" s="38">
        <v>6.2450000000000001</v>
      </c>
      <c r="K2578" s="35">
        <v>4</v>
      </c>
      <c r="L2578" s="38">
        <f t="shared" si="40"/>
        <v>24.98</v>
      </c>
      <c r="M2578" s="35" t="s">
        <v>11</v>
      </c>
      <c r="N2578" s="38"/>
      <c r="O2578" s="35" t="s">
        <v>12</v>
      </c>
    </row>
    <row r="2579" spans="1:15" ht="30" x14ac:dyDescent="0.25">
      <c r="A2579" s="35">
        <v>1130613937</v>
      </c>
      <c r="B2579" s="35" t="s">
        <v>4070</v>
      </c>
      <c r="C2579" s="35">
        <v>2023</v>
      </c>
      <c r="D2579" s="36">
        <v>45211.562118055554</v>
      </c>
      <c r="E2579" s="37" t="s">
        <v>2833</v>
      </c>
      <c r="F2579" s="37" t="s">
        <v>5502</v>
      </c>
      <c r="G2579" s="37" t="s">
        <v>3678</v>
      </c>
      <c r="H2579" s="35" t="s">
        <v>3419</v>
      </c>
      <c r="I2579" s="35" t="s">
        <v>3416</v>
      </c>
      <c r="J2579" s="38">
        <v>23.18</v>
      </c>
      <c r="K2579" s="35">
        <v>1</v>
      </c>
      <c r="L2579" s="38">
        <f t="shared" si="40"/>
        <v>23.18</v>
      </c>
      <c r="M2579" s="35" t="s">
        <v>11</v>
      </c>
      <c r="N2579" s="38"/>
      <c r="O2579" s="35" t="s">
        <v>12</v>
      </c>
    </row>
    <row r="2580" spans="1:15" x14ac:dyDescent="0.25">
      <c r="A2580" s="35">
        <v>1130532057</v>
      </c>
      <c r="B2580" s="35" t="s">
        <v>4070</v>
      </c>
      <c r="C2580" s="35">
        <v>2023</v>
      </c>
      <c r="D2580" s="36">
        <v>45210.82298611111</v>
      </c>
      <c r="E2580" s="37" t="s">
        <v>8</v>
      </c>
      <c r="F2580" s="37" t="s">
        <v>5503</v>
      </c>
      <c r="G2580" s="37" t="s">
        <v>4097</v>
      </c>
      <c r="H2580" s="35" t="s">
        <v>3419</v>
      </c>
      <c r="I2580" s="35" t="s">
        <v>3416</v>
      </c>
      <c r="J2580" s="38">
        <v>0.15</v>
      </c>
      <c r="K2580" s="35">
        <v>2</v>
      </c>
      <c r="L2580" s="38">
        <f t="shared" si="40"/>
        <v>0.3</v>
      </c>
      <c r="M2580" s="42" t="s">
        <v>11</v>
      </c>
      <c r="N2580" s="38"/>
      <c r="O2580" s="35" t="s">
        <v>12</v>
      </c>
    </row>
    <row r="2581" spans="1:15" x14ac:dyDescent="0.25">
      <c r="A2581" s="35">
        <v>1130532057</v>
      </c>
      <c r="B2581" s="35" t="s">
        <v>4070</v>
      </c>
      <c r="C2581" s="35">
        <v>2023</v>
      </c>
      <c r="D2581" s="36">
        <v>45210.82298611111</v>
      </c>
      <c r="E2581" s="37" t="s">
        <v>8</v>
      </c>
      <c r="F2581" s="37" t="s">
        <v>5504</v>
      </c>
      <c r="G2581" s="37" t="s">
        <v>4473</v>
      </c>
      <c r="H2581" s="35" t="s">
        <v>3415</v>
      </c>
      <c r="I2581" s="35" t="s">
        <v>3416</v>
      </c>
      <c r="J2581" s="38">
        <v>0.6</v>
      </c>
      <c r="K2581" s="35">
        <v>4</v>
      </c>
      <c r="L2581" s="38">
        <f t="shared" si="40"/>
        <v>2.4</v>
      </c>
      <c r="M2581" s="42" t="s">
        <v>11</v>
      </c>
      <c r="N2581" s="38"/>
      <c r="O2581" s="35" t="s">
        <v>12</v>
      </c>
    </row>
    <row r="2582" spans="1:15" x14ac:dyDescent="0.25">
      <c r="A2582" s="35">
        <v>1130532057</v>
      </c>
      <c r="B2582" s="35" t="s">
        <v>4070</v>
      </c>
      <c r="C2582" s="35">
        <v>2023</v>
      </c>
      <c r="D2582" s="36">
        <v>45210.82298611111</v>
      </c>
      <c r="E2582" s="37" t="s">
        <v>8</v>
      </c>
      <c r="F2582" s="37" t="s">
        <v>5505</v>
      </c>
      <c r="G2582" s="37" t="s">
        <v>3658</v>
      </c>
      <c r="H2582" s="35" t="s">
        <v>3415</v>
      </c>
      <c r="I2582" s="35" t="s">
        <v>3416</v>
      </c>
      <c r="J2582" s="38">
        <v>0.1</v>
      </c>
      <c r="K2582" s="35">
        <v>4</v>
      </c>
      <c r="L2582" s="38">
        <f t="shared" si="40"/>
        <v>0.4</v>
      </c>
      <c r="M2582" s="42" t="s">
        <v>11</v>
      </c>
      <c r="N2582" s="38"/>
      <c r="O2582" s="35" t="s">
        <v>12</v>
      </c>
    </row>
    <row r="2583" spans="1:15" x14ac:dyDescent="0.25">
      <c r="A2583" s="35">
        <v>1130532057</v>
      </c>
      <c r="B2583" s="35" t="s">
        <v>4070</v>
      </c>
      <c r="C2583" s="35">
        <v>2023</v>
      </c>
      <c r="D2583" s="36">
        <v>45210.82298611111</v>
      </c>
      <c r="E2583" s="37" t="s">
        <v>8</v>
      </c>
      <c r="F2583" s="37" t="s">
        <v>5506</v>
      </c>
      <c r="G2583" s="37" t="s">
        <v>4103</v>
      </c>
      <c r="H2583" s="35" t="s">
        <v>3419</v>
      </c>
      <c r="I2583" s="35" t="s">
        <v>3416</v>
      </c>
      <c r="J2583" s="38">
        <v>0.05</v>
      </c>
      <c r="K2583" s="35">
        <v>2</v>
      </c>
      <c r="L2583" s="38">
        <f t="shared" si="40"/>
        <v>0.1</v>
      </c>
      <c r="M2583" s="42" t="s">
        <v>11</v>
      </c>
      <c r="N2583" s="38"/>
      <c r="O2583" s="35" t="s">
        <v>12</v>
      </c>
    </row>
    <row r="2584" spans="1:15" x14ac:dyDescent="0.25">
      <c r="A2584" s="35">
        <v>1130532057</v>
      </c>
      <c r="B2584" s="35" t="s">
        <v>4070</v>
      </c>
      <c r="C2584" s="35">
        <v>2023</v>
      </c>
      <c r="D2584" s="36">
        <v>45210.82298611111</v>
      </c>
      <c r="E2584" s="37" t="s">
        <v>8</v>
      </c>
      <c r="F2584" s="37" t="s">
        <v>5507</v>
      </c>
      <c r="G2584" s="37" t="s">
        <v>3846</v>
      </c>
      <c r="H2584" s="35" t="s">
        <v>3415</v>
      </c>
      <c r="I2584" s="35" t="s">
        <v>3416</v>
      </c>
      <c r="J2584" s="38">
        <v>0.15</v>
      </c>
      <c r="K2584" s="35">
        <v>4</v>
      </c>
      <c r="L2584" s="38">
        <f t="shared" si="40"/>
        <v>0.6</v>
      </c>
      <c r="M2584" s="42" t="s">
        <v>11</v>
      </c>
      <c r="N2584" s="38"/>
      <c r="O2584" s="35" t="s">
        <v>12</v>
      </c>
    </row>
    <row r="2585" spans="1:15" x14ac:dyDescent="0.25">
      <c r="A2585" s="35">
        <v>1130532057</v>
      </c>
      <c r="B2585" s="35" t="s">
        <v>4070</v>
      </c>
      <c r="C2585" s="35">
        <v>2023</v>
      </c>
      <c r="D2585" s="36">
        <v>45210.82298611111</v>
      </c>
      <c r="E2585" s="37" t="s">
        <v>8</v>
      </c>
      <c r="F2585" s="37" t="s">
        <v>5508</v>
      </c>
      <c r="G2585" s="37" t="s">
        <v>5509</v>
      </c>
      <c r="H2585" s="35" t="s">
        <v>3419</v>
      </c>
      <c r="I2585" s="35" t="s">
        <v>3416</v>
      </c>
      <c r="J2585" s="38">
        <v>0.25</v>
      </c>
      <c r="K2585" s="35">
        <v>2</v>
      </c>
      <c r="L2585" s="38">
        <f t="shared" si="40"/>
        <v>0.5</v>
      </c>
      <c r="M2585" s="42" t="s">
        <v>11</v>
      </c>
      <c r="N2585" s="38"/>
      <c r="O2585" s="35" t="s">
        <v>12</v>
      </c>
    </row>
    <row r="2586" spans="1:15" ht="30" x14ac:dyDescent="0.25">
      <c r="A2586" s="35">
        <v>1130532057</v>
      </c>
      <c r="B2586" s="35" t="s">
        <v>4070</v>
      </c>
      <c r="C2586" s="35">
        <v>2023</v>
      </c>
      <c r="D2586" s="36">
        <v>45210.82298611111</v>
      </c>
      <c r="E2586" s="37" t="s">
        <v>8</v>
      </c>
      <c r="F2586" s="37" t="s">
        <v>5510</v>
      </c>
      <c r="G2586" s="37" t="s">
        <v>3678</v>
      </c>
      <c r="H2586" s="35" t="s">
        <v>3419</v>
      </c>
      <c r="I2586" s="35" t="s">
        <v>3416</v>
      </c>
      <c r="J2586" s="38">
        <v>0.2</v>
      </c>
      <c r="K2586" s="35">
        <v>9</v>
      </c>
      <c r="L2586" s="38">
        <f t="shared" si="40"/>
        <v>1.8</v>
      </c>
      <c r="M2586" s="42" t="s">
        <v>11</v>
      </c>
      <c r="N2586" s="38"/>
      <c r="O2586" s="35" t="s">
        <v>12</v>
      </c>
    </row>
    <row r="2587" spans="1:15" x14ac:dyDescent="0.25">
      <c r="A2587" s="35">
        <v>1130520718</v>
      </c>
      <c r="B2587" s="35" t="s">
        <v>4070</v>
      </c>
      <c r="C2587" s="35">
        <v>2023</v>
      </c>
      <c r="D2587" s="36">
        <v>45210.82298611111</v>
      </c>
      <c r="E2587" s="37" t="s">
        <v>2838</v>
      </c>
      <c r="F2587" s="37" t="s">
        <v>5511</v>
      </c>
      <c r="G2587" s="37" t="s">
        <v>4432</v>
      </c>
      <c r="H2587" s="35" t="s">
        <v>3419</v>
      </c>
      <c r="I2587" s="35" t="s">
        <v>3416</v>
      </c>
      <c r="J2587" s="38">
        <v>22.57772963604852</v>
      </c>
      <c r="K2587" s="35">
        <v>1</v>
      </c>
      <c r="L2587" s="38">
        <f t="shared" si="40"/>
        <v>22.57772963604852</v>
      </c>
      <c r="M2587" s="35" t="s">
        <v>11</v>
      </c>
      <c r="N2587" s="38"/>
      <c r="O2587" s="35" t="s">
        <v>12</v>
      </c>
    </row>
    <row r="2588" spans="1:15" x14ac:dyDescent="0.25">
      <c r="A2588" s="35">
        <v>1130520718</v>
      </c>
      <c r="B2588" s="35" t="s">
        <v>4070</v>
      </c>
      <c r="C2588" s="35">
        <v>2023</v>
      </c>
      <c r="D2588" s="36">
        <v>45210.82298611111</v>
      </c>
      <c r="E2588" s="37" t="s">
        <v>2838</v>
      </c>
      <c r="F2588" s="37" t="s">
        <v>5512</v>
      </c>
      <c r="G2588" s="37" t="s">
        <v>4432</v>
      </c>
      <c r="H2588" s="35" t="s">
        <v>3419</v>
      </c>
      <c r="I2588" s="35" t="s">
        <v>3416</v>
      </c>
      <c r="J2588" s="38">
        <v>10.072270363951469</v>
      </c>
      <c r="K2588" s="35">
        <v>1</v>
      </c>
      <c r="L2588" s="38">
        <f t="shared" si="40"/>
        <v>10.072270363951469</v>
      </c>
      <c r="M2588" s="35" t="s">
        <v>11</v>
      </c>
      <c r="N2588" s="38"/>
      <c r="O2588" s="35" t="s">
        <v>12</v>
      </c>
    </row>
    <row r="2589" spans="1:15" x14ac:dyDescent="0.25">
      <c r="A2589" s="35">
        <v>1130520572</v>
      </c>
      <c r="B2589" s="35" t="s">
        <v>4070</v>
      </c>
      <c r="C2589" s="35">
        <v>2023</v>
      </c>
      <c r="D2589" s="36">
        <v>45210.82298611111</v>
      </c>
      <c r="E2589" s="37" t="s">
        <v>1858</v>
      </c>
      <c r="F2589" s="37" t="s">
        <v>5513</v>
      </c>
      <c r="G2589" s="37" t="s">
        <v>4432</v>
      </c>
      <c r="H2589" s="35" t="s">
        <v>3415</v>
      </c>
      <c r="I2589" s="35" t="s">
        <v>3416</v>
      </c>
      <c r="J2589" s="38">
        <v>3.5775000000000001</v>
      </c>
      <c r="K2589" s="35">
        <v>4</v>
      </c>
      <c r="L2589" s="38">
        <f t="shared" si="40"/>
        <v>14.31</v>
      </c>
      <c r="M2589" s="35" t="s">
        <v>11</v>
      </c>
      <c r="N2589" s="38"/>
      <c r="O2589" s="35" t="s">
        <v>12</v>
      </c>
    </row>
    <row r="2590" spans="1:15" x14ac:dyDescent="0.25">
      <c r="A2590" s="35">
        <v>1130405268</v>
      </c>
      <c r="B2590" s="35" t="s">
        <v>4070</v>
      </c>
      <c r="C2590" s="35">
        <v>2023</v>
      </c>
      <c r="D2590" s="36">
        <v>45209.785277777781</v>
      </c>
      <c r="E2590" s="37" t="s">
        <v>2841</v>
      </c>
      <c r="F2590" s="37" t="s">
        <v>5514</v>
      </c>
      <c r="G2590" s="37" t="s">
        <v>5429</v>
      </c>
      <c r="H2590" s="35" t="s">
        <v>3419</v>
      </c>
      <c r="I2590" s="35" t="s">
        <v>3416</v>
      </c>
      <c r="J2590" s="38">
        <v>1.28433734939759</v>
      </c>
      <c r="K2590" s="35">
        <v>1</v>
      </c>
      <c r="L2590" s="38">
        <f t="shared" si="40"/>
        <v>1.28433734939759</v>
      </c>
      <c r="M2590" s="35" t="s">
        <v>11</v>
      </c>
      <c r="N2590" s="38"/>
      <c r="O2590" s="35" t="s">
        <v>2314</v>
      </c>
    </row>
    <row r="2591" spans="1:15" x14ac:dyDescent="0.25">
      <c r="A2591" s="35">
        <v>1130405268</v>
      </c>
      <c r="B2591" s="35" t="s">
        <v>4070</v>
      </c>
      <c r="C2591" s="35">
        <v>2023</v>
      </c>
      <c r="D2591" s="36">
        <v>45209.785277777781</v>
      </c>
      <c r="E2591" s="37" t="s">
        <v>2841</v>
      </c>
      <c r="F2591" s="37" t="s">
        <v>5515</v>
      </c>
      <c r="G2591" s="37" t="s">
        <v>5429</v>
      </c>
      <c r="H2591" s="35" t="s">
        <v>3419</v>
      </c>
      <c r="I2591" s="35" t="s">
        <v>3416</v>
      </c>
      <c r="J2591" s="38">
        <v>2.5686746987951811E-2</v>
      </c>
      <c r="K2591" s="35">
        <v>1</v>
      </c>
      <c r="L2591" s="38">
        <f t="shared" si="40"/>
        <v>2.5686746987951811E-2</v>
      </c>
      <c r="M2591" s="35" t="s">
        <v>11</v>
      </c>
      <c r="N2591" s="38"/>
      <c r="O2591" s="35" t="s">
        <v>2314</v>
      </c>
    </row>
    <row r="2592" spans="1:15" x14ac:dyDescent="0.25">
      <c r="A2592" s="35">
        <v>1130405268</v>
      </c>
      <c r="B2592" s="35" t="s">
        <v>4070</v>
      </c>
      <c r="C2592" s="35">
        <v>2023</v>
      </c>
      <c r="D2592" s="36">
        <v>45209.785277777781</v>
      </c>
      <c r="E2592" s="37" t="s">
        <v>2841</v>
      </c>
      <c r="F2592" s="37" t="s">
        <v>5516</v>
      </c>
      <c r="G2592" s="37" t="s">
        <v>5429</v>
      </c>
      <c r="H2592" s="35" t="s">
        <v>3419</v>
      </c>
      <c r="I2592" s="35" t="s">
        <v>3416</v>
      </c>
      <c r="J2592" s="38">
        <v>0.32108433734939762</v>
      </c>
      <c r="K2592" s="35">
        <v>1</v>
      </c>
      <c r="L2592" s="38">
        <f t="shared" si="40"/>
        <v>0.32108433734939762</v>
      </c>
      <c r="M2592" s="35" t="s">
        <v>11</v>
      </c>
      <c r="N2592" s="38"/>
      <c r="O2592" s="35" t="s">
        <v>2314</v>
      </c>
    </row>
    <row r="2593" spans="1:15" x14ac:dyDescent="0.25">
      <c r="A2593" s="35">
        <v>1130405268</v>
      </c>
      <c r="B2593" s="35" t="s">
        <v>4070</v>
      </c>
      <c r="C2593" s="35">
        <v>2023</v>
      </c>
      <c r="D2593" s="36">
        <v>45209.785277777781</v>
      </c>
      <c r="E2593" s="37" t="s">
        <v>2841</v>
      </c>
      <c r="F2593" s="37" t="s">
        <v>5517</v>
      </c>
      <c r="G2593" s="37" t="s">
        <v>5429</v>
      </c>
      <c r="H2593" s="35" t="s">
        <v>3419</v>
      </c>
      <c r="I2593" s="35" t="s">
        <v>3416</v>
      </c>
      <c r="J2593" s="38">
        <v>0.64216867469879513</v>
      </c>
      <c r="K2593" s="35">
        <v>1</v>
      </c>
      <c r="L2593" s="38">
        <f t="shared" si="40"/>
        <v>0.64216867469879513</v>
      </c>
      <c r="M2593" s="35" t="s">
        <v>11</v>
      </c>
      <c r="N2593" s="38"/>
      <c r="O2593" s="35" t="s">
        <v>2314</v>
      </c>
    </row>
    <row r="2594" spans="1:15" x14ac:dyDescent="0.25">
      <c r="A2594" s="35">
        <v>1130405268</v>
      </c>
      <c r="B2594" s="35" t="s">
        <v>4070</v>
      </c>
      <c r="C2594" s="35">
        <v>2023</v>
      </c>
      <c r="D2594" s="36">
        <v>45209.785277777781</v>
      </c>
      <c r="E2594" s="37" t="s">
        <v>2841</v>
      </c>
      <c r="F2594" s="37" t="s">
        <v>5518</v>
      </c>
      <c r="G2594" s="37" t="s">
        <v>5429</v>
      </c>
      <c r="H2594" s="35" t="s">
        <v>3419</v>
      </c>
      <c r="I2594" s="35" t="s">
        <v>3416</v>
      </c>
      <c r="J2594" s="38">
        <v>2.5686746987951811E-2</v>
      </c>
      <c r="K2594" s="35">
        <v>1</v>
      </c>
      <c r="L2594" s="38">
        <f t="shared" si="40"/>
        <v>2.5686746987951811E-2</v>
      </c>
      <c r="M2594" s="35" t="s">
        <v>11</v>
      </c>
      <c r="N2594" s="38"/>
      <c r="O2594" s="35" t="s">
        <v>2314</v>
      </c>
    </row>
    <row r="2595" spans="1:15" x14ac:dyDescent="0.25">
      <c r="A2595" s="35">
        <v>1130405268</v>
      </c>
      <c r="B2595" s="35" t="s">
        <v>4070</v>
      </c>
      <c r="C2595" s="35">
        <v>2023</v>
      </c>
      <c r="D2595" s="36">
        <v>45209.785277777781</v>
      </c>
      <c r="E2595" s="37" t="s">
        <v>2841</v>
      </c>
      <c r="F2595" s="37" t="s">
        <v>5519</v>
      </c>
      <c r="G2595" s="37" t="s">
        <v>5429</v>
      </c>
      <c r="H2595" s="35" t="s">
        <v>3419</v>
      </c>
      <c r="I2595" s="35" t="s">
        <v>3416</v>
      </c>
      <c r="J2595" s="38">
        <v>2.5686746987951811E-2</v>
      </c>
      <c r="K2595" s="35">
        <v>1</v>
      </c>
      <c r="L2595" s="38">
        <f t="shared" si="40"/>
        <v>2.5686746987951811E-2</v>
      </c>
      <c r="M2595" s="35" t="s">
        <v>11</v>
      </c>
      <c r="N2595" s="38"/>
      <c r="O2595" s="35" t="s">
        <v>2314</v>
      </c>
    </row>
    <row r="2596" spans="1:15" x14ac:dyDescent="0.25">
      <c r="A2596" s="35">
        <v>1130405268</v>
      </c>
      <c r="B2596" s="35" t="s">
        <v>4070</v>
      </c>
      <c r="C2596" s="35">
        <v>2023</v>
      </c>
      <c r="D2596" s="36">
        <v>45209.785277777781</v>
      </c>
      <c r="E2596" s="37" t="s">
        <v>2841</v>
      </c>
      <c r="F2596" s="37" t="s">
        <v>5520</v>
      </c>
      <c r="G2596" s="37" t="s">
        <v>5429</v>
      </c>
      <c r="H2596" s="35" t="s">
        <v>3419</v>
      </c>
      <c r="I2596" s="35" t="s">
        <v>3416</v>
      </c>
      <c r="J2596" s="38">
        <v>2.5686746987951811E-2</v>
      </c>
      <c r="K2596" s="35">
        <v>1</v>
      </c>
      <c r="L2596" s="38">
        <f t="shared" si="40"/>
        <v>2.5686746987951811E-2</v>
      </c>
      <c r="M2596" s="35" t="s">
        <v>11</v>
      </c>
      <c r="N2596" s="38"/>
      <c r="O2596" s="35" t="s">
        <v>2314</v>
      </c>
    </row>
    <row r="2597" spans="1:15" x14ac:dyDescent="0.25">
      <c r="A2597" s="35">
        <v>1130405268</v>
      </c>
      <c r="B2597" s="35" t="s">
        <v>4070</v>
      </c>
      <c r="C2597" s="35">
        <v>2023</v>
      </c>
      <c r="D2597" s="36">
        <v>45209.785277777781</v>
      </c>
      <c r="E2597" s="37" t="s">
        <v>2841</v>
      </c>
      <c r="F2597" s="37" t="s">
        <v>5521</v>
      </c>
      <c r="G2597" s="37" t="s">
        <v>5429</v>
      </c>
      <c r="H2597" s="35" t="s">
        <v>3419</v>
      </c>
      <c r="I2597" s="35" t="s">
        <v>3416</v>
      </c>
      <c r="J2597" s="38">
        <v>0.3853012048192771</v>
      </c>
      <c r="K2597" s="35">
        <v>1</v>
      </c>
      <c r="L2597" s="38">
        <f t="shared" si="40"/>
        <v>0.3853012048192771</v>
      </c>
      <c r="M2597" s="35" t="s">
        <v>11</v>
      </c>
      <c r="N2597" s="38"/>
      <c r="O2597" s="35" t="s">
        <v>2314</v>
      </c>
    </row>
    <row r="2598" spans="1:15" x14ac:dyDescent="0.25">
      <c r="A2598" s="35">
        <v>1130405268</v>
      </c>
      <c r="B2598" s="35" t="s">
        <v>4070</v>
      </c>
      <c r="C2598" s="35">
        <v>2023</v>
      </c>
      <c r="D2598" s="36">
        <v>45209.785277777781</v>
      </c>
      <c r="E2598" s="37" t="s">
        <v>2841</v>
      </c>
      <c r="F2598" s="37" t="s">
        <v>5522</v>
      </c>
      <c r="G2598" s="37" t="s">
        <v>5429</v>
      </c>
      <c r="H2598" s="35" t="s">
        <v>3419</v>
      </c>
      <c r="I2598" s="35" t="s">
        <v>3416</v>
      </c>
      <c r="J2598" s="38">
        <v>0.64216867469879513</v>
      </c>
      <c r="K2598" s="35">
        <v>1</v>
      </c>
      <c r="L2598" s="38">
        <f t="shared" si="40"/>
        <v>0.64216867469879513</v>
      </c>
      <c r="M2598" s="35" t="s">
        <v>11</v>
      </c>
      <c r="N2598" s="38"/>
      <c r="O2598" s="35" t="s">
        <v>2314</v>
      </c>
    </row>
    <row r="2599" spans="1:15" x14ac:dyDescent="0.25">
      <c r="A2599" s="35">
        <v>1130405268</v>
      </c>
      <c r="B2599" s="35" t="s">
        <v>4070</v>
      </c>
      <c r="C2599" s="35">
        <v>2023</v>
      </c>
      <c r="D2599" s="36">
        <v>45209.785277777781</v>
      </c>
      <c r="E2599" s="37" t="s">
        <v>2841</v>
      </c>
      <c r="F2599" s="37" t="s">
        <v>5523</v>
      </c>
      <c r="G2599" s="37" t="s">
        <v>5429</v>
      </c>
      <c r="H2599" s="35" t="s">
        <v>3419</v>
      </c>
      <c r="I2599" s="35" t="s">
        <v>3416</v>
      </c>
      <c r="J2599" s="38">
        <v>0.51373493975903617</v>
      </c>
      <c r="K2599" s="35">
        <v>1</v>
      </c>
      <c r="L2599" s="38">
        <f t="shared" si="40"/>
        <v>0.51373493975903617</v>
      </c>
      <c r="M2599" s="35" t="s">
        <v>11</v>
      </c>
      <c r="N2599" s="38"/>
      <c r="O2599" s="35" t="s">
        <v>2314</v>
      </c>
    </row>
    <row r="2600" spans="1:15" x14ac:dyDescent="0.25">
      <c r="A2600" s="35">
        <v>1130405268</v>
      </c>
      <c r="B2600" s="35" t="s">
        <v>4070</v>
      </c>
      <c r="C2600" s="35">
        <v>2023</v>
      </c>
      <c r="D2600" s="36">
        <v>45209.785277777781</v>
      </c>
      <c r="E2600" s="37" t="s">
        <v>2841</v>
      </c>
      <c r="F2600" s="37" t="s">
        <v>5524</v>
      </c>
      <c r="G2600" s="37" t="s">
        <v>5429</v>
      </c>
      <c r="H2600" s="35" t="s">
        <v>3419</v>
      </c>
      <c r="I2600" s="35" t="s">
        <v>3416</v>
      </c>
      <c r="J2600" s="38">
        <v>2.5686746987951811E-2</v>
      </c>
      <c r="K2600" s="35">
        <v>1</v>
      </c>
      <c r="L2600" s="38">
        <f t="shared" si="40"/>
        <v>2.5686746987951811E-2</v>
      </c>
      <c r="M2600" s="35" t="s">
        <v>11</v>
      </c>
      <c r="N2600" s="38"/>
      <c r="O2600" s="35" t="s">
        <v>2314</v>
      </c>
    </row>
    <row r="2601" spans="1:15" x14ac:dyDescent="0.25">
      <c r="A2601" s="35">
        <v>1130405268</v>
      </c>
      <c r="B2601" s="35" t="s">
        <v>4070</v>
      </c>
      <c r="C2601" s="35">
        <v>2023</v>
      </c>
      <c r="D2601" s="36">
        <v>45209.785277777781</v>
      </c>
      <c r="E2601" s="37" t="s">
        <v>2841</v>
      </c>
      <c r="F2601" s="37" t="s">
        <v>5525</v>
      </c>
      <c r="G2601" s="37" t="s">
        <v>5429</v>
      </c>
      <c r="H2601" s="35" t="s">
        <v>3419</v>
      </c>
      <c r="I2601" s="35" t="s">
        <v>3416</v>
      </c>
      <c r="J2601" s="38">
        <v>0.7706024096385542</v>
      </c>
      <c r="K2601" s="35">
        <v>1</v>
      </c>
      <c r="L2601" s="38">
        <f t="shared" si="40"/>
        <v>0.7706024096385542</v>
      </c>
      <c r="M2601" s="35" t="s">
        <v>11</v>
      </c>
      <c r="N2601" s="38"/>
      <c r="O2601" s="35" t="s">
        <v>2314</v>
      </c>
    </row>
    <row r="2602" spans="1:15" x14ac:dyDescent="0.25">
      <c r="A2602" s="35">
        <v>1130405268</v>
      </c>
      <c r="B2602" s="35" t="s">
        <v>4070</v>
      </c>
      <c r="C2602" s="35">
        <v>2023</v>
      </c>
      <c r="D2602" s="36">
        <v>45209.785277777781</v>
      </c>
      <c r="E2602" s="37" t="s">
        <v>2841</v>
      </c>
      <c r="F2602" s="37" t="s">
        <v>5526</v>
      </c>
      <c r="G2602" s="37" t="s">
        <v>5429</v>
      </c>
      <c r="H2602" s="35" t="s">
        <v>3419</v>
      </c>
      <c r="I2602" s="35" t="s">
        <v>3416</v>
      </c>
      <c r="J2602" s="38">
        <v>0.64216867469879513</v>
      </c>
      <c r="K2602" s="35">
        <v>1</v>
      </c>
      <c r="L2602" s="38">
        <f t="shared" si="40"/>
        <v>0.64216867469879513</v>
      </c>
      <c r="M2602" s="35" t="s">
        <v>11</v>
      </c>
      <c r="N2602" s="38"/>
      <c r="O2602" s="35" t="s">
        <v>2314</v>
      </c>
    </row>
    <row r="2603" spans="1:15" x14ac:dyDescent="0.25">
      <c r="A2603" s="35">
        <v>1130401284</v>
      </c>
      <c r="B2603" s="35" t="s">
        <v>4070</v>
      </c>
      <c r="C2603" s="35">
        <v>2023</v>
      </c>
      <c r="D2603" s="36">
        <v>45209.785277777781</v>
      </c>
      <c r="E2603" s="37" t="s">
        <v>2290</v>
      </c>
      <c r="F2603" s="37" t="s">
        <v>5527</v>
      </c>
      <c r="G2603" s="37" t="s">
        <v>5429</v>
      </c>
      <c r="H2603" s="35" t="s">
        <v>3419</v>
      </c>
      <c r="I2603" s="35" t="s">
        <v>3416</v>
      </c>
      <c r="J2603" s="38">
        <v>6.1898734177215198E-2</v>
      </c>
      <c r="K2603" s="35">
        <v>1</v>
      </c>
      <c r="L2603" s="38">
        <f t="shared" si="40"/>
        <v>6.1898734177215198E-2</v>
      </c>
      <c r="M2603" s="35" t="s">
        <v>11</v>
      </c>
      <c r="N2603" s="38"/>
      <c r="O2603" s="35" t="s">
        <v>2314</v>
      </c>
    </row>
    <row r="2604" spans="1:15" x14ac:dyDescent="0.25">
      <c r="A2604" s="35">
        <v>1130401284</v>
      </c>
      <c r="B2604" s="35" t="s">
        <v>4070</v>
      </c>
      <c r="C2604" s="35">
        <v>2023</v>
      </c>
      <c r="D2604" s="36">
        <v>45209.785277777781</v>
      </c>
      <c r="E2604" s="37" t="s">
        <v>2290</v>
      </c>
      <c r="F2604" s="37" t="s">
        <v>5528</v>
      </c>
      <c r="G2604" s="37" t="s">
        <v>5429</v>
      </c>
      <c r="H2604" s="35" t="s">
        <v>3419</v>
      </c>
      <c r="I2604" s="35" t="s">
        <v>3416</v>
      </c>
      <c r="J2604" s="38">
        <v>6.1898734177215198E-2</v>
      </c>
      <c r="K2604" s="35">
        <v>1</v>
      </c>
      <c r="L2604" s="38">
        <f t="shared" si="40"/>
        <v>6.1898734177215198E-2</v>
      </c>
      <c r="M2604" s="35" t="s">
        <v>11</v>
      </c>
      <c r="N2604" s="38"/>
      <c r="O2604" s="35" t="s">
        <v>2314</v>
      </c>
    </row>
    <row r="2605" spans="1:15" x14ac:dyDescent="0.25">
      <c r="A2605" s="35">
        <v>1130401284</v>
      </c>
      <c r="B2605" s="35" t="s">
        <v>4070</v>
      </c>
      <c r="C2605" s="35">
        <v>2023</v>
      </c>
      <c r="D2605" s="36">
        <v>45209.785277777781</v>
      </c>
      <c r="E2605" s="37" t="s">
        <v>2290</v>
      </c>
      <c r="F2605" s="37" t="s">
        <v>5529</v>
      </c>
      <c r="G2605" s="37" t="s">
        <v>5429</v>
      </c>
      <c r="H2605" s="35" t="s">
        <v>3419</v>
      </c>
      <c r="I2605" s="35" t="s">
        <v>3416</v>
      </c>
      <c r="J2605" s="38">
        <v>6.1898734177215198E-2</v>
      </c>
      <c r="K2605" s="35">
        <v>1</v>
      </c>
      <c r="L2605" s="38">
        <f t="shared" si="40"/>
        <v>6.1898734177215198E-2</v>
      </c>
      <c r="M2605" s="35" t="s">
        <v>11</v>
      </c>
      <c r="N2605" s="38"/>
      <c r="O2605" s="35" t="s">
        <v>2314</v>
      </c>
    </row>
    <row r="2606" spans="1:15" x14ac:dyDescent="0.25">
      <c r="A2606" s="35">
        <v>1130401284</v>
      </c>
      <c r="B2606" s="35" t="s">
        <v>4070</v>
      </c>
      <c r="C2606" s="35">
        <v>2023</v>
      </c>
      <c r="D2606" s="36">
        <v>45209.785277777781</v>
      </c>
      <c r="E2606" s="37" t="s">
        <v>2290</v>
      </c>
      <c r="F2606" s="37" t="s">
        <v>5530</v>
      </c>
      <c r="G2606" s="37" t="s">
        <v>5429</v>
      </c>
      <c r="H2606" s="35" t="s">
        <v>3419</v>
      </c>
      <c r="I2606" s="35" t="s">
        <v>3416</v>
      </c>
      <c r="J2606" s="38">
        <v>6.1898734177215198E-2</v>
      </c>
      <c r="K2606" s="35">
        <v>1</v>
      </c>
      <c r="L2606" s="38">
        <f t="shared" si="40"/>
        <v>6.1898734177215198E-2</v>
      </c>
      <c r="M2606" s="35" t="s">
        <v>11</v>
      </c>
      <c r="N2606" s="38"/>
      <c r="O2606" s="35" t="s">
        <v>2314</v>
      </c>
    </row>
    <row r="2607" spans="1:15" x14ac:dyDescent="0.25">
      <c r="A2607" s="35">
        <v>1130401284</v>
      </c>
      <c r="B2607" s="35" t="s">
        <v>4070</v>
      </c>
      <c r="C2607" s="35">
        <v>2023</v>
      </c>
      <c r="D2607" s="36">
        <v>45209.785277777781</v>
      </c>
      <c r="E2607" s="37" t="s">
        <v>2290</v>
      </c>
      <c r="F2607" s="37" t="s">
        <v>5531</v>
      </c>
      <c r="G2607" s="37" t="s">
        <v>5429</v>
      </c>
      <c r="H2607" s="35" t="s">
        <v>3419</v>
      </c>
      <c r="I2607" s="35" t="s">
        <v>3416</v>
      </c>
      <c r="J2607" s="38">
        <v>6.1898734177215198E-2</v>
      </c>
      <c r="K2607" s="35">
        <v>1</v>
      </c>
      <c r="L2607" s="38">
        <f t="shared" si="40"/>
        <v>6.1898734177215198E-2</v>
      </c>
      <c r="M2607" s="35" t="s">
        <v>11</v>
      </c>
      <c r="N2607" s="38"/>
      <c r="O2607" s="35" t="s">
        <v>2314</v>
      </c>
    </row>
    <row r="2608" spans="1:15" x14ac:dyDescent="0.25">
      <c r="A2608" s="35">
        <v>1130401284</v>
      </c>
      <c r="B2608" s="35" t="s">
        <v>4070</v>
      </c>
      <c r="C2608" s="35">
        <v>2023</v>
      </c>
      <c r="D2608" s="36">
        <v>45209.785277777781</v>
      </c>
      <c r="E2608" s="37" t="s">
        <v>2290</v>
      </c>
      <c r="F2608" s="37" t="s">
        <v>5532</v>
      </c>
      <c r="G2608" s="37" t="s">
        <v>5429</v>
      </c>
      <c r="H2608" s="35" t="s">
        <v>3419</v>
      </c>
      <c r="I2608" s="35" t="s">
        <v>3416</v>
      </c>
      <c r="J2608" s="38">
        <v>6.1898734177215198E-2</v>
      </c>
      <c r="K2608" s="35">
        <v>1</v>
      </c>
      <c r="L2608" s="38">
        <f t="shared" si="40"/>
        <v>6.1898734177215198E-2</v>
      </c>
      <c r="M2608" s="35" t="s">
        <v>11</v>
      </c>
      <c r="N2608" s="38"/>
      <c r="O2608" s="35" t="s">
        <v>2314</v>
      </c>
    </row>
    <row r="2609" spans="1:15" x14ac:dyDescent="0.25">
      <c r="A2609" s="35">
        <v>1130401284</v>
      </c>
      <c r="B2609" s="35" t="s">
        <v>4070</v>
      </c>
      <c r="C2609" s="35">
        <v>2023</v>
      </c>
      <c r="D2609" s="36">
        <v>45209.785277777781</v>
      </c>
      <c r="E2609" s="37" t="s">
        <v>2290</v>
      </c>
      <c r="F2609" s="37" t="s">
        <v>5533</v>
      </c>
      <c r="G2609" s="37" t="s">
        <v>5429</v>
      </c>
      <c r="H2609" s="35" t="s">
        <v>3419</v>
      </c>
      <c r="I2609" s="35" t="s">
        <v>3416</v>
      </c>
      <c r="J2609" s="38">
        <v>6.1898734177215198E-2</v>
      </c>
      <c r="K2609" s="35">
        <v>1</v>
      </c>
      <c r="L2609" s="38">
        <f t="shared" si="40"/>
        <v>6.1898734177215198E-2</v>
      </c>
      <c r="M2609" s="35" t="s">
        <v>11</v>
      </c>
      <c r="N2609" s="38"/>
      <c r="O2609" s="35" t="s">
        <v>2314</v>
      </c>
    </row>
    <row r="2610" spans="1:15" x14ac:dyDescent="0.25">
      <c r="A2610" s="35">
        <v>1130401284</v>
      </c>
      <c r="B2610" s="35" t="s">
        <v>4070</v>
      </c>
      <c r="C2610" s="35">
        <v>2023</v>
      </c>
      <c r="D2610" s="36">
        <v>45209.785277777781</v>
      </c>
      <c r="E2610" s="37" t="s">
        <v>2290</v>
      </c>
      <c r="F2610" s="37" t="s">
        <v>5534</v>
      </c>
      <c r="G2610" s="37" t="s">
        <v>5429</v>
      </c>
      <c r="H2610" s="35" t="s">
        <v>3419</v>
      </c>
      <c r="I2610" s="35" t="s">
        <v>3416</v>
      </c>
      <c r="J2610" s="38">
        <v>6.1898734177215198E-2</v>
      </c>
      <c r="K2610" s="35">
        <v>1</v>
      </c>
      <c r="L2610" s="38">
        <f t="shared" si="40"/>
        <v>6.1898734177215198E-2</v>
      </c>
      <c r="M2610" s="35" t="s">
        <v>11</v>
      </c>
      <c r="N2610" s="38"/>
      <c r="O2610" s="35" t="s">
        <v>2314</v>
      </c>
    </row>
    <row r="2611" spans="1:15" x14ac:dyDescent="0.25">
      <c r="A2611" s="35">
        <v>1130401284</v>
      </c>
      <c r="B2611" s="35" t="s">
        <v>4070</v>
      </c>
      <c r="C2611" s="35">
        <v>2023</v>
      </c>
      <c r="D2611" s="36">
        <v>45209.785277777781</v>
      </c>
      <c r="E2611" s="37" t="s">
        <v>2290</v>
      </c>
      <c r="F2611" s="37" t="s">
        <v>5535</v>
      </c>
      <c r="G2611" s="37" t="s">
        <v>5429</v>
      </c>
      <c r="H2611" s="35" t="s">
        <v>3419</v>
      </c>
      <c r="I2611" s="35" t="s">
        <v>3416</v>
      </c>
      <c r="J2611" s="38">
        <v>6.1898734177215198E-2</v>
      </c>
      <c r="K2611" s="35">
        <v>1</v>
      </c>
      <c r="L2611" s="38">
        <f t="shared" si="40"/>
        <v>6.1898734177215198E-2</v>
      </c>
      <c r="M2611" s="35" t="s">
        <v>11</v>
      </c>
      <c r="N2611" s="38"/>
      <c r="O2611" s="35" t="s">
        <v>2314</v>
      </c>
    </row>
    <row r="2612" spans="1:15" x14ac:dyDescent="0.25">
      <c r="A2612" s="35">
        <v>1130401284</v>
      </c>
      <c r="B2612" s="35" t="s">
        <v>4070</v>
      </c>
      <c r="C2612" s="35">
        <v>2023</v>
      </c>
      <c r="D2612" s="36">
        <v>45209.785277777781</v>
      </c>
      <c r="E2612" s="37" t="s">
        <v>2290</v>
      </c>
      <c r="F2612" s="37" t="s">
        <v>5536</v>
      </c>
      <c r="G2612" s="37" t="s">
        <v>5429</v>
      </c>
      <c r="H2612" s="35" t="s">
        <v>3419</v>
      </c>
      <c r="I2612" s="35" t="s">
        <v>3416</v>
      </c>
      <c r="J2612" s="38">
        <v>6.1898734177215198E-2</v>
      </c>
      <c r="K2612" s="35">
        <v>1</v>
      </c>
      <c r="L2612" s="38">
        <f t="shared" si="40"/>
        <v>6.1898734177215198E-2</v>
      </c>
      <c r="M2612" s="35" t="s">
        <v>11</v>
      </c>
      <c r="N2612" s="38"/>
      <c r="O2612" s="35" t="s">
        <v>2314</v>
      </c>
    </row>
    <row r="2613" spans="1:15" x14ac:dyDescent="0.25">
      <c r="A2613" s="35">
        <v>1130401284</v>
      </c>
      <c r="B2613" s="35" t="s">
        <v>4070</v>
      </c>
      <c r="C2613" s="35">
        <v>2023</v>
      </c>
      <c r="D2613" s="36">
        <v>45209.785277777781</v>
      </c>
      <c r="E2613" s="37" t="s">
        <v>2290</v>
      </c>
      <c r="F2613" s="37" t="s">
        <v>5537</v>
      </c>
      <c r="G2613" s="37" t="s">
        <v>5429</v>
      </c>
      <c r="H2613" s="35" t="s">
        <v>3419</v>
      </c>
      <c r="I2613" s="35" t="s">
        <v>3416</v>
      </c>
      <c r="J2613" s="38">
        <v>6.1898734177215198E-2</v>
      </c>
      <c r="K2613" s="35">
        <v>1</v>
      </c>
      <c r="L2613" s="38">
        <f t="shared" si="40"/>
        <v>6.1898734177215198E-2</v>
      </c>
      <c r="M2613" s="35" t="s">
        <v>11</v>
      </c>
      <c r="N2613" s="38"/>
      <c r="O2613" s="35" t="s">
        <v>2314</v>
      </c>
    </row>
    <row r="2614" spans="1:15" x14ac:dyDescent="0.25">
      <c r="A2614" s="35">
        <v>1130401284</v>
      </c>
      <c r="B2614" s="35" t="s">
        <v>4070</v>
      </c>
      <c r="C2614" s="35">
        <v>2023</v>
      </c>
      <c r="D2614" s="36">
        <v>45209.785277777781</v>
      </c>
      <c r="E2614" s="37" t="s">
        <v>2290</v>
      </c>
      <c r="F2614" s="37" t="s">
        <v>5538</v>
      </c>
      <c r="G2614" s="37" t="s">
        <v>5429</v>
      </c>
      <c r="H2614" s="35" t="s">
        <v>3419</v>
      </c>
      <c r="I2614" s="35" t="s">
        <v>3416</v>
      </c>
      <c r="J2614" s="38">
        <v>6.1898734177215198E-2</v>
      </c>
      <c r="K2614" s="35">
        <v>1</v>
      </c>
      <c r="L2614" s="38">
        <f t="shared" si="40"/>
        <v>6.1898734177215198E-2</v>
      </c>
      <c r="M2614" s="35" t="s">
        <v>11</v>
      </c>
      <c r="N2614" s="38"/>
      <c r="O2614" s="35" t="s">
        <v>2314</v>
      </c>
    </row>
    <row r="2615" spans="1:15" x14ac:dyDescent="0.25">
      <c r="A2615" s="35">
        <v>1130401284</v>
      </c>
      <c r="B2615" s="35" t="s">
        <v>4070</v>
      </c>
      <c r="C2615" s="35">
        <v>2023</v>
      </c>
      <c r="D2615" s="36">
        <v>45209.785277777781</v>
      </c>
      <c r="E2615" s="37" t="s">
        <v>2290</v>
      </c>
      <c r="F2615" s="37" t="s">
        <v>5539</v>
      </c>
      <c r="G2615" s="37" t="s">
        <v>5429</v>
      </c>
      <c r="H2615" s="35" t="s">
        <v>3419</v>
      </c>
      <c r="I2615" s="35" t="s">
        <v>3416</v>
      </c>
      <c r="J2615" s="38">
        <v>6.1898734177215198E-2</v>
      </c>
      <c r="K2615" s="35">
        <v>1</v>
      </c>
      <c r="L2615" s="38">
        <f t="shared" si="40"/>
        <v>6.1898734177215198E-2</v>
      </c>
      <c r="M2615" s="35" t="s">
        <v>11</v>
      </c>
      <c r="N2615" s="38"/>
      <c r="O2615" s="35" t="s">
        <v>2314</v>
      </c>
    </row>
    <row r="2616" spans="1:15" x14ac:dyDescent="0.25">
      <c r="A2616" s="35">
        <v>1130401284</v>
      </c>
      <c r="B2616" s="35" t="s">
        <v>4070</v>
      </c>
      <c r="C2616" s="35">
        <v>2023</v>
      </c>
      <c r="D2616" s="36">
        <v>45209.785277777781</v>
      </c>
      <c r="E2616" s="37" t="s">
        <v>2290</v>
      </c>
      <c r="F2616" s="37" t="s">
        <v>5540</v>
      </c>
      <c r="G2616" s="37" t="s">
        <v>5429</v>
      </c>
      <c r="H2616" s="35" t="s">
        <v>3419</v>
      </c>
      <c r="I2616" s="35" t="s">
        <v>3416</v>
      </c>
      <c r="J2616" s="38">
        <v>6.1898734177215198E-2</v>
      </c>
      <c r="K2616" s="35">
        <v>1</v>
      </c>
      <c r="L2616" s="38">
        <f t="shared" si="40"/>
        <v>6.1898734177215198E-2</v>
      </c>
      <c r="M2616" s="35" t="s">
        <v>11</v>
      </c>
      <c r="N2616" s="38"/>
      <c r="O2616" s="35" t="s">
        <v>2314</v>
      </c>
    </row>
    <row r="2617" spans="1:15" x14ac:dyDescent="0.25">
      <c r="A2617" s="35">
        <v>1130401284</v>
      </c>
      <c r="B2617" s="35" t="s">
        <v>4070</v>
      </c>
      <c r="C2617" s="35">
        <v>2023</v>
      </c>
      <c r="D2617" s="36">
        <v>45209.785277777781</v>
      </c>
      <c r="E2617" s="37" t="s">
        <v>2290</v>
      </c>
      <c r="F2617" s="37" t="s">
        <v>5541</v>
      </c>
      <c r="G2617" s="37" t="s">
        <v>5429</v>
      </c>
      <c r="H2617" s="35" t="s">
        <v>3419</v>
      </c>
      <c r="I2617" s="35" t="s">
        <v>3416</v>
      </c>
      <c r="J2617" s="38">
        <v>6.1898734177215198E-2</v>
      </c>
      <c r="K2617" s="35">
        <v>1</v>
      </c>
      <c r="L2617" s="38">
        <f t="shared" si="40"/>
        <v>6.1898734177215198E-2</v>
      </c>
      <c r="M2617" s="35" t="s">
        <v>11</v>
      </c>
      <c r="N2617" s="38"/>
      <c r="O2617" s="35" t="s">
        <v>2314</v>
      </c>
    </row>
    <row r="2618" spans="1:15" x14ac:dyDescent="0.25">
      <c r="A2618" s="35">
        <v>1130401284</v>
      </c>
      <c r="B2618" s="35" t="s">
        <v>4070</v>
      </c>
      <c r="C2618" s="35">
        <v>2023</v>
      </c>
      <c r="D2618" s="36">
        <v>45209.785277777781</v>
      </c>
      <c r="E2618" s="37" t="s">
        <v>2290</v>
      </c>
      <c r="F2618" s="37" t="s">
        <v>5542</v>
      </c>
      <c r="G2618" s="37" t="s">
        <v>5429</v>
      </c>
      <c r="H2618" s="35" t="s">
        <v>3419</v>
      </c>
      <c r="I2618" s="35" t="s">
        <v>3416</v>
      </c>
      <c r="J2618" s="38">
        <v>6.1898734177215198E-2</v>
      </c>
      <c r="K2618" s="35">
        <v>1</v>
      </c>
      <c r="L2618" s="38">
        <f t="shared" si="40"/>
        <v>6.1898734177215198E-2</v>
      </c>
      <c r="M2618" s="35" t="s">
        <v>11</v>
      </c>
      <c r="N2618" s="38"/>
      <c r="O2618" s="35" t="s">
        <v>2314</v>
      </c>
    </row>
    <row r="2619" spans="1:15" x14ac:dyDescent="0.25">
      <c r="A2619" s="35">
        <v>1130401284</v>
      </c>
      <c r="B2619" s="35" t="s">
        <v>4070</v>
      </c>
      <c r="C2619" s="35">
        <v>2023</v>
      </c>
      <c r="D2619" s="36">
        <v>45209.785277777781</v>
      </c>
      <c r="E2619" s="37" t="s">
        <v>2290</v>
      </c>
      <c r="F2619" s="37" t="s">
        <v>5543</v>
      </c>
      <c r="G2619" s="37" t="s">
        <v>5429</v>
      </c>
      <c r="H2619" s="35" t="s">
        <v>3419</v>
      </c>
      <c r="I2619" s="35" t="s">
        <v>3416</v>
      </c>
      <c r="J2619" s="38">
        <v>6.1898734177215198E-2</v>
      </c>
      <c r="K2619" s="35">
        <v>1</v>
      </c>
      <c r="L2619" s="38">
        <f t="shared" si="40"/>
        <v>6.1898734177215198E-2</v>
      </c>
      <c r="M2619" s="35" t="s">
        <v>11</v>
      </c>
      <c r="N2619" s="38"/>
      <c r="O2619" s="35" t="s">
        <v>2314</v>
      </c>
    </row>
    <row r="2620" spans="1:15" x14ac:dyDescent="0.25">
      <c r="A2620" s="35">
        <v>1130401284</v>
      </c>
      <c r="B2620" s="35" t="s">
        <v>4070</v>
      </c>
      <c r="C2620" s="35">
        <v>2023</v>
      </c>
      <c r="D2620" s="36">
        <v>45209.785277777781</v>
      </c>
      <c r="E2620" s="37" t="s">
        <v>2290</v>
      </c>
      <c r="F2620" s="37" t="s">
        <v>5544</v>
      </c>
      <c r="G2620" s="37" t="s">
        <v>5429</v>
      </c>
      <c r="H2620" s="35" t="s">
        <v>3419</v>
      </c>
      <c r="I2620" s="35" t="s">
        <v>3416</v>
      </c>
      <c r="J2620" s="38">
        <v>6.1898734177215198E-2</v>
      </c>
      <c r="K2620" s="35">
        <v>1</v>
      </c>
      <c r="L2620" s="38">
        <f t="shared" si="40"/>
        <v>6.1898734177215198E-2</v>
      </c>
      <c r="M2620" s="35" t="s">
        <v>11</v>
      </c>
      <c r="N2620" s="38"/>
      <c r="O2620" s="35" t="s">
        <v>2314</v>
      </c>
    </row>
    <row r="2621" spans="1:15" x14ac:dyDescent="0.25">
      <c r="A2621" s="35">
        <v>1130401284</v>
      </c>
      <c r="B2621" s="35" t="s">
        <v>4070</v>
      </c>
      <c r="C2621" s="35">
        <v>2023</v>
      </c>
      <c r="D2621" s="36">
        <v>45209.785277777781</v>
      </c>
      <c r="E2621" s="37" t="s">
        <v>2290</v>
      </c>
      <c r="F2621" s="37" t="s">
        <v>5545</v>
      </c>
      <c r="G2621" s="37" t="s">
        <v>5429</v>
      </c>
      <c r="H2621" s="35" t="s">
        <v>3419</v>
      </c>
      <c r="I2621" s="35" t="s">
        <v>3416</v>
      </c>
      <c r="J2621" s="38">
        <v>6.1898734177215198E-2</v>
      </c>
      <c r="K2621" s="35">
        <v>1</v>
      </c>
      <c r="L2621" s="38">
        <f t="shared" si="40"/>
        <v>6.1898734177215198E-2</v>
      </c>
      <c r="M2621" s="35" t="s">
        <v>11</v>
      </c>
      <c r="N2621" s="38"/>
      <c r="O2621" s="35" t="s">
        <v>2314</v>
      </c>
    </row>
    <row r="2622" spans="1:15" x14ac:dyDescent="0.25">
      <c r="A2622" s="35">
        <v>1130401284</v>
      </c>
      <c r="B2622" s="35" t="s">
        <v>4070</v>
      </c>
      <c r="C2622" s="35">
        <v>2023</v>
      </c>
      <c r="D2622" s="36">
        <v>45209.785277777781</v>
      </c>
      <c r="E2622" s="37" t="s">
        <v>2290</v>
      </c>
      <c r="F2622" s="37" t="s">
        <v>5546</v>
      </c>
      <c r="G2622" s="37" t="s">
        <v>5429</v>
      </c>
      <c r="H2622" s="35" t="s">
        <v>3419</v>
      </c>
      <c r="I2622" s="35" t="s">
        <v>3416</v>
      </c>
      <c r="J2622" s="38">
        <v>6.1898734177215198E-2</v>
      </c>
      <c r="K2622" s="35">
        <v>1</v>
      </c>
      <c r="L2622" s="38">
        <f t="shared" si="40"/>
        <v>6.1898734177215198E-2</v>
      </c>
      <c r="M2622" s="35" t="s">
        <v>11</v>
      </c>
      <c r="N2622" s="38"/>
      <c r="O2622" s="35" t="s">
        <v>2314</v>
      </c>
    </row>
    <row r="2623" spans="1:15" x14ac:dyDescent="0.25">
      <c r="A2623" s="35">
        <v>1130401284</v>
      </c>
      <c r="B2623" s="35" t="s">
        <v>4070</v>
      </c>
      <c r="C2623" s="35">
        <v>2023</v>
      </c>
      <c r="D2623" s="36">
        <v>45209.785277777781</v>
      </c>
      <c r="E2623" s="37" t="s">
        <v>2290</v>
      </c>
      <c r="F2623" s="37" t="s">
        <v>5547</v>
      </c>
      <c r="G2623" s="37" t="s">
        <v>5429</v>
      </c>
      <c r="H2623" s="35" t="s">
        <v>3419</v>
      </c>
      <c r="I2623" s="35" t="s">
        <v>3416</v>
      </c>
      <c r="J2623" s="38">
        <v>6.1898734177215198E-2</v>
      </c>
      <c r="K2623" s="35">
        <v>1</v>
      </c>
      <c r="L2623" s="38">
        <f t="shared" si="40"/>
        <v>6.1898734177215198E-2</v>
      </c>
      <c r="M2623" s="35" t="s">
        <v>11</v>
      </c>
      <c r="N2623" s="38"/>
      <c r="O2623" s="35" t="s">
        <v>2314</v>
      </c>
    </row>
    <row r="2624" spans="1:15" x14ac:dyDescent="0.25">
      <c r="A2624" s="35">
        <v>1130401284</v>
      </c>
      <c r="B2624" s="35" t="s">
        <v>4070</v>
      </c>
      <c r="C2624" s="35">
        <v>2023</v>
      </c>
      <c r="D2624" s="36">
        <v>45209.785277777781</v>
      </c>
      <c r="E2624" s="37" t="s">
        <v>2290</v>
      </c>
      <c r="F2624" s="37" t="s">
        <v>5548</v>
      </c>
      <c r="G2624" s="37" t="s">
        <v>5429</v>
      </c>
      <c r="H2624" s="35" t="s">
        <v>3419</v>
      </c>
      <c r="I2624" s="35" t="s">
        <v>3416</v>
      </c>
      <c r="J2624" s="38">
        <v>6.1898734177215198E-2</v>
      </c>
      <c r="K2624" s="35">
        <v>1</v>
      </c>
      <c r="L2624" s="38">
        <f t="shared" si="40"/>
        <v>6.1898734177215198E-2</v>
      </c>
      <c r="M2624" s="35" t="s">
        <v>11</v>
      </c>
      <c r="N2624" s="38"/>
      <c r="O2624" s="35" t="s">
        <v>2314</v>
      </c>
    </row>
    <row r="2625" spans="1:15" x14ac:dyDescent="0.25">
      <c r="A2625" s="35">
        <v>1130401284</v>
      </c>
      <c r="B2625" s="35" t="s">
        <v>4070</v>
      </c>
      <c r="C2625" s="35">
        <v>2023</v>
      </c>
      <c r="D2625" s="36">
        <v>45209.785277777781</v>
      </c>
      <c r="E2625" s="37" t="s">
        <v>2290</v>
      </c>
      <c r="F2625" s="37" t="s">
        <v>5549</v>
      </c>
      <c r="G2625" s="37" t="s">
        <v>5429</v>
      </c>
      <c r="H2625" s="35" t="s">
        <v>3419</v>
      </c>
      <c r="I2625" s="35" t="s">
        <v>3416</v>
      </c>
      <c r="J2625" s="38">
        <v>6.1898734177215198E-2</v>
      </c>
      <c r="K2625" s="35">
        <v>1</v>
      </c>
      <c r="L2625" s="38">
        <f t="shared" si="40"/>
        <v>6.1898734177215198E-2</v>
      </c>
      <c r="M2625" s="35" t="s">
        <v>11</v>
      </c>
      <c r="N2625" s="38"/>
      <c r="O2625" s="35" t="s">
        <v>2314</v>
      </c>
    </row>
    <row r="2626" spans="1:15" x14ac:dyDescent="0.25">
      <c r="A2626" s="35">
        <v>1130401284</v>
      </c>
      <c r="B2626" s="35" t="s">
        <v>4070</v>
      </c>
      <c r="C2626" s="35">
        <v>2023</v>
      </c>
      <c r="D2626" s="36">
        <v>45209.785277777781</v>
      </c>
      <c r="E2626" s="37" t="s">
        <v>2290</v>
      </c>
      <c r="F2626" s="37" t="s">
        <v>5550</v>
      </c>
      <c r="G2626" s="37" t="s">
        <v>5429</v>
      </c>
      <c r="H2626" s="35" t="s">
        <v>3419</v>
      </c>
      <c r="I2626" s="35" t="s">
        <v>3416</v>
      </c>
      <c r="J2626" s="38">
        <v>6.1898734177215198E-2</v>
      </c>
      <c r="K2626" s="35">
        <v>1</v>
      </c>
      <c r="L2626" s="38">
        <f t="shared" ref="L2626:L2689" si="41">J2626*K2626</f>
        <v>6.1898734177215198E-2</v>
      </c>
      <c r="M2626" s="35" t="s">
        <v>11</v>
      </c>
      <c r="N2626" s="38"/>
      <c r="O2626" s="35" t="s">
        <v>2314</v>
      </c>
    </row>
    <row r="2627" spans="1:15" x14ac:dyDescent="0.25">
      <c r="A2627" s="35">
        <v>1130401284</v>
      </c>
      <c r="B2627" s="35" t="s">
        <v>4070</v>
      </c>
      <c r="C2627" s="35">
        <v>2023</v>
      </c>
      <c r="D2627" s="36">
        <v>45209.785277777781</v>
      </c>
      <c r="E2627" s="37" t="s">
        <v>2290</v>
      </c>
      <c r="F2627" s="37" t="s">
        <v>5551</v>
      </c>
      <c r="G2627" s="37" t="s">
        <v>5429</v>
      </c>
      <c r="H2627" s="35" t="s">
        <v>3419</v>
      </c>
      <c r="I2627" s="35" t="s">
        <v>3416</v>
      </c>
      <c r="J2627" s="38">
        <v>6.1898734177215198E-2</v>
      </c>
      <c r="K2627" s="35">
        <v>1</v>
      </c>
      <c r="L2627" s="38">
        <f t="shared" si="41"/>
        <v>6.1898734177215198E-2</v>
      </c>
      <c r="M2627" s="35" t="s">
        <v>11</v>
      </c>
      <c r="N2627" s="38"/>
      <c r="O2627" s="35" t="s">
        <v>2314</v>
      </c>
    </row>
    <row r="2628" spans="1:15" x14ac:dyDescent="0.25">
      <c r="A2628" s="35">
        <v>1130401284</v>
      </c>
      <c r="B2628" s="35" t="s">
        <v>4070</v>
      </c>
      <c r="C2628" s="35">
        <v>2023</v>
      </c>
      <c r="D2628" s="36">
        <v>45209.785277777781</v>
      </c>
      <c r="E2628" s="37" t="s">
        <v>2290</v>
      </c>
      <c r="F2628" s="37" t="s">
        <v>5552</v>
      </c>
      <c r="G2628" s="37" t="s">
        <v>5429</v>
      </c>
      <c r="H2628" s="35" t="s">
        <v>3419</v>
      </c>
      <c r="I2628" s="35" t="s">
        <v>3416</v>
      </c>
      <c r="J2628" s="38">
        <v>6.1898734177215198E-2</v>
      </c>
      <c r="K2628" s="35">
        <v>1</v>
      </c>
      <c r="L2628" s="38">
        <f t="shared" si="41"/>
        <v>6.1898734177215198E-2</v>
      </c>
      <c r="M2628" s="35" t="s">
        <v>11</v>
      </c>
      <c r="N2628" s="38"/>
      <c r="O2628" s="35" t="s">
        <v>2314</v>
      </c>
    </row>
    <row r="2629" spans="1:15" x14ac:dyDescent="0.25">
      <c r="A2629" s="35">
        <v>1130401284</v>
      </c>
      <c r="B2629" s="35" t="s">
        <v>4070</v>
      </c>
      <c r="C2629" s="35">
        <v>2023</v>
      </c>
      <c r="D2629" s="36">
        <v>45209.785277777781</v>
      </c>
      <c r="E2629" s="37" t="s">
        <v>2290</v>
      </c>
      <c r="F2629" s="37" t="s">
        <v>5553</v>
      </c>
      <c r="G2629" s="37" t="s">
        <v>5429</v>
      </c>
      <c r="H2629" s="35" t="s">
        <v>3419</v>
      </c>
      <c r="I2629" s="35" t="s">
        <v>3416</v>
      </c>
      <c r="J2629" s="38">
        <v>6.1898734177215198E-2</v>
      </c>
      <c r="K2629" s="35">
        <v>1</v>
      </c>
      <c r="L2629" s="38">
        <f t="shared" si="41"/>
        <v>6.1898734177215198E-2</v>
      </c>
      <c r="M2629" s="35" t="s">
        <v>11</v>
      </c>
      <c r="N2629" s="38"/>
      <c r="O2629" s="35" t="s">
        <v>2314</v>
      </c>
    </row>
    <row r="2630" spans="1:15" ht="30" x14ac:dyDescent="0.25">
      <c r="A2630" s="35">
        <v>1130401284</v>
      </c>
      <c r="B2630" s="35" t="s">
        <v>4070</v>
      </c>
      <c r="C2630" s="35">
        <v>2023</v>
      </c>
      <c r="D2630" s="36">
        <v>45209.785277777781</v>
      </c>
      <c r="E2630" s="37" t="s">
        <v>2290</v>
      </c>
      <c r="F2630" s="37" t="s">
        <v>5554</v>
      </c>
      <c r="G2630" s="37" t="s">
        <v>5555</v>
      </c>
      <c r="H2630" s="35" t="s">
        <v>3419</v>
      </c>
      <c r="I2630" s="35" t="s">
        <v>3416</v>
      </c>
      <c r="J2630" s="38">
        <v>6.1898734177215198E-2</v>
      </c>
      <c r="K2630" s="35">
        <v>1</v>
      </c>
      <c r="L2630" s="38">
        <f t="shared" si="41"/>
        <v>6.1898734177215198E-2</v>
      </c>
      <c r="M2630" s="35" t="s">
        <v>11</v>
      </c>
      <c r="N2630" s="38"/>
      <c r="O2630" s="35" t="s">
        <v>12</v>
      </c>
    </row>
    <row r="2631" spans="1:15" x14ac:dyDescent="0.25">
      <c r="A2631" s="35">
        <v>1130401284</v>
      </c>
      <c r="B2631" s="35" t="s">
        <v>4070</v>
      </c>
      <c r="C2631" s="35">
        <v>2023</v>
      </c>
      <c r="D2631" s="36">
        <v>45209.785277777781</v>
      </c>
      <c r="E2631" s="37" t="s">
        <v>2290</v>
      </c>
      <c r="F2631" s="37" t="s">
        <v>5556</v>
      </c>
      <c r="G2631" s="37" t="s">
        <v>5429</v>
      </c>
      <c r="H2631" s="35" t="s">
        <v>3419</v>
      </c>
      <c r="I2631" s="35" t="s">
        <v>3416</v>
      </c>
      <c r="J2631" s="38">
        <v>6.1898734177215198E-2</v>
      </c>
      <c r="K2631" s="35">
        <v>1</v>
      </c>
      <c r="L2631" s="38">
        <f t="shared" si="41"/>
        <v>6.1898734177215198E-2</v>
      </c>
      <c r="M2631" s="35" t="s">
        <v>11</v>
      </c>
      <c r="N2631" s="38"/>
      <c r="O2631" s="35" t="s">
        <v>2314</v>
      </c>
    </row>
    <row r="2632" spans="1:15" x14ac:dyDescent="0.25">
      <c r="A2632" s="35">
        <v>1130401284</v>
      </c>
      <c r="B2632" s="35" t="s">
        <v>4070</v>
      </c>
      <c r="C2632" s="35">
        <v>2023</v>
      </c>
      <c r="D2632" s="36">
        <v>45209.785277777781</v>
      </c>
      <c r="E2632" s="37" t="s">
        <v>2290</v>
      </c>
      <c r="F2632" s="37" t="s">
        <v>5557</v>
      </c>
      <c r="G2632" s="37" t="s">
        <v>5429</v>
      </c>
      <c r="H2632" s="35" t="s">
        <v>3419</v>
      </c>
      <c r="I2632" s="35" t="s">
        <v>3416</v>
      </c>
      <c r="J2632" s="38">
        <v>6.1898734177215198E-2</v>
      </c>
      <c r="K2632" s="35">
        <v>1</v>
      </c>
      <c r="L2632" s="38">
        <f t="shared" si="41"/>
        <v>6.1898734177215198E-2</v>
      </c>
      <c r="M2632" s="35" t="s">
        <v>11</v>
      </c>
      <c r="N2632" s="38"/>
      <c r="O2632" s="35" t="s">
        <v>2314</v>
      </c>
    </row>
    <row r="2633" spans="1:15" x14ac:dyDescent="0.25">
      <c r="A2633" s="35">
        <v>1130401284</v>
      </c>
      <c r="B2633" s="35" t="s">
        <v>4070</v>
      </c>
      <c r="C2633" s="35">
        <v>2023</v>
      </c>
      <c r="D2633" s="36">
        <v>45209.785277777781</v>
      </c>
      <c r="E2633" s="37" t="s">
        <v>2290</v>
      </c>
      <c r="F2633" s="37" t="s">
        <v>5558</v>
      </c>
      <c r="G2633" s="37" t="s">
        <v>5429</v>
      </c>
      <c r="H2633" s="35" t="s">
        <v>3419</v>
      </c>
      <c r="I2633" s="35" t="s">
        <v>3416</v>
      </c>
      <c r="J2633" s="38">
        <v>6.1898734177215198E-2</v>
      </c>
      <c r="K2633" s="35">
        <v>1</v>
      </c>
      <c r="L2633" s="38">
        <f t="shared" si="41"/>
        <v>6.1898734177215198E-2</v>
      </c>
      <c r="M2633" s="35" t="s">
        <v>11</v>
      </c>
      <c r="N2633" s="38"/>
      <c r="O2633" s="35" t="s">
        <v>2314</v>
      </c>
    </row>
    <row r="2634" spans="1:15" x14ac:dyDescent="0.25">
      <c r="A2634" s="35">
        <v>1130401284</v>
      </c>
      <c r="B2634" s="35" t="s">
        <v>4070</v>
      </c>
      <c r="C2634" s="35">
        <v>2023</v>
      </c>
      <c r="D2634" s="36">
        <v>45209.785277777781</v>
      </c>
      <c r="E2634" s="37" t="s">
        <v>2290</v>
      </c>
      <c r="F2634" s="37" t="s">
        <v>5559</v>
      </c>
      <c r="G2634" s="37" t="s">
        <v>5429</v>
      </c>
      <c r="H2634" s="35" t="s">
        <v>3419</v>
      </c>
      <c r="I2634" s="35" t="s">
        <v>3416</v>
      </c>
      <c r="J2634" s="38">
        <v>6.1898734177215198E-2</v>
      </c>
      <c r="K2634" s="35">
        <v>1</v>
      </c>
      <c r="L2634" s="38">
        <f t="shared" si="41"/>
        <v>6.1898734177215198E-2</v>
      </c>
      <c r="M2634" s="35" t="s">
        <v>11</v>
      </c>
      <c r="N2634" s="38"/>
      <c r="O2634" s="35" t="s">
        <v>2314</v>
      </c>
    </row>
    <row r="2635" spans="1:15" x14ac:dyDescent="0.25">
      <c r="A2635" s="35">
        <v>1130401284</v>
      </c>
      <c r="B2635" s="35" t="s">
        <v>4070</v>
      </c>
      <c r="C2635" s="35">
        <v>2023</v>
      </c>
      <c r="D2635" s="36">
        <v>45209.785277777781</v>
      </c>
      <c r="E2635" s="37" t="s">
        <v>2290</v>
      </c>
      <c r="F2635" s="37" t="s">
        <v>5560</v>
      </c>
      <c r="G2635" s="37" t="s">
        <v>5429</v>
      </c>
      <c r="H2635" s="35" t="s">
        <v>3419</v>
      </c>
      <c r="I2635" s="35" t="s">
        <v>3416</v>
      </c>
      <c r="J2635" s="38">
        <v>6.1898734177215198E-2</v>
      </c>
      <c r="K2635" s="35">
        <v>1</v>
      </c>
      <c r="L2635" s="38">
        <f t="shared" si="41"/>
        <v>6.1898734177215198E-2</v>
      </c>
      <c r="M2635" s="35" t="s">
        <v>11</v>
      </c>
      <c r="N2635" s="38"/>
      <c r="O2635" s="35" t="s">
        <v>2314</v>
      </c>
    </row>
    <row r="2636" spans="1:15" x14ac:dyDescent="0.25">
      <c r="A2636" s="35">
        <v>1130401284</v>
      </c>
      <c r="B2636" s="35" t="s">
        <v>4070</v>
      </c>
      <c r="C2636" s="35">
        <v>2023</v>
      </c>
      <c r="D2636" s="36">
        <v>45209.785277777781</v>
      </c>
      <c r="E2636" s="37" t="s">
        <v>2290</v>
      </c>
      <c r="F2636" s="37" t="s">
        <v>5561</v>
      </c>
      <c r="G2636" s="37" t="s">
        <v>5429</v>
      </c>
      <c r="H2636" s="35" t="s">
        <v>3419</v>
      </c>
      <c r="I2636" s="35" t="s">
        <v>3416</v>
      </c>
      <c r="J2636" s="38">
        <v>6.1898734177215198E-2</v>
      </c>
      <c r="K2636" s="35">
        <v>1</v>
      </c>
      <c r="L2636" s="38">
        <f t="shared" si="41"/>
        <v>6.1898734177215198E-2</v>
      </c>
      <c r="M2636" s="35" t="s">
        <v>11</v>
      </c>
      <c r="N2636" s="38"/>
      <c r="O2636" s="35" t="s">
        <v>2314</v>
      </c>
    </row>
    <row r="2637" spans="1:15" x14ac:dyDescent="0.25">
      <c r="A2637" s="35">
        <v>1130401284</v>
      </c>
      <c r="B2637" s="35" t="s">
        <v>4070</v>
      </c>
      <c r="C2637" s="35">
        <v>2023</v>
      </c>
      <c r="D2637" s="36">
        <v>45209.785277777781</v>
      </c>
      <c r="E2637" s="37" t="s">
        <v>2290</v>
      </c>
      <c r="F2637" s="37" t="s">
        <v>5562</v>
      </c>
      <c r="G2637" s="37" t="s">
        <v>5429</v>
      </c>
      <c r="H2637" s="35" t="s">
        <v>3419</v>
      </c>
      <c r="I2637" s="35" t="s">
        <v>3416</v>
      </c>
      <c r="J2637" s="38">
        <v>6.1898734177215198E-2</v>
      </c>
      <c r="K2637" s="35">
        <v>1</v>
      </c>
      <c r="L2637" s="38">
        <f t="shared" si="41"/>
        <v>6.1898734177215198E-2</v>
      </c>
      <c r="M2637" s="35" t="s">
        <v>11</v>
      </c>
      <c r="N2637" s="38"/>
      <c r="O2637" s="35" t="s">
        <v>2314</v>
      </c>
    </row>
    <row r="2638" spans="1:15" x14ac:dyDescent="0.25">
      <c r="A2638" s="35">
        <v>1130401284</v>
      </c>
      <c r="B2638" s="35" t="s">
        <v>4070</v>
      </c>
      <c r="C2638" s="35">
        <v>2023</v>
      </c>
      <c r="D2638" s="36">
        <v>45209.785277777781</v>
      </c>
      <c r="E2638" s="37" t="s">
        <v>2290</v>
      </c>
      <c r="F2638" s="37" t="s">
        <v>5563</v>
      </c>
      <c r="G2638" s="37" t="s">
        <v>5429</v>
      </c>
      <c r="H2638" s="35" t="s">
        <v>3419</v>
      </c>
      <c r="I2638" s="35" t="s">
        <v>3416</v>
      </c>
      <c r="J2638" s="38">
        <v>6.1898734177215198E-2</v>
      </c>
      <c r="K2638" s="35">
        <v>1</v>
      </c>
      <c r="L2638" s="38">
        <f t="shared" si="41"/>
        <v>6.1898734177215198E-2</v>
      </c>
      <c r="M2638" s="35" t="s">
        <v>11</v>
      </c>
      <c r="N2638" s="38"/>
      <c r="O2638" s="35" t="s">
        <v>2314</v>
      </c>
    </row>
    <row r="2639" spans="1:15" x14ac:dyDescent="0.25">
      <c r="A2639" s="35">
        <v>1130401284</v>
      </c>
      <c r="B2639" s="35" t="s">
        <v>4070</v>
      </c>
      <c r="C2639" s="35">
        <v>2023</v>
      </c>
      <c r="D2639" s="36">
        <v>45209.785277777781</v>
      </c>
      <c r="E2639" s="37" t="s">
        <v>2290</v>
      </c>
      <c r="F2639" s="37" t="s">
        <v>5564</v>
      </c>
      <c r="G2639" s="37" t="s">
        <v>5429</v>
      </c>
      <c r="H2639" s="35" t="s">
        <v>3419</v>
      </c>
      <c r="I2639" s="35" t="s">
        <v>3416</v>
      </c>
      <c r="J2639" s="38">
        <v>6.1898734177215198E-2</v>
      </c>
      <c r="K2639" s="35">
        <v>1</v>
      </c>
      <c r="L2639" s="38">
        <f t="shared" si="41"/>
        <v>6.1898734177215198E-2</v>
      </c>
      <c r="M2639" s="35" t="s">
        <v>11</v>
      </c>
      <c r="N2639" s="38"/>
      <c r="O2639" s="35" t="s">
        <v>2314</v>
      </c>
    </row>
    <row r="2640" spans="1:15" x14ac:dyDescent="0.25">
      <c r="A2640" s="35">
        <v>1130401284</v>
      </c>
      <c r="B2640" s="35" t="s">
        <v>4070</v>
      </c>
      <c r="C2640" s="35">
        <v>2023</v>
      </c>
      <c r="D2640" s="36">
        <v>45209.785277777781</v>
      </c>
      <c r="E2640" s="37" t="s">
        <v>2290</v>
      </c>
      <c r="F2640" s="37" t="s">
        <v>5565</v>
      </c>
      <c r="G2640" s="37" t="s">
        <v>5429</v>
      </c>
      <c r="H2640" s="35" t="s">
        <v>3419</v>
      </c>
      <c r="I2640" s="35" t="s">
        <v>3416</v>
      </c>
      <c r="J2640" s="38">
        <v>6.1898734177215198E-2</v>
      </c>
      <c r="K2640" s="35">
        <v>1</v>
      </c>
      <c r="L2640" s="38">
        <f t="shared" si="41"/>
        <v>6.1898734177215198E-2</v>
      </c>
      <c r="M2640" s="35" t="s">
        <v>11</v>
      </c>
      <c r="N2640" s="38"/>
      <c r="O2640" s="35" t="s">
        <v>2314</v>
      </c>
    </row>
    <row r="2641" spans="1:15" x14ac:dyDescent="0.25">
      <c r="A2641" s="35">
        <v>1130401284</v>
      </c>
      <c r="B2641" s="35" t="s">
        <v>4070</v>
      </c>
      <c r="C2641" s="35">
        <v>2023</v>
      </c>
      <c r="D2641" s="36">
        <v>45209.785277777781</v>
      </c>
      <c r="E2641" s="37" t="s">
        <v>2290</v>
      </c>
      <c r="F2641" s="37" t="s">
        <v>5566</v>
      </c>
      <c r="G2641" s="37" t="s">
        <v>5429</v>
      </c>
      <c r="H2641" s="35" t="s">
        <v>3419</v>
      </c>
      <c r="I2641" s="35" t="s">
        <v>3416</v>
      </c>
      <c r="J2641" s="38">
        <v>6.1898734177215198E-2</v>
      </c>
      <c r="K2641" s="35">
        <v>1</v>
      </c>
      <c r="L2641" s="38">
        <f t="shared" si="41"/>
        <v>6.1898734177215198E-2</v>
      </c>
      <c r="M2641" s="35" t="s">
        <v>11</v>
      </c>
      <c r="N2641" s="38"/>
      <c r="O2641" s="35" t="s">
        <v>2314</v>
      </c>
    </row>
    <row r="2642" spans="1:15" x14ac:dyDescent="0.25">
      <c r="A2642" s="35">
        <v>1130401284</v>
      </c>
      <c r="B2642" s="35" t="s">
        <v>4070</v>
      </c>
      <c r="C2642" s="35">
        <v>2023</v>
      </c>
      <c r="D2642" s="36">
        <v>45209.785277777781</v>
      </c>
      <c r="E2642" s="37" t="s">
        <v>2290</v>
      </c>
      <c r="F2642" s="37" t="s">
        <v>5567</v>
      </c>
      <c r="G2642" s="37" t="s">
        <v>5429</v>
      </c>
      <c r="H2642" s="35" t="s">
        <v>3419</v>
      </c>
      <c r="I2642" s="35" t="s">
        <v>3416</v>
      </c>
      <c r="J2642" s="38">
        <v>6.1898734177215198E-2</v>
      </c>
      <c r="K2642" s="35">
        <v>1</v>
      </c>
      <c r="L2642" s="38">
        <f t="shared" si="41"/>
        <v>6.1898734177215198E-2</v>
      </c>
      <c r="M2642" s="35" t="s">
        <v>11</v>
      </c>
      <c r="N2642" s="38"/>
      <c r="O2642" s="35" t="s">
        <v>2314</v>
      </c>
    </row>
    <row r="2643" spans="1:15" x14ac:dyDescent="0.25">
      <c r="A2643" s="35">
        <v>1130401284</v>
      </c>
      <c r="B2643" s="35" t="s">
        <v>4070</v>
      </c>
      <c r="C2643" s="35">
        <v>2023</v>
      </c>
      <c r="D2643" s="36">
        <v>45209.785277777781</v>
      </c>
      <c r="E2643" s="37" t="s">
        <v>2290</v>
      </c>
      <c r="F2643" s="37" t="s">
        <v>5568</v>
      </c>
      <c r="G2643" s="37" t="s">
        <v>5429</v>
      </c>
      <c r="H2643" s="35" t="s">
        <v>3419</v>
      </c>
      <c r="I2643" s="35" t="s">
        <v>3416</v>
      </c>
      <c r="J2643" s="38">
        <v>6.1898734177215198E-2</v>
      </c>
      <c r="K2643" s="35">
        <v>1</v>
      </c>
      <c r="L2643" s="38">
        <f t="shared" si="41"/>
        <v>6.1898734177215198E-2</v>
      </c>
      <c r="M2643" s="35" t="s">
        <v>11</v>
      </c>
      <c r="N2643" s="38"/>
      <c r="O2643" s="35" t="s">
        <v>2314</v>
      </c>
    </row>
    <row r="2644" spans="1:15" x14ac:dyDescent="0.25">
      <c r="A2644" s="35">
        <v>1130401284</v>
      </c>
      <c r="B2644" s="35" t="s">
        <v>4070</v>
      </c>
      <c r="C2644" s="35">
        <v>2023</v>
      </c>
      <c r="D2644" s="36">
        <v>45209.785277777781</v>
      </c>
      <c r="E2644" s="37" t="s">
        <v>2290</v>
      </c>
      <c r="F2644" s="37" t="s">
        <v>5569</v>
      </c>
      <c r="G2644" s="37" t="s">
        <v>5429</v>
      </c>
      <c r="H2644" s="35" t="s">
        <v>3419</v>
      </c>
      <c r="I2644" s="35" t="s">
        <v>3416</v>
      </c>
      <c r="J2644" s="38">
        <v>6.1898734177215198E-2</v>
      </c>
      <c r="K2644" s="35">
        <v>1</v>
      </c>
      <c r="L2644" s="38">
        <f t="shared" si="41"/>
        <v>6.1898734177215198E-2</v>
      </c>
      <c r="M2644" s="35" t="s">
        <v>11</v>
      </c>
      <c r="N2644" s="38"/>
      <c r="O2644" s="35" t="s">
        <v>2314</v>
      </c>
    </row>
    <row r="2645" spans="1:15" x14ac:dyDescent="0.25">
      <c r="A2645" s="35">
        <v>1130401284</v>
      </c>
      <c r="B2645" s="35" t="s">
        <v>4070</v>
      </c>
      <c r="C2645" s="35">
        <v>2023</v>
      </c>
      <c r="D2645" s="36">
        <v>45209.785277777781</v>
      </c>
      <c r="E2645" s="37" t="s">
        <v>2290</v>
      </c>
      <c r="F2645" s="37" t="s">
        <v>5570</v>
      </c>
      <c r="G2645" s="37" t="s">
        <v>5429</v>
      </c>
      <c r="H2645" s="35" t="s">
        <v>3419</v>
      </c>
      <c r="I2645" s="35" t="s">
        <v>3416</v>
      </c>
      <c r="J2645" s="38">
        <v>6.1898734177215198E-2</v>
      </c>
      <c r="K2645" s="35">
        <v>1</v>
      </c>
      <c r="L2645" s="38">
        <f t="shared" si="41"/>
        <v>6.1898734177215198E-2</v>
      </c>
      <c r="M2645" s="35" t="s">
        <v>11</v>
      </c>
      <c r="N2645" s="38"/>
      <c r="O2645" s="35" t="s">
        <v>2314</v>
      </c>
    </row>
    <row r="2646" spans="1:15" x14ac:dyDescent="0.25">
      <c r="A2646" s="35">
        <v>1130401284</v>
      </c>
      <c r="B2646" s="35" t="s">
        <v>4070</v>
      </c>
      <c r="C2646" s="35">
        <v>2023</v>
      </c>
      <c r="D2646" s="36">
        <v>45209.785277777781</v>
      </c>
      <c r="E2646" s="37" t="s">
        <v>2290</v>
      </c>
      <c r="F2646" s="37" t="s">
        <v>5571</v>
      </c>
      <c r="G2646" s="37" t="s">
        <v>5429</v>
      </c>
      <c r="H2646" s="35" t="s">
        <v>3419</v>
      </c>
      <c r="I2646" s="35" t="s">
        <v>3416</v>
      </c>
      <c r="J2646" s="38">
        <v>6.1898734177215198E-2</v>
      </c>
      <c r="K2646" s="35">
        <v>1</v>
      </c>
      <c r="L2646" s="38">
        <f t="shared" si="41"/>
        <v>6.1898734177215198E-2</v>
      </c>
      <c r="M2646" s="35" t="s">
        <v>11</v>
      </c>
      <c r="N2646" s="38"/>
      <c r="O2646" s="35" t="s">
        <v>2314</v>
      </c>
    </row>
    <row r="2647" spans="1:15" x14ac:dyDescent="0.25">
      <c r="A2647" s="35">
        <v>1130401284</v>
      </c>
      <c r="B2647" s="35" t="s">
        <v>4070</v>
      </c>
      <c r="C2647" s="35">
        <v>2023</v>
      </c>
      <c r="D2647" s="36">
        <v>45209.785277777781</v>
      </c>
      <c r="E2647" s="37" t="s">
        <v>2290</v>
      </c>
      <c r="F2647" s="37" t="s">
        <v>5572</v>
      </c>
      <c r="G2647" s="37" t="s">
        <v>5429</v>
      </c>
      <c r="H2647" s="35" t="s">
        <v>3419</v>
      </c>
      <c r="I2647" s="35" t="s">
        <v>3416</v>
      </c>
      <c r="J2647" s="38">
        <v>6.1898734177215198E-2</v>
      </c>
      <c r="K2647" s="35">
        <v>1</v>
      </c>
      <c r="L2647" s="38">
        <f t="shared" si="41"/>
        <v>6.1898734177215198E-2</v>
      </c>
      <c r="M2647" s="35" t="s">
        <v>11</v>
      </c>
      <c r="N2647" s="38"/>
      <c r="O2647" s="35" t="s">
        <v>2314</v>
      </c>
    </row>
    <row r="2648" spans="1:15" x14ac:dyDescent="0.25">
      <c r="A2648" s="35">
        <v>1130401284</v>
      </c>
      <c r="B2648" s="35" t="s">
        <v>4070</v>
      </c>
      <c r="C2648" s="35">
        <v>2023</v>
      </c>
      <c r="D2648" s="36">
        <v>45209.785277777781</v>
      </c>
      <c r="E2648" s="37" t="s">
        <v>2290</v>
      </c>
      <c r="F2648" s="37" t="s">
        <v>5573</v>
      </c>
      <c r="G2648" s="37" t="s">
        <v>5429</v>
      </c>
      <c r="H2648" s="35" t="s">
        <v>3419</v>
      </c>
      <c r="I2648" s="35" t="s">
        <v>3416</v>
      </c>
      <c r="J2648" s="38">
        <v>6.1898734177215198E-2</v>
      </c>
      <c r="K2648" s="35">
        <v>1</v>
      </c>
      <c r="L2648" s="38">
        <f t="shared" si="41"/>
        <v>6.1898734177215198E-2</v>
      </c>
      <c r="M2648" s="35" t="s">
        <v>11</v>
      </c>
      <c r="N2648" s="38"/>
      <c r="O2648" s="35" t="s">
        <v>2314</v>
      </c>
    </row>
    <row r="2649" spans="1:15" x14ac:dyDescent="0.25">
      <c r="A2649" s="35">
        <v>1130401284</v>
      </c>
      <c r="B2649" s="35" t="s">
        <v>4070</v>
      </c>
      <c r="C2649" s="35">
        <v>2023</v>
      </c>
      <c r="D2649" s="36">
        <v>45209.785277777781</v>
      </c>
      <c r="E2649" s="37" t="s">
        <v>2290</v>
      </c>
      <c r="F2649" s="37" t="s">
        <v>5574</v>
      </c>
      <c r="G2649" s="37" t="s">
        <v>5429</v>
      </c>
      <c r="H2649" s="35" t="s">
        <v>3419</v>
      </c>
      <c r="I2649" s="35" t="s">
        <v>3416</v>
      </c>
      <c r="J2649" s="38">
        <v>6.1898734177215198E-2</v>
      </c>
      <c r="K2649" s="35">
        <v>1</v>
      </c>
      <c r="L2649" s="38">
        <f t="shared" si="41"/>
        <v>6.1898734177215198E-2</v>
      </c>
      <c r="M2649" s="35" t="s">
        <v>11</v>
      </c>
      <c r="N2649" s="38"/>
      <c r="O2649" s="35" t="s">
        <v>2314</v>
      </c>
    </row>
    <row r="2650" spans="1:15" x14ac:dyDescent="0.25">
      <c r="A2650" s="35">
        <v>1130401284</v>
      </c>
      <c r="B2650" s="35" t="s">
        <v>4070</v>
      </c>
      <c r="C2650" s="35">
        <v>2023</v>
      </c>
      <c r="D2650" s="36">
        <v>45209.785277777781</v>
      </c>
      <c r="E2650" s="37" t="s">
        <v>2290</v>
      </c>
      <c r="F2650" s="37" t="s">
        <v>5575</v>
      </c>
      <c r="G2650" s="37" t="s">
        <v>5429</v>
      </c>
      <c r="H2650" s="35" t="s">
        <v>3419</v>
      </c>
      <c r="I2650" s="35" t="s">
        <v>3416</v>
      </c>
      <c r="J2650" s="38">
        <v>6.1898734177215198E-2</v>
      </c>
      <c r="K2650" s="35">
        <v>1</v>
      </c>
      <c r="L2650" s="38">
        <f t="shared" si="41"/>
        <v>6.1898734177215198E-2</v>
      </c>
      <c r="M2650" s="35" t="s">
        <v>11</v>
      </c>
      <c r="N2650" s="38"/>
      <c r="O2650" s="35" t="s">
        <v>2314</v>
      </c>
    </row>
    <row r="2651" spans="1:15" x14ac:dyDescent="0.25">
      <c r="A2651" s="35">
        <v>1130401284</v>
      </c>
      <c r="B2651" s="35" t="s">
        <v>4070</v>
      </c>
      <c r="C2651" s="35">
        <v>2023</v>
      </c>
      <c r="D2651" s="36">
        <v>45209.785277777781</v>
      </c>
      <c r="E2651" s="37" t="s">
        <v>2290</v>
      </c>
      <c r="F2651" s="37" t="s">
        <v>5576</v>
      </c>
      <c r="G2651" s="37" t="s">
        <v>5429</v>
      </c>
      <c r="H2651" s="35" t="s">
        <v>3419</v>
      </c>
      <c r="I2651" s="35" t="s">
        <v>3416</v>
      </c>
      <c r="J2651" s="38">
        <v>6.1898734177215198E-2</v>
      </c>
      <c r="K2651" s="35">
        <v>1</v>
      </c>
      <c r="L2651" s="38">
        <f t="shared" si="41"/>
        <v>6.1898734177215198E-2</v>
      </c>
      <c r="M2651" s="35" t="s">
        <v>11</v>
      </c>
      <c r="N2651" s="38"/>
      <c r="O2651" s="35" t="s">
        <v>2314</v>
      </c>
    </row>
    <row r="2652" spans="1:15" x14ac:dyDescent="0.25">
      <c r="A2652" s="35">
        <v>1130401284</v>
      </c>
      <c r="B2652" s="35" t="s">
        <v>4070</v>
      </c>
      <c r="C2652" s="35">
        <v>2023</v>
      </c>
      <c r="D2652" s="36">
        <v>45209.785277777781</v>
      </c>
      <c r="E2652" s="37" t="s">
        <v>2290</v>
      </c>
      <c r="F2652" s="37" t="s">
        <v>5577</v>
      </c>
      <c r="G2652" s="37" t="s">
        <v>5429</v>
      </c>
      <c r="H2652" s="35" t="s">
        <v>3419</v>
      </c>
      <c r="I2652" s="35" t="s">
        <v>3416</v>
      </c>
      <c r="J2652" s="38">
        <v>6.1898734177215198E-2</v>
      </c>
      <c r="K2652" s="35">
        <v>1</v>
      </c>
      <c r="L2652" s="38">
        <f t="shared" si="41"/>
        <v>6.1898734177215198E-2</v>
      </c>
      <c r="M2652" s="35" t="s">
        <v>11</v>
      </c>
      <c r="N2652" s="38"/>
      <c r="O2652" s="35" t="s">
        <v>2314</v>
      </c>
    </row>
    <row r="2653" spans="1:15" x14ac:dyDescent="0.25">
      <c r="A2653" s="35">
        <v>1130401284</v>
      </c>
      <c r="B2653" s="35" t="s">
        <v>4070</v>
      </c>
      <c r="C2653" s="35">
        <v>2023</v>
      </c>
      <c r="D2653" s="36">
        <v>45209.785277777781</v>
      </c>
      <c r="E2653" s="37" t="s">
        <v>2290</v>
      </c>
      <c r="F2653" s="37" t="s">
        <v>5578</v>
      </c>
      <c r="G2653" s="37" t="s">
        <v>5429</v>
      </c>
      <c r="H2653" s="35" t="s">
        <v>3419</v>
      </c>
      <c r="I2653" s="35" t="s">
        <v>3416</v>
      </c>
      <c r="J2653" s="38">
        <v>9.2848101265822783E-2</v>
      </c>
      <c r="K2653" s="35">
        <v>1</v>
      </c>
      <c r="L2653" s="38">
        <f t="shared" si="41"/>
        <v>9.2848101265822783E-2</v>
      </c>
      <c r="M2653" s="35" t="s">
        <v>11</v>
      </c>
      <c r="N2653" s="38"/>
      <c r="O2653" s="35" t="s">
        <v>2314</v>
      </c>
    </row>
    <row r="2654" spans="1:15" x14ac:dyDescent="0.25">
      <c r="A2654" s="35">
        <v>1130401284</v>
      </c>
      <c r="B2654" s="35" t="s">
        <v>4070</v>
      </c>
      <c r="C2654" s="35">
        <v>2023</v>
      </c>
      <c r="D2654" s="36">
        <v>45209.785277777781</v>
      </c>
      <c r="E2654" s="37" t="s">
        <v>2290</v>
      </c>
      <c r="F2654" s="37" t="s">
        <v>5579</v>
      </c>
      <c r="G2654" s="37" t="s">
        <v>5429</v>
      </c>
      <c r="H2654" s="35" t="s">
        <v>3419</v>
      </c>
      <c r="I2654" s="35" t="s">
        <v>3416</v>
      </c>
      <c r="J2654" s="38">
        <v>6.1898734177215198E-2</v>
      </c>
      <c r="K2654" s="35">
        <v>1</v>
      </c>
      <c r="L2654" s="38">
        <f t="shared" si="41"/>
        <v>6.1898734177215198E-2</v>
      </c>
      <c r="M2654" s="35" t="s">
        <v>11</v>
      </c>
      <c r="N2654" s="38"/>
      <c r="O2654" s="35" t="s">
        <v>2314</v>
      </c>
    </row>
    <row r="2655" spans="1:15" x14ac:dyDescent="0.25">
      <c r="A2655" s="35">
        <v>1130401284</v>
      </c>
      <c r="B2655" s="35" t="s">
        <v>4070</v>
      </c>
      <c r="C2655" s="35">
        <v>2023</v>
      </c>
      <c r="D2655" s="36">
        <v>45209.785277777781</v>
      </c>
      <c r="E2655" s="37" t="s">
        <v>2290</v>
      </c>
      <c r="F2655" s="37" t="s">
        <v>5580</v>
      </c>
      <c r="G2655" s="37" t="s">
        <v>5429</v>
      </c>
      <c r="H2655" s="35" t="s">
        <v>3419</v>
      </c>
      <c r="I2655" s="35" t="s">
        <v>3416</v>
      </c>
      <c r="J2655" s="38">
        <v>9.2848101265822783E-2</v>
      </c>
      <c r="K2655" s="35">
        <v>1</v>
      </c>
      <c r="L2655" s="38">
        <f t="shared" si="41"/>
        <v>9.2848101265822783E-2</v>
      </c>
      <c r="M2655" s="35" t="s">
        <v>11</v>
      </c>
      <c r="N2655" s="38"/>
      <c r="O2655" s="35" t="s">
        <v>2314</v>
      </c>
    </row>
    <row r="2656" spans="1:15" x14ac:dyDescent="0.25">
      <c r="A2656" s="35">
        <v>1130401284</v>
      </c>
      <c r="B2656" s="35" t="s">
        <v>4070</v>
      </c>
      <c r="C2656" s="35">
        <v>2023</v>
      </c>
      <c r="D2656" s="36">
        <v>45209.785277777781</v>
      </c>
      <c r="E2656" s="37" t="s">
        <v>2290</v>
      </c>
      <c r="F2656" s="37" t="s">
        <v>5581</v>
      </c>
      <c r="G2656" s="37" t="s">
        <v>5429</v>
      </c>
      <c r="H2656" s="35" t="s">
        <v>3419</v>
      </c>
      <c r="I2656" s="35" t="s">
        <v>3416</v>
      </c>
      <c r="J2656" s="38">
        <v>9.2848101265822783E-2</v>
      </c>
      <c r="K2656" s="35">
        <v>1</v>
      </c>
      <c r="L2656" s="38">
        <f t="shared" si="41"/>
        <v>9.2848101265822783E-2</v>
      </c>
      <c r="M2656" s="35" t="s">
        <v>11</v>
      </c>
      <c r="N2656" s="38"/>
      <c r="O2656" s="35" t="s">
        <v>2314</v>
      </c>
    </row>
    <row r="2657" spans="1:15" x14ac:dyDescent="0.25">
      <c r="A2657" s="35">
        <v>1130401284</v>
      </c>
      <c r="B2657" s="35" t="s">
        <v>4070</v>
      </c>
      <c r="C2657" s="35">
        <v>2023</v>
      </c>
      <c r="D2657" s="36">
        <v>45209.785277777781</v>
      </c>
      <c r="E2657" s="37" t="s">
        <v>2290</v>
      </c>
      <c r="F2657" s="37" t="s">
        <v>5582</v>
      </c>
      <c r="G2657" s="37" t="s">
        <v>5429</v>
      </c>
      <c r="H2657" s="35" t="s">
        <v>3419</v>
      </c>
      <c r="I2657" s="35" t="s">
        <v>3416</v>
      </c>
      <c r="J2657" s="38">
        <v>9.2848101265822783E-2</v>
      </c>
      <c r="K2657" s="35">
        <v>1</v>
      </c>
      <c r="L2657" s="38">
        <f t="shared" si="41"/>
        <v>9.2848101265822783E-2</v>
      </c>
      <c r="M2657" s="35" t="s">
        <v>11</v>
      </c>
      <c r="N2657" s="38"/>
      <c r="O2657" s="35" t="s">
        <v>2314</v>
      </c>
    </row>
    <row r="2658" spans="1:15" x14ac:dyDescent="0.25">
      <c r="A2658" s="35">
        <v>1130401284</v>
      </c>
      <c r="B2658" s="35" t="s">
        <v>4070</v>
      </c>
      <c r="C2658" s="35">
        <v>2023</v>
      </c>
      <c r="D2658" s="36">
        <v>45209.785277777781</v>
      </c>
      <c r="E2658" s="37" t="s">
        <v>2290</v>
      </c>
      <c r="F2658" s="37" t="s">
        <v>5583</v>
      </c>
      <c r="G2658" s="37" t="s">
        <v>5429</v>
      </c>
      <c r="H2658" s="35" t="s">
        <v>3419</v>
      </c>
      <c r="I2658" s="35" t="s">
        <v>3416</v>
      </c>
      <c r="J2658" s="38">
        <v>9.2848101265822783E-2</v>
      </c>
      <c r="K2658" s="35">
        <v>1</v>
      </c>
      <c r="L2658" s="38">
        <f t="shared" si="41"/>
        <v>9.2848101265822783E-2</v>
      </c>
      <c r="M2658" s="35" t="s">
        <v>11</v>
      </c>
      <c r="N2658" s="38"/>
      <c r="O2658" s="35" t="s">
        <v>2314</v>
      </c>
    </row>
    <row r="2659" spans="1:15" x14ac:dyDescent="0.25">
      <c r="A2659" s="35">
        <v>1130401284</v>
      </c>
      <c r="B2659" s="35" t="s">
        <v>4070</v>
      </c>
      <c r="C2659" s="35">
        <v>2023</v>
      </c>
      <c r="D2659" s="36">
        <v>45209.785277777781</v>
      </c>
      <c r="E2659" s="37" t="s">
        <v>2290</v>
      </c>
      <c r="F2659" s="37" t="s">
        <v>5584</v>
      </c>
      <c r="G2659" s="37" t="s">
        <v>5429</v>
      </c>
      <c r="H2659" s="35" t="s">
        <v>3419</v>
      </c>
      <c r="I2659" s="35" t="s">
        <v>3416</v>
      </c>
      <c r="J2659" s="38">
        <v>6.1898734177215198E-2</v>
      </c>
      <c r="K2659" s="35">
        <v>1</v>
      </c>
      <c r="L2659" s="38">
        <f t="shared" si="41"/>
        <v>6.1898734177215198E-2</v>
      </c>
      <c r="M2659" s="35" t="s">
        <v>11</v>
      </c>
      <c r="N2659" s="38"/>
      <c r="O2659" s="35" t="s">
        <v>2314</v>
      </c>
    </row>
    <row r="2660" spans="1:15" x14ac:dyDescent="0.25">
      <c r="A2660" s="35">
        <v>1130401284</v>
      </c>
      <c r="B2660" s="35" t="s">
        <v>4070</v>
      </c>
      <c r="C2660" s="35">
        <v>2023</v>
      </c>
      <c r="D2660" s="36">
        <v>45209.785277777781</v>
      </c>
      <c r="E2660" s="37" t="s">
        <v>2290</v>
      </c>
      <c r="F2660" s="37" t="s">
        <v>5585</v>
      </c>
      <c r="G2660" s="37" t="s">
        <v>5429</v>
      </c>
      <c r="H2660" s="35" t="s">
        <v>3419</v>
      </c>
      <c r="I2660" s="35" t="s">
        <v>3416</v>
      </c>
      <c r="J2660" s="38">
        <v>9.2848101265822783E-2</v>
      </c>
      <c r="K2660" s="35">
        <v>1</v>
      </c>
      <c r="L2660" s="38">
        <f t="shared" si="41"/>
        <v>9.2848101265822783E-2</v>
      </c>
      <c r="M2660" s="35" t="s">
        <v>11</v>
      </c>
      <c r="N2660" s="38"/>
      <c r="O2660" s="35" t="s">
        <v>2314</v>
      </c>
    </row>
    <row r="2661" spans="1:15" x14ac:dyDescent="0.25">
      <c r="A2661" s="35">
        <v>1130401284</v>
      </c>
      <c r="B2661" s="35" t="s">
        <v>4070</v>
      </c>
      <c r="C2661" s="35">
        <v>2023</v>
      </c>
      <c r="D2661" s="36">
        <v>45209.785277777781</v>
      </c>
      <c r="E2661" s="37" t="s">
        <v>2290</v>
      </c>
      <c r="F2661" s="37" t="s">
        <v>5586</v>
      </c>
      <c r="G2661" s="37" t="s">
        <v>5429</v>
      </c>
      <c r="H2661" s="35" t="s">
        <v>3419</v>
      </c>
      <c r="I2661" s="35" t="s">
        <v>3416</v>
      </c>
      <c r="J2661" s="38">
        <v>9.2848101265822783E-2</v>
      </c>
      <c r="K2661" s="35">
        <v>1</v>
      </c>
      <c r="L2661" s="38">
        <f t="shared" si="41"/>
        <v>9.2848101265822783E-2</v>
      </c>
      <c r="M2661" s="35" t="s">
        <v>11</v>
      </c>
      <c r="N2661" s="38"/>
      <c r="O2661" s="35" t="s">
        <v>2314</v>
      </c>
    </row>
    <row r="2662" spans="1:15" x14ac:dyDescent="0.25">
      <c r="A2662" s="35">
        <v>1130401284</v>
      </c>
      <c r="B2662" s="35" t="s">
        <v>4070</v>
      </c>
      <c r="C2662" s="35">
        <v>2023</v>
      </c>
      <c r="D2662" s="36">
        <v>45209.785277777781</v>
      </c>
      <c r="E2662" s="37" t="s">
        <v>2290</v>
      </c>
      <c r="F2662" s="37" t="s">
        <v>5587</v>
      </c>
      <c r="G2662" s="37" t="s">
        <v>5429</v>
      </c>
      <c r="H2662" s="35" t="s">
        <v>3419</v>
      </c>
      <c r="I2662" s="35" t="s">
        <v>3416</v>
      </c>
      <c r="J2662" s="38">
        <v>9.2848101265822783E-2</v>
      </c>
      <c r="K2662" s="35">
        <v>1</v>
      </c>
      <c r="L2662" s="38">
        <f t="shared" si="41"/>
        <v>9.2848101265822783E-2</v>
      </c>
      <c r="M2662" s="35" t="s">
        <v>11</v>
      </c>
      <c r="N2662" s="38"/>
      <c r="O2662" s="35" t="s">
        <v>2314</v>
      </c>
    </row>
    <row r="2663" spans="1:15" x14ac:dyDescent="0.25">
      <c r="A2663" s="35">
        <v>1130401284</v>
      </c>
      <c r="B2663" s="35" t="s">
        <v>4070</v>
      </c>
      <c r="C2663" s="35">
        <v>2023</v>
      </c>
      <c r="D2663" s="36">
        <v>45209.785277777781</v>
      </c>
      <c r="E2663" s="37" t="s">
        <v>2290</v>
      </c>
      <c r="F2663" s="37" t="s">
        <v>5588</v>
      </c>
      <c r="G2663" s="37" t="s">
        <v>5429</v>
      </c>
      <c r="H2663" s="35" t="s">
        <v>3419</v>
      </c>
      <c r="I2663" s="35" t="s">
        <v>3416</v>
      </c>
      <c r="J2663" s="38">
        <v>9.2848101265822783E-2</v>
      </c>
      <c r="K2663" s="35">
        <v>1</v>
      </c>
      <c r="L2663" s="38">
        <f t="shared" si="41"/>
        <v>9.2848101265822783E-2</v>
      </c>
      <c r="M2663" s="35" t="s">
        <v>11</v>
      </c>
      <c r="N2663" s="38"/>
      <c r="O2663" s="35" t="s">
        <v>2314</v>
      </c>
    </row>
    <row r="2664" spans="1:15" x14ac:dyDescent="0.25">
      <c r="A2664" s="35">
        <v>1130401284</v>
      </c>
      <c r="B2664" s="35" t="s">
        <v>4070</v>
      </c>
      <c r="C2664" s="35">
        <v>2023</v>
      </c>
      <c r="D2664" s="36">
        <v>45209.785277777781</v>
      </c>
      <c r="E2664" s="37" t="s">
        <v>2290</v>
      </c>
      <c r="F2664" s="37" t="s">
        <v>5589</v>
      </c>
      <c r="G2664" s="37" t="s">
        <v>5429</v>
      </c>
      <c r="H2664" s="35" t="s">
        <v>3419</v>
      </c>
      <c r="I2664" s="35" t="s">
        <v>3416</v>
      </c>
      <c r="J2664" s="38">
        <v>9.2848101265822783E-2</v>
      </c>
      <c r="K2664" s="35">
        <v>1</v>
      </c>
      <c r="L2664" s="38">
        <f t="shared" si="41"/>
        <v>9.2848101265822783E-2</v>
      </c>
      <c r="M2664" s="35" t="s">
        <v>11</v>
      </c>
      <c r="N2664" s="38"/>
      <c r="O2664" s="35" t="s">
        <v>2314</v>
      </c>
    </row>
    <row r="2665" spans="1:15" x14ac:dyDescent="0.25">
      <c r="A2665" s="35">
        <v>1130401284</v>
      </c>
      <c r="B2665" s="35" t="s">
        <v>4070</v>
      </c>
      <c r="C2665" s="35">
        <v>2023</v>
      </c>
      <c r="D2665" s="36">
        <v>45209.785277777781</v>
      </c>
      <c r="E2665" s="37" t="s">
        <v>2290</v>
      </c>
      <c r="F2665" s="37" t="s">
        <v>5590</v>
      </c>
      <c r="G2665" s="37" t="s">
        <v>5429</v>
      </c>
      <c r="H2665" s="35" t="s">
        <v>3419</v>
      </c>
      <c r="I2665" s="35" t="s">
        <v>3416</v>
      </c>
      <c r="J2665" s="38">
        <v>9.2848101265822783E-2</v>
      </c>
      <c r="K2665" s="35">
        <v>1</v>
      </c>
      <c r="L2665" s="38">
        <f t="shared" si="41"/>
        <v>9.2848101265822783E-2</v>
      </c>
      <c r="M2665" s="35" t="s">
        <v>11</v>
      </c>
      <c r="N2665" s="38"/>
      <c r="O2665" s="35" t="s">
        <v>2314</v>
      </c>
    </row>
    <row r="2666" spans="1:15" x14ac:dyDescent="0.25">
      <c r="A2666" s="35">
        <v>1130401284</v>
      </c>
      <c r="B2666" s="35" t="s">
        <v>4070</v>
      </c>
      <c r="C2666" s="35">
        <v>2023</v>
      </c>
      <c r="D2666" s="36">
        <v>45209.785277777781</v>
      </c>
      <c r="E2666" s="37" t="s">
        <v>2290</v>
      </c>
      <c r="F2666" s="37" t="s">
        <v>5591</v>
      </c>
      <c r="G2666" s="37" t="s">
        <v>5429</v>
      </c>
      <c r="H2666" s="35" t="s">
        <v>3419</v>
      </c>
      <c r="I2666" s="35" t="s">
        <v>3416</v>
      </c>
      <c r="J2666" s="38">
        <v>9.2848101265822783E-2</v>
      </c>
      <c r="K2666" s="35">
        <v>1</v>
      </c>
      <c r="L2666" s="38">
        <f t="shared" si="41"/>
        <v>9.2848101265822783E-2</v>
      </c>
      <c r="M2666" s="35" t="s">
        <v>11</v>
      </c>
      <c r="N2666" s="38"/>
      <c r="O2666" s="35" t="s">
        <v>2314</v>
      </c>
    </row>
    <row r="2667" spans="1:15" x14ac:dyDescent="0.25">
      <c r="A2667" s="35">
        <v>1130401284</v>
      </c>
      <c r="B2667" s="35" t="s">
        <v>4070</v>
      </c>
      <c r="C2667" s="35">
        <v>2023</v>
      </c>
      <c r="D2667" s="36">
        <v>45209.785277777781</v>
      </c>
      <c r="E2667" s="37" t="s">
        <v>2290</v>
      </c>
      <c r="F2667" s="37" t="s">
        <v>5592</v>
      </c>
      <c r="G2667" s="37" t="s">
        <v>5429</v>
      </c>
      <c r="H2667" s="35" t="s">
        <v>3419</v>
      </c>
      <c r="I2667" s="35" t="s">
        <v>3416</v>
      </c>
      <c r="J2667" s="38">
        <v>9.2848101265822783E-2</v>
      </c>
      <c r="K2667" s="35">
        <v>1</v>
      </c>
      <c r="L2667" s="38">
        <f t="shared" si="41"/>
        <v>9.2848101265822783E-2</v>
      </c>
      <c r="M2667" s="35" t="s">
        <v>11</v>
      </c>
      <c r="N2667" s="38"/>
      <c r="O2667" s="35" t="s">
        <v>2314</v>
      </c>
    </row>
    <row r="2668" spans="1:15" x14ac:dyDescent="0.25">
      <c r="A2668" s="35">
        <v>1130401284</v>
      </c>
      <c r="B2668" s="35" t="s">
        <v>4070</v>
      </c>
      <c r="C2668" s="35">
        <v>2023</v>
      </c>
      <c r="D2668" s="36">
        <v>45209.785277777781</v>
      </c>
      <c r="E2668" s="37" t="s">
        <v>2290</v>
      </c>
      <c r="F2668" s="37" t="s">
        <v>5593</v>
      </c>
      <c r="G2668" s="37" t="s">
        <v>5429</v>
      </c>
      <c r="H2668" s="35" t="s">
        <v>3419</v>
      </c>
      <c r="I2668" s="35" t="s">
        <v>3416</v>
      </c>
      <c r="J2668" s="38">
        <v>9.2848101265822783E-2</v>
      </c>
      <c r="K2668" s="35">
        <v>1</v>
      </c>
      <c r="L2668" s="38">
        <f t="shared" si="41"/>
        <v>9.2848101265822783E-2</v>
      </c>
      <c r="M2668" s="35" t="s">
        <v>11</v>
      </c>
      <c r="N2668" s="38"/>
      <c r="O2668" s="35" t="s">
        <v>2314</v>
      </c>
    </row>
    <row r="2669" spans="1:15" x14ac:dyDescent="0.25">
      <c r="A2669" s="35">
        <v>1130401284</v>
      </c>
      <c r="B2669" s="35" t="s">
        <v>4070</v>
      </c>
      <c r="C2669" s="35">
        <v>2023</v>
      </c>
      <c r="D2669" s="36">
        <v>45209.785277777781</v>
      </c>
      <c r="E2669" s="37" t="s">
        <v>2290</v>
      </c>
      <c r="F2669" s="37" t="s">
        <v>5594</v>
      </c>
      <c r="G2669" s="37" t="s">
        <v>5429</v>
      </c>
      <c r="H2669" s="35" t="s">
        <v>3419</v>
      </c>
      <c r="I2669" s="35" t="s">
        <v>3416</v>
      </c>
      <c r="J2669" s="38">
        <v>6.1898734177215198E-2</v>
      </c>
      <c r="K2669" s="35">
        <v>1</v>
      </c>
      <c r="L2669" s="38">
        <f t="shared" si="41"/>
        <v>6.1898734177215198E-2</v>
      </c>
      <c r="M2669" s="35" t="s">
        <v>11</v>
      </c>
      <c r="N2669" s="38"/>
      <c r="O2669" s="35" t="s">
        <v>2314</v>
      </c>
    </row>
    <row r="2670" spans="1:15" x14ac:dyDescent="0.25">
      <c r="A2670" s="35">
        <v>1130401284</v>
      </c>
      <c r="B2670" s="35" t="s">
        <v>4070</v>
      </c>
      <c r="C2670" s="35">
        <v>2023</v>
      </c>
      <c r="D2670" s="36">
        <v>45209.785277777781</v>
      </c>
      <c r="E2670" s="37" t="s">
        <v>2290</v>
      </c>
      <c r="F2670" s="37" t="s">
        <v>5595</v>
      </c>
      <c r="G2670" s="37" t="s">
        <v>5429</v>
      </c>
      <c r="H2670" s="35" t="s">
        <v>3419</v>
      </c>
      <c r="I2670" s="35" t="s">
        <v>3416</v>
      </c>
      <c r="J2670" s="38">
        <v>6.1898734177215198E-2</v>
      </c>
      <c r="K2670" s="35">
        <v>1</v>
      </c>
      <c r="L2670" s="38">
        <f t="shared" si="41"/>
        <v>6.1898734177215198E-2</v>
      </c>
      <c r="M2670" s="35" t="s">
        <v>11</v>
      </c>
      <c r="N2670" s="38"/>
      <c r="O2670" s="35" t="s">
        <v>2314</v>
      </c>
    </row>
    <row r="2671" spans="1:15" x14ac:dyDescent="0.25">
      <c r="A2671" s="35">
        <v>1130401284</v>
      </c>
      <c r="B2671" s="35" t="s">
        <v>4070</v>
      </c>
      <c r="C2671" s="35">
        <v>2023</v>
      </c>
      <c r="D2671" s="36">
        <v>45209.785277777781</v>
      </c>
      <c r="E2671" s="37" t="s">
        <v>2290</v>
      </c>
      <c r="F2671" s="37" t="s">
        <v>5596</v>
      </c>
      <c r="G2671" s="37" t="s">
        <v>5429</v>
      </c>
      <c r="H2671" s="35" t="s">
        <v>3419</v>
      </c>
      <c r="I2671" s="35" t="s">
        <v>3416</v>
      </c>
      <c r="J2671" s="38">
        <v>6.1898734177215198E-2</v>
      </c>
      <c r="K2671" s="35">
        <v>1</v>
      </c>
      <c r="L2671" s="38">
        <f t="shared" si="41"/>
        <v>6.1898734177215198E-2</v>
      </c>
      <c r="M2671" s="35" t="s">
        <v>11</v>
      </c>
      <c r="N2671" s="38"/>
      <c r="O2671" s="35" t="s">
        <v>2314</v>
      </c>
    </row>
    <row r="2672" spans="1:15" x14ac:dyDescent="0.25">
      <c r="A2672" s="35">
        <v>1130401284</v>
      </c>
      <c r="B2672" s="35" t="s">
        <v>4070</v>
      </c>
      <c r="C2672" s="35">
        <v>2023</v>
      </c>
      <c r="D2672" s="36">
        <v>45209.785277777781</v>
      </c>
      <c r="E2672" s="37" t="s">
        <v>2290</v>
      </c>
      <c r="F2672" s="37" t="s">
        <v>5597</v>
      </c>
      <c r="G2672" s="37" t="s">
        <v>5429</v>
      </c>
      <c r="H2672" s="35" t="s">
        <v>3419</v>
      </c>
      <c r="I2672" s="35" t="s">
        <v>3416</v>
      </c>
      <c r="J2672" s="38">
        <v>6.1898734177215198E-2</v>
      </c>
      <c r="K2672" s="35">
        <v>1</v>
      </c>
      <c r="L2672" s="38">
        <f t="shared" si="41"/>
        <v>6.1898734177215198E-2</v>
      </c>
      <c r="M2672" s="35" t="s">
        <v>11</v>
      </c>
      <c r="N2672" s="38"/>
      <c r="O2672" s="35" t="s">
        <v>2314</v>
      </c>
    </row>
    <row r="2673" spans="1:15" x14ac:dyDescent="0.25">
      <c r="A2673" s="35">
        <v>1130401284</v>
      </c>
      <c r="B2673" s="35" t="s">
        <v>4070</v>
      </c>
      <c r="C2673" s="35">
        <v>2023</v>
      </c>
      <c r="D2673" s="36">
        <v>45209.785277777781</v>
      </c>
      <c r="E2673" s="37" t="s">
        <v>2290</v>
      </c>
      <c r="F2673" s="37" t="s">
        <v>5598</v>
      </c>
      <c r="G2673" s="37" t="s">
        <v>5429</v>
      </c>
      <c r="H2673" s="35" t="s">
        <v>3419</v>
      </c>
      <c r="I2673" s="35" t="s">
        <v>3416</v>
      </c>
      <c r="J2673" s="38">
        <v>6.1898734177215198E-2</v>
      </c>
      <c r="K2673" s="35">
        <v>1</v>
      </c>
      <c r="L2673" s="38">
        <f t="shared" si="41"/>
        <v>6.1898734177215198E-2</v>
      </c>
      <c r="M2673" s="35" t="s">
        <v>11</v>
      </c>
      <c r="N2673" s="38"/>
      <c r="O2673" s="35" t="s">
        <v>2314</v>
      </c>
    </row>
    <row r="2674" spans="1:15" x14ac:dyDescent="0.25">
      <c r="A2674" s="35">
        <v>1130401284</v>
      </c>
      <c r="B2674" s="35" t="s">
        <v>4070</v>
      </c>
      <c r="C2674" s="35">
        <v>2023</v>
      </c>
      <c r="D2674" s="36">
        <v>45209.785277777781</v>
      </c>
      <c r="E2674" s="37" t="s">
        <v>2290</v>
      </c>
      <c r="F2674" s="37" t="s">
        <v>5599</v>
      </c>
      <c r="G2674" s="37" t="s">
        <v>5429</v>
      </c>
      <c r="H2674" s="35" t="s">
        <v>3419</v>
      </c>
      <c r="I2674" s="35" t="s">
        <v>3416</v>
      </c>
      <c r="J2674" s="38">
        <v>6.1898734177215198E-2</v>
      </c>
      <c r="K2674" s="35">
        <v>1</v>
      </c>
      <c r="L2674" s="38">
        <f t="shared" si="41"/>
        <v>6.1898734177215198E-2</v>
      </c>
      <c r="M2674" s="35" t="s">
        <v>11</v>
      </c>
      <c r="N2674" s="38"/>
      <c r="O2674" s="35" t="s">
        <v>2314</v>
      </c>
    </row>
    <row r="2675" spans="1:15" x14ac:dyDescent="0.25">
      <c r="A2675" s="35">
        <v>1130277526</v>
      </c>
      <c r="B2675" s="35" t="s">
        <v>4070</v>
      </c>
      <c r="C2675" s="35">
        <v>2023</v>
      </c>
      <c r="D2675" s="36">
        <v>45208.902129629627</v>
      </c>
      <c r="E2675" s="37" t="s">
        <v>781</v>
      </c>
      <c r="F2675" s="37" t="s">
        <v>5601</v>
      </c>
      <c r="G2675" s="37" t="s">
        <v>3963</v>
      </c>
      <c r="H2675" s="35" t="s">
        <v>3419</v>
      </c>
      <c r="I2675" s="35" t="s">
        <v>3416</v>
      </c>
      <c r="J2675" s="38">
        <v>17.64</v>
      </c>
      <c r="K2675" s="35">
        <v>2</v>
      </c>
      <c r="L2675" s="38">
        <f t="shared" si="41"/>
        <v>35.28</v>
      </c>
      <c r="M2675" s="35" t="s">
        <v>11</v>
      </c>
      <c r="N2675" s="38"/>
      <c r="O2675" s="35" t="s">
        <v>12</v>
      </c>
    </row>
    <row r="2676" spans="1:15" x14ac:dyDescent="0.25">
      <c r="A2676" s="35">
        <v>1130072252</v>
      </c>
      <c r="B2676" s="35" t="s">
        <v>4070</v>
      </c>
      <c r="C2676" s="35">
        <v>2023</v>
      </c>
      <c r="D2676" s="36">
        <v>45207.144456018519</v>
      </c>
      <c r="E2676" s="37" t="s">
        <v>2850</v>
      </c>
      <c r="F2676" s="37" t="s">
        <v>5603</v>
      </c>
      <c r="G2676" s="37" t="s">
        <v>4017</v>
      </c>
      <c r="H2676" s="35" t="s">
        <v>3419</v>
      </c>
      <c r="I2676" s="35" t="s">
        <v>3416</v>
      </c>
      <c r="J2676" s="38">
        <v>5.8082191780821919E-2</v>
      </c>
      <c r="K2676" s="35">
        <v>1</v>
      </c>
      <c r="L2676" s="38">
        <f t="shared" si="41"/>
        <v>5.8082191780821919E-2</v>
      </c>
      <c r="M2676" s="35" t="s">
        <v>11</v>
      </c>
      <c r="N2676" s="38"/>
      <c r="O2676" s="35" t="s">
        <v>12</v>
      </c>
    </row>
    <row r="2677" spans="1:15" x14ac:dyDescent="0.25">
      <c r="A2677" s="35">
        <v>1130072252</v>
      </c>
      <c r="B2677" s="35" t="s">
        <v>4070</v>
      </c>
      <c r="C2677" s="35">
        <v>2023</v>
      </c>
      <c r="D2677" s="36">
        <v>45207.144456018519</v>
      </c>
      <c r="E2677" s="37" t="s">
        <v>2850</v>
      </c>
      <c r="F2677" s="37" t="s">
        <v>5604</v>
      </c>
      <c r="G2677" s="37" t="s">
        <v>4147</v>
      </c>
      <c r="H2677" s="35" t="s">
        <v>3419</v>
      </c>
      <c r="I2677" s="35" t="s">
        <v>3530</v>
      </c>
      <c r="J2677" s="38">
        <v>0.29041095890410962</v>
      </c>
      <c r="K2677" s="35">
        <v>1</v>
      </c>
      <c r="L2677" s="38">
        <f t="shared" si="41"/>
        <v>0.29041095890410962</v>
      </c>
      <c r="M2677" s="35" t="s">
        <v>11</v>
      </c>
      <c r="N2677" s="38"/>
      <c r="O2677" s="35" t="s">
        <v>12</v>
      </c>
    </row>
    <row r="2678" spans="1:15" x14ac:dyDescent="0.25">
      <c r="A2678" s="35">
        <v>1130072252</v>
      </c>
      <c r="B2678" s="35" t="s">
        <v>4070</v>
      </c>
      <c r="C2678" s="35">
        <v>2023</v>
      </c>
      <c r="D2678" s="36">
        <v>45207.144456018519</v>
      </c>
      <c r="E2678" s="37" t="s">
        <v>2850</v>
      </c>
      <c r="F2678" s="37" t="s">
        <v>5604</v>
      </c>
      <c r="G2678" s="37" t="s">
        <v>4147</v>
      </c>
      <c r="H2678" s="35" t="s">
        <v>3419</v>
      </c>
      <c r="I2678" s="35" t="s">
        <v>3416</v>
      </c>
      <c r="J2678" s="38">
        <v>0.34849315068493147</v>
      </c>
      <c r="K2678" s="35">
        <v>1</v>
      </c>
      <c r="L2678" s="38">
        <f t="shared" si="41"/>
        <v>0.34849315068493147</v>
      </c>
      <c r="M2678" s="35" t="s">
        <v>11</v>
      </c>
      <c r="N2678" s="38"/>
      <c r="O2678" s="35" t="s">
        <v>12</v>
      </c>
    </row>
    <row r="2679" spans="1:15" x14ac:dyDescent="0.25">
      <c r="A2679" s="35">
        <v>1130072252</v>
      </c>
      <c r="B2679" s="35" t="s">
        <v>4070</v>
      </c>
      <c r="C2679" s="35">
        <v>2023</v>
      </c>
      <c r="D2679" s="36">
        <v>45207.144456018519</v>
      </c>
      <c r="E2679" s="37" t="s">
        <v>2850</v>
      </c>
      <c r="F2679" s="37" t="s">
        <v>5603</v>
      </c>
      <c r="G2679" s="37" t="s">
        <v>4017</v>
      </c>
      <c r="H2679" s="35" t="s">
        <v>3419</v>
      </c>
      <c r="I2679" s="35" t="s">
        <v>3530</v>
      </c>
      <c r="J2679" s="38">
        <v>5.8082191780821919E-2</v>
      </c>
      <c r="K2679" s="35">
        <v>2</v>
      </c>
      <c r="L2679" s="38">
        <f t="shared" si="41"/>
        <v>0.11616438356164384</v>
      </c>
      <c r="M2679" s="35" t="s">
        <v>11</v>
      </c>
      <c r="N2679" s="38"/>
      <c r="O2679" s="35" t="s">
        <v>12</v>
      </c>
    </row>
    <row r="2680" spans="1:15" x14ac:dyDescent="0.25">
      <c r="A2680" s="35">
        <v>1130072252</v>
      </c>
      <c r="B2680" s="35" t="s">
        <v>4070</v>
      </c>
      <c r="C2680" s="35">
        <v>2023</v>
      </c>
      <c r="D2680" s="36">
        <v>45207.144456018519</v>
      </c>
      <c r="E2680" s="37" t="s">
        <v>2850</v>
      </c>
      <c r="F2680" s="37" t="s">
        <v>3812</v>
      </c>
      <c r="G2680" s="37" t="s">
        <v>3813</v>
      </c>
      <c r="H2680" s="35" t="s">
        <v>3419</v>
      </c>
      <c r="I2680" s="35" t="s">
        <v>3416</v>
      </c>
      <c r="J2680" s="38">
        <v>3.484931506849315</v>
      </c>
      <c r="K2680" s="35">
        <v>2</v>
      </c>
      <c r="L2680" s="38">
        <f t="shared" si="41"/>
        <v>6.9698630136986299</v>
      </c>
      <c r="M2680" s="35" t="s">
        <v>11</v>
      </c>
      <c r="N2680" s="38"/>
      <c r="O2680" s="35" t="s">
        <v>12</v>
      </c>
    </row>
    <row r="2681" spans="1:15" x14ac:dyDescent="0.25">
      <c r="A2681" s="35">
        <v>1130072252</v>
      </c>
      <c r="B2681" s="35" t="s">
        <v>4070</v>
      </c>
      <c r="C2681" s="35">
        <v>2023</v>
      </c>
      <c r="D2681" s="36">
        <v>45207.144456018519</v>
      </c>
      <c r="E2681" s="37" t="s">
        <v>2850</v>
      </c>
      <c r="F2681" s="37" t="s">
        <v>3456</v>
      </c>
      <c r="G2681" s="37" t="s">
        <v>3457</v>
      </c>
      <c r="H2681" s="35" t="s">
        <v>3415</v>
      </c>
      <c r="I2681" s="35" t="s">
        <v>3416</v>
      </c>
      <c r="J2681" s="38">
        <v>0.17424657534246571</v>
      </c>
      <c r="K2681" s="35">
        <v>4</v>
      </c>
      <c r="L2681" s="38">
        <f t="shared" si="41"/>
        <v>0.69698630136986284</v>
      </c>
      <c r="M2681" s="35" t="s">
        <v>11</v>
      </c>
      <c r="N2681" s="38"/>
      <c r="O2681" s="35" t="s">
        <v>12</v>
      </c>
    </row>
    <row r="2682" spans="1:15" x14ac:dyDescent="0.25">
      <c r="A2682" s="35">
        <v>1130071687</v>
      </c>
      <c r="B2682" s="35" t="s">
        <v>4070</v>
      </c>
      <c r="C2682" s="35">
        <v>2023</v>
      </c>
      <c r="D2682" s="36">
        <v>45207.144456018519</v>
      </c>
      <c r="E2682" s="37" t="s">
        <v>1266</v>
      </c>
      <c r="F2682" s="37" t="s">
        <v>5605</v>
      </c>
      <c r="G2682" s="37" t="s">
        <v>3772</v>
      </c>
      <c r="H2682" s="35" t="s">
        <v>3415</v>
      </c>
      <c r="I2682" s="35" t="s">
        <v>3416</v>
      </c>
      <c r="J2682" s="38">
        <v>0.2113734939759036</v>
      </c>
      <c r="K2682" s="35">
        <v>4</v>
      </c>
      <c r="L2682" s="38">
        <f t="shared" si="41"/>
        <v>0.84549397590361441</v>
      </c>
      <c r="M2682" s="35" t="s">
        <v>11</v>
      </c>
      <c r="N2682" s="38"/>
      <c r="O2682" s="35" t="s">
        <v>12</v>
      </c>
    </row>
    <row r="2683" spans="1:15" x14ac:dyDescent="0.25">
      <c r="A2683" s="35">
        <v>1130071687</v>
      </c>
      <c r="B2683" s="35" t="s">
        <v>4070</v>
      </c>
      <c r="C2683" s="35">
        <v>2023</v>
      </c>
      <c r="D2683" s="36">
        <v>45207.144456018519</v>
      </c>
      <c r="E2683" s="37" t="s">
        <v>1266</v>
      </c>
      <c r="F2683" s="37" t="s">
        <v>3884</v>
      </c>
      <c r="G2683" s="37" t="s">
        <v>3788</v>
      </c>
      <c r="H2683" s="35" t="s">
        <v>3419</v>
      </c>
      <c r="I2683" s="35" t="s">
        <v>3530</v>
      </c>
      <c r="J2683" s="38">
        <v>0.2113734939759036</v>
      </c>
      <c r="K2683" s="35">
        <v>1</v>
      </c>
      <c r="L2683" s="38">
        <f t="shared" si="41"/>
        <v>0.2113734939759036</v>
      </c>
      <c r="M2683" s="35" t="s">
        <v>11</v>
      </c>
      <c r="N2683" s="38"/>
      <c r="O2683" s="35" t="s">
        <v>12</v>
      </c>
    </row>
    <row r="2684" spans="1:15" ht="30" x14ac:dyDescent="0.25">
      <c r="A2684" s="35">
        <v>1130071687</v>
      </c>
      <c r="B2684" s="35" t="s">
        <v>4070</v>
      </c>
      <c r="C2684" s="35">
        <v>2023</v>
      </c>
      <c r="D2684" s="36">
        <v>45207.144456018519</v>
      </c>
      <c r="E2684" s="37" t="s">
        <v>1266</v>
      </c>
      <c r="F2684" s="37" t="s">
        <v>5606</v>
      </c>
      <c r="G2684" s="37" t="s">
        <v>4884</v>
      </c>
      <c r="H2684" s="35" t="s">
        <v>3419</v>
      </c>
      <c r="I2684" s="35" t="s">
        <v>3416</v>
      </c>
      <c r="J2684" s="38">
        <v>2.3779518072289161</v>
      </c>
      <c r="K2684" s="35">
        <v>1</v>
      </c>
      <c r="L2684" s="38">
        <f t="shared" si="41"/>
        <v>2.3779518072289161</v>
      </c>
      <c r="M2684" s="35" t="s">
        <v>11</v>
      </c>
      <c r="N2684" s="38"/>
      <c r="O2684" s="35" t="s">
        <v>12</v>
      </c>
    </row>
    <row r="2685" spans="1:15" x14ac:dyDescent="0.25">
      <c r="A2685" s="35">
        <v>1130071687</v>
      </c>
      <c r="B2685" s="35" t="s">
        <v>4070</v>
      </c>
      <c r="C2685" s="35">
        <v>2023</v>
      </c>
      <c r="D2685" s="36">
        <v>45207.144456018519</v>
      </c>
      <c r="E2685" s="37" t="s">
        <v>1266</v>
      </c>
      <c r="F2685" s="37" t="s">
        <v>4308</v>
      </c>
      <c r="G2685" s="37" t="s">
        <v>4309</v>
      </c>
      <c r="H2685" s="35" t="s">
        <v>3419</v>
      </c>
      <c r="I2685" s="35" t="s">
        <v>3416</v>
      </c>
      <c r="J2685" s="38">
        <v>1.5853012048192769</v>
      </c>
      <c r="K2685" s="35">
        <v>2</v>
      </c>
      <c r="L2685" s="38">
        <f t="shared" si="41"/>
        <v>3.1706024096385539</v>
      </c>
      <c r="M2685" s="35" t="s">
        <v>11</v>
      </c>
      <c r="N2685" s="38"/>
      <c r="O2685" s="35" t="s">
        <v>12</v>
      </c>
    </row>
    <row r="2686" spans="1:15" x14ac:dyDescent="0.25">
      <c r="A2686" s="35">
        <v>1130071687</v>
      </c>
      <c r="B2686" s="35" t="s">
        <v>4070</v>
      </c>
      <c r="C2686" s="35">
        <v>2023</v>
      </c>
      <c r="D2686" s="36">
        <v>45207.144456018519</v>
      </c>
      <c r="E2686" s="37" t="s">
        <v>1266</v>
      </c>
      <c r="F2686" s="37" t="s">
        <v>5498</v>
      </c>
      <c r="G2686" s="37" t="s">
        <v>5000</v>
      </c>
      <c r="H2686" s="35" t="s">
        <v>3419</v>
      </c>
      <c r="I2686" s="35" t="s">
        <v>3416</v>
      </c>
      <c r="J2686" s="38">
        <v>4.7559036144578313</v>
      </c>
      <c r="K2686" s="35">
        <v>3</v>
      </c>
      <c r="L2686" s="38">
        <f t="shared" si="41"/>
        <v>14.267710843373493</v>
      </c>
      <c r="M2686" s="35" t="s">
        <v>11</v>
      </c>
      <c r="N2686" s="38"/>
      <c r="O2686" s="35" t="s">
        <v>12</v>
      </c>
    </row>
    <row r="2687" spans="1:15" x14ac:dyDescent="0.25">
      <c r="A2687" s="35">
        <v>1130071687</v>
      </c>
      <c r="B2687" s="35" t="s">
        <v>4070</v>
      </c>
      <c r="C2687" s="35">
        <v>2023</v>
      </c>
      <c r="D2687" s="36">
        <v>45207.144456018519</v>
      </c>
      <c r="E2687" s="37" t="s">
        <v>1266</v>
      </c>
      <c r="F2687" s="37" t="s">
        <v>5607</v>
      </c>
      <c r="G2687" s="37" t="s">
        <v>4220</v>
      </c>
      <c r="H2687" s="35" t="s">
        <v>3419</v>
      </c>
      <c r="I2687" s="35" t="s">
        <v>3530</v>
      </c>
      <c r="J2687" s="38">
        <v>1.056867469879518</v>
      </c>
      <c r="K2687" s="35">
        <v>1</v>
      </c>
      <c r="L2687" s="38">
        <f t="shared" si="41"/>
        <v>1.056867469879518</v>
      </c>
      <c r="M2687" s="35" t="s">
        <v>11</v>
      </c>
      <c r="N2687" s="38"/>
      <c r="O2687" s="35" t="s">
        <v>12</v>
      </c>
    </row>
    <row r="2688" spans="1:15" x14ac:dyDescent="0.25">
      <c r="A2688" s="35">
        <v>1130071642</v>
      </c>
      <c r="B2688" s="35" t="s">
        <v>4070</v>
      </c>
      <c r="C2688" s="35">
        <v>2023</v>
      </c>
      <c r="D2688" s="36">
        <v>45207.144456018519</v>
      </c>
      <c r="E2688" s="37" t="s">
        <v>2853</v>
      </c>
      <c r="F2688" s="37" t="s">
        <v>5604</v>
      </c>
      <c r="G2688" s="37" t="s">
        <v>4686</v>
      </c>
      <c r="H2688" s="35" t="s">
        <v>3419</v>
      </c>
      <c r="I2688" s="35" t="s">
        <v>3530</v>
      </c>
      <c r="J2688" s="38">
        <v>0.54833333333333334</v>
      </c>
      <c r="K2688" s="35">
        <v>1</v>
      </c>
      <c r="L2688" s="38">
        <f t="shared" si="41"/>
        <v>0.54833333333333334</v>
      </c>
      <c r="M2688" s="35" t="s">
        <v>11</v>
      </c>
      <c r="N2688" s="38"/>
      <c r="O2688" s="35" t="s">
        <v>12</v>
      </c>
    </row>
    <row r="2689" spans="1:15" x14ac:dyDescent="0.25">
      <c r="A2689" s="35">
        <v>1130071642</v>
      </c>
      <c r="B2689" s="35" t="s">
        <v>4070</v>
      </c>
      <c r="C2689" s="35">
        <v>2023</v>
      </c>
      <c r="D2689" s="36">
        <v>45207.144456018519</v>
      </c>
      <c r="E2689" s="37" t="s">
        <v>2853</v>
      </c>
      <c r="F2689" s="37" t="s">
        <v>5608</v>
      </c>
      <c r="G2689" s="37" t="s">
        <v>4642</v>
      </c>
      <c r="H2689" s="35" t="s">
        <v>3419</v>
      </c>
      <c r="I2689" s="35" t="s">
        <v>3530</v>
      </c>
      <c r="J2689" s="38">
        <v>6.0316666666666663</v>
      </c>
      <c r="K2689" s="35">
        <v>1</v>
      </c>
      <c r="L2689" s="38">
        <f t="shared" si="41"/>
        <v>6.0316666666666663</v>
      </c>
      <c r="M2689" s="35" t="s">
        <v>11</v>
      </c>
      <c r="N2689" s="38"/>
      <c r="O2689" s="35" t="s">
        <v>12</v>
      </c>
    </row>
    <row r="2690" spans="1:15" x14ac:dyDescent="0.25">
      <c r="A2690" s="35">
        <v>1130071338</v>
      </c>
      <c r="B2690" s="35" t="s">
        <v>4070</v>
      </c>
      <c r="C2690" s="35">
        <v>2023</v>
      </c>
      <c r="D2690" s="36">
        <v>45207.144456018519</v>
      </c>
      <c r="E2690" s="37" t="s">
        <v>1235</v>
      </c>
      <c r="F2690" s="37" t="s">
        <v>5604</v>
      </c>
      <c r="G2690" s="37" t="s">
        <v>4147</v>
      </c>
      <c r="H2690" s="35" t="s">
        <v>3419</v>
      </c>
      <c r="I2690" s="35" t="s">
        <v>3530</v>
      </c>
      <c r="J2690" s="38">
        <v>1.085060240963855</v>
      </c>
      <c r="K2690" s="35">
        <v>2</v>
      </c>
      <c r="L2690" s="38">
        <f t="shared" ref="L2690:L2753" si="42">J2690*K2690</f>
        <v>2.17012048192771</v>
      </c>
      <c r="M2690" s="35" t="s">
        <v>11</v>
      </c>
      <c r="N2690" s="38"/>
      <c r="O2690" s="35" t="s">
        <v>12</v>
      </c>
    </row>
    <row r="2691" spans="1:15" x14ac:dyDescent="0.25">
      <c r="A2691" s="35">
        <v>1130071338</v>
      </c>
      <c r="B2691" s="35" t="s">
        <v>4070</v>
      </c>
      <c r="C2691" s="35">
        <v>2023</v>
      </c>
      <c r="D2691" s="36">
        <v>45207.144456018519</v>
      </c>
      <c r="E2691" s="37" t="s">
        <v>1235</v>
      </c>
      <c r="F2691" s="37" t="s">
        <v>4731</v>
      </c>
      <c r="G2691" s="37" t="s">
        <v>3712</v>
      </c>
      <c r="H2691" s="35" t="s">
        <v>3419</v>
      </c>
      <c r="I2691" s="35" t="s">
        <v>3530</v>
      </c>
      <c r="J2691" s="38">
        <v>2.1701204819277109</v>
      </c>
      <c r="K2691" s="35">
        <v>2</v>
      </c>
      <c r="L2691" s="38">
        <f t="shared" si="42"/>
        <v>4.3402409638554218</v>
      </c>
      <c r="M2691" s="35" t="s">
        <v>11</v>
      </c>
      <c r="N2691" s="38"/>
      <c r="O2691" s="35" t="s">
        <v>12</v>
      </c>
    </row>
    <row r="2692" spans="1:15" x14ac:dyDescent="0.25">
      <c r="A2692" s="35">
        <v>1130071338</v>
      </c>
      <c r="B2692" s="35" t="s">
        <v>4070</v>
      </c>
      <c r="C2692" s="35">
        <v>2023</v>
      </c>
      <c r="D2692" s="36">
        <v>45207.144456018519</v>
      </c>
      <c r="E2692" s="37" t="s">
        <v>1235</v>
      </c>
      <c r="F2692" s="37" t="s">
        <v>3884</v>
      </c>
      <c r="G2692" s="37" t="s">
        <v>5175</v>
      </c>
      <c r="H2692" s="35" t="s">
        <v>3419</v>
      </c>
      <c r="I2692" s="35" t="s">
        <v>3416</v>
      </c>
      <c r="J2692" s="38">
        <v>0.39975903614457831</v>
      </c>
      <c r="K2692" s="35">
        <v>1</v>
      </c>
      <c r="L2692" s="38">
        <f t="shared" si="42"/>
        <v>0.39975903614457831</v>
      </c>
      <c r="M2692" s="35" t="s">
        <v>11</v>
      </c>
      <c r="N2692" s="38"/>
      <c r="O2692" s="35" t="s">
        <v>12</v>
      </c>
    </row>
    <row r="2693" spans="1:15" x14ac:dyDescent="0.25">
      <c r="A2693" s="35">
        <v>1130071338</v>
      </c>
      <c r="B2693" s="35" t="s">
        <v>4070</v>
      </c>
      <c r="C2693" s="35">
        <v>2023</v>
      </c>
      <c r="D2693" s="36">
        <v>45207.144456018519</v>
      </c>
      <c r="E2693" s="37" t="s">
        <v>1235</v>
      </c>
      <c r="F2693" s="37" t="s">
        <v>4731</v>
      </c>
      <c r="G2693" s="37" t="s">
        <v>3712</v>
      </c>
      <c r="H2693" s="35" t="s">
        <v>3419</v>
      </c>
      <c r="I2693" s="35" t="s">
        <v>3416</v>
      </c>
      <c r="J2693" s="38">
        <v>2.1701204819277109</v>
      </c>
      <c r="K2693" s="35">
        <v>1</v>
      </c>
      <c r="L2693" s="38">
        <f t="shared" si="42"/>
        <v>2.1701204819277109</v>
      </c>
      <c r="M2693" s="35" t="s">
        <v>11</v>
      </c>
      <c r="N2693" s="38"/>
      <c r="O2693" s="35" t="s">
        <v>12</v>
      </c>
    </row>
    <row r="2694" spans="1:15" x14ac:dyDescent="0.25">
      <c r="A2694" s="35">
        <v>1130071338</v>
      </c>
      <c r="B2694" s="35" t="s">
        <v>4070</v>
      </c>
      <c r="C2694" s="35">
        <v>2023</v>
      </c>
      <c r="D2694" s="36">
        <v>45207.144456018519</v>
      </c>
      <c r="E2694" s="37" t="s">
        <v>1235</v>
      </c>
      <c r="F2694" s="37" t="s">
        <v>4732</v>
      </c>
      <c r="G2694" s="37" t="s">
        <v>3652</v>
      </c>
      <c r="H2694" s="35" t="s">
        <v>3419</v>
      </c>
      <c r="I2694" s="35" t="s">
        <v>3530</v>
      </c>
      <c r="J2694" s="38">
        <v>0.39975903614457831</v>
      </c>
      <c r="K2694" s="35">
        <v>1</v>
      </c>
      <c r="L2694" s="38">
        <f t="shared" si="42"/>
        <v>0.39975903614457831</v>
      </c>
      <c r="M2694" s="35" t="s">
        <v>11</v>
      </c>
      <c r="N2694" s="38"/>
      <c r="O2694" s="35" t="s">
        <v>12</v>
      </c>
    </row>
    <row r="2695" spans="1:15" x14ac:dyDescent="0.25">
      <c r="A2695" s="35">
        <v>1130071335</v>
      </c>
      <c r="B2695" s="35" t="s">
        <v>4070</v>
      </c>
      <c r="C2695" s="35">
        <v>2023</v>
      </c>
      <c r="D2695" s="36">
        <v>45207.144456018519</v>
      </c>
      <c r="E2695" s="37" t="s">
        <v>2856</v>
      </c>
      <c r="F2695" s="37" t="s">
        <v>5609</v>
      </c>
      <c r="G2695" s="37" t="s">
        <v>4156</v>
      </c>
      <c r="H2695" s="35" t="s">
        <v>3415</v>
      </c>
      <c r="I2695" s="35" t="s">
        <v>3416</v>
      </c>
      <c r="J2695" s="38">
        <v>0.29139745916515419</v>
      </c>
      <c r="K2695" s="35">
        <v>4</v>
      </c>
      <c r="L2695" s="38">
        <f t="shared" si="42"/>
        <v>1.1655898366606168</v>
      </c>
      <c r="M2695" s="35" t="s">
        <v>11</v>
      </c>
      <c r="N2695" s="38"/>
      <c r="O2695" s="35" t="s">
        <v>12</v>
      </c>
    </row>
    <row r="2696" spans="1:15" x14ac:dyDescent="0.25">
      <c r="A2696" s="35">
        <v>1130071335</v>
      </c>
      <c r="B2696" s="35" t="s">
        <v>4070</v>
      </c>
      <c r="C2696" s="35">
        <v>2023</v>
      </c>
      <c r="D2696" s="36">
        <v>45207.144456018519</v>
      </c>
      <c r="E2696" s="37" t="s">
        <v>2856</v>
      </c>
      <c r="F2696" s="37" t="s">
        <v>4735</v>
      </c>
      <c r="G2696" s="37" t="s">
        <v>3945</v>
      </c>
      <c r="H2696" s="35" t="s">
        <v>3415</v>
      </c>
      <c r="I2696" s="35" t="s">
        <v>3416</v>
      </c>
      <c r="J2696" s="38">
        <v>0.2306896551724138</v>
      </c>
      <c r="K2696" s="35">
        <v>4</v>
      </c>
      <c r="L2696" s="38">
        <f t="shared" si="42"/>
        <v>0.9227586206896552</v>
      </c>
      <c r="M2696" s="35" t="s">
        <v>11</v>
      </c>
      <c r="N2696" s="38"/>
      <c r="O2696" s="35" t="s">
        <v>12</v>
      </c>
    </row>
    <row r="2697" spans="1:15" x14ac:dyDescent="0.25">
      <c r="A2697" s="35">
        <v>1130071335</v>
      </c>
      <c r="B2697" s="35" t="s">
        <v>4070</v>
      </c>
      <c r="C2697" s="35">
        <v>2023</v>
      </c>
      <c r="D2697" s="36">
        <v>45207.144456018519</v>
      </c>
      <c r="E2697" s="37" t="s">
        <v>2856</v>
      </c>
      <c r="F2697" s="37" t="s">
        <v>4732</v>
      </c>
      <c r="G2697" s="37" t="s">
        <v>3652</v>
      </c>
      <c r="H2697" s="35" t="s">
        <v>3419</v>
      </c>
      <c r="I2697" s="35" t="s">
        <v>3530</v>
      </c>
      <c r="J2697" s="38">
        <v>0.53422867513611616</v>
      </c>
      <c r="K2697" s="35">
        <v>1</v>
      </c>
      <c r="L2697" s="38">
        <f t="shared" si="42"/>
        <v>0.53422867513611616</v>
      </c>
      <c r="M2697" s="35" t="s">
        <v>11</v>
      </c>
      <c r="N2697" s="38"/>
      <c r="O2697" s="35" t="s">
        <v>12</v>
      </c>
    </row>
    <row r="2698" spans="1:15" x14ac:dyDescent="0.25">
      <c r="A2698" s="35">
        <v>1130071335</v>
      </c>
      <c r="B2698" s="35" t="s">
        <v>4070</v>
      </c>
      <c r="C2698" s="35">
        <v>2023</v>
      </c>
      <c r="D2698" s="36">
        <v>45207.144456018519</v>
      </c>
      <c r="E2698" s="37" t="s">
        <v>2856</v>
      </c>
      <c r="F2698" s="37" t="s">
        <v>5610</v>
      </c>
      <c r="G2698" s="37" t="s">
        <v>4668</v>
      </c>
      <c r="H2698" s="35" t="s">
        <v>3419</v>
      </c>
      <c r="I2698" s="35" t="s">
        <v>3530</v>
      </c>
      <c r="J2698" s="38">
        <v>1.7605263157894739</v>
      </c>
      <c r="K2698" s="35">
        <v>1</v>
      </c>
      <c r="L2698" s="38">
        <f t="shared" si="42"/>
        <v>1.7605263157894739</v>
      </c>
      <c r="M2698" s="35" t="s">
        <v>11</v>
      </c>
      <c r="N2698" s="38"/>
      <c r="O2698" s="35" t="s">
        <v>12</v>
      </c>
    </row>
    <row r="2699" spans="1:15" x14ac:dyDescent="0.25">
      <c r="A2699" s="35">
        <v>1130071335</v>
      </c>
      <c r="B2699" s="35" t="s">
        <v>4070</v>
      </c>
      <c r="C2699" s="35">
        <v>2023</v>
      </c>
      <c r="D2699" s="36">
        <v>45207.144456018519</v>
      </c>
      <c r="E2699" s="37" t="s">
        <v>2856</v>
      </c>
      <c r="F2699" s="37" t="s">
        <v>4732</v>
      </c>
      <c r="G2699" s="37" t="s">
        <v>3652</v>
      </c>
      <c r="H2699" s="35" t="s">
        <v>3419</v>
      </c>
      <c r="I2699" s="35" t="s">
        <v>3416</v>
      </c>
      <c r="J2699" s="38">
        <v>1.153448275862069</v>
      </c>
      <c r="K2699" s="35">
        <v>1</v>
      </c>
      <c r="L2699" s="38">
        <f t="shared" si="42"/>
        <v>1.153448275862069</v>
      </c>
      <c r="M2699" s="35" t="s">
        <v>11</v>
      </c>
      <c r="N2699" s="38"/>
      <c r="O2699" s="35" t="s">
        <v>12</v>
      </c>
    </row>
    <row r="2700" spans="1:15" x14ac:dyDescent="0.25">
      <c r="A2700" s="35">
        <v>1130071335</v>
      </c>
      <c r="B2700" s="35" t="s">
        <v>4070</v>
      </c>
      <c r="C2700" s="35">
        <v>2023</v>
      </c>
      <c r="D2700" s="36">
        <v>45207.144456018519</v>
      </c>
      <c r="E2700" s="37" t="s">
        <v>2856</v>
      </c>
      <c r="F2700" s="37" t="s">
        <v>4732</v>
      </c>
      <c r="G2700" s="37" t="s">
        <v>3652</v>
      </c>
      <c r="H2700" s="35" t="s">
        <v>3419</v>
      </c>
      <c r="I2700" s="35" t="s">
        <v>3530</v>
      </c>
      <c r="J2700" s="38">
        <v>1.153448275862069</v>
      </c>
      <c r="K2700" s="35">
        <v>1</v>
      </c>
      <c r="L2700" s="38">
        <f t="shared" si="42"/>
        <v>1.153448275862069</v>
      </c>
      <c r="M2700" s="35" t="s">
        <v>11</v>
      </c>
      <c r="N2700" s="38"/>
      <c r="O2700" s="35" t="s">
        <v>12</v>
      </c>
    </row>
    <row r="2701" spans="1:15" x14ac:dyDescent="0.25">
      <c r="A2701" s="35">
        <v>1130071334</v>
      </c>
      <c r="B2701" s="35" t="s">
        <v>4070</v>
      </c>
      <c r="C2701" s="35">
        <v>2023</v>
      </c>
      <c r="D2701" s="36">
        <v>45207.144456018519</v>
      </c>
      <c r="E2701" s="37" t="s">
        <v>79</v>
      </c>
      <c r="F2701" s="37" t="s">
        <v>4455</v>
      </c>
      <c r="G2701" s="37" t="s">
        <v>3674</v>
      </c>
      <c r="H2701" s="35" t="s">
        <v>3419</v>
      </c>
      <c r="I2701" s="35" t="s">
        <v>3530</v>
      </c>
      <c r="J2701" s="38">
        <v>0.54090322580645156</v>
      </c>
      <c r="K2701" s="35">
        <v>1</v>
      </c>
      <c r="L2701" s="38">
        <f t="shared" si="42"/>
        <v>0.54090322580645156</v>
      </c>
      <c r="M2701" s="35" t="s">
        <v>11</v>
      </c>
      <c r="N2701" s="38"/>
      <c r="O2701" s="35" t="s">
        <v>12</v>
      </c>
    </row>
    <row r="2702" spans="1:15" ht="30" x14ac:dyDescent="0.25">
      <c r="A2702" s="35">
        <v>1130071334</v>
      </c>
      <c r="B2702" s="35" t="s">
        <v>4070</v>
      </c>
      <c r="C2702" s="35">
        <v>2023</v>
      </c>
      <c r="D2702" s="36">
        <v>45207.144456018519</v>
      </c>
      <c r="E2702" s="37" t="s">
        <v>79</v>
      </c>
      <c r="F2702" s="37" t="s">
        <v>5606</v>
      </c>
      <c r="G2702" s="37" t="s">
        <v>4884</v>
      </c>
      <c r="H2702" s="35" t="s">
        <v>3419</v>
      </c>
      <c r="I2702" s="35" t="s">
        <v>3416</v>
      </c>
      <c r="J2702" s="38">
        <v>0.8113548387096774</v>
      </c>
      <c r="K2702" s="35">
        <v>1</v>
      </c>
      <c r="L2702" s="38">
        <f t="shared" si="42"/>
        <v>0.8113548387096774</v>
      </c>
      <c r="M2702" s="35" t="s">
        <v>11</v>
      </c>
      <c r="N2702" s="38"/>
      <c r="O2702" s="35" t="s">
        <v>12</v>
      </c>
    </row>
    <row r="2703" spans="1:15" x14ac:dyDescent="0.25">
      <c r="A2703" s="35">
        <v>1130071334</v>
      </c>
      <c r="B2703" s="35" t="s">
        <v>4070</v>
      </c>
      <c r="C2703" s="35">
        <v>2023</v>
      </c>
      <c r="D2703" s="36">
        <v>45207.144456018519</v>
      </c>
      <c r="E2703" s="37" t="s">
        <v>79</v>
      </c>
      <c r="F2703" s="37" t="s">
        <v>3884</v>
      </c>
      <c r="G2703" s="37" t="s">
        <v>5175</v>
      </c>
      <c r="H2703" s="35" t="s">
        <v>3419</v>
      </c>
      <c r="I2703" s="35" t="s">
        <v>3416</v>
      </c>
      <c r="J2703" s="38">
        <v>0.2817204301075269</v>
      </c>
      <c r="K2703" s="35">
        <v>2</v>
      </c>
      <c r="L2703" s="38">
        <f t="shared" si="42"/>
        <v>0.5634408602150538</v>
      </c>
      <c r="M2703" s="35" t="s">
        <v>11</v>
      </c>
      <c r="N2703" s="38"/>
      <c r="O2703" s="35" t="s">
        <v>12</v>
      </c>
    </row>
    <row r="2704" spans="1:15" x14ac:dyDescent="0.25">
      <c r="A2704" s="35">
        <v>1130071334</v>
      </c>
      <c r="B2704" s="35" t="s">
        <v>4070</v>
      </c>
      <c r="C2704" s="35">
        <v>2023</v>
      </c>
      <c r="D2704" s="36">
        <v>45207.144456018519</v>
      </c>
      <c r="E2704" s="37" t="s">
        <v>79</v>
      </c>
      <c r="F2704" s="37" t="s">
        <v>4731</v>
      </c>
      <c r="G2704" s="37" t="s">
        <v>3712</v>
      </c>
      <c r="H2704" s="35" t="s">
        <v>3419</v>
      </c>
      <c r="I2704" s="35" t="s">
        <v>3416</v>
      </c>
      <c r="J2704" s="38">
        <v>1.6903225806451609</v>
      </c>
      <c r="K2704" s="35">
        <v>1</v>
      </c>
      <c r="L2704" s="38">
        <f t="shared" si="42"/>
        <v>1.6903225806451609</v>
      </c>
      <c r="M2704" s="35" t="s">
        <v>11</v>
      </c>
      <c r="N2704" s="38"/>
      <c r="O2704" s="35" t="s">
        <v>12</v>
      </c>
    </row>
    <row r="2705" spans="1:15" x14ac:dyDescent="0.25">
      <c r="A2705" s="35">
        <v>1130071334</v>
      </c>
      <c r="B2705" s="35" t="s">
        <v>4070</v>
      </c>
      <c r="C2705" s="35">
        <v>2023</v>
      </c>
      <c r="D2705" s="36">
        <v>45207.144456018519</v>
      </c>
      <c r="E2705" s="37" t="s">
        <v>79</v>
      </c>
      <c r="F2705" s="37" t="s">
        <v>4730</v>
      </c>
      <c r="G2705" s="37" t="s">
        <v>4220</v>
      </c>
      <c r="H2705" s="35" t="s">
        <v>3415</v>
      </c>
      <c r="I2705" s="35" t="s">
        <v>3416</v>
      </c>
      <c r="J2705" s="38">
        <v>7.8881720430107535E-2</v>
      </c>
      <c r="K2705" s="35">
        <v>4</v>
      </c>
      <c r="L2705" s="38">
        <f t="shared" si="42"/>
        <v>0.31552688172043014</v>
      </c>
      <c r="M2705" s="35" t="s">
        <v>11</v>
      </c>
      <c r="N2705" s="38"/>
      <c r="O2705" s="35" t="s">
        <v>12</v>
      </c>
    </row>
    <row r="2706" spans="1:15" x14ac:dyDescent="0.25">
      <c r="A2706" s="35">
        <v>1130071334</v>
      </c>
      <c r="B2706" s="35" t="s">
        <v>4070</v>
      </c>
      <c r="C2706" s="35">
        <v>2023</v>
      </c>
      <c r="D2706" s="36">
        <v>45207.144456018519</v>
      </c>
      <c r="E2706" s="37" t="s">
        <v>79</v>
      </c>
      <c r="F2706" s="37" t="s">
        <v>5607</v>
      </c>
      <c r="G2706" s="37" t="s">
        <v>4220</v>
      </c>
      <c r="H2706" s="35" t="s">
        <v>3419</v>
      </c>
      <c r="I2706" s="35" t="s">
        <v>3416</v>
      </c>
      <c r="J2706" s="38">
        <v>2.186150537634409</v>
      </c>
      <c r="K2706" s="35">
        <v>3</v>
      </c>
      <c r="L2706" s="38">
        <f t="shared" si="42"/>
        <v>6.5584516129032266</v>
      </c>
      <c r="M2706" s="35" t="s">
        <v>11</v>
      </c>
      <c r="N2706" s="38"/>
      <c r="O2706" s="35" t="s">
        <v>12</v>
      </c>
    </row>
    <row r="2707" spans="1:15" x14ac:dyDescent="0.25">
      <c r="A2707" s="35">
        <v>1130030239</v>
      </c>
      <c r="B2707" s="35" t="s">
        <v>4070</v>
      </c>
      <c r="C2707" s="35">
        <v>2023</v>
      </c>
      <c r="D2707" s="36">
        <v>45206.749467592592</v>
      </c>
      <c r="E2707" s="37" t="s">
        <v>61</v>
      </c>
      <c r="F2707" s="37" t="s">
        <v>5611</v>
      </c>
      <c r="G2707" s="37" t="s">
        <v>4220</v>
      </c>
      <c r="H2707" s="35" t="s">
        <v>3415</v>
      </c>
      <c r="I2707" s="35" t="s">
        <v>3416</v>
      </c>
      <c r="J2707" s="38">
        <v>3.95</v>
      </c>
      <c r="K2707" s="35">
        <v>4</v>
      </c>
      <c r="L2707" s="38">
        <f t="shared" si="42"/>
        <v>15.8</v>
      </c>
      <c r="M2707" s="42" t="s">
        <v>11</v>
      </c>
      <c r="N2707" s="38"/>
      <c r="O2707" s="35" t="s">
        <v>12</v>
      </c>
    </row>
    <row r="2708" spans="1:15" x14ac:dyDescent="0.25">
      <c r="A2708" s="35">
        <v>1129800564</v>
      </c>
      <c r="B2708" s="35" t="s">
        <v>4070</v>
      </c>
      <c r="C2708" s="35">
        <v>2023</v>
      </c>
      <c r="D2708" s="36">
        <v>45205.234270833331</v>
      </c>
      <c r="E2708" s="37" t="s">
        <v>2860</v>
      </c>
      <c r="F2708" s="37" t="s">
        <v>4219</v>
      </c>
      <c r="G2708" s="37" t="s">
        <v>4220</v>
      </c>
      <c r="H2708" s="35" t="s">
        <v>3419</v>
      </c>
      <c r="I2708" s="35" t="s">
        <v>3530</v>
      </c>
      <c r="J2708" s="38">
        <v>40.28</v>
      </c>
      <c r="K2708" s="35">
        <v>1</v>
      </c>
      <c r="L2708" s="38">
        <f t="shared" si="42"/>
        <v>40.28</v>
      </c>
      <c r="M2708" s="35" t="s">
        <v>11</v>
      </c>
      <c r="N2708" s="38"/>
      <c r="O2708" s="35" t="s">
        <v>12</v>
      </c>
    </row>
    <row r="2709" spans="1:15" x14ac:dyDescent="0.25">
      <c r="A2709" s="35">
        <v>1129616515</v>
      </c>
      <c r="B2709" s="35" t="s">
        <v>4070</v>
      </c>
      <c r="C2709" s="35">
        <v>2023</v>
      </c>
      <c r="D2709" s="36">
        <v>45203.398773148147</v>
      </c>
      <c r="E2709" s="37" t="s">
        <v>2277</v>
      </c>
      <c r="F2709" s="37" t="s">
        <v>5612</v>
      </c>
      <c r="G2709" s="37" t="s">
        <v>5000</v>
      </c>
      <c r="H2709" s="35" t="s">
        <v>3415</v>
      </c>
      <c r="I2709" s="35" t="s">
        <v>3416</v>
      </c>
      <c r="J2709" s="38">
        <v>2.2450000000000001</v>
      </c>
      <c r="K2709" s="35">
        <v>4</v>
      </c>
      <c r="L2709" s="38">
        <f t="shared" si="42"/>
        <v>8.98</v>
      </c>
      <c r="M2709" s="35" t="s">
        <v>11</v>
      </c>
      <c r="N2709" s="38"/>
      <c r="O2709" s="35" t="s">
        <v>12</v>
      </c>
    </row>
    <row r="2710" spans="1:15" x14ac:dyDescent="0.25">
      <c r="A2710" s="35">
        <v>1129354876</v>
      </c>
      <c r="B2710" s="35" t="s">
        <v>4070</v>
      </c>
      <c r="C2710" s="35">
        <v>2023</v>
      </c>
      <c r="D2710" s="36">
        <v>45201.454942129632</v>
      </c>
      <c r="E2710" s="37" t="s">
        <v>2868</v>
      </c>
      <c r="F2710" s="37" t="s">
        <v>4297</v>
      </c>
      <c r="G2710" s="37" t="s">
        <v>3768</v>
      </c>
      <c r="H2710" s="35" t="s">
        <v>3419</v>
      </c>
      <c r="I2710" s="35" t="s">
        <v>3416</v>
      </c>
      <c r="J2710" s="38">
        <v>15.64</v>
      </c>
      <c r="K2710" s="35">
        <v>2</v>
      </c>
      <c r="L2710" s="38">
        <f t="shared" si="42"/>
        <v>31.28</v>
      </c>
      <c r="M2710" s="35" t="s">
        <v>11</v>
      </c>
      <c r="N2710" s="38"/>
      <c r="O2710" s="35" t="s">
        <v>12</v>
      </c>
    </row>
    <row r="2711" spans="1:15" x14ac:dyDescent="0.25">
      <c r="A2711" s="35">
        <v>1128847106</v>
      </c>
      <c r="B2711" s="35" t="s">
        <v>4132</v>
      </c>
      <c r="C2711" s="35">
        <v>2023</v>
      </c>
      <c r="D2711" s="36">
        <v>45197.374768518523</v>
      </c>
      <c r="E2711" s="37" t="s">
        <v>2874</v>
      </c>
      <c r="F2711" s="37" t="s">
        <v>5619</v>
      </c>
      <c r="G2711" s="37" t="s">
        <v>4409</v>
      </c>
      <c r="H2711" s="35" t="s">
        <v>3419</v>
      </c>
      <c r="I2711" s="35" t="s">
        <v>3416</v>
      </c>
      <c r="J2711" s="38">
        <v>2.0419431279620852</v>
      </c>
      <c r="K2711" s="35">
        <v>1</v>
      </c>
      <c r="L2711" s="38">
        <f t="shared" si="42"/>
        <v>2.0419431279620852</v>
      </c>
      <c r="M2711" s="35" t="s">
        <v>11</v>
      </c>
      <c r="N2711" s="38"/>
      <c r="O2711" s="35" t="s">
        <v>12</v>
      </c>
    </row>
    <row r="2712" spans="1:15" x14ac:dyDescent="0.25">
      <c r="A2712" s="35">
        <v>1128847106</v>
      </c>
      <c r="B2712" s="35" t="s">
        <v>4132</v>
      </c>
      <c r="C2712" s="35">
        <v>2023</v>
      </c>
      <c r="D2712" s="36">
        <v>45197.374768518523</v>
      </c>
      <c r="E2712" s="37" t="s">
        <v>2874</v>
      </c>
      <c r="F2712" s="37" t="s">
        <v>5620</v>
      </c>
      <c r="G2712" s="37" t="s">
        <v>3551</v>
      </c>
      <c r="H2712" s="35" t="s">
        <v>3419</v>
      </c>
      <c r="I2712" s="35" t="s">
        <v>3416</v>
      </c>
      <c r="J2712" s="38">
        <v>17.444028436018961</v>
      </c>
      <c r="K2712" s="35">
        <v>2</v>
      </c>
      <c r="L2712" s="38">
        <f t="shared" si="42"/>
        <v>34.888056872037922</v>
      </c>
      <c r="M2712" s="35" t="s">
        <v>11</v>
      </c>
      <c r="N2712" s="38"/>
      <c r="O2712" s="35" t="s">
        <v>12</v>
      </c>
    </row>
    <row r="2713" spans="1:15" x14ac:dyDescent="0.25">
      <c r="A2713" s="35">
        <v>1128492189</v>
      </c>
      <c r="B2713" s="35" t="s">
        <v>4132</v>
      </c>
      <c r="C2713" s="35">
        <v>2023</v>
      </c>
      <c r="D2713" s="36">
        <v>45194.519699074073</v>
      </c>
      <c r="E2713" s="37" t="s">
        <v>1291</v>
      </c>
      <c r="F2713" s="37" t="s">
        <v>5621</v>
      </c>
      <c r="G2713" s="37" t="s">
        <v>4974</v>
      </c>
      <c r="H2713" s="35" t="s">
        <v>3419</v>
      </c>
      <c r="I2713" s="35" t="s">
        <v>3416</v>
      </c>
      <c r="J2713" s="38">
        <v>15.62</v>
      </c>
      <c r="K2713" s="35">
        <v>2</v>
      </c>
      <c r="L2713" s="38">
        <f t="shared" si="42"/>
        <v>31.24</v>
      </c>
      <c r="M2713" s="35" t="s">
        <v>11</v>
      </c>
      <c r="N2713" s="38"/>
      <c r="O2713" s="35" t="s">
        <v>12</v>
      </c>
    </row>
    <row r="2714" spans="1:15" x14ac:dyDescent="0.25">
      <c r="A2714" s="35">
        <v>1128490383</v>
      </c>
      <c r="B2714" s="35" t="s">
        <v>4132</v>
      </c>
      <c r="C2714" s="35">
        <v>2023</v>
      </c>
      <c r="D2714" s="36">
        <v>45194.519699074073</v>
      </c>
      <c r="E2714" s="37" t="s">
        <v>328</v>
      </c>
      <c r="F2714" s="37" t="s">
        <v>5622</v>
      </c>
      <c r="G2714" s="37" t="s">
        <v>3905</v>
      </c>
      <c r="H2714" s="35" t="s">
        <v>3419</v>
      </c>
      <c r="I2714" s="35" t="s">
        <v>3530</v>
      </c>
      <c r="J2714" s="38">
        <v>18.14</v>
      </c>
      <c r="K2714" s="35">
        <v>2</v>
      </c>
      <c r="L2714" s="38">
        <f t="shared" si="42"/>
        <v>36.28</v>
      </c>
      <c r="M2714" s="35" t="s">
        <v>11</v>
      </c>
      <c r="N2714" s="38"/>
      <c r="O2714" s="35" t="s">
        <v>12</v>
      </c>
    </row>
    <row r="2715" spans="1:15" x14ac:dyDescent="0.25">
      <c r="A2715" s="35">
        <v>1128067790</v>
      </c>
      <c r="B2715" s="35" t="s">
        <v>4132</v>
      </c>
      <c r="C2715" s="35">
        <v>2023</v>
      </c>
      <c r="D2715" s="36">
        <v>45190.800347222219</v>
      </c>
      <c r="E2715" s="37" t="s">
        <v>2537</v>
      </c>
      <c r="F2715" s="37" t="s">
        <v>4796</v>
      </c>
      <c r="G2715" s="37" t="s">
        <v>4220</v>
      </c>
      <c r="H2715" s="35" t="s">
        <v>3415</v>
      </c>
      <c r="I2715" s="35" t="s">
        <v>3416</v>
      </c>
      <c r="J2715" s="38">
        <v>0.2979381443298969</v>
      </c>
      <c r="K2715" s="35">
        <v>4</v>
      </c>
      <c r="L2715" s="38">
        <f t="shared" si="42"/>
        <v>1.1917525773195876</v>
      </c>
      <c r="M2715" s="35" t="s">
        <v>11</v>
      </c>
      <c r="N2715" s="38"/>
      <c r="O2715" s="35" t="s">
        <v>12</v>
      </c>
    </row>
    <row r="2716" spans="1:15" x14ac:dyDescent="0.25">
      <c r="A2716" s="35">
        <v>1128067790</v>
      </c>
      <c r="B2716" s="35" t="s">
        <v>4132</v>
      </c>
      <c r="C2716" s="35">
        <v>2023</v>
      </c>
      <c r="D2716" s="36">
        <v>45190.800347222219</v>
      </c>
      <c r="E2716" s="37" t="s">
        <v>2537</v>
      </c>
      <c r="F2716" s="37" t="s">
        <v>4808</v>
      </c>
      <c r="G2716" s="37" t="s">
        <v>4220</v>
      </c>
      <c r="H2716" s="35" t="s">
        <v>3415</v>
      </c>
      <c r="I2716" s="35" t="s">
        <v>3416</v>
      </c>
      <c r="J2716" s="38">
        <v>0.38731958762886598</v>
      </c>
      <c r="K2716" s="35">
        <v>4</v>
      </c>
      <c r="L2716" s="38">
        <f t="shared" si="42"/>
        <v>1.5492783505154639</v>
      </c>
      <c r="M2716" s="35" t="s">
        <v>11</v>
      </c>
      <c r="N2716" s="38"/>
      <c r="O2716" s="35" t="s">
        <v>12</v>
      </c>
    </row>
    <row r="2717" spans="1:15" x14ac:dyDescent="0.25">
      <c r="A2717" s="35">
        <v>1128067790</v>
      </c>
      <c r="B2717" s="35" t="s">
        <v>4132</v>
      </c>
      <c r="C2717" s="35">
        <v>2023</v>
      </c>
      <c r="D2717" s="36">
        <v>45190.800347222219</v>
      </c>
      <c r="E2717" s="37" t="s">
        <v>2537</v>
      </c>
      <c r="F2717" s="37" t="s">
        <v>4804</v>
      </c>
      <c r="G2717" s="37" t="s">
        <v>4220</v>
      </c>
      <c r="H2717" s="35" t="s">
        <v>3415</v>
      </c>
      <c r="I2717" s="35" t="s">
        <v>3416</v>
      </c>
      <c r="J2717" s="38">
        <v>0.28304123711340212</v>
      </c>
      <c r="K2717" s="35">
        <v>4</v>
      </c>
      <c r="L2717" s="38">
        <f t="shared" si="42"/>
        <v>1.1321649484536085</v>
      </c>
      <c r="M2717" s="35" t="s">
        <v>11</v>
      </c>
      <c r="N2717" s="38"/>
      <c r="O2717" s="35" t="s">
        <v>12</v>
      </c>
    </row>
    <row r="2718" spans="1:15" x14ac:dyDescent="0.25">
      <c r="A2718" s="35">
        <v>1128067790</v>
      </c>
      <c r="B2718" s="35" t="s">
        <v>4132</v>
      </c>
      <c r="C2718" s="35">
        <v>2023</v>
      </c>
      <c r="D2718" s="36">
        <v>45190.800347222219</v>
      </c>
      <c r="E2718" s="37" t="s">
        <v>2537</v>
      </c>
      <c r="F2718" s="37" t="s">
        <v>4792</v>
      </c>
      <c r="G2718" s="37" t="s">
        <v>4220</v>
      </c>
      <c r="H2718" s="35" t="s">
        <v>3415</v>
      </c>
      <c r="I2718" s="35" t="s">
        <v>3416</v>
      </c>
      <c r="J2718" s="38">
        <v>0.2383505154639175</v>
      </c>
      <c r="K2718" s="35">
        <v>4</v>
      </c>
      <c r="L2718" s="38">
        <f t="shared" si="42"/>
        <v>0.95340206185567</v>
      </c>
      <c r="M2718" s="35" t="s">
        <v>11</v>
      </c>
      <c r="N2718" s="38"/>
      <c r="O2718" s="35" t="s">
        <v>12</v>
      </c>
    </row>
    <row r="2719" spans="1:15" x14ac:dyDescent="0.25">
      <c r="A2719" s="35">
        <v>1128067790</v>
      </c>
      <c r="B2719" s="35" t="s">
        <v>4132</v>
      </c>
      <c r="C2719" s="35">
        <v>2023</v>
      </c>
      <c r="D2719" s="36">
        <v>45190.800347222219</v>
      </c>
      <c r="E2719" s="37" t="s">
        <v>2537</v>
      </c>
      <c r="F2719" s="37" t="s">
        <v>4800</v>
      </c>
      <c r="G2719" s="37" t="s">
        <v>4220</v>
      </c>
      <c r="H2719" s="35" t="s">
        <v>3415</v>
      </c>
      <c r="I2719" s="35" t="s">
        <v>3416</v>
      </c>
      <c r="J2719" s="38">
        <v>0.2383505154639175</v>
      </c>
      <c r="K2719" s="35">
        <v>4</v>
      </c>
      <c r="L2719" s="38">
        <f t="shared" si="42"/>
        <v>0.95340206185567</v>
      </c>
      <c r="M2719" s="35" t="s">
        <v>11</v>
      </c>
      <c r="N2719" s="38"/>
      <c r="O2719" s="35" t="s">
        <v>12</v>
      </c>
    </row>
    <row r="2720" spans="1:15" ht="30" x14ac:dyDescent="0.25">
      <c r="A2720" s="35">
        <v>1128028592</v>
      </c>
      <c r="B2720" s="35" t="s">
        <v>4132</v>
      </c>
      <c r="C2720" s="35">
        <v>2023</v>
      </c>
      <c r="D2720" s="36">
        <v>45190.710752314822</v>
      </c>
      <c r="E2720" s="37" t="s">
        <v>442</v>
      </c>
      <c r="F2720" s="37" t="s">
        <v>5487</v>
      </c>
      <c r="G2720" s="37" t="s">
        <v>3520</v>
      </c>
      <c r="H2720" s="35" t="s">
        <v>3419</v>
      </c>
      <c r="I2720" s="35" t="s">
        <v>3416</v>
      </c>
      <c r="J2720" s="38">
        <v>2.736188951160929</v>
      </c>
      <c r="K2720" s="35">
        <v>1</v>
      </c>
      <c r="L2720" s="38">
        <f t="shared" si="42"/>
        <v>2.736188951160929</v>
      </c>
      <c r="M2720" s="35" t="s">
        <v>11</v>
      </c>
      <c r="N2720" s="38"/>
      <c r="O2720" s="35" t="s">
        <v>12</v>
      </c>
    </row>
    <row r="2721" spans="1:15" x14ac:dyDescent="0.25">
      <c r="A2721" s="35">
        <v>1128028592</v>
      </c>
      <c r="B2721" s="35" t="s">
        <v>4132</v>
      </c>
      <c r="C2721" s="35">
        <v>2023</v>
      </c>
      <c r="D2721" s="36">
        <v>45190.710752314822</v>
      </c>
      <c r="E2721" s="37" t="s">
        <v>442</v>
      </c>
      <c r="F2721" s="37" t="s">
        <v>5623</v>
      </c>
      <c r="G2721" s="37" t="s">
        <v>4103</v>
      </c>
      <c r="H2721" s="35" t="s">
        <v>3419</v>
      </c>
      <c r="I2721" s="35" t="s">
        <v>3416</v>
      </c>
      <c r="J2721" s="38">
        <v>10.93381104883907</v>
      </c>
      <c r="K2721" s="35">
        <v>1</v>
      </c>
      <c r="L2721" s="38">
        <f t="shared" si="42"/>
        <v>10.93381104883907</v>
      </c>
      <c r="M2721" s="35" t="s">
        <v>11</v>
      </c>
      <c r="N2721" s="38"/>
      <c r="O2721" s="35" t="s">
        <v>12</v>
      </c>
    </row>
    <row r="2722" spans="1:15" x14ac:dyDescent="0.25">
      <c r="A2722" s="35">
        <v>1127401787</v>
      </c>
      <c r="B2722" s="35" t="s">
        <v>4132</v>
      </c>
      <c r="C2722" s="35">
        <v>2023</v>
      </c>
      <c r="D2722" s="36">
        <v>45185.389664351853</v>
      </c>
      <c r="E2722" s="37" t="s">
        <v>2883</v>
      </c>
      <c r="F2722" s="37" t="s">
        <v>5624</v>
      </c>
      <c r="G2722" s="37" t="s">
        <v>5175</v>
      </c>
      <c r="H2722" s="35" t="s">
        <v>3419</v>
      </c>
      <c r="I2722" s="35" t="s">
        <v>3416</v>
      </c>
      <c r="J2722" s="38">
        <v>12.18</v>
      </c>
      <c r="K2722" s="35">
        <v>1</v>
      </c>
      <c r="L2722" s="38">
        <f t="shared" si="42"/>
        <v>12.18</v>
      </c>
      <c r="M2722" s="35" t="s">
        <v>11</v>
      </c>
      <c r="N2722" s="38"/>
      <c r="O2722" s="35" t="s">
        <v>12</v>
      </c>
    </row>
    <row r="2723" spans="1:15" x14ac:dyDescent="0.25">
      <c r="A2723" s="35">
        <v>1127400018</v>
      </c>
      <c r="B2723" s="35" t="s">
        <v>4132</v>
      </c>
      <c r="C2723" s="35">
        <v>2023</v>
      </c>
      <c r="D2723" s="36">
        <v>45185.359398148154</v>
      </c>
      <c r="E2723" s="37" t="s">
        <v>414</v>
      </c>
      <c r="F2723" s="37" t="s">
        <v>5628</v>
      </c>
      <c r="G2723" s="37" t="s">
        <v>4326</v>
      </c>
      <c r="H2723" s="35" t="s">
        <v>3419</v>
      </c>
      <c r="I2723" s="35" t="s">
        <v>3453</v>
      </c>
      <c r="J2723" s="38">
        <v>12.6986925795053</v>
      </c>
      <c r="K2723" s="35">
        <v>2</v>
      </c>
      <c r="L2723" s="38">
        <f t="shared" si="42"/>
        <v>25.3973851590106</v>
      </c>
      <c r="M2723" s="35" t="s">
        <v>11</v>
      </c>
      <c r="N2723" s="38"/>
      <c r="O2723" s="35" t="s">
        <v>12</v>
      </c>
    </row>
    <row r="2724" spans="1:15" x14ac:dyDescent="0.25">
      <c r="A2724" s="35">
        <v>1127400018</v>
      </c>
      <c r="B2724" s="35" t="s">
        <v>4132</v>
      </c>
      <c r="C2724" s="35">
        <v>2023</v>
      </c>
      <c r="D2724" s="36">
        <v>45185.359398148154</v>
      </c>
      <c r="E2724" s="37" t="s">
        <v>414</v>
      </c>
      <c r="F2724" s="37" t="s">
        <v>5626</v>
      </c>
      <c r="G2724" s="37" t="s">
        <v>3712</v>
      </c>
      <c r="H2724" s="35" t="s">
        <v>3419</v>
      </c>
      <c r="I2724" s="35" t="s">
        <v>3453</v>
      </c>
      <c r="J2724" s="38">
        <v>6.9213074204947</v>
      </c>
      <c r="K2724" s="35">
        <v>2</v>
      </c>
      <c r="L2724" s="38">
        <f t="shared" si="42"/>
        <v>13.8426148409894</v>
      </c>
      <c r="M2724" s="35" t="s">
        <v>11</v>
      </c>
      <c r="N2724" s="38"/>
      <c r="O2724" s="35" t="s">
        <v>12</v>
      </c>
    </row>
    <row r="2725" spans="1:15" x14ac:dyDescent="0.25">
      <c r="A2725" s="35">
        <v>1127396003</v>
      </c>
      <c r="B2725" s="35" t="s">
        <v>4132</v>
      </c>
      <c r="C2725" s="35">
        <v>2023</v>
      </c>
      <c r="D2725" s="36">
        <v>45185.359398148154</v>
      </c>
      <c r="E2725" s="37" t="s">
        <v>760</v>
      </c>
      <c r="F2725" s="37" t="s">
        <v>5629</v>
      </c>
      <c r="G2725" s="37" t="s">
        <v>3619</v>
      </c>
      <c r="H2725" s="35" t="s">
        <v>3415</v>
      </c>
      <c r="I2725" s="35" t="s">
        <v>3416</v>
      </c>
      <c r="J2725" s="38">
        <v>1.7949999999999999</v>
      </c>
      <c r="K2725" s="35">
        <v>4</v>
      </c>
      <c r="L2725" s="38">
        <f t="shared" si="42"/>
        <v>7.18</v>
      </c>
      <c r="M2725" s="35" t="s">
        <v>11</v>
      </c>
      <c r="N2725" s="38"/>
      <c r="O2725" s="35" t="s">
        <v>12</v>
      </c>
    </row>
    <row r="2726" spans="1:15" x14ac:dyDescent="0.25">
      <c r="A2726" s="35">
        <v>1127344185</v>
      </c>
      <c r="B2726" s="35" t="s">
        <v>4132</v>
      </c>
      <c r="C2726" s="35">
        <v>2023</v>
      </c>
      <c r="D2726" s="36">
        <v>45184.852905092594</v>
      </c>
      <c r="E2726" s="37" t="s">
        <v>2888</v>
      </c>
      <c r="F2726" s="37" t="s">
        <v>5630</v>
      </c>
      <c r="G2726" s="37" t="s">
        <v>4636</v>
      </c>
      <c r="H2726" s="35" t="s">
        <v>3419</v>
      </c>
      <c r="I2726" s="35" t="s">
        <v>3416</v>
      </c>
      <c r="J2726" s="38">
        <v>10.323676880222839</v>
      </c>
      <c r="K2726" s="35">
        <v>3</v>
      </c>
      <c r="L2726" s="38">
        <f t="shared" si="42"/>
        <v>30.971030640668516</v>
      </c>
      <c r="M2726" s="35" t="s">
        <v>11</v>
      </c>
      <c r="N2726" s="38"/>
      <c r="O2726" s="35" t="s">
        <v>12</v>
      </c>
    </row>
    <row r="2727" spans="1:15" x14ac:dyDescent="0.25">
      <c r="A2727" s="35">
        <v>1127344185</v>
      </c>
      <c r="B2727" s="35" t="s">
        <v>4132</v>
      </c>
      <c r="C2727" s="35">
        <v>2023</v>
      </c>
      <c r="D2727" s="36">
        <v>45184.852905092594</v>
      </c>
      <c r="E2727" s="37" t="s">
        <v>2888</v>
      </c>
      <c r="F2727" s="37" t="s">
        <v>5630</v>
      </c>
      <c r="G2727" s="37" t="s">
        <v>4636</v>
      </c>
      <c r="H2727" s="35" t="s">
        <v>3419</v>
      </c>
      <c r="I2727" s="35" t="s">
        <v>3530</v>
      </c>
      <c r="J2727" s="38">
        <v>10.20896935933148</v>
      </c>
      <c r="K2727" s="35">
        <v>1</v>
      </c>
      <c r="L2727" s="38">
        <f t="shared" si="42"/>
        <v>10.20896935933148</v>
      </c>
      <c r="M2727" s="35" t="s">
        <v>11</v>
      </c>
      <c r="N2727" s="38"/>
      <c r="O2727" s="35" t="s">
        <v>12</v>
      </c>
    </row>
    <row r="2728" spans="1:15" x14ac:dyDescent="0.25">
      <c r="A2728" s="35">
        <v>1126975573</v>
      </c>
      <c r="B2728" s="35" t="s">
        <v>4132</v>
      </c>
      <c r="C2728" s="35">
        <v>2023</v>
      </c>
      <c r="D2728" s="36">
        <v>45181.869606481479</v>
      </c>
      <c r="E2728" s="37" t="s">
        <v>294</v>
      </c>
      <c r="F2728" s="37" t="s">
        <v>5632</v>
      </c>
      <c r="G2728" s="37" t="s">
        <v>4220</v>
      </c>
      <c r="H2728" s="35" t="s">
        <v>3415</v>
      </c>
      <c r="I2728" s="35" t="s">
        <v>3416</v>
      </c>
      <c r="J2728" s="38">
        <v>0.79547790339157243</v>
      </c>
      <c r="K2728" s="35">
        <v>4</v>
      </c>
      <c r="L2728" s="38">
        <f t="shared" si="42"/>
        <v>3.1819116135662897</v>
      </c>
      <c r="M2728" s="35" t="s">
        <v>11</v>
      </c>
      <c r="N2728" s="38"/>
      <c r="O2728" s="35" t="s">
        <v>12</v>
      </c>
    </row>
    <row r="2729" spans="1:15" x14ac:dyDescent="0.25">
      <c r="A2729" s="35">
        <v>1126975573</v>
      </c>
      <c r="B2729" s="35" t="s">
        <v>4132</v>
      </c>
      <c r="C2729" s="35">
        <v>2023</v>
      </c>
      <c r="D2729" s="36">
        <v>45181.869606481479</v>
      </c>
      <c r="E2729" s="37" t="s">
        <v>294</v>
      </c>
      <c r="F2729" s="37" t="s">
        <v>5633</v>
      </c>
      <c r="G2729" s="37" t="s">
        <v>4721</v>
      </c>
      <c r="H2729" s="35" t="s">
        <v>3415</v>
      </c>
      <c r="I2729" s="35" t="s">
        <v>3416</v>
      </c>
      <c r="J2729" s="38">
        <v>1.368221993833505</v>
      </c>
      <c r="K2729" s="35">
        <v>4</v>
      </c>
      <c r="L2729" s="38">
        <f t="shared" si="42"/>
        <v>5.4728879753340198</v>
      </c>
      <c r="M2729" s="35" t="s">
        <v>11</v>
      </c>
      <c r="N2729" s="38"/>
      <c r="O2729" s="35" t="s">
        <v>12</v>
      </c>
    </row>
    <row r="2730" spans="1:15" x14ac:dyDescent="0.25">
      <c r="A2730" s="35">
        <v>1126975573</v>
      </c>
      <c r="B2730" s="35" t="s">
        <v>4132</v>
      </c>
      <c r="C2730" s="35">
        <v>2023</v>
      </c>
      <c r="D2730" s="36">
        <v>45181.869606481479</v>
      </c>
      <c r="E2730" s="37" t="s">
        <v>294</v>
      </c>
      <c r="F2730" s="37" t="s">
        <v>5634</v>
      </c>
      <c r="G2730" s="37" t="s">
        <v>3551</v>
      </c>
      <c r="H2730" s="35" t="s">
        <v>3415</v>
      </c>
      <c r="I2730" s="35" t="s">
        <v>3416</v>
      </c>
      <c r="J2730" s="38">
        <v>0.1590955806783145</v>
      </c>
      <c r="K2730" s="35">
        <v>4</v>
      </c>
      <c r="L2730" s="38">
        <f t="shared" si="42"/>
        <v>0.63638232271325801</v>
      </c>
      <c r="M2730" s="35" t="s">
        <v>11</v>
      </c>
      <c r="N2730" s="38"/>
      <c r="O2730" s="35" t="s">
        <v>12</v>
      </c>
    </row>
    <row r="2731" spans="1:15" x14ac:dyDescent="0.25">
      <c r="A2731" s="35">
        <v>1126975573</v>
      </c>
      <c r="B2731" s="35" t="s">
        <v>4132</v>
      </c>
      <c r="C2731" s="35">
        <v>2023</v>
      </c>
      <c r="D2731" s="36">
        <v>45181.869606481479</v>
      </c>
      <c r="E2731" s="37" t="s">
        <v>294</v>
      </c>
      <c r="F2731" s="37" t="s">
        <v>3817</v>
      </c>
      <c r="G2731" s="37" t="s">
        <v>3736</v>
      </c>
      <c r="H2731" s="35" t="s">
        <v>3419</v>
      </c>
      <c r="I2731" s="35" t="s">
        <v>3416</v>
      </c>
      <c r="J2731" s="38">
        <v>2.916752312435765</v>
      </c>
      <c r="K2731" s="35">
        <v>3</v>
      </c>
      <c r="L2731" s="38">
        <f t="shared" si="42"/>
        <v>8.7502569373072951</v>
      </c>
      <c r="M2731" s="35" t="s">
        <v>11</v>
      </c>
      <c r="N2731" s="38"/>
      <c r="O2731" s="35" t="s">
        <v>12</v>
      </c>
    </row>
    <row r="2732" spans="1:15" x14ac:dyDescent="0.25">
      <c r="A2732" s="35">
        <v>1126975573</v>
      </c>
      <c r="B2732" s="35" t="s">
        <v>4132</v>
      </c>
      <c r="C2732" s="35">
        <v>2023</v>
      </c>
      <c r="D2732" s="36">
        <v>45181.869606481479</v>
      </c>
      <c r="E2732" s="37" t="s">
        <v>294</v>
      </c>
      <c r="F2732" s="37" t="s">
        <v>3817</v>
      </c>
      <c r="G2732" s="37" t="s">
        <v>3736</v>
      </c>
      <c r="H2732" s="35" t="s">
        <v>3419</v>
      </c>
      <c r="I2732" s="35" t="s">
        <v>3416</v>
      </c>
      <c r="J2732" s="38">
        <v>2.5985611510791369</v>
      </c>
      <c r="K2732" s="35">
        <v>1</v>
      </c>
      <c r="L2732" s="38">
        <f t="shared" si="42"/>
        <v>2.5985611510791369</v>
      </c>
      <c r="M2732" s="35" t="s">
        <v>11</v>
      </c>
      <c r="N2732" s="38"/>
      <c r="O2732" s="35" t="s">
        <v>12</v>
      </c>
    </row>
    <row r="2733" spans="1:15" x14ac:dyDescent="0.25">
      <c r="A2733" s="35">
        <v>1126872692</v>
      </c>
      <c r="B2733" s="35" t="s">
        <v>4132</v>
      </c>
      <c r="C2733" s="35">
        <v>2023</v>
      </c>
      <c r="D2733" s="36">
        <v>45181.318437499998</v>
      </c>
      <c r="E2733" s="37" t="s">
        <v>2892</v>
      </c>
      <c r="F2733" s="37" t="s">
        <v>4219</v>
      </c>
      <c r="G2733" s="37" t="s">
        <v>4220</v>
      </c>
      <c r="H2733" s="35" t="s">
        <v>3419</v>
      </c>
      <c r="I2733" s="35" t="s">
        <v>3530</v>
      </c>
      <c r="J2733" s="38">
        <v>35.28</v>
      </c>
      <c r="K2733" s="35">
        <v>1</v>
      </c>
      <c r="L2733" s="38">
        <f t="shared" si="42"/>
        <v>35.28</v>
      </c>
      <c r="M2733" s="35" t="s">
        <v>11</v>
      </c>
      <c r="N2733" s="38"/>
      <c r="O2733" s="35" t="s">
        <v>12</v>
      </c>
    </row>
    <row r="2734" spans="1:15" x14ac:dyDescent="0.25">
      <c r="A2734" s="35">
        <v>1126633415</v>
      </c>
      <c r="B2734" s="35" t="s">
        <v>4132</v>
      </c>
      <c r="C2734" s="35">
        <v>2023</v>
      </c>
      <c r="D2734" s="36">
        <v>45179.583310185182</v>
      </c>
      <c r="E2734" s="37" t="s">
        <v>2472</v>
      </c>
      <c r="F2734" s="37" t="s">
        <v>4219</v>
      </c>
      <c r="G2734" s="37" t="s">
        <v>4220</v>
      </c>
      <c r="H2734" s="35" t="s">
        <v>3419</v>
      </c>
      <c r="I2734" s="35" t="s">
        <v>3530</v>
      </c>
      <c r="J2734" s="38">
        <v>19.18</v>
      </c>
      <c r="K2734" s="35">
        <v>1</v>
      </c>
      <c r="L2734" s="38">
        <f t="shared" si="42"/>
        <v>19.18</v>
      </c>
      <c r="M2734" s="35" t="s">
        <v>11</v>
      </c>
      <c r="N2734" s="38"/>
      <c r="O2734" s="35" t="s">
        <v>12</v>
      </c>
    </row>
    <row r="2735" spans="1:15" x14ac:dyDescent="0.25">
      <c r="A2735" s="35">
        <v>1126633361</v>
      </c>
      <c r="B2735" s="35" t="s">
        <v>4132</v>
      </c>
      <c r="C2735" s="35">
        <v>2023</v>
      </c>
      <c r="D2735" s="36">
        <v>45179.583310185182</v>
      </c>
      <c r="E2735" s="37" t="s">
        <v>2883</v>
      </c>
      <c r="F2735" s="37" t="s">
        <v>4219</v>
      </c>
      <c r="G2735" s="37" t="s">
        <v>4220</v>
      </c>
      <c r="H2735" s="35" t="s">
        <v>3419</v>
      </c>
      <c r="I2735" s="35" t="s">
        <v>3530</v>
      </c>
      <c r="J2735" s="38">
        <v>18.18</v>
      </c>
      <c r="K2735" s="35">
        <v>1</v>
      </c>
      <c r="L2735" s="38">
        <f t="shared" si="42"/>
        <v>18.18</v>
      </c>
      <c r="M2735" s="35" t="s">
        <v>11</v>
      </c>
      <c r="N2735" s="38"/>
      <c r="O2735" s="35" t="s">
        <v>12</v>
      </c>
    </row>
    <row r="2736" spans="1:15" x14ac:dyDescent="0.25">
      <c r="A2736" s="35">
        <v>1126418687</v>
      </c>
      <c r="B2736" s="35" t="s">
        <v>4132</v>
      </c>
      <c r="C2736" s="35">
        <v>2023</v>
      </c>
      <c r="D2736" s="36">
        <v>45177.829699074071</v>
      </c>
      <c r="E2736" s="37" t="s">
        <v>1032</v>
      </c>
      <c r="F2736" s="37" t="s">
        <v>5635</v>
      </c>
      <c r="G2736" s="37" t="s">
        <v>3682</v>
      </c>
      <c r="H2736" s="35" t="s">
        <v>3419</v>
      </c>
      <c r="I2736" s="35" t="s">
        <v>3416</v>
      </c>
      <c r="J2736" s="38">
        <v>4.68</v>
      </c>
      <c r="K2736" s="35">
        <v>1</v>
      </c>
      <c r="L2736" s="38">
        <f t="shared" si="42"/>
        <v>4.68</v>
      </c>
      <c r="M2736" s="35" t="s">
        <v>11</v>
      </c>
      <c r="N2736" s="38"/>
      <c r="O2736" s="35" t="s">
        <v>12</v>
      </c>
    </row>
    <row r="2737" spans="1:15" x14ac:dyDescent="0.25">
      <c r="A2737" s="35">
        <v>1126385737</v>
      </c>
      <c r="B2737" s="35" t="s">
        <v>4132</v>
      </c>
      <c r="C2737" s="35">
        <v>2023</v>
      </c>
      <c r="D2737" s="36">
        <v>45177.827488425923</v>
      </c>
      <c r="E2737" s="37" t="s">
        <v>1032</v>
      </c>
      <c r="F2737" s="37" t="s">
        <v>4801</v>
      </c>
      <c r="G2737" s="37" t="s">
        <v>5102</v>
      </c>
      <c r="H2737" s="35" t="s">
        <v>3419</v>
      </c>
      <c r="I2737" s="35" t="s">
        <v>3416</v>
      </c>
      <c r="J2737" s="38">
        <v>1.0983333333333329</v>
      </c>
      <c r="K2737" s="35">
        <v>2</v>
      </c>
      <c r="L2737" s="38">
        <f t="shared" si="42"/>
        <v>2.1966666666666659</v>
      </c>
      <c r="M2737" s="35" t="s">
        <v>11</v>
      </c>
      <c r="N2737" s="38"/>
      <c r="O2737" s="35" t="s">
        <v>12</v>
      </c>
    </row>
    <row r="2738" spans="1:15" x14ac:dyDescent="0.25">
      <c r="A2738" s="35">
        <v>1126385737</v>
      </c>
      <c r="B2738" s="35" t="s">
        <v>4132</v>
      </c>
      <c r="C2738" s="35">
        <v>2023</v>
      </c>
      <c r="D2738" s="36">
        <v>45177.827488425923</v>
      </c>
      <c r="E2738" s="37" t="s">
        <v>1032</v>
      </c>
      <c r="F2738" s="37" t="s">
        <v>5636</v>
      </c>
      <c r="G2738" s="37" t="s">
        <v>4220</v>
      </c>
      <c r="H2738" s="35" t="s">
        <v>3415</v>
      </c>
      <c r="I2738" s="35" t="s">
        <v>3416</v>
      </c>
      <c r="J2738" s="38">
        <v>2.1966666666666672</v>
      </c>
      <c r="K2738" s="35">
        <v>4</v>
      </c>
      <c r="L2738" s="38">
        <f t="shared" si="42"/>
        <v>8.7866666666666688</v>
      </c>
      <c r="M2738" s="35" t="s">
        <v>11</v>
      </c>
      <c r="N2738" s="38"/>
      <c r="O2738" s="35" t="s">
        <v>12</v>
      </c>
    </row>
    <row r="2739" spans="1:15" x14ac:dyDescent="0.25">
      <c r="A2739" s="35">
        <v>1126385737</v>
      </c>
      <c r="B2739" s="35" t="s">
        <v>4132</v>
      </c>
      <c r="C2739" s="35">
        <v>2023</v>
      </c>
      <c r="D2739" s="36">
        <v>45177.827488425923</v>
      </c>
      <c r="E2739" s="37" t="s">
        <v>1032</v>
      </c>
      <c r="F2739" s="37" t="s">
        <v>5637</v>
      </c>
      <c r="G2739" s="37" t="s">
        <v>3551</v>
      </c>
      <c r="H2739" s="35" t="s">
        <v>3419</v>
      </c>
      <c r="I2739" s="35" t="s">
        <v>3416</v>
      </c>
      <c r="J2739" s="38">
        <v>1.0983333333333329</v>
      </c>
      <c r="K2739" s="35">
        <v>2</v>
      </c>
      <c r="L2739" s="38">
        <f t="shared" si="42"/>
        <v>2.1966666666666659</v>
      </c>
      <c r="M2739" s="35" t="s">
        <v>11</v>
      </c>
      <c r="N2739" s="38"/>
      <c r="O2739" s="35" t="s">
        <v>12</v>
      </c>
    </row>
    <row r="2740" spans="1:15" x14ac:dyDescent="0.25">
      <c r="A2740" s="35">
        <v>1126280095</v>
      </c>
      <c r="B2740" s="35" t="s">
        <v>4132</v>
      </c>
      <c r="C2740" s="35">
        <v>2023</v>
      </c>
      <c r="D2740" s="36">
        <v>45177.362233796302</v>
      </c>
      <c r="E2740" s="37" t="s">
        <v>294</v>
      </c>
      <c r="F2740" s="37" t="s">
        <v>5637</v>
      </c>
      <c r="G2740" s="37" t="s">
        <v>3551</v>
      </c>
      <c r="H2740" s="35" t="s">
        <v>3419</v>
      </c>
      <c r="I2740" s="35" t="s">
        <v>3416</v>
      </c>
      <c r="J2740" s="38">
        <v>1.0222578062449961</v>
      </c>
      <c r="K2740" s="35">
        <v>2</v>
      </c>
      <c r="L2740" s="38">
        <f t="shared" si="42"/>
        <v>2.0445156124899921</v>
      </c>
      <c r="M2740" s="35" t="s">
        <v>11</v>
      </c>
      <c r="N2740" s="38"/>
      <c r="O2740" s="35" t="s">
        <v>12</v>
      </c>
    </row>
    <row r="2741" spans="1:15" x14ac:dyDescent="0.25">
      <c r="A2741" s="35">
        <v>1126280095</v>
      </c>
      <c r="B2741" s="35" t="s">
        <v>4132</v>
      </c>
      <c r="C2741" s="35">
        <v>2023</v>
      </c>
      <c r="D2741" s="36">
        <v>45177.362233796302</v>
      </c>
      <c r="E2741" s="37" t="s">
        <v>294</v>
      </c>
      <c r="F2741" s="37" t="s">
        <v>5638</v>
      </c>
      <c r="G2741" s="37" t="s">
        <v>4473</v>
      </c>
      <c r="H2741" s="35" t="s">
        <v>3415</v>
      </c>
      <c r="I2741" s="35" t="s">
        <v>3416</v>
      </c>
      <c r="J2741" s="38">
        <v>2.1306004803843068</v>
      </c>
      <c r="K2741" s="35">
        <v>4</v>
      </c>
      <c r="L2741" s="38">
        <f t="shared" si="42"/>
        <v>8.5224019215372273</v>
      </c>
      <c r="M2741" s="35" t="s">
        <v>11</v>
      </c>
      <c r="N2741" s="38"/>
      <c r="O2741" s="35" t="s">
        <v>12</v>
      </c>
    </row>
    <row r="2742" spans="1:15" x14ac:dyDescent="0.25">
      <c r="A2742" s="35">
        <v>1126280095</v>
      </c>
      <c r="B2742" s="35" t="s">
        <v>4132</v>
      </c>
      <c r="C2742" s="35">
        <v>2023</v>
      </c>
      <c r="D2742" s="36">
        <v>45177.362233796302</v>
      </c>
      <c r="E2742" s="37" t="s">
        <v>294</v>
      </c>
      <c r="F2742" s="37" t="s">
        <v>5639</v>
      </c>
      <c r="G2742" s="37" t="s">
        <v>4473</v>
      </c>
      <c r="H2742" s="35" t="s">
        <v>3415</v>
      </c>
      <c r="I2742" s="35" t="s">
        <v>3416</v>
      </c>
      <c r="J2742" s="38">
        <v>1.88310648518815</v>
      </c>
      <c r="K2742" s="35">
        <v>4</v>
      </c>
      <c r="L2742" s="38">
        <f t="shared" si="42"/>
        <v>7.5324259407526002</v>
      </c>
      <c r="M2742" s="35" t="s">
        <v>11</v>
      </c>
      <c r="N2742" s="38"/>
      <c r="O2742" s="35" t="s">
        <v>12</v>
      </c>
    </row>
    <row r="2743" spans="1:15" x14ac:dyDescent="0.25">
      <c r="A2743" s="35">
        <v>1126280095</v>
      </c>
      <c r="B2743" s="35" t="s">
        <v>4132</v>
      </c>
      <c r="C2743" s="35">
        <v>2023</v>
      </c>
      <c r="D2743" s="36">
        <v>45177.362233796302</v>
      </c>
      <c r="E2743" s="37" t="s">
        <v>294</v>
      </c>
      <c r="F2743" s="37" t="s">
        <v>5640</v>
      </c>
      <c r="G2743" s="37" t="s">
        <v>4473</v>
      </c>
      <c r="H2743" s="35" t="s">
        <v>3419</v>
      </c>
      <c r="I2743" s="35" t="s">
        <v>3416</v>
      </c>
      <c r="J2743" s="38">
        <v>0.15064851881505209</v>
      </c>
      <c r="K2743" s="35">
        <v>2</v>
      </c>
      <c r="L2743" s="38">
        <f t="shared" si="42"/>
        <v>0.30129703763010418</v>
      </c>
      <c r="M2743" s="35" t="s">
        <v>11</v>
      </c>
      <c r="N2743" s="38"/>
      <c r="O2743" s="35" t="s">
        <v>12</v>
      </c>
    </row>
    <row r="2744" spans="1:15" x14ac:dyDescent="0.25">
      <c r="A2744" s="35">
        <v>1126280095</v>
      </c>
      <c r="B2744" s="35" t="s">
        <v>4132</v>
      </c>
      <c r="C2744" s="35">
        <v>2023</v>
      </c>
      <c r="D2744" s="36">
        <v>45177.362233796302</v>
      </c>
      <c r="E2744" s="37" t="s">
        <v>294</v>
      </c>
      <c r="F2744" s="37" t="s">
        <v>5641</v>
      </c>
      <c r="G2744" s="37" t="s">
        <v>4473</v>
      </c>
      <c r="H2744" s="35" t="s">
        <v>3419</v>
      </c>
      <c r="I2744" s="35" t="s">
        <v>3416</v>
      </c>
      <c r="J2744" s="38">
        <v>0.15064851881505209</v>
      </c>
      <c r="K2744" s="35">
        <v>1</v>
      </c>
      <c r="L2744" s="38">
        <f t="shared" si="42"/>
        <v>0.15064851881505209</v>
      </c>
      <c r="M2744" s="35" t="s">
        <v>11</v>
      </c>
      <c r="N2744" s="38"/>
      <c r="O2744" s="35" t="s">
        <v>12</v>
      </c>
    </row>
    <row r="2745" spans="1:15" x14ac:dyDescent="0.25">
      <c r="A2745" s="35">
        <v>1126280095</v>
      </c>
      <c r="B2745" s="35" t="s">
        <v>4132</v>
      </c>
      <c r="C2745" s="35">
        <v>2023</v>
      </c>
      <c r="D2745" s="36">
        <v>45177.362233796302</v>
      </c>
      <c r="E2745" s="37" t="s">
        <v>294</v>
      </c>
      <c r="F2745" s="37" t="s">
        <v>5642</v>
      </c>
      <c r="G2745" s="37" t="s">
        <v>3726</v>
      </c>
      <c r="H2745" s="35" t="s">
        <v>3415</v>
      </c>
      <c r="I2745" s="35" t="s">
        <v>3416</v>
      </c>
      <c r="J2745" s="38">
        <v>0.16140912730184151</v>
      </c>
      <c r="K2745" s="35">
        <v>4</v>
      </c>
      <c r="L2745" s="38">
        <f t="shared" si="42"/>
        <v>0.64563650920736604</v>
      </c>
      <c r="M2745" s="35" t="s">
        <v>11</v>
      </c>
      <c r="N2745" s="38"/>
      <c r="O2745" s="35" t="s">
        <v>12</v>
      </c>
    </row>
    <row r="2746" spans="1:15" x14ac:dyDescent="0.25">
      <c r="A2746" s="35">
        <v>1126280095</v>
      </c>
      <c r="B2746" s="35" t="s">
        <v>4132</v>
      </c>
      <c r="C2746" s="35">
        <v>2023</v>
      </c>
      <c r="D2746" s="36">
        <v>45177.362233796302</v>
      </c>
      <c r="E2746" s="37" t="s">
        <v>294</v>
      </c>
      <c r="F2746" s="37" t="s">
        <v>5643</v>
      </c>
      <c r="G2746" s="37" t="s">
        <v>4220</v>
      </c>
      <c r="H2746" s="35" t="s">
        <v>3415</v>
      </c>
      <c r="I2746" s="35" t="s">
        <v>3416</v>
      </c>
      <c r="J2746" s="38">
        <v>0.32281825460368291</v>
      </c>
      <c r="K2746" s="35">
        <v>4</v>
      </c>
      <c r="L2746" s="38">
        <f t="shared" si="42"/>
        <v>1.2912730184147316</v>
      </c>
      <c r="M2746" s="35" t="s">
        <v>11</v>
      </c>
      <c r="N2746" s="38"/>
      <c r="O2746" s="35" t="s">
        <v>12</v>
      </c>
    </row>
    <row r="2747" spans="1:15" x14ac:dyDescent="0.25">
      <c r="A2747" s="35">
        <v>1126280095</v>
      </c>
      <c r="B2747" s="35" t="s">
        <v>4132</v>
      </c>
      <c r="C2747" s="35">
        <v>2023</v>
      </c>
      <c r="D2747" s="36">
        <v>45177.362233796302</v>
      </c>
      <c r="E2747" s="37" t="s">
        <v>294</v>
      </c>
      <c r="F2747" s="37" t="s">
        <v>5644</v>
      </c>
      <c r="G2747" s="37" t="s">
        <v>4473</v>
      </c>
      <c r="H2747" s="35" t="s">
        <v>3419</v>
      </c>
      <c r="I2747" s="35" t="s">
        <v>3416</v>
      </c>
      <c r="J2747" s="38">
        <v>0.15064851881505209</v>
      </c>
      <c r="K2747" s="35">
        <v>1</v>
      </c>
      <c r="L2747" s="38">
        <f t="shared" si="42"/>
        <v>0.15064851881505209</v>
      </c>
      <c r="M2747" s="35" t="s">
        <v>11</v>
      </c>
      <c r="N2747" s="38"/>
      <c r="O2747" s="35" t="s">
        <v>12</v>
      </c>
    </row>
    <row r="2748" spans="1:15" x14ac:dyDescent="0.25">
      <c r="A2748" s="35">
        <v>1126280095</v>
      </c>
      <c r="B2748" s="35" t="s">
        <v>4132</v>
      </c>
      <c r="C2748" s="35">
        <v>2023</v>
      </c>
      <c r="D2748" s="36">
        <v>45177.362233796302</v>
      </c>
      <c r="E2748" s="37" t="s">
        <v>294</v>
      </c>
      <c r="F2748" s="37" t="s">
        <v>3806</v>
      </c>
      <c r="G2748" s="37" t="s">
        <v>3807</v>
      </c>
      <c r="H2748" s="35" t="s">
        <v>3415</v>
      </c>
      <c r="I2748" s="35" t="s">
        <v>3416</v>
      </c>
      <c r="J2748" s="38">
        <v>1.560288230584467</v>
      </c>
      <c r="K2748" s="35">
        <v>4</v>
      </c>
      <c r="L2748" s="38">
        <f t="shared" si="42"/>
        <v>6.2411529223378679</v>
      </c>
      <c r="M2748" s="35" t="s">
        <v>11</v>
      </c>
      <c r="N2748" s="38"/>
      <c r="O2748" s="35" t="s">
        <v>12</v>
      </c>
    </row>
    <row r="2749" spans="1:15" x14ac:dyDescent="0.25">
      <c r="A2749" s="35">
        <v>1125859083</v>
      </c>
      <c r="B2749" s="35" t="s">
        <v>4132</v>
      </c>
      <c r="C2749" s="35">
        <v>2023</v>
      </c>
      <c r="D2749" s="36">
        <v>45173.764317129629</v>
      </c>
      <c r="E2749" s="37" t="s">
        <v>2537</v>
      </c>
      <c r="F2749" s="37" t="s">
        <v>5650</v>
      </c>
      <c r="G2749" s="37" t="s">
        <v>4220</v>
      </c>
      <c r="H2749" s="35" t="s">
        <v>3415</v>
      </c>
      <c r="I2749" s="35" t="s">
        <v>3416</v>
      </c>
      <c r="J2749" s="38">
        <v>1.2749999999999999</v>
      </c>
      <c r="K2749" s="35">
        <v>4</v>
      </c>
      <c r="L2749" s="38">
        <f t="shared" si="42"/>
        <v>5.0999999999999996</v>
      </c>
      <c r="M2749" s="35" t="s">
        <v>11</v>
      </c>
      <c r="N2749" s="38"/>
      <c r="O2749" s="35" t="s">
        <v>12</v>
      </c>
    </row>
    <row r="2750" spans="1:15" x14ac:dyDescent="0.25">
      <c r="A2750" s="35">
        <v>1125857031</v>
      </c>
      <c r="B2750" s="35" t="s">
        <v>4132</v>
      </c>
      <c r="C2750" s="35">
        <v>2023</v>
      </c>
      <c r="D2750" s="36">
        <v>45173.764317129629</v>
      </c>
      <c r="E2750" s="37" t="s">
        <v>2901</v>
      </c>
      <c r="F2750" s="37" t="s">
        <v>5649</v>
      </c>
      <c r="G2750" s="37" t="s">
        <v>3871</v>
      </c>
      <c r="H2750" s="35" t="s">
        <v>3419</v>
      </c>
      <c r="I2750" s="35" t="s">
        <v>3530</v>
      </c>
      <c r="J2750" s="38">
        <v>0.67920000000000003</v>
      </c>
      <c r="K2750" s="35">
        <v>1</v>
      </c>
      <c r="L2750" s="38">
        <f t="shared" si="42"/>
        <v>0.67920000000000003</v>
      </c>
      <c r="M2750" s="35" t="s">
        <v>11</v>
      </c>
      <c r="N2750" s="38"/>
      <c r="O2750" s="35" t="s">
        <v>12</v>
      </c>
    </row>
    <row r="2751" spans="1:15" x14ac:dyDescent="0.25">
      <c r="A2751" s="35">
        <v>1125857031</v>
      </c>
      <c r="B2751" s="35" t="s">
        <v>4132</v>
      </c>
      <c r="C2751" s="35">
        <v>2023</v>
      </c>
      <c r="D2751" s="36">
        <v>45173.764317129629</v>
      </c>
      <c r="E2751" s="37" t="s">
        <v>2901</v>
      </c>
      <c r="F2751" s="37" t="s">
        <v>5069</v>
      </c>
      <c r="G2751" s="37" t="s">
        <v>3676</v>
      </c>
      <c r="H2751" s="35" t="s">
        <v>3419</v>
      </c>
      <c r="I2751" s="35" t="s">
        <v>3530</v>
      </c>
      <c r="J2751" s="38">
        <v>4.3015999999999996</v>
      </c>
      <c r="K2751" s="35">
        <v>1</v>
      </c>
      <c r="L2751" s="38">
        <f t="shared" si="42"/>
        <v>4.3015999999999996</v>
      </c>
      <c r="M2751" s="35" t="s">
        <v>11</v>
      </c>
      <c r="N2751" s="38"/>
      <c r="O2751" s="35" t="s">
        <v>12</v>
      </c>
    </row>
    <row r="2752" spans="1:15" x14ac:dyDescent="0.25">
      <c r="A2752" s="35">
        <v>1125857031</v>
      </c>
      <c r="B2752" s="35" t="s">
        <v>4132</v>
      </c>
      <c r="C2752" s="35">
        <v>2023</v>
      </c>
      <c r="D2752" s="36">
        <v>45173.764317129629</v>
      </c>
      <c r="E2752" s="37" t="s">
        <v>2901</v>
      </c>
      <c r="F2752" s="37" t="s">
        <v>5647</v>
      </c>
      <c r="G2752" s="37" t="s">
        <v>3871</v>
      </c>
      <c r="H2752" s="35" t="s">
        <v>3419</v>
      </c>
      <c r="I2752" s="35" t="s">
        <v>3416</v>
      </c>
      <c r="J2752" s="38">
        <v>20.1496</v>
      </c>
      <c r="K2752" s="35">
        <v>2</v>
      </c>
      <c r="L2752" s="38">
        <f t="shared" si="42"/>
        <v>40.299199999999999</v>
      </c>
      <c r="M2752" s="35" t="s">
        <v>11</v>
      </c>
      <c r="N2752" s="38"/>
      <c r="O2752" s="35" t="s">
        <v>12</v>
      </c>
    </row>
    <row r="2753" spans="1:15" x14ac:dyDescent="0.25">
      <c r="A2753" s="35">
        <v>1125816326</v>
      </c>
      <c r="B2753" s="35" t="s">
        <v>4132</v>
      </c>
      <c r="C2753" s="35">
        <v>2023</v>
      </c>
      <c r="D2753" s="36">
        <v>45173.764317129629</v>
      </c>
      <c r="E2753" s="37" t="s">
        <v>2903</v>
      </c>
      <c r="F2753" s="37" t="s">
        <v>5651</v>
      </c>
      <c r="G2753" s="37" t="s">
        <v>3658</v>
      </c>
      <c r="H2753" s="35" t="s">
        <v>3415</v>
      </c>
      <c r="I2753" s="35" t="s">
        <v>3416</v>
      </c>
      <c r="J2753" s="38">
        <v>0.14229390681003579</v>
      </c>
      <c r="K2753" s="35">
        <v>4</v>
      </c>
      <c r="L2753" s="38">
        <f t="shared" si="42"/>
        <v>0.56917562724014314</v>
      </c>
      <c r="M2753" s="35" t="s">
        <v>11</v>
      </c>
      <c r="N2753" s="38"/>
      <c r="O2753" s="35" t="s">
        <v>12</v>
      </c>
    </row>
    <row r="2754" spans="1:15" ht="30" x14ac:dyDescent="0.25">
      <c r="A2754" s="35">
        <v>1125816326</v>
      </c>
      <c r="B2754" s="35" t="s">
        <v>4132</v>
      </c>
      <c r="C2754" s="35">
        <v>2023</v>
      </c>
      <c r="D2754" s="36">
        <v>45173.764317129629</v>
      </c>
      <c r="E2754" s="37" t="s">
        <v>2903</v>
      </c>
      <c r="F2754" s="37" t="s">
        <v>5652</v>
      </c>
      <c r="G2754" s="37" t="s">
        <v>3520</v>
      </c>
      <c r="H2754" s="35" t="s">
        <v>3419</v>
      </c>
      <c r="I2754" s="35" t="s">
        <v>3416</v>
      </c>
      <c r="J2754" s="38">
        <v>1.408709677419355</v>
      </c>
      <c r="K2754" s="35">
        <v>1</v>
      </c>
      <c r="L2754" s="38">
        <f t="shared" ref="L2754:L2817" si="43">J2754*K2754</f>
        <v>1.408709677419355</v>
      </c>
      <c r="M2754" s="35" t="s">
        <v>11</v>
      </c>
      <c r="N2754" s="38"/>
      <c r="O2754" s="35" t="s">
        <v>12</v>
      </c>
    </row>
    <row r="2755" spans="1:15" x14ac:dyDescent="0.25">
      <c r="A2755" s="35">
        <v>1125816326</v>
      </c>
      <c r="B2755" s="35" t="s">
        <v>4132</v>
      </c>
      <c r="C2755" s="35">
        <v>2023</v>
      </c>
      <c r="D2755" s="36">
        <v>45173.764317129629</v>
      </c>
      <c r="E2755" s="37" t="s">
        <v>2903</v>
      </c>
      <c r="F2755" s="37" t="s">
        <v>5653</v>
      </c>
      <c r="G2755" s="37" t="s">
        <v>4103</v>
      </c>
      <c r="H2755" s="35" t="s">
        <v>3415</v>
      </c>
      <c r="I2755" s="35" t="s">
        <v>3416</v>
      </c>
      <c r="J2755" s="38">
        <v>0.14229390681003579</v>
      </c>
      <c r="K2755" s="35">
        <v>4</v>
      </c>
      <c r="L2755" s="38">
        <f t="shared" si="43"/>
        <v>0.56917562724014314</v>
      </c>
      <c r="M2755" s="35" t="s">
        <v>11</v>
      </c>
      <c r="N2755" s="38"/>
      <c r="O2755" s="35" t="s">
        <v>12</v>
      </c>
    </row>
    <row r="2756" spans="1:15" ht="30" x14ac:dyDescent="0.25">
      <c r="A2756" s="35">
        <v>1125816326</v>
      </c>
      <c r="B2756" s="35" t="s">
        <v>4132</v>
      </c>
      <c r="C2756" s="35">
        <v>2023</v>
      </c>
      <c r="D2756" s="36">
        <v>45173.764317129629</v>
      </c>
      <c r="E2756" s="37" t="s">
        <v>2903</v>
      </c>
      <c r="F2756" s="37" t="s">
        <v>5654</v>
      </c>
      <c r="G2756" s="37" t="s">
        <v>3520</v>
      </c>
      <c r="H2756" s="35" t="s">
        <v>3415</v>
      </c>
      <c r="I2756" s="35" t="s">
        <v>3416</v>
      </c>
      <c r="J2756" s="38">
        <v>0.3557347670250896</v>
      </c>
      <c r="K2756" s="35">
        <v>4</v>
      </c>
      <c r="L2756" s="38">
        <f t="shared" si="43"/>
        <v>1.4229390681003584</v>
      </c>
      <c r="M2756" s="35" t="s">
        <v>11</v>
      </c>
      <c r="N2756" s="38"/>
      <c r="O2756" s="35" t="s">
        <v>12</v>
      </c>
    </row>
    <row r="2757" spans="1:15" x14ac:dyDescent="0.25">
      <c r="A2757" s="35">
        <v>1125586771</v>
      </c>
      <c r="B2757" s="35" t="s">
        <v>4132</v>
      </c>
      <c r="C2757" s="35">
        <v>2023</v>
      </c>
      <c r="D2757" s="36">
        <v>45171.706886574073</v>
      </c>
      <c r="E2757" s="37" t="s">
        <v>2905</v>
      </c>
      <c r="F2757" s="37" t="s">
        <v>5493</v>
      </c>
      <c r="G2757" s="37" t="s">
        <v>3772</v>
      </c>
      <c r="H2757" s="35" t="s">
        <v>3415</v>
      </c>
      <c r="I2757" s="35" t="s">
        <v>3416</v>
      </c>
      <c r="J2757" s="38">
        <v>0.56499351491569394</v>
      </c>
      <c r="K2757" s="35">
        <v>4</v>
      </c>
      <c r="L2757" s="38">
        <f t="shared" si="43"/>
        <v>2.2599740596627758</v>
      </c>
      <c r="M2757" s="35" t="s">
        <v>11</v>
      </c>
      <c r="N2757" s="38"/>
      <c r="O2757" s="35" t="s">
        <v>12</v>
      </c>
    </row>
    <row r="2758" spans="1:15" x14ac:dyDescent="0.25">
      <c r="A2758" s="35">
        <v>1125586771</v>
      </c>
      <c r="B2758" s="35" t="s">
        <v>4132</v>
      </c>
      <c r="C2758" s="35">
        <v>2023</v>
      </c>
      <c r="D2758" s="36">
        <v>45171.706886574073</v>
      </c>
      <c r="E2758" s="37" t="s">
        <v>2905</v>
      </c>
      <c r="F2758" s="37" t="s">
        <v>5655</v>
      </c>
      <c r="G2758" s="37" t="s">
        <v>3674</v>
      </c>
      <c r="H2758" s="35" t="s">
        <v>3419</v>
      </c>
      <c r="I2758" s="35" t="s">
        <v>3530</v>
      </c>
      <c r="J2758" s="38">
        <v>6.6300259403372239</v>
      </c>
      <c r="K2758" s="35">
        <v>1</v>
      </c>
      <c r="L2758" s="38">
        <f t="shared" si="43"/>
        <v>6.6300259403372239</v>
      </c>
      <c r="M2758" s="35" t="s">
        <v>11</v>
      </c>
      <c r="N2758" s="38"/>
      <c r="O2758" s="35" t="s">
        <v>12</v>
      </c>
    </row>
    <row r="2759" spans="1:15" ht="30" x14ac:dyDescent="0.25">
      <c r="A2759" s="35">
        <v>1124481671</v>
      </c>
      <c r="B2759" s="35" t="s">
        <v>4158</v>
      </c>
      <c r="C2759" s="35">
        <v>2023</v>
      </c>
      <c r="D2759" s="36">
        <v>45161.722905092603</v>
      </c>
      <c r="E2759" s="37" t="s">
        <v>1032</v>
      </c>
      <c r="F2759" s="37" t="s">
        <v>5659</v>
      </c>
      <c r="G2759" s="37" t="s">
        <v>3520</v>
      </c>
      <c r="H2759" s="35" t="s">
        <v>3415</v>
      </c>
      <c r="I2759" s="35" t="s">
        <v>3416</v>
      </c>
      <c r="J2759" s="38">
        <v>0.87642857142857145</v>
      </c>
      <c r="K2759" s="35">
        <v>4</v>
      </c>
      <c r="L2759" s="38">
        <f t="shared" si="43"/>
        <v>3.5057142857142858</v>
      </c>
      <c r="M2759" s="35" t="s">
        <v>11</v>
      </c>
      <c r="N2759" s="38"/>
      <c r="O2759" s="35" t="s">
        <v>12</v>
      </c>
    </row>
    <row r="2760" spans="1:15" x14ac:dyDescent="0.25">
      <c r="A2760" s="35">
        <v>1124481671</v>
      </c>
      <c r="B2760" s="35" t="s">
        <v>4158</v>
      </c>
      <c r="C2760" s="35">
        <v>2023</v>
      </c>
      <c r="D2760" s="36">
        <v>45161.722905092603</v>
      </c>
      <c r="E2760" s="37" t="s">
        <v>1032</v>
      </c>
      <c r="F2760" s="37" t="s">
        <v>4808</v>
      </c>
      <c r="G2760" s="37" t="s">
        <v>5102</v>
      </c>
      <c r="H2760" s="35" t="s">
        <v>3415</v>
      </c>
      <c r="I2760" s="35" t="s">
        <v>3416</v>
      </c>
      <c r="J2760" s="38">
        <v>1.168571428571429</v>
      </c>
      <c r="K2760" s="35">
        <v>4</v>
      </c>
      <c r="L2760" s="38">
        <f t="shared" si="43"/>
        <v>4.6742857142857162</v>
      </c>
      <c r="M2760" s="35" t="s">
        <v>11</v>
      </c>
      <c r="N2760" s="38"/>
      <c r="O2760" s="35" t="s">
        <v>12</v>
      </c>
    </row>
    <row r="2761" spans="1:15" x14ac:dyDescent="0.25">
      <c r="A2761" s="35">
        <v>1124087884</v>
      </c>
      <c r="B2761" s="35" t="s">
        <v>4158</v>
      </c>
      <c r="C2761" s="35">
        <v>2023</v>
      </c>
      <c r="D2761" s="36">
        <v>45158.476875</v>
      </c>
      <c r="E2761" s="37" t="s">
        <v>2707</v>
      </c>
      <c r="F2761" s="37" t="s">
        <v>5660</v>
      </c>
      <c r="G2761" s="37" t="s">
        <v>3551</v>
      </c>
      <c r="H2761" s="35" t="s">
        <v>3419</v>
      </c>
      <c r="I2761" s="35" t="s">
        <v>3416</v>
      </c>
      <c r="J2761" s="38">
        <v>20.260000000000002</v>
      </c>
      <c r="K2761" s="35">
        <v>3</v>
      </c>
      <c r="L2761" s="38">
        <f t="shared" si="43"/>
        <v>60.78</v>
      </c>
      <c r="M2761" s="35" t="s">
        <v>11</v>
      </c>
      <c r="N2761" s="38"/>
      <c r="O2761" s="35" t="s">
        <v>12</v>
      </c>
    </row>
    <row r="2762" spans="1:15" x14ac:dyDescent="0.25">
      <c r="A2762" s="35">
        <v>1124032769</v>
      </c>
      <c r="B2762" s="35" t="s">
        <v>4158</v>
      </c>
      <c r="C2762" s="35">
        <v>2023</v>
      </c>
      <c r="D2762" s="36">
        <v>45157.668564814812</v>
      </c>
      <c r="E2762" s="37" t="s">
        <v>2916</v>
      </c>
      <c r="F2762" s="37" t="s">
        <v>4706</v>
      </c>
      <c r="G2762" s="37" t="s">
        <v>3682</v>
      </c>
      <c r="H2762" s="35" t="s">
        <v>3419</v>
      </c>
      <c r="I2762" s="35" t="s">
        <v>3416</v>
      </c>
      <c r="J2762" s="38">
        <v>0.97530805687203803</v>
      </c>
      <c r="K2762" s="35">
        <v>1</v>
      </c>
      <c r="L2762" s="38">
        <f t="shared" si="43"/>
        <v>0.97530805687203803</v>
      </c>
      <c r="M2762" s="35" t="s">
        <v>11</v>
      </c>
      <c r="N2762" s="38"/>
      <c r="O2762" s="35" t="s">
        <v>12</v>
      </c>
    </row>
    <row r="2763" spans="1:15" x14ac:dyDescent="0.25">
      <c r="A2763" s="35">
        <v>1124032769</v>
      </c>
      <c r="B2763" s="35" t="s">
        <v>4158</v>
      </c>
      <c r="C2763" s="35">
        <v>2023</v>
      </c>
      <c r="D2763" s="36">
        <v>45157.668564814812</v>
      </c>
      <c r="E2763" s="37" t="s">
        <v>2916</v>
      </c>
      <c r="F2763" s="37" t="s">
        <v>4894</v>
      </c>
      <c r="G2763" s="37" t="s">
        <v>3666</v>
      </c>
      <c r="H2763" s="35" t="s">
        <v>3419</v>
      </c>
      <c r="I2763" s="35" t="s">
        <v>3416</v>
      </c>
      <c r="J2763" s="38">
        <v>14.85469194312796</v>
      </c>
      <c r="K2763" s="35">
        <v>1</v>
      </c>
      <c r="L2763" s="38">
        <f t="shared" si="43"/>
        <v>14.85469194312796</v>
      </c>
      <c r="M2763" s="35" t="s">
        <v>11</v>
      </c>
      <c r="N2763" s="38"/>
      <c r="O2763" s="35" t="s">
        <v>12</v>
      </c>
    </row>
    <row r="2764" spans="1:15" x14ac:dyDescent="0.25">
      <c r="A2764" s="35">
        <v>1124032473</v>
      </c>
      <c r="B2764" s="35" t="s">
        <v>4158</v>
      </c>
      <c r="C2764" s="35">
        <v>2023</v>
      </c>
      <c r="D2764" s="36">
        <v>45157.668564814812</v>
      </c>
      <c r="E2764" s="37" t="s">
        <v>2919</v>
      </c>
      <c r="F2764" s="37" t="s">
        <v>5661</v>
      </c>
      <c r="G2764" s="37" t="s">
        <v>5662</v>
      </c>
      <c r="H2764" s="35" t="s">
        <v>3419</v>
      </c>
      <c r="I2764" s="35" t="s">
        <v>3416</v>
      </c>
      <c r="J2764" s="38">
        <v>6.9850746268656713E-2</v>
      </c>
      <c r="K2764" s="35">
        <v>3</v>
      </c>
      <c r="L2764" s="38">
        <f t="shared" si="43"/>
        <v>0.20955223880597013</v>
      </c>
      <c r="M2764" s="35" t="s">
        <v>11</v>
      </c>
      <c r="N2764" s="38"/>
      <c r="O2764" s="35" t="s">
        <v>12</v>
      </c>
    </row>
    <row r="2765" spans="1:15" ht="30" x14ac:dyDescent="0.25">
      <c r="A2765" s="35">
        <v>1124032473</v>
      </c>
      <c r="B2765" s="35" t="s">
        <v>4158</v>
      </c>
      <c r="C2765" s="35">
        <v>2023</v>
      </c>
      <c r="D2765" s="36">
        <v>45157.668564814812</v>
      </c>
      <c r="E2765" s="37" t="s">
        <v>2919</v>
      </c>
      <c r="F2765" s="37" t="s">
        <v>4672</v>
      </c>
      <c r="G2765" s="37" t="s">
        <v>3520</v>
      </c>
      <c r="H2765" s="35" t="s">
        <v>3415</v>
      </c>
      <c r="I2765" s="35" t="s">
        <v>3416</v>
      </c>
      <c r="J2765" s="38">
        <v>4.2608955223880596</v>
      </c>
      <c r="K2765" s="35">
        <v>4</v>
      </c>
      <c r="L2765" s="38">
        <f t="shared" si="43"/>
        <v>17.043582089552238</v>
      </c>
      <c r="M2765" s="35" t="s">
        <v>11</v>
      </c>
      <c r="N2765" s="38"/>
      <c r="O2765" s="35" t="s">
        <v>12</v>
      </c>
    </row>
    <row r="2766" spans="1:15" x14ac:dyDescent="0.25">
      <c r="A2766" s="35">
        <v>1124032473</v>
      </c>
      <c r="B2766" s="35" t="s">
        <v>4158</v>
      </c>
      <c r="C2766" s="35">
        <v>2023</v>
      </c>
      <c r="D2766" s="36">
        <v>45157.668564814812</v>
      </c>
      <c r="E2766" s="37" t="s">
        <v>2919</v>
      </c>
      <c r="F2766" s="37" t="s">
        <v>5663</v>
      </c>
      <c r="G2766" s="37" t="s">
        <v>3674</v>
      </c>
      <c r="H2766" s="35" t="s">
        <v>3415</v>
      </c>
      <c r="I2766" s="35" t="s">
        <v>3416</v>
      </c>
      <c r="J2766" s="38">
        <v>3.4925373134328357E-2</v>
      </c>
      <c r="K2766" s="35">
        <v>4</v>
      </c>
      <c r="L2766" s="38">
        <f t="shared" si="43"/>
        <v>0.13970149253731343</v>
      </c>
      <c r="M2766" s="35" t="s">
        <v>11</v>
      </c>
      <c r="N2766" s="38"/>
      <c r="O2766" s="35" t="s">
        <v>12</v>
      </c>
    </row>
    <row r="2767" spans="1:15" x14ac:dyDescent="0.25">
      <c r="A2767" s="35">
        <v>1124032473</v>
      </c>
      <c r="B2767" s="35" t="s">
        <v>4158</v>
      </c>
      <c r="C2767" s="35">
        <v>2023</v>
      </c>
      <c r="D2767" s="36">
        <v>45157.668564814812</v>
      </c>
      <c r="E2767" s="37" t="s">
        <v>2919</v>
      </c>
      <c r="F2767" s="37" t="s">
        <v>5664</v>
      </c>
      <c r="G2767" s="37" t="s">
        <v>3871</v>
      </c>
      <c r="H2767" s="35" t="s">
        <v>3415</v>
      </c>
      <c r="I2767" s="35" t="s">
        <v>3416</v>
      </c>
      <c r="J2767" s="38">
        <v>6.9850746268656713E-2</v>
      </c>
      <c r="K2767" s="35">
        <v>4</v>
      </c>
      <c r="L2767" s="38">
        <f t="shared" si="43"/>
        <v>0.27940298507462685</v>
      </c>
      <c r="M2767" s="35" t="s">
        <v>11</v>
      </c>
      <c r="N2767" s="38"/>
      <c r="O2767" s="35" t="s">
        <v>12</v>
      </c>
    </row>
    <row r="2768" spans="1:15" x14ac:dyDescent="0.25">
      <c r="A2768" s="35">
        <v>1124032473</v>
      </c>
      <c r="B2768" s="35" t="s">
        <v>4158</v>
      </c>
      <c r="C2768" s="35">
        <v>2023</v>
      </c>
      <c r="D2768" s="36">
        <v>45157.668564814812</v>
      </c>
      <c r="E2768" s="37" t="s">
        <v>2919</v>
      </c>
      <c r="F2768" s="37" t="s">
        <v>5665</v>
      </c>
      <c r="G2768" s="37" t="s">
        <v>5666</v>
      </c>
      <c r="H2768" s="35" t="s">
        <v>3419</v>
      </c>
      <c r="I2768" s="35" t="s">
        <v>3416</v>
      </c>
      <c r="J2768" s="38">
        <v>0.41910447761194031</v>
      </c>
      <c r="K2768" s="35">
        <v>2</v>
      </c>
      <c r="L2768" s="38">
        <f t="shared" si="43"/>
        <v>0.83820895522388061</v>
      </c>
      <c r="M2768" s="35" t="s">
        <v>11</v>
      </c>
      <c r="N2768" s="38"/>
      <c r="O2768" s="35" t="s">
        <v>12</v>
      </c>
    </row>
    <row r="2769" spans="1:15" ht="30" x14ac:dyDescent="0.25">
      <c r="A2769" s="35">
        <v>1124032473</v>
      </c>
      <c r="B2769" s="35" t="s">
        <v>4158</v>
      </c>
      <c r="C2769" s="35">
        <v>2023</v>
      </c>
      <c r="D2769" s="36">
        <v>45157.668564814812</v>
      </c>
      <c r="E2769" s="37" t="s">
        <v>2919</v>
      </c>
      <c r="F2769" s="37" t="s">
        <v>5667</v>
      </c>
      <c r="G2769" s="37" t="s">
        <v>3520</v>
      </c>
      <c r="H2769" s="35" t="s">
        <v>3415</v>
      </c>
      <c r="I2769" s="35" t="s">
        <v>3416</v>
      </c>
      <c r="J2769" s="38">
        <v>5.2388059701492531E-2</v>
      </c>
      <c r="K2769" s="35">
        <v>4</v>
      </c>
      <c r="L2769" s="38">
        <f t="shared" si="43"/>
        <v>0.20955223880597013</v>
      </c>
      <c r="M2769" s="35" t="s">
        <v>11</v>
      </c>
      <c r="N2769" s="38"/>
      <c r="O2769" s="35" t="s">
        <v>12</v>
      </c>
    </row>
    <row r="2770" spans="1:15" ht="30" x14ac:dyDescent="0.25">
      <c r="A2770" s="35">
        <v>1122747495</v>
      </c>
      <c r="B2770" s="35" t="s">
        <v>4158</v>
      </c>
      <c r="C2770" s="35">
        <v>2023</v>
      </c>
      <c r="D2770" s="36">
        <v>45146.550798611112</v>
      </c>
      <c r="E2770" s="37" t="s">
        <v>1288</v>
      </c>
      <c r="F2770" s="37" t="s">
        <v>4481</v>
      </c>
      <c r="G2770" s="37" t="s">
        <v>3520</v>
      </c>
      <c r="H2770" s="35" t="s">
        <v>3415</v>
      </c>
      <c r="I2770" s="35" t="s">
        <v>3416</v>
      </c>
      <c r="J2770" s="38">
        <v>0.89500000000000002</v>
      </c>
      <c r="K2770" s="35">
        <v>4</v>
      </c>
      <c r="L2770" s="38">
        <f t="shared" si="43"/>
        <v>3.58</v>
      </c>
      <c r="M2770" s="35" t="s">
        <v>11</v>
      </c>
      <c r="N2770" s="38"/>
      <c r="O2770" s="35" t="s">
        <v>12</v>
      </c>
    </row>
    <row r="2771" spans="1:15" ht="30" x14ac:dyDescent="0.25">
      <c r="A2771" s="35">
        <v>1122471058</v>
      </c>
      <c r="B2771" s="35" t="s">
        <v>4158</v>
      </c>
      <c r="C2771" s="35">
        <v>2023</v>
      </c>
      <c r="D2771" s="36">
        <v>45144.535439814812</v>
      </c>
      <c r="E2771" s="37" t="s">
        <v>2926</v>
      </c>
      <c r="F2771" s="37" t="s">
        <v>5645</v>
      </c>
      <c r="G2771" s="37" t="s">
        <v>3520</v>
      </c>
      <c r="H2771" s="35" t="s">
        <v>3419</v>
      </c>
      <c r="I2771" s="35" t="s">
        <v>3416</v>
      </c>
      <c r="J2771" s="38">
        <v>11.78</v>
      </c>
      <c r="K2771" s="35">
        <v>1</v>
      </c>
      <c r="L2771" s="38">
        <f t="shared" si="43"/>
        <v>11.78</v>
      </c>
      <c r="M2771" s="35" t="s">
        <v>11</v>
      </c>
      <c r="N2771" s="38"/>
      <c r="O2771" s="35" t="s">
        <v>12</v>
      </c>
    </row>
    <row r="2772" spans="1:15" x14ac:dyDescent="0.25">
      <c r="A2772" s="35">
        <v>1122207247</v>
      </c>
      <c r="B2772" s="35" t="s">
        <v>4158</v>
      </c>
      <c r="C2772" s="35">
        <v>2023</v>
      </c>
      <c r="D2772" s="36">
        <v>45142.31826388889</v>
      </c>
      <c r="E2772" s="37" t="s">
        <v>2929</v>
      </c>
      <c r="F2772" s="37" t="s">
        <v>5669</v>
      </c>
      <c r="G2772" s="37" t="s">
        <v>3658</v>
      </c>
      <c r="H2772" s="35" t="s">
        <v>3419</v>
      </c>
      <c r="I2772" s="35" t="s">
        <v>3530</v>
      </c>
      <c r="J2772" s="38">
        <v>16.079999999999998</v>
      </c>
      <c r="K2772" s="35">
        <v>1</v>
      </c>
      <c r="L2772" s="38">
        <f t="shared" si="43"/>
        <v>16.079999999999998</v>
      </c>
      <c r="M2772" s="35" t="s">
        <v>11</v>
      </c>
      <c r="N2772" s="38"/>
      <c r="O2772" s="35" t="s">
        <v>12</v>
      </c>
    </row>
    <row r="2773" spans="1:15" x14ac:dyDescent="0.25">
      <c r="A2773" s="35">
        <v>1121572848</v>
      </c>
      <c r="B2773" s="35" t="s">
        <v>4199</v>
      </c>
      <c r="C2773" s="35">
        <v>2023</v>
      </c>
      <c r="D2773" s="36">
        <v>45137.06627314815</v>
      </c>
      <c r="E2773" s="37" t="s">
        <v>2935</v>
      </c>
      <c r="F2773" s="37" t="s">
        <v>4138</v>
      </c>
      <c r="G2773" s="37" t="s">
        <v>3945</v>
      </c>
      <c r="H2773" s="35" t="s">
        <v>3419</v>
      </c>
      <c r="I2773" s="35" t="s">
        <v>3530</v>
      </c>
      <c r="J2773" s="38">
        <v>70.28</v>
      </c>
      <c r="K2773" s="35">
        <v>1</v>
      </c>
      <c r="L2773" s="38">
        <f t="shared" si="43"/>
        <v>70.28</v>
      </c>
      <c r="M2773" s="35" t="s">
        <v>11</v>
      </c>
      <c r="N2773" s="38"/>
      <c r="O2773" s="35" t="s">
        <v>12</v>
      </c>
    </row>
    <row r="2774" spans="1:15" ht="30" x14ac:dyDescent="0.25">
      <c r="A2774" s="35">
        <v>1121382086</v>
      </c>
      <c r="B2774" s="35" t="s">
        <v>4199</v>
      </c>
      <c r="C2774" s="35">
        <v>2023</v>
      </c>
      <c r="D2774" s="36">
        <v>45135.504201388889</v>
      </c>
      <c r="E2774" s="37" t="s">
        <v>2938</v>
      </c>
      <c r="F2774" s="37" t="s">
        <v>5671</v>
      </c>
      <c r="G2774" s="37" t="s">
        <v>3520</v>
      </c>
      <c r="H2774" s="35" t="s">
        <v>3419</v>
      </c>
      <c r="I2774" s="35" t="s">
        <v>3416</v>
      </c>
      <c r="J2774" s="38">
        <v>1.0799307159353351</v>
      </c>
      <c r="K2774" s="35">
        <v>1</v>
      </c>
      <c r="L2774" s="38">
        <f t="shared" si="43"/>
        <v>1.0799307159353351</v>
      </c>
      <c r="M2774" s="35" t="s">
        <v>11</v>
      </c>
      <c r="N2774" s="38"/>
      <c r="O2774" s="35" t="s">
        <v>12</v>
      </c>
    </row>
    <row r="2775" spans="1:15" ht="30" x14ac:dyDescent="0.25">
      <c r="A2775" s="35">
        <v>1121382086</v>
      </c>
      <c r="B2775" s="35" t="s">
        <v>4199</v>
      </c>
      <c r="C2775" s="35">
        <v>2023</v>
      </c>
      <c r="D2775" s="36">
        <v>45135.504201388889</v>
      </c>
      <c r="E2775" s="37" t="s">
        <v>2938</v>
      </c>
      <c r="F2775" s="37" t="s">
        <v>5672</v>
      </c>
      <c r="G2775" s="37" t="s">
        <v>3520</v>
      </c>
      <c r="H2775" s="35" t="s">
        <v>3419</v>
      </c>
      <c r="I2775" s="35" t="s">
        <v>3416</v>
      </c>
      <c r="J2775" s="38">
        <v>1.6362586605080831</v>
      </c>
      <c r="K2775" s="35">
        <v>1</v>
      </c>
      <c r="L2775" s="38">
        <f t="shared" si="43"/>
        <v>1.6362586605080831</v>
      </c>
      <c r="M2775" s="35" t="s">
        <v>11</v>
      </c>
      <c r="N2775" s="38"/>
      <c r="O2775" s="35" t="s">
        <v>12</v>
      </c>
    </row>
    <row r="2776" spans="1:15" ht="30" x14ac:dyDescent="0.25">
      <c r="A2776" s="35">
        <v>1121382086</v>
      </c>
      <c r="B2776" s="35" t="s">
        <v>4199</v>
      </c>
      <c r="C2776" s="35">
        <v>2023</v>
      </c>
      <c r="D2776" s="36">
        <v>45135.504201388889</v>
      </c>
      <c r="E2776" s="37" t="s">
        <v>2938</v>
      </c>
      <c r="F2776" s="37" t="s">
        <v>5645</v>
      </c>
      <c r="G2776" s="37" t="s">
        <v>3520</v>
      </c>
      <c r="H2776" s="35" t="s">
        <v>3419</v>
      </c>
      <c r="I2776" s="35" t="s">
        <v>3416</v>
      </c>
      <c r="J2776" s="38">
        <v>11.45381062355658</v>
      </c>
      <c r="K2776" s="35">
        <v>1</v>
      </c>
      <c r="L2776" s="38">
        <f t="shared" si="43"/>
        <v>11.45381062355658</v>
      </c>
      <c r="M2776" s="35" t="s">
        <v>11</v>
      </c>
      <c r="N2776" s="38"/>
      <c r="O2776" s="35" t="s">
        <v>12</v>
      </c>
    </row>
    <row r="2777" spans="1:15" ht="30" x14ac:dyDescent="0.25">
      <c r="A2777" s="35">
        <v>1121381944</v>
      </c>
      <c r="B2777" s="35" t="s">
        <v>4199</v>
      </c>
      <c r="C2777" s="35">
        <v>2023</v>
      </c>
      <c r="D2777" s="36">
        <v>45135.504201388889</v>
      </c>
      <c r="E2777" s="37" t="s">
        <v>2941</v>
      </c>
      <c r="F2777" s="37" t="s">
        <v>5645</v>
      </c>
      <c r="G2777" s="37" t="s">
        <v>3520</v>
      </c>
      <c r="H2777" s="35" t="s">
        <v>3419</v>
      </c>
      <c r="I2777" s="35" t="s">
        <v>3416</v>
      </c>
      <c r="J2777" s="38">
        <v>17.664142554693019</v>
      </c>
      <c r="K2777" s="35">
        <v>1</v>
      </c>
      <c r="L2777" s="38">
        <f t="shared" si="43"/>
        <v>17.664142554693019</v>
      </c>
      <c r="M2777" s="35" t="s">
        <v>11</v>
      </c>
      <c r="N2777" s="38"/>
      <c r="O2777" s="35" t="s">
        <v>12</v>
      </c>
    </row>
    <row r="2778" spans="1:15" ht="30" x14ac:dyDescent="0.25">
      <c r="A2778" s="35">
        <v>1121381944</v>
      </c>
      <c r="B2778" s="35" t="s">
        <v>4199</v>
      </c>
      <c r="C2778" s="35">
        <v>2023</v>
      </c>
      <c r="D2778" s="36">
        <v>45135.504201388889</v>
      </c>
      <c r="E2778" s="37" t="s">
        <v>2941</v>
      </c>
      <c r="F2778" s="37" t="s">
        <v>5673</v>
      </c>
      <c r="G2778" s="37" t="s">
        <v>3520</v>
      </c>
      <c r="H2778" s="35" t="s">
        <v>3419</v>
      </c>
      <c r="I2778" s="35" t="s">
        <v>3416</v>
      </c>
      <c r="J2778" s="38">
        <v>3.5470642201834859</v>
      </c>
      <c r="K2778" s="35">
        <v>1</v>
      </c>
      <c r="L2778" s="38">
        <f t="shared" si="43"/>
        <v>3.5470642201834859</v>
      </c>
      <c r="M2778" s="35" t="s">
        <v>11</v>
      </c>
      <c r="N2778" s="38"/>
      <c r="O2778" s="35" t="s">
        <v>12</v>
      </c>
    </row>
    <row r="2779" spans="1:15" ht="30" x14ac:dyDescent="0.25">
      <c r="A2779" s="35">
        <v>1121381944</v>
      </c>
      <c r="B2779" s="35" t="s">
        <v>4199</v>
      </c>
      <c r="C2779" s="35">
        <v>2023</v>
      </c>
      <c r="D2779" s="36">
        <v>45135.504201388889</v>
      </c>
      <c r="E2779" s="37" t="s">
        <v>2941</v>
      </c>
      <c r="F2779" s="37" t="s">
        <v>5645</v>
      </c>
      <c r="G2779" s="37" t="s">
        <v>3520</v>
      </c>
      <c r="H2779" s="35" t="s">
        <v>3419</v>
      </c>
      <c r="I2779" s="35" t="s">
        <v>3416</v>
      </c>
      <c r="J2779" s="38">
        <v>12.4087932251235</v>
      </c>
      <c r="K2779" s="35">
        <v>1</v>
      </c>
      <c r="L2779" s="38">
        <f t="shared" si="43"/>
        <v>12.4087932251235</v>
      </c>
      <c r="M2779" s="35" t="s">
        <v>11</v>
      </c>
      <c r="N2779" s="38"/>
      <c r="O2779" s="35" t="s">
        <v>12</v>
      </c>
    </row>
    <row r="2780" spans="1:15" x14ac:dyDescent="0.25">
      <c r="A2780" s="35">
        <v>1121120101</v>
      </c>
      <c r="B2780" s="35" t="s">
        <v>4199</v>
      </c>
      <c r="C2780" s="35">
        <v>2023</v>
      </c>
      <c r="D2780" s="36">
        <v>45133.372870370367</v>
      </c>
      <c r="E2780" s="37" t="s">
        <v>499</v>
      </c>
      <c r="F2780" s="37" t="s">
        <v>5678</v>
      </c>
      <c r="G2780" s="37" t="s">
        <v>5679</v>
      </c>
      <c r="H2780" s="35" t="s">
        <v>3419</v>
      </c>
      <c r="I2780" s="35" t="s">
        <v>3931</v>
      </c>
      <c r="J2780" s="38">
        <v>4.1535582822085892</v>
      </c>
      <c r="K2780" s="35">
        <v>1</v>
      </c>
      <c r="L2780" s="38">
        <f t="shared" si="43"/>
        <v>4.1535582822085892</v>
      </c>
      <c r="M2780" s="35" t="s">
        <v>11</v>
      </c>
      <c r="N2780" s="38"/>
      <c r="O2780" s="35" t="s">
        <v>12</v>
      </c>
    </row>
    <row r="2781" spans="1:15" x14ac:dyDescent="0.25">
      <c r="A2781" s="35">
        <v>1121120052</v>
      </c>
      <c r="B2781" s="35" t="s">
        <v>4199</v>
      </c>
      <c r="C2781" s="35">
        <v>2023</v>
      </c>
      <c r="D2781" s="36">
        <v>45133.372870370367</v>
      </c>
      <c r="E2781" s="37" t="s">
        <v>2945</v>
      </c>
      <c r="F2781" s="37" t="s">
        <v>5680</v>
      </c>
      <c r="G2781" s="37" t="s">
        <v>3710</v>
      </c>
      <c r="H2781" s="35" t="s">
        <v>3419</v>
      </c>
      <c r="I2781" s="35" t="s">
        <v>3416</v>
      </c>
      <c r="J2781" s="38">
        <v>0.51189122373300366</v>
      </c>
      <c r="K2781" s="35">
        <v>3</v>
      </c>
      <c r="L2781" s="38">
        <f t="shared" si="43"/>
        <v>1.5356736711990111</v>
      </c>
      <c r="M2781" s="35" t="s">
        <v>11</v>
      </c>
      <c r="N2781" s="38"/>
      <c r="O2781" s="35" t="s">
        <v>12</v>
      </c>
    </row>
    <row r="2782" spans="1:15" x14ac:dyDescent="0.25">
      <c r="A2782" s="35">
        <v>1121120052</v>
      </c>
      <c r="B2782" s="35" t="s">
        <v>4199</v>
      </c>
      <c r="C2782" s="35">
        <v>2023</v>
      </c>
      <c r="D2782" s="36">
        <v>45133.372870370367</v>
      </c>
      <c r="E2782" s="37" t="s">
        <v>2945</v>
      </c>
      <c r="F2782" s="37" t="s">
        <v>5681</v>
      </c>
      <c r="G2782" s="37" t="s">
        <v>3650</v>
      </c>
      <c r="H2782" s="35" t="s">
        <v>3419</v>
      </c>
      <c r="I2782" s="35" t="s">
        <v>3416</v>
      </c>
      <c r="J2782" s="38">
        <v>1.5783312731767609</v>
      </c>
      <c r="K2782" s="35">
        <v>1</v>
      </c>
      <c r="L2782" s="38">
        <f t="shared" si="43"/>
        <v>1.5783312731767609</v>
      </c>
      <c r="M2782" s="35" t="s">
        <v>11</v>
      </c>
      <c r="N2782" s="38"/>
      <c r="O2782" s="35" t="s">
        <v>12</v>
      </c>
    </row>
    <row r="2783" spans="1:15" x14ac:dyDescent="0.25">
      <c r="A2783" s="35">
        <v>1121120052</v>
      </c>
      <c r="B2783" s="35" t="s">
        <v>4199</v>
      </c>
      <c r="C2783" s="35">
        <v>2023</v>
      </c>
      <c r="D2783" s="36">
        <v>45133.372870370367</v>
      </c>
      <c r="E2783" s="37" t="s">
        <v>2945</v>
      </c>
      <c r="F2783" s="37" t="s">
        <v>5682</v>
      </c>
      <c r="G2783" s="37" t="s">
        <v>3945</v>
      </c>
      <c r="H2783" s="35" t="s">
        <v>3419</v>
      </c>
      <c r="I2783" s="35" t="s">
        <v>3416</v>
      </c>
      <c r="J2783" s="38">
        <v>0.72517923362175529</v>
      </c>
      <c r="K2783" s="35">
        <v>1</v>
      </c>
      <c r="L2783" s="38">
        <f t="shared" si="43"/>
        <v>0.72517923362175529</v>
      </c>
      <c r="M2783" s="35" t="s">
        <v>11</v>
      </c>
      <c r="N2783" s="38"/>
      <c r="O2783" s="35" t="s">
        <v>12</v>
      </c>
    </row>
    <row r="2784" spans="1:15" x14ac:dyDescent="0.25">
      <c r="A2784" s="35">
        <v>1121120052</v>
      </c>
      <c r="B2784" s="35" t="s">
        <v>4199</v>
      </c>
      <c r="C2784" s="35">
        <v>2023</v>
      </c>
      <c r="D2784" s="36">
        <v>45133.372870370367</v>
      </c>
      <c r="E2784" s="37" t="s">
        <v>2945</v>
      </c>
      <c r="F2784" s="37" t="s">
        <v>5683</v>
      </c>
      <c r="G2784" s="37" t="s">
        <v>3945</v>
      </c>
      <c r="H2784" s="35" t="s">
        <v>3419</v>
      </c>
      <c r="I2784" s="35" t="s">
        <v>3416</v>
      </c>
      <c r="J2784" s="38">
        <v>1.2583992583436341</v>
      </c>
      <c r="K2784" s="35">
        <v>2</v>
      </c>
      <c r="L2784" s="38">
        <f t="shared" si="43"/>
        <v>2.5167985166872682</v>
      </c>
      <c r="M2784" s="35" t="s">
        <v>11</v>
      </c>
      <c r="N2784" s="38"/>
      <c r="O2784" s="35" t="s">
        <v>12</v>
      </c>
    </row>
    <row r="2785" spans="1:15" x14ac:dyDescent="0.25">
      <c r="A2785" s="35">
        <v>1121120052</v>
      </c>
      <c r="B2785" s="35" t="s">
        <v>4199</v>
      </c>
      <c r="C2785" s="35">
        <v>2023</v>
      </c>
      <c r="D2785" s="36">
        <v>45133.372870370367</v>
      </c>
      <c r="E2785" s="37" t="s">
        <v>2945</v>
      </c>
      <c r="F2785" s="37" t="s">
        <v>4524</v>
      </c>
      <c r="G2785" s="37" t="s">
        <v>3658</v>
      </c>
      <c r="H2785" s="35" t="s">
        <v>3415</v>
      </c>
      <c r="I2785" s="35" t="s">
        <v>3416</v>
      </c>
      <c r="J2785" s="38">
        <v>24.293504326328801</v>
      </c>
      <c r="K2785" s="35">
        <v>4</v>
      </c>
      <c r="L2785" s="38">
        <f t="shared" si="43"/>
        <v>97.174017305315203</v>
      </c>
      <c r="M2785" s="35" t="s">
        <v>11</v>
      </c>
      <c r="N2785" s="38"/>
      <c r="O2785" s="35" t="s">
        <v>12</v>
      </c>
    </row>
    <row r="2786" spans="1:15" x14ac:dyDescent="0.25">
      <c r="A2786" s="35">
        <v>1121072344</v>
      </c>
      <c r="B2786" s="35" t="s">
        <v>4199</v>
      </c>
      <c r="C2786" s="35">
        <v>2023</v>
      </c>
      <c r="D2786" s="36">
        <v>45132.815821759257</v>
      </c>
      <c r="E2786" s="37" t="s">
        <v>2947</v>
      </c>
      <c r="F2786" s="37" t="s">
        <v>5684</v>
      </c>
      <c r="G2786" s="37" t="s">
        <v>3710</v>
      </c>
      <c r="H2786" s="35" t="s">
        <v>3419</v>
      </c>
      <c r="I2786" s="35" t="s">
        <v>3416</v>
      </c>
      <c r="J2786" s="38">
        <v>223.7</v>
      </c>
      <c r="K2786" s="35">
        <v>1</v>
      </c>
      <c r="L2786" s="38">
        <f t="shared" si="43"/>
        <v>223.7</v>
      </c>
      <c r="M2786" s="35" t="s">
        <v>11</v>
      </c>
      <c r="N2786" s="38"/>
      <c r="O2786" s="35" t="s">
        <v>12</v>
      </c>
    </row>
    <row r="2787" spans="1:15" ht="30" x14ac:dyDescent="0.25">
      <c r="A2787" s="35">
        <v>1121025006</v>
      </c>
      <c r="B2787" s="35" t="s">
        <v>4199</v>
      </c>
      <c r="C2787" s="35">
        <v>2023</v>
      </c>
      <c r="D2787" s="36">
        <v>45132.503888888888</v>
      </c>
      <c r="E2787" s="37" t="s">
        <v>965</v>
      </c>
      <c r="F2787" s="37" t="s">
        <v>5685</v>
      </c>
      <c r="G2787" s="37" t="s">
        <v>3520</v>
      </c>
      <c r="H2787" s="35" t="s">
        <v>3419</v>
      </c>
      <c r="I2787" s="35" t="s">
        <v>3416</v>
      </c>
      <c r="J2787" s="38">
        <v>1.0674285714285709</v>
      </c>
      <c r="K2787" s="35">
        <v>1</v>
      </c>
      <c r="L2787" s="38">
        <f t="shared" si="43"/>
        <v>1.0674285714285709</v>
      </c>
      <c r="M2787" s="35" t="s">
        <v>11</v>
      </c>
      <c r="N2787" s="38"/>
      <c r="O2787" s="35" t="s">
        <v>12</v>
      </c>
    </row>
    <row r="2788" spans="1:15" ht="30" x14ac:dyDescent="0.25">
      <c r="A2788" s="35">
        <v>1121025006</v>
      </c>
      <c r="B2788" s="35" t="s">
        <v>4199</v>
      </c>
      <c r="C2788" s="35">
        <v>2023</v>
      </c>
      <c r="D2788" s="36">
        <v>45132.503888888888</v>
      </c>
      <c r="E2788" s="37" t="s">
        <v>965</v>
      </c>
      <c r="F2788" s="37" t="s">
        <v>5645</v>
      </c>
      <c r="G2788" s="37" t="s">
        <v>3520</v>
      </c>
      <c r="H2788" s="35" t="s">
        <v>3419</v>
      </c>
      <c r="I2788" s="35" t="s">
        <v>3416</v>
      </c>
      <c r="J2788" s="38">
        <v>14.944000000000001</v>
      </c>
      <c r="K2788" s="35">
        <v>1</v>
      </c>
      <c r="L2788" s="38">
        <f t="shared" si="43"/>
        <v>14.944000000000001</v>
      </c>
      <c r="M2788" s="35" t="s">
        <v>11</v>
      </c>
      <c r="N2788" s="38"/>
      <c r="O2788" s="35" t="s">
        <v>12</v>
      </c>
    </row>
    <row r="2789" spans="1:15" ht="30" x14ac:dyDescent="0.25">
      <c r="A2789" s="35">
        <v>1121025006</v>
      </c>
      <c r="B2789" s="35" t="s">
        <v>4199</v>
      </c>
      <c r="C2789" s="35">
        <v>2023</v>
      </c>
      <c r="D2789" s="36">
        <v>45132.503888888888</v>
      </c>
      <c r="E2789" s="37" t="s">
        <v>965</v>
      </c>
      <c r="F2789" s="37" t="s">
        <v>5686</v>
      </c>
      <c r="G2789" s="37" t="s">
        <v>3520</v>
      </c>
      <c r="H2789" s="35" t="s">
        <v>3419</v>
      </c>
      <c r="I2789" s="35" t="s">
        <v>3416</v>
      </c>
      <c r="J2789" s="38">
        <v>1.0674285714285709</v>
      </c>
      <c r="K2789" s="35">
        <v>1</v>
      </c>
      <c r="L2789" s="38">
        <f t="shared" si="43"/>
        <v>1.0674285714285709</v>
      </c>
      <c r="M2789" s="35" t="s">
        <v>11</v>
      </c>
      <c r="N2789" s="38"/>
      <c r="O2789" s="35" t="s">
        <v>12</v>
      </c>
    </row>
    <row r="2790" spans="1:15" ht="30" x14ac:dyDescent="0.25">
      <c r="A2790" s="35">
        <v>1121025006</v>
      </c>
      <c r="B2790" s="35" t="s">
        <v>4199</v>
      </c>
      <c r="C2790" s="35">
        <v>2023</v>
      </c>
      <c r="D2790" s="36">
        <v>45132.503888888888</v>
      </c>
      <c r="E2790" s="37" t="s">
        <v>965</v>
      </c>
      <c r="F2790" s="37" t="s">
        <v>5687</v>
      </c>
      <c r="G2790" s="37" t="s">
        <v>3520</v>
      </c>
      <c r="H2790" s="35" t="s">
        <v>3419</v>
      </c>
      <c r="I2790" s="35" t="s">
        <v>3416</v>
      </c>
      <c r="J2790" s="38">
        <v>1.601142857142857</v>
      </c>
      <c r="K2790" s="35">
        <v>1</v>
      </c>
      <c r="L2790" s="38">
        <f t="shared" si="43"/>
        <v>1.601142857142857</v>
      </c>
      <c r="M2790" s="35" t="s">
        <v>11</v>
      </c>
      <c r="N2790" s="38"/>
      <c r="O2790" s="35" t="s">
        <v>12</v>
      </c>
    </row>
    <row r="2791" spans="1:15" x14ac:dyDescent="0.25">
      <c r="A2791" s="35">
        <v>1120613080</v>
      </c>
      <c r="B2791" s="35" t="s">
        <v>4199</v>
      </c>
      <c r="C2791" s="35">
        <v>2023</v>
      </c>
      <c r="D2791" s="36">
        <v>45128.53292824074</v>
      </c>
      <c r="E2791" s="37" t="s">
        <v>2953</v>
      </c>
      <c r="F2791" s="37" t="s">
        <v>5688</v>
      </c>
      <c r="G2791" s="37" t="s">
        <v>5689</v>
      </c>
      <c r="H2791" s="35" t="s">
        <v>3419</v>
      </c>
      <c r="I2791" s="35" t="s">
        <v>3416</v>
      </c>
      <c r="J2791" s="38">
        <v>0.28222996515679438</v>
      </c>
      <c r="K2791" s="35">
        <v>1</v>
      </c>
      <c r="L2791" s="38">
        <f t="shared" si="43"/>
        <v>0.28222996515679438</v>
      </c>
      <c r="M2791" s="35" t="s">
        <v>11</v>
      </c>
      <c r="N2791" s="38"/>
      <c r="O2791" s="35" t="s">
        <v>2314</v>
      </c>
    </row>
    <row r="2792" spans="1:15" x14ac:dyDescent="0.25">
      <c r="A2792" s="35">
        <v>1120613080</v>
      </c>
      <c r="B2792" s="35" t="s">
        <v>4199</v>
      </c>
      <c r="C2792" s="35">
        <v>2023</v>
      </c>
      <c r="D2792" s="36">
        <v>45128.53292824074</v>
      </c>
      <c r="E2792" s="37" t="s">
        <v>2953</v>
      </c>
      <c r="F2792" s="37" t="s">
        <v>5690</v>
      </c>
      <c r="G2792" s="37" t="s">
        <v>5689</v>
      </c>
      <c r="H2792" s="35" t="s">
        <v>3419</v>
      </c>
      <c r="I2792" s="35" t="s">
        <v>3416</v>
      </c>
      <c r="J2792" s="38">
        <v>2.822299651567944E-2</v>
      </c>
      <c r="K2792" s="35">
        <v>1</v>
      </c>
      <c r="L2792" s="38">
        <f t="shared" si="43"/>
        <v>2.822299651567944E-2</v>
      </c>
      <c r="M2792" s="35" t="s">
        <v>11</v>
      </c>
      <c r="N2792" s="38"/>
      <c r="O2792" s="35" t="s">
        <v>2314</v>
      </c>
    </row>
    <row r="2793" spans="1:15" x14ac:dyDescent="0.25">
      <c r="A2793" s="35">
        <v>1120613080</v>
      </c>
      <c r="B2793" s="35" t="s">
        <v>4199</v>
      </c>
      <c r="C2793" s="35">
        <v>2023</v>
      </c>
      <c r="D2793" s="36">
        <v>45128.53292824074</v>
      </c>
      <c r="E2793" s="37" t="s">
        <v>2953</v>
      </c>
      <c r="F2793" s="37" t="s">
        <v>5691</v>
      </c>
      <c r="G2793" s="37" t="s">
        <v>5689</v>
      </c>
      <c r="H2793" s="35" t="s">
        <v>3419</v>
      </c>
      <c r="I2793" s="35" t="s">
        <v>3416</v>
      </c>
      <c r="J2793" s="38">
        <v>7.0557491289198609E-2</v>
      </c>
      <c r="K2793" s="35">
        <v>1</v>
      </c>
      <c r="L2793" s="38">
        <f t="shared" si="43"/>
        <v>7.0557491289198609E-2</v>
      </c>
      <c r="M2793" s="35" t="s">
        <v>11</v>
      </c>
      <c r="N2793" s="38"/>
      <c r="O2793" s="35" t="s">
        <v>2314</v>
      </c>
    </row>
    <row r="2794" spans="1:15" x14ac:dyDescent="0.25">
      <c r="A2794" s="35">
        <v>1120613080</v>
      </c>
      <c r="B2794" s="35" t="s">
        <v>4199</v>
      </c>
      <c r="C2794" s="35">
        <v>2023</v>
      </c>
      <c r="D2794" s="36">
        <v>45128.53292824074</v>
      </c>
      <c r="E2794" s="37" t="s">
        <v>2953</v>
      </c>
      <c r="F2794" s="37" t="s">
        <v>5319</v>
      </c>
      <c r="G2794" s="37" t="s">
        <v>5692</v>
      </c>
      <c r="H2794" s="35" t="s">
        <v>3419</v>
      </c>
      <c r="I2794" s="35" t="s">
        <v>3416</v>
      </c>
      <c r="J2794" s="38">
        <v>1.8344947735191639</v>
      </c>
      <c r="K2794" s="35">
        <v>1</v>
      </c>
      <c r="L2794" s="38">
        <f t="shared" si="43"/>
        <v>1.8344947735191639</v>
      </c>
      <c r="M2794" s="35" t="s">
        <v>11</v>
      </c>
      <c r="N2794" s="38"/>
      <c r="O2794" s="35" t="s">
        <v>2314</v>
      </c>
    </row>
    <row r="2795" spans="1:15" x14ac:dyDescent="0.25">
      <c r="A2795" s="35">
        <v>1120613080</v>
      </c>
      <c r="B2795" s="35" t="s">
        <v>4199</v>
      </c>
      <c r="C2795" s="35">
        <v>2023</v>
      </c>
      <c r="D2795" s="36">
        <v>45128.53292824074</v>
      </c>
      <c r="E2795" s="37" t="s">
        <v>2953</v>
      </c>
      <c r="F2795" s="37" t="s">
        <v>5319</v>
      </c>
      <c r="G2795" s="37" t="s">
        <v>5689</v>
      </c>
      <c r="H2795" s="35" t="s">
        <v>3419</v>
      </c>
      <c r="I2795" s="35" t="s">
        <v>3416</v>
      </c>
      <c r="J2795" s="38">
        <v>1.8344947735191639</v>
      </c>
      <c r="K2795" s="35">
        <v>1</v>
      </c>
      <c r="L2795" s="38">
        <f t="shared" si="43"/>
        <v>1.8344947735191639</v>
      </c>
      <c r="M2795" s="35" t="s">
        <v>11</v>
      </c>
      <c r="N2795" s="38"/>
      <c r="O2795" s="35" t="s">
        <v>2314</v>
      </c>
    </row>
    <row r="2796" spans="1:15" ht="30" x14ac:dyDescent="0.25">
      <c r="A2796" s="35">
        <v>1120371901</v>
      </c>
      <c r="B2796" s="35" t="s">
        <v>4199</v>
      </c>
      <c r="C2796" s="35">
        <v>2023</v>
      </c>
      <c r="D2796" s="36">
        <v>45126.358287037037</v>
      </c>
      <c r="E2796" s="37" t="s">
        <v>294</v>
      </c>
      <c r="F2796" s="37" t="s">
        <v>5693</v>
      </c>
      <c r="G2796" s="37" t="s">
        <v>3520</v>
      </c>
      <c r="H2796" s="35" t="s">
        <v>3419</v>
      </c>
      <c r="I2796" s="35" t="s">
        <v>3416</v>
      </c>
      <c r="J2796" s="38">
        <v>2.9484482758620691</v>
      </c>
      <c r="K2796" s="35">
        <v>1</v>
      </c>
      <c r="L2796" s="38">
        <f t="shared" si="43"/>
        <v>2.9484482758620691</v>
      </c>
      <c r="M2796" s="35" t="s">
        <v>11</v>
      </c>
      <c r="N2796" s="38"/>
      <c r="O2796" s="35" t="s">
        <v>12</v>
      </c>
    </row>
    <row r="2797" spans="1:15" ht="30" x14ac:dyDescent="0.25">
      <c r="A2797" s="35">
        <v>1120371901</v>
      </c>
      <c r="B2797" s="35" t="s">
        <v>4199</v>
      </c>
      <c r="C2797" s="35">
        <v>2023</v>
      </c>
      <c r="D2797" s="36">
        <v>45126.358287037037</v>
      </c>
      <c r="E2797" s="37" t="s">
        <v>294</v>
      </c>
      <c r="F2797" s="37" t="s">
        <v>5694</v>
      </c>
      <c r="G2797" s="37" t="s">
        <v>3520</v>
      </c>
      <c r="H2797" s="35" t="s">
        <v>3419</v>
      </c>
      <c r="I2797" s="35" t="s">
        <v>3416</v>
      </c>
      <c r="J2797" s="38">
        <v>2.3467241379310351</v>
      </c>
      <c r="K2797" s="35">
        <v>1</v>
      </c>
      <c r="L2797" s="38">
        <f t="shared" si="43"/>
        <v>2.3467241379310351</v>
      </c>
      <c r="M2797" s="35" t="s">
        <v>11</v>
      </c>
      <c r="N2797" s="38"/>
      <c r="O2797" s="35" t="s">
        <v>12</v>
      </c>
    </row>
    <row r="2798" spans="1:15" ht="30" x14ac:dyDescent="0.25">
      <c r="A2798" s="35">
        <v>1120371901</v>
      </c>
      <c r="B2798" s="35" t="s">
        <v>4199</v>
      </c>
      <c r="C2798" s="35">
        <v>2023</v>
      </c>
      <c r="D2798" s="36">
        <v>45126.358287037037</v>
      </c>
      <c r="E2798" s="37" t="s">
        <v>294</v>
      </c>
      <c r="F2798" s="37" t="s">
        <v>4032</v>
      </c>
      <c r="G2798" s="37" t="s">
        <v>3520</v>
      </c>
      <c r="H2798" s="35" t="s">
        <v>3415</v>
      </c>
      <c r="I2798" s="35" t="s">
        <v>3416</v>
      </c>
      <c r="J2798" s="38">
        <v>0.42120689655172411</v>
      </c>
      <c r="K2798" s="35">
        <v>4</v>
      </c>
      <c r="L2798" s="38">
        <f t="shared" si="43"/>
        <v>1.6848275862068964</v>
      </c>
      <c r="M2798" s="35" t="s">
        <v>11</v>
      </c>
      <c r="N2798" s="38"/>
      <c r="O2798" s="35" t="s">
        <v>12</v>
      </c>
    </row>
    <row r="2799" spans="1:15" ht="30" x14ac:dyDescent="0.25">
      <c r="A2799" s="35">
        <v>1120351102</v>
      </c>
      <c r="B2799" s="35" t="s">
        <v>4199</v>
      </c>
      <c r="C2799" s="35">
        <v>2023</v>
      </c>
      <c r="D2799" s="36">
        <v>45125.933657407397</v>
      </c>
      <c r="E2799" s="37" t="s">
        <v>2957</v>
      </c>
      <c r="F2799" s="37" t="s">
        <v>5695</v>
      </c>
      <c r="G2799" s="37" t="s">
        <v>3520</v>
      </c>
      <c r="H2799" s="35" t="s">
        <v>3419</v>
      </c>
      <c r="I2799" s="35" t="s">
        <v>3416</v>
      </c>
      <c r="J2799" s="38">
        <v>0.58148956817079089</v>
      </c>
      <c r="K2799" s="35">
        <v>1</v>
      </c>
      <c r="L2799" s="38">
        <f t="shared" si="43"/>
        <v>0.58148956817079089</v>
      </c>
      <c r="M2799" s="35" t="s">
        <v>11</v>
      </c>
      <c r="N2799" s="38"/>
      <c r="O2799" s="35" t="s">
        <v>12</v>
      </c>
    </row>
    <row r="2800" spans="1:15" ht="30" x14ac:dyDescent="0.25">
      <c r="A2800" s="35">
        <v>1120351102</v>
      </c>
      <c r="B2800" s="35" t="s">
        <v>4199</v>
      </c>
      <c r="C2800" s="35">
        <v>2023</v>
      </c>
      <c r="D2800" s="36">
        <v>45125.933657407397</v>
      </c>
      <c r="E2800" s="37" t="s">
        <v>2957</v>
      </c>
      <c r="F2800" s="37" t="s">
        <v>5696</v>
      </c>
      <c r="G2800" s="37" t="s">
        <v>3520</v>
      </c>
      <c r="H2800" s="35" t="s">
        <v>3419</v>
      </c>
      <c r="I2800" s="35" t="s">
        <v>3416</v>
      </c>
      <c r="J2800" s="38">
        <v>3.27748665696264</v>
      </c>
      <c r="K2800" s="35">
        <v>1</v>
      </c>
      <c r="L2800" s="38">
        <f t="shared" si="43"/>
        <v>3.27748665696264</v>
      </c>
      <c r="M2800" s="35" t="s">
        <v>11</v>
      </c>
      <c r="N2800" s="38"/>
      <c r="O2800" s="35" t="s">
        <v>12</v>
      </c>
    </row>
    <row r="2801" spans="1:15" ht="30" x14ac:dyDescent="0.25">
      <c r="A2801" s="35">
        <v>1120351102</v>
      </c>
      <c r="B2801" s="35" t="s">
        <v>4199</v>
      </c>
      <c r="C2801" s="35">
        <v>2023</v>
      </c>
      <c r="D2801" s="36">
        <v>45125.933657407397</v>
      </c>
      <c r="E2801" s="37" t="s">
        <v>2957</v>
      </c>
      <c r="F2801" s="37" t="s">
        <v>5697</v>
      </c>
      <c r="G2801" s="37" t="s">
        <v>3520</v>
      </c>
      <c r="H2801" s="35" t="s">
        <v>3419</v>
      </c>
      <c r="I2801" s="35" t="s">
        <v>3416</v>
      </c>
      <c r="J2801" s="38">
        <v>2.9180203784570589</v>
      </c>
      <c r="K2801" s="35">
        <v>1</v>
      </c>
      <c r="L2801" s="38">
        <f t="shared" si="43"/>
        <v>2.9180203784570589</v>
      </c>
      <c r="M2801" s="35" t="s">
        <v>11</v>
      </c>
      <c r="N2801" s="38"/>
      <c r="O2801" s="35" t="s">
        <v>12</v>
      </c>
    </row>
    <row r="2802" spans="1:15" ht="30" x14ac:dyDescent="0.25">
      <c r="A2802" s="35">
        <v>1120351102</v>
      </c>
      <c r="B2802" s="35" t="s">
        <v>4199</v>
      </c>
      <c r="C2802" s="35">
        <v>2023</v>
      </c>
      <c r="D2802" s="36">
        <v>45125.933657407397</v>
      </c>
      <c r="E2802" s="37" t="s">
        <v>2957</v>
      </c>
      <c r="F2802" s="37" t="s">
        <v>5698</v>
      </c>
      <c r="G2802" s="37" t="s">
        <v>3520</v>
      </c>
      <c r="H2802" s="35" t="s">
        <v>3419</v>
      </c>
      <c r="I2802" s="35" t="s">
        <v>3416</v>
      </c>
      <c r="J2802" s="38">
        <v>2.2730955846676371</v>
      </c>
      <c r="K2802" s="35">
        <v>1</v>
      </c>
      <c r="L2802" s="38">
        <f t="shared" si="43"/>
        <v>2.2730955846676371</v>
      </c>
      <c r="M2802" s="35" t="s">
        <v>11</v>
      </c>
      <c r="N2802" s="38"/>
      <c r="O2802" s="35" t="s">
        <v>12</v>
      </c>
    </row>
    <row r="2803" spans="1:15" ht="30" x14ac:dyDescent="0.25">
      <c r="A2803" s="35">
        <v>1120351102</v>
      </c>
      <c r="B2803" s="35" t="s">
        <v>4199</v>
      </c>
      <c r="C2803" s="35">
        <v>2023</v>
      </c>
      <c r="D2803" s="36">
        <v>45125.933657407397</v>
      </c>
      <c r="E2803" s="37" t="s">
        <v>2957</v>
      </c>
      <c r="F2803" s="37" t="s">
        <v>5699</v>
      </c>
      <c r="G2803" s="37" t="s">
        <v>3520</v>
      </c>
      <c r="H2803" s="35" t="s">
        <v>3419</v>
      </c>
      <c r="I2803" s="35" t="s">
        <v>3416</v>
      </c>
      <c r="J2803" s="38">
        <v>0.84580300824842314</v>
      </c>
      <c r="K2803" s="35">
        <v>1</v>
      </c>
      <c r="L2803" s="38">
        <f t="shared" si="43"/>
        <v>0.84580300824842314</v>
      </c>
      <c r="M2803" s="35" t="s">
        <v>11</v>
      </c>
      <c r="N2803" s="38"/>
      <c r="O2803" s="35" t="s">
        <v>12</v>
      </c>
    </row>
    <row r="2804" spans="1:15" ht="30" x14ac:dyDescent="0.25">
      <c r="A2804" s="35">
        <v>1120351102</v>
      </c>
      <c r="B2804" s="35" t="s">
        <v>4199</v>
      </c>
      <c r="C2804" s="35">
        <v>2023</v>
      </c>
      <c r="D2804" s="36">
        <v>45125.933657407397</v>
      </c>
      <c r="E2804" s="37" t="s">
        <v>2957</v>
      </c>
      <c r="F2804" s="37" t="s">
        <v>5173</v>
      </c>
      <c r="G2804" s="37" t="s">
        <v>3520</v>
      </c>
      <c r="H2804" s="35" t="s">
        <v>3419</v>
      </c>
      <c r="I2804" s="35" t="s">
        <v>3416</v>
      </c>
      <c r="J2804" s="38">
        <v>0.37003881610868511</v>
      </c>
      <c r="K2804" s="35">
        <v>1</v>
      </c>
      <c r="L2804" s="38">
        <f t="shared" si="43"/>
        <v>0.37003881610868511</v>
      </c>
      <c r="M2804" s="35" t="s">
        <v>11</v>
      </c>
      <c r="N2804" s="38"/>
      <c r="O2804" s="35" t="s">
        <v>12</v>
      </c>
    </row>
    <row r="2805" spans="1:15" ht="30" x14ac:dyDescent="0.25">
      <c r="A2805" s="35">
        <v>1120351102</v>
      </c>
      <c r="B2805" s="35" t="s">
        <v>4199</v>
      </c>
      <c r="C2805" s="35">
        <v>2023</v>
      </c>
      <c r="D2805" s="36">
        <v>45125.933657407397</v>
      </c>
      <c r="E2805" s="37" t="s">
        <v>2957</v>
      </c>
      <c r="F2805" s="37" t="s">
        <v>5687</v>
      </c>
      <c r="G2805" s="37" t="s">
        <v>3520</v>
      </c>
      <c r="H2805" s="35" t="s">
        <v>3419</v>
      </c>
      <c r="I2805" s="35" t="s">
        <v>3416</v>
      </c>
      <c r="J2805" s="38">
        <v>0.52862688015526449</v>
      </c>
      <c r="K2805" s="35">
        <v>1</v>
      </c>
      <c r="L2805" s="38">
        <f t="shared" si="43"/>
        <v>0.52862688015526449</v>
      </c>
      <c r="M2805" s="35" t="s">
        <v>11</v>
      </c>
      <c r="N2805" s="38"/>
      <c r="O2805" s="35" t="s">
        <v>12</v>
      </c>
    </row>
    <row r="2806" spans="1:15" ht="30" x14ac:dyDescent="0.25">
      <c r="A2806" s="35">
        <v>1120351102</v>
      </c>
      <c r="B2806" s="35" t="s">
        <v>4199</v>
      </c>
      <c r="C2806" s="35">
        <v>2023</v>
      </c>
      <c r="D2806" s="36">
        <v>45125.933657407397</v>
      </c>
      <c r="E2806" s="37" t="s">
        <v>2957</v>
      </c>
      <c r="F2806" s="37" t="s">
        <v>5700</v>
      </c>
      <c r="G2806" s="37" t="s">
        <v>3520</v>
      </c>
      <c r="H2806" s="35" t="s">
        <v>3419</v>
      </c>
      <c r="I2806" s="35" t="s">
        <v>3416</v>
      </c>
      <c r="J2806" s="38">
        <v>0.26431344007763219</v>
      </c>
      <c r="K2806" s="35">
        <v>1</v>
      </c>
      <c r="L2806" s="38">
        <f t="shared" si="43"/>
        <v>0.26431344007763219</v>
      </c>
      <c r="M2806" s="35" t="s">
        <v>11</v>
      </c>
      <c r="N2806" s="38"/>
      <c r="O2806" s="35" t="s">
        <v>12</v>
      </c>
    </row>
    <row r="2807" spans="1:15" ht="30" x14ac:dyDescent="0.25">
      <c r="A2807" s="35">
        <v>1120351102</v>
      </c>
      <c r="B2807" s="35" t="s">
        <v>4199</v>
      </c>
      <c r="C2807" s="35">
        <v>2023</v>
      </c>
      <c r="D2807" s="36">
        <v>45125.933657407397</v>
      </c>
      <c r="E2807" s="37" t="s">
        <v>2957</v>
      </c>
      <c r="F2807" s="37" t="s">
        <v>5701</v>
      </c>
      <c r="G2807" s="37" t="s">
        <v>3520</v>
      </c>
      <c r="H2807" s="35" t="s">
        <v>3419</v>
      </c>
      <c r="I2807" s="35" t="s">
        <v>3416</v>
      </c>
      <c r="J2807" s="38">
        <v>0.84580300824842314</v>
      </c>
      <c r="K2807" s="35">
        <v>1</v>
      </c>
      <c r="L2807" s="38">
        <f t="shared" si="43"/>
        <v>0.84580300824842314</v>
      </c>
      <c r="M2807" s="35" t="s">
        <v>11</v>
      </c>
      <c r="N2807" s="38"/>
      <c r="O2807" s="35" t="s">
        <v>12</v>
      </c>
    </row>
    <row r="2808" spans="1:15" ht="30" x14ac:dyDescent="0.25">
      <c r="A2808" s="35">
        <v>1120351102</v>
      </c>
      <c r="B2808" s="35" t="s">
        <v>4199</v>
      </c>
      <c r="C2808" s="35">
        <v>2023</v>
      </c>
      <c r="D2808" s="36">
        <v>45125.933657407397</v>
      </c>
      <c r="E2808" s="37" t="s">
        <v>2957</v>
      </c>
      <c r="F2808" s="37" t="s">
        <v>5702</v>
      </c>
      <c r="G2808" s="37" t="s">
        <v>3520</v>
      </c>
      <c r="H2808" s="35" t="s">
        <v>3419</v>
      </c>
      <c r="I2808" s="35" t="s">
        <v>3416</v>
      </c>
      <c r="J2808" s="38">
        <v>5.2862688015526436</v>
      </c>
      <c r="K2808" s="35">
        <v>1</v>
      </c>
      <c r="L2808" s="38">
        <f t="shared" si="43"/>
        <v>5.2862688015526436</v>
      </c>
      <c r="M2808" s="35" t="s">
        <v>11</v>
      </c>
      <c r="N2808" s="38"/>
      <c r="O2808" s="35" t="s">
        <v>12</v>
      </c>
    </row>
    <row r="2809" spans="1:15" ht="30" x14ac:dyDescent="0.25">
      <c r="A2809" s="35">
        <v>1120351102</v>
      </c>
      <c r="B2809" s="35" t="s">
        <v>4199</v>
      </c>
      <c r="C2809" s="35">
        <v>2023</v>
      </c>
      <c r="D2809" s="36">
        <v>45125.933657407397</v>
      </c>
      <c r="E2809" s="37" t="s">
        <v>2957</v>
      </c>
      <c r="F2809" s="37" t="s">
        <v>5703</v>
      </c>
      <c r="G2809" s="37" t="s">
        <v>3520</v>
      </c>
      <c r="H2809" s="35" t="s">
        <v>3419</v>
      </c>
      <c r="I2809" s="35" t="s">
        <v>3416</v>
      </c>
      <c r="J2809" s="38">
        <v>0.52862688015526449</v>
      </c>
      <c r="K2809" s="35">
        <v>1</v>
      </c>
      <c r="L2809" s="38">
        <f t="shared" si="43"/>
        <v>0.52862688015526449</v>
      </c>
      <c r="M2809" s="35" t="s">
        <v>11</v>
      </c>
      <c r="N2809" s="38"/>
      <c r="O2809" s="35" t="s">
        <v>12</v>
      </c>
    </row>
    <row r="2810" spans="1:15" ht="30" x14ac:dyDescent="0.25">
      <c r="A2810" s="35">
        <v>1120351102</v>
      </c>
      <c r="B2810" s="35" t="s">
        <v>4199</v>
      </c>
      <c r="C2810" s="35">
        <v>2023</v>
      </c>
      <c r="D2810" s="36">
        <v>45125.933657407397</v>
      </c>
      <c r="E2810" s="37" t="s">
        <v>2957</v>
      </c>
      <c r="F2810" s="37" t="s">
        <v>5704</v>
      </c>
      <c r="G2810" s="37" t="s">
        <v>3520</v>
      </c>
      <c r="H2810" s="35" t="s">
        <v>3419</v>
      </c>
      <c r="I2810" s="35" t="s">
        <v>3416</v>
      </c>
      <c r="J2810" s="38">
        <v>0.68721494420184381</v>
      </c>
      <c r="K2810" s="35">
        <v>1</v>
      </c>
      <c r="L2810" s="38">
        <f t="shared" si="43"/>
        <v>0.68721494420184381</v>
      </c>
      <c r="M2810" s="35" t="s">
        <v>11</v>
      </c>
      <c r="N2810" s="38"/>
      <c r="O2810" s="35" t="s">
        <v>12</v>
      </c>
    </row>
    <row r="2811" spans="1:15" ht="30" x14ac:dyDescent="0.25">
      <c r="A2811" s="35">
        <v>1120351102</v>
      </c>
      <c r="B2811" s="35" t="s">
        <v>4199</v>
      </c>
      <c r="C2811" s="35">
        <v>2023</v>
      </c>
      <c r="D2811" s="36">
        <v>45125.933657407397</v>
      </c>
      <c r="E2811" s="37" t="s">
        <v>2957</v>
      </c>
      <c r="F2811" s="37" t="s">
        <v>5705</v>
      </c>
      <c r="G2811" s="37" t="s">
        <v>3520</v>
      </c>
      <c r="H2811" s="35" t="s">
        <v>3419</v>
      </c>
      <c r="I2811" s="35" t="s">
        <v>3416</v>
      </c>
      <c r="J2811" s="38">
        <v>1.585880640465793</v>
      </c>
      <c r="K2811" s="35">
        <v>1</v>
      </c>
      <c r="L2811" s="38">
        <f t="shared" si="43"/>
        <v>1.585880640465793</v>
      </c>
      <c r="M2811" s="35" t="s">
        <v>11</v>
      </c>
      <c r="N2811" s="38"/>
      <c r="O2811" s="35" t="s">
        <v>12</v>
      </c>
    </row>
    <row r="2812" spans="1:15" ht="30" x14ac:dyDescent="0.25">
      <c r="A2812" s="35">
        <v>1120351102</v>
      </c>
      <c r="B2812" s="35" t="s">
        <v>4199</v>
      </c>
      <c r="C2812" s="35">
        <v>2023</v>
      </c>
      <c r="D2812" s="36">
        <v>45125.933657407397</v>
      </c>
      <c r="E2812" s="37" t="s">
        <v>2957</v>
      </c>
      <c r="F2812" s="37" t="s">
        <v>5706</v>
      </c>
      <c r="G2812" s="37" t="s">
        <v>3520</v>
      </c>
      <c r="H2812" s="35" t="s">
        <v>3419</v>
      </c>
      <c r="I2812" s="35" t="s">
        <v>3416</v>
      </c>
      <c r="J2812" s="38">
        <v>1.057253760310529</v>
      </c>
      <c r="K2812" s="35">
        <v>1</v>
      </c>
      <c r="L2812" s="38">
        <f t="shared" si="43"/>
        <v>1.057253760310529</v>
      </c>
      <c r="M2812" s="35" t="s">
        <v>11</v>
      </c>
      <c r="N2812" s="38"/>
      <c r="O2812" s="35" t="s">
        <v>12</v>
      </c>
    </row>
    <row r="2813" spans="1:15" ht="30" x14ac:dyDescent="0.25">
      <c r="A2813" s="35">
        <v>1120351102</v>
      </c>
      <c r="B2813" s="35" t="s">
        <v>4199</v>
      </c>
      <c r="C2813" s="35">
        <v>2023</v>
      </c>
      <c r="D2813" s="36">
        <v>45125.933657407397</v>
      </c>
      <c r="E2813" s="37" t="s">
        <v>2957</v>
      </c>
      <c r="F2813" s="37" t="s">
        <v>5707</v>
      </c>
      <c r="G2813" s="37" t="s">
        <v>5708</v>
      </c>
      <c r="H2813" s="35" t="s">
        <v>3419</v>
      </c>
      <c r="I2813" s="35" t="s">
        <v>3416</v>
      </c>
      <c r="J2813" s="38">
        <v>0.74007763221737011</v>
      </c>
      <c r="K2813" s="35">
        <v>1</v>
      </c>
      <c r="L2813" s="38">
        <f t="shared" si="43"/>
        <v>0.74007763221737011</v>
      </c>
      <c r="M2813" s="35" t="s">
        <v>11</v>
      </c>
      <c r="N2813" s="38"/>
      <c r="O2813" s="35" t="s">
        <v>12</v>
      </c>
    </row>
    <row r="2814" spans="1:15" ht="30" x14ac:dyDescent="0.25">
      <c r="A2814" s="35">
        <v>1120351080</v>
      </c>
      <c r="B2814" s="35" t="s">
        <v>4199</v>
      </c>
      <c r="C2814" s="35">
        <v>2023</v>
      </c>
      <c r="D2814" s="36">
        <v>45125.933657407397</v>
      </c>
      <c r="E2814" s="37" t="s">
        <v>2960</v>
      </c>
      <c r="F2814" s="37" t="s">
        <v>5709</v>
      </c>
      <c r="G2814" s="37" t="s">
        <v>3520</v>
      </c>
      <c r="H2814" s="35" t="s">
        <v>3419</v>
      </c>
      <c r="I2814" s="35" t="s">
        <v>3416</v>
      </c>
      <c r="J2814" s="38">
        <v>1.0037471264367821</v>
      </c>
      <c r="K2814" s="35">
        <v>1</v>
      </c>
      <c r="L2814" s="38">
        <f t="shared" si="43"/>
        <v>1.0037471264367821</v>
      </c>
      <c r="M2814" s="35" t="s">
        <v>11</v>
      </c>
      <c r="N2814" s="38"/>
      <c r="O2814" s="35" t="s">
        <v>12</v>
      </c>
    </row>
    <row r="2815" spans="1:15" ht="30" x14ac:dyDescent="0.25">
      <c r="A2815" s="35">
        <v>1120351080</v>
      </c>
      <c r="B2815" s="35" t="s">
        <v>4199</v>
      </c>
      <c r="C2815" s="35">
        <v>2023</v>
      </c>
      <c r="D2815" s="36">
        <v>45125.933657407397</v>
      </c>
      <c r="E2815" s="37" t="s">
        <v>2960</v>
      </c>
      <c r="F2815" s="37" t="s">
        <v>5710</v>
      </c>
      <c r="G2815" s="37" t="s">
        <v>3520</v>
      </c>
      <c r="H2815" s="35" t="s">
        <v>3419</v>
      </c>
      <c r="I2815" s="35" t="s">
        <v>3416</v>
      </c>
      <c r="J2815" s="38">
        <v>0.79018390804597705</v>
      </c>
      <c r="K2815" s="35">
        <v>1</v>
      </c>
      <c r="L2815" s="38">
        <f t="shared" si="43"/>
        <v>0.79018390804597705</v>
      </c>
      <c r="M2815" s="35" t="s">
        <v>11</v>
      </c>
      <c r="N2815" s="38"/>
      <c r="O2815" s="35" t="s">
        <v>12</v>
      </c>
    </row>
    <row r="2816" spans="1:15" ht="30" x14ac:dyDescent="0.25">
      <c r="A2816" s="35">
        <v>1120351080</v>
      </c>
      <c r="B2816" s="35" t="s">
        <v>4199</v>
      </c>
      <c r="C2816" s="35">
        <v>2023</v>
      </c>
      <c r="D2816" s="36">
        <v>45125.933657407397</v>
      </c>
      <c r="E2816" s="37" t="s">
        <v>2960</v>
      </c>
      <c r="F2816" s="37" t="s">
        <v>5711</v>
      </c>
      <c r="G2816" s="37" t="s">
        <v>3520</v>
      </c>
      <c r="H2816" s="35" t="s">
        <v>3419</v>
      </c>
      <c r="I2816" s="35" t="s">
        <v>3416</v>
      </c>
      <c r="J2816" s="38">
        <v>3.139379310344828</v>
      </c>
      <c r="K2816" s="35">
        <v>1</v>
      </c>
      <c r="L2816" s="38">
        <f t="shared" si="43"/>
        <v>3.139379310344828</v>
      </c>
      <c r="M2816" s="35" t="s">
        <v>11</v>
      </c>
      <c r="N2816" s="38"/>
      <c r="O2816" s="35" t="s">
        <v>12</v>
      </c>
    </row>
    <row r="2817" spans="1:15" ht="30" x14ac:dyDescent="0.25">
      <c r="A2817" s="35">
        <v>1120351080</v>
      </c>
      <c r="B2817" s="35" t="s">
        <v>4199</v>
      </c>
      <c r="C2817" s="35">
        <v>2023</v>
      </c>
      <c r="D2817" s="36">
        <v>45125.933657407397</v>
      </c>
      <c r="E2817" s="37" t="s">
        <v>2960</v>
      </c>
      <c r="F2817" s="37" t="s">
        <v>5485</v>
      </c>
      <c r="G2817" s="37" t="s">
        <v>5708</v>
      </c>
      <c r="H2817" s="35" t="s">
        <v>3419</v>
      </c>
      <c r="I2817" s="35" t="s">
        <v>3416</v>
      </c>
      <c r="J2817" s="38">
        <v>5.232298850574713</v>
      </c>
      <c r="K2817" s="35">
        <v>1</v>
      </c>
      <c r="L2817" s="38">
        <f t="shared" si="43"/>
        <v>5.232298850574713</v>
      </c>
      <c r="M2817" s="35" t="s">
        <v>11</v>
      </c>
      <c r="N2817" s="38"/>
      <c r="O2817" s="35" t="s">
        <v>12</v>
      </c>
    </row>
    <row r="2818" spans="1:15" ht="30" x14ac:dyDescent="0.25">
      <c r="A2818" s="35">
        <v>1120351080</v>
      </c>
      <c r="B2818" s="35" t="s">
        <v>4199</v>
      </c>
      <c r="C2818" s="35">
        <v>2023</v>
      </c>
      <c r="D2818" s="36">
        <v>45125.933657407397</v>
      </c>
      <c r="E2818" s="37" t="s">
        <v>2960</v>
      </c>
      <c r="F2818" s="37" t="s">
        <v>5712</v>
      </c>
      <c r="G2818" s="37" t="s">
        <v>3520</v>
      </c>
      <c r="H2818" s="35" t="s">
        <v>3419</v>
      </c>
      <c r="I2818" s="35" t="s">
        <v>3416</v>
      </c>
      <c r="J2818" s="38">
        <v>2.0822413793103451</v>
      </c>
      <c r="K2818" s="35">
        <v>1</v>
      </c>
      <c r="L2818" s="38">
        <f t="shared" ref="L2818:L2881" si="44">J2818*K2818</f>
        <v>2.0822413793103451</v>
      </c>
      <c r="M2818" s="35" t="s">
        <v>11</v>
      </c>
      <c r="N2818" s="38"/>
      <c r="O2818" s="35" t="s">
        <v>12</v>
      </c>
    </row>
    <row r="2819" spans="1:15" ht="30" x14ac:dyDescent="0.25">
      <c r="A2819" s="35">
        <v>1120351080</v>
      </c>
      <c r="B2819" s="35" t="s">
        <v>4199</v>
      </c>
      <c r="C2819" s="35">
        <v>2023</v>
      </c>
      <c r="D2819" s="36">
        <v>45125.933657407397</v>
      </c>
      <c r="E2819" s="37" t="s">
        <v>2960</v>
      </c>
      <c r="F2819" s="37" t="s">
        <v>5449</v>
      </c>
      <c r="G2819" s="37" t="s">
        <v>3520</v>
      </c>
      <c r="H2819" s="35" t="s">
        <v>3419</v>
      </c>
      <c r="I2819" s="35" t="s">
        <v>3416</v>
      </c>
      <c r="J2819" s="38">
        <v>5.072126436781609</v>
      </c>
      <c r="K2819" s="35">
        <v>1</v>
      </c>
      <c r="L2819" s="38">
        <f t="shared" si="44"/>
        <v>5.072126436781609</v>
      </c>
      <c r="M2819" s="35" t="s">
        <v>11</v>
      </c>
      <c r="N2819" s="38"/>
      <c r="O2819" s="35" t="s">
        <v>12</v>
      </c>
    </row>
    <row r="2820" spans="1:15" ht="30" x14ac:dyDescent="0.25">
      <c r="A2820" s="35">
        <v>1120351080</v>
      </c>
      <c r="B2820" s="35" t="s">
        <v>4199</v>
      </c>
      <c r="C2820" s="35">
        <v>2023</v>
      </c>
      <c r="D2820" s="36">
        <v>45125.933657407397</v>
      </c>
      <c r="E2820" s="37" t="s">
        <v>2960</v>
      </c>
      <c r="F2820" s="37" t="s">
        <v>5713</v>
      </c>
      <c r="G2820" s="37" t="s">
        <v>3520</v>
      </c>
      <c r="H2820" s="35" t="s">
        <v>3419</v>
      </c>
      <c r="I2820" s="35" t="s">
        <v>3416</v>
      </c>
      <c r="J2820" s="38">
        <v>0.46983908045977008</v>
      </c>
      <c r="K2820" s="35">
        <v>1</v>
      </c>
      <c r="L2820" s="38">
        <f t="shared" si="44"/>
        <v>0.46983908045977008</v>
      </c>
      <c r="M2820" s="35" t="s">
        <v>11</v>
      </c>
      <c r="N2820" s="38"/>
      <c r="O2820" s="35" t="s">
        <v>12</v>
      </c>
    </row>
    <row r="2821" spans="1:15" ht="30" x14ac:dyDescent="0.25">
      <c r="A2821" s="35">
        <v>1120351080</v>
      </c>
      <c r="B2821" s="35" t="s">
        <v>4199</v>
      </c>
      <c r="C2821" s="35">
        <v>2023</v>
      </c>
      <c r="D2821" s="36">
        <v>45125.933657407397</v>
      </c>
      <c r="E2821" s="37" t="s">
        <v>2960</v>
      </c>
      <c r="F2821" s="37" t="s">
        <v>5714</v>
      </c>
      <c r="G2821" s="37" t="s">
        <v>3520</v>
      </c>
      <c r="H2821" s="35" t="s">
        <v>3419</v>
      </c>
      <c r="I2821" s="35" t="s">
        <v>3416</v>
      </c>
      <c r="J2821" s="38">
        <v>0.79018390804597705</v>
      </c>
      <c r="K2821" s="35">
        <v>1</v>
      </c>
      <c r="L2821" s="38">
        <f t="shared" si="44"/>
        <v>0.79018390804597705</v>
      </c>
      <c r="M2821" s="35" t="s">
        <v>11</v>
      </c>
      <c r="N2821" s="38"/>
      <c r="O2821" s="35" t="s">
        <v>12</v>
      </c>
    </row>
    <row r="2822" spans="1:15" x14ac:dyDescent="0.25">
      <c r="A2822" s="35">
        <v>1120263509</v>
      </c>
      <c r="B2822" s="35" t="s">
        <v>4199</v>
      </c>
      <c r="C2822" s="35">
        <v>2023</v>
      </c>
      <c r="D2822" s="36">
        <v>45125.361145833333</v>
      </c>
      <c r="E2822" s="37" t="s">
        <v>2962</v>
      </c>
      <c r="F2822" s="37" t="s">
        <v>5715</v>
      </c>
      <c r="G2822" s="37" t="s">
        <v>3830</v>
      </c>
      <c r="H2822" s="35" t="s">
        <v>3419</v>
      </c>
      <c r="I2822" s="35" t="s">
        <v>3530</v>
      </c>
      <c r="J2822" s="38">
        <v>19.24923076923077</v>
      </c>
      <c r="K2822" s="35">
        <v>1</v>
      </c>
      <c r="L2822" s="38">
        <f t="shared" si="44"/>
        <v>19.24923076923077</v>
      </c>
      <c r="M2822" s="35" t="s">
        <v>11</v>
      </c>
      <c r="N2822" s="38"/>
      <c r="O2822" s="35" t="s">
        <v>12</v>
      </c>
    </row>
    <row r="2823" spans="1:15" x14ac:dyDescent="0.25">
      <c r="A2823" s="35">
        <v>1120263509</v>
      </c>
      <c r="B2823" s="35" t="s">
        <v>4199</v>
      </c>
      <c r="C2823" s="35">
        <v>2023</v>
      </c>
      <c r="D2823" s="36">
        <v>45125.361145833333</v>
      </c>
      <c r="E2823" s="37" t="s">
        <v>2962</v>
      </c>
      <c r="F2823" s="37" t="s">
        <v>5716</v>
      </c>
      <c r="G2823" s="37" t="s">
        <v>3720</v>
      </c>
      <c r="H2823" s="35" t="s">
        <v>3419</v>
      </c>
      <c r="I2823" s="35" t="s">
        <v>3416</v>
      </c>
      <c r="J2823" s="38">
        <v>12.030769230769231</v>
      </c>
      <c r="K2823" s="35">
        <v>1</v>
      </c>
      <c r="L2823" s="38">
        <f t="shared" si="44"/>
        <v>12.030769230769231</v>
      </c>
      <c r="M2823" s="35" t="s">
        <v>11</v>
      </c>
      <c r="N2823" s="38"/>
      <c r="O2823" s="35" t="s">
        <v>12</v>
      </c>
    </row>
    <row r="2824" spans="1:15" ht="30" x14ac:dyDescent="0.25">
      <c r="A2824" s="35">
        <v>1120184240</v>
      </c>
      <c r="B2824" s="35" t="s">
        <v>4199</v>
      </c>
      <c r="C2824" s="35">
        <v>2023</v>
      </c>
      <c r="D2824" s="36">
        <v>45124.619085648148</v>
      </c>
      <c r="E2824" s="37" t="s">
        <v>2964</v>
      </c>
      <c r="F2824" s="37" t="s">
        <v>5717</v>
      </c>
      <c r="G2824" s="37" t="s">
        <v>3520</v>
      </c>
      <c r="H2824" s="35" t="s">
        <v>3419</v>
      </c>
      <c r="I2824" s="35" t="s">
        <v>3416</v>
      </c>
      <c r="J2824" s="38">
        <v>30.2</v>
      </c>
      <c r="K2824" s="35">
        <v>1</v>
      </c>
      <c r="L2824" s="38">
        <f t="shared" si="44"/>
        <v>30.2</v>
      </c>
      <c r="M2824" s="35" t="s">
        <v>11</v>
      </c>
      <c r="N2824" s="38"/>
      <c r="O2824" s="35" t="s">
        <v>12</v>
      </c>
    </row>
    <row r="2825" spans="1:15" x14ac:dyDescent="0.25">
      <c r="A2825" s="35">
        <v>1119967728</v>
      </c>
      <c r="B2825" s="35" t="s">
        <v>4199</v>
      </c>
      <c r="C2825" s="35">
        <v>2023</v>
      </c>
      <c r="D2825" s="36">
        <v>45122.725497685176</v>
      </c>
      <c r="E2825" s="37" t="s">
        <v>2968</v>
      </c>
      <c r="F2825" s="37" t="s">
        <v>4823</v>
      </c>
      <c r="G2825" s="37" t="s">
        <v>3726</v>
      </c>
      <c r="H2825" s="35" t="s">
        <v>3419</v>
      </c>
      <c r="I2825" s="35" t="s">
        <v>3416</v>
      </c>
      <c r="J2825" s="38">
        <v>0.56585183337490652</v>
      </c>
      <c r="K2825" s="35">
        <v>1</v>
      </c>
      <c r="L2825" s="38">
        <f t="shared" si="44"/>
        <v>0.56585183337490652</v>
      </c>
      <c r="M2825" s="35" t="s">
        <v>11</v>
      </c>
      <c r="N2825" s="38"/>
      <c r="O2825" s="35" t="s">
        <v>12</v>
      </c>
    </row>
    <row r="2826" spans="1:15" x14ac:dyDescent="0.25">
      <c r="A2826" s="35">
        <v>1119967728</v>
      </c>
      <c r="B2826" s="35" t="s">
        <v>4199</v>
      </c>
      <c r="C2826" s="35">
        <v>2023</v>
      </c>
      <c r="D2826" s="36">
        <v>45122.725497685176</v>
      </c>
      <c r="E2826" s="37" t="s">
        <v>2968</v>
      </c>
      <c r="F2826" s="37" t="s">
        <v>5718</v>
      </c>
      <c r="G2826" s="37" t="s">
        <v>3867</v>
      </c>
      <c r="H2826" s="35" t="s">
        <v>3419</v>
      </c>
      <c r="I2826" s="35" t="s">
        <v>3416</v>
      </c>
      <c r="J2826" s="38">
        <v>0.2263407333499626</v>
      </c>
      <c r="K2826" s="35">
        <v>1</v>
      </c>
      <c r="L2826" s="38">
        <f t="shared" si="44"/>
        <v>0.2263407333499626</v>
      </c>
      <c r="M2826" s="35" t="s">
        <v>11</v>
      </c>
      <c r="N2826" s="38"/>
      <c r="O2826" s="35" t="s">
        <v>12</v>
      </c>
    </row>
    <row r="2827" spans="1:15" x14ac:dyDescent="0.25">
      <c r="A2827" s="35">
        <v>1119967728</v>
      </c>
      <c r="B2827" s="35" t="s">
        <v>4199</v>
      </c>
      <c r="C2827" s="35">
        <v>2023</v>
      </c>
      <c r="D2827" s="36">
        <v>45122.725497685176</v>
      </c>
      <c r="E2827" s="37" t="s">
        <v>2968</v>
      </c>
      <c r="F2827" s="37" t="s">
        <v>4391</v>
      </c>
      <c r="G2827" s="37" t="s">
        <v>3710</v>
      </c>
      <c r="H2827" s="35" t="s">
        <v>3419</v>
      </c>
      <c r="I2827" s="35" t="s">
        <v>3416</v>
      </c>
      <c r="J2827" s="38">
        <v>21.162858568221498</v>
      </c>
      <c r="K2827" s="35">
        <v>2</v>
      </c>
      <c r="L2827" s="38">
        <f t="shared" si="44"/>
        <v>42.325717136442996</v>
      </c>
      <c r="M2827" s="35" t="s">
        <v>11</v>
      </c>
      <c r="N2827" s="38"/>
      <c r="O2827" s="35" t="s">
        <v>12</v>
      </c>
    </row>
    <row r="2828" spans="1:15" x14ac:dyDescent="0.25">
      <c r="A2828" s="35">
        <v>1119967728</v>
      </c>
      <c r="B2828" s="35" t="s">
        <v>4199</v>
      </c>
      <c r="C2828" s="35">
        <v>2023</v>
      </c>
      <c r="D2828" s="36">
        <v>45122.725497685176</v>
      </c>
      <c r="E2828" s="37" t="s">
        <v>2968</v>
      </c>
      <c r="F2828" s="37" t="s">
        <v>3985</v>
      </c>
      <c r="G2828" s="37" t="s">
        <v>3551</v>
      </c>
      <c r="H2828" s="35" t="s">
        <v>3419</v>
      </c>
      <c r="I2828" s="35" t="s">
        <v>3416</v>
      </c>
      <c r="J2828" s="38">
        <v>2.2520902968321281</v>
      </c>
      <c r="K2828" s="35">
        <v>1</v>
      </c>
      <c r="L2828" s="38">
        <f t="shared" si="44"/>
        <v>2.2520902968321281</v>
      </c>
      <c r="M2828" s="35" t="s">
        <v>11</v>
      </c>
      <c r="N2828" s="38"/>
      <c r="O2828" s="35" t="s">
        <v>12</v>
      </c>
    </row>
    <row r="2829" spans="1:15" ht="30" x14ac:dyDescent="0.25">
      <c r="A2829" s="35">
        <v>1119702784</v>
      </c>
      <c r="B2829" s="35" t="s">
        <v>4199</v>
      </c>
      <c r="C2829" s="35">
        <v>2023</v>
      </c>
      <c r="D2829" s="36">
        <v>45119.854953703703</v>
      </c>
      <c r="E2829" s="37" t="s">
        <v>2974</v>
      </c>
      <c r="F2829" s="37" t="s">
        <v>4820</v>
      </c>
      <c r="G2829" s="37" t="s">
        <v>3520</v>
      </c>
      <c r="H2829" s="35" t="s">
        <v>3419</v>
      </c>
      <c r="I2829" s="35" t="s">
        <v>3416</v>
      </c>
      <c r="J2829" s="38">
        <v>46.28</v>
      </c>
      <c r="K2829" s="35">
        <v>1</v>
      </c>
      <c r="L2829" s="38">
        <f t="shared" si="44"/>
        <v>46.28</v>
      </c>
      <c r="M2829" s="35" t="s">
        <v>11</v>
      </c>
      <c r="N2829" s="38"/>
      <c r="O2829" s="35" t="s">
        <v>12</v>
      </c>
    </row>
    <row r="2830" spans="1:15" x14ac:dyDescent="0.25">
      <c r="A2830" s="35">
        <v>1119629203</v>
      </c>
      <c r="B2830" s="35" t="s">
        <v>4199</v>
      </c>
      <c r="C2830" s="35">
        <v>2023</v>
      </c>
      <c r="D2830" s="36">
        <v>45119.340046296304</v>
      </c>
      <c r="E2830" s="37" t="s">
        <v>2977</v>
      </c>
      <c r="F2830" s="37" t="s">
        <v>5674</v>
      </c>
      <c r="G2830" s="37" t="s">
        <v>3710</v>
      </c>
      <c r="H2830" s="35" t="s">
        <v>3419</v>
      </c>
      <c r="I2830" s="35" t="s">
        <v>3530</v>
      </c>
      <c r="J2830" s="38">
        <v>120.28</v>
      </c>
      <c r="K2830" s="35">
        <v>1</v>
      </c>
      <c r="L2830" s="38">
        <f t="shared" si="44"/>
        <v>120.28</v>
      </c>
      <c r="M2830" s="35" t="s">
        <v>11</v>
      </c>
      <c r="N2830" s="38"/>
      <c r="O2830" s="35" t="s">
        <v>12</v>
      </c>
    </row>
    <row r="2831" spans="1:15" ht="30" x14ac:dyDescent="0.25">
      <c r="A2831" s="35">
        <v>1119214426</v>
      </c>
      <c r="B2831" s="35" t="s">
        <v>4199</v>
      </c>
      <c r="C2831" s="35">
        <v>2023</v>
      </c>
      <c r="D2831" s="36">
        <v>45115.520937499998</v>
      </c>
      <c r="E2831" s="37" t="s">
        <v>2982</v>
      </c>
      <c r="F2831" s="37" t="s">
        <v>4820</v>
      </c>
      <c r="G2831" s="37" t="s">
        <v>3520</v>
      </c>
      <c r="H2831" s="35" t="s">
        <v>3419</v>
      </c>
      <c r="I2831" s="35" t="s">
        <v>3416</v>
      </c>
      <c r="J2831" s="38">
        <v>40.28</v>
      </c>
      <c r="K2831" s="35">
        <v>1</v>
      </c>
      <c r="L2831" s="38">
        <f t="shared" si="44"/>
        <v>40.28</v>
      </c>
      <c r="M2831" s="35" t="s">
        <v>11</v>
      </c>
      <c r="N2831" s="38"/>
      <c r="O2831" s="35" t="s">
        <v>12</v>
      </c>
    </row>
    <row r="2832" spans="1:15" x14ac:dyDescent="0.25">
      <c r="A2832" s="35">
        <v>1119030892</v>
      </c>
      <c r="B2832" s="35" t="s">
        <v>4199</v>
      </c>
      <c r="C2832" s="35">
        <v>2023</v>
      </c>
      <c r="D2832" s="36">
        <v>45113.718657407408</v>
      </c>
      <c r="E2832" s="37" t="s">
        <v>2985</v>
      </c>
      <c r="F2832" s="37" t="s">
        <v>5721</v>
      </c>
      <c r="G2832" s="37" t="s">
        <v>3551</v>
      </c>
      <c r="H2832" s="35" t="s">
        <v>3419</v>
      </c>
      <c r="I2832" s="35" t="s">
        <v>3530</v>
      </c>
      <c r="J2832" s="38">
        <v>12.18</v>
      </c>
      <c r="K2832" s="35">
        <v>1</v>
      </c>
      <c r="L2832" s="38">
        <f t="shared" si="44"/>
        <v>12.18</v>
      </c>
      <c r="M2832" s="35" t="s">
        <v>11</v>
      </c>
      <c r="N2832" s="38"/>
      <c r="O2832" s="35" t="s">
        <v>12</v>
      </c>
    </row>
    <row r="2833" spans="1:15" x14ac:dyDescent="0.25">
      <c r="A2833" s="35">
        <v>1119029045</v>
      </c>
      <c r="B2833" s="35" t="s">
        <v>4199</v>
      </c>
      <c r="C2833" s="35">
        <v>2023</v>
      </c>
      <c r="D2833" s="36">
        <v>45113.718657407408</v>
      </c>
      <c r="E2833" s="37" t="s">
        <v>1278</v>
      </c>
      <c r="F2833" s="37" t="s">
        <v>4858</v>
      </c>
      <c r="G2833" s="37" t="s">
        <v>3830</v>
      </c>
      <c r="H2833" s="35" t="s">
        <v>3419</v>
      </c>
      <c r="I2833" s="35" t="s">
        <v>3416</v>
      </c>
      <c r="J2833" s="38">
        <v>0.33371428571428569</v>
      </c>
      <c r="K2833" s="35">
        <v>1</v>
      </c>
      <c r="L2833" s="38">
        <f t="shared" si="44"/>
        <v>0.33371428571428569</v>
      </c>
      <c r="M2833" s="35" t="s">
        <v>11</v>
      </c>
      <c r="N2833" s="38"/>
      <c r="O2833" s="35" t="s">
        <v>12</v>
      </c>
    </row>
    <row r="2834" spans="1:15" x14ac:dyDescent="0.25">
      <c r="A2834" s="35">
        <v>1119029045</v>
      </c>
      <c r="B2834" s="35" t="s">
        <v>4199</v>
      </c>
      <c r="C2834" s="35">
        <v>2023</v>
      </c>
      <c r="D2834" s="36">
        <v>45113.718657407408</v>
      </c>
      <c r="E2834" s="37" t="s">
        <v>1278</v>
      </c>
      <c r="F2834" s="37" t="s">
        <v>4859</v>
      </c>
      <c r="G2834" s="37" t="s">
        <v>3772</v>
      </c>
      <c r="H2834" s="35" t="s">
        <v>3415</v>
      </c>
      <c r="I2834" s="35" t="s">
        <v>3416</v>
      </c>
      <c r="J2834" s="38">
        <v>2.7253333333333329</v>
      </c>
      <c r="K2834" s="35">
        <v>4</v>
      </c>
      <c r="L2834" s="38">
        <f t="shared" si="44"/>
        <v>10.901333333333332</v>
      </c>
      <c r="M2834" s="35" t="s">
        <v>11</v>
      </c>
      <c r="N2834" s="38"/>
      <c r="O2834" s="35" t="s">
        <v>12</v>
      </c>
    </row>
    <row r="2835" spans="1:15" x14ac:dyDescent="0.25">
      <c r="A2835" s="35">
        <v>1119029045</v>
      </c>
      <c r="B2835" s="35" t="s">
        <v>4199</v>
      </c>
      <c r="C2835" s="35">
        <v>2023</v>
      </c>
      <c r="D2835" s="36">
        <v>45113.718657407408</v>
      </c>
      <c r="E2835" s="37" t="s">
        <v>1278</v>
      </c>
      <c r="F2835" s="37" t="s">
        <v>5722</v>
      </c>
      <c r="G2835" s="37" t="s">
        <v>5723</v>
      </c>
      <c r="H2835" s="35" t="s">
        <v>3419</v>
      </c>
      <c r="I2835" s="35" t="s">
        <v>3416</v>
      </c>
      <c r="J2835" s="38">
        <v>0.44495238095238099</v>
      </c>
      <c r="K2835" s="35">
        <v>1</v>
      </c>
      <c r="L2835" s="38">
        <f t="shared" si="44"/>
        <v>0.44495238095238099</v>
      </c>
      <c r="M2835" s="35" t="s">
        <v>11</v>
      </c>
      <c r="N2835" s="38"/>
      <c r="O2835" s="35" t="s">
        <v>12</v>
      </c>
    </row>
    <row r="2836" spans="1:15" ht="30" x14ac:dyDescent="0.25">
      <c r="A2836" s="35">
        <v>1119029040</v>
      </c>
      <c r="B2836" s="35" t="s">
        <v>4199</v>
      </c>
      <c r="C2836" s="35">
        <v>2023</v>
      </c>
      <c r="D2836" s="36">
        <v>45113.718657407408</v>
      </c>
      <c r="E2836" s="37" t="s">
        <v>237</v>
      </c>
      <c r="F2836" s="37" t="s">
        <v>4350</v>
      </c>
      <c r="G2836" s="37" t="s">
        <v>3520</v>
      </c>
      <c r="H2836" s="35" t="s">
        <v>3419</v>
      </c>
      <c r="I2836" s="35" t="s">
        <v>3416</v>
      </c>
      <c r="J2836" s="38">
        <v>4.619606164383562</v>
      </c>
      <c r="K2836" s="35">
        <v>1</v>
      </c>
      <c r="L2836" s="38">
        <f t="shared" si="44"/>
        <v>4.619606164383562</v>
      </c>
      <c r="M2836" s="35" t="s">
        <v>11</v>
      </c>
      <c r="N2836" s="38"/>
      <c r="O2836" s="35" t="s">
        <v>12</v>
      </c>
    </row>
    <row r="2837" spans="1:15" ht="30" x14ac:dyDescent="0.25">
      <c r="A2837" s="35">
        <v>1119029040</v>
      </c>
      <c r="B2837" s="35" t="s">
        <v>4199</v>
      </c>
      <c r="C2837" s="35">
        <v>2023</v>
      </c>
      <c r="D2837" s="36">
        <v>45113.718657407408</v>
      </c>
      <c r="E2837" s="37" t="s">
        <v>237</v>
      </c>
      <c r="F2837" s="37" t="s">
        <v>5724</v>
      </c>
      <c r="G2837" s="37" t="s">
        <v>3520</v>
      </c>
      <c r="H2837" s="35" t="s">
        <v>3419</v>
      </c>
      <c r="I2837" s="35" t="s">
        <v>3416</v>
      </c>
      <c r="J2837" s="38">
        <v>0.52628424657534245</v>
      </c>
      <c r="K2837" s="35">
        <v>1</v>
      </c>
      <c r="L2837" s="38">
        <f t="shared" si="44"/>
        <v>0.52628424657534245</v>
      </c>
      <c r="M2837" s="35" t="s">
        <v>11</v>
      </c>
      <c r="N2837" s="38"/>
      <c r="O2837" s="35" t="s">
        <v>12</v>
      </c>
    </row>
    <row r="2838" spans="1:15" ht="30" x14ac:dyDescent="0.25">
      <c r="A2838" s="35">
        <v>1119029040</v>
      </c>
      <c r="B2838" s="35" t="s">
        <v>4199</v>
      </c>
      <c r="C2838" s="35">
        <v>2023</v>
      </c>
      <c r="D2838" s="36">
        <v>45113.718657407408</v>
      </c>
      <c r="E2838" s="37" t="s">
        <v>237</v>
      </c>
      <c r="F2838" s="37" t="s">
        <v>4350</v>
      </c>
      <c r="G2838" s="37" t="s">
        <v>3520</v>
      </c>
      <c r="H2838" s="35" t="s">
        <v>3419</v>
      </c>
      <c r="I2838" s="35" t="s">
        <v>3416</v>
      </c>
      <c r="J2838" s="38">
        <v>4.034845890410959</v>
      </c>
      <c r="K2838" s="35">
        <v>2</v>
      </c>
      <c r="L2838" s="38">
        <f t="shared" si="44"/>
        <v>8.069691780821918</v>
      </c>
      <c r="M2838" s="35" t="s">
        <v>11</v>
      </c>
      <c r="N2838" s="38"/>
      <c r="O2838" s="35" t="s">
        <v>12</v>
      </c>
    </row>
    <row r="2839" spans="1:15" ht="30" x14ac:dyDescent="0.25">
      <c r="A2839" s="35">
        <v>1119029040</v>
      </c>
      <c r="B2839" s="35" t="s">
        <v>4199</v>
      </c>
      <c r="C2839" s="35">
        <v>2023</v>
      </c>
      <c r="D2839" s="36">
        <v>45113.718657407408</v>
      </c>
      <c r="E2839" s="37" t="s">
        <v>237</v>
      </c>
      <c r="F2839" s="37" t="s">
        <v>4350</v>
      </c>
      <c r="G2839" s="37" t="s">
        <v>3520</v>
      </c>
      <c r="H2839" s="35" t="s">
        <v>3419</v>
      </c>
      <c r="I2839" s="35" t="s">
        <v>3416</v>
      </c>
      <c r="J2839" s="38">
        <v>5.204366438356165</v>
      </c>
      <c r="K2839" s="35">
        <v>1</v>
      </c>
      <c r="L2839" s="38">
        <f t="shared" si="44"/>
        <v>5.204366438356165</v>
      </c>
      <c r="M2839" s="35" t="s">
        <v>11</v>
      </c>
      <c r="N2839" s="38"/>
      <c r="O2839" s="35" t="s">
        <v>12</v>
      </c>
    </row>
    <row r="2840" spans="1:15" ht="30" x14ac:dyDescent="0.25">
      <c r="A2840" s="35">
        <v>1119029040</v>
      </c>
      <c r="B2840" s="35" t="s">
        <v>4199</v>
      </c>
      <c r="C2840" s="35">
        <v>2023</v>
      </c>
      <c r="D2840" s="36">
        <v>45113.718657407408</v>
      </c>
      <c r="E2840" s="37" t="s">
        <v>237</v>
      </c>
      <c r="F2840" s="37" t="s">
        <v>5724</v>
      </c>
      <c r="G2840" s="37" t="s">
        <v>3520</v>
      </c>
      <c r="H2840" s="35" t="s">
        <v>3419</v>
      </c>
      <c r="I2840" s="35" t="s">
        <v>3416</v>
      </c>
      <c r="J2840" s="38">
        <v>1.1110445205479449</v>
      </c>
      <c r="K2840" s="35">
        <v>1</v>
      </c>
      <c r="L2840" s="38">
        <f t="shared" si="44"/>
        <v>1.1110445205479449</v>
      </c>
      <c r="M2840" s="35" t="s">
        <v>11</v>
      </c>
      <c r="N2840" s="38"/>
      <c r="O2840" s="35" t="s">
        <v>12</v>
      </c>
    </row>
    <row r="2841" spans="1:15" ht="30" x14ac:dyDescent="0.25">
      <c r="A2841" s="35">
        <v>1119029040</v>
      </c>
      <c r="B2841" s="35" t="s">
        <v>4199</v>
      </c>
      <c r="C2841" s="35">
        <v>2023</v>
      </c>
      <c r="D2841" s="36">
        <v>45113.718657407408</v>
      </c>
      <c r="E2841" s="37" t="s">
        <v>237</v>
      </c>
      <c r="F2841" s="37" t="s">
        <v>5725</v>
      </c>
      <c r="G2841" s="37" t="s">
        <v>5726</v>
      </c>
      <c r="H2841" s="35" t="s">
        <v>3415</v>
      </c>
      <c r="I2841" s="35" t="s">
        <v>3416</v>
      </c>
      <c r="J2841" s="38">
        <v>1.6958047945205481</v>
      </c>
      <c r="K2841" s="35">
        <v>4</v>
      </c>
      <c r="L2841" s="38">
        <f t="shared" si="44"/>
        <v>6.7832191780821924</v>
      </c>
      <c r="M2841" s="35" t="s">
        <v>11</v>
      </c>
      <c r="N2841" s="38"/>
      <c r="O2841" s="35" t="s">
        <v>12</v>
      </c>
    </row>
    <row r="2842" spans="1:15" x14ac:dyDescent="0.25">
      <c r="A2842" s="35">
        <v>1119029040</v>
      </c>
      <c r="B2842" s="35" t="s">
        <v>4199</v>
      </c>
      <c r="C2842" s="35">
        <v>2023</v>
      </c>
      <c r="D2842" s="36">
        <v>45113.718657407408</v>
      </c>
      <c r="E2842" s="37" t="s">
        <v>237</v>
      </c>
      <c r="F2842" s="37" t="s">
        <v>5727</v>
      </c>
      <c r="G2842" s="37" t="s">
        <v>3726</v>
      </c>
      <c r="H2842" s="35" t="s">
        <v>3415</v>
      </c>
      <c r="I2842" s="35" t="s">
        <v>3416</v>
      </c>
      <c r="J2842" s="38">
        <v>0.1754280821917808</v>
      </c>
      <c r="K2842" s="35">
        <v>4</v>
      </c>
      <c r="L2842" s="38">
        <f t="shared" si="44"/>
        <v>0.70171232876712319</v>
      </c>
      <c r="M2842" s="35" t="s">
        <v>11</v>
      </c>
      <c r="N2842" s="38"/>
      <c r="O2842" s="35" t="s">
        <v>12</v>
      </c>
    </row>
    <row r="2843" spans="1:15" x14ac:dyDescent="0.25">
      <c r="A2843" s="35">
        <v>1119029040</v>
      </c>
      <c r="B2843" s="35" t="s">
        <v>4199</v>
      </c>
      <c r="C2843" s="35">
        <v>2023</v>
      </c>
      <c r="D2843" s="36">
        <v>45113.718657407408</v>
      </c>
      <c r="E2843" s="37" t="s">
        <v>237</v>
      </c>
      <c r="F2843" s="37" t="s">
        <v>3818</v>
      </c>
      <c r="G2843" s="37" t="s">
        <v>3658</v>
      </c>
      <c r="H2843" s="35" t="s">
        <v>3419</v>
      </c>
      <c r="I2843" s="35" t="s">
        <v>3416</v>
      </c>
      <c r="J2843" s="38">
        <v>0.52628424657534245</v>
      </c>
      <c r="K2843" s="35">
        <v>2</v>
      </c>
      <c r="L2843" s="38">
        <f t="shared" si="44"/>
        <v>1.0525684931506849</v>
      </c>
      <c r="M2843" s="35" t="s">
        <v>11</v>
      </c>
      <c r="N2843" s="38"/>
      <c r="O2843" s="35" t="s">
        <v>12</v>
      </c>
    </row>
    <row r="2844" spans="1:15" x14ac:dyDescent="0.25">
      <c r="A2844" s="35">
        <v>1119029040</v>
      </c>
      <c r="B2844" s="35" t="s">
        <v>4199</v>
      </c>
      <c r="C2844" s="35">
        <v>2023</v>
      </c>
      <c r="D2844" s="36">
        <v>45113.718657407408</v>
      </c>
      <c r="E2844" s="37" t="s">
        <v>237</v>
      </c>
      <c r="F2844" s="37" t="s">
        <v>5728</v>
      </c>
      <c r="G2844" s="37" t="s">
        <v>5010</v>
      </c>
      <c r="H2844" s="35" t="s">
        <v>3415</v>
      </c>
      <c r="I2844" s="35" t="s">
        <v>3416</v>
      </c>
      <c r="J2844" s="38">
        <v>0.40933219178082192</v>
      </c>
      <c r="K2844" s="35">
        <v>4</v>
      </c>
      <c r="L2844" s="38">
        <f t="shared" si="44"/>
        <v>1.6373287671232877</v>
      </c>
      <c r="M2844" s="35" t="s">
        <v>11</v>
      </c>
      <c r="N2844" s="38"/>
      <c r="O2844" s="35" t="s">
        <v>12</v>
      </c>
    </row>
    <row r="2845" spans="1:15" x14ac:dyDescent="0.25">
      <c r="A2845" s="35">
        <v>1119029040</v>
      </c>
      <c r="B2845" s="35" t="s">
        <v>4199</v>
      </c>
      <c r="C2845" s="35">
        <v>2023</v>
      </c>
      <c r="D2845" s="36">
        <v>45113.718657407408</v>
      </c>
      <c r="E2845" s="37" t="s">
        <v>237</v>
      </c>
      <c r="F2845" s="37" t="s">
        <v>5729</v>
      </c>
      <c r="G2845" s="37" t="s">
        <v>3867</v>
      </c>
      <c r="H2845" s="35" t="s">
        <v>3415</v>
      </c>
      <c r="I2845" s="35" t="s">
        <v>3416</v>
      </c>
      <c r="J2845" s="38">
        <v>0.29238013698630139</v>
      </c>
      <c r="K2845" s="35">
        <v>4</v>
      </c>
      <c r="L2845" s="38">
        <f t="shared" si="44"/>
        <v>1.1695205479452055</v>
      </c>
      <c r="M2845" s="35" t="s">
        <v>11</v>
      </c>
      <c r="N2845" s="38"/>
      <c r="O2845" s="35" t="s">
        <v>12</v>
      </c>
    </row>
    <row r="2846" spans="1:15" x14ac:dyDescent="0.25">
      <c r="A2846" s="35">
        <v>1119029040</v>
      </c>
      <c r="B2846" s="35" t="s">
        <v>4199</v>
      </c>
      <c r="C2846" s="35">
        <v>2023</v>
      </c>
      <c r="D2846" s="36">
        <v>45113.718657407408</v>
      </c>
      <c r="E2846" s="37" t="s">
        <v>237</v>
      </c>
      <c r="F2846" s="37" t="s">
        <v>5730</v>
      </c>
      <c r="G2846" s="37" t="s">
        <v>5731</v>
      </c>
      <c r="H2846" s="35" t="s">
        <v>3419</v>
      </c>
      <c r="I2846" s="35" t="s">
        <v>3416</v>
      </c>
      <c r="J2846" s="38">
        <v>0.23390410958904109</v>
      </c>
      <c r="K2846" s="35">
        <v>2</v>
      </c>
      <c r="L2846" s="38">
        <f t="shared" si="44"/>
        <v>0.46780821917808219</v>
      </c>
      <c r="M2846" s="35" t="s">
        <v>11</v>
      </c>
      <c r="N2846" s="38"/>
      <c r="O2846" s="35" t="s">
        <v>12</v>
      </c>
    </row>
    <row r="2847" spans="1:15" x14ac:dyDescent="0.25">
      <c r="A2847" s="35">
        <v>1119029040</v>
      </c>
      <c r="B2847" s="35" t="s">
        <v>4199</v>
      </c>
      <c r="C2847" s="35">
        <v>2023</v>
      </c>
      <c r="D2847" s="36">
        <v>45113.718657407408</v>
      </c>
      <c r="E2847" s="37" t="s">
        <v>237</v>
      </c>
      <c r="F2847" s="37" t="s">
        <v>5732</v>
      </c>
      <c r="G2847" s="37" t="s">
        <v>5731</v>
      </c>
      <c r="H2847" s="35" t="s">
        <v>3419</v>
      </c>
      <c r="I2847" s="35" t="s">
        <v>3416</v>
      </c>
      <c r="J2847" s="38">
        <v>0.1754280821917808</v>
      </c>
      <c r="K2847" s="35">
        <v>2</v>
      </c>
      <c r="L2847" s="38">
        <f t="shared" si="44"/>
        <v>0.3508561643835616</v>
      </c>
      <c r="M2847" s="35" t="s">
        <v>11</v>
      </c>
      <c r="N2847" s="38"/>
      <c r="O2847" s="35" t="s">
        <v>12</v>
      </c>
    </row>
    <row r="2848" spans="1:15" x14ac:dyDescent="0.25">
      <c r="A2848" s="35">
        <v>1119029040</v>
      </c>
      <c r="B2848" s="35" t="s">
        <v>4199</v>
      </c>
      <c r="C2848" s="35">
        <v>2023</v>
      </c>
      <c r="D2848" s="36">
        <v>45113.718657407408</v>
      </c>
      <c r="E2848" s="37" t="s">
        <v>237</v>
      </c>
      <c r="F2848" s="37" t="s">
        <v>5733</v>
      </c>
      <c r="G2848" s="37" t="s">
        <v>5731</v>
      </c>
      <c r="H2848" s="35" t="s">
        <v>3419</v>
      </c>
      <c r="I2848" s="35" t="s">
        <v>3416</v>
      </c>
      <c r="J2848" s="38">
        <v>0.1754280821917808</v>
      </c>
      <c r="K2848" s="35">
        <v>2</v>
      </c>
      <c r="L2848" s="38">
        <f t="shared" si="44"/>
        <v>0.3508561643835616</v>
      </c>
      <c r="M2848" s="35" t="s">
        <v>11</v>
      </c>
      <c r="N2848" s="38"/>
      <c r="O2848" s="35" t="s">
        <v>12</v>
      </c>
    </row>
    <row r="2849" spans="1:15" x14ac:dyDescent="0.25">
      <c r="A2849" s="35">
        <v>1119029040</v>
      </c>
      <c r="B2849" s="35" t="s">
        <v>4199</v>
      </c>
      <c r="C2849" s="35">
        <v>2023</v>
      </c>
      <c r="D2849" s="36">
        <v>45113.718657407408</v>
      </c>
      <c r="E2849" s="37" t="s">
        <v>237</v>
      </c>
      <c r="F2849" s="37" t="s">
        <v>5734</v>
      </c>
      <c r="G2849" s="37" t="s">
        <v>3726</v>
      </c>
      <c r="H2849" s="35" t="s">
        <v>3419</v>
      </c>
      <c r="I2849" s="35" t="s">
        <v>3416</v>
      </c>
      <c r="J2849" s="38">
        <v>0.23390410958904109</v>
      </c>
      <c r="K2849" s="35">
        <v>2</v>
      </c>
      <c r="L2849" s="38">
        <f t="shared" si="44"/>
        <v>0.46780821917808219</v>
      </c>
      <c r="M2849" s="35" t="s">
        <v>11</v>
      </c>
      <c r="N2849" s="38"/>
      <c r="O2849" s="35" t="s">
        <v>12</v>
      </c>
    </row>
    <row r="2850" spans="1:15" x14ac:dyDescent="0.25">
      <c r="A2850" s="35">
        <v>1119029040</v>
      </c>
      <c r="B2850" s="35" t="s">
        <v>4199</v>
      </c>
      <c r="C2850" s="35">
        <v>2023</v>
      </c>
      <c r="D2850" s="36">
        <v>45113.718657407408</v>
      </c>
      <c r="E2850" s="37" t="s">
        <v>237</v>
      </c>
      <c r="F2850" s="37" t="s">
        <v>5735</v>
      </c>
      <c r="G2850" s="37" t="s">
        <v>5736</v>
      </c>
      <c r="H2850" s="35" t="s">
        <v>3419</v>
      </c>
      <c r="I2850" s="35" t="s">
        <v>3416</v>
      </c>
      <c r="J2850" s="38">
        <v>0.1169520547945206</v>
      </c>
      <c r="K2850" s="35">
        <v>2</v>
      </c>
      <c r="L2850" s="38">
        <f t="shared" si="44"/>
        <v>0.2339041095890412</v>
      </c>
      <c r="M2850" s="35" t="s">
        <v>11</v>
      </c>
      <c r="N2850" s="38"/>
      <c r="O2850" s="35" t="s">
        <v>12</v>
      </c>
    </row>
    <row r="2851" spans="1:15" x14ac:dyDescent="0.25">
      <c r="A2851" s="35">
        <v>1119029040</v>
      </c>
      <c r="B2851" s="35" t="s">
        <v>4199</v>
      </c>
      <c r="C2851" s="35">
        <v>2023</v>
      </c>
      <c r="D2851" s="36">
        <v>45113.718657407408</v>
      </c>
      <c r="E2851" s="37" t="s">
        <v>237</v>
      </c>
      <c r="F2851" s="37" t="s">
        <v>5737</v>
      </c>
      <c r="G2851" s="37" t="s">
        <v>4529</v>
      </c>
      <c r="H2851" s="35" t="s">
        <v>3419</v>
      </c>
      <c r="I2851" s="35" t="s">
        <v>3416</v>
      </c>
      <c r="J2851" s="38">
        <v>0.1169520547945206</v>
      </c>
      <c r="K2851" s="35">
        <v>2</v>
      </c>
      <c r="L2851" s="38">
        <f t="shared" si="44"/>
        <v>0.2339041095890412</v>
      </c>
      <c r="M2851" s="35" t="s">
        <v>11</v>
      </c>
      <c r="N2851" s="38"/>
      <c r="O2851" s="35" t="s">
        <v>12</v>
      </c>
    </row>
    <row r="2852" spans="1:15" x14ac:dyDescent="0.25">
      <c r="A2852" s="35">
        <v>1119029040</v>
      </c>
      <c r="B2852" s="35" t="s">
        <v>4199</v>
      </c>
      <c r="C2852" s="35">
        <v>2023</v>
      </c>
      <c r="D2852" s="36">
        <v>45113.718657407408</v>
      </c>
      <c r="E2852" s="37" t="s">
        <v>237</v>
      </c>
      <c r="F2852" s="37" t="s">
        <v>3773</v>
      </c>
      <c r="G2852" s="37" t="s">
        <v>3551</v>
      </c>
      <c r="H2852" s="35" t="s">
        <v>3415</v>
      </c>
      <c r="I2852" s="35" t="s">
        <v>3416</v>
      </c>
      <c r="J2852" s="38">
        <v>0.29238013698630139</v>
      </c>
      <c r="K2852" s="35">
        <v>4</v>
      </c>
      <c r="L2852" s="38">
        <f t="shared" si="44"/>
        <v>1.1695205479452055</v>
      </c>
      <c r="M2852" s="35" t="s">
        <v>11</v>
      </c>
      <c r="N2852" s="38"/>
      <c r="O2852" s="35" t="s">
        <v>12</v>
      </c>
    </row>
    <row r="2853" spans="1:15" x14ac:dyDescent="0.25">
      <c r="A2853" s="35">
        <v>1118973077</v>
      </c>
      <c r="B2853" s="35" t="s">
        <v>4199</v>
      </c>
      <c r="C2853" s="35">
        <v>2023</v>
      </c>
      <c r="D2853" s="36">
        <v>45113.27983796296</v>
      </c>
      <c r="E2853" s="37" t="s">
        <v>2989</v>
      </c>
      <c r="F2853" s="37" t="s">
        <v>4552</v>
      </c>
      <c r="G2853" s="37" t="s">
        <v>5155</v>
      </c>
      <c r="H2853" s="35" t="s">
        <v>3419</v>
      </c>
      <c r="I2853" s="35" t="s">
        <v>3416</v>
      </c>
      <c r="J2853" s="38">
        <v>0.1153246753246753</v>
      </c>
      <c r="K2853" s="35">
        <v>1</v>
      </c>
      <c r="L2853" s="38">
        <f t="shared" si="44"/>
        <v>0.1153246753246753</v>
      </c>
      <c r="M2853" s="35" t="s">
        <v>11</v>
      </c>
      <c r="N2853" s="38"/>
      <c r="O2853" s="35" t="s">
        <v>12</v>
      </c>
    </row>
    <row r="2854" spans="1:15" ht="30" x14ac:dyDescent="0.25">
      <c r="A2854" s="35">
        <v>1118973077</v>
      </c>
      <c r="B2854" s="35" t="s">
        <v>4199</v>
      </c>
      <c r="C2854" s="35">
        <v>2023</v>
      </c>
      <c r="D2854" s="36">
        <v>45113.27983796296</v>
      </c>
      <c r="E2854" s="37" t="s">
        <v>2989</v>
      </c>
      <c r="F2854" s="37" t="s">
        <v>5738</v>
      </c>
      <c r="G2854" s="37" t="s">
        <v>3520</v>
      </c>
      <c r="H2854" s="35" t="s">
        <v>3419</v>
      </c>
      <c r="I2854" s="35" t="s">
        <v>3416</v>
      </c>
      <c r="J2854" s="38">
        <v>0.23064935064935069</v>
      </c>
      <c r="K2854" s="35">
        <v>3</v>
      </c>
      <c r="L2854" s="38">
        <f t="shared" si="44"/>
        <v>0.69194805194805209</v>
      </c>
      <c r="M2854" s="35" t="s">
        <v>11</v>
      </c>
      <c r="N2854" s="38"/>
      <c r="O2854" s="35" t="s">
        <v>12</v>
      </c>
    </row>
    <row r="2855" spans="1:15" ht="30" x14ac:dyDescent="0.25">
      <c r="A2855" s="35">
        <v>1118973077</v>
      </c>
      <c r="B2855" s="35" t="s">
        <v>4199</v>
      </c>
      <c r="C2855" s="35">
        <v>2023</v>
      </c>
      <c r="D2855" s="36">
        <v>45113.27983796296</v>
      </c>
      <c r="E2855" s="37" t="s">
        <v>2989</v>
      </c>
      <c r="F2855" s="37" t="s">
        <v>5739</v>
      </c>
      <c r="G2855" s="37" t="s">
        <v>3520</v>
      </c>
      <c r="H2855" s="35" t="s">
        <v>3419</v>
      </c>
      <c r="I2855" s="35" t="s">
        <v>3416</v>
      </c>
      <c r="J2855" s="38">
        <v>8.0727272727272723</v>
      </c>
      <c r="K2855" s="35">
        <v>1</v>
      </c>
      <c r="L2855" s="38">
        <f t="shared" si="44"/>
        <v>8.0727272727272723</v>
      </c>
      <c r="M2855" s="35" t="s">
        <v>11</v>
      </c>
      <c r="N2855" s="38"/>
      <c r="O2855" s="35" t="s">
        <v>12</v>
      </c>
    </row>
    <row r="2856" spans="1:15" ht="30" x14ac:dyDescent="0.25">
      <c r="A2856" s="35">
        <v>1118939896</v>
      </c>
      <c r="B2856" s="35" t="s">
        <v>4199</v>
      </c>
      <c r="C2856" s="35">
        <v>2023</v>
      </c>
      <c r="D2856" s="36">
        <v>45112.836805555547</v>
      </c>
      <c r="E2856" s="37" t="s">
        <v>2991</v>
      </c>
      <c r="F2856" s="37" t="s">
        <v>5740</v>
      </c>
      <c r="G2856" s="37" t="s">
        <v>5708</v>
      </c>
      <c r="H2856" s="35" t="s">
        <v>3419</v>
      </c>
      <c r="I2856" s="35" t="s">
        <v>3416</v>
      </c>
      <c r="J2856" s="38">
        <v>2.051459854014599</v>
      </c>
      <c r="K2856" s="35">
        <v>1</v>
      </c>
      <c r="L2856" s="38">
        <f t="shared" si="44"/>
        <v>2.051459854014599</v>
      </c>
      <c r="M2856" s="35" t="s">
        <v>11</v>
      </c>
      <c r="N2856" s="38"/>
      <c r="O2856" s="35" t="s">
        <v>12</v>
      </c>
    </row>
    <row r="2857" spans="1:15" ht="30" x14ac:dyDescent="0.25">
      <c r="A2857" s="35">
        <v>1118939896</v>
      </c>
      <c r="B2857" s="35" t="s">
        <v>4199</v>
      </c>
      <c r="C2857" s="35">
        <v>2023</v>
      </c>
      <c r="D2857" s="36">
        <v>45112.836805555547</v>
      </c>
      <c r="E2857" s="37" t="s">
        <v>2991</v>
      </c>
      <c r="F2857" s="37" t="s">
        <v>5741</v>
      </c>
      <c r="G2857" s="37" t="s">
        <v>3520</v>
      </c>
      <c r="H2857" s="35" t="s">
        <v>3419</v>
      </c>
      <c r="I2857" s="35" t="s">
        <v>3416</v>
      </c>
      <c r="J2857" s="38">
        <v>1.7583941605839419</v>
      </c>
      <c r="K2857" s="35">
        <v>1</v>
      </c>
      <c r="L2857" s="38">
        <f t="shared" si="44"/>
        <v>1.7583941605839419</v>
      </c>
      <c r="M2857" s="35" t="s">
        <v>11</v>
      </c>
      <c r="N2857" s="38"/>
      <c r="O2857" s="35" t="s">
        <v>12</v>
      </c>
    </row>
    <row r="2858" spans="1:15" ht="30" x14ac:dyDescent="0.25">
      <c r="A2858" s="35">
        <v>1118939896</v>
      </c>
      <c r="B2858" s="35" t="s">
        <v>4199</v>
      </c>
      <c r="C2858" s="35">
        <v>2023</v>
      </c>
      <c r="D2858" s="36">
        <v>45112.836805555547</v>
      </c>
      <c r="E2858" s="37" t="s">
        <v>2991</v>
      </c>
      <c r="F2858" s="37" t="s">
        <v>5742</v>
      </c>
      <c r="G2858" s="37" t="s">
        <v>3520</v>
      </c>
      <c r="H2858" s="35" t="s">
        <v>3419</v>
      </c>
      <c r="I2858" s="35" t="s">
        <v>3416</v>
      </c>
      <c r="J2858" s="38">
        <v>1.406715328467153</v>
      </c>
      <c r="K2858" s="35">
        <v>3</v>
      </c>
      <c r="L2858" s="38">
        <f t="shared" si="44"/>
        <v>4.2201459854014587</v>
      </c>
      <c r="M2858" s="35" t="s">
        <v>11</v>
      </c>
      <c r="N2858" s="38"/>
      <c r="O2858" s="35" t="s">
        <v>12</v>
      </c>
    </row>
    <row r="2859" spans="1:15" x14ac:dyDescent="0.25">
      <c r="A2859" s="35">
        <v>1118900442</v>
      </c>
      <c r="B2859" s="35" t="s">
        <v>4199</v>
      </c>
      <c r="C2859" s="35">
        <v>2023</v>
      </c>
      <c r="D2859" s="36">
        <v>45112.614201388889</v>
      </c>
      <c r="E2859" s="37" t="s">
        <v>2994</v>
      </c>
      <c r="F2859" s="37" t="s">
        <v>5743</v>
      </c>
      <c r="G2859" s="37" t="s">
        <v>5689</v>
      </c>
      <c r="H2859" s="35" t="s">
        <v>3419</v>
      </c>
      <c r="I2859" s="35" t="s">
        <v>3453</v>
      </c>
      <c r="J2859" s="38">
        <v>1.768067226890756</v>
      </c>
      <c r="K2859" s="35">
        <v>1</v>
      </c>
      <c r="L2859" s="38">
        <f t="shared" si="44"/>
        <v>1.768067226890756</v>
      </c>
      <c r="M2859" s="35" t="s">
        <v>11</v>
      </c>
      <c r="N2859" s="38"/>
      <c r="O2859" s="35" t="s">
        <v>2314</v>
      </c>
    </row>
    <row r="2860" spans="1:15" x14ac:dyDescent="0.25">
      <c r="A2860" s="35">
        <v>1118900442</v>
      </c>
      <c r="B2860" s="35" t="s">
        <v>4199</v>
      </c>
      <c r="C2860" s="35">
        <v>2023</v>
      </c>
      <c r="D2860" s="36">
        <v>45112.614201388889</v>
      </c>
      <c r="E2860" s="37" t="s">
        <v>2994</v>
      </c>
      <c r="F2860" s="37" t="s">
        <v>5744</v>
      </c>
      <c r="G2860" s="37" t="s">
        <v>5689</v>
      </c>
      <c r="H2860" s="35" t="s">
        <v>3419</v>
      </c>
      <c r="I2860" s="35" t="s">
        <v>3453</v>
      </c>
      <c r="J2860" s="38">
        <v>0.44201680672268912</v>
      </c>
      <c r="K2860" s="35">
        <v>1</v>
      </c>
      <c r="L2860" s="38">
        <f t="shared" si="44"/>
        <v>0.44201680672268912</v>
      </c>
      <c r="M2860" s="35" t="s">
        <v>11</v>
      </c>
      <c r="N2860" s="38"/>
      <c r="O2860" s="35" t="s">
        <v>2314</v>
      </c>
    </row>
    <row r="2861" spans="1:15" x14ac:dyDescent="0.25">
      <c r="A2861" s="35">
        <v>1118900442</v>
      </c>
      <c r="B2861" s="35" t="s">
        <v>4199</v>
      </c>
      <c r="C2861" s="35">
        <v>2023</v>
      </c>
      <c r="D2861" s="36">
        <v>45112.614201388889</v>
      </c>
      <c r="E2861" s="37" t="s">
        <v>2994</v>
      </c>
      <c r="F2861" s="37" t="s">
        <v>5745</v>
      </c>
      <c r="G2861" s="37" t="s">
        <v>5689</v>
      </c>
      <c r="H2861" s="35" t="s">
        <v>3419</v>
      </c>
      <c r="I2861" s="35" t="s">
        <v>3453</v>
      </c>
      <c r="J2861" s="38">
        <v>0.50095238095238104</v>
      </c>
      <c r="K2861" s="35">
        <v>1</v>
      </c>
      <c r="L2861" s="38">
        <f t="shared" si="44"/>
        <v>0.50095238095238104</v>
      </c>
      <c r="M2861" s="35" t="s">
        <v>11</v>
      </c>
      <c r="N2861" s="38"/>
      <c r="O2861" s="35" t="s">
        <v>2314</v>
      </c>
    </row>
    <row r="2862" spans="1:15" x14ac:dyDescent="0.25">
      <c r="A2862" s="35">
        <v>1118900442</v>
      </c>
      <c r="B2862" s="35" t="s">
        <v>4199</v>
      </c>
      <c r="C2862" s="35">
        <v>2023</v>
      </c>
      <c r="D2862" s="36">
        <v>45112.614201388889</v>
      </c>
      <c r="E2862" s="37" t="s">
        <v>2994</v>
      </c>
      <c r="F2862" s="37" t="s">
        <v>5746</v>
      </c>
      <c r="G2862" s="37" t="s">
        <v>5689</v>
      </c>
      <c r="H2862" s="35" t="s">
        <v>3419</v>
      </c>
      <c r="I2862" s="35" t="s">
        <v>3416</v>
      </c>
      <c r="J2862" s="38">
        <v>1.031372549019608</v>
      </c>
      <c r="K2862" s="35">
        <v>1</v>
      </c>
      <c r="L2862" s="38">
        <f t="shared" si="44"/>
        <v>1.031372549019608</v>
      </c>
      <c r="M2862" s="35" t="s">
        <v>11</v>
      </c>
      <c r="N2862" s="38"/>
      <c r="O2862" s="35" t="s">
        <v>2314</v>
      </c>
    </row>
    <row r="2863" spans="1:15" x14ac:dyDescent="0.25">
      <c r="A2863" s="35">
        <v>1118900442</v>
      </c>
      <c r="B2863" s="35" t="s">
        <v>4199</v>
      </c>
      <c r="C2863" s="35">
        <v>2023</v>
      </c>
      <c r="D2863" s="36">
        <v>45112.614201388889</v>
      </c>
      <c r="E2863" s="37" t="s">
        <v>2994</v>
      </c>
      <c r="F2863" s="37" t="s">
        <v>5747</v>
      </c>
      <c r="G2863" s="37" t="s">
        <v>5689</v>
      </c>
      <c r="H2863" s="35" t="s">
        <v>3419</v>
      </c>
      <c r="I2863" s="35" t="s">
        <v>3453</v>
      </c>
      <c r="J2863" s="38">
        <v>0.82509803921568625</v>
      </c>
      <c r="K2863" s="35">
        <v>1</v>
      </c>
      <c r="L2863" s="38">
        <f t="shared" si="44"/>
        <v>0.82509803921568625</v>
      </c>
      <c r="M2863" s="35" t="s">
        <v>11</v>
      </c>
      <c r="N2863" s="38"/>
      <c r="O2863" s="35" t="s">
        <v>2314</v>
      </c>
    </row>
    <row r="2864" spans="1:15" x14ac:dyDescent="0.25">
      <c r="A2864" s="35">
        <v>1118900442</v>
      </c>
      <c r="B2864" s="35" t="s">
        <v>4199</v>
      </c>
      <c r="C2864" s="35">
        <v>2023</v>
      </c>
      <c r="D2864" s="36">
        <v>45112.614201388889</v>
      </c>
      <c r="E2864" s="37" t="s">
        <v>2994</v>
      </c>
      <c r="F2864" s="37" t="s">
        <v>5748</v>
      </c>
      <c r="G2864" s="37" t="s">
        <v>5689</v>
      </c>
      <c r="H2864" s="35" t="s">
        <v>3419</v>
      </c>
      <c r="I2864" s="35" t="s">
        <v>3416</v>
      </c>
      <c r="J2864" s="38">
        <v>1.178711484593838</v>
      </c>
      <c r="K2864" s="35">
        <v>1</v>
      </c>
      <c r="L2864" s="38">
        <f t="shared" si="44"/>
        <v>1.178711484593838</v>
      </c>
      <c r="M2864" s="35" t="s">
        <v>11</v>
      </c>
      <c r="N2864" s="38"/>
      <c r="O2864" s="35" t="s">
        <v>2314</v>
      </c>
    </row>
    <row r="2865" spans="1:15" x14ac:dyDescent="0.25">
      <c r="A2865" s="35">
        <v>1118900442</v>
      </c>
      <c r="B2865" s="35" t="s">
        <v>4199</v>
      </c>
      <c r="C2865" s="35">
        <v>2023</v>
      </c>
      <c r="D2865" s="36">
        <v>45112.614201388889</v>
      </c>
      <c r="E2865" s="37" t="s">
        <v>2994</v>
      </c>
      <c r="F2865" s="37" t="s">
        <v>5749</v>
      </c>
      <c r="G2865" s="37" t="s">
        <v>5689</v>
      </c>
      <c r="H2865" s="35" t="s">
        <v>3419</v>
      </c>
      <c r="I2865" s="35" t="s">
        <v>3453</v>
      </c>
      <c r="J2865" s="38">
        <v>0.3536134453781512</v>
      </c>
      <c r="K2865" s="35">
        <v>1</v>
      </c>
      <c r="L2865" s="38">
        <f t="shared" si="44"/>
        <v>0.3536134453781512</v>
      </c>
      <c r="M2865" s="35" t="s">
        <v>11</v>
      </c>
      <c r="N2865" s="38"/>
      <c r="O2865" s="35" t="s">
        <v>2314</v>
      </c>
    </row>
    <row r="2866" spans="1:15" x14ac:dyDescent="0.25">
      <c r="A2866" s="35">
        <v>1118900442</v>
      </c>
      <c r="B2866" s="35" t="s">
        <v>4199</v>
      </c>
      <c r="C2866" s="35">
        <v>2023</v>
      </c>
      <c r="D2866" s="36">
        <v>45112.614201388889</v>
      </c>
      <c r="E2866" s="37" t="s">
        <v>2994</v>
      </c>
      <c r="F2866" s="37" t="s">
        <v>5750</v>
      </c>
      <c r="G2866" s="37" t="s">
        <v>5689</v>
      </c>
      <c r="H2866" s="35" t="s">
        <v>3419</v>
      </c>
      <c r="I2866" s="35" t="s">
        <v>3453</v>
      </c>
      <c r="J2866" s="38">
        <v>0.58935574229691878</v>
      </c>
      <c r="K2866" s="35">
        <v>1</v>
      </c>
      <c r="L2866" s="38">
        <f t="shared" si="44"/>
        <v>0.58935574229691878</v>
      </c>
      <c r="M2866" s="35" t="s">
        <v>11</v>
      </c>
      <c r="N2866" s="38"/>
      <c r="O2866" s="35" t="s">
        <v>2314</v>
      </c>
    </row>
    <row r="2867" spans="1:15" x14ac:dyDescent="0.25">
      <c r="A2867" s="35">
        <v>1118900442</v>
      </c>
      <c r="B2867" s="35" t="s">
        <v>4199</v>
      </c>
      <c r="C2867" s="35">
        <v>2023</v>
      </c>
      <c r="D2867" s="36">
        <v>45112.614201388889</v>
      </c>
      <c r="E2867" s="37" t="s">
        <v>2994</v>
      </c>
      <c r="F2867" s="37" t="s">
        <v>5751</v>
      </c>
      <c r="G2867" s="37" t="s">
        <v>5689</v>
      </c>
      <c r="H2867" s="35" t="s">
        <v>3419</v>
      </c>
      <c r="I2867" s="35" t="s">
        <v>3453</v>
      </c>
      <c r="J2867" s="38">
        <v>3.8308123249299721</v>
      </c>
      <c r="K2867" s="35">
        <v>1</v>
      </c>
      <c r="L2867" s="38">
        <f t="shared" si="44"/>
        <v>3.8308123249299721</v>
      </c>
      <c r="M2867" s="35" t="s">
        <v>11</v>
      </c>
      <c r="N2867" s="38"/>
      <c r="O2867" s="35" t="s">
        <v>2314</v>
      </c>
    </row>
    <row r="2868" spans="1:15" ht="30" x14ac:dyDescent="0.25">
      <c r="A2868" s="35">
        <v>1118807588</v>
      </c>
      <c r="B2868" s="35" t="s">
        <v>4199</v>
      </c>
      <c r="C2868" s="35">
        <v>2023</v>
      </c>
      <c r="D2868" s="36">
        <v>45111.789375</v>
      </c>
      <c r="E2868" s="37" t="s">
        <v>2996</v>
      </c>
      <c r="F2868" s="37" t="s">
        <v>5752</v>
      </c>
      <c r="G2868" s="37" t="s">
        <v>3520</v>
      </c>
      <c r="H2868" s="35" t="s">
        <v>3419</v>
      </c>
      <c r="I2868" s="35" t="s">
        <v>3416</v>
      </c>
      <c r="J2868" s="38">
        <v>5.18</v>
      </c>
      <c r="K2868" s="35">
        <v>1</v>
      </c>
      <c r="L2868" s="38">
        <f t="shared" si="44"/>
        <v>5.18</v>
      </c>
      <c r="M2868" s="35" t="s">
        <v>11</v>
      </c>
      <c r="N2868" s="38"/>
      <c r="O2868" s="35" t="s">
        <v>12</v>
      </c>
    </row>
    <row r="2869" spans="1:15" ht="30" x14ac:dyDescent="0.25">
      <c r="A2869" s="35">
        <v>1118807160</v>
      </c>
      <c r="B2869" s="35" t="s">
        <v>4199</v>
      </c>
      <c r="C2869" s="35">
        <v>2023</v>
      </c>
      <c r="D2869" s="36">
        <v>45111.789375</v>
      </c>
      <c r="E2869" s="37" t="s">
        <v>2999</v>
      </c>
      <c r="F2869" s="37" t="s">
        <v>5753</v>
      </c>
      <c r="G2869" s="37" t="s">
        <v>3520</v>
      </c>
      <c r="H2869" s="35" t="s">
        <v>3419</v>
      </c>
      <c r="I2869" s="35" t="s">
        <v>3416</v>
      </c>
      <c r="J2869" s="38">
        <v>2.8025609756097558</v>
      </c>
      <c r="K2869" s="35">
        <v>1</v>
      </c>
      <c r="L2869" s="38">
        <f t="shared" si="44"/>
        <v>2.8025609756097558</v>
      </c>
      <c r="M2869" s="35" t="s">
        <v>11</v>
      </c>
      <c r="N2869" s="38"/>
      <c r="O2869" s="35" t="s">
        <v>12</v>
      </c>
    </row>
    <row r="2870" spans="1:15" ht="30" x14ac:dyDescent="0.25">
      <c r="A2870" s="35">
        <v>1118807160</v>
      </c>
      <c r="B2870" s="35" t="s">
        <v>4199</v>
      </c>
      <c r="C2870" s="35">
        <v>2023</v>
      </c>
      <c r="D2870" s="36">
        <v>45111.789375</v>
      </c>
      <c r="E2870" s="37" t="s">
        <v>2999</v>
      </c>
      <c r="F2870" s="37" t="s">
        <v>5754</v>
      </c>
      <c r="G2870" s="37" t="s">
        <v>3520</v>
      </c>
      <c r="H2870" s="35" t="s">
        <v>3419</v>
      </c>
      <c r="I2870" s="35" t="s">
        <v>3416</v>
      </c>
      <c r="J2870" s="38">
        <v>2.8597560975609762</v>
      </c>
      <c r="K2870" s="35">
        <v>1</v>
      </c>
      <c r="L2870" s="38">
        <f t="shared" si="44"/>
        <v>2.8597560975609762</v>
      </c>
      <c r="M2870" s="35" t="s">
        <v>11</v>
      </c>
      <c r="N2870" s="38"/>
      <c r="O2870" s="35" t="s">
        <v>12</v>
      </c>
    </row>
    <row r="2871" spans="1:15" ht="30" x14ac:dyDescent="0.25">
      <c r="A2871" s="35">
        <v>1118807160</v>
      </c>
      <c r="B2871" s="35" t="s">
        <v>4199</v>
      </c>
      <c r="C2871" s="35">
        <v>2023</v>
      </c>
      <c r="D2871" s="36">
        <v>45111.789375</v>
      </c>
      <c r="E2871" s="37" t="s">
        <v>2999</v>
      </c>
      <c r="F2871" s="37" t="s">
        <v>5755</v>
      </c>
      <c r="G2871" s="37" t="s">
        <v>3520</v>
      </c>
      <c r="H2871" s="35" t="s">
        <v>3419</v>
      </c>
      <c r="I2871" s="35" t="s">
        <v>3416</v>
      </c>
      <c r="J2871" s="38">
        <v>1.7158536585365849</v>
      </c>
      <c r="K2871" s="35">
        <v>1</v>
      </c>
      <c r="L2871" s="38">
        <f t="shared" si="44"/>
        <v>1.7158536585365849</v>
      </c>
      <c r="M2871" s="35" t="s">
        <v>11</v>
      </c>
      <c r="N2871" s="38"/>
      <c r="O2871" s="35" t="s">
        <v>12</v>
      </c>
    </row>
    <row r="2872" spans="1:15" ht="30" x14ac:dyDescent="0.25">
      <c r="A2872" s="35">
        <v>1118807160</v>
      </c>
      <c r="B2872" s="35" t="s">
        <v>4199</v>
      </c>
      <c r="C2872" s="35">
        <v>2023</v>
      </c>
      <c r="D2872" s="36">
        <v>45111.789375</v>
      </c>
      <c r="E2872" s="37" t="s">
        <v>2999</v>
      </c>
      <c r="F2872" s="37" t="s">
        <v>5756</v>
      </c>
      <c r="G2872" s="37" t="s">
        <v>3520</v>
      </c>
      <c r="H2872" s="35" t="s">
        <v>3419</v>
      </c>
      <c r="I2872" s="35" t="s">
        <v>3416</v>
      </c>
      <c r="J2872" s="38">
        <v>2.001829268292683</v>
      </c>
      <c r="K2872" s="35">
        <v>1</v>
      </c>
      <c r="L2872" s="38">
        <f t="shared" si="44"/>
        <v>2.001829268292683</v>
      </c>
      <c r="M2872" s="35" t="s">
        <v>11</v>
      </c>
      <c r="N2872" s="38"/>
      <c r="O2872" s="35" t="s">
        <v>12</v>
      </c>
    </row>
    <row r="2873" spans="1:15" ht="30" x14ac:dyDescent="0.25">
      <c r="A2873" s="35">
        <v>1118805255</v>
      </c>
      <c r="B2873" s="35" t="s">
        <v>4199</v>
      </c>
      <c r="C2873" s="35">
        <v>2023</v>
      </c>
      <c r="D2873" s="36">
        <v>45111.789375</v>
      </c>
      <c r="E2873" s="37" t="s">
        <v>3001</v>
      </c>
      <c r="F2873" s="37" t="s">
        <v>5757</v>
      </c>
      <c r="G2873" s="37" t="s">
        <v>3520</v>
      </c>
      <c r="H2873" s="35" t="s">
        <v>3419</v>
      </c>
      <c r="I2873" s="35" t="s">
        <v>3416</v>
      </c>
      <c r="J2873" s="38">
        <v>5.1737532808398949</v>
      </c>
      <c r="K2873" s="35">
        <v>1</v>
      </c>
      <c r="L2873" s="38">
        <f t="shared" si="44"/>
        <v>5.1737532808398949</v>
      </c>
      <c r="M2873" s="35" t="s">
        <v>11</v>
      </c>
      <c r="N2873" s="38"/>
      <c r="O2873" s="35" t="s">
        <v>12</v>
      </c>
    </row>
    <row r="2874" spans="1:15" ht="30" x14ac:dyDescent="0.25">
      <c r="A2874" s="35">
        <v>1118805255</v>
      </c>
      <c r="B2874" s="35" t="s">
        <v>4199</v>
      </c>
      <c r="C2874" s="35">
        <v>2023</v>
      </c>
      <c r="D2874" s="36">
        <v>45111.789375</v>
      </c>
      <c r="E2874" s="37" t="s">
        <v>3001</v>
      </c>
      <c r="F2874" s="37" t="s">
        <v>5733</v>
      </c>
      <c r="G2874" s="37" t="s">
        <v>3520</v>
      </c>
      <c r="H2874" s="35" t="s">
        <v>3419</v>
      </c>
      <c r="I2874" s="35" t="s">
        <v>3416</v>
      </c>
      <c r="J2874" s="38">
        <v>0.17322834645669291</v>
      </c>
      <c r="K2874" s="35">
        <v>1</v>
      </c>
      <c r="L2874" s="38">
        <f t="shared" si="44"/>
        <v>0.17322834645669291</v>
      </c>
      <c r="M2874" s="35" t="s">
        <v>11</v>
      </c>
      <c r="N2874" s="38"/>
      <c r="O2874" s="35" t="s">
        <v>12</v>
      </c>
    </row>
    <row r="2875" spans="1:15" ht="30" x14ac:dyDescent="0.25">
      <c r="A2875" s="35">
        <v>1118805255</v>
      </c>
      <c r="B2875" s="35" t="s">
        <v>4199</v>
      </c>
      <c r="C2875" s="35">
        <v>2023</v>
      </c>
      <c r="D2875" s="36">
        <v>45111.789375</v>
      </c>
      <c r="E2875" s="37" t="s">
        <v>3001</v>
      </c>
      <c r="F2875" s="37" t="s">
        <v>4672</v>
      </c>
      <c r="G2875" s="37" t="s">
        <v>3520</v>
      </c>
      <c r="H2875" s="35" t="s">
        <v>3419</v>
      </c>
      <c r="I2875" s="35" t="s">
        <v>3416</v>
      </c>
      <c r="J2875" s="38">
        <v>3.4530183727034118</v>
      </c>
      <c r="K2875" s="35">
        <v>1</v>
      </c>
      <c r="L2875" s="38">
        <f t="shared" si="44"/>
        <v>3.4530183727034118</v>
      </c>
      <c r="M2875" s="35" t="s">
        <v>11</v>
      </c>
      <c r="N2875" s="38"/>
      <c r="O2875" s="35" t="s">
        <v>12</v>
      </c>
    </row>
    <row r="2876" spans="1:15" ht="30" x14ac:dyDescent="0.25">
      <c r="A2876" s="35">
        <v>1118802905</v>
      </c>
      <c r="B2876" s="35" t="s">
        <v>4199</v>
      </c>
      <c r="C2876" s="35">
        <v>2023</v>
      </c>
      <c r="D2876" s="36">
        <v>45111.789375</v>
      </c>
      <c r="E2876" s="37" t="s">
        <v>294</v>
      </c>
      <c r="F2876" s="37" t="s">
        <v>5758</v>
      </c>
      <c r="G2876" s="37" t="s">
        <v>3520</v>
      </c>
      <c r="H2876" s="35" t="s">
        <v>3419</v>
      </c>
      <c r="I2876" s="35" t="s">
        <v>3416</v>
      </c>
      <c r="J2876" s="38">
        <v>1.4254777070063691</v>
      </c>
      <c r="K2876" s="35">
        <v>1</v>
      </c>
      <c r="L2876" s="38">
        <f t="shared" si="44"/>
        <v>1.4254777070063691</v>
      </c>
      <c r="M2876" s="35" t="s">
        <v>11</v>
      </c>
      <c r="N2876" s="38"/>
      <c r="O2876" s="35" t="s">
        <v>12</v>
      </c>
    </row>
    <row r="2877" spans="1:15" ht="30" x14ac:dyDescent="0.25">
      <c r="A2877" s="35">
        <v>1118802905</v>
      </c>
      <c r="B2877" s="35" t="s">
        <v>4199</v>
      </c>
      <c r="C2877" s="35">
        <v>2023</v>
      </c>
      <c r="D2877" s="36">
        <v>45111.789375</v>
      </c>
      <c r="E2877" s="37" t="s">
        <v>294</v>
      </c>
      <c r="F2877" s="37" t="s">
        <v>5759</v>
      </c>
      <c r="G2877" s="37" t="s">
        <v>3520</v>
      </c>
      <c r="H2877" s="35" t="s">
        <v>3419</v>
      </c>
      <c r="I2877" s="35" t="s">
        <v>3416</v>
      </c>
      <c r="J2877" s="38">
        <v>0.29697452229299359</v>
      </c>
      <c r="K2877" s="35">
        <v>1</v>
      </c>
      <c r="L2877" s="38">
        <f t="shared" si="44"/>
        <v>0.29697452229299359</v>
      </c>
      <c r="M2877" s="35" t="s">
        <v>11</v>
      </c>
      <c r="N2877" s="38"/>
      <c r="O2877" s="35" t="s">
        <v>12</v>
      </c>
    </row>
    <row r="2878" spans="1:15" ht="30" x14ac:dyDescent="0.25">
      <c r="A2878" s="35">
        <v>1118802905</v>
      </c>
      <c r="B2878" s="35" t="s">
        <v>4199</v>
      </c>
      <c r="C2878" s="35">
        <v>2023</v>
      </c>
      <c r="D2878" s="36">
        <v>45111.789375</v>
      </c>
      <c r="E2878" s="37" t="s">
        <v>294</v>
      </c>
      <c r="F2878" s="37" t="s">
        <v>5760</v>
      </c>
      <c r="G2878" s="37" t="s">
        <v>3520</v>
      </c>
      <c r="H2878" s="35" t="s">
        <v>3419</v>
      </c>
      <c r="I2878" s="35" t="s">
        <v>3416</v>
      </c>
      <c r="J2878" s="38">
        <v>0.28509554140127391</v>
      </c>
      <c r="K2878" s="35">
        <v>1</v>
      </c>
      <c r="L2878" s="38">
        <f t="shared" si="44"/>
        <v>0.28509554140127391</v>
      </c>
      <c r="M2878" s="35" t="s">
        <v>11</v>
      </c>
      <c r="N2878" s="38"/>
      <c r="O2878" s="35" t="s">
        <v>12</v>
      </c>
    </row>
    <row r="2879" spans="1:15" ht="30" x14ac:dyDescent="0.25">
      <c r="A2879" s="35">
        <v>1118802905</v>
      </c>
      <c r="B2879" s="35" t="s">
        <v>4199</v>
      </c>
      <c r="C2879" s="35">
        <v>2023</v>
      </c>
      <c r="D2879" s="36">
        <v>45111.789375</v>
      </c>
      <c r="E2879" s="37" t="s">
        <v>294</v>
      </c>
      <c r="F2879" s="37" t="s">
        <v>5761</v>
      </c>
      <c r="G2879" s="37" t="s">
        <v>3520</v>
      </c>
      <c r="H2879" s="35" t="s">
        <v>3419</v>
      </c>
      <c r="I2879" s="35" t="s">
        <v>3416</v>
      </c>
      <c r="J2879" s="38">
        <v>1.128503184713376</v>
      </c>
      <c r="K2879" s="35">
        <v>1</v>
      </c>
      <c r="L2879" s="38">
        <f t="shared" si="44"/>
        <v>1.128503184713376</v>
      </c>
      <c r="M2879" s="35" t="s">
        <v>11</v>
      </c>
      <c r="N2879" s="38"/>
      <c r="O2879" s="35" t="s">
        <v>12</v>
      </c>
    </row>
    <row r="2880" spans="1:15" ht="30" x14ac:dyDescent="0.25">
      <c r="A2880" s="35">
        <v>1118802905</v>
      </c>
      <c r="B2880" s="35" t="s">
        <v>4199</v>
      </c>
      <c r="C2880" s="35">
        <v>2023</v>
      </c>
      <c r="D2880" s="36">
        <v>45111.789375</v>
      </c>
      <c r="E2880" s="37" t="s">
        <v>294</v>
      </c>
      <c r="F2880" s="37" t="s">
        <v>5762</v>
      </c>
      <c r="G2880" s="37" t="s">
        <v>3520</v>
      </c>
      <c r="H2880" s="35" t="s">
        <v>3419</v>
      </c>
      <c r="I2880" s="35" t="s">
        <v>3416</v>
      </c>
      <c r="J2880" s="38">
        <v>0.65334394904458604</v>
      </c>
      <c r="K2880" s="35">
        <v>1</v>
      </c>
      <c r="L2880" s="38">
        <f t="shared" si="44"/>
        <v>0.65334394904458604</v>
      </c>
      <c r="M2880" s="35" t="s">
        <v>11</v>
      </c>
      <c r="N2880" s="38"/>
      <c r="O2880" s="35" t="s">
        <v>12</v>
      </c>
    </row>
    <row r="2881" spans="1:15" ht="30" x14ac:dyDescent="0.25">
      <c r="A2881" s="35">
        <v>1118802905</v>
      </c>
      <c r="B2881" s="35" t="s">
        <v>4199</v>
      </c>
      <c r="C2881" s="35">
        <v>2023</v>
      </c>
      <c r="D2881" s="36">
        <v>45111.789375</v>
      </c>
      <c r="E2881" s="37" t="s">
        <v>294</v>
      </c>
      <c r="F2881" s="37" t="s">
        <v>5763</v>
      </c>
      <c r="G2881" s="37" t="s">
        <v>3520</v>
      </c>
      <c r="H2881" s="35" t="s">
        <v>3419</v>
      </c>
      <c r="I2881" s="35" t="s">
        <v>3416</v>
      </c>
      <c r="J2881" s="38">
        <v>2.3164012738853499</v>
      </c>
      <c r="K2881" s="35">
        <v>1</v>
      </c>
      <c r="L2881" s="38">
        <f t="shared" si="44"/>
        <v>2.3164012738853499</v>
      </c>
      <c r="M2881" s="35" t="s">
        <v>11</v>
      </c>
      <c r="N2881" s="38"/>
      <c r="O2881" s="35" t="s">
        <v>12</v>
      </c>
    </row>
    <row r="2882" spans="1:15" ht="30" x14ac:dyDescent="0.25">
      <c r="A2882" s="35">
        <v>1118802905</v>
      </c>
      <c r="B2882" s="35" t="s">
        <v>4199</v>
      </c>
      <c r="C2882" s="35">
        <v>2023</v>
      </c>
      <c r="D2882" s="36">
        <v>45111.789375</v>
      </c>
      <c r="E2882" s="37" t="s">
        <v>294</v>
      </c>
      <c r="F2882" s="37" t="s">
        <v>5764</v>
      </c>
      <c r="G2882" s="37" t="s">
        <v>3520</v>
      </c>
      <c r="H2882" s="35" t="s">
        <v>3419</v>
      </c>
      <c r="I2882" s="35" t="s">
        <v>3416</v>
      </c>
      <c r="J2882" s="38">
        <v>0.71273885350318467</v>
      </c>
      <c r="K2882" s="35">
        <v>1</v>
      </c>
      <c r="L2882" s="38">
        <f t="shared" ref="L2882:L2945" si="45">J2882*K2882</f>
        <v>0.71273885350318467</v>
      </c>
      <c r="M2882" s="35" t="s">
        <v>11</v>
      </c>
      <c r="N2882" s="38"/>
      <c r="O2882" s="35" t="s">
        <v>12</v>
      </c>
    </row>
    <row r="2883" spans="1:15" ht="30" x14ac:dyDescent="0.25">
      <c r="A2883" s="35">
        <v>1118802905</v>
      </c>
      <c r="B2883" s="35" t="s">
        <v>4199</v>
      </c>
      <c r="C2883" s="35">
        <v>2023</v>
      </c>
      <c r="D2883" s="36">
        <v>45111.789375</v>
      </c>
      <c r="E2883" s="37" t="s">
        <v>294</v>
      </c>
      <c r="F2883" s="37" t="s">
        <v>5765</v>
      </c>
      <c r="G2883" s="37" t="s">
        <v>3520</v>
      </c>
      <c r="H2883" s="35" t="s">
        <v>3419</v>
      </c>
      <c r="I2883" s="35" t="s">
        <v>3416</v>
      </c>
      <c r="J2883" s="38">
        <v>0.29697452229299359</v>
      </c>
      <c r="K2883" s="35">
        <v>1</v>
      </c>
      <c r="L2883" s="38">
        <f t="shared" si="45"/>
        <v>0.29697452229299359</v>
      </c>
      <c r="M2883" s="35" t="s">
        <v>11</v>
      </c>
      <c r="N2883" s="38"/>
      <c r="O2883" s="35" t="s">
        <v>12</v>
      </c>
    </row>
    <row r="2884" spans="1:15" ht="30" x14ac:dyDescent="0.25">
      <c r="A2884" s="35">
        <v>1118802905</v>
      </c>
      <c r="B2884" s="35" t="s">
        <v>4199</v>
      </c>
      <c r="C2884" s="35">
        <v>2023</v>
      </c>
      <c r="D2884" s="36">
        <v>45111.789375</v>
      </c>
      <c r="E2884" s="37" t="s">
        <v>294</v>
      </c>
      <c r="F2884" s="37" t="s">
        <v>5766</v>
      </c>
      <c r="G2884" s="37" t="s">
        <v>3520</v>
      </c>
      <c r="H2884" s="35" t="s">
        <v>3419</v>
      </c>
      <c r="I2884" s="35" t="s">
        <v>3416</v>
      </c>
      <c r="J2884" s="38">
        <v>0.16630573248407651</v>
      </c>
      <c r="K2884" s="35">
        <v>1</v>
      </c>
      <c r="L2884" s="38">
        <f t="shared" si="45"/>
        <v>0.16630573248407651</v>
      </c>
      <c r="M2884" s="35" t="s">
        <v>11</v>
      </c>
      <c r="N2884" s="38"/>
      <c r="O2884" s="35" t="s">
        <v>12</v>
      </c>
    </row>
    <row r="2885" spans="1:15" ht="30" x14ac:dyDescent="0.25">
      <c r="A2885" s="35">
        <v>1118802905</v>
      </c>
      <c r="B2885" s="35" t="s">
        <v>4199</v>
      </c>
      <c r="C2885" s="35">
        <v>2023</v>
      </c>
      <c r="D2885" s="36">
        <v>45111.789375</v>
      </c>
      <c r="E2885" s="37" t="s">
        <v>294</v>
      </c>
      <c r="F2885" s="37" t="s">
        <v>5737</v>
      </c>
      <c r="G2885" s="37" t="s">
        <v>3520</v>
      </c>
      <c r="H2885" s="35" t="s">
        <v>3419</v>
      </c>
      <c r="I2885" s="35" t="s">
        <v>3416</v>
      </c>
      <c r="J2885" s="38">
        <v>0.17818471337579619</v>
      </c>
      <c r="K2885" s="35">
        <v>1</v>
      </c>
      <c r="L2885" s="38">
        <f t="shared" si="45"/>
        <v>0.17818471337579619</v>
      </c>
      <c r="M2885" s="35" t="s">
        <v>11</v>
      </c>
      <c r="N2885" s="38"/>
      <c r="O2885" s="35" t="s">
        <v>12</v>
      </c>
    </row>
    <row r="2886" spans="1:15" ht="30" x14ac:dyDescent="0.25">
      <c r="A2886" s="35">
        <v>1118802190</v>
      </c>
      <c r="B2886" s="35" t="s">
        <v>4199</v>
      </c>
      <c r="C2886" s="35">
        <v>2023</v>
      </c>
      <c r="D2886" s="36">
        <v>45111.789375</v>
      </c>
      <c r="E2886" s="37" t="s">
        <v>1105</v>
      </c>
      <c r="F2886" s="37" t="s">
        <v>5740</v>
      </c>
      <c r="G2886" s="37" t="s">
        <v>3520</v>
      </c>
      <c r="H2886" s="35" t="s">
        <v>3419</v>
      </c>
      <c r="I2886" s="35" t="s">
        <v>3416</v>
      </c>
      <c r="J2886" s="38">
        <v>2.2963455450022621</v>
      </c>
      <c r="K2886" s="35">
        <v>1</v>
      </c>
      <c r="L2886" s="38">
        <f t="shared" si="45"/>
        <v>2.2963455450022621</v>
      </c>
      <c r="M2886" s="35" t="s">
        <v>11</v>
      </c>
      <c r="N2886" s="38"/>
      <c r="O2886" s="35" t="s">
        <v>12</v>
      </c>
    </row>
    <row r="2887" spans="1:15" ht="30" x14ac:dyDescent="0.25">
      <c r="A2887" s="35">
        <v>1118802190</v>
      </c>
      <c r="B2887" s="35" t="s">
        <v>4199</v>
      </c>
      <c r="C2887" s="35">
        <v>2023</v>
      </c>
      <c r="D2887" s="36">
        <v>45111.789375</v>
      </c>
      <c r="E2887" s="37" t="s">
        <v>1105</v>
      </c>
      <c r="F2887" s="37" t="s">
        <v>4311</v>
      </c>
      <c r="G2887" s="37" t="s">
        <v>3520</v>
      </c>
      <c r="H2887" s="35" t="s">
        <v>3419</v>
      </c>
      <c r="I2887" s="35" t="s">
        <v>3416</v>
      </c>
      <c r="J2887" s="38">
        <v>1.2640434192673</v>
      </c>
      <c r="K2887" s="35">
        <v>1</v>
      </c>
      <c r="L2887" s="38">
        <f t="shared" si="45"/>
        <v>1.2640434192673</v>
      </c>
      <c r="M2887" s="35" t="s">
        <v>11</v>
      </c>
      <c r="N2887" s="38"/>
      <c r="O2887" s="35" t="s">
        <v>12</v>
      </c>
    </row>
    <row r="2888" spans="1:15" ht="30" x14ac:dyDescent="0.25">
      <c r="A2888" s="35">
        <v>1118802190</v>
      </c>
      <c r="B2888" s="35" t="s">
        <v>4199</v>
      </c>
      <c r="C2888" s="35">
        <v>2023</v>
      </c>
      <c r="D2888" s="36">
        <v>45111.789375</v>
      </c>
      <c r="E2888" s="37" t="s">
        <v>1105</v>
      </c>
      <c r="F2888" s="37" t="s">
        <v>5767</v>
      </c>
      <c r="G2888" s="37" t="s">
        <v>3520</v>
      </c>
      <c r="H2888" s="35" t="s">
        <v>3419</v>
      </c>
      <c r="I2888" s="35" t="s">
        <v>3416</v>
      </c>
      <c r="J2888" s="38">
        <v>1.527385798281321</v>
      </c>
      <c r="K2888" s="35">
        <v>1</v>
      </c>
      <c r="L2888" s="38">
        <f t="shared" si="45"/>
        <v>1.527385798281321</v>
      </c>
      <c r="M2888" s="35" t="s">
        <v>11</v>
      </c>
      <c r="N2888" s="38"/>
      <c r="O2888" s="35" t="s">
        <v>12</v>
      </c>
    </row>
    <row r="2889" spans="1:15" ht="30" x14ac:dyDescent="0.25">
      <c r="A2889" s="35">
        <v>1118802190</v>
      </c>
      <c r="B2889" s="35" t="s">
        <v>4199</v>
      </c>
      <c r="C2889" s="35">
        <v>2023</v>
      </c>
      <c r="D2889" s="36">
        <v>45111.789375</v>
      </c>
      <c r="E2889" s="37" t="s">
        <v>1105</v>
      </c>
      <c r="F2889" s="37" t="s">
        <v>5705</v>
      </c>
      <c r="G2889" s="37" t="s">
        <v>3520</v>
      </c>
      <c r="H2889" s="35" t="s">
        <v>3419</v>
      </c>
      <c r="I2889" s="35" t="s">
        <v>3416</v>
      </c>
      <c r="J2889" s="38">
        <v>0.8953640886476707</v>
      </c>
      <c r="K2889" s="35">
        <v>1</v>
      </c>
      <c r="L2889" s="38">
        <f t="shared" si="45"/>
        <v>0.8953640886476707</v>
      </c>
      <c r="M2889" s="35" t="s">
        <v>11</v>
      </c>
      <c r="N2889" s="38"/>
      <c r="O2889" s="35" t="s">
        <v>12</v>
      </c>
    </row>
    <row r="2890" spans="1:15" ht="30" x14ac:dyDescent="0.25">
      <c r="A2890" s="35">
        <v>1118802190</v>
      </c>
      <c r="B2890" s="35" t="s">
        <v>4199</v>
      </c>
      <c r="C2890" s="35">
        <v>2023</v>
      </c>
      <c r="D2890" s="36">
        <v>45111.789375</v>
      </c>
      <c r="E2890" s="37" t="s">
        <v>1105</v>
      </c>
      <c r="F2890" s="37" t="s">
        <v>5768</v>
      </c>
      <c r="G2890" s="37" t="s">
        <v>3520</v>
      </c>
      <c r="H2890" s="35" t="s">
        <v>3419</v>
      </c>
      <c r="I2890" s="35" t="s">
        <v>3416</v>
      </c>
      <c r="J2890" s="38">
        <v>2.1383401175938488</v>
      </c>
      <c r="K2890" s="35">
        <v>1</v>
      </c>
      <c r="L2890" s="38">
        <f t="shared" si="45"/>
        <v>2.1383401175938488</v>
      </c>
      <c r="M2890" s="35" t="s">
        <v>11</v>
      </c>
      <c r="N2890" s="38"/>
      <c r="O2890" s="35" t="s">
        <v>12</v>
      </c>
    </row>
    <row r="2891" spans="1:15" ht="30" x14ac:dyDescent="0.25">
      <c r="A2891" s="35">
        <v>1118802190</v>
      </c>
      <c r="B2891" s="35" t="s">
        <v>4199</v>
      </c>
      <c r="C2891" s="35">
        <v>2023</v>
      </c>
      <c r="D2891" s="36">
        <v>45111.789375</v>
      </c>
      <c r="E2891" s="37" t="s">
        <v>1105</v>
      </c>
      <c r="F2891" s="37" t="s">
        <v>5769</v>
      </c>
      <c r="G2891" s="37" t="s">
        <v>3520</v>
      </c>
      <c r="H2891" s="35" t="s">
        <v>3419</v>
      </c>
      <c r="I2891" s="35" t="s">
        <v>3416</v>
      </c>
      <c r="J2891" s="38">
        <v>3.0547715965626412</v>
      </c>
      <c r="K2891" s="35">
        <v>1</v>
      </c>
      <c r="L2891" s="38">
        <f t="shared" si="45"/>
        <v>3.0547715965626412</v>
      </c>
      <c r="M2891" s="35" t="s">
        <v>11</v>
      </c>
      <c r="N2891" s="38"/>
      <c r="O2891" s="35" t="s">
        <v>12</v>
      </c>
    </row>
    <row r="2892" spans="1:15" ht="30" x14ac:dyDescent="0.25">
      <c r="A2892" s="35">
        <v>1118802190</v>
      </c>
      <c r="B2892" s="35" t="s">
        <v>4199</v>
      </c>
      <c r="C2892" s="35">
        <v>2023</v>
      </c>
      <c r="D2892" s="36">
        <v>45111.789375</v>
      </c>
      <c r="E2892" s="37" t="s">
        <v>1105</v>
      </c>
      <c r="F2892" s="37" t="s">
        <v>5698</v>
      </c>
      <c r="G2892" s="37" t="s">
        <v>3520</v>
      </c>
      <c r="H2892" s="35" t="s">
        <v>3419</v>
      </c>
      <c r="I2892" s="35" t="s">
        <v>3416</v>
      </c>
      <c r="J2892" s="38">
        <v>2.3911488014473088</v>
      </c>
      <c r="K2892" s="35">
        <v>1</v>
      </c>
      <c r="L2892" s="38">
        <f t="shared" si="45"/>
        <v>2.3911488014473088</v>
      </c>
      <c r="M2892" s="35" t="s">
        <v>11</v>
      </c>
      <c r="N2892" s="38"/>
      <c r="O2892" s="35" t="s">
        <v>12</v>
      </c>
    </row>
    <row r="2893" spans="1:15" ht="30" x14ac:dyDescent="0.25">
      <c r="A2893" s="35">
        <v>1118802190</v>
      </c>
      <c r="B2893" s="35" t="s">
        <v>4199</v>
      </c>
      <c r="C2893" s="35">
        <v>2023</v>
      </c>
      <c r="D2893" s="36">
        <v>45111.789375</v>
      </c>
      <c r="E2893" s="37" t="s">
        <v>1105</v>
      </c>
      <c r="F2893" s="37" t="s">
        <v>5770</v>
      </c>
      <c r="G2893" s="37" t="s">
        <v>3520</v>
      </c>
      <c r="H2893" s="35" t="s">
        <v>3419</v>
      </c>
      <c r="I2893" s="35" t="s">
        <v>3416</v>
      </c>
      <c r="J2893" s="38">
        <v>1.0323021257349621</v>
      </c>
      <c r="K2893" s="35">
        <v>1</v>
      </c>
      <c r="L2893" s="38">
        <f t="shared" si="45"/>
        <v>1.0323021257349621</v>
      </c>
      <c r="M2893" s="35" t="s">
        <v>11</v>
      </c>
      <c r="N2893" s="38"/>
      <c r="O2893" s="35" t="s">
        <v>12</v>
      </c>
    </row>
    <row r="2894" spans="1:15" ht="30" x14ac:dyDescent="0.25">
      <c r="A2894" s="35">
        <v>1118802190</v>
      </c>
      <c r="B2894" s="35" t="s">
        <v>4199</v>
      </c>
      <c r="C2894" s="35">
        <v>2023</v>
      </c>
      <c r="D2894" s="36">
        <v>45111.789375</v>
      </c>
      <c r="E2894" s="37" t="s">
        <v>1105</v>
      </c>
      <c r="F2894" s="37" t="s">
        <v>5771</v>
      </c>
      <c r="G2894" s="37" t="s">
        <v>3520</v>
      </c>
      <c r="H2894" s="35" t="s">
        <v>3419</v>
      </c>
      <c r="I2894" s="35" t="s">
        <v>3416</v>
      </c>
      <c r="J2894" s="38">
        <v>0.61095431931252819</v>
      </c>
      <c r="K2894" s="35">
        <v>1</v>
      </c>
      <c r="L2894" s="38">
        <f t="shared" si="45"/>
        <v>0.61095431931252819</v>
      </c>
      <c r="M2894" s="35" t="s">
        <v>11</v>
      </c>
      <c r="N2894" s="38"/>
      <c r="O2894" s="35" t="s">
        <v>12</v>
      </c>
    </row>
    <row r="2895" spans="1:15" ht="30" x14ac:dyDescent="0.25">
      <c r="A2895" s="35">
        <v>1118802190</v>
      </c>
      <c r="B2895" s="35" t="s">
        <v>4199</v>
      </c>
      <c r="C2895" s="35">
        <v>2023</v>
      </c>
      <c r="D2895" s="36">
        <v>45111.789375</v>
      </c>
      <c r="E2895" s="37" t="s">
        <v>1105</v>
      </c>
      <c r="F2895" s="37" t="s">
        <v>4672</v>
      </c>
      <c r="G2895" s="37" t="s">
        <v>3520</v>
      </c>
      <c r="H2895" s="35" t="s">
        <v>3419</v>
      </c>
      <c r="I2895" s="35" t="s">
        <v>3416</v>
      </c>
      <c r="J2895" s="38">
        <v>2.054070556309362</v>
      </c>
      <c r="K2895" s="35">
        <v>1</v>
      </c>
      <c r="L2895" s="38">
        <f t="shared" si="45"/>
        <v>2.054070556309362</v>
      </c>
      <c r="M2895" s="35" t="s">
        <v>11</v>
      </c>
      <c r="N2895" s="38"/>
      <c r="O2895" s="35" t="s">
        <v>12</v>
      </c>
    </row>
    <row r="2896" spans="1:15" ht="30" x14ac:dyDescent="0.25">
      <c r="A2896" s="35">
        <v>1118802190</v>
      </c>
      <c r="B2896" s="35" t="s">
        <v>4199</v>
      </c>
      <c r="C2896" s="35">
        <v>2023</v>
      </c>
      <c r="D2896" s="36">
        <v>45111.789375</v>
      </c>
      <c r="E2896" s="37" t="s">
        <v>1105</v>
      </c>
      <c r="F2896" s="37" t="s">
        <v>5694</v>
      </c>
      <c r="G2896" s="37" t="s">
        <v>3520</v>
      </c>
      <c r="H2896" s="35" t="s">
        <v>3419</v>
      </c>
      <c r="I2896" s="35" t="s">
        <v>3416</v>
      </c>
      <c r="J2896" s="38">
        <v>1.2851108095884221</v>
      </c>
      <c r="K2896" s="35">
        <v>1</v>
      </c>
      <c r="L2896" s="38">
        <f t="shared" si="45"/>
        <v>1.2851108095884221</v>
      </c>
      <c r="M2896" s="35" t="s">
        <v>11</v>
      </c>
      <c r="N2896" s="38"/>
      <c r="O2896" s="35" t="s">
        <v>12</v>
      </c>
    </row>
    <row r="2897" spans="1:15" ht="30" x14ac:dyDescent="0.25">
      <c r="A2897" s="35">
        <v>1118802190</v>
      </c>
      <c r="B2897" s="35" t="s">
        <v>4199</v>
      </c>
      <c r="C2897" s="35">
        <v>2023</v>
      </c>
      <c r="D2897" s="36">
        <v>45111.789375</v>
      </c>
      <c r="E2897" s="37" t="s">
        <v>1105</v>
      </c>
      <c r="F2897" s="37" t="s">
        <v>5709</v>
      </c>
      <c r="G2897" s="37" t="s">
        <v>3520</v>
      </c>
      <c r="H2897" s="35" t="s">
        <v>3419</v>
      </c>
      <c r="I2897" s="35" t="s">
        <v>3416</v>
      </c>
      <c r="J2897" s="38">
        <v>0.9480325644504749</v>
      </c>
      <c r="K2897" s="35">
        <v>1</v>
      </c>
      <c r="L2897" s="38">
        <f t="shared" si="45"/>
        <v>0.9480325644504749</v>
      </c>
      <c r="M2897" s="35" t="s">
        <v>11</v>
      </c>
      <c r="N2897" s="38"/>
      <c r="O2897" s="35" t="s">
        <v>12</v>
      </c>
    </row>
    <row r="2898" spans="1:15" ht="30" x14ac:dyDescent="0.25">
      <c r="A2898" s="35">
        <v>1118802190</v>
      </c>
      <c r="B2898" s="35" t="s">
        <v>4199</v>
      </c>
      <c r="C2898" s="35">
        <v>2023</v>
      </c>
      <c r="D2898" s="36">
        <v>45111.789375</v>
      </c>
      <c r="E2898" s="37" t="s">
        <v>1105</v>
      </c>
      <c r="F2898" s="37" t="s">
        <v>5741</v>
      </c>
      <c r="G2898" s="37" t="s">
        <v>3520</v>
      </c>
      <c r="H2898" s="35" t="s">
        <v>3419</v>
      </c>
      <c r="I2898" s="35" t="s">
        <v>3416</v>
      </c>
      <c r="J2898" s="38">
        <v>1.169240162822252</v>
      </c>
      <c r="K2898" s="35">
        <v>1</v>
      </c>
      <c r="L2898" s="38">
        <f t="shared" si="45"/>
        <v>1.169240162822252</v>
      </c>
      <c r="M2898" s="35" t="s">
        <v>11</v>
      </c>
      <c r="N2898" s="38"/>
      <c r="O2898" s="35" t="s">
        <v>12</v>
      </c>
    </row>
    <row r="2899" spans="1:15" ht="30" x14ac:dyDescent="0.25">
      <c r="A2899" s="35">
        <v>1118802190</v>
      </c>
      <c r="B2899" s="35" t="s">
        <v>4199</v>
      </c>
      <c r="C2899" s="35">
        <v>2023</v>
      </c>
      <c r="D2899" s="36">
        <v>45111.789375</v>
      </c>
      <c r="E2899" s="37" t="s">
        <v>1105</v>
      </c>
      <c r="F2899" s="37" t="s">
        <v>3519</v>
      </c>
      <c r="G2899" s="37" t="s">
        <v>3520</v>
      </c>
      <c r="H2899" s="35" t="s">
        <v>3419</v>
      </c>
      <c r="I2899" s="35" t="s">
        <v>3416</v>
      </c>
      <c r="J2899" s="38">
        <v>2.6228900949796481</v>
      </c>
      <c r="K2899" s="35">
        <v>1</v>
      </c>
      <c r="L2899" s="38">
        <f t="shared" si="45"/>
        <v>2.6228900949796481</v>
      </c>
      <c r="M2899" s="35" t="s">
        <v>11</v>
      </c>
      <c r="N2899" s="38"/>
      <c r="O2899" s="35" t="s">
        <v>12</v>
      </c>
    </row>
    <row r="2900" spans="1:15" ht="30" x14ac:dyDescent="0.25">
      <c r="A2900" s="35">
        <v>1118682318</v>
      </c>
      <c r="B2900" s="35" t="s">
        <v>4199</v>
      </c>
      <c r="C2900" s="35">
        <v>2023</v>
      </c>
      <c r="D2900" s="36">
        <v>45110.838009259263</v>
      </c>
      <c r="E2900" s="37" t="s">
        <v>3006</v>
      </c>
      <c r="F2900" s="37" t="s">
        <v>4820</v>
      </c>
      <c r="G2900" s="37" t="s">
        <v>3520</v>
      </c>
      <c r="H2900" s="35" t="s">
        <v>3419</v>
      </c>
      <c r="I2900" s="35" t="s">
        <v>3416</v>
      </c>
      <c r="J2900" s="38">
        <v>33.78</v>
      </c>
      <c r="K2900" s="35">
        <v>1</v>
      </c>
      <c r="L2900" s="38">
        <f t="shared" si="45"/>
        <v>33.78</v>
      </c>
      <c r="M2900" s="35" t="s">
        <v>11</v>
      </c>
      <c r="N2900" s="38"/>
      <c r="O2900" s="35" t="s">
        <v>12</v>
      </c>
    </row>
    <row r="2901" spans="1:15" ht="30" x14ac:dyDescent="0.25">
      <c r="A2901" s="35">
        <v>1118605239</v>
      </c>
      <c r="B2901" s="35" t="s">
        <v>4199</v>
      </c>
      <c r="C2901" s="35">
        <v>2023</v>
      </c>
      <c r="D2901" s="36">
        <v>45110.324548611112</v>
      </c>
      <c r="E2901" s="37" t="s">
        <v>3009</v>
      </c>
      <c r="F2901" s="37" t="s">
        <v>4820</v>
      </c>
      <c r="G2901" s="37" t="s">
        <v>3520</v>
      </c>
      <c r="H2901" s="35" t="s">
        <v>3419</v>
      </c>
      <c r="I2901" s="35" t="s">
        <v>3416</v>
      </c>
      <c r="J2901" s="38">
        <v>30.28</v>
      </c>
      <c r="K2901" s="35">
        <v>1</v>
      </c>
      <c r="L2901" s="38">
        <f t="shared" si="45"/>
        <v>30.28</v>
      </c>
      <c r="M2901" s="35" t="s">
        <v>11</v>
      </c>
      <c r="N2901" s="38"/>
      <c r="O2901" s="35" t="s">
        <v>12</v>
      </c>
    </row>
    <row r="2902" spans="1:15" ht="30" x14ac:dyDescent="0.25">
      <c r="A2902" s="35">
        <v>1118441783</v>
      </c>
      <c r="B2902" s="35" t="s">
        <v>4199</v>
      </c>
      <c r="C2902" s="35">
        <v>2023</v>
      </c>
      <c r="D2902" s="36">
        <v>45108.810046296298</v>
      </c>
      <c r="E2902" s="37" t="s">
        <v>3013</v>
      </c>
      <c r="F2902" s="37" t="s">
        <v>4820</v>
      </c>
      <c r="G2902" s="37" t="s">
        <v>3520</v>
      </c>
      <c r="H2902" s="35" t="s">
        <v>3419</v>
      </c>
      <c r="I2902" s="35" t="s">
        <v>3416</v>
      </c>
      <c r="J2902" s="38">
        <v>37.28</v>
      </c>
      <c r="K2902" s="35">
        <v>1</v>
      </c>
      <c r="L2902" s="38">
        <f t="shared" si="45"/>
        <v>37.28</v>
      </c>
      <c r="M2902" s="35" t="s">
        <v>11</v>
      </c>
      <c r="N2902" s="38"/>
      <c r="O2902" s="35" t="s">
        <v>12</v>
      </c>
    </row>
    <row r="2903" spans="1:15" ht="30" x14ac:dyDescent="0.25">
      <c r="A2903" s="35">
        <v>1118440465</v>
      </c>
      <c r="B2903" s="35" t="s">
        <v>4199</v>
      </c>
      <c r="C2903" s="35">
        <v>2023</v>
      </c>
      <c r="D2903" s="36">
        <v>45108.810046296298</v>
      </c>
      <c r="E2903" s="37" t="s">
        <v>3016</v>
      </c>
      <c r="F2903" s="37" t="s">
        <v>4820</v>
      </c>
      <c r="G2903" s="37" t="s">
        <v>3520</v>
      </c>
      <c r="H2903" s="35" t="s">
        <v>3419</v>
      </c>
      <c r="I2903" s="35" t="s">
        <v>3416</v>
      </c>
      <c r="J2903" s="38">
        <v>34.28</v>
      </c>
      <c r="K2903" s="35">
        <v>1</v>
      </c>
      <c r="L2903" s="38">
        <f t="shared" si="45"/>
        <v>34.28</v>
      </c>
      <c r="M2903" s="35" t="s">
        <v>11</v>
      </c>
      <c r="N2903" s="38"/>
      <c r="O2903" s="35" t="s">
        <v>12</v>
      </c>
    </row>
    <row r="2904" spans="1:15" ht="30" x14ac:dyDescent="0.25">
      <c r="A2904" s="35">
        <v>1118027162</v>
      </c>
      <c r="B2904" s="35" t="s">
        <v>3412</v>
      </c>
      <c r="C2904" s="35">
        <v>2023</v>
      </c>
      <c r="D2904" s="36">
        <v>45105.341886574082</v>
      </c>
      <c r="E2904" s="37" t="s">
        <v>1105</v>
      </c>
      <c r="F2904" s="37" t="s">
        <v>5772</v>
      </c>
      <c r="G2904" s="37" t="s">
        <v>3520</v>
      </c>
      <c r="H2904" s="35" t="s">
        <v>3419</v>
      </c>
      <c r="I2904" s="35" t="s">
        <v>3416</v>
      </c>
      <c r="J2904" s="38">
        <v>0.62669975186104221</v>
      </c>
      <c r="K2904" s="35">
        <v>1</v>
      </c>
      <c r="L2904" s="38">
        <f t="shared" si="45"/>
        <v>0.62669975186104221</v>
      </c>
      <c r="M2904" s="35" t="s">
        <v>11</v>
      </c>
      <c r="N2904" s="38"/>
      <c r="O2904" s="35" t="s">
        <v>12</v>
      </c>
    </row>
    <row r="2905" spans="1:15" ht="30" x14ac:dyDescent="0.25">
      <c r="A2905" s="35">
        <v>1118027162</v>
      </c>
      <c r="B2905" s="35" t="s">
        <v>3412</v>
      </c>
      <c r="C2905" s="35">
        <v>2023</v>
      </c>
      <c r="D2905" s="36">
        <v>45105.341886574082</v>
      </c>
      <c r="E2905" s="37" t="s">
        <v>1105</v>
      </c>
      <c r="F2905" s="37" t="s">
        <v>5773</v>
      </c>
      <c r="G2905" s="37" t="s">
        <v>3520</v>
      </c>
      <c r="H2905" s="35" t="s">
        <v>3419</v>
      </c>
      <c r="I2905" s="35" t="s">
        <v>3416</v>
      </c>
      <c r="J2905" s="38">
        <v>21.195880893300249</v>
      </c>
      <c r="K2905" s="35">
        <v>2</v>
      </c>
      <c r="L2905" s="38">
        <f t="shared" si="45"/>
        <v>42.391761786600497</v>
      </c>
      <c r="M2905" s="35" t="s">
        <v>11</v>
      </c>
      <c r="N2905" s="38"/>
      <c r="O2905" s="35" t="s">
        <v>12</v>
      </c>
    </row>
    <row r="2906" spans="1:15" ht="30" x14ac:dyDescent="0.25">
      <c r="A2906" s="35">
        <v>1118027162</v>
      </c>
      <c r="B2906" s="35" t="s">
        <v>3412</v>
      </c>
      <c r="C2906" s="35">
        <v>2023</v>
      </c>
      <c r="D2906" s="36">
        <v>45105.341886574082</v>
      </c>
      <c r="E2906" s="37" t="s">
        <v>1105</v>
      </c>
      <c r="F2906" s="37" t="s">
        <v>5774</v>
      </c>
      <c r="G2906" s="37" t="s">
        <v>3520</v>
      </c>
      <c r="H2906" s="35" t="s">
        <v>3419</v>
      </c>
      <c r="I2906" s="35" t="s">
        <v>3416</v>
      </c>
      <c r="J2906" s="38">
        <v>1.4548387096774189</v>
      </c>
      <c r="K2906" s="35">
        <v>1</v>
      </c>
      <c r="L2906" s="38">
        <f t="shared" si="45"/>
        <v>1.4548387096774189</v>
      </c>
      <c r="M2906" s="35" t="s">
        <v>11</v>
      </c>
      <c r="N2906" s="38"/>
      <c r="O2906" s="35" t="s">
        <v>12</v>
      </c>
    </row>
    <row r="2907" spans="1:15" ht="30" x14ac:dyDescent="0.25">
      <c r="A2907" s="35">
        <v>1118027162</v>
      </c>
      <c r="B2907" s="35" t="s">
        <v>3412</v>
      </c>
      <c r="C2907" s="35">
        <v>2023</v>
      </c>
      <c r="D2907" s="36">
        <v>45105.341886574082</v>
      </c>
      <c r="E2907" s="37" t="s">
        <v>1105</v>
      </c>
      <c r="F2907" s="37" t="s">
        <v>5775</v>
      </c>
      <c r="G2907" s="37" t="s">
        <v>3520</v>
      </c>
      <c r="H2907" s="35" t="s">
        <v>3419</v>
      </c>
      <c r="I2907" s="35" t="s">
        <v>3416</v>
      </c>
      <c r="J2907" s="38">
        <v>0.27977667493796532</v>
      </c>
      <c r="K2907" s="35">
        <v>1</v>
      </c>
      <c r="L2907" s="38">
        <f t="shared" si="45"/>
        <v>0.27977667493796532</v>
      </c>
      <c r="M2907" s="35" t="s">
        <v>11</v>
      </c>
      <c r="N2907" s="38"/>
      <c r="O2907" s="35" t="s">
        <v>12</v>
      </c>
    </row>
    <row r="2908" spans="1:15" ht="30" x14ac:dyDescent="0.25">
      <c r="A2908" s="35">
        <v>1118027162</v>
      </c>
      <c r="B2908" s="35" t="s">
        <v>3412</v>
      </c>
      <c r="C2908" s="35">
        <v>2023</v>
      </c>
      <c r="D2908" s="36">
        <v>45105.341886574082</v>
      </c>
      <c r="E2908" s="37" t="s">
        <v>1105</v>
      </c>
      <c r="F2908" s="37" t="s">
        <v>5776</v>
      </c>
      <c r="G2908" s="37" t="s">
        <v>3520</v>
      </c>
      <c r="H2908" s="35" t="s">
        <v>3419</v>
      </c>
      <c r="I2908" s="35" t="s">
        <v>3416</v>
      </c>
      <c r="J2908" s="38">
        <v>1.107915632754342</v>
      </c>
      <c r="K2908" s="35">
        <v>1</v>
      </c>
      <c r="L2908" s="38">
        <f t="shared" si="45"/>
        <v>1.107915632754342</v>
      </c>
      <c r="M2908" s="35" t="s">
        <v>11</v>
      </c>
      <c r="N2908" s="38"/>
      <c r="O2908" s="35" t="s">
        <v>12</v>
      </c>
    </row>
    <row r="2909" spans="1:15" ht="30" x14ac:dyDescent="0.25">
      <c r="A2909" s="35">
        <v>1118027162</v>
      </c>
      <c r="B2909" s="35" t="s">
        <v>3412</v>
      </c>
      <c r="C2909" s="35">
        <v>2023</v>
      </c>
      <c r="D2909" s="36">
        <v>45105.341886574082</v>
      </c>
      <c r="E2909" s="37" t="s">
        <v>1105</v>
      </c>
      <c r="F2909" s="37" t="s">
        <v>5777</v>
      </c>
      <c r="G2909" s="37" t="s">
        <v>3520</v>
      </c>
      <c r="H2909" s="35" t="s">
        <v>3419</v>
      </c>
      <c r="I2909" s="35" t="s">
        <v>3416</v>
      </c>
      <c r="J2909" s="38">
        <v>3.749007444168734</v>
      </c>
      <c r="K2909" s="35">
        <v>1</v>
      </c>
      <c r="L2909" s="38">
        <f t="shared" si="45"/>
        <v>3.749007444168734</v>
      </c>
      <c r="M2909" s="35" t="s">
        <v>11</v>
      </c>
      <c r="N2909" s="38"/>
      <c r="O2909" s="35" t="s">
        <v>12</v>
      </c>
    </row>
    <row r="2910" spans="1:15" ht="30" x14ac:dyDescent="0.25">
      <c r="A2910" s="35">
        <v>1118026707</v>
      </c>
      <c r="B2910" s="35" t="s">
        <v>3412</v>
      </c>
      <c r="C2910" s="35">
        <v>2023</v>
      </c>
      <c r="D2910" s="36">
        <v>45105.335601851853</v>
      </c>
      <c r="E2910" s="37" t="s">
        <v>2537</v>
      </c>
      <c r="F2910" s="37" t="s">
        <v>5778</v>
      </c>
      <c r="G2910" s="37" t="s">
        <v>3520</v>
      </c>
      <c r="H2910" s="35" t="s">
        <v>3419</v>
      </c>
      <c r="I2910" s="35" t="s">
        <v>3416</v>
      </c>
      <c r="J2910" s="38">
        <v>20.170000000000002</v>
      </c>
      <c r="K2910" s="35">
        <v>1</v>
      </c>
      <c r="L2910" s="38">
        <f t="shared" si="45"/>
        <v>20.170000000000002</v>
      </c>
      <c r="M2910" s="35" t="s">
        <v>11</v>
      </c>
      <c r="N2910" s="38"/>
      <c r="O2910" s="35" t="s">
        <v>12</v>
      </c>
    </row>
    <row r="2911" spans="1:15" ht="30" x14ac:dyDescent="0.25">
      <c r="A2911" s="35">
        <v>1118025685</v>
      </c>
      <c r="B2911" s="35" t="s">
        <v>3412</v>
      </c>
      <c r="C2911" s="35">
        <v>2023</v>
      </c>
      <c r="D2911" s="36">
        <v>45105.331354166658</v>
      </c>
      <c r="E2911" s="37" t="s">
        <v>3020</v>
      </c>
      <c r="F2911" s="37" t="s">
        <v>5779</v>
      </c>
      <c r="G2911" s="37" t="s">
        <v>3520</v>
      </c>
      <c r="H2911" s="35" t="s">
        <v>3419</v>
      </c>
      <c r="I2911" s="35" t="s">
        <v>3416</v>
      </c>
      <c r="J2911" s="38">
        <v>0.616328125</v>
      </c>
      <c r="K2911" s="35">
        <v>1</v>
      </c>
      <c r="L2911" s="38">
        <f t="shared" si="45"/>
        <v>0.616328125</v>
      </c>
      <c r="M2911" s="35" t="s">
        <v>11</v>
      </c>
      <c r="N2911" s="38"/>
      <c r="O2911" s="35" t="s">
        <v>12</v>
      </c>
    </row>
    <row r="2912" spans="1:15" ht="30" x14ac:dyDescent="0.25">
      <c r="A2912" s="35">
        <v>1118025685</v>
      </c>
      <c r="B2912" s="35" t="s">
        <v>3412</v>
      </c>
      <c r="C2912" s="35">
        <v>2023</v>
      </c>
      <c r="D2912" s="36">
        <v>45105.331354166658</v>
      </c>
      <c r="E2912" s="37" t="s">
        <v>3020</v>
      </c>
      <c r="F2912" s="37" t="s">
        <v>5780</v>
      </c>
      <c r="G2912" s="37" t="s">
        <v>3520</v>
      </c>
      <c r="H2912" s="35" t="s">
        <v>3419</v>
      </c>
      <c r="I2912" s="35" t="s">
        <v>3416</v>
      </c>
      <c r="J2912" s="38">
        <v>25.143671874999999</v>
      </c>
      <c r="K2912" s="35">
        <v>1</v>
      </c>
      <c r="L2912" s="38">
        <f t="shared" si="45"/>
        <v>25.143671874999999</v>
      </c>
      <c r="M2912" s="35" t="s">
        <v>11</v>
      </c>
      <c r="N2912" s="38"/>
      <c r="O2912" s="35" t="s">
        <v>12</v>
      </c>
    </row>
    <row r="2913" spans="1:15" ht="30" x14ac:dyDescent="0.25">
      <c r="A2913" s="35">
        <v>1117936951</v>
      </c>
      <c r="B2913" s="35" t="s">
        <v>3412</v>
      </c>
      <c r="C2913" s="35">
        <v>2023</v>
      </c>
      <c r="D2913" s="36">
        <v>45104.522986111107</v>
      </c>
      <c r="E2913" s="37" t="s">
        <v>3024</v>
      </c>
      <c r="F2913" s="37" t="s">
        <v>5781</v>
      </c>
      <c r="G2913" s="37" t="s">
        <v>3520</v>
      </c>
      <c r="H2913" s="35" t="s">
        <v>3419</v>
      </c>
      <c r="I2913" s="35" t="s">
        <v>3416</v>
      </c>
      <c r="J2913" s="38">
        <v>0.33600000000000002</v>
      </c>
      <c r="K2913" s="35">
        <v>1</v>
      </c>
      <c r="L2913" s="38">
        <f t="shared" si="45"/>
        <v>0.33600000000000002</v>
      </c>
      <c r="M2913" s="35" t="s">
        <v>11</v>
      </c>
      <c r="N2913" s="38"/>
      <c r="O2913" s="35" t="s">
        <v>12</v>
      </c>
    </row>
    <row r="2914" spans="1:15" ht="30" x14ac:dyDescent="0.25">
      <c r="A2914" s="35">
        <v>1117936951</v>
      </c>
      <c r="B2914" s="35" t="s">
        <v>3412</v>
      </c>
      <c r="C2914" s="35">
        <v>2023</v>
      </c>
      <c r="D2914" s="36">
        <v>45104.522986111107</v>
      </c>
      <c r="E2914" s="37" t="s">
        <v>3024</v>
      </c>
      <c r="F2914" s="37" t="s">
        <v>5782</v>
      </c>
      <c r="G2914" s="37" t="s">
        <v>5708</v>
      </c>
      <c r="H2914" s="35" t="s">
        <v>3419</v>
      </c>
      <c r="I2914" s="35" t="s">
        <v>3416</v>
      </c>
      <c r="J2914" s="38">
        <v>0.33600000000000002</v>
      </c>
      <c r="K2914" s="35">
        <v>1</v>
      </c>
      <c r="L2914" s="38">
        <f t="shared" si="45"/>
        <v>0.33600000000000002</v>
      </c>
      <c r="M2914" s="35" t="s">
        <v>11</v>
      </c>
      <c r="N2914" s="38"/>
      <c r="O2914" s="35" t="s">
        <v>12</v>
      </c>
    </row>
    <row r="2915" spans="1:15" ht="30" x14ac:dyDescent="0.25">
      <c r="A2915" s="35">
        <v>1117936951</v>
      </c>
      <c r="B2915" s="35" t="s">
        <v>3412</v>
      </c>
      <c r="C2915" s="35">
        <v>2023</v>
      </c>
      <c r="D2915" s="36">
        <v>45104.522986111107</v>
      </c>
      <c r="E2915" s="37" t="s">
        <v>3024</v>
      </c>
      <c r="F2915" s="37" t="s">
        <v>5781</v>
      </c>
      <c r="G2915" s="37" t="s">
        <v>3520</v>
      </c>
      <c r="H2915" s="35" t="s">
        <v>3419</v>
      </c>
      <c r="I2915" s="35" t="s">
        <v>3416</v>
      </c>
      <c r="J2915" s="38">
        <v>0.16800000000000001</v>
      </c>
      <c r="K2915" s="35">
        <v>3</v>
      </c>
      <c r="L2915" s="38">
        <f t="shared" si="45"/>
        <v>0.504</v>
      </c>
      <c r="M2915" s="35" t="s">
        <v>11</v>
      </c>
      <c r="N2915" s="38"/>
      <c r="O2915" s="35" t="s">
        <v>12</v>
      </c>
    </row>
    <row r="2916" spans="1:15" ht="30" x14ac:dyDescent="0.25">
      <c r="A2916" s="35">
        <v>1117936951</v>
      </c>
      <c r="B2916" s="35" t="s">
        <v>3412</v>
      </c>
      <c r="C2916" s="35">
        <v>2023</v>
      </c>
      <c r="D2916" s="36">
        <v>45104.522986111107</v>
      </c>
      <c r="E2916" s="37" t="s">
        <v>3024</v>
      </c>
      <c r="F2916" s="37" t="s">
        <v>5782</v>
      </c>
      <c r="G2916" s="37" t="s">
        <v>5708</v>
      </c>
      <c r="H2916" s="35" t="s">
        <v>3419</v>
      </c>
      <c r="I2916" s="35" t="s">
        <v>3416</v>
      </c>
      <c r="J2916" s="38">
        <v>0.16800000000000001</v>
      </c>
      <c r="K2916" s="35">
        <v>3</v>
      </c>
      <c r="L2916" s="38">
        <f t="shared" si="45"/>
        <v>0.504</v>
      </c>
      <c r="M2916" s="35" t="s">
        <v>11</v>
      </c>
      <c r="N2916" s="38"/>
      <c r="O2916" s="35" t="s">
        <v>12</v>
      </c>
    </row>
    <row r="2917" spans="1:15" ht="30" x14ac:dyDescent="0.25">
      <c r="A2917" s="35">
        <v>1117930699</v>
      </c>
      <c r="B2917" s="35" t="s">
        <v>3412</v>
      </c>
      <c r="C2917" s="35">
        <v>2023</v>
      </c>
      <c r="D2917" s="36">
        <v>45104.522986111107</v>
      </c>
      <c r="E2917" s="37" t="s">
        <v>3027</v>
      </c>
      <c r="F2917" s="37" t="s">
        <v>5701</v>
      </c>
      <c r="G2917" s="37" t="s">
        <v>3520</v>
      </c>
      <c r="H2917" s="35" t="s">
        <v>3419</v>
      </c>
      <c r="I2917" s="35" t="s">
        <v>3416</v>
      </c>
      <c r="J2917" s="38">
        <v>0.32107142857142862</v>
      </c>
      <c r="K2917" s="35">
        <v>1</v>
      </c>
      <c r="L2917" s="38">
        <f t="shared" si="45"/>
        <v>0.32107142857142862</v>
      </c>
      <c r="M2917" s="35" t="s">
        <v>11</v>
      </c>
      <c r="N2917" s="38"/>
      <c r="O2917" s="35" t="s">
        <v>12</v>
      </c>
    </row>
    <row r="2918" spans="1:15" ht="30" x14ac:dyDescent="0.25">
      <c r="A2918" s="35">
        <v>1117930699</v>
      </c>
      <c r="B2918" s="35" t="s">
        <v>3412</v>
      </c>
      <c r="C2918" s="35">
        <v>2023</v>
      </c>
      <c r="D2918" s="36">
        <v>45104.522986111107</v>
      </c>
      <c r="E2918" s="37" t="s">
        <v>3027</v>
      </c>
      <c r="F2918" s="37" t="s">
        <v>5783</v>
      </c>
      <c r="G2918" s="37" t="s">
        <v>3520</v>
      </c>
      <c r="H2918" s="35" t="s">
        <v>3419</v>
      </c>
      <c r="I2918" s="35" t="s">
        <v>3416</v>
      </c>
      <c r="J2918" s="38">
        <v>5.8863095238095244</v>
      </c>
      <c r="K2918" s="35">
        <v>3</v>
      </c>
      <c r="L2918" s="38">
        <f t="shared" si="45"/>
        <v>17.658928571428575</v>
      </c>
      <c r="M2918" s="35" t="s">
        <v>11</v>
      </c>
      <c r="N2918" s="38"/>
      <c r="O2918" s="35" t="s">
        <v>12</v>
      </c>
    </row>
    <row r="2919" spans="1:15" x14ac:dyDescent="0.25">
      <c r="A2919" s="35">
        <v>1117791151</v>
      </c>
      <c r="B2919" s="35" t="s">
        <v>3412</v>
      </c>
      <c r="C2919" s="35">
        <v>2023</v>
      </c>
      <c r="D2919" s="36">
        <v>45103.398101851853</v>
      </c>
      <c r="E2919" s="37" t="s">
        <v>2290</v>
      </c>
      <c r="F2919" s="37" t="s">
        <v>5784</v>
      </c>
      <c r="G2919" s="37" t="s">
        <v>5689</v>
      </c>
      <c r="H2919" s="35" t="s">
        <v>3419</v>
      </c>
      <c r="I2919" s="35" t="s">
        <v>3416</v>
      </c>
      <c r="J2919" s="38">
        <v>0.2855813953488372</v>
      </c>
      <c r="K2919" s="35">
        <v>1</v>
      </c>
      <c r="L2919" s="38">
        <f t="shared" si="45"/>
        <v>0.2855813953488372</v>
      </c>
      <c r="M2919" s="35" t="s">
        <v>11</v>
      </c>
      <c r="N2919" s="38"/>
      <c r="O2919" s="35" t="s">
        <v>2314</v>
      </c>
    </row>
    <row r="2920" spans="1:15" x14ac:dyDescent="0.25">
      <c r="A2920" s="35">
        <v>1117791151</v>
      </c>
      <c r="B2920" s="35" t="s">
        <v>3412</v>
      </c>
      <c r="C2920" s="35">
        <v>2023</v>
      </c>
      <c r="D2920" s="36">
        <v>45103.398101851853</v>
      </c>
      <c r="E2920" s="37" t="s">
        <v>2290</v>
      </c>
      <c r="F2920" s="37" t="s">
        <v>5785</v>
      </c>
      <c r="G2920" s="37" t="s">
        <v>5689</v>
      </c>
      <c r="H2920" s="35" t="s">
        <v>3419</v>
      </c>
      <c r="I2920" s="35" t="s">
        <v>3416</v>
      </c>
      <c r="J2920" s="38">
        <v>0.22608527131782949</v>
      </c>
      <c r="K2920" s="35">
        <v>1</v>
      </c>
      <c r="L2920" s="38">
        <f t="shared" si="45"/>
        <v>0.22608527131782949</v>
      </c>
      <c r="M2920" s="35" t="s">
        <v>11</v>
      </c>
      <c r="N2920" s="38"/>
      <c r="O2920" s="35" t="s">
        <v>2314</v>
      </c>
    </row>
    <row r="2921" spans="1:15" x14ac:dyDescent="0.25">
      <c r="A2921" s="35">
        <v>1117791151</v>
      </c>
      <c r="B2921" s="35" t="s">
        <v>3412</v>
      </c>
      <c r="C2921" s="35">
        <v>2023</v>
      </c>
      <c r="D2921" s="36">
        <v>45103.398101851853</v>
      </c>
      <c r="E2921" s="37" t="s">
        <v>2290</v>
      </c>
      <c r="F2921" s="37" t="s">
        <v>5786</v>
      </c>
      <c r="G2921" s="37" t="s">
        <v>5689</v>
      </c>
      <c r="H2921" s="35" t="s">
        <v>3419</v>
      </c>
      <c r="I2921" s="35" t="s">
        <v>3416</v>
      </c>
      <c r="J2921" s="38">
        <v>0.2855813953488372</v>
      </c>
      <c r="K2921" s="35">
        <v>1</v>
      </c>
      <c r="L2921" s="38">
        <f t="shared" si="45"/>
        <v>0.2855813953488372</v>
      </c>
      <c r="M2921" s="35" t="s">
        <v>11</v>
      </c>
      <c r="N2921" s="38"/>
      <c r="O2921" s="35" t="s">
        <v>2314</v>
      </c>
    </row>
    <row r="2922" spans="1:15" x14ac:dyDescent="0.25">
      <c r="A2922" s="35">
        <v>1117791151</v>
      </c>
      <c r="B2922" s="35" t="s">
        <v>3412</v>
      </c>
      <c r="C2922" s="35">
        <v>2023</v>
      </c>
      <c r="D2922" s="36">
        <v>45103.398101851853</v>
      </c>
      <c r="E2922" s="37" t="s">
        <v>2290</v>
      </c>
      <c r="F2922" s="37" t="s">
        <v>5787</v>
      </c>
      <c r="G2922" s="37" t="s">
        <v>5689</v>
      </c>
      <c r="H2922" s="35" t="s">
        <v>3419</v>
      </c>
      <c r="I2922" s="35" t="s">
        <v>3416</v>
      </c>
      <c r="J2922" s="38">
        <v>0.22608527131782949</v>
      </c>
      <c r="K2922" s="35">
        <v>1</v>
      </c>
      <c r="L2922" s="38">
        <f t="shared" si="45"/>
        <v>0.22608527131782949</v>
      </c>
      <c r="M2922" s="35" t="s">
        <v>11</v>
      </c>
      <c r="N2922" s="38"/>
      <c r="O2922" s="35" t="s">
        <v>2314</v>
      </c>
    </row>
    <row r="2923" spans="1:15" x14ac:dyDescent="0.25">
      <c r="A2923" s="35">
        <v>1117791151</v>
      </c>
      <c r="B2923" s="35" t="s">
        <v>3412</v>
      </c>
      <c r="C2923" s="35">
        <v>2023</v>
      </c>
      <c r="D2923" s="36">
        <v>45103.398101851853</v>
      </c>
      <c r="E2923" s="37" t="s">
        <v>2290</v>
      </c>
      <c r="F2923" s="37" t="s">
        <v>5788</v>
      </c>
      <c r="G2923" s="37" t="s">
        <v>5689</v>
      </c>
      <c r="H2923" s="35" t="s">
        <v>3419</v>
      </c>
      <c r="I2923" s="35" t="s">
        <v>3416</v>
      </c>
      <c r="J2923" s="38">
        <v>0.22608527131782949</v>
      </c>
      <c r="K2923" s="35">
        <v>1</v>
      </c>
      <c r="L2923" s="38">
        <f t="shared" si="45"/>
        <v>0.22608527131782949</v>
      </c>
      <c r="M2923" s="35" t="s">
        <v>11</v>
      </c>
      <c r="N2923" s="38"/>
      <c r="O2923" s="35" t="s">
        <v>2314</v>
      </c>
    </row>
    <row r="2924" spans="1:15" x14ac:dyDescent="0.25">
      <c r="A2924" s="35">
        <v>1117791151</v>
      </c>
      <c r="B2924" s="35" t="s">
        <v>3412</v>
      </c>
      <c r="C2924" s="35">
        <v>2023</v>
      </c>
      <c r="D2924" s="36">
        <v>45103.398101851853</v>
      </c>
      <c r="E2924" s="37" t="s">
        <v>2290</v>
      </c>
      <c r="F2924" s="37" t="s">
        <v>5789</v>
      </c>
      <c r="G2924" s="37" t="s">
        <v>5689</v>
      </c>
      <c r="H2924" s="35" t="s">
        <v>3419</v>
      </c>
      <c r="I2924" s="35" t="s">
        <v>3416</v>
      </c>
      <c r="J2924" s="38">
        <v>0.2855813953488372</v>
      </c>
      <c r="K2924" s="35">
        <v>1</v>
      </c>
      <c r="L2924" s="38">
        <f t="shared" si="45"/>
        <v>0.2855813953488372</v>
      </c>
      <c r="M2924" s="35" t="s">
        <v>11</v>
      </c>
      <c r="N2924" s="38"/>
      <c r="O2924" s="35" t="s">
        <v>2314</v>
      </c>
    </row>
    <row r="2925" spans="1:15" x14ac:dyDescent="0.25">
      <c r="A2925" s="35">
        <v>1117791151</v>
      </c>
      <c r="B2925" s="35" t="s">
        <v>3412</v>
      </c>
      <c r="C2925" s="35">
        <v>2023</v>
      </c>
      <c r="D2925" s="36">
        <v>45103.398101851853</v>
      </c>
      <c r="E2925" s="37" t="s">
        <v>2290</v>
      </c>
      <c r="F2925" s="37" t="s">
        <v>5790</v>
      </c>
      <c r="G2925" s="37" t="s">
        <v>5689</v>
      </c>
      <c r="H2925" s="35" t="s">
        <v>3419</v>
      </c>
      <c r="I2925" s="35" t="s">
        <v>3416</v>
      </c>
      <c r="J2925" s="38">
        <v>0.22608527131782949</v>
      </c>
      <c r="K2925" s="35">
        <v>1</v>
      </c>
      <c r="L2925" s="38">
        <f t="shared" si="45"/>
        <v>0.22608527131782949</v>
      </c>
      <c r="M2925" s="35" t="s">
        <v>11</v>
      </c>
      <c r="N2925" s="38"/>
      <c r="O2925" s="35" t="s">
        <v>2314</v>
      </c>
    </row>
    <row r="2926" spans="1:15" x14ac:dyDescent="0.25">
      <c r="A2926" s="35">
        <v>1117791151</v>
      </c>
      <c r="B2926" s="35" t="s">
        <v>3412</v>
      </c>
      <c r="C2926" s="35">
        <v>2023</v>
      </c>
      <c r="D2926" s="36">
        <v>45103.398101851853</v>
      </c>
      <c r="E2926" s="37" t="s">
        <v>2290</v>
      </c>
      <c r="F2926" s="37" t="s">
        <v>5791</v>
      </c>
      <c r="G2926" s="37" t="s">
        <v>5689</v>
      </c>
      <c r="H2926" s="35" t="s">
        <v>3419</v>
      </c>
      <c r="I2926" s="35" t="s">
        <v>3416</v>
      </c>
      <c r="J2926" s="38">
        <v>0.22608527131782949</v>
      </c>
      <c r="K2926" s="35">
        <v>1</v>
      </c>
      <c r="L2926" s="38">
        <f t="shared" si="45"/>
        <v>0.22608527131782949</v>
      </c>
      <c r="M2926" s="35" t="s">
        <v>11</v>
      </c>
      <c r="N2926" s="38"/>
      <c r="O2926" s="35" t="s">
        <v>2314</v>
      </c>
    </row>
    <row r="2927" spans="1:15" x14ac:dyDescent="0.25">
      <c r="A2927" s="35">
        <v>1117791151</v>
      </c>
      <c r="B2927" s="35" t="s">
        <v>3412</v>
      </c>
      <c r="C2927" s="35">
        <v>2023</v>
      </c>
      <c r="D2927" s="36">
        <v>45103.398101851853</v>
      </c>
      <c r="E2927" s="37" t="s">
        <v>2290</v>
      </c>
      <c r="F2927" s="37" t="s">
        <v>5792</v>
      </c>
      <c r="G2927" s="37" t="s">
        <v>5689</v>
      </c>
      <c r="H2927" s="35" t="s">
        <v>3419</v>
      </c>
      <c r="I2927" s="35" t="s">
        <v>3416</v>
      </c>
      <c r="J2927" s="38">
        <v>0.22608527131782949</v>
      </c>
      <c r="K2927" s="35">
        <v>1</v>
      </c>
      <c r="L2927" s="38">
        <f t="shared" si="45"/>
        <v>0.22608527131782949</v>
      </c>
      <c r="M2927" s="35" t="s">
        <v>11</v>
      </c>
      <c r="N2927" s="38"/>
      <c r="O2927" s="35" t="s">
        <v>2314</v>
      </c>
    </row>
    <row r="2928" spans="1:15" x14ac:dyDescent="0.25">
      <c r="A2928" s="35">
        <v>1117791151</v>
      </c>
      <c r="B2928" s="35" t="s">
        <v>3412</v>
      </c>
      <c r="C2928" s="35">
        <v>2023</v>
      </c>
      <c r="D2928" s="36">
        <v>45103.398101851853</v>
      </c>
      <c r="E2928" s="37" t="s">
        <v>2290</v>
      </c>
      <c r="F2928" s="37" t="s">
        <v>5793</v>
      </c>
      <c r="G2928" s="37" t="s">
        <v>5689</v>
      </c>
      <c r="H2928" s="35" t="s">
        <v>3419</v>
      </c>
      <c r="I2928" s="35" t="s">
        <v>3416</v>
      </c>
      <c r="J2928" s="38">
        <v>0.2855813953488372</v>
      </c>
      <c r="K2928" s="35">
        <v>1</v>
      </c>
      <c r="L2928" s="38">
        <f t="shared" si="45"/>
        <v>0.2855813953488372</v>
      </c>
      <c r="M2928" s="35" t="s">
        <v>11</v>
      </c>
      <c r="N2928" s="38"/>
      <c r="O2928" s="35" t="s">
        <v>2314</v>
      </c>
    </row>
    <row r="2929" spans="1:15" x14ac:dyDescent="0.25">
      <c r="A2929" s="35">
        <v>1117791151</v>
      </c>
      <c r="B2929" s="35" t="s">
        <v>3412</v>
      </c>
      <c r="C2929" s="35">
        <v>2023</v>
      </c>
      <c r="D2929" s="36">
        <v>45103.398101851853</v>
      </c>
      <c r="E2929" s="37" t="s">
        <v>2290</v>
      </c>
      <c r="F2929" s="37" t="s">
        <v>5794</v>
      </c>
      <c r="G2929" s="37" t="s">
        <v>5689</v>
      </c>
      <c r="H2929" s="35" t="s">
        <v>3419</v>
      </c>
      <c r="I2929" s="35" t="s">
        <v>3416</v>
      </c>
      <c r="J2929" s="38">
        <v>0.22608527131782949</v>
      </c>
      <c r="K2929" s="35">
        <v>1</v>
      </c>
      <c r="L2929" s="38">
        <f t="shared" si="45"/>
        <v>0.22608527131782949</v>
      </c>
      <c r="M2929" s="35" t="s">
        <v>11</v>
      </c>
      <c r="N2929" s="38"/>
      <c r="O2929" s="35" t="s">
        <v>2314</v>
      </c>
    </row>
    <row r="2930" spans="1:15" x14ac:dyDescent="0.25">
      <c r="A2930" s="35">
        <v>1117791151</v>
      </c>
      <c r="B2930" s="35" t="s">
        <v>3412</v>
      </c>
      <c r="C2930" s="35">
        <v>2023</v>
      </c>
      <c r="D2930" s="36">
        <v>45103.398101851853</v>
      </c>
      <c r="E2930" s="37" t="s">
        <v>2290</v>
      </c>
      <c r="F2930" s="37" t="s">
        <v>5795</v>
      </c>
      <c r="G2930" s="37" t="s">
        <v>5689</v>
      </c>
      <c r="H2930" s="35" t="s">
        <v>3419</v>
      </c>
      <c r="I2930" s="35" t="s">
        <v>3416</v>
      </c>
      <c r="J2930" s="38">
        <v>0.22608527131782949</v>
      </c>
      <c r="K2930" s="35">
        <v>1</v>
      </c>
      <c r="L2930" s="38">
        <f t="shared" si="45"/>
        <v>0.22608527131782949</v>
      </c>
      <c r="M2930" s="35" t="s">
        <v>11</v>
      </c>
      <c r="N2930" s="38"/>
      <c r="O2930" s="35" t="s">
        <v>2314</v>
      </c>
    </row>
    <row r="2931" spans="1:15" x14ac:dyDescent="0.25">
      <c r="A2931" s="35">
        <v>1117791151</v>
      </c>
      <c r="B2931" s="35" t="s">
        <v>3412</v>
      </c>
      <c r="C2931" s="35">
        <v>2023</v>
      </c>
      <c r="D2931" s="36">
        <v>45103.398101851853</v>
      </c>
      <c r="E2931" s="37" t="s">
        <v>2290</v>
      </c>
      <c r="F2931" s="37" t="s">
        <v>5796</v>
      </c>
      <c r="G2931" s="37" t="s">
        <v>5689</v>
      </c>
      <c r="H2931" s="35" t="s">
        <v>3419</v>
      </c>
      <c r="I2931" s="35" t="s">
        <v>3416</v>
      </c>
      <c r="J2931" s="38">
        <v>0.22608527131782949</v>
      </c>
      <c r="K2931" s="35">
        <v>1</v>
      </c>
      <c r="L2931" s="38">
        <f t="shared" si="45"/>
        <v>0.22608527131782949</v>
      </c>
      <c r="M2931" s="35" t="s">
        <v>11</v>
      </c>
      <c r="N2931" s="38"/>
      <c r="O2931" s="35" t="s">
        <v>2314</v>
      </c>
    </row>
    <row r="2932" spans="1:15" x14ac:dyDescent="0.25">
      <c r="A2932" s="35">
        <v>1117791151</v>
      </c>
      <c r="B2932" s="35" t="s">
        <v>3412</v>
      </c>
      <c r="C2932" s="35">
        <v>2023</v>
      </c>
      <c r="D2932" s="36">
        <v>45103.398101851853</v>
      </c>
      <c r="E2932" s="37" t="s">
        <v>2290</v>
      </c>
      <c r="F2932" s="37" t="s">
        <v>5797</v>
      </c>
      <c r="G2932" s="37" t="s">
        <v>5689</v>
      </c>
      <c r="H2932" s="35" t="s">
        <v>3419</v>
      </c>
      <c r="I2932" s="35" t="s">
        <v>3416</v>
      </c>
      <c r="J2932" s="38">
        <v>0.22608527131782949</v>
      </c>
      <c r="K2932" s="35">
        <v>1</v>
      </c>
      <c r="L2932" s="38">
        <f t="shared" si="45"/>
        <v>0.22608527131782949</v>
      </c>
      <c r="M2932" s="35" t="s">
        <v>11</v>
      </c>
      <c r="N2932" s="38"/>
      <c r="O2932" s="35" t="s">
        <v>2314</v>
      </c>
    </row>
    <row r="2933" spans="1:15" x14ac:dyDescent="0.25">
      <c r="A2933" s="35">
        <v>1117791151</v>
      </c>
      <c r="B2933" s="35" t="s">
        <v>3412</v>
      </c>
      <c r="C2933" s="35">
        <v>2023</v>
      </c>
      <c r="D2933" s="36">
        <v>45103.398101851853</v>
      </c>
      <c r="E2933" s="37" t="s">
        <v>2290</v>
      </c>
      <c r="F2933" s="37" t="s">
        <v>5798</v>
      </c>
      <c r="G2933" s="37" t="s">
        <v>5689</v>
      </c>
      <c r="H2933" s="35" t="s">
        <v>3419</v>
      </c>
      <c r="I2933" s="35" t="s">
        <v>3416</v>
      </c>
      <c r="J2933" s="38">
        <v>0.22608527131782949</v>
      </c>
      <c r="K2933" s="35">
        <v>1</v>
      </c>
      <c r="L2933" s="38">
        <f t="shared" si="45"/>
        <v>0.22608527131782949</v>
      </c>
      <c r="M2933" s="35" t="s">
        <v>11</v>
      </c>
      <c r="N2933" s="38"/>
      <c r="O2933" s="35" t="s">
        <v>2314</v>
      </c>
    </row>
    <row r="2934" spans="1:15" x14ac:dyDescent="0.25">
      <c r="A2934" s="35">
        <v>1117791151</v>
      </c>
      <c r="B2934" s="35" t="s">
        <v>3412</v>
      </c>
      <c r="C2934" s="35">
        <v>2023</v>
      </c>
      <c r="D2934" s="36">
        <v>45103.398101851853</v>
      </c>
      <c r="E2934" s="37" t="s">
        <v>2290</v>
      </c>
      <c r="F2934" s="37" t="s">
        <v>5691</v>
      </c>
      <c r="G2934" s="37" t="s">
        <v>5689</v>
      </c>
      <c r="H2934" s="35" t="s">
        <v>3419</v>
      </c>
      <c r="I2934" s="35" t="s">
        <v>3416</v>
      </c>
      <c r="J2934" s="38">
        <v>0.22608527131782949</v>
      </c>
      <c r="K2934" s="35">
        <v>1</v>
      </c>
      <c r="L2934" s="38">
        <f t="shared" si="45"/>
        <v>0.22608527131782949</v>
      </c>
      <c r="M2934" s="35" t="s">
        <v>11</v>
      </c>
      <c r="N2934" s="38"/>
      <c r="O2934" s="35" t="s">
        <v>2314</v>
      </c>
    </row>
    <row r="2935" spans="1:15" x14ac:dyDescent="0.25">
      <c r="A2935" s="35">
        <v>1117791151</v>
      </c>
      <c r="B2935" s="35" t="s">
        <v>3412</v>
      </c>
      <c r="C2935" s="35">
        <v>2023</v>
      </c>
      <c r="D2935" s="36">
        <v>45103.398101851853</v>
      </c>
      <c r="E2935" s="37" t="s">
        <v>2290</v>
      </c>
      <c r="F2935" s="37" t="s">
        <v>5799</v>
      </c>
      <c r="G2935" s="37" t="s">
        <v>5689</v>
      </c>
      <c r="H2935" s="35" t="s">
        <v>3419</v>
      </c>
      <c r="I2935" s="35" t="s">
        <v>3416</v>
      </c>
      <c r="J2935" s="38">
        <v>0.2855813953488372</v>
      </c>
      <c r="K2935" s="35">
        <v>1</v>
      </c>
      <c r="L2935" s="38">
        <f t="shared" si="45"/>
        <v>0.2855813953488372</v>
      </c>
      <c r="M2935" s="35" t="s">
        <v>11</v>
      </c>
      <c r="N2935" s="38"/>
      <c r="O2935" s="35" t="s">
        <v>2314</v>
      </c>
    </row>
    <row r="2936" spans="1:15" x14ac:dyDescent="0.25">
      <c r="A2936" s="35">
        <v>1117791151</v>
      </c>
      <c r="B2936" s="35" t="s">
        <v>3412</v>
      </c>
      <c r="C2936" s="35">
        <v>2023</v>
      </c>
      <c r="D2936" s="36">
        <v>45103.398101851853</v>
      </c>
      <c r="E2936" s="37" t="s">
        <v>2290</v>
      </c>
      <c r="F2936" s="37" t="s">
        <v>5800</v>
      </c>
      <c r="G2936" s="37" t="s">
        <v>5689</v>
      </c>
      <c r="H2936" s="35" t="s">
        <v>3419</v>
      </c>
      <c r="I2936" s="35" t="s">
        <v>3416</v>
      </c>
      <c r="J2936" s="38">
        <v>0.22608527131782949</v>
      </c>
      <c r="K2936" s="35">
        <v>1</v>
      </c>
      <c r="L2936" s="38">
        <f t="shared" si="45"/>
        <v>0.22608527131782949</v>
      </c>
      <c r="M2936" s="35" t="s">
        <v>11</v>
      </c>
      <c r="N2936" s="38"/>
      <c r="O2936" s="35" t="s">
        <v>2314</v>
      </c>
    </row>
    <row r="2937" spans="1:15" x14ac:dyDescent="0.25">
      <c r="A2937" s="35">
        <v>1117791151</v>
      </c>
      <c r="B2937" s="35" t="s">
        <v>3412</v>
      </c>
      <c r="C2937" s="35">
        <v>2023</v>
      </c>
      <c r="D2937" s="36">
        <v>45103.398101851853</v>
      </c>
      <c r="E2937" s="37" t="s">
        <v>2290</v>
      </c>
      <c r="F2937" s="37" t="s">
        <v>5801</v>
      </c>
      <c r="G2937" s="37" t="s">
        <v>5689</v>
      </c>
      <c r="H2937" s="35" t="s">
        <v>3419</v>
      </c>
      <c r="I2937" s="35" t="s">
        <v>3416</v>
      </c>
      <c r="J2937" s="38">
        <v>0.22608527131782949</v>
      </c>
      <c r="K2937" s="35">
        <v>1</v>
      </c>
      <c r="L2937" s="38">
        <f t="shared" si="45"/>
        <v>0.22608527131782949</v>
      </c>
      <c r="M2937" s="35" t="s">
        <v>11</v>
      </c>
      <c r="N2937" s="38"/>
      <c r="O2937" s="35" t="s">
        <v>2314</v>
      </c>
    </row>
    <row r="2938" spans="1:15" x14ac:dyDescent="0.25">
      <c r="A2938" s="35">
        <v>1117791151</v>
      </c>
      <c r="B2938" s="35" t="s">
        <v>3412</v>
      </c>
      <c r="C2938" s="35">
        <v>2023</v>
      </c>
      <c r="D2938" s="36">
        <v>45103.398101851853</v>
      </c>
      <c r="E2938" s="37" t="s">
        <v>2290</v>
      </c>
      <c r="F2938" s="37" t="s">
        <v>5802</v>
      </c>
      <c r="G2938" s="37" t="s">
        <v>5689</v>
      </c>
      <c r="H2938" s="35" t="s">
        <v>3419</v>
      </c>
      <c r="I2938" s="35" t="s">
        <v>3416</v>
      </c>
      <c r="J2938" s="38">
        <v>0.22608527131782949</v>
      </c>
      <c r="K2938" s="35">
        <v>1</v>
      </c>
      <c r="L2938" s="38">
        <f t="shared" si="45"/>
        <v>0.22608527131782949</v>
      </c>
      <c r="M2938" s="35" t="s">
        <v>11</v>
      </c>
      <c r="N2938" s="38"/>
      <c r="O2938" s="35" t="s">
        <v>2314</v>
      </c>
    </row>
    <row r="2939" spans="1:15" x14ac:dyDescent="0.25">
      <c r="A2939" s="35">
        <v>1117791151</v>
      </c>
      <c r="B2939" s="35" t="s">
        <v>3412</v>
      </c>
      <c r="C2939" s="35">
        <v>2023</v>
      </c>
      <c r="D2939" s="36">
        <v>45103.398101851853</v>
      </c>
      <c r="E2939" s="37" t="s">
        <v>2290</v>
      </c>
      <c r="F2939" s="37" t="s">
        <v>5803</v>
      </c>
      <c r="G2939" s="37" t="s">
        <v>5689</v>
      </c>
      <c r="H2939" s="35" t="s">
        <v>3419</v>
      </c>
      <c r="I2939" s="35" t="s">
        <v>3416</v>
      </c>
      <c r="J2939" s="38">
        <v>0.22608527131782949</v>
      </c>
      <c r="K2939" s="35">
        <v>1</v>
      </c>
      <c r="L2939" s="38">
        <f t="shared" si="45"/>
        <v>0.22608527131782949</v>
      </c>
      <c r="M2939" s="35" t="s">
        <v>11</v>
      </c>
      <c r="N2939" s="38"/>
      <c r="O2939" s="35" t="s">
        <v>2314</v>
      </c>
    </row>
    <row r="2940" spans="1:15" x14ac:dyDescent="0.25">
      <c r="A2940" s="35">
        <v>1117791151</v>
      </c>
      <c r="B2940" s="35" t="s">
        <v>3412</v>
      </c>
      <c r="C2940" s="35">
        <v>2023</v>
      </c>
      <c r="D2940" s="36">
        <v>45103.398101851853</v>
      </c>
      <c r="E2940" s="37" t="s">
        <v>2290</v>
      </c>
      <c r="F2940" s="37" t="s">
        <v>5804</v>
      </c>
      <c r="G2940" s="37" t="s">
        <v>5689</v>
      </c>
      <c r="H2940" s="35" t="s">
        <v>3419</v>
      </c>
      <c r="I2940" s="35" t="s">
        <v>3416</v>
      </c>
      <c r="J2940" s="38">
        <v>0.22608527131782949</v>
      </c>
      <c r="K2940" s="35">
        <v>1</v>
      </c>
      <c r="L2940" s="38">
        <f t="shared" si="45"/>
        <v>0.22608527131782949</v>
      </c>
      <c r="M2940" s="35" t="s">
        <v>11</v>
      </c>
      <c r="N2940" s="38"/>
      <c r="O2940" s="35" t="s">
        <v>2314</v>
      </c>
    </row>
    <row r="2941" spans="1:15" x14ac:dyDescent="0.25">
      <c r="A2941" s="35">
        <v>1117791151</v>
      </c>
      <c r="B2941" s="35" t="s">
        <v>3412</v>
      </c>
      <c r="C2941" s="35">
        <v>2023</v>
      </c>
      <c r="D2941" s="36">
        <v>45103.398101851853</v>
      </c>
      <c r="E2941" s="37" t="s">
        <v>2290</v>
      </c>
      <c r="F2941" s="37" t="s">
        <v>5805</v>
      </c>
      <c r="G2941" s="37" t="s">
        <v>5689</v>
      </c>
      <c r="H2941" s="35" t="s">
        <v>3419</v>
      </c>
      <c r="I2941" s="35" t="s">
        <v>3416</v>
      </c>
      <c r="J2941" s="38">
        <v>0.22608527131782949</v>
      </c>
      <c r="K2941" s="35">
        <v>1</v>
      </c>
      <c r="L2941" s="38">
        <f t="shared" si="45"/>
        <v>0.22608527131782949</v>
      </c>
      <c r="M2941" s="35" t="s">
        <v>11</v>
      </c>
      <c r="N2941" s="38"/>
      <c r="O2941" s="35" t="s">
        <v>2314</v>
      </c>
    </row>
    <row r="2942" spans="1:15" x14ac:dyDescent="0.25">
      <c r="A2942" s="35">
        <v>1117791151</v>
      </c>
      <c r="B2942" s="35" t="s">
        <v>3412</v>
      </c>
      <c r="C2942" s="35">
        <v>2023</v>
      </c>
      <c r="D2942" s="36">
        <v>45103.398101851853</v>
      </c>
      <c r="E2942" s="37" t="s">
        <v>2290</v>
      </c>
      <c r="F2942" s="37" t="s">
        <v>5806</v>
      </c>
      <c r="G2942" s="37" t="s">
        <v>5689</v>
      </c>
      <c r="H2942" s="35" t="s">
        <v>3419</v>
      </c>
      <c r="I2942" s="35" t="s">
        <v>3416</v>
      </c>
      <c r="J2942" s="38">
        <v>0.22608527131782949</v>
      </c>
      <c r="K2942" s="35">
        <v>1</v>
      </c>
      <c r="L2942" s="38">
        <f t="shared" si="45"/>
        <v>0.22608527131782949</v>
      </c>
      <c r="M2942" s="35" t="s">
        <v>11</v>
      </c>
      <c r="N2942" s="38"/>
      <c r="O2942" s="35" t="s">
        <v>2314</v>
      </c>
    </row>
    <row r="2943" spans="1:15" x14ac:dyDescent="0.25">
      <c r="A2943" s="35">
        <v>1117791151</v>
      </c>
      <c r="B2943" s="35" t="s">
        <v>3412</v>
      </c>
      <c r="C2943" s="35">
        <v>2023</v>
      </c>
      <c r="D2943" s="36">
        <v>45103.398101851853</v>
      </c>
      <c r="E2943" s="37" t="s">
        <v>2290</v>
      </c>
      <c r="F2943" s="37" t="s">
        <v>5807</v>
      </c>
      <c r="G2943" s="37" t="s">
        <v>5689</v>
      </c>
      <c r="H2943" s="35" t="s">
        <v>3419</v>
      </c>
      <c r="I2943" s="35" t="s">
        <v>3416</v>
      </c>
      <c r="J2943" s="38">
        <v>0.22608527131782949</v>
      </c>
      <c r="K2943" s="35">
        <v>1</v>
      </c>
      <c r="L2943" s="38">
        <f t="shared" si="45"/>
        <v>0.22608527131782949</v>
      </c>
      <c r="M2943" s="35" t="s">
        <v>11</v>
      </c>
      <c r="N2943" s="38"/>
      <c r="O2943" s="35" t="s">
        <v>2314</v>
      </c>
    </row>
    <row r="2944" spans="1:15" x14ac:dyDescent="0.25">
      <c r="A2944" s="35">
        <v>1117791151</v>
      </c>
      <c r="B2944" s="35" t="s">
        <v>3412</v>
      </c>
      <c r="C2944" s="35">
        <v>2023</v>
      </c>
      <c r="D2944" s="36">
        <v>45103.398101851853</v>
      </c>
      <c r="E2944" s="37" t="s">
        <v>2290</v>
      </c>
      <c r="F2944" s="37" t="s">
        <v>5808</v>
      </c>
      <c r="G2944" s="37" t="s">
        <v>5689</v>
      </c>
      <c r="H2944" s="35" t="s">
        <v>3419</v>
      </c>
      <c r="I2944" s="35" t="s">
        <v>3416</v>
      </c>
      <c r="J2944" s="38">
        <v>0.2855813953488372</v>
      </c>
      <c r="K2944" s="35">
        <v>1</v>
      </c>
      <c r="L2944" s="38">
        <f t="shared" si="45"/>
        <v>0.2855813953488372</v>
      </c>
      <c r="M2944" s="35" t="s">
        <v>11</v>
      </c>
      <c r="N2944" s="38"/>
      <c r="O2944" s="35" t="s">
        <v>2314</v>
      </c>
    </row>
    <row r="2945" spans="1:15" x14ac:dyDescent="0.25">
      <c r="A2945" s="35">
        <v>1117791151</v>
      </c>
      <c r="B2945" s="35" t="s">
        <v>3412</v>
      </c>
      <c r="C2945" s="35">
        <v>2023</v>
      </c>
      <c r="D2945" s="36">
        <v>45103.398101851853</v>
      </c>
      <c r="E2945" s="37" t="s">
        <v>2290</v>
      </c>
      <c r="F2945" s="37" t="s">
        <v>5809</v>
      </c>
      <c r="G2945" s="37" t="s">
        <v>5689</v>
      </c>
      <c r="H2945" s="35" t="s">
        <v>3419</v>
      </c>
      <c r="I2945" s="35" t="s">
        <v>3416</v>
      </c>
      <c r="J2945" s="38">
        <v>0.22608527131782949</v>
      </c>
      <c r="K2945" s="35">
        <v>1</v>
      </c>
      <c r="L2945" s="38">
        <f t="shared" si="45"/>
        <v>0.22608527131782949</v>
      </c>
      <c r="M2945" s="35" t="s">
        <v>11</v>
      </c>
      <c r="N2945" s="38"/>
      <c r="O2945" s="35" t="s">
        <v>2314</v>
      </c>
    </row>
    <row r="2946" spans="1:15" x14ac:dyDescent="0.25">
      <c r="A2946" s="35">
        <v>1117791151</v>
      </c>
      <c r="B2946" s="35" t="s">
        <v>3412</v>
      </c>
      <c r="C2946" s="35">
        <v>2023</v>
      </c>
      <c r="D2946" s="36">
        <v>45103.398101851853</v>
      </c>
      <c r="E2946" s="37" t="s">
        <v>2290</v>
      </c>
      <c r="F2946" s="37" t="s">
        <v>5810</v>
      </c>
      <c r="G2946" s="37" t="s">
        <v>5689</v>
      </c>
      <c r="H2946" s="35" t="s">
        <v>3419</v>
      </c>
      <c r="I2946" s="35" t="s">
        <v>3416</v>
      </c>
      <c r="J2946" s="38">
        <v>0.2855813953488372</v>
      </c>
      <c r="K2946" s="35">
        <v>1</v>
      </c>
      <c r="L2946" s="38">
        <f t="shared" ref="L2946:L3009" si="46">J2946*K2946</f>
        <v>0.2855813953488372</v>
      </c>
      <c r="M2946" s="35" t="s">
        <v>11</v>
      </c>
      <c r="N2946" s="38"/>
      <c r="O2946" s="35" t="s">
        <v>2314</v>
      </c>
    </row>
    <row r="2947" spans="1:15" x14ac:dyDescent="0.25">
      <c r="A2947" s="35">
        <v>1117791151</v>
      </c>
      <c r="B2947" s="35" t="s">
        <v>3412</v>
      </c>
      <c r="C2947" s="35">
        <v>2023</v>
      </c>
      <c r="D2947" s="36">
        <v>45103.398101851853</v>
      </c>
      <c r="E2947" s="37" t="s">
        <v>2290</v>
      </c>
      <c r="F2947" s="37" t="s">
        <v>5811</v>
      </c>
      <c r="G2947" s="37" t="s">
        <v>5689</v>
      </c>
      <c r="H2947" s="35" t="s">
        <v>3419</v>
      </c>
      <c r="I2947" s="35" t="s">
        <v>3416</v>
      </c>
      <c r="J2947" s="38">
        <v>0.22608527131782949</v>
      </c>
      <c r="K2947" s="35">
        <v>1</v>
      </c>
      <c r="L2947" s="38">
        <f t="shared" si="46"/>
        <v>0.22608527131782949</v>
      </c>
      <c r="M2947" s="35" t="s">
        <v>11</v>
      </c>
      <c r="N2947" s="38"/>
      <c r="O2947" s="35" t="s">
        <v>2314</v>
      </c>
    </row>
    <row r="2948" spans="1:15" x14ac:dyDescent="0.25">
      <c r="A2948" s="35">
        <v>1117791151</v>
      </c>
      <c r="B2948" s="35" t="s">
        <v>3412</v>
      </c>
      <c r="C2948" s="35">
        <v>2023</v>
      </c>
      <c r="D2948" s="36">
        <v>45103.398101851853</v>
      </c>
      <c r="E2948" s="37" t="s">
        <v>2290</v>
      </c>
      <c r="F2948" s="37" t="s">
        <v>5812</v>
      </c>
      <c r="G2948" s="37" t="s">
        <v>5689</v>
      </c>
      <c r="H2948" s="35" t="s">
        <v>3419</v>
      </c>
      <c r="I2948" s="35" t="s">
        <v>3416</v>
      </c>
      <c r="J2948" s="38">
        <v>0.22608527131782949</v>
      </c>
      <c r="K2948" s="35">
        <v>1</v>
      </c>
      <c r="L2948" s="38">
        <f t="shared" si="46"/>
        <v>0.22608527131782949</v>
      </c>
      <c r="M2948" s="35" t="s">
        <v>11</v>
      </c>
      <c r="N2948" s="38"/>
      <c r="O2948" s="35" t="s">
        <v>2314</v>
      </c>
    </row>
    <row r="2949" spans="1:15" x14ac:dyDescent="0.25">
      <c r="A2949" s="35">
        <v>1117791151</v>
      </c>
      <c r="B2949" s="35" t="s">
        <v>3412</v>
      </c>
      <c r="C2949" s="35">
        <v>2023</v>
      </c>
      <c r="D2949" s="36">
        <v>45103.398101851853</v>
      </c>
      <c r="E2949" s="37" t="s">
        <v>2290</v>
      </c>
      <c r="F2949" s="37" t="s">
        <v>5813</v>
      </c>
      <c r="G2949" s="37" t="s">
        <v>5689</v>
      </c>
      <c r="H2949" s="35" t="s">
        <v>3419</v>
      </c>
      <c r="I2949" s="35" t="s">
        <v>3416</v>
      </c>
      <c r="J2949" s="38">
        <v>0.22608527131782949</v>
      </c>
      <c r="K2949" s="35">
        <v>1</v>
      </c>
      <c r="L2949" s="38">
        <f t="shared" si="46"/>
        <v>0.22608527131782949</v>
      </c>
      <c r="M2949" s="35" t="s">
        <v>11</v>
      </c>
      <c r="N2949" s="38"/>
      <c r="O2949" s="35" t="s">
        <v>2314</v>
      </c>
    </row>
    <row r="2950" spans="1:15" x14ac:dyDescent="0.25">
      <c r="A2950" s="35">
        <v>1117791151</v>
      </c>
      <c r="B2950" s="35" t="s">
        <v>3412</v>
      </c>
      <c r="C2950" s="35">
        <v>2023</v>
      </c>
      <c r="D2950" s="36">
        <v>45103.398101851853</v>
      </c>
      <c r="E2950" s="37" t="s">
        <v>2290</v>
      </c>
      <c r="F2950" s="37" t="s">
        <v>5814</v>
      </c>
      <c r="G2950" s="37" t="s">
        <v>5689</v>
      </c>
      <c r="H2950" s="35" t="s">
        <v>3419</v>
      </c>
      <c r="I2950" s="35" t="s">
        <v>3416</v>
      </c>
      <c r="J2950" s="38">
        <v>0.22608527131782949</v>
      </c>
      <c r="K2950" s="35">
        <v>1</v>
      </c>
      <c r="L2950" s="38">
        <f t="shared" si="46"/>
        <v>0.22608527131782949</v>
      </c>
      <c r="M2950" s="35" t="s">
        <v>11</v>
      </c>
      <c r="N2950" s="38"/>
      <c r="O2950" s="35" t="s">
        <v>2314</v>
      </c>
    </row>
    <row r="2951" spans="1:15" x14ac:dyDescent="0.25">
      <c r="A2951" s="35">
        <v>1117791151</v>
      </c>
      <c r="B2951" s="35" t="s">
        <v>3412</v>
      </c>
      <c r="C2951" s="35">
        <v>2023</v>
      </c>
      <c r="D2951" s="36">
        <v>45103.398101851853</v>
      </c>
      <c r="E2951" s="37" t="s">
        <v>2290</v>
      </c>
      <c r="F2951" s="37" t="s">
        <v>5815</v>
      </c>
      <c r="G2951" s="37" t="s">
        <v>5689</v>
      </c>
      <c r="H2951" s="35" t="s">
        <v>3419</v>
      </c>
      <c r="I2951" s="35" t="s">
        <v>3416</v>
      </c>
      <c r="J2951" s="38">
        <v>0.1665891472868217</v>
      </c>
      <c r="K2951" s="35">
        <v>1</v>
      </c>
      <c r="L2951" s="38">
        <f t="shared" si="46"/>
        <v>0.1665891472868217</v>
      </c>
      <c r="M2951" s="35" t="s">
        <v>11</v>
      </c>
      <c r="N2951" s="38"/>
      <c r="O2951" s="35" t="s">
        <v>2314</v>
      </c>
    </row>
    <row r="2952" spans="1:15" x14ac:dyDescent="0.25">
      <c r="A2952" s="35">
        <v>1117791151</v>
      </c>
      <c r="B2952" s="35" t="s">
        <v>3412</v>
      </c>
      <c r="C2952" s="35">
        <v>2023</v>
      </c>
      <c r="D2952" s="36">
        <v>45103.398101851853</v>
      </c>
      <c r="E2952" s="37" t="s">
        <v>2290</v>
      </c>
      <c r="F2952" s="37" t="s">
        <v>5816</v>
      </c>
      <c r="G2952" s="37" t="s">
        <v>5689</v>
      </c>
      <c r="H2952" s="35" t="s">
        <v>3419</v>
      </c>
      <c r="I2952" s="35" t="s">
        <v>3416</v>
      </c>
      <c r="J2952" s="38">
        <v>9.5193798449612399E-2</v>
      </c>
      <c r="K2952" s="35">
        <v>1</v>
      </c>
      <c r="L2952" s="38">
        <f t="shared" si="46"/>
        <v>9.5193798449612399E-2</v>
      </c>
      <c r="M2952" s="35" t="s">
        <v>11</v>
      </c>
      <c r="N2952" s="38"/>
      <c r="O2952" s="35" t="s">
        <v>2314</v>
      </c>
    </row>
    <row r="2953" spans="1:15" x14ac:dyDescent="0.25">
      <c r="A2953" s="35">
        <v>1117791151</v>
      </c>
      <c r="B2953" s="35" t="s">
        <v>3412</v>
      </c>
      <c r="C2953" s="35">
        <v>2023</v>
      </c>
      <c r="D2953" s="36">
        <v>45103.398101851853</v>
      </c>
      <c r="E2953" s="37" t="s">
        <v>2290</v>
      </c>
      <c r="F2953" s="37" t="s">
        <v>5817</v>
      </c>
      <c r="G2953" s="37" t="s">
        <v>5689</v>
      </c>
      <c r="H2953" s="35" t="s">
        <v>3419</v>
      </c>
      <c r="I2953" s="35" t="s">
        <v>3416</v>
      </c>
      <c r="J2953" s="38">
        <v>0.1427906976744186</v>
      </c>
      <c r="K2953" s="35">
        <v>1</v>
      </c>
      <c r="L2953" s="38">
        <f t="shared" si="46"/>
        <v>0.1427906976744186</v>
      </c>
      <c r="M2953" s="35" t="s">
        <v>11</v>
      </c>
      <c r="N2953" s="38"/>
      <c r="O2953" s="35" t="s">
        <v>2314</v>
      </c>
    </row>
    <row r="2954" spans="1:15" x14ac:dyDescent="0.25">
      <c r="A2954" s="35">
        <v>1117791151</v>
      </c>
      <c r="B2954" s="35" t="s">
        <v>3412</v>
      </c>
      <c r="C2954" s="35">
        <v>2023</v>
      </c>
      <c r="D2954" s="36">
        <v>45103.398101851853</v>
      </c>
      <c r="E2954" s="37" t="s">
        <v>2290</v>
      </c>
      <c r="F2954" s="37" t="s">
        <v>5818</v>
      </c>
      <c r="G2954" s="37" t="s">
        <v>5689</v>
      </c>
      <c r="H2954" s="35" t="s">
        <v>3419</v>
      </c>
      <c r="I2954" s="35" t="s">
        <v>3416</v>
      </c>
      <c r="J2954" s="38">
        <v>9.5193798449612399E-2</v>
      </c>
      <c r="K2954" s="35">
        <v>1</v>
      </c>
      <c r="L2954" s="38">
        <f t="shared" si="46"/>
        <v>9.5193798449612399E-2</v>
      </c>
      <c r="M2954" s="35" t="s">
        <v>11</v>
      </c>
      <c r="N2954" s="38"/>
      <c r="O2954" s="35" t="s">
        <v>2314</v>
      </c>
    </row>
    <row r="2955" spans="1:15" x14ac:dyDescent="0.25">
      <c r="A2955" s="35">
        <v>1117791151</v>
      </c>
      <c r="B2955" s="35" t="s">
        <v>3412</v>
      </c>
      <c r="C2955" s="35">
        <v>2023</v>
      </c>
      <c r="D2955" s="36">
        <v>45103.398101851853</v>
      </c>
      <c r="E2955" s="37" t="s">
        <v>2290</v>
      </c>
      <c r="F2955" s="37" t="s">
        <v>5819</v>
      </c>
      <c r="G2955" s="37" t="s">
        <v>5689</v>
      </c>
      <c r="H2955" s="35" t="s">
        <v>3419</v>
      </c>
      <c r="I2955" s="35" t="s">
        <v>3416</v>
      </c>
      <c r="J2955" s="38">
        <v>9.5193798449612399E-2</v>
      </c>
      <c r="K2955" s="35">
        <v>1</v>
      </c>
      <c r="L2955" s="38">
        <f t="shared" si="46"/>
        <v>9.5193798449612399E-2</v>
      </c>
      <c r="M2955" s="35" t="s">
        <v>11</v>
      </c>
      <c r="N2955" s="38"/>
      <c r="O2955" s="35" t="s">
        <v>2314</v>
      </c>
    </row>
    <row r="2956" spans="1:15" x14ac:dyDescent="0.25">
      <c r="A2956" s="35">
        <v>1117791151</v>
      </c>
      <c r="B2956" s="35" t="s">
        <v>3412</v>
      </c>
      <c r="C2956" s="35">
        <v>2023</v>
      </c>
      <c r="D2956" s="36">
        <v>45103.398101851853</v>
      </c>
      <c r="E2956" s="37" t="s">
        <v>2290</v>
      </c>
      <c r="F2956" s="37" t="s">
        <v>5820</v>
      </c>
      <c r="G2956" s="37" t="s">
        <v>5689</v>
      </c>
      <c r="H2956" s="35" t="s">
        <v>3419</v>
      </c>
      <c r="I2956" s="35" t="s">
        <v>3416</v>
      </c>
      <c r="J2956" s="38">
        <v>9.5193798449612399E-2</v>
      </c>
      <c r="K2956" s="35">
        <v>1</v>
      </c>
      <c r="L2956" s="38">
        <f t="shared" si="46"/>
        <v>9.5193798449612399E-2</v>
      </c>
      <c r="M2956" s="35" t="s">
        <v>11</v>
      </c>
      <c r="N2956" s="38"/>
      <c r="O2956" s="35" t="s">
        <v>2314</v>
      </c>
    </row>
    <row r="2957" spans="1:15" x14ac:dyDescent="0.25">
      <c r="A2957" s="35">
        <v>1117791151</v>
      </c>
      <c r="B2957" s="35" t="s">
        <v>3412</v>
      </c>
      <c r="C2957" s="35">
        <v>2023</v>
      </c>
      <c r="D2957" s="36">
        <v>45103.398101851853</v>
      </c>
      <c r="E2957" s="37" t="s">
        <v>2290</v>
      </c>
      <c r="F2957" s="37" t="s">
        <v>5821</v>
      </c>
      <c r="G2957" s="37" t="s">
        <v>5689</v>
      </c>
      <c r="H2957" s="35" t="s">
        <v>3419</v>
      </c>
      <c r="I2957" s="35" t="s">
        <v>3416</v>
      </c>
      <c r="J2957" s="38">
        <v>9.5193798449612399E-2</v>
      </c>
      <c r="K2957" s="35">
        <v>1</v>
      </c>
      <c r="L2957" s="38">
        <f t="shared" si="46"/>
        <v>9.5193798449612399E-2</v>
      </c>
      <c r="M2957" s="35" t="s">
        <v>11</v>
      </c>
      <c r="N2957" s="38"/>
      <c r="O2957" s="35" t="s">
        <v>2314</v>
      </c>
    </row>
    <row r="2958" spans="1:15" x14ac:dyDescent="0.25">
      <c r="A2958" s="35">
        <v>1117791151</v>
      </c>
      <c r="B2958" s="35" t="s">
        <v>3412</v>
      </c>
      <c r="C2958" s="35">
        <v>2023</v>
      </c>
      <c r="D2958" s="36">
        <v>45103.398101851853</v>
      </c>
      <c r="E2958" s="37" t="s">
        <v>2290</v>
      </c>
      <c r="F2958" s="37" t="s">
        <v>5822</v>
      </c>
      <c r="G2958" s="37" t="s">
        <v>5689</v>
      </c>
      <c r="H2958" s="35" t="s">
        <v>3419</v>
      </c>
      <c r="I2958" s="35" t="s">
        <v>3416</v>
      </c>
      <c r="J2958" s="38">
        <v>9.5193798449612399E-2</v>
      </c>
      <c r="K2958" s="35">
        <v>1</v>
      </c>
      <c r="L2958" s="38">
        <f t="shared" si="46"/>
        <v>9.5193798449612399E-2</v>
      </c>
      <c r="M2958" s="35" t="s">
        <v>11</v>
      </c>
      <c r="N2958" s="38"/>
      <c r="O2958" s="35" t="s">
        <v>2314</v>
      </c>
    </row>
    <row r="2959" spans="1:15" x14ac:dyDescent="0.25">
      <c r="A2959" s="35">
        <v>1117791151</v>
      </c>
      <c r="B2959" s="35" t="s">
        <v>3412</v>
      </c>
      <c r="C2959" s="35">
        <v>2023</v>
      </c>
      <c r="D2959" s="36">
        <v>45103.398101851853</v>
      </c>
      <c r="E2959" s="37" t="s">
        <v>2290</v>
      </c>
      <c r="F2959" s="37" t="s">
        <v>5823</v>
      </c>
      <c r="G2959" s="37" t="s">
        <v>5689</v>
      </c>
      <c r="H2959" s="35" t="s">
        <v>3419</v>
      </c>
      <c r="I2959" s="35" t="s">
        <v>3416</v>
      </c>
      <c r="J2959" s="38">
        <v>9.5193798449612399E-2</v>
      </c>
      <c r="K2959" s="35">
        <v>1</v>
      </c>
      <c r="L2959" s="38">
        <f t="shared" si="46"/>
        <v>9.5193798449612399E-2</v>
      </c>
      <c r="M2959" s="35" t="s">
        <v>11</v>
      </c>
      <c r="N2959" s="38"/>
      <c r="O2959" s="35" t="s">
        <v>2314</v>
      </c>
    </row>
    <row r="2960" spans="1:15" x14ac:dyDescent="0.25">
      <c r="A2960" s="35">
        <v>1117791151</v>
      </c>
      <c r="B2960" s="35" t="s">
        <v>3412</v>
      </c>
      <c r="C2960" s="35">
        <v>2023</v>
      </c>
      <c r="D2960" s="36">
        <v>45103.398101851853</v>
      </c>
      <c r="E2960" s="37" t="s">
        <v>2290</v>
      </c>
      <c r="F2960" s="37" t="s">
        <v>5824</v>
      </c>
      <c r="G2960" s="37" t="s">
        <v>5689</v>
      </c>
      <c r="H2960" s="35" t="s">
        <v>3419</v>
      </c>
      <c r="I2960" s="35" t="s">
        <v>3416</v>
      </c>
      <c r="J2960" s="38">
        <v>9.5193798449612399E-2</v>
      </c>
      <c r="K2960" s="35">
        <v>1</v>
      </c>
      <c r="L2960" s="38">
        <f t="shared" si="46"/>
        <v>9.5193798449612399E-2</v>
      </c>
      <c r="M2960" s="35" t="s">
        <v>11</v>
      </c>
      <c r="N2960" s="38"/>
      <c r="O2960" s="35" t="s">
        <v>2314</v>
      </c>
    </row>
    <row r="2961" spans="1:15" x14ac:dyDescent="0.25">
      <c r="A2961" s="35">
        <v>1117791151</v>
      </c>
      <c r="B2961" s="35" t="s">
        <v>3412</v>
      </c>
      <c r="C2961" s="35">
        <v>2023</v>
      </c>
      <c r="D2961" s="36">
        <v>45103.398101851853</v>
      </c>
      <c r="E2961" s="37" t="s">
        <v>2290</v>
      </c>
      <c r="F2961" s="37" t="s">
        <v>5825</v>
      </c>
      <c r="G2961" s="37" t="s">
        <v>5689</v>
      </c>
      <c r="H2961" s="35" t="s">
        <v>3419</v>
      </c>
      <c r="I2961" s="35" t="s">
        <v>3416</v>
      </c>
      <c r="J2961" s="38">
        <v>0.1427906976744186</v>
      </c>
      <c r="K2961" s="35">
        <v>1</v>
      </c>
      <c r="L2961" s="38">
        <f t="shared" si="46"/>
        <v>0.1427906976744186</v>
      </c>
      <c r="M2961" s="35" t="s">
        <v>11</v>
      </c>
      <c r="N2961" s="38"/>
      <c r="O2961" s="35" t="s">
        <v>2314</v>
      </c>
    </row>
    <row r="2962" spans="1:15" x14ac:dyDescent="0.25">
      <c r="A2962" s="35">
        <v>1117791151</v>
      </c>
      <c r="B2962" s="35" t="s">
        <v>3412</v>
      </c>
      <c r="C2962" s="35">
        <v>2023</v>
      </c>
      <c r="D2962" s="36">
        <v>45103.398101851853</v>
      </c>
      <c r="E2962" s="37" t="s">
        <v>2290</v>
      </c>
      <c r="F2962" s="37" t="s">
        <v>5826</v>
      </c>
      <c r="G2962" s="37" t="s">
        <v>5689</v>
      </c>
      <c r="H2962" s="35" t="s">
        <v>3419</v>
      </c>
      <c r="I2962" s="35" t="s">
        <v>3416</v>
      </c>
      <c r="J2962" s="38">
        <v>9.5193798449612399E-2</v>
      </c>
      <c r="K2962" s="35">
        <v>1</v>
      </c>
      <c r="L2962" s="38">
        <f t="shared" si="46"/>
        <v>9.5193798449612399E-2</v>
      </c>
      <c r="M2962" s="35" t="s">
        <v>11</v>
      </c>
      <c r="N2962" s="38"/>
      <c r="O2962" s="35" t="s">
        <v>2314</v>
      </c>
    </row>
    <row r="2963" spans="1:15" x14ac:dyDescent="0.25">
      <c r="A2963" s="35">
        <v>1117791151</v>
      </c>
      <c r="B2963" s="35" t="s">
        <v>3412</v>
      </c>
      <c r="C2963" s="35">
        <v>2023</v>
      </c>
      <c r="D2963" s="36">
        <v>45103.398101851853</v>
      </c>
      <c r="E2963" s="37" t="s">
        <v>2290</v>
      </c>
      <c r="F2963" s="37" t="s">
        <v>5827</v>
      </c>
      <c r="G2963" s="37" t="s">
        <v>5689</v>
      </c>
      <c r="H2963" s="35" t="s">
        <v>3419</v>
      </c>
      <c r="I2963" s="35" t="s">
        <v>3416</v>
      </c>
      <c r="J2963" s="38">
        <v>0.1427906976744186</v>
      </c>
      <c r="K2963" s="35">
        <v>1</v>
      </c>
      <c r="L2963" s="38">
        <f t="shared" si="46"/>
        <v>0.1427906976744186</v>
      </c>
      <c r="M2963" s="35" t="s">
        <v>11</v>
      </c>
      <c r="N2963" s="38"/>
      <c r="O2963" s="35" t="s">
        <v>2314</v>
      </c>
    </row>
    <row r="2964" spans="1:15" x14ac:dyDescent="0.25">
      <c r="A2964" s="35">
        <v>1117791151</v>
      </c>
      <c r="B2964" s="35" t="s">
        <v>3412</v>
      </c>
      <c r="C2964" s="35">
        <v>2023</v>
      </c>
      <c r="D2964" s="36">
        <v>45103.398101851853</v>
      </c>
      <c r="E2964" s="37" t="s">
        <v>2290</v>
      </c>
      <c r="F2964" s="37" t="s">
        <v>5828</v>
      </c>
      <c r="G2964" s="37" t="s">
        <v>5689</v>
      </c>
      <c r="H2964" s="35" t="s">
        <v>3419</v>
      </c>
      <c r="I2964" s="35" t="s">
        <v>3416</v>
      </c>
      <c r="J2964" s="38">
        <v>0.1427906976744186</v>
      </c>
      <c r="K2964" s="35">
        <v>1</v>
      </c>
      <c r="L2964" s="38">
        <f t="shared" si="46"/>
        <v>0.1427906976744186</v>
      </c>
      <c r="M2964" s="35" t="s">
        <v>11</v>
      </c>
      <c r="N2964" s="38"/>
      <c r="O2964" s="35" t="s">
        <v>2314</v>
      </c>
    </row>
    <row r="2965" spans="1:15" x14ac:dyDescent="0.25">
      <c r="A2965" s="35">
        <v>1117791151</v>
      </c>
      <c r="B2965" s="35" t="s">
        <v>3412</v>
      </c>
      <c r="C2965" s="35">
        <v>2023</v>
      </c>
      <c r="D2965" s="36">
        <v>45103.398101851853</v>
      </c>
      <c r="E2965" s="37" t="s">
        <v>2290</v>
      </c>
      <c r="F2965" s="37" t="s">
        <v>5829</v>
      </c>
      <c r="G2965" s="37" t="s">
        <v>5689</v>
      </c>
      <c r="H2965" s="35" t="s">
        <v>3419</v>
      </c>
      <c r="I2965" s="35" t="s">
        <v>3416</v>
      </c>
      <c r="J2965" s="38">
        <v>9.5193798449612399E-2</v>
      </c>
      <c r="K2965" s="35">
        <v>1</v>
      </c>
      <c r="L2965" s="38">
        <f t="shared" si="46"/>
        <v>9.5193798449612399E-2</v>
      </c>
      <c r="M2965" s="35" t="s">
        <v>11</v>
      </c>
      <c r="N2965" s="38"/>
      <c r="O2965" s="35" t="s">
        <v>2314</v>
      </c>
    </row>
    <row r="2966" spans="1:15" x14ac:dyDescent="0.25">
      <c r="A2966" s="35">
        <v>1117791151</v>
      </c>
      <c r="B2966" s="35" t="s">
        <v>3412</v>
      </c>
      <c r="C2966" s="35">
        <v>2023</v>
      </c>
      <c r="D2966" s="36">
        <v>45103.398101851853</v>
      </c>
      <c r="E2966" s="37" t="s">
        <v>2290</v>
      </c>
      <c r="F2966" s="37" t="s">
        <v>5830</v>
      </c>
      <c r="G2966" s="37" t="s">
        <v>5689</v>
      </c>
      <c r="H2966" s="35" t="s">
        <v>3419</v>
      </c>
      <c r="I2966" s="35" t="s">
        <v>3416</v>
      </c>
      <c r="J2966" s="38">
        <v>9.5193798449612399E-2</v>
      </c>
      <c r="K2966" s="35">
        <v>1</v>
      </c>
      <c r="L2966" s="38">
        <f t="shared" si="46"/>
        <v>9.5193798449612399E-2</v>
      </c>
      <c r="M2966" s="35" t="s">
        <v>11</v>
      </c>
      <c r="N2966" s="38"/>
      <c r="O2966" s="35" t="s">
        <v>2314</v>
      </c>
    </row>
    <row r="2967" spans="1:15" x14ac:dyDescent="0.25">
      <c r="A2967" s="35">
        <v>1117791151</v>
      </c>
      <c r="B2967" s="35" t="s">
        <v>3412</v>
      </c>
      <c r="C2967" s="35">
        <v>2023</v>
      </c>
      <c r="D2967" s="36">
        <v>45103.398101851853</v>
      </c>
      <c r="E2967" s="37" t="s">
        <v>2290</v>
      </c>
      <c r="F2967" s="37" t="s">
        <v>5831</v>
      </c>
      <c r="G2967" s="37" t="s">
        <v>5689</v>
      </c>
      <c r="H2967" s="35" t="s">
        <v>3419</v>
      </c>
      <c r="I2967" s="35" t="s">
        <v>3416</v>
      </c>
      <c r="J2967" s="38">
        <v>9.5193798449612399E-2</v>
      </c>
      <c r="K2967" s="35">
        <v>1</v>
      </c>
      <c r="L2967" s="38">
        <f t="shared" si="46"/>
        <v>9.5193798449612399E-2</v>
      </c>
      <c r="M2967" s="35" t="s">
        <v>11</v>
      </c>
      <c r="N2967" s="38"/>
      <c r="O2967" s="35" t="s">
        <v>2314</v>
      </c>
    </row>
    <row r="2968" spans="1:15" x14ac:dyDescent="0.25">
      <c r="A2968" s="35">
        <v>1117791151</v>
      </c>
      <c r="B2968" s="35" t="s">
        <v>3412</v>
      </c>
      <c r="C2968" s="35">
        <v>2023</v>
      </c>
      <c r="D2968" s="36">
        <v>45103.398101851853</v>
      </c>
      <c r="E2968" s="37" t="s">
        <v>2290</v>
      </c>
      <c r="F2968" s="37" t="s">
        <v>5832</v>
      </c>
      <c r="G2968" s="37" t="s">
        <v>5689</v>
      </c>
      <c r="H2968" s="35" t="s">
        <v>3419</v>
      </c>
      <c r="I2968" s="35" t="s">
        <v>3416</v>
      </c>
      <c r="J2968" s="38">
        <v>9.5193798449612399E-2</v>
      </c>
      <c r="K2968" s="35">
        <v>1</v>
      </c>
      <c r="L2968" s="38">
        <f t="shared" si="46"/>
        <v>9.5193798449612399E-2</v>
      </c>
      <c r="M2968" s="35" t="s">
        <v>11</v>
      </c>
      <c r="N2968" s="38"/>
      <c r="O2968" s="35" t="s">
        <v>2314</v>
      </c>
    </row>
    <row r="2969" spans="1:15" x14ac:dyDescent="0.25">
      <c r="A2969" s="35">
        <v>1117791151</v>
      </c>
      <c r="B2969" s="35" t="s">
        <v>3412</v>
      </c>
      <c r="C2969" s="35">
        <v>2023</v>
      </c>
      <c r="D2969" s="36">
        <v>45103.398101851853</v>
      </c>
      <c r="E2969" s="37" t="s">
        <v>2290</v>
      </c>
      <c r="F2969" s="37" t="s">
        <v>5833</v>
      </c>
      <c r="G2969" s="37" t="s">
        <v>5689</v>
      </c>
      <c r="H2969" s="35" t="s">
        <v>3419</v>
      </c>
      <c r="I2969" s="35" t="s">
        <v>3416</v>
      </c>
      <c r="J2969" s="38">
        <v>9.5193798449612399E-2</v>
      </c>
      <c r="K2969" s="35">
        <v>1</v>
      </c>
      <c r="L2969" s="38">
        <f t="shared" si="46"/>
        <v>9.5193798449612399E-2</v>
      </c>
      <c r="M2969" s="35" t="s">
        <v>11</v>
      </c>
      <c r="N2969" s="38"/>
      <c r="O2969" s="35" t="s">
        <v>2314</v>
      </c>
    </row>
    <row r="2970" spans="1:15" x14ac:dyDescent="0.25">
      <c r="A2970" s="35">
        <v>1117791151</v>
      </c>
      <c r="B2970" s="35" t="s">
        <v>3412</v>
      </c>
      <c r="C2970" s="35">
        <v>2023</v>
      </c>
      <c r="D2970" s="36">
        <v>45103.398101851853</v>
      </c>
      <c r="E2970" s="37" t="s">
        <v>2290</v>
      </c>
      <c r="F2970" s="37" t="s">
        <v>5834</v>
      </c>
      <c r="G2970" s="37" t="s">
        <v>5689</v>
      </c>
      <c r="H2970" s="35" t="s">
        <v>3419</v>
      </c>
      <c r="I2970" s="35" t="s">
        <v>3416</v>
      </c>
      <c r="J2970" s="38">
        <v>9.5193798449612399E-2</v>
      </c>
      <c r="K2970" s="35">
        <v>1</v>
      </c>
      <c r="L2970" s="38">
        <f t="shared" si="46"/>
        <v>9.5193798449612399E-2</v>
      </c>
      <c r="M2970" s="35" t="s">
        <v>11</v>
      </c>
      <c r="N2970" s="38"/>
      <c r="O2970" s="35" t="s">
        <v>2314</v>
      </c>
    </row>
    <row r="2971" spans="1:15" x14ac:dyDescent="0.25">
      <c r="A2971" s="35">
        <v>1117791151</v>
      </c>
      <c r="B2971" s="35" t="s">
        <v>3412</v>
      </c>
      <c r="C2971" s="35">
        <v>2023</v>
      </c>
      <c r="D2971" s="36">
        <v>45103.398101851853</v>
      </c>
      <c r="E2971" s="37" t="s">
        <v>2290</v>
      </c>
      <c r="F2971" s="37" t="s">
        <v>5835</v>
      </c>
      <c r="G2971" s="37" t="s">
        <v>5689</v>
      </c>
      <c r="H2971" s="35" t="s">
        <v>3419</v>
      </c>
      <c r="I2971" s="35" t="s">
        <v>3416</v>
      </c>
      <c r="J2971" s="38">
        <v>9.5193798449612399E-2</v>
      </c>
      <c r="K2971" s="35">
        <v>1</v>
      </c>
      <c r="L2971" s="38">
        <f t="shared" si="46"/>
        <v>9.5193798449612399E-2</v>
      </c>
      <c r="M2971" s="35" t="s">
        <v>11</v>
      </c>
      <c r="N2971" s="38"/>
      <c r="O2971" s="35" t="s">
        <v>2314</v>
      </c>
    </row>
    <row r="2972" spans="1:15" x14ac:dyDescent="0.25">
      <c r="A2972" s="35">
        <v>1117791151</v>
      </c>
      <c r="B2972" s="35" t="s">
        <v>3412</v>
      </c>
      <c r="C2972" s="35">
        <v>2023</v>
      </c>
      <c r="D2972" s="36">
        <v>45103.398101851853</v>
      </c>
      <c r="E2972" s="37" t="s">
        <v>2290</v>
      </c>
      <c r="F2972" s="37" t="s">
        <v>5836</v>
      </c>
      <c r="G2972" s="37" t="s">
        <v>5689</v>
      </c>
      <c r="H2972" s="35" t="s">
        <v>3419</v>
      </c>
      <c r="I2972" s="35" t="s">
        <v>3416</v>
      </c>
      <c r="J2972" s="38">
        <v>9.5193798449612399E-2</v>
      </c>
      <c r="K2972" s="35">
        <v>1</v>
      </c>
      <c r="L2972" s="38">
        <f t="shared" si="46"/>
        <v>9.5193798449612399E-2</v>
      </c>
      <c r="M2972" s="35" t="s">
        <v>11</v>
      </c>
      <c r="N2972" s="38"/>
      <c r="O2972" s="35" t="s">
        <v>2314</v>
      </c>
    </row>
    <row r="2973" spans="1:15" x14ac:dyDescent="0.25">
      <c r="A2973" s="35">
        <v>1117791151</v>
      </c>
      <c r="B2973" s="35" t="s">
        <v>3412</v>
      </c>
      <c r="C2973" s="35">
        <v>2023</v>
      </c>
      <c r="D2973" s="36">
        <v>45103.398101851853</v>
      </c>
      <c r="E2973" s="37" t="s">
        <v>2290</v>
      </c>
      <c r="F2973" s="37" t="s">
        <v>5837</v>
      </c>
      <c r="G2973" s="37" t="s">
        <v>5689</v>
      </c>
      <c r="H2973" s="35" t="s">
        <v>3419</v>
      </c>
      <c r="I2973" s="35" t="s">
        <v>3416</v>
      </c>
      <c r="J2973" s="38">
        <v>9.5193798449612399E-2</v>
      </c>
      <c r="K2973" s="35">
        <v>1</v>
      </c>
      <c r="L2973" s="38">
        <f t="shared" si="46"/>
        <v>9.5193798449612399E-2</v>
      </c>
      <c r="M2973" s="35" t="s">
        <v>11</v>
      </c>
      <c r="N2973" s="38"/>
      <c r="O2973" s="35" t="s">
        <v>2314</v>
      </c>
    </row>
    <row r="2974" spans="1:15" x14ac:dyDescent="0.25">
      <c r="A2974" s="35">
        <v>1117791151</v>
      </c>
      <c r="B2974" s="35" t="s">
        <v>3412</v>
      </c>
      <c r="C2974" s="35">
        <v>2023</v>
      </c>
      <c r="D2974" s="36">
        <v>45103.398101851853</v>
      </c>
      <c r="E2974" s="37" t="s">
        <v>2290</v>
      </c>
      <c r="F2974" s="37" t="s">
        <v>5838</v>
      </c>
      <c r="G2974" s="37" t="s">
        <v>5689</v>
      </c>
      <c r="H2974" s="35" t="s">
        <v>3419</v>
      </c>
      <c r="I2974" s="35" t="s">
        <v>3416</v>
      </c>
      <c r="J2974" s="38">
        <v>9.5193798449612399E-2</v>
      </c>
      <c r="K2974" s="35">
        <v>1</v>
      </c>
      <c r="L2974" s="38">
        <f t="shared" si="46"/>
        <v>9.5193798449612399E-2</v>
      </c>
      <c r="M2974" s="35" t="s">
        <v>11</v>
      </c>
      <c r="N2974" s="38"/>
      <c r="O2974" s="35" t="s">
        <v>2314</v>
      </c>
    </row>
    <row r="2975" spans="1:15" x14ac:dyDescent="0.25">
      <c r="A2975" s="35">
        <v>1117791151</v>
      </c>
      <c r="B2975" s="35" t="s">
        <v>3412</v>
      </c>
      <c r="C2975" s="35">
        <v>2023</v>
      </c>
      <c r="D2975" s="36">
        <v>45103.398101851853</v>
      </c>
      <c r="E2975" s="37" t="s">
        <v>2290</v>
      </c>
      <c r="F2975" s="37" t="s">
        <v>5839</v>
      </c>
      <c r="G2975" s="37" t="s">
        <v>5689</v>
      </c>
      <c r="H2975" s="35" t="s">
        <v>3419</v>
      </c>
      <c r="I2975" s="35" t="s">
        <v>3416</v>
      </c>
      <c r="J2975" s="38">
        <v>9.5193798449612399E-2</v>
      </c>
      <c r="K2975" s="35">
        <v>1</v>
      </c>
      <c r="L2975" s="38">
        <f t="shared" si="46"/>
        <v>9.5193798449612399E-2</v>
      </c>
      <c r="M2975" s="35" t="s">
        <v>11</v>
      </c>
      <c r="N2975" s="38"/>
      <c r="O2975" s="35" t="s">
        <v>2314</v>
      </c>
    </row>
    <row r="2976" spans="1:15" x14ac:dyDescent="0.25">
      <c r="A2976" s="35">
        <v>1117791151</v>
      </c>
      <c r="B2976" s="35" t="s">
        <v>3412</v>
      </c>
      <c r="C2976" s="35">
        <v>2023</v>
      </c>
      <c r="D2976" s="36">
        <v>45103.398101851853</v>
      </c>
      <c r="E2976" s="37" t="s">
        <v>2290</v>
      </c>
      <c r="F2976" s="37" t="s">
        <v>5840</v>
      </c>
      <c r="G2976" s="37" t="s">
        <v>5689</v>
      </c>
      <c r="H2976" s="35" t="s">
        <v>3419</v>
      </c>
      <c r="I2976" s="35" t="s">
        <v>3416</v>
      </c>
      <c r="J2976" s="38">
        <v>9.5193798449612399E-2</v>
      </c>
      <c r="K2976" s="35">
        <v>1</v>
      </c>
      <c r="L2976" s="38">
        <f t="shared" si="46"/>
        <v>9.5193798449612399E-2</v>
      </c>
      <c r="M2976" s="35" t="s">
        <v>11</v>
      </c>
      <c r="N2976" s="38"/>
      <c r="O2976" s="35" t="s">
        <v>2314</v>
      </c>
    </row>
    <row r="2977" spans="1:15" x14ac:dyDescent="0.25">
      <c r="A2977" s="35">
        <v>1117791151</v>
      </c>
      <c r="B2977" s="35" t="s">
        <v>3412</v>
      </c>
      <c r="C2977" s="35">
        <v>2023</v>
      </c>
      <c r="D2977" s="36">
        <v>45103.398101851853</v>
      </c>
      <c r="E2977" s="37" t="s">
        <v>2290</v>
      </c>
      <c r="F2977" s="37" t="s">
        <v>5841</v>
      </c>
      <c r="G2977" s="37" t="s">
        <v>5689</v>
      </c>
      <c r="H2977" s="35" t="s">
        <v>3419</v>
      </c>
      <c r="I2977" s="35" t="s">
        <v>3416</v>
      </c>
      <c r="J2977" s="38">
        <v>9.5193798449612399E-2</v>
      </c>
      <c r="K2977" s="35">
        <v>1</v>
      </c>
      <c r="L2977" s="38">
        <f t="shared" si="46"/>
        <v>9.5193798449612399E-2</v>
      </c>
      <c r="M2977" s="35" t="s">
        <v>11</v>
      </c>
      <c r="N2977" s="38"/>
      <c r="O2977" s="35" t="s">
        <v>2314</v>
      </c>
    </row>
    <row r="2978" spans="1:15" x14ac:dyDescent="0.25">
      <c r="A2978" s="35">
        <v>1117791151</v>
      </c>
      <c r="B2978" s="35" t="s">
        <v>3412</v>
      </c>
      <c r="C2978" s="35">
        <v>2023</v>
      </c>
      <c r="D2978" s="36">
        <v>45103.398101851853</v>
      </c>
      <c r="E2978" s="37" t="s">
        <v>2290</v>
      </c>
      <c r="F2978" s="37" t="s">
        <v>5842</v>
      </c>
      <c r="G2978" s="37" t="s">
        <v>5689</v>
      </c>
      <c r="H2978" s="35" t="s">
        <v>3419</v>
      </c>
      <c r="I2978" s="35" t="s">
        <v>3416</v>
      </c>
      <c r="J2978" s="38">
        <v>9.5193798449612399E-2</v>
      </c>
      <c r="K2978" s="35">
        <v>1</v>
      </c>
      <c r="L2978" s="38">
        <f t="shared" si="46"/>
        <v>9.5193798449612399E-2</v>
      </c>
      <c r="M2978" s="35" t="s">
        <v>11</v>
      </c>
      <c r="N2978" s="38"/>
      <c r="O2978" s="35" t="s">
        <v>2314</v>
      </c>
    </row>
    <row r="2979" spans="1:15" x14ac:dyDescent="0.25">
      <c r="A2979" s="35">
        <v>1117791151</v>
      </c>
      <c r="B2979" s="35" t="s">
        <v>3412</v>
      </c>
      <c r="C2979" s="35">
        <v>2023</v>
      </c>
      <c r="D2979" s="36">
        <v>45103.398101851853</v>
      </c>
      <c r="E2979" s="37" t="s">
        <v>2290</v>
      </c>
      <c r="F2979" s="37" t="s">
        <v>5843</v>
      </c>
      <c r="G2979" s="37" t="s">
        <v>5689</v>
      </c>
      <c r="H2979" s="35" t="s">
        <v>3419</v>
      </c>
      <c r="I2979" s="35" t="s">
        <v>3416</v>
      </c>
      <c r="J2979" s="38">
        <v>9.5193798449612399E-2</v>
      </c>
      <c r="K2979" s="35">
        <v>1</v>
      </c>
      <c r="L2979" s="38">
        <f t="shared" si="46"/>
        <v>9.5193798449612399E-2</v>
      </c>
      <c r="M2979" s="35" t="s">
        <v>11</v>
      </c>
      <c r="N2979" s="38"/>
      <c r="O2979" s="35" t="s">
        <v>2314</v>
      </c>
    </row>
    <row r="2980" spans="1:15" x14ac:dyDescent="0.25">
      <c r="A2980" s="35">
        <v>1117791151</v>
      </c>
      <c r="B2980" s="35" t="s">
        <v>3412</v>
      </c>
      <c r="C2980" s="35">
        <v>2023</v>
      </c>
      <c r="D2980" s="36">
        <v>45103.398101851853</v>
      </c>
      <c r="E2980" s="37" t="s">
        <v>2290</v>
      </c>
      <c r="F2980" s="37" t="s">
        <v>5844</v>
      </c>
      <c r="G2980" s="37" t="s">
        <v>5689</v>
      </c>
      <c r="H2980" s="35" t="s">
        <v>3419</v>
      </c>
      <c r="I2980" s="35" t="s">
        <v>3416</v>
      </c>
      <c r="J2980" s="38">
        <v>0.1427906976744186</v>
      </c>
      <c r="K2980" s="35">
        <v>1</v>
      </c>
      <c r="L2980" s="38">
        <f t="shared" si="46"/>
        <v>0.1427906976744186</v>
      </c>
      <c r="M2980" s="35" t="s">
        <v>11</v>
      </c>
      <c r="N2980" s="38"/>
      <c r="O2980" s="35" t="s">
        <v>2314</v>
      </c>
    </row>
    <row r="2981" spans="1:15" x14ac:dyDescent="0.25">
      <c r="A2981" s="35">
        <v>1117791151</v>
      </c>
      <c r="B2981" s="35" t="s">
        <v>3412</v>
      </c>
      <c r="C2981" s="35">
        <v>2023</v>
      </c>
      <c r="D2981" s="36">
        <v>45103.398101851853</v>
      </c>
      <c r="E2981" s="37" t="s">
        <v>2290</v>
      </c>
      <c r="F2981" s="37" t="s">
        <v>5845</v>
      </c>
      <c r="G2981" s="37" t="s">
        <v>5689</v>
      </c>
      <c r="H2981" s="35" t="s">
        <v>3419</v>
      </c>
      <c r="I2981" s="35" t="s">
        <v>3416</v>
      </c>
      <c r="J2981" s="38">
        <v>9.5193798449612399E-2</v>
      </c>
      <c r="K2981" s="35">
        <v>1</v>
      </c>
      <c r="L2981" s="38">
        <f t="shared" si="46"/>
        <v>9.5193798449612399E-2</v>
      </c>
      <c r="M2981" s="35" t="s">
        <v>11</v>
      </c>
      <c r="N2981" s="38"/>
      <c r="O2981" s="35" t="s">
        <v>2314</v>
      </c>
    </row>
    <row r="2982" spans="1:15" x14ac:dyDescent="0.25">
      <c r="A2982" s="35">
        <v>1117791151</v>
      </c>
      <c r="B2982" s="35" t="s">
        <v>3412</v>
      </c>
      <c r="C2982" s="35">
        <v>2023</v>
      </c>
      <c r="D2982" s="36">
        <v>45103.398101851853</v>
      </c>
      <c r="E2982" s="37" t="s">
        <v>2290</v>
      </c>
      <c r="F2982" s="37" t="s">
        <v>5846</v>
      </c>
      <c r="G2982" s="37" t="s">
        <v>5689</v>
      </c>
      <c r="H2982" s="35" t="s">
        <v>3419</v>
      </c>
      <c r="I2982" s="35" t="s">
        <v>3416</v>
      </c>
      <c r="J2982" s="38">
        <v>9.5193798449612399E-2</v>
      </c>
      <c r="K2982" s="35">
        <v>1</v>
      </c>
      <c r="L2982" s="38">
        <f t="shared" si="46"/>
        <v>9.5193798449612399E-2</v>
      </c>
      <c r="M2982" s="35" t="s">
        <v>11</v>
      </c>
      <c r="N2982" s="38"/>
      <c r="O2982" s="35" t="s">
        <v>2314</v>
      </c>
    </row>
    <row r="2983" spans="1:15" x14ac:dyDescent="0.25">
      <c r="A2983" s="35">
        <v>1117791151</v>
      </c>
      <c r="B2983" s="35" t="s">
        <v>3412</v>
      </c>
      <c r="C2983" s="35">
        <v>2023</v>
      </c>
      <c r="D2983" s="36">
        <v>45103.398101851853</v>
      </c>
      <c r="E2983" s="37" t="s">
        <v>2290</v>
      </c>
      <c r="F2983" s="37" t="s">
        <v>5847</v>
      </c>
      <c r="G2983" s="37" t="s">
        <v>5689</v>
      </c>
      <c r="H2983" s="35" t="s">
        <v>3419</v>
      </c>
      <c r="I2983" s="35" t="s">
        <v>3416</v>
      </c>
      <c r="J2983" s="38">
        <v>0.1427906976744186</v>
      </c>
      <c r="K2983" s="35">
        <v>1</v>
      </c>
      <c r="L2983" s="38">
        <f t="shared" si="46"/>
        <v>0.1427906976744186</v>
      </c>
      <c r="M2983" s="35" t="s">
        <v>11</v>
      </c>
      <c r="N2983" s="38"/>
      <c r="O2983" s="35" t="s">
        <v>2314</v>
      </c>
    </row>
    <row r="2984" spans="1:15" x14ac:dyDescent="0.25">
      <c r="A2984" s="35">
        <v>1117791151</v>
      </c>
      <c r="B2984" s="35" t="s">
        <v>3412</v>
      </c>
      <c r="C2984" s="35">
        <v>2023</v>
      </c>
      <c r="D2984" s="36">
        <v>45103.398101851853</v>
      </c>
      <c r="E2984" s="37" t="s">
        <v>2290</v>
      </c>
      <c r="F2984" s="37" t="s">
        <v>5848</v>
      </c>
      <c r="G2984" s="37" t="s">
        <v>5689</v>
      </c>
      <c r="H2984" s="35" t="s">
        <v>3419</v>
      </c>
      <c r="I2984" s="35" t="s">
        <v>3416</v>
      </c>
      <c r="J2984" s="38">
        <v>0.1427906976744186</v>
      </c>
      <c r="K2984" s="35">
        <v>1</v>
      </c>
      <c r="L2984" s="38">
        <f t="shared" si="46"/>
        <v>0.1427906976744186</v>
      </c>
      <c r="M2984" s="35" t="s">
        <v>11</v>
      </c>
      <c r="N2984" s="38"/>
      <c r="O2984" s="35" t="s">
        <v>2314</v>
      </c>
    </row>
    <row r="2985" spans="1:15" x14ac:dyDescent="0.25">
      <c r="A2985" s="35">
        <v>1117791151</v>
      </c>
      <c r="B2985" s="35" t="s">
        <v>3412</v>
      </c>
      <c r="C2985" s="35">
        <v>2023</v>
      </c>
      <c r="D2985" s="36">
        <v>45103.398101851853</v>
      </c>
      <c r="E2985" s="37" t="s">
        <v>2290</v>
      </c>
      <c r="F2985" s="37" t="s">
        <v>5849</v>
      </c>
      <c r="G2985" s="37" t="s">
        <v>5689</v>
      </c>
      <c r="H2985" s="35" t="s">
        <v>3419</v>
      </c>
      <c r="I2985" s="35" t="s">
        <v>3416</v>
      </c>
      <c r="J2985" s="38">
        <v>9.5193798449612399E-2</v>
      </c>
      <c r="K2985" s="35">
        <v>1</v>
      </c>
      <c r="L2985" s="38">
        <f t="shared" si="46"/>
        <v>9.5193798449612399E-2</v>
      </c>
      <c r="M2985" s="35" t="s">
        <v>11</v>
      </c>
      <c r="N2985" s="38"/>
      <c r="O2985" s="35" t="s">
        <v>2314</v>
      </c>
    </row>
    <row r="2986" spans="1:15" x14ac:dyDescent="0.25">
      <c r="A2986" s="35">
        <v>1117791151</v>
      </c>
      <c r="B2986" s="35" t="s">
        <v>3412</v>
      </c>
      <c r="C2986" s="35">
        <v>2023</v>
      </c>
      <c r="D2986" s="36">
        <v>45103.398101851853</v>
      </c>
      <c r="E2986" s="37" t="s">
        <v>2290</v>
      </c>
      <c r="F2986" s="37" t="s">
        <v>5850</v>
      </c>
      <c r="G2986" s="37" t="s">
        <v>5689</v>
      </c>
      <c r="H2986" s="35" t="s">
        <v>3419</v>
      </c>
      <c r="I2986" s="35" t="s">
        <v>3416</v>
      </c>
      <c r="J2986" s="38">
        <v>0.1427906976744186</v>
      </c>
      <c r="K2986" s="35">
        <v>1</v>
      </c>
      <c r="L2986" s="38">
        <f t="shared" si="46"/>
        <v>0.1427906976744186</v>
      </c>
      <c r="M2986" s="35" t="s">
        <v>11</v>
      </c>
      <c r="N2986" s="38"/>
      <c r="O2986" s="35" t="s">
        <v>2314</v>
      </c>
    </row>
    <row r="2987" spans="1:15" x14ac:dyDescent="0.25">
      <c r="A2987" s="35">
        <v>1117791151</v>
      </c>
      <c r="B2987" s="35" t="s">
        <v>3412</v>
      </c>
      <c r="C2987" s="35">
        <v>2023</v>
      </c>
      <c r="D2987" s="36">
        <v>45103.398101851853</v>
      </c>
      <c r="E2987" s="37" t="s">
        <v>2290</v>
      </c>
      <c r="F2987" s="37" t="s">
        <v>5851</v>
      </c>
      <c r="G2987" s="37" t="s">
        <v>5689</v>
      </c>
      <c r="H2987" s="35" t="s">
        <v>3419</v>
      </c>
      <c r="I2987" s="35" t="s">
        <v>3416</v>
      </c>
      <c r="J2987" s="38">
        <v>0.1427906976744186</v>
      </c>
      <c r="K2987" s="35">
        <v>1</v>
      </c>
      <c r="L2987" s="38">
        <f t="shared" si="46"/>
        <v>0.1427906976744186</v>
      </c>
      <c r="M2987" s="35" t="s">
        <v>11</v>
      </c>
      <c r="N2987" s="38"/>
      <c r="O2987" s="35" t="s">
        <v>2314</v>
      </c>
    </row>
    <row r="2988" spans="1:15" x14ac:dyDescent="0.25">
      <c r="A2988" s="35">
        <v>1117791151</v>
      </c>
      <c r="B2988" s="35" t="s">
        <v>3412</v>
      </c>
      <c r="C2988" s="35">
        <v>2023</v>
      </c>
      <c r="D2988" s="36">
        <v>45103.398101851853</v>
      </c>
      <c r="E2988" s="37" t="s">
        <v>2290</v>
      </c>
      <c r="F2988" s="37" t="s">
        <v>5852</v>
      </c>
      <c r="G2988" s="37" t="s">
        <v>5689</v>
      </c>
      <c r="H2988" s="35" t="s">
        <v>3419</v>
      </c>
      <c r="I2988" s="35" t="s">
        <v>3416</v>
      </c>
      <c r="J2988" s="38">
        <v>9.5193798449612399E-2</v>
      </c>
      <c r="K2988" s="35">
        <v>1</v>
      </c>
      <c r="L2988" s="38">
        <f t="shared" si="46"/>
        <v>9.5193798449612399E-2</v>
      </c>
      <c r="M2988" s="35" t="s">
        <v>11</v>
      </c>
      <c r="N2988" s="38"/>
      <c r="O2988" s="35" t="s">
        <v>2314</v>
      </c>
    </row>
    <row r="2989" spans="1:15" x14ac:dyDescent="0.25">
      <c r="A2989" s="35">
        <v>1117791151</v>
      </c>
      <c r="B2989" s="35" t="s">
        <v>3412</v>
      </c>
      <c r="C2989" s="35">
        <v>2023</v>
      </c>
      <c r="D2989" s="36">
        <v>45103.398101851853</v>
      </c>
      <c r="E2989" s="37" t="s">
        <v>2290</v>
      </c>
      <c r="F2989" s="37" t="s">
        <v>5853</v>
      </c>
      <c r="G2989" s="37" t="s">
        <v>5689</v>
      </c>
      <c r="H2989" s="35" t="s">
        <v>3419</v>
      </c>
      <c r="I2989" s="35" t="s">
        <v>3416</v>
      </c>
      <c r="J2989" s="38">
        <v>9.5193798449612399E-2</v>
      </c>
      <c r="K2989" s="35">
        <v>1</v>
      </c>
      <c r="L2989" s="38">
        <f t="shared" si="46"/>
        <v>9.5193798449612399E-2</v>
      </c>
      <c r="M2989" s="35" t="s">
        <v>11</v>
      </c>
      <c r="N2989" s="38"/>
      <c r="O2989" s="35" t="s">
        <v>2314</v>
      </c>
    </row>
    <row r="2990" spans="1:15" x14ac:dyDescent="0.25">
      <c r="A2990" s="35">
        <v>1117791151</v>
      </c>
      <c r="B2990" s="35" t="s">
        <v>3412</v>
      </c>
      <c r="C2990" s="35">
        <v>2023</v>
      </c>
      <c r="D2990" s="36">
        <v>45103.398101851853</v>
      </c>
      <c r="E2990" s="37" t="s">
        <v>2290</v>
      </c>
      <c r="F2990" s="37" t="s">
        <v>5854</v>
      </c>
      <c r="G2990" s="37" t="s">
        <v>5689</v>
      </c>
      <c r="H2990" s="35" t="s">
        <v>3419</v>
      </c>
      <c r="I2990" s="35" t="s">
        <v>3416</v>
      </c>
      <c r="J2990" s="38">
        <v>9.5193798449612399E-2</v>
      </c>
      <c r="K2990" s="35">
        <v>1</v>
      </c>
      <c r="L2990" s="38">
        <f t="shared" si="46"/>
        <v>9.5193798449612399E-2</v>
      </c>
      <c r="M2990" s="35" t="s">
        <v>11</v>
      </c>
      <c r="N2990" s="38"/>
      <c r="O2990" s="35" t="s">
        <v>2314</v>
      </c>
    </row>
    <row r="2991" spans="1:15" x14ac:dyDescent="0.25">
      <c r="A2991" s="35">
        <v>1117791151</v>
      </c>
      <c r="B2991" s="35" t="s">
        <v>3412</v>
      </c>
      <c r="C2991" s="35">
        <v>2023</v>
      </c>
      <c r="D2991" s="36">
        <v>45103.398101851853</v>
      </c>
      <c r="E2991" s="37" t="s">
        <v>2290</v>
      </c>
      <c r="F2991" s="37" t="s">
        <v>5855</v>
      </c>
      <c r="G2991" s="37" t="s">
        <v>5689</v>
      </c>
      <c r="H2991" s="35" t="s">
        <v>3419</v>
      </c>
      <c r="I2991" s="35" t="s">
        <v>3416</v>
      </c>
      <c r="J2991" s="38">
        <v>9.5193798449612399E-2</v>
      </c>
      <c r="K2991" s="35">
        <v>1</v>
      </c>
      <c r="L2991" s="38">
        <f t="shared" si="46"/>
        <v>9.5193798449612399E-2</v>
      </c>
      <c r="M2991" s="35" t="s">
        <v>11</v>
      </c>
      <c r="N2991" s="38"/>
      <c r="O2991" s="35" t="s">
        <v>2314</v>
      </c>
    </row>
    <row r="2992" spans="1:15" x14ac:dyDescent="0.25">
      <c r="A2992" s="35">
        <v>1117791151</v>
      </c>
      <c r="B2992" s="35" t="s">
        <v>3412</v>
      </c>
      <c r="C2992" s="35">
        <v>2023</v>
      </c>
      <c r="D2992" s="36">
        <v>45103.398101851853</v>
      </c>
      <c r="E2992" s="37" t="s">
        <v>2290</v>
      </c>
      <c r="F2992" s="37" t="s">
        <v>5856</v>
      </c>
      <c r="G2992" s="37" t="s">
        <v>5689</v>
      </c>
      <c r="H2992" s="35" t="s">
        <v>3419</v>
      </c>
      <c r="I2992" s="35" t="s">
        <v>3416</v>
      </c>
      <c r="J2992" s="38">
        <v>9.5193798449612399E-2</v>
      </c>
      <c r="K2992" s="35">
        <v>1</v>
      </c>
      <c r="L2992" s="38">
        <f t="shared" si="46"/>
        <v>9.5193798449612399E-2</v>
      </c>
      <c r="M2992" s="35" t="s">
        <v>11</v>
      </c>
      <c r="N2992" s="38"/>
      <c r="O2992" s="35" t="s">
        <v>2314</v>
      </c>
    </row>
    <row r="2993" spans="1:15" x14ac:dyDescent="0.25">
      <c r="A2993" s="35">
        <v>1117791151</v>
      </c>
      <c r="B2993" s="35" t="s">
        <v>3412</v>
      </c>
      <c r="C2993" s="35">
        <v>2023</v>
      </c>
      <c r="D2993" s="36">
        <v>45103.398101851853</v>
      </c>
      <c r="E2993" s="37" t="s">
        <v>2290</v>
      </c>
      <c r="F2993" s="37" t="s">
        <v>5857</v>
      </c>
      <c r="G2993" s="37" t="s">
        <v>5689</v>
      </c>
      <c r="H2993" s="35" t="s">
        <v>3419</v>
      </c>
      <c r="I2993" s="35" t="s">
        <v>3416</v>
      </c>
      <c r="J2993" s="38">
        <v>9.5193798449612399E-2</v>
      </c>
      <c r="K2993" s="35">
        <v>1</v>
      </c>
      <c r="L2993" s="38">
        <f t="shared" si="46"/>
        <v>9.5193798449612399E-2</v>
      </c>
      <c r="M2993" s="35" t="s">
        <v>11</v>
      </c>
      <c r="N2993" s="38"/>
      <c r="O2993" s="35" t="s">
        <v>2314</v>
      </c>
    </row>
    <row r="2994" spans="1:15" x14ac:dyDescent="0.25">
      <c r="A2994" s="35">
        <v>1117791151</v>
      </c>
      <c r="B2994" s="35" t="s">
        <v>3412</v>
      </c>
      <c r="C2994" s="35">
        <v>2023</v>
      </c>
      <c r="D2994" s="36">
        <v>45103.398101851853</v>
      </c>
      <c r="E2994" s="37" t="s">
        <v>2290</v>
      </c>
      <c r="F2994" s="37" t="s">
        <v>5858</v>
      </c>
      <c r="G2994" s="37" t="s">
        <v>5689</v>
      </c>
      <c r="H2994" s="35" t="s">
        <v>3419</v>
      </c>
      <c r="I2994" s="35" t="s">
        <v>3416</v>
      </c>
      <c r="J2994" s="38">
        <v>9.5193798449612399E-2</v>
      </c>
      <c r="K2994" s="35">
        <v>1</v>
      </c>
      <c r="L2994" s="38">
        <f t="shared" si="46"/>
        <v>9.5193798449612399E-2</v>
      </c>
      <c r="M2994" s="35" t="s">
        <v>11</v>
      </c>
      <c r="N2994" s="38"/>
      <c r="O2994" s="35" t="s">
        <v>2314</v>
      </c>
    </row>
    <row r="2995" spans="1:15" x14ac:dyDescent="0.25">
      <c r="A2995" s="35">
        <v>1117791151</v>
      </c>
      <c r="B2995" s="35" t="s">
        <v>3412</v>
      </c>
      <c r="C2995" s="35">
        <v>2023</v>
      </c>
      <c r="D2995" s="36">
        <v>45103.398101851853</v>
      </c>
      <c r="E2995" s="37" t="s">
        <v>2290</v>
      </c>
      <c r="F2995" s="37" t="s">
        <v>5859</v>
      </c>
      <c r="G2995" s="37" t="s">
        <v>5689</v>
      </c>
      <c r="H2995" s="35" t="s">
        <v>3419</v>
      </c>
      <c r="I2995" s="35" t="s">
        <v>3416</v>
      </c>
      <c r="J2995" s="38">
        <v>0.40457364341085272</v>
      </c>
      <c r="K2995" s="35">
        <v>1</v>
      </c>
      <c r="L2995" s="38">
        <f t="shared" si="46"/>
        <v>0.40457364341085272</v>
      </c>
      <c r="M2995" s="35" t="s">
        <v>11</v>
      </c>
      <c r="N2995" s="38"/>
      <c r="O2995" s="35" t="s">
        <v>2314</v>
      </c>
    </row>
    <row r="2996" spans="1:15" x14ac:dyDescent="0.25">
      <c r="A2996" s="35">
        <v>1117791151</v>
      </c>
      <c r="B2996" s="35" t="s">
        <v>3412</v>
      </c>
      <c r="C2996" s="35">
        <v>2023</v>
      </c>
      <c r="D2996" s="36">
        <v>45103.398101851853</v>
      </c>
      <c r="E2996" s="37" t="s">
        <v>2290</v>
      </c>
      <c r="F2996" s="37" t="s">
        <v>5860</v>
      </c>
      <c r="G2996" s="37" t="s">
        <v>5689</v>
      </c>
      <c r="H2996" s="35" t="s">
        <v>3419</v>
      </c>
      <c r="I2996" s="35" t="s">
        <v>3416</v>
      </c>
      <c r="J2996" s="38">
        <v>0.47596899224806211</v>
      </c>
      <c r="K2996" s="35">
        <v>1</v>
      </c>
      <c r="L2996" s="38">
        <f t="shared" si="46"/>
        <v>0.47596899224806211</v>
      </c>
      <c r="M2996" s="35" t="s">
        <v>11</v>
      </c>
      <c r="N2996" s="38"/>
      <c r="O2996" s="35" t="s">
        <v>2314</v>
      </c>
    </row>
    <row r="2997" spans="1:15" x14ac:dyDescent="0.25">
      <c r="A2997" s="35">
        <v>1117791151</v>
      </c>
      <c r="B2997" s="35" t="s">
        <v>3412</v>
      </c>
      <c r="C2997" s="35">
        <v>2023</v>
      </c>
      <c r="D2997" s="36">
        <v>45103.398101851853</v>
      </c>
      <c r="E2997" s="37" t="s">
        <v>2290</v>
      </c>
      <c r="F2997" s="37" t="s">
        <v>5861</v>
      </c>
      <c r="G2997" s="37" t="s">
        <v>5689</v>
      </c>
      <c r="H2997" s="35" t="s">
        <v>3419</v>
      </c>
      <c r="I2997" s="35" t="s">
        <v>3416</v>
      </c>
      <c r="J2997" s="38">
        <v>0.40457364341085272</v>
      </c>
      <c r="K2997" s="35">
        <v>1</v>
      </c>
      <c r="L2997" s="38">
        <f t="shared" si="46"/>
        <v>0.40457364341085272</v>
      </c>
      <c r="M2997" s="35" t="s">
        <v>11</v>
      </c>
      <c r="N2997" s="38"/>
      <c r="O2997" s="35" t="s">
        <v>2314</v>
      </c>
    </row>
    <row r="2998" spans="1:15" x14ac:dyDescent="0.25">
      <c r="A2998" s="35">
        <v>1117791151</v>
      </c>
      <c r="B2998" s="35" t="s">
        <v>3412</v>
      </c>
      <c r="C2998" s="35">
        <v>2023</v>
      </c>
      <c r="D2998" s="36">
        <v>45103.398101851853</v>
      </c>
      <c r="E2998" s="37" t="s">
        <v>2290</v>
      </c>
      <c r="F2998" s="37" t="s">
        <v>5862</v>
      </c>
      <c r="G2998" s="37" t="s">
        <v>5689</v>
      </c>
      <c r="H2998" s="35" t="s">
        <v>3419</v>
      </c>
      <c r="I2998" s="35" t="s">
        <v>3416</v>
      </c>
      <c r="J2998" s="38">
        <v>0.35697674418604652</v>
      </c>
      <c r="K2998" s="35">
        <v>1</v>
      </c>
      <c r="L2998" s="38">
        <f t="shared" si="46"/>
        <v>0.35697674418604652</v>
      </c>
      <c r="M2998" s="35" t="s">
        <v>11</v>
      </c>
      <c r="N2998" s="38"/>
      <c r="O2998" s="35" t="s">
        <v>2314</v>
      </c>
    </row>
    <row r="2999" spans="1:15" x14ac:dyDescent="0.25">
      <c r="A2999" s="35">
        <v>1117791151</v>
      </c>
      <c r="B2999" s="35" t="s">
        <v>3412</v>
      </c>
      <c r="C2999" s="35">
        <v>2023</v>
      </c>
      <c r="D2999" s="36">
        <v>45103.398101851853</v>
      </c>
      <c r="E2999" s="37" t="s">
        <v>2290</v>
      </c>
      <c r="F2999" s="37" t="s">
        <v>5863</v>
      </c>
      <c r="G2999" s="37" t="s">
        <v>5689</v>
      </c>
      <c r="H2999" s="35" t="s">
        <v>3419</v>
      </c>
      <c r="I2999" s="35" t="s">
        <v>3416</v>
      </c>
      <c r="J2999" s="38">
        <v>0.40457364341085272</v>
      </c>
      <c r="K2999" s="35">
        <v>1</v>
      </c>
      <c r="L2999" s="38">
        <f t="shared" si="46"/>
        <v>0.40457364341085272</v>
      </c>
      <c r="M2999" s="35" t="s">
        <v>11</v>
      </c>
      <c r="N2999" s="38"/>
      <c r="O2999" s="35" t="s">
        <v>2314</v>
      </c>
    </row>
    <row r="3000" spans="1:15" x14ac:dyDescent="0.25">
      <c r="A3000" s="35">
        <v>1117791151</v>
      </c>
      <c r="B3000" s="35" t="s">
        <v>3412</v>
      </c>
      <c r="C3000" s="35">
        <v>2023</v>
      </c>
      <c r="D3000" s="36">
        <v>45103.398101851853</v>
      </c>
      <c r="E3000" s="37" t="s">
        <v>2290</v>
      </c>
      <c r="F3000" s="37" t="s">
        <v>5864</v>
      </c>
      <c r="G3000" s="37" t="s">
        <v>5689</v>
      </c>
      <c r="H3000" s="35" t="s">
        <v>3419</v>
      </c>
      <c r="I3000" s="35" t="s">
        <v>3416</v>
      </c>
      <c r="J3000" s="38">
        <v>0.47596899224806211</v>
      </c>
      <c r="K3000" s="35">
        <v>1</v>
      </c>
      <c r="L3000" s="38">
        <f t="shared" si="46"/>
        <v>0.47596899224806211</v>
      </c>
      <c r="M3000" s="35" t="s">
        <v>11</v>
      </c>
      <c r="N3000" s="38"/>
      <c r="O3000" s="35" t="s">
        <v>2314</v>
      </c>
    </row>
    <row r="3001" spans="1:15" x14ac:dyDescent="0.25">
      <c r="A3001" s="35">
        <v>1117791151</v>
      </c>
      <c r="B3001" s="35" t="s">
        <v>3412</v>
      </c>
      <c r="C3001" s="35">
        <v>2023</v>
      </c>
      <c r="D3001" s="36">
        <v>45103.398101851853</v>
      </c>
      <c r="E3001" s="37" t="s">
        <v>2290</v>
      </c>
      <c r="F3001" s="37" t="s">
        <v>5865</v>
      </c>
      <c r="G3001" s="37" t="s">
        <v>5689</v>
      </c>
      <c r="H3001" s="35" t="s">
        <v>3419</v>
      </c>
      <c r="I3001" s="35" t="s">
        <v>3416</v>
      </c>
      <c r="J3001" s="38">
        <v>0.34507751937984488</v>
      </c>
      <c r="K3001" s="35">
        <v>1</v>
      </c>
      <c r="L3001" s="38">
        <f t="shared" si="46"/>
        <v>0.34507751937984488</v>
      </c>
      <c r="M3001" s="35" t="s">
        <v>11</v>
      </c>
      <c r="N3001" s="38"/>
      <c r="O3001" s="35" t="s">
        <v>2314</v>
      </c>
    </row>
    <row r="3002" spans="1:15" x14ac:dyDescent="0.25">
      <c r="A3002" s="35">
        <v>1117791151</v>
      </c>
      <c r="B3002" s="35" t="s">
        <v>3412</v>
      </c>
      <c r="C3002" s="35">
        <v>2023</v>
      </c>
      <c r="D3002" s="36">
        <v>45103.398101851853</v>
      </c>
      <c r="E3002" s="37" t="s">
        <v>2290</v>
      </c>
      <c r="F3002" s="37" t="s">
        <v>5866</v>
      </c>
      <c r="G3002" s="37" t="s">
        <v>5689</v>
      </c>
      <c r="H3002" s="35" t="s">
        <v>3419</v>
      </c>
      <c r="I3002" s="35" t="s">
        <v>3416</v>
      </c>
      <c r="J3002" s="38">
        <v>0.40457364341085272</v>
      </c>
      <c r="K3002" s="35">
        <v>1</v>
      </c>
      <c r="L3002" s="38">
        <f t="shared" si="46"/>
        <v>0.40457364341085272</v>
      </c>
      <c r="M3002" s="35" t="s">
        <v>11</v>
      </c>
      <c r="N3002" s="38"/>
      <c r="O3002" s="35" t="s">
        <v>2314</v>
      </c>
    </row>
    <row r="3003" spans="1:15" x14ac:dyDescent="0.25">
      <c r="A3003" s="35">
        <v>1117791151</v>
      </c>
      <c r="B3003" s="35" t="s">
        <v>3412</v>
      </c>
      <c r="C3003" s="35">
        <v>2023</v>
      </c>
      <c r="D3003" s="36">
        <v>45103.398101851853</v>
      </c>
      <c r="E3003" s="37" t="s">
        <v>2290</v>
      </c>
      <c r="F3003" s="37" t="s">
        <v>5867</v>
      </c>
      <c r="G3003" s="37" t="s">
        <v>5689</v>
      </c>
      <c r="H3003" s="35" t="s">
        <v>3419</v>
      </c>
      <c r="I3003" s="35" t="s">
        <v>3416</v>
      </c>
      <c r="J3003" s="38">
        <v>0.47596899224806211</v>
      </c>
      <c r="K3003" s="35">
        <v>1</v>
      </c>
      <c r="L3003" s="38">
        <f t="shared" si="46"/>
        <v>0.47596899224806211</v>
      </c>
      <c r="M3003" s="35" t="s">
        <v>11</v>
      </c>
      <c r="N3003" s="38"/>
      <c r="O3003" s="35" t="s">
        <v>2314</v>
      </c>
    </row>
    <row r="3004" spans="1:15" x14ac:dyDescent="0.25">
      <c r="A3004" s="35">
        <v>1117791151</v>
      </c>
      <c r="B3004" s="35" t="s">
        <v>3412</v>
      </c>
      <c r="C3004" s="35">
        <v>2023</v>
      </c>
      <c r="D3004" s="36">
        <v>45103.398101851853</v>
      </c>
      <c r="E3004" s="37" t="s">
        <v>2290</v>
      </c>
      <c r="F3004" s="37" t="s">
        <v>5868</v>
      </c>
      <c r="G3004" s="37" t="s">
        <v>5689</v>
      </c>
      <c r="H3004" s="35" t="s">
        <v>3419</v>
      </c>
      <c r="I3004" s="35" t="s">
        <v>3416</v>
      </c>
      <c r="J3004" s="38">
        <v>0.40457364341085272</v>
      </c>
      <c r="K3004" s="35">
        <v>1</v>
      </c>
      <c r="L3004" s="38">
        <f t="shared" si="46"/>
        <v>0.40457364341085272</v>
      </c>
      <c r="M3004" s="35" t="s">
        <v>11</v>
      </c>
      <c r="N3004" s="38"/>
      <c r="O3004" s="35" t="s">
        <v>2314</v>
      </c>
    </row>
    <row r="3005" spans="1:15" x14ac:dyDescent="0.25">
      <c r="A3005" s="35">
        <v>1117791151</v>
      </c>
      <c r="B3005" s="35" t="s">
        <v>3412</v>
      </c>
      <c r="C3005" s="35">
        <v>2023</v>
      </c>
      <c r="D3005" s="36">
        <v>45103.398101851853</v>
      </c>
      <c r="E3005" s="37" t="s">
        <v>2290</v>
      </c>
      <c r="F3005" s="37" t="s">
        <v>5869</v>
      </c>
      <c r="G3005" s="37" t="s">
        <v>5689</v>
      </c>
      <c r="H3005" s="35" t="s">
        <v>3419</v>
      </c>
      <c r="I3005" s="35" t="s">
        <v>3416</v>
      </c>
      <c r="J3005" s="38">
        <v>0.40457364341085272</v>
      </c>
      <c r="K3005" s="35">
        <v>1</v>
      </c>
      <c r="L3005" s="38">
        <f t="shared" si="46"/>
        <v>0.40457364341085272</v>
      </c>
      <c r="M3005" s="35" t="s">
        <v>11</v>
      </c>
      <c r="N3005" s="38"/>
      <c r="O3005" s="35" t="s">
        <v>2314</v>
      </c>
    </row>
    <row r="3006" spans="1:15" x14ac:dyDescent="0.25">
      <c r="A3006" s="35">
        <v>1117791151</v>
      </c>
      <c r="B3006" s="35" t="s">
        <v>3412</v>
      </c>
      <c r="C3006" s="35">
        <v>2023</v>
      </c>
      <c r="D3006" s="36">
        <v>45103.398101851853</v>
      </c>
      <c r="E3006" s="37" t="s">
        <v>2290</v>
      </c>
      <c r="F3006" s="37" t="s">
        <v>5870</v>
      </c>
      <c r="G3006" s="37" t="s">
        <v>5689</v>
      </c>
      <c r="H3006" s="35" t="s">
        <v>3419</v>
      </c>
      <c r="I3006" s="35" t="s">
        <v>3416</v>
      </c>
      <c r="J3006" s="38">
        <v>0.46406976744186051</v>
      </c>
      <c r="K3006" s="35">
        <v>1</v>
      </c>
      <c r="L3006" s="38">
        <f t="shared" si="46"/>
        <v>0.46406976744186051</v>
      </c>
      <c r="M3006" s="35" t="s">
        <v>11</v>
      </c>
      <c r="N3006" s="38"/>
      <c r="O3006" s="35" t="s">
        <v>2314</v>
      </c>
    </row>
    <row r="3007" spans="1:15" x14ac:dyDescent="0.25">
      <c r="A3007" s="35">
        <v>1117791151</v>
      </c>
      <c r="B3007" s="35" t="s">
        <v>3412</v>
      </c>
      <c r="C3007" s="35">
        <v>2023</v>
      </c>
      <c r="D3007" s="36">
        <v>45103.398101851853</v>
      </c>
      <c r="E3007" s="37" t="s">
        <v>2290</v>
      </c>
      <c r="F3007" s="37" t="s">
        <v>5871</v>
      </c>
      <c r="G3007" s="37" t="s">
        <v>5689</v>
      </c>
      <c r="H3007" s="35" t="s">
        <v>3419</v>
      </c>
      <c r="I3007" s="35" t="s">
        <v>3416</v>
      </c>
      <c r="J3007" s="38">
        <v>0.40457364341085272</v>
      </c>
      <c r="K3007" s="35">
        <v>1</v>
      </c>
      <c r="L3007" s="38">
        <f t="shared" si="46"/>
        <v>0.40457364341085272</v>
      </c>
      <c r="M3007" s="35" t="s">
        <v>11</v>
      </c>
      <c r="N3007" s="38"/>
      <c r="O3007" s="35" t="s">
        <v>2314</v>
      </c>
    </row>
    <row r="3008" spans="1:15" x14ac:dyDescent="0.25">
      <c r="A3008" s="35">
        <v>1117791151</v>
      </c>
      <c r="B3008" s="35" t="s">
        <v>3412</v>
      </c>
      <c r="C3008" s="35">
        <v>2023</v>
      </c>
      <c r="D3008" s="36">
        <v>45103.398101851853</v>
      </c>
      <c r="E3008" s="37" t="s">
        <v>2290</v>
      </c>
      <c r="F3008" s="37" t="s">
        <v>5872</v>
      </c>
      <c r="G3008" s="37" t="s">
        <v>5689</v>
      </c>
      <c r="H3008" s="35" t="s">
        <v>3419</v>
      </c>
      <c r="I3008" s="35" t="s">
        <v>3416</v>
      </c>
      <c r="J3008" s="38">
        <v>0.46406976744186051</v>
      </c>
      <c r="K3008" s="35">
        <v>1</v>
      </c>
      <c r="L3008" s="38">
        <f t="shared" si="46"/>
        <v>0.46406976744186051</v>
      </c>
      <c r="M3008" s="35" t="s">
        <v>11</v>
      </c>
      <c r="N3008" s="38"/>
      <c r="O3008" s="35" t="s">
        <v>2314</v>
      </c>
    </row>
    <row r="3009" spans="1:15" x14ac:dyDescent="0.25">
      <c r="A3009" s="35">
        <v>1117791151</v>
      </c>
      <c r="B3009" s="35" t="s">
        <v>3412</v>
      </c>
      <c r="C3009" s="35">
        <v>2023</v>
      </c>
      <c r="D3009" s="36">
        <v>45103.398101851853</v>
      </c>
      <c r="E3009" s="37" t="s">
        <v>2290</v>
      </c>
      <c r="F3009" s="37" t="s">
        <v>5873</v>
      </c>
      <c r="G3009" s="37" t="s">
        <v>5689</v>
      </c>
      <c r="H3009" s="35" t="s">
        <v>3419</v>
      </c>
      <c r="I3009" s="35" t="s">
        <v>3416</v>
      </c>
      <c r="J3009" s="38">
        <v>0.40457364341085272</v>
      </c>
      <c r="K3009" s="35">
        <v>1</v>
      </c>
      <c r="L3009" s="38">
        <f t="shared" si="46"/>
        <v>0.40457364341085272</v>
      </c>
      <c r="M3009" s="35" t="s">
        <v>11</v>
      </c>
      <c r="N3009" s="38"/>
      <c r="O3009" s="35" t="s">
        <v>2314</v>
      </c>
    </row>
    <row r="3010" spans="1:15" x14ac:dyDescent="0.25">
      <c r="A3010" s="35">
        <v>1117791151</v>
      </c>
      <c r="B3010" s="35" t="s">
        <v>3412</v>
      </c>
      <c r="C3010" s="35">
        <v>2023</v>
      </c>
      <c r="D3010" s="36">
        <v>45103.398101851853</v>
      </c>
      <c r="E3010" s="37" t="s">
        <v>2290</v>
      </c>
      <c r="F3010" s="37" t="s">
        <v>5874</v>
      </c>
      <c r="G3010" s="37" t="s">
        <v>5689</v>
      </c>
      <c r="H3010" s="35" t="s">
        <v>3419</v>
      </c>
      <c r="I3010" s="35" t="s">
        <v>3416</v>
      </c>
      <c r="J3010" s="38">
        <v>0.237984496124031</v>
      </c>
      <c r="K3010" s="35">
        <v>1</v>
      </c>
      <c r="L3010" s="38">
        <f t="shared" ref="L3010:L3073" si="47">J3010*K3010</f>
        <v>0.237984496124031</v>
      </c>
      <c r="M3010" s="35" t="s">
        <v>11</v>
      </c>
      <c r="N3010" s="38"/>
      <c r="O3010" s="35" t="s">
        <v>2314</v>
      </c>
    </row>
    <row r="3011" spans="1:15" x14ac:dyDescent="0.25">
      <c r="A3011" s="35">
        <v>1117791151</v>
      </c>
      <c r="B3011" s="35" t="s">
        <v>3412</v>
      </c>
      <c r="C3011" s="35">
        <v>2023</v>
      </c>
      <c r="D3011" s="36">
        <v>45103.398101851853</v>
      </c>
      <c r="E3011" s="37" t="s">
        <v>2290</v>
      </c>
      <c r="F3011" s="37" t="s">
        <v>5875</v>
      </c>
      <c r="G3011" s="37" t="s">
        <v>5689</v>
      </c>
      <c r="H3011" s="35" t="s">
        <v>3419</v>
      </c>
      <c r="I3011" s="35" t="s">
        <v>3416</v>
      </c>
      <c r="J3011" s="38">
        <v>0.52356589147286825</v>
      </c>
      <c r="K3011" s="35">
        <v>1</v>
      </c>
      <c r="L3011" s="38">
        <f t="shared" si="47"/>
        <v>0.52356589147286825</v>
      </c>
      <c r="M3011" s="35" t="s">
        <v>11</v>
      </c>
      <c r="N3011" s="38"/>
      <c r="O3011" s="35" t="s">
        <v>2314</v>
      </c>
    </row>
    <row r="3012" spans="1:15" x14ac:dyDescent="0.25">
      <c r="A3012" s="35">
        <v>1117791151</v>
      </c>
      <c r="B3012" s="35" t="s">
        <v>3412</v>
      </c>
      <c r="C3012" s="35">
        <v>2023</v>
      </c>
      <c r="D3012" s="36">
        <v>45103.398101851853</v>
      </c>
      <c r="E3012" s="37" t="s">
        <v>2290</v>
      </c>
      <c r="F3012" s="37" t="s">
        <v>5876</v>
      </c>
      <c r="G3012" s="37" t="s">
        <v>5689</v>
      </c>
      <c r="H3012" s="35" t="s">
        <v>3419</v>
      </c>
      <c r="I3012" s="35" t="s">
        <v>3416</v>
      </c>
      <c r="J3012" s="38">
        <v>0.2855813953488372</v>
      </c>
      <c r="K3012" s="35">
        <v>1</v>
      </c>
      <c r="L3012" s="38">
        <f t="shared" si="47"/>
        <v>0.2855813953488372</v>
      </c>
      <c r="M3012" s="35" t="s">
        <v>11</v>
      </c>
      <c r="N3012" s="38"/>
      <c r="O3012" s="35" t="s">
        <v>2314</v>
      </c>
    </row>
    <row r="3013" spans="1:15" x14ac:dyDescent="0.25">
      <c r="A3013" s="35">
        <v>1117791151</v>
      </c>
      <c r="B3013" s="35" t="s">
        <v>3412</v>
      </c>
      <c r="C3013" s="35">
        <v>2023</v>
      </c>
      <c r="D3013" s="36">
        <v>45103.398101851853</v>
      </c>
      <c r="E3013" s="37" t="s">
        <v>2290</v>
      </c>
      <c r="F3013" s="37" t="s">
        <v>5877</v>
      </c>
      <c r="G3013" s="37" t="s">
        <v>5689</v>
      </c>
      <c r="H3013" s="35" t="s">
        <v>3419</v>
      </c>
      <c r="I3013" s="35" t="s">
        <v>3416</v>
      </c>
      <c r="J3013" s="38">
        <v>0.52356589147286825</v>
      </c>
      <c r="K3013" s="35">
        <v>1</v>
      </c>
      <c r="L3013" s="38">
        <f t="shared" si="47"/>
        <v>0.52356589147286825</v>
      </c>
      <c r="M3013" s="35" t="s">
        <v>11</v>
      </c>
      <c r="N3013" s="38"/>
      <c r="O3013" s="35" t="s">
        <v>2314</v>
      </c>
    </row>
    <row r="3014" spans="1:15" x14ac:dyDescent="0.25">
      <c r="A3014" s="35">
        <v>1117791151</v>
      </c>
      <c r="B3014" s="35" t="s">
        <v>3412</v>
      </c>
      <c r="C3014" s="35">
        <v>2023</v>
      </c>
      <c r="D3014" s="36">
        <v>45103.398101851853</v>
      </c>
      <c r="E3014" s="37" t="s">
        <v>2290</v>
      </c>
      <c r="F3014" s="37" t="s">
        <v>5878</v>
      </c>
      <c r="G3014" s="37" t="s">
        <v>5689</v>
      </c>
      <c r="H3014" s="35" t="s">
        <v>3419</v>
      </c>
      <c r="I3014" s="35" t="s">
        <v>3416</v>
      </c>
      <c r="J3014" s="38">
        <v>0.94003875968992257</v>
      </c>
      <c r="K3014" s="35">
        <v>1</v>
      </c>
      <c r="L3014" s="38">
        <f t="shared" si="47"/>
        <v>0.94003875968992257</v>
      </c>
      <c r="M3014" s="35" t="s">
        <v>11</v>
      </c>
      <c r="N3014" s="38"/>
      <c r="O3014" s="35" t="s">
        <v>2314</v>
      </c>
    </row>
    <row r="3015" spans="1:15" x14ac:dyDescent="0.25">
      <c r="A3015" s="35">
        <v>1117791151</v>
      </c>
      <c r="B3015" s="35" t="s">
        <v>3412</v>
      </c>
      <c r="C3015" s="35">
        <v>2023</v>
      </c>
      <c r="D3015" s="36">
        <v>45103.398101851853</v>
      </c>
      <c r="E3015" s="37" t="s">
        <v>2290</v>
      </c>
      <c r="F3015" s="37" t="s">
        <v>5879</v>
      </c>
      <c r="G3015" s="37" t="s">
        <v>5689</v>
      </c>
      <c r="H3015" s="35" t="s">
        <v>3419</v>
      </c>
      <c r="I3015" s="35" t="s">
        <v>3416</v>
      </c>
      <c r="J3015" s="38">
        <v>0.35697674418604652</v>
      </c>
      <c r="K3015" s="35">
        <v>1</v>
      </c>
      <c r="L3015" s="38">
        <f t="shared" si="47"/>
        <v>0.35697674418604652</v>
      </c>
      <c r="M3015" s="35" t="s">
        <v>11</v>
      </c>
      <c r="N3015" s="38"/>
      <c r="O3015" s="35" t="s">
        <v>2314</v>
      </c>
    </row>
    <row r="3016" spans="1:15" x14ac:dyDescent="0.25">
      <c r="A3016" s="35">
        <v>1117791151</v>
      </c>
      <c r="B3016" s="35" t="s">
        <v>3412</v>
      </c>
      <c r="C3016" s="35">
        <v>2023</v>
      </c>
      <c r="D3016" s="36">
        <v>45103.398101851853</v>
      </c>
      <c r="E3016" s="37" t="s">
        <v>2290</v>
      </c>
      <c r="F3016" s="37" t="s">
        <v>5880</v>
      </c>
      <c r="G3016" s="37" t="s">
        <v>5689</v>
      </c>
      <c r="H3016" s="35" t="s">
        <v>3419</v>
      </c>
      <c r="I3016" s="35" t="s">
        <v>3416</v>
      </c>
      <c r="J3016" s="38">
        <v>0.83294573643410852</v>
      </c>
      <c r="K3016" s="35">
        <v>1</v>
      </c>
      <c r="L3016" s="38">
        <f t="shared" si="47"/>
        <v>0.83294573643410852</v>
      </c>
      <c r="M3016" s="35" t="s">
        <v>11</v>
      </c>
      <c r="N3016" s="38"/>
      <c r="O3016" s="35" t="s">
        <v>2314</v>
      </c>
    </row>
    <row r="3017" spans="1:15" x14ac:dyDescent="0.25">
      <c r="A3017" s="35">
        <v>1117791151</v>
      </c>
      <c r="B3017" s="35" t="s">
        <v>3412</v>
      </c>
      <c r="C3017" s="35">
        <v>2023</v>
      </c>
      <c r="D3017" s="36">
        <v>45103.398101851853</v>
      </c>
      <c r="E3017" s="37" t="s">
        <v>2290</v>
      </c>
      <c r="F3017" s="37" t="s">
        <v>5881</v>
      </c>
      <c r="G3017" s="37" t="s">
        <v>5689</v>
      </c>
      <c r="H3017" s="35" t="s">
        <v>3419</v>
      </c>
      <c r="I3017" s="35" t="s">
        <v>3416</v>
      </c>
      <c r="J3017" s="38">
        <v>0.58306201550387593</v>
      </c>
      <c r="K3017" s="35">
        <v>1</v>
      </c>
      <c r="L3017" s="38">
        <f t="shared" si="47"/>
        <v>0.58306201550387593</v>
      </c>
      <c r="M3017" s="35" t="s">
        <v>11</v>
      </c>
      <c r="N3017" s="38"/>
      <c r="O3017" s="35" t="s">
        <v>2314</v>
      </c>
    </row>
    <row r="3018" spans="1:15" x14ac:dyDescent="0.25">
      <c r="A3018" s="35">
        <v>1117791151</v>
      </c>
      <c r="B3018" s="35" t="s">
        <v>3412</v>
      </c>
      <c r="C3018" s="35">
        <v>2023</v>
      </c>
      <c r="D3018" s="36">
        <v>45103.398101851853</v>
      </c>
      <c r="E3018" s="37" t="s">
        <v>2290</v>
      </c>
      <c r="F3018" s="37" t="s">
        <v>5882</v>
      </c>
      <c r="G3018" s="37" t="s">
        <v>5689</v>
      </c>
      <c r="H3018" s="35" t="s">
        <v>3419</v>
      </c>
      <c r="I3018" s="35" t="s">
        <v>3416</v>
      </c>
      <c r="J3018" s="38">
        <v>0.34507751937984488</v>
      </c>
      <c r="K3018" s="35">
        <v>1</v>
      </c>
      <c r="L3018" s="38">
        <f t="shared" si="47"/>
        <v>0.34507751937984488</v>
      </c>
      <c r="M3018" s="35" t="s">
        <v>11</v>
      </c>
      <c r="N3018" s="38"/>
      <c r="O3018" s="35" t="s">
        <v>2314</v>
      </c>
    </row>
    <row r="3019" spans="1:15" x14ac:dyDescent="0.25">
      <c r="A3019" s="35">
        <v>1117791151</v>
      </c>
      <c r="B3019" s="35" t="s">
        <v>3412</v>
      </c>
      <c r="C3019" s="35">
        <v>2023</v>
      </c>
      <c r="D3019" s="36">
        <v>45103.398101851853</v>
      </c>
      <c r="E3019" s="37" t="s">
        <v>2290</v>
      </c>
      <c r="F3019" s="37" t="s">
        <v>5883</v>
      </c>
      <c r="G3019" s="37" t="s">
        <v>5689</v>
      </c>
      <c r="H3019" s="35" t="s">
        <v>3419</v>
      </c>
      <c r="I3019" s="35" t="s">
        <v>3416</v>
      </c>
      <c r="J3019" s="38">
        <v>0.46406976744186051</v>
      </c>
      <c r="K3019" s="35">
        <v>1</v>
      </c>
      <c r="L3019" s="38">
        <f t="shared" si="47"/>
        <v>0.46406976744186051</v>
      </c>
      <c r="M3019" s="35" t="s">
        <v>11</v>
      </c>
      <c r="N3019" s="38"/>
      <c r="O3019" s="35" t="s">
        <v>2314</v>
      </c>
    </row>
    <row r="3020" spans="1:15" x14ac:dyDescent="0.25">
      <c r="A3020" s="35">
        <v>1117791151</v>
      </c>
      <c r="B3020" s="35" t="s">
        <v>3412</v>
      </c>
      <c r="C3020" s="35">
        <v>2023</v>
      </c>
      <c r="D3020" s="36">
        <v>45103.398101851853</v>
      </c>
      <c r="E3020" s="37" t="s">
        <v>2290</v>
      </c>
      <c r="F3020" s="37" t="s">
        <v>5884</v>
      </c>
      <c r="G3020" s="37" t="s">
        <v>5689</v>
      </c>
      <c r="H3020" s="35" t="s">
        <v>3419</v>
      </c>
      <c r="I3020" s="35" t="s">
        <v>3416</v>
      </c>
      <c r="J3020" s="38">
        <v>0.40457364341085272</v>
      </c>
      <c r="K3020" s="35">
        <v>1</v>
      </c>
      <c r="L3020" s="38">
        <f t="shared" si="47"/>
        <v>0.40457364341085272</v>
      </c>
      <c r="M3020" s="35" t="s">
        <v>11</v>
      </c>
      <c r="N3020" s="38"/>
      <c r="O3020" s="35" t="s">
        <v>2314</v>
      </c>
    </row>
    <row r="3021" spans="1:15" x14ac:dyDescent="0.25">
      <c r="A3021" s="35">
        <v>1117791151</v>
      </c>
      <c r="B3021" s="35" t="s">
        <v>3412</v>
      </c>
      <c r="C3021" s="35">
        <v>2023</v>
      </c>
      <c r="D3021" s="36">
        <v>45103.398101851853</v>
      </c>
      <c r="E3021" s="37" t="s">
        <v>2290</v>
      </c>
      <c r="F3021" s="37" t="s">
        <v>5885</v>
      </c>
      <c r="G3021" s="37" t="s">
        <v>5689</v>
      </c>
      <c r="H3021" s="35" t="s">
        <v>3419</v>
      </c>
      <c r="I3021" s="35" t="s">
        <v>3416</v>
      </c>
      <c r="J3021" s="38">
        <v>0.35697674418604652</v>
      </c>
      <c r="K3021" s="35">
        <v>1</v>
      </c>
      <c r="L3021" s="38">
        <f t="shared" si="47"/>
        <v>0.35697674418604652</v>
      </c>
      <c r="M3021" s="35" t="s">
        <v>11</v>
      </c>
      <c r="N3021" s="38"/>
      <c r="O3021" s="35" t="s">
        <v>2314</v>
      </c>
    </row>
    <row r="3022" spans="1:15" x14ac:dyDescent="0.25">
      <c r="A3022" s="35">
        <v>1117791151</v>
      </c>
      <c r="B3022" s="35" t="s">
        <v>3412</v>
      </c>
      <c r="C3022" s="35">
        <v>2023</v>
      </c>
      <c r="D3022" s="36">
        <v>45103.398101851853</v>
      </c>
      <c r="E3022" s="37" t="s">
        <v>2290</v>
      </c>
      <c r="F3022" s="37" t="s">
        <v>5886</v>
      </c>
      <c r="G3022" s="37" t="s">
        <v>5689</v>
      </c>
      <c r="H3022" s="35" t="s">
        <v>3419</v>
      </c>
      <c r="I3022" s="35" t="s">
        <v>3416</v>
      </c>
      <c r="J3022" s="38">
        <v>0.2855813953488372</v>
      </c>
      <c r="K3022" s="35">
        <v>1</v>
      </c>
      <c r="L3022" s="38">
        <f t="shared" si="47"/>
        <v>0.2855813953488372</v>
      </c>
      <c r="M3022" s="35" t="s">
        <v>11</v>
      </c>
      <c r="N3022" s="38"/>
      <c r="O3022" s="35" t="s">
        <v>2314</v>
      </c>
    </row>
    <row r="3023" spans="1:15" x14ac:dyDescent="0.25">
      <c r="A3023" s="35">
        <v>1117791151</v>
      </c>
      <c r="B3023" s="35" t="s">
        <v>3412</v>
      </c>
      <c r="C3023" s="35">
        <v>2023</v>
      </c>
      <c r="D3023" s="36">
        <v>45103.398101851853</v>
      </c>
      <c r="E3023" s="37" t="s">
        <v>2290</v>
      </c>
      <c r="F3023" s="37" t="s">
        <v>5887</v>
      </c>
      <c r="G3023" s="37" t="s">
        <v>5689</v>
      </c>
      <c r="H3023" s="35" t="s">
        <v>3419</v>
      </c>
      <c r="I3023" s="35" t="s">
        <v>3416</v>
      </c>
      <c r="J3023" s="38">
        <v>0.47596899224806211</v>
      </c>
      <c r="K3023" s="35">
        <v>1</v>
      </c>
      <c r="L3023" s="38">
        <f t="shared" si="47"/>
        <v>0.47596899224806211</v>
      </c>
      <c r="M3023" s="35" t="s">
        <v>11</v>
      </c>
      <c r="N3023" s="38"/>
      <c r="O3023" s="35" t="s">
        <v>2314</v>
      </c>
    </row>
    <row r="3024" spans="1:15" x14ac:dyDescent="0.25">
      <c r="A3024" s="35">
        <v>1117791151</v>
      </c>
      <c r="B3024" s="35" t="s">
        <v>3412</v>
      </c>
      <c r="C3024" s="35">
        <v>2023</v>
      </c>
      <c r="D3024" s="36">
        <v>45103.398101851853</v>
      </c>
      <c r="E3024" s="37" t="s">
        <v>2290</v>
      </c>
      <c r="F3024" s="37" t="s">
        <v>5888</v>
      </c>
      <c r="G3024" s="37" t="s">
        <v>5689</v>
      </c>
      <c r="H3024" s="35" t="s">
        <v>3419</v>
      </c>
      <c r="I3024" s="35" t="s">
        <v>3416</v>
      </c>
      <c r="J3024" s="38">
        <v>0.47596899224806211</v>
      </c>
      <c r="K3024" s="35">
        <v>1</v>
      </c>
      <c r="L3024" s="38">
        <f t="shared" si="47"/>
        <v>0.47596899224806211</v>
      </c>
      <c r="M3024" s="35" t="s">
        <v>11</v>
      </c>
      <c r="N3024" s="38"/>
      <c r="O3024" s="35" t="s">
        <v>2314</v>
      </c>
    </row>
    <row r="3025" spans="1:15" x14ac:dyDescent="0.25">
      <c r="A3025" s="35">
        <v>1117791151</v>
      </c>
      <c r="B3025" s="35" t="s">
        <v>3412</v>
      </c>
      <c r="C3025" s="35">
        <v>2023</v>
      </c>
      <c r="D3025" s="36">
        <v>45103.398101851853</v>
      </c>
      <c r="E3025" s="37" t="s">
        <v>2290</v>
      </c>
      <c r="F3025" s="37" t="s">
        <v>5889</v>
      </c>
      <c r="G3025" s="37" t="s">
        <v>5689</v>
      </c>
      <c r="H3025" s="35" t="s">
        <v>3419</v>
      </c>
      <c r="I3025" s="35" t="s">
        <v>3416</v>
      </c>
      <c r="J3025" s="38">
        <v>0.40457364341085272</v>
      </c>
      <c r="K3025" s="35">
        <v>1</v>
      </c>
      <c r="L3025" s="38">
        <f t="shared" si="47"/>
        <v>0.40457364341085272</v>
      </c>
      <c r="M3025" s="35" t="s">
        <v>11</v>
      </c>
      <c r="N3025" s="38"/>
      <c r="O3025" s="35" t="s">
        <v>2314</v>
      </c>
    </row>
    <row r="3026" spans="1:15" x14ac:dyDescent="0.25">
      <c r="A3026" s="35">
        <v>1117791151</v>
      </c>
      <c r="B3026" s="35" t="s">
        <v>3412</v>
      </c>
      <c r="C3026" s="35">
        <v>2023</v>
      </c>
      <c r="D3026" s="36">
        <v>45103.398101851853</v>
      </c>
      <c r="E3026" s="37" t="s">
        <v>2290</v>
      </c>
      <c r="F3026" s="37" t="s">
        <v>5890</v>
      </c>
      <c r="G3026" s="37" t="s">
        <v>5689</v>
      </c>
      <c r="H3026" s="35" t="s">
        <v>3419</v>
      </c>
      <c r="I3026" s="35" t="s">
        <v>3416</v>
      </c>
      <c r="J3026" s="38">
        <v>0.35697674418604652</v>
      </c>
      <c r="K3026" s="35">
        <v>1</v>
      </c>
      <c r="L3026" s="38">
        <f t="shared" si="47"/>
        <v>0.35697674418604652</v>
      </c>
      <c r="M3026" s="35" t="s">
        <v>11</v>
      </c>
      <c r="N3026" s="38"/>
      <c r="O3026" s="35" t="s">
        <v>2314</v>
      </c>
    </row>
    <row r="3027" spans="1:15" x14ac:dyDescent="0.25">
      <c r="A3027" s="35">
        <v>1117791151</v>
      </c>
      <c r="B3027" s="35" t="s">
        <v>3412</v>
      </c>
      <c r="C3027" s="35">
        <v>2023</v>
      </c>
      <c r="D3027" s="36">
        <v>45103.398101851853</v>
      </c>
      <c r="E3027" s="37" t="s">
        <v>2290</v>
      </c>
      <c r="F3027" s="37" t="s">
        <v>5891</v>
      </c>
      <c r="G3027" s="37" t="s">
        <v>5689</v>
      </c>
      <c r="H3027" s="35" t="s">
        <v>3419</v>
      </c>
      <c r="I3027" s="35" t="s">
        <v>3416</v>
      </c>
      <c r="J3027" s="38">
        <v>0.47596899224806211</v>
      </c>
      <c r="K3027" s="35">
        <v>1</v>
      </c>
      <c r="L3027" s="38">
        <f t="shared" si="47"/>
        <v>0.47596899224806211</v>
      </c>
      <c r="M3027" s="35" t="s">
        <v>11</v>
      </c>
      <c r="N3027" s="38"/>
      <c r="O3027" s="35" t="s">
        <v>2314</v>
      </c>
    </row>
    <row r="3028" spans="1:15" x14ac:dyDescent="0.25">
      <c r="A3028" s="35">
        <v>1117791151</v>
      </c>
      <c r="B3028" s="35" t="s">
        <v>3412</v>
      </c>
      <c r="C3028" s="35">
        <v>2023</v>
      </c>
      <c r="D3028" s="36">
        <v>45103.398101851853</v>
      </c>
      <c r="E3028" s="37" t="s">
        <v>2290</v>
      </c>
      <c r="F3028" s="37" t="s">
        <v>5892</v>
      </c>
      <c r="G3028" s="37" t="s">
        <v>5689</v>
      </c>
      <c r="H3028" s="35" t="s">
        <v>3419</v>
      </c>
      <c r="I3028" s="35" t="s">
        <v>3416</v>
      </c>
      <c r="J3028" s="38">
        <v>0.2855813953488372</v>
      </c>
      <c r="K3028" s="35">
        <v>1</v>
      </c>
      <c r="L3028" s="38">
        <f t="shared" si="47"/>
        <v>0.2855813953488372</v>
      </c>
      <c r="M3028" s="35" t="s">
        <v>11</v>
      </c>
      <c r="N3028" s="38"/>
      <c r="O3028" s="35" t="s">
        <v>2314</v>
      </c>
    </row>
    <row r="3029" spans="1:15" x14ac:dyDescent="0.25">
      <c r="A3029" s="35">
        <v>1117791151</v>
      </c>
      <c r="B3029" s="35" t="s">
        <v>3412</v>
      </c>
      <c r="C3029" s="35">
        <v>2023</v>
      </c>
      <c r="D3029" s="36">
        <v>45103.398101851853</v>
      </c>
      <c r="E3029" s="37" t="s">
        <v>2290</v>
      </c>
      <c r="F3029" s="37" t="s">
        <v>5893</v>
      </c>
      <c r="G3029" s="37" t="s">
        <v>4093</v>
      </c>
      <c r="H3029" s="35" t="s">
        <v>3419</v>
      </c>
      <c r="I3029" s="35" t="s">
        <v>3416</v>
      </c>
      <c r="J3029" s="38">
        <v>0.1189922480620155</v>
      </c>
      <c r="K3029" s="35">
        <v>1</v>
      </c>
      <c r="L3029" s="38">
        <f t="shared" si="47"/>
        <v>0.1189922480620155</v>
      </c>
      <c r="M3029" s="35" t="s">
        <v>11</v>
      </c>
      <c r="N3029" s="38"/>
      <c r="O3029" s="35" t="s">
        <v>12</v>
      </c>
    </row>
    <row r="3030" spans="1:15" x14ac:dyDescent="0.25">
      <c r="A3030" s="35">
        <v>1117791151</v>
      </c>
      <c r="B3030" s="35" t="s">
        <v>3412</v>
      </c>
      <c r="C3030" s="35">
        <v>2023</v>
      </c>
      <c r="D3030" s="36">
        <v>45103.398101851853</v>
      </c>
      <c r="E3030" s="37" t="s">
        <v>2290</v>
      </c>
      <c r="F3030" s="37" t="s">
        <v>5894</v>
      </c>
      <c r="G3030" s="37" t="s">
        <v>4093</v>
      </c>
      <c r="H3030" s="35" t="s">
        <v>3419</v>
      </c>
      <c r="I3030" s="35" t="s">
        <v>3416</v>
      </c>
      <c r="J3030" s="38">
        <v>0.1189922480620155</v>
      </c>
      <c r="K3030" s="35">
        <v>1</v>
      </c>
      <c r="L3030" s="38">
        <f t="shared" si="47"/>
        <v>0.1189922480620155</v>
      </c>
      <c r="M3030" s="35" t="s">
        <v>11</v>
      </c>
      <c r="N3030" s="38"/>
      <c r="O3030" s="35" t="s">
        <v>12</v>
      </c>
    </row>
    <row r="3031" spans="1:15" x14ac:dyDescent="0.25">
      <c r="A3031" s="35">
        <v>1117791151</v>
      </c>
      <c r="B3031" s="35" t="s">
        <v>3412</v>
      </c>
      <c r="C3031" s="35">
        <v>2023</v>
      </c>
      <c r="D3031" s="36">
        <v>45103.398101851853</v>
      </c>
      <c r="E3031" s="37" t="s">
        <v>2290</v>
      </c>
      <c r="F3031" s="37" t="s">
        <v>5895</v>
      </c>
      <c r="G3031" s="37" t="s">
        <v>4093</v>
      </c>
      <c r="H3031" s="35" t="s">
        <v>3419</v>
      </c>
      <c r="I3031" s="35" t="s">
        <v>3416</v>
      </c>
      <c r="J3031" s="38">
        <v>0.1189922480620155</v>
      </c>
      <c r="K3031" s="35">
        <v>1</v>
      </c>
      <c r="L3031" s="38">
        <f t="shared" si="47"/>
        <v>0.1189922480620155</v>
      </c>
      <c r="M3031" s="35" t="s">
        <v>11</v>
      </c>
      <c r="N3031" s="38"/>
      <c r="O3031" s="35" t="s">
        <v>12</v>
      </c>
    </row>
    <row r="3032" spans="1:15" x14ac:dyDescent="0.25">
      <c r="A3032" s="35">
        <v>1117791151</v>
      </c>
      <c r="B3032" s="35" t="s">
        <v>3412</v>
      </c>
      <c r="C3032" s="35">
        <v>2023</v>
      </c>
      <c r="D3032" s="36">
        <v>45103.398101851853</v>
      </c>
      <c r="E3032" s="37" t="s">
        <v>2290</v>
      </c>
      <c r="F3032" s="37" t="s">
        <v>5896</v>
      </c>
      <c r="G3032" s="37" t="s">
        <v>4093</v>
      </c>
      <c r="H3032" s="35" t="s">
        <v>3419</v>
      </c>
      <c r="I3032" s="35" t="s">
        <v>3416</v>
      </c>
      <c r="J3032" s="38">
        <v>0.1189922480620155</v>
      </c>
      <c r="K3032" s="35">
        <v>1</v>
      </c>
      <c r="L3032" s="38">
        <f t="shared" si="47"/>
        <v>0.1189922480620155</v>
      </c>
      <c r="M3032" s="35" t="s">
        <v>11</v>
      </c>
      <c r="N3032" s="38"/>
      <c r="O3032" s="35" t="s">
        <v>12</v>
      </c>
    </row>
    <row r="3033" spans="1:15" x14ac:dyDescent="0.25">
      <c r="A3033" s="35">
        <v>1117791151</v>
      </c>
      <c r="B3033" s="35" t="s">
        <v>3412</v>
      </c>
      <c r="C3033" s="35">
        <v>2023</v>
      </c>
      <c r="D3033" s="36">
        <v>45103.398101851853</v>
      </c>
      <c r="E3033" s="37" t="s">
        <v>2290</v>
      </c>
      <c r="F3033" s="37" t="s">
        <v>5897</v>
      </c>
      <c r="G3033" s="37" t="s">
        <v>4093</v>
      </c>
      <c r="H3033" s="35" t="s">
        <v>3419</v>
      </c>
      <c r="I3033" s="35" t="s">
        <v>3416</v>
      </c>
      <c r="J3033" s="38">
        <v>0.1189922480620155</v>
      </c>
      <c r="K3033" s="35">
        <v>1</v>
      </c>
      <c r="L3033" s="38">
        <f t="shared" si="47"/>
        <v>0.1189922480620155</v>
      </c>
      <c r="M3033" s="35" t="s">
        <v>11</v>
      </c>
      <c r="N3033" s="38"/>
      <c r="O3033" s="35" t="s">
        <v>12</v>
      </c>
    </row>
    <row r="3034" spans="1:15" x14ac:dyDescent="0.25">
      <c r="A3034" s="35">
        <v>1117791151</v>
      </c>
      <c r="B3034" s="35" t="s">
        <v>3412</v>
      </c>
      <c r="C3034" s="35">
        <v>2023</v>
      </c>
      <c r="D3034" s="36">
        <v>45103.398101851853</v>
      </c>
      <c r="E3034" s="37" t="s">
        <v>2290</v>
      </c>
      <c r="F3034" s="37" t="s">
        <v>5898</v>
      </c>
      <c r="G3034" s="37" t="s">
        <v>4093</v>
      </c>
      <c r="H3034" s="35" t="s">
        <v>3419</v>
      </c>
      <c r="I3034" s="35" t="s">
        <v>3416</v>
      </c>
      <c r="J3034" s="38">
        <v>0.29748062015503868</v>
      </c>
      <c r="K3034" s="35">
        <v>1</v>
      </c>
      <c r="L3034" s="38">
        <f t="shared" si="47"/>
        <v>0.29748062015503868</v>
      </c>
      <c r="M3034" s="35" t="s">
        <v>11</v>
      </c>
      <c r="N3034" s="38"/>
      <c r="O3034" s="35" t="s">
        <v>12</v>
      </c>
    </row>
    <row r="3035" spans="1:15" x14ac:dyDescent="0.25">
      <c r="A3035" s="35">
        <v>1117791151</v>
      </c>
      <c r="B3035" s="35" t="s">
        <v>3412</v>
      </c>
      <c r="C3035" s="35">
        <v>2023</v>
      </c>
      <c r="D3035" s="36">
        <v>45103.398101851853</v>
      </c>
      <c r="E3035" s="37" t="s">
        <v>2290</v>
      </c>
      <c r="F3035" s="37" t="s">
        <v>5899</v>
      </c>
      <c r="G3035" s="37" t="s">
        <v>4093</v>
      </c>
      <c r="H3035" s="35" t="s">
        <v>3419</v>
      </c>
      <c r="I3035" s="35" t="s">
        <v>3416</v>
      </c>
      <c r="J3035" s="38">
        <v>0.41647286821705432</v>
      </c>
      <c r="K3035" s="35">
        <v>1</v>
      </c>
      <c r="L3035" s="38">
        <f t="shared" si="47"/>
        <v>0.41647286821705432</v>
      </c>
      <c r="M3035" s="35" t="s">
        <v>11</v>
      </c>
      <c r="N3035" s="38"/>
      <c r="O3035" s="35" t="s">
        <v>12</v>
      </c>
    </row>
    <row r="3036" spans="1:15" x14ac:dyDescent="0.25">
      <c r="A3036" s="35">
        <v>1117791151</v>
      </c>
      <c r="B3036" s="35" t="s">
        <v>3412</v>
      </c>
      <c r="C3036" s="35">
        <v>2023</v>
      </c>
      <c r="D3036" s="36">
        <v>45103.398101851853</v>
      </c>
      <c r="E3036" s="37" t="s">
        <v>2290</v>
      </c>
      <c r="F3036" s="37" t="s">
        <v>5900</v>
      </c>
      <c r="G3036" s="37" t="s">
        <v>4093</v>
      </c>
      <c r="H3036" s="35" t="s">
        <v>3419</v>
      </c>
      <c r="I3036" s="35" t="s">
        <v>3416</v>
      </c>
      <c r="J3036" s="38">
        <v>0.47596899224806211</v>
      </c>
      <c r="K3036" s="35">
        <v>1</v>
      </c>
      <c r="L3036" s="38">
        <f t="shared" si="47"/>
        <v>0.47596899224806211</v>
      </c>
      <c r="M3036" s="35" t="s">
        <v>11</v>
      </c>
      <c r="N3036" s="38"/>
      <c r="O3036" s="35" t="s">
        <v>12</v>
      </c>
    </row>
    <row r="3037" spans="1:15" x14ac:dyDescent="0.25">
      <c r="A3037" s="35">
        <v>1117791151</v>
      </c>
      <c r="B3037" s="35" t="s">
        <v>3412</v>
      </c>
      <c r="C3037" s="35">
        <v>2023</v>
      </c>
      <c r="D3037" s="36">
        <v>45103.398101851853</v>
      </c>
      <c r="E3037" s="37" t="s">
        <v>2290</v>
      </c>
      <c r="F3037" s="37" t="s">
        <v>5901</v>
      </c>
      <c r="G3037" s="37" t="s">
        <v>4093</v>
      </c>
      <c r="H3037" s="35" t="s">
        <v>3419</v>
      </c>
      <c r="I3037" s="35" t="s">
        <v>3416</v>
      </c>
      <c r="J3037" s="38">
        <v>0.47596899224806211</v>
      </c>
      <c r="K3037" s="35">
        <v>1</v>
      </c>
      <c r="L3037" s="38">
        <f t="shared" si="47"/>
        <v>0.47596899224806211</v>
      </c>
      <c r="M3037" s="35" t="s">
        <v>11</v>
      </c>
      <c r="N3037" s="38"/>
      <c r="O3037" s="35" t="s">
        <v>12</v>
      </c>
    </row>
    <row r="3038" spans="1:15" x14ac:dyDescent="0.25">
      <c r="A3038" s="35">
        <v>1117791151</v>
      </c>
      <c r="B3038" s="35" t="s">
        <v>3412</v>
      </c>
      <c r="C3038" s="35">
        <v>2023</v>
      </c>
      <c r="D3038" s="36">
        <v>45103.398101851853</v>
      </c>
      <c r="E3038" s="37" t="s">
        <v>2290</v>
      </c>
      <c r="F3038" s="37" t="s">
        <v>5902</v>
      </c>
      <c r="G3038" s="37" t="s">
        <v>4093</v>
      </c>
      <c r="H3038" s="35" t="s">
        <v>3419</v>
      </c>
      <c r="I3038" s="35" t="s">
        <v>3416</v>
      </c>
      <c r="J3038" s="38">
        <v>0.47596899224806211</v>
      </c>
      <c r="K3038" s="35">
        <v>1</v>
      </c>
      <c r="L3038" s="38">
        <f t="shared" si="47"/>
        <v>0.47596899224806211</v>
      </c>
      <c r="M3038" s="35" t="s">
        <v>11</v>
      </c>
      <c r="N3038" s="38"/>
      <c r="O3038" s="35" t="s">
        <v>12</v>
      </c>
    </row>
    <row r="3039" spans="1:15" x14ac:dyDescent="0.25">
      <c r="A3039" s="35">
        <v>1117791151</v>
      </c>
      <c r="B3039" s="35" t="s">
        <v>3412</v>
      </c>
      <c r="C3039" s="35">
        <v>2023</v>
      </c>
      <c r="D3039" s="36">
        <v>45103.398101851853</v>
      </c>
      <c r="E3039" s="37" t="s">
        <v>2290</v>
      </c>
      <c r="F3039" s="37" t="s">
        <v>5903</v>
      </c>
      <c r="G3039" s="37" t="s">
        <v>4093</v>
      </c>
      <c r="H3039" s="35" t="s">
        <v>3419</v>
      </c>
      <c r="I3039" s="35" t="s">
        <v>3416</v>
      </c>
      <c r="J3039" s="38">
        <v>0.59496124031007747</v>
      </c>
      <c r="K3039" s="35">
        <v>1</v>
      </c>
      <c r="L3039" s="38">
        <f t="shared" si="47"/>
        <v>0.59496124031007747</v>
      </c>
      <c r="M3039" s="35" t="s">
        <v>11</v>
      </c>
      <c r="N3039" s="38"/>
      <c r="O3039" s="35" t="s">
        <v>12</v>
      </c>
    </row>
    <row r="3040" spans="1:15" x14ac:dyDescent="0.25">
      <c r="A3040" s="35">
        <v>1117791151</v>
      </c>
      <c r="B3040" s="35" t="s">
        <v>3412</v>
      </c>
      <c r="C3040" s="35">
        <v>2023</v>
      </c>
      <c r="D3040" s="36">
        <v>45103.398101851853</v>
      </c>
      <c r="E3040" s="37" t="s">
        <v>2290</v>
      </c>
      <c r="F3040" s="37" t="s">
        <v>5904</v>
      </c>
      <c r="G3040" s="37" t="s">
        <v>5905</v>
      </c>
      <c r="H3040" s="35" t="s">
        <v>3419</v>
      </c>
      <c r="I3040" s="35" t="s">
        <v>3416</v>
      </c>
      <c r="J3040" s="38">
        <v>5.9496124031007763E-2</v>
      </c>
      <c r="K3040" s="35">
        <v>1</v>
      </c>
      <c r="L3040" s="38">
        <f t="shared" si="47"/>
        <v>5.9496124031007763E-2</v>
      </c>
      <c r="M3040" s="35" t="s">
        <v>11</v>
      </c>
      <c r="N3040" s="38"/>
      <c r="O3040" s="35" t="s">
        <v>2314</v>
      </c>
    </row>
    <row r="3041" spans="1:15" x14ac:dyDescent="0.25">
      <c r="A3041" s="35">
        <v>1117791151</v>
      </c>
      <c r="B3041" s="35" t="s">
        <v>3412</v>
      </c>
      <c r="C3041" s="35">
        <v>2023</v>
      </c>
      <c r="D3041" s="36">
        <v>45103.398101851853</v>
      </c>
      <c r="E3041" s="37" t="s">
        <v>2290</v>
      </c>
      <c r="F3041" s="37" t="s">
        <v>5906</v>
      </c>
      <c r="G3041" s="37" t="s">
        <v>5905</v>
      </c>
      <c r="H3041" s="35" t="s">
        <v>3419</v>
      </c>
      <c r="I3041" s="35" t="s">
        <v>3416</v>
      </c>
      <c r="J3041" s="38">
        <v>5.9496124031007763E-2</v>
      </c>
      <c r="K3041" s="35">
        <v>1</v>
      </c>
      <c r="L3041" s="38">
        <f t="shared" si="47"/>
        <v>5.9496124031007763E-2</v>
      </c>
      <c r="M3041" s="35" t="s">
        <v>11</v>
      </c>
      <c r="N3041" s="38"/>
      <c r="O3041" s="35" t="s">
        <v>12</v>
      </c>
    </row>
    <row r="3042" spans="1:15" ht="30" x14ac:dyDescent="0.25">
      <c r="A3042" s="35">
        <v>1117728794</v>
      </c>
      <c r="B3042" s="35" t="s">
        <v>3412</v>
      </c>
      <c r="C3042" s="35">
        <v>2023</v>
      </c>
      <c r="D3042" s="36">
        <v>45102.734432870369</v>
      </c>
      <c r="E3042" s="37" t="s">
        <v>181</v>
      </c>
      <c r="F3042" s="37" t="s">
        <v>5907</v>
      </c>
      <c r="G3042" s="37" t="s">
        <v>3520</v>
      </c>
      <c r="H3042" s="35" t="s">
        <v>3419</v>
      </c>
      <c r="I3042" s="35" t="s">
        <v>3416</v>
      </c>
      <c r="J3042" s="38">
        <v>2.3996787148594381</v>
      </c>
      <c r="K3042" s="35">
        <v>1</v>
      </c>
      <c r="L3042" s="38">
        <f t="shared" si="47"/>
        <v>2.3996787148594381</v>
      </c>
      <c r="M3042" s="35" t="s">
        <v>11</v>
      </c>
      <c r="N3042" s="38"/>
      <c r="O3042" s="35" t="s">
        <v>12</v>
      </c>
    </row>
    <row r="3043" spans="1:15" ht="30" x14ac:dyDescent="0.25">
      <c r="A3043" s="35">
        <v>1117728794</v>
      </c>
      <c r="B3043" s="35" t="s">
        <v>3412</v>
      </c>
      <c r="C3043" s="35">
        <v>2023</v>
      </c>
      <c r="D3043" s="36">
        <v>45102.734432870369</v>
      </c>
      <c r="E3043" s="37" t="s">
        <v>181</v>
      </c>
      <c r="F3043" s="37" t="s">
        <v>5908</v>
      </c>
      <c r="G3043" s="37" t="s">
        <v>3520</v>
      </c>
      <c r="H3043" s="35" t="s">
        <v>3419</v>
      </c>
      <c r="I3043" s="35" t="s">
        <v>3416</v>
      </c>
      <c r="J3043" s="38">
        <v>1.0390361445783129</v>
      </c>
      <c r="K3043" s="35">
        <v>1</v>
      </c>
      <c r="L3043" s="38">
        <f t="shared" si="47"/>
        <v>1.0390361445783129</v>
      </c>
      <c r="M3043" s="35" t="s">
        <v>11</v>
      </c>
      <c r="N3043" s="38"/>
      <c r="O3043" s="35" t="s">
        <v>12</v>
      </c>
    </row>
    <row r="3044" spans="1:15" ht="30" x14ac:dyDescent="0.25">
      <c r="A3044" s="35">
        <v>1117728794</v>
      </c>
      <c r="B3044" s="35" t="s">
        <v>3412</v>
      </c>
      <c r="C3044" s="35">
        <v>2023</v>
      </c>
      <c r="D3044" s="36">
        <v>45102.734432870369</v>
      </c>
      <c r="E3044" s="37" t="s">
        <v>181</v>
      </c>
      <c r="F3044" s="37" t="s">
        <v>5909</v>
      </c>
      <c r="G3044" s="37" t="s">
        <v>3520</v>
      </c>
      <c r="H3044" s="35" t="s">
        <v>3419</v>
      </c>
      <c r="I3044" s="35" t="s">
        <v>3416</v>
      </c>
      <c r="J3044" s="38">
        <v>0.58136546184738958</v>
      </c>
      <c r="K3044" s="35">
        <v>1</v>
      </c>
      <c r="L3044" s="38">
        <f t="shared" si="47"/>
        <v>0.58136546184738958</v>
      </c>
      <c r="M3044" s="35" t="s">
        <v>11</v>
      </c>
      <c r="N3044" s="38"/>
      <c r="O3044" s="35" t="s">
        <v>12</v>
      </c>
    </row>
    <row r="3045" spans="1:15" ht="30" x14ac:dyDescent="0.25">
      <c r="A3045" s="35">
        <v>1117728794</v>
      </c>
      <c r="B3045" s="35" t="s">
        <v>3412</v>
      </c>
      <c r="C3045" s="35">
        <v>2023</v>
      </c>
      <c r="D3045" s="36">
        <v>45102.734432870369</v>
      </c>
      <c r="E3045" s="37" t="s">
        <v>181</v>
      </c>
      <c r="F3045" s="37" t="s">
        <v>5910</v>
      </c>
      <c r="G3045" s="37" t="s">
        <v>3520</v>
      </c>
      <c r="H3045" s="35" t="s">
        <v>3419</v>
      </c>
      <c r="I3045" s="35" t="s">
        <v>3416</v>
      </c>
      <c r="J3045" s="38">
        <v>2.1399196787148589</v>
      </c>
      <c r="K3045" s="35">
        <v>1</v>
      </c>
      <c r="L3045" s="38">
        <f t="shared" si="47"/>
        <v>2.1399196787148589</v>
      </c>
      <c r="M3045" s="35" t="s">
        <v>11</v>
      </c>
      <c r="N3045" s="38"/>
      <c r="O3045" s="35" t="s">
        <v>12</v>
      </c>
    </row>
    <row r="3046" spans="1:15" ht="30" x14ac:dyDescent="0.25">
      <c r="A3046" s="35">
        <v>1117728792</v>
      </c>
      <c r="B3046" s="35" t="s">
        <v>3412</v>
      </c>
      <c r="C3046" s="35">
        <v>2023</v>
      </c>
      <c r="D3046" s="36">
        <v>45102.734432870369</v>
      </c>
      <c r="E3046" s="37" t="s">
        <v>3032</v>
      </c>
      <c r="F3046" s="37" t="s">
        <v>5911</v>
      </c>
      <c r="G3046" s="37" t="s">
        <v>3520</v>
      </c>
      <c r="H3046" s="35" t="s">
        <v>3419</v>
      </c>
      <c r="I3046" s="35" t="s">
        <v>3416</v>
      </c>
      <c r="J3046" s="38">
        <v>1.121052631578948</v>
      </c>
      <c r="K3046" s="35">
        <v>1</v>
      </c>
      <c r="L3046" s="38">
        <f t="shared" si="47"/>
        <v>1.121052631578948</v>
      </c>
      <c r="M3046" s="35" t="s">
        <v>11</v>
      </c>
      <c r="N3046" s="38"/>
      <c r="O3046" s="35" t="s">
        <v>12</v>
      </c>
    </row>
    <row r="3047" spans="1:15" ht="30" x14ac:dyDescent="0.25">
      <c r="A3047" s="35">
        <v>1117728792</v>
      </c>
      <c r="B3047" s="35" t="s">
        <v>3412</v>
      </c>
      <c r="C3047" s="35">
        <v>2023</v>
      </c>
      <c r="D3047" s="36">
        <v>45102.734432870369</v>
      </c>
      <c r="E3047" s="37" t="s">
        <v>3032</v>
      </c>
      <c r="F3047" s="37" t="s">
        <v>5912</v>
      </c>
      <c r="G3047" s="37" t="s">
        <v>3520</v>
      </c>
      <c r="H3047" s="35" t="s">
        <v>3419</v>
      </c>
      <c r="I3047" s="35" t="s">
        <v>3416</v>
      </c>
      <c r="J3047" s="38">
        <v>1.008947368421053</v>
      </c>
      <c r="K3047" s="35">
        <v>1</v>
      </c>
      <c r="L3047" s="38">
        <f t="shared" si="47"/>
        <v>1.008947368421053</v>
      </c>
      <c r="M3047" s="35" t="s">
        <v>11</v>
      </c>
      <c r="N3047" s="38"/>
      <c r="O3047" s="35" t="s">
        <v>12</v>
      </c>
    </row>
    <row r="3048" spans="1:15" ht="30" x14ac:dyDescent="0.25">
      <c r="A3048" s="35">
        <v>1117727666</v>
      </c>
      <c r="B3048" s="35" t="s">
        <v>3412</v>
      </c>
      <c r="C3048" s="35">
        <v>2023</v>
      </c>
      <c r="D3048" s="36">
        <v>45102.734432870369</v>
      </c>
      <c r="E3048" s="37" t="s">
        <v>3027</v>
      </c>
      <c r="F3048" s="37" t="s">
        <v>5913</v>
      </c>
      <c r="G3048" s="37" t="s">
        <v>3520</v>
      </c>
      <c r="H3048" s="35" t="s">
        <v>3419</v>
      </c>
      <c r="I3048" s="35" t="s">
        <v>3416</v>
      </c>
      <c r="J3048" s="38">
        <v>0.49593639575971732</v>
      </c>
      <c r="K3048" s="35">
        <v>1</v>
      </c>
      <c r="L3048" s="38">
        <f t="shared" si="47"/>
        <v>0.49593639575971732</v>
      </c>
      <c r="M3048" s="35" t="s">
        <v>11</v>
      </c>
      <c r="N3048" s="38"/>
      <c r="O3048" s="35" t="s">
        <v>12</v>
      </c>
    </row>
    <row r="3049" spans="1:15" ht="30" x14ac:dyDescent="0.25">
      <c r="A3049" s="35">
        <v>1117727666</v>
      </c>
      <c r="B3049" s="35" t="s">
        <v>3412</v>
      </c>
      <c r="C3049" s="35">
        <v>2023</v>
      </c>
      <c r="D3049" s="36">
        <v>45102.734432870369</v>
      </c>
      <c r="E3049" s="37" t="s">
        <v>3027</v>
      </c>
      <c r="F3049" s="37" t="s">
        <v>5914</v>
      </c>
      <c r="G3049" s="37" t="s">
        <v>3520</v>
      </c>
      <c r="H3049" s="35" t="s">
        <v>3419</v>
      </c>
      <c r="I3049" s="35" t="s">
        <v>3416</v>
      </c>
      <c r="J3049" s="38">
        <v>1.700353356890459</v>
      </c>
      <c r="K3049" s="35">
        <v>1</v>
      </c>
      <c r="L3049" s="38">
        <f t="shared" si="47"/>
        <v>1.700353356890459</v>
      </c>
      <c r="M3049" s="35" t="s">
        <v>11</v>
      </c>
      <c r="N3049" s="38"/>
      <c r="O3049" s="35" t="s">
        <v>12</v>
      </c>
    </row>
    <row r="3050" spans="1:15" ht="30" x14ac:dyDescent="0.25">
      <c r="A3050" s="35">
        <v>1117727666</v>
      </c>
      <c r="B3050" s="35" t="s">
        <v>3412</v>
      </c>
      <c r="C3050" s="35">
        <v>2023</v>
      </c>
      <c r="D3050" s="36">
        <v>45102.734432870369</v>
      </c>
      <c r="E3050" s="37" t="s">
        <v>3027</v>
      </c>
      <c r="F3050" s="37" t="s">
        <v>5915</v>
      </c>
      <c r="G3050" s="37" t="s">
        <v>3520</v>
      </c>
      <c r="H3050" s="35" t="s">
        <v>3419</v>
      </c>
      <c r="I3050" s="35" t="s">
        <v>3416</v>
      </c>
      <c r="J3050" s="38">
        <v>1.2752650176678451</v>
      </c>
      <c r="K3050" s="35">
        <v>1</v>
      </c>
      <c r="L3050" s="38">
        <f t="shared" si="47"/>
        <v>1.2752650176678451</v>
      </c>
      <c r="M3050" s="35" t="s">
        <v>11</v>
      </c>
      <c r="N3050" s="38"/>
      <c r="O3050" s="35" t="s">
        <v>12</v>
      </c>
    </row>
    <row r="3051" spans="1:15" ht="30" x14ac:dyDescent="0.25">
      <c r="A3051" s="35">
        <v>1117727666</v>
      </c>
      <c r="B3051" s="35" t="s">
        <v>3412</v>
      </c>
      <c r="C3051" s="35">
        <v>2023</v>
      </c>
      <c r="D3051" s="36">
        <v>45102.734432870369</v>
      </c>
      <c r="E3051" s="37" t="s">
        <v>3027</v>
      </c>
      <c r="F3051" s="37" t="s">
        <v>5916</v>
      </c>
      <c r="G3051" s="37" t="s">
        <v>3520</v>
      </c>
      <c r="H3051" s="35" t="s">
        <v>3419</v>
      </c>
      <c r="I3051" s="35" t="s">
        <v>3416</v>
      </c>
      <c r="J3051" s="38">
        <v>4.2508833922261478E-2</v>
      </c>
      <c r="K3051" s="35">
        <v>1</v>
      </c>
      <c r="L3051" s="38">
        <f t="shared" si="47"/>
        <v>4.2508833922261478E-2</v>
      </c>
      <c r="M3051" s="35" t="s">
        <v>11</v>
      </c>
      <c r="N3051" s="38"/>
      <c r="O3051" s="35" t="s">
        <v>12</v>
      </c>
    </row>
    <row r="3052" spans="1:15" ht="30" x14ac:dyDescent="0.25">
      <c r="A3052" s="35">
        <v>1117727666</v>
      </c>
      <c r="B3052" s="35" t="s">
        <v>3412</v>
      </c>
      <c r="C3052" s="35">
        <v>2023</v>
      </c>
      <c r="D3052" s="36">
        <v>45102.734432870369</v>
      </c>
      <c r="E3052" s="37" t="s">
        <v>3027</v>
      </c>
      <c r="F3052" s="37" t="s">
        <v>5754</v>
      </c>
      <c r="G3052" s="37" t="s">
        <v>3520</v>
      </c>
      <c r="H3052" s="35" t="s">
        <v>3419</v>
      </c>
      <c r="I3052" s="35" t="s">
        <v>3416</v>
      </c>
      <c r="J3052" s="38">
        <v>0.4250883392226148</v>
      </c>
      <c r="K3052" s="35">
        <v>1</v>
      </c>
      <c r="L3052" s="38">
        <f t="shared" si="47"/>
        <v>0.4250883392226148</v>
      </c>
      <c r="M3052" s="35" t="s">
        <v>11</v>
      </c>
      <c r="N3052" s="38"/>
      <c r="O3052" s="35" t="s">
        <v>12</v>
      </c>
    </row>
    <row r="3053" spans="1:15" ht="30" x14ac:dyDescent="0.25">
      <c r="A3053" s="35">
        <v>1117727666</v>
      </c>
      <c r="B3053" s="35" t="s">
        <v>3412</v>
      </c>
      <c r="C3053" s="35">
        <v>2023</v>
      </c>
      <c r="D3053" s="36">
        <v>45102.734432870369</v>
      </c>
      <c r="E3053" s="37" t="s">
        <v>3027</v>
      </c>
      <c r="F3053" s="37" t="s">
        <v>5917</v>
      </c>
      <c r="G3053" s="37" t="s">
        <v>3520</v>
      </c>
      <c r="H3053" s="35" t="s">
        <v>3419</v>
      </c>
      <c r="I3053" s="35" t="s">
        <v>3416</v>
      </c>
      <c r="J3053" s="38">
        <v>7.0848056537102466E-2</v>
      </c>
      <c r="K3053" s="35">
        <v>1</v>
      </c>
      <c r="L3053" s="38">
        <f t="shared" si="47"/>
        <v>7.0848056537102466E-2</v>
      </c>
      <c r="M3053" s="35" t="s">
        <v>11</v>
      </c>
      <c r="N3053" s="38"/>
      <c r="O3053" s="35" t="s">
        <v>12</v>
      </c>
    </row>
    <row r="3054" spans="1:15" ht="30" x14ac:dyDescent="0.25">
      <c r="A3054" s="35">
        <v>1117727435</v>
      </c>
      <c r="B3054" s="35" t="s">
        <v>3412</v>
      </c>
      <c r="C3054" s="35">
        <v>2023</v>
      </c>
      <c r="D3054" s="36">
        <v>45102.734432870369</v>
      </c>
      <c r="E3054" s="37" t="s">
        <v>3034</v>
      </c>
      <c r="F3054" s="37" t="s">
        <v>5914</v>
      </c>
      <c r="G3054" s="37" t="s">
        <v>3520</v>
      </c>
      <c r="H3054" s="35" t="s">
        <v>3419</v>
      </c>
      <c r="I3054" s="35" t="s">
        <v>3416</v>
      </c>
      <c r="J3054" s="38">
        <v>1.369285714285714</v>
      </c>
      <c r="K3054" s="35">
        <v>1</v>
      </c>
      <c r="L3054" s="38">
        <f t="shared" si="47"/>
        <v>1.369285714285714</v>
      </c>
      <c r="M3054" s="35" t="s">
        <v>11</v>
      </c>
      <c r="N3054" s="38"/>
      <c r="O3054" s="35" t="s">
        <v>12</v>
      </c>
    </row>
    <row r="3055" spans="1:15" ht="30" x14ac:dyDescent="0.25">
      <c r="A3055" s="35">
        <v>1117727435</v>
      </c>
      <c r="B3055" s="35" t="s">
        <v>3412</v>
      </c>
      <c r="C3055" s="35">
        <v>2023</v>
      </c>
      <c r="D3055" s="36">
        <v>45102.734432870369</v>
      </c>
      <c r="E3055" s="37" t="s">
        <v>3034</v>
      </c>
      <c r="F3055" s="37" t="s">
        <v>5918</v>
      </c>
      <c r="G3055" s="37" t="s">
        <v>3520</v>
      </c>
      <c r="H3055" s="35" t="s">
        <v>3419</v>
      </c>
      <c r="I3055" s="35" t="s">
        <v>3416</v>
      </c>
      <c r="J3055" s="38">
        <v>0.6224025974025974</v>
      </c>
      <c r="K3055" s="35">
        <v>1</v>
      </c>
      <c r="L3055" s="38">
        <f t="shared" si="47"/>
        <v>0.6224025974025974</v>
      </c>
      <c r="M3055" s="35" t="s">
        <v>11</v>
      </c>
      <c r="N3055" s="38"/>
      <c r="O3055" s="35" t="s">
        <v>12</v>
      </c>
    </row>
    <row r="3056" spans="1:15" ht="30" x14ac:dyDescent="0.25">
      <c r="A3056" s="35">
        <v>1117727435</v>
      </c>
      <c r="B3056" s="35" t="s">
        <v>3412</v>
      </c>
      <c r="C3056" s="35">
        <v>2023</v>
      </c>
      <c r="D3056" s="36">
        <v>45102.734432870369</v>
      </c>
      <c r="E3056" s="37" t="s">
        <v>3034</v>
      </c>
      <c r="F3056" s="37" t="s">
        <v>5919</v>
      </c>
      <c r="G3056" s="37" t="s">
        <v>3520</v>
      </c>
      <c r="H3056" s="35" t="s">
        <v>3419</v>
      </c>
      <c r="I3056" s="35" t="s">
        <v>3416</v>
      </c>
      <c r="J3056" s="38">
        <v>0.55324675324675332</v>
      </c>
      <c r="K3056" s="35">
        <v>1</v>
      </c>
      <c r="L3056" s="38">
        <f t="shared" si="47"/>
        <v>0.55324675324675332</v>
      </c>
      <c r="M3056" s="35" t="s">
        <v>11</v>
      </c>
      <c r="N3056" s="38"/>
      <c r="O3056" s="35" t="s">
        <v>12</v>
      </c>
    </row>
    <row r="3057" spans="1:15" ht="30" x14ac:dyDescent="0.25">
      <c r="A3057" s="35">
        <v>1117727435</v>
      </c>
      <c r="B3057" s="35" t="s">
        <v>3412</v>
      </c>
      <c r="C3057" s="35">
        <v>2023</v>
      </c>
      <c r="D3057" s="36">
        <v>45102.734432870369</v>
      </c>
      <c r="E3057" s="37" t="s">
        <v>3034</v>
      </c>
      <c r="F3057" s="37" t="s">
        <v>5920</v>
      </c>
      <c r="G3057" s="37" t="s">
        <v>3520</v>
      </c>
      <c r="H3057" s="35" t="s">
        <v>3419</v>
      </c>
      <c r="I3057" s="35" t="s">
        <v>3416</v>
      </c>
      <c r="J3057" s="38">
        <v>1.369285714285714</v>
      </c>
      <c r="K3057" s="35">
        <v>1</v>
      </c>
      <c r="L3057" s="38">
        <f t="shared" si="47"/>
        <v>1.369285714285714</v>
      </c>
      <c r="M3057" s="35" t="s">
        <v>11</v>
      </c>
      <c r="N3057" s="38"/>
      <c r="O3057" s="35" t="s">
        <v>12</v>
      </c>
    </row>
    <row r="3058" spans="1:15" ht="30" x14ac:dyDescent="0.25">
      <c r="A3058" s="35">
        <v>1117727435</v>
      </c>
      <c r="B3058" s="35" t="s">
        <v>3412</v>
      </c>
      <c r="C3058" s="35">
        <v>2023</v>
      </c>
      <c r="D3058" s="36">
        <v>45102.734432870369</v>
      </c>
      <c r="E3058" s="37" t="s">
        <v>3034</v>
      </c>
      <c r="F3058" s="37" t="s">
        <v>5921</v>
      </c>
      <c r="G3058" s="37" t="s">
        <v>3520</v>
      </c>
      <c r="H3058" s="35" t="s">
        <v>3419</v>
      </c>
      <c r="I3058" s="35" t="s">
        <v>3416</v>
      </c>
      <c r="J3058" s="38">
        <v>0.34577922077922069</v>
      </c>
      <c r="K3058" s="35">
        <v>1</v>
      </c>
      <c r="L3058" s="38">
        <f t="shared" si="47"/>
        <v>0.34577922077922069</v>
      </c>
      <c r="M3058" s="35" t="s">
        <v>11</v>
      </c>
      <c r="N3058" s="38"/>
      <c r="O3058" s="35" t="s">
        <v>12</v>
      </c>
    </row>
    <row r="3059" spans="1:15" ht="30" x14ac:dyDescent="0.25">
      <c r="A3059" s="35">
        <v>1117726524</v>
      </c>
      <c r="B3059" s="35" t="s">
        <v>3412</v>
      </c>
      <c r="C3059" s="35">
        <v>2023</v>
      </c>
      <c r="D3059" s="36">
        <v>45102.734432870369</v>
      </c>
      <c r="E3059" s="37" t="s">
        <v>3036</v>
      </c>
      <c r="F3059" s="37" t="s">
        <v>5922</v>
      </c>
      <c r="G3059" s="37" t="s">
        <v>3520</v>
      </c>
      <c r="H3059" s="35" t="s">
        <v>3419</v>
      </c>
      <c r="I3059" s="35" t="s">
        <v>3416</v>
      </c>
      <c r="J3059" s="38">
        <v>0.51079812206572772</v>
      </c>
      <c r="K3059" s="35">
        <v>1</v>
      </c>
      <c r="L3059" s="38">
        <f t="shared" si="47"/>
        <v>0.51079812206572772</v>
      </c>
      <c r="M3059" s="35" t="s">
        <v>11</v>
      </c>
      <c r="N3059" s="38"/>
      <c r="O3059" s="35" t="s">
        <v>12</v>
      </c>
    </row>
    <row r="3060" spans="1:15" ht="30" x14ac:dyDescent="0.25">
      <c r="A3060" s="35">
        <v>1117726524</v>
      </c>
      <c r="B3060" s="35" t="s">
        <v>3412</v>
      </c>
      <c r="C3060" s="35">
        <v>2023</v>
      </c>
      <c r="D3060" s="36">
        <v>45102.734432870369</v>
      </c>
      <c r="E3060" s="37" t="s">
        <v>3036</v>
      </c>
      <c r="F3060" s="37" t="s">
        <v>5923</v>
      </c>
      <c r="G3060" s="37" t="s">
        <v>3520</v>
      </c>
      <c r="H3060" s="35" t="s">
        <v>3419</v>
      </c>
      <c r="I3060" s="35" t="s">
        <v>3416</v>
      </c>
      <c r="J3060" s="38">
        <v>0.48525821596244129</v>
      </c>
      <c r="K3060" s="35">
        <v>1</v>
      </c>
      <c r="L3060" s="38">
        <f t="shared" si="47"/>
        <v>0.48525821596244129</v>
      </c>
      <c r="M3060" s="35" t="s">
        <v>11</v>
      </c>
      <c r="N3060" s="38"/>
      <c r="O3060" s="35" t="s">
        <v>12</v>
      </c>
    </row>
    <row r="3061" spans="1:15" ht="30" x14ac:dyDescent="0.25">
      <c r="A3061" s="35">
        <v>1117726524</v>
      </c>
      <c r="B3061" s="35" t="s">
        <v>3412</v>
      </c>
      <c r="C3061" s="35">
        <v>2023</v>
      </c>
      <c r="D3061" s="36">
        <v>45102.734432870369</v>
      </c>
      <c r="E3061" s="37" t="s">
        <v>3036</v>
      </c>
      <c r="F3061" s="37" t="s">
        <v>5924</v>
      </c>
      <c r="G3061" s="37" t="s">
        <v>3520</v>
      </c>
      <c r="H3061" s="35" t="s">
        <v>3419</v>
      </c>
      <c r="I3061" s="35" t="s">
        <v>3416</v>
      </c>
      <c r="J3061" s="38">
        <v>0.10215962441314549</v>
      </c>
      <c r="K3061" s="35">
        <v>1</v>
      </c>
      <c r="L3061" s="38">
        <f t="shared" si="47"/>
        <v>0.10215962441314549</v>
      </c>
      <c r="M3061" s="35" t="s">
        <v>11</v>
      </c>
      <c r="N3061" s="38"/>
      <c r="O3061" s="35" t="s">
        <v>12</v>
      </c>
    </row>
    <row r="3062" spans="1:15" ht="30" x14ac:dyDescent="0.25">
      <c r="A3062" s="35">
        <v>1117726524</v>
      </c>
      <c r="B3062" s="35" t="s">
        <v>3412</v>
      </c>
      <c r="C3062" s="35">
        <v>2023</v>
      </c>
      <c r="D3062" s="36">
        <v>45102.734432870369</v>
      </c>
      <c r="E3062" s="37" t="s">
        <v>3036</v>
      </c>
      <c r="F3062" s="37" t="s">
        <v>5925</v>
      </c>
      <c r="G3062" s="37" t="s">
        <v>3520</v>
      </c>
      <c r="H3062" s="35" t="s">
        <v>3419</v>
      </c>
      <c r="I3062" s="35" t="s">
        <v>3416</v>
      </c>
      <c r="J3062" s="38">
        <v>2.5539906103286391E-2</v>
      </c>
      <c r="K3062" s="35">
        <v>1</v>
      </c>
      <c r="L3062" s="38">
        <f t="shared" si="47"/>
        <v>2.5539906103286391E-2</v>
      </c>
      <c r="M3062" s="35" t="s">
        <v>11</v>
      </c>
      <c r="N3062" s="38"/>
      <c r="O3062" s="35" t="s">
        <v>12</v>
      </c>
    </row>
    <row r="3063" spans="1:15" ht="30" x14ac:dyDescent="0.25">
      <c r="A3063" s="35">
        <v>1117726524</v>
      </c>
      <c r="B3063" s="35" t="s">
        <v>3412</v>
      </c>
      <c r="C3063" s="35">
        <v>2023</v>
      </c>
      <c r="D3063" s="36">
        <v>45102.734432870369</v>
      </c>
      <c r="E3063" s="37" t="s">
        <v>3036</v>
      </c>
      <c r="F3063" s="37" t="s">
        <v>5926</v>
      </c>
      <c r="G3063" s="37" t="s">
        <v>3520</v>
      </c>
      <c r="H3063" s="35" t="s">
        <v>3419</v>
      </c>
      <c r="I3063" s="35" t="s">
        <v>3416</v>
      </c>
      <c r="J3063" s="38">
        <v>1.2131455399061031</v>
      </c>
      <c r="K3063" s="35">
        <v>1</v>
      </c>
      <c r="L3063" s="38">
        <f t="shared" si="47"/>
        <v>1.2131455399061031</v>
      </c>
      <c r="M3063" s="35" t="s">
        <v>11</v>
      </c>
      <c r="N3063" s="38"/>
      <c r="O3063" s="35" t="s">
        <v>12</v>
      </c>
    </row>
    <row r="3064" spans="1:15" ht="30" x14ac:dyDescent="0.25">
      <c r="A3064" s="35">
        <v>1117726524</v>
      </c>
      <c r="B3064" s="35" t="s">
        <v>3412</v>
      </c>
      <c r="C3064" s="35">
        <v>2023</v>
      </c>
      <c r="D3064" s="36">
        <v>45102.734432870369</v>
      </c>
      <c r="E3064" s="37" t="s">
        <v>3036</v>
      </c>
      <c r="F3064" s="37" t="s">
        <v>5927</v>
      </c>
      <c r="G3064" s="37" t="s">
        <v>3520</v>
      </c>
      <c r="H3064" s="35" t="s">
        <v>3419</v>
      </c>
      <c r="I3064" s="35" t="s">
        <v>3416</v>
      </c>
      <c r="J3064" s="38">
        <v>0.57464788732394367</v>
      </c>
      <c r="K3064" s="35">
        <v>1</v>
      </c>
      <c r="L3064" s="38">
        <f t="shared" si="47"/>
        <v>0.57464788732394367</v>
      </c>
      <c r="M3064" s="35" t="s">
        <v>11</v>
      </c>
      <c r="N3064" s="38"/>
      <c r="O3064" s="35" t="s">
        <v>12</v>
      </c>
    </row>
    <row r="3065" spans="1:15" ht="30" x14ac:dyDescent="0.25">
      <c r="A3065" s="35">
        <v>1117726524</v>
      </c>
      <c r="B3065" s="35" t="s">
        <v>3412</v>
      </c>
      <c r="C3065" s="35">
        <v>2023</v>
      </c>
      <c r="D3065" s="36">
        <v>45102.734432870369</v>
      </c>
      <c r="E3065" s="37" t="s">
        <v>3036</v>
      </c>
      <c r="F3065" s="37" t="s">
        <v>5928</v>
      </c>
      <c r="G3065" s="37" t="s">
        <v>3520</v>
      </c>
      <c r="H3065" s="35" t="s">
        <v>3419</v>
      </c>
      <c r="I3065" s="35" t="s">
        <v>3416</v>
      </c>
      <c r="J3065" s="38">
        <v>0.43417840375586858</v>
      </c>
      <c r="K3065" s="35">
        <v>1</v>
      </c>
      <c r="L3065" s="38">
        <f t="shared" si="47"/>
        <v>0.43417840375586858</v>
      </c>
      <c r="M3065" s="35" t="s">
        <v>11</v>
      </c>
      <c r="N3065" s="38"/>
      <c r="O3065" s="35" t="s">
        <v>12</v>
      </c>
    </row>
    <row r="3066" spans="1:15" ht="30" x14ac:dyDescent="0.25">
      <c r="A3066" s="35">
        <v>1117726524</v>
      </c>
      <c r="B3066" s="35" t="s">
        <v>3412</v>
      </c>
      <c r="C3066" s="35">
        <v>2023</v>
      </c>
      <c r="D3066" s="36">
        <v>45102.734432870369</v>
      </c>
      <c r="E3066" s="37" t="s">
        <v>3036</v>
      </c>
      <c r="F3066" s="37" t="s">
        <v>5929</v>
      </c>
      <c r="G3066" s="37" t="s">
        <v>3520</v>
      </c>
      <c r="H3066" s="35" t="s">
        <v>3419</v>
      </c>
      <c r="I3066" s="35" t="s">
        <v>3416</v>
      </c>
      <c r="J3066" s="38">
        <v>0.17877934272300469</v>
      </c>
      <c r="K3066" s="35">
        <v>1</v>
      </c>
      <c r="L3066" s="38">
        <f t="shared" si="47"/>
        <v>0.17877934272300469</v>
      </c>
      <c r="M3066" s="35" t="s">
        <v>11</v>
      </c>
      <c r="N3066" s="38"/>
      <c r="O3066" s="35" t="s">
        <v>12</v>
      </c>
    </row>
    <row r="3067" spans="1:15" ht="30" x14ac:dyDescent="0.25">
      <c r="A3067" s="35">
        <v>1117726524</v>
      </c>
      <c r="B3067" s="35" t="s">
        <v>3412</v>
      </c>
      <c r="C3067" s="35">
        <v>2023</v>
      </c>
      <c r="D3067" s="36">
        <v>45102.734432870369</v>
      </c>
      <c r="E3067" s="37" t="s">
        <v>3036</v>
      </c>
      <c r="F3067" s="37" t="s">
        <v>5173</v>
      </c>
      <c r="G3067" s="37" t="s">
        <v>3520</v>
      </c>
      <c r="H3067" s="35" t="s">
        <v>3419</v>
      </c>
      <c r="I3067" s="35" t="s">
        <v>3416</v>
      </c>
      <c r="J3067" s="38">
        <v>0.15323943661971831</v>
      </c>
      <c r="K3067" s="35">
        <v>1</v>
      </c>
      <c r="L3067" s="38">
        <f t="shared" si="47"/>
        <v>0.15323943661971831</v>
      </c>
      <c r="M3067" s="35" t="s">
        <v>11</v>
      </c>
      <c r="N3067" s="38"/>
      <c r="O3067" s="35" t="s">
        <v>12</v>
      </c>
    </row>
    <row r="3068" spans="1:15" ht="30" x14ac:dyDescent="0.25">
      <c r="A3068" s="35">
        <v>1117726524</v>
      </c>
      <c r="B3068" s="35" t="s">
        <v>3412</v>
      </c>
      <c r="C3068" s="35">
        <v>2023</v>
      </c>
      <c r="D3068" s="36">
        <v>45102.734432870369</v>
      </c>
      <c r="E3068" s="37" t="s">
        <v>3036</v>
      </c>
      <c r="F3068" s="37" t="s">
        <v>5918</v>
      </c>
      <c r="G3068" s="37" t="s">
        <v>3520</v>
      </c>
      <c r="H3068" s="35" t="s">
        <v>3419</v>
      </c>
      <c r="I3068" s="35" t="s">
        <v>3416</v>
      </c>
      <c r="J3068" s="38">
        <v>0.6895774647887325</v>
      </c>
      <c r="K3068" s="35">
        <v>1</v>
      </c>
      <c r="L3068" s="38">
        <f t="shared" si="47"/>
        <v>0.6895774647887325</v>
      </c>
      <c r="M3068" s="35" t="s">
        <v>11</v>
      </c>
      <c r="N3068" s="38"/>
      <c r="O3068" s="35" t="s">
        <v>12</v>
      </c>
    </row>
    <row r="3069" spans="1:15" ht="30" x14ac:dyDescent="0.25">
      <c r="A3069" s="35">
        <v>1117726524</v>
      </c>
      <c r="B3069" s="35" t="s">
        <v>3412</v>
      </c>
      <c r="C3069" s="35">
        <v>2023</v>
      </c>
      <c r="D3069" s="36">
        <v>45102.734432870369</v>
      </c>
      <c r="E3069" s="37" t="s">
        <v>3036</v>
      </c>
      <c r="F3069" s="37" t="s">
        <v>5930</v>
      </c>
      <c r="G3069" s="37" t="s">
        <v>3520</v>
      </c>
      <c r="H3069" s="35" t="s">
        <v>3419</v>
      </c>
      <c r="I3069" s="35" t="s">
        <v>3416</v>
      </c>
      <c r="J3069" s="38">
        <v>0.30647887323943662</v>
      </c>
      <c r="K3069" s="35">
        <v>1</v>
      </c>
      <c r="L3069" s="38">
        <f t="shared" si="47"/>
        <v>0.30647887323943662</v>
      </c>
      <c r="M3069" s="35" t="s">
        <v>11</v>
      </c>
      <c r="N3069" s="38"/>
      <c r="O3069" s="35" t="s">
        <v>12</v>
      </c>
    </row>
    <row r="3070" spans="1:15" ht="30" x14ac:dyDescent="0.25">
      <c r="A3070" s="35">
        <v>1117726524</v>
      </c>
      <c r="B3070" s="35" t="s">
        <v>3412</v>
      </c>
      <c r="C3070" s="35">
        <v>2023</v>
      </c>
      <c r="D3070" s="36">
        <v>45102.734432870369</v>
      </c>
      <c r="E3070" s="37" t="s">
        <v>3036</v>
      </c>
      <c r="F3070" s="37" t="s">
        <v>5695</v>
      </c>
      <c r="G3070" s="37" t="s">
        <v>3520</v>
      </c>
      <c r="H3070" s="35" t="s">
        <v>3419</v>
      </c>
      <c r="I3070" s="35" t="s">
        <v>3416</v>
      </c>
      <c r="J3070" s="38">
        <v>0.51079812206572772</v>
      </c>
      <c r="K3070" s="35">
        <v>1</v>
      </c>
      <c r="L3070" s="38">
        <f t="shared" si="47"/>
        <v>0.51079812206572772</v>
      </c>
      <c r="M3070" s="35" t="s">
        <v>11</v>
      </c>
      <c r="N3070" s="38"/>
      <c r="O3070" s="35" t="s">
        <v>12</v>
      </c>
    </row>
    <row r="3071" spans="1:15" ht="30" x14ac:dyDescent="0.25">
      <c r="A3071" s="35">
        <v>1117726524</v>
      </c>
      <c r="B3071" s="35" t="s">
        <v>3412</v>
      </c>
      <c r="C3071" s="35">
        <v>2023</v>
      </c>
      <c r="D3071" s="36">
        <v>45102.734432870369</v>
      </c>
      <c r="E3071" s="37" t="s">
        <v>3036</v>
      </c>
      <c r="F3071" s="37" t="s">
        <v>5931</v>
      </c>
      <c r="G3071" s="37" t="s">
        <v>3520</v>
      </c>
      <c r="H3071" s="35" t="s">
        <v>3419</v>
      </c>
      <c r="I3071" s="35" t="s">
        <v>3416</v>
      </c>
      <c r="J3071" s="38">
        <v>5.1079812206572768E-2</v>
      </c>
      <c r="K3071" s="35">
        <v>1</v>
      </c>
      <c r="L3071" s="38">
        <f t="shared" si="47"/>
        <v>5.1079812206572768E-2</v>
      </c>
      <c r="M3071" s="35" t="s">
        <v>11</v>
      </c>
      <c r="N3071" s="38"/>
      <c r="O3071" s="35" t="s">
        <v>12</v>
      </c>
    </row>
    <row r="3072" spans="1:15" ht="30" x14ac:dyDescent="0.25">
      <c r="A3072" s="35">
        <v>1117726524</v>
      </c>
      <c r="B3072" s="35" t="s">
        <v>3412</v>
      </c>
      <c r="C3072" s="35">
        <v>2023</v>
      </c>
      <c r="D3072" s="36">
        <v>45102.734432870369</v>
      </c>
      <c r="E3072" s="37" t="s">
        <v>3036</v>
      </c>
      <c r="F3072" s="37" t="s">
        <v>5782</v>
      </c>
      <c r="G3072" s="37" t="s">
        <v>5708</v>
      </c>
      <c r="H3072" s="35" t="s">
        <v>3419</v>
      </c>
      <c r="I3072" s="35" t="s">
        <v>3416</v>
      </c>
      <c r="J3072" s="38">
        <v>5.1079812206572768E-2</v>
      </c>
      <c r="K3072" s="35">
        <v>1</v>
      </c>
      <c r="L3072" s="38">
        <f t="shared" si="47"/>
        <v>5.1079812206572768E-2</v>
      </c>
      <c r="M3072" s="35" t="s">
        <v>11</v>
      </c>
      <c r="N3072" s="38"/>
      <c r="O3072" s="35" t="s">
        <v>12</v>
      </c>
    </row>
    <row r="3073" spans="1:15" ht="30" x14ac:dyDescent="0.25">
      <c r="A3073" s="35">
        <v>1117726524</v>
      </c>
      <c r="B3073" s="35" t="s">
        <v>3412</v>
      </c>
      <c r="C3073" s="35">
        <v>2023</v>
      </c>
      <c r="D3073" s="36">
        <v>45102.734432870369</v>
      </c>
      <c r="E3073" s="37" t="s">
        <v>3036</v>
      </c>
      <c r="F3073" s="37" t="s">
        <v>5932</v>
      </c>
      <c r="G3073" s="37" t="s">
        <v>3520</v>
      </c>
      <c r="H3073" s="35" t="s">
        <v>3419</v>
      </c>
      <c r="I3073" s="35" t="s">
        <v>3416</v>
      </c>
      <c r="J3073" s="38">
        <v>5.1079812206572768E-2</v>
      </c>
      <c r="K3073" s="35">
        <v>1</v>
      </c>
      <c r="L3073" s="38">
        <f t="shared" si="47"/>
        <v>5.1079812206572768E-2</v>
      </c>
      <c r="M3073" s="35" t="s">
        <v>11</v>
      </c>
      <c r="N3073" s="38"/>
      <c r="O3073" s="35" t="s">
        <v>12</v>
      </c>
    </row>
    <row r="3074" spans="1:15" ht="30" x14ac:dyDescent="0.25">
      <c r="A3074" s="35">
        <v>1117726524</v>
      </c>
      <c r="B3074" s="35" t="s">
        <v>3412</v>
      </c>
      <c r="C3074" s="35">
        <v>2023</v>
      </c>
      <c r="D3074" s="36">
        <v>45102.734432870369</v>
      </c>
      <c r="E3074" s="37" t="s">
        <v>3036</v>
      </c>
      <c r="F3074" s="37" t="s">
        <v>5933</v>
      </c>
      <c r="G3074" s="37" t="s">
        <v>3520</v>
      </c>
      <c r="H3074" s="35" t="s">
        <v>3419</v>
      </c>
      <c r="I3074" s="35" t="s">
        <v>3416</v>
      </c>
      <c r="J3074" s="38">
        <v>5.1079812206572768E-2</v>
      </c>
      <c r="K3074" s="35">
        <v>1</v>
      </c>
      <c r="L3074" s="38">
        <f t="shared" ref="L3074:L3137" si="48">J3074*K3074</f>
        <v>5.1079812206572768E-2</v>
      </c>
      <c r="M3074" s="35" t="s">
        <v>11</v>
      </c>
      <c r="N3074" s="38"/>
      <c r="O3074" s="35" t="s">
        <v>12</v>
      </c>
    </row>
    <row r="3075" spans="1:15" ht="30" x14ac:dyDescent="0.25">
      <c r="A3075" s="35">
        <v>1117726524</v>
      </c>
      <c r="B3075" s="35" t="s">
        <v>3412</v>
      </c>
      <c r="C3075" s="35">
        <v>2023</v>
      </c>
      <c r="D3075" s="36">
        <v>45102.734432870369</v>
      </c>
      <c r="E3075" s="37" t="s">
        <v>3036</v>
      </c>
      <c r="F3075" s="37" t="s">
        <v>5667</v>
      </c>
      <c r="G3075" s="37" t="s">
        <v>3520</v>
      </c>
      <c r="H3075" s="35" t="s">
        <v>3419</v>
      </c>
      <c r="I3075" s="35" t="s">
        <v>3416</v>
      </c>
      <c r="J3075" s="38">
        <v>5.1079812206572768E-2</v>
      </c>
      <c r="K3075" s="35">
        <v>1</v>
      </c>
      <c r="L3075" s="38">
        <f t="shared" si="48"/>
        <v>5.1079812206572768E-2</v>
      </c>
      <c r="M3075" s="35" t="s">
        <v>11</v>
      </c>
      <c r="N3075" s="38"/>
      <c r="O3075" s="35" t="s">
        <v>12</v>
      </c>
    </row>
    <row r="3076" spans="1:15" ht="30" x14ac:dyDescent="0.25">
      <c r="A3076" s="35">
        <v>1117712995</v>
      </c>
      <c r="B3076" s="35" t="s">
        <v>3412</v>
      </c>
      <c r="C3076" s="35">
        <v>2023</v>
      </c>
      <c r="D3076" s="36">
        <v>45102.634988425933</v>
      </c>
      <c r="E3076" s="37" t="s">
        <v>3038</v>
      </c>
      <c r="F3076" s="37" t="s">
        <v>5934</v>
      </c>
      <c r="G3076" s="37" t="s">
        <v>3520</v>
      </c>
      <c r="H3076" s="35" t="s">
        <v>3419</v>
      </c>
      <c r="I3076" s="35" t="s">
        <v>3416</v>
      </c>
      <c r="J3076" s="38">
        <v>13.29016393442623</v>
      </c>
      <c r="K3076" s="35">
        <v>1</v>
      </c>
      <c r="L3076" s="38">
        <f t="shared" si="48"/>
        <v>13.29016393442623</v>
      </c>
      <c r="M3076" s="35" t="s">
        <v>11</v>
      </c>
      <c r="N3076" s="38"/>
      <c r="O3076" s="35" t="s">
        <v>12</v>
      </c>
    </row>
    <row r="3077" spans="1:15" ht="30" x14ac:dyDescent="0.25">
      <c r="A3077" s="35">
        <v>1117712995</v>
      </c>
      <c r="B3077" s="35" t="s">
        <v>3412</v>
      </c>
      <c r="C3077" s="35">
        <v>2023</v>
      </c>
      <c r="D3077" s="36">
        <v>45102.634988425933</v>
      </c>
      <c r="E3077" s="37" t="s">
        <v>3038</v>
      </c>
      <c r="F3077" s="37" t="s">
        <v>5935</v>
      </c>
      <c r="G3077" s="37" t="s">
        <v>3520</v>
      </c>
      <c r="H3077" s="35" t="s">
        <v>3419</v>
      </c>
      <c r="I3077" s="35" t="s">
        <v>3416</v>
      </c>
      <c r="J3077" s="38">
        <v>0.26848816029143902</v>
      </c>
      <c r="K3077" s="35">
        <v>1</v>
      </c>
      <c r="L3077" s="38">
        <f t="shared" si="48"/>
        <v>0.26848816029143902</v>
      </c>
      <c r="M3077" s="35" t="s">
        <v>11</v>
      </c>
      <c r="N3077" s="38"/>
      <c r="O3077" s="35" t="s">
        <v>12</v>
      </c>
    </row>
    <row r="3078" spans="1:15" ht="30" x14ac:dyDescent="0.25">
      <c r="A3078" s="35">
        <v>1117712995</v>
      </c>
      <c r="B3078" s="35" t="s">
        <v>3412</v>
      </c>
      <c r="C3078" s="35">
        <v>2023</v>
      </c>
      <c r="D3078" s="36">
        <v>45102.634988425933</v>
      </c>
      <c r="E3078" s="37" t="s">
        <v>3038</v>
      </c>
      <c r="F3078" s="37" t="s">
        <v>5771</v>
      </c>
      <c r="G3078" s="37" t="s">
        <v>3520</v>
      </c>
      <c r="H3078" s="35" t="s">
        <v>3419</v>
      </c>
      <c r="I3078" s="35" t="s">
        <v>3416</v>
      </c>
      <c r="J3078" s="38">
        <v>0.26848816029143902</v>
      </c>
      <c r="K3078" s="35">
        <v>1</v>
      </c>
      <c r="L3078" s="38">
        <f t="shared" si="48"/>
        <v>0.26848816029143902</v>
      </c>
      <c r="M3078" s="35" t="s">
        <v>11</v>
      </c>
      <c r="N3078" s="38"/>
      <c r="O3078" s="35" t="s">
        <v>12</v>
      </c>
    </row>
    <row r="3079" spans="1:15" ht="30" x14ac:dyDescent="0.25">
      <c r="A3079" s="35">
        <v>1117712995</v>
      </c>
      <c r="B3079" s="35" t="s">
        <v>3412</v>
      </c>
      <c r="C3079" s="35">
        <v>2023</v>
      </c>
      <c r="D3079" s="36">
        <v>45102.634988425933</v>
      </c>
      <c r="E3079" s="37" t="s">
        <v>3038</v>
      </c>
      <c r="F3079" s="37" t="s">
        <v>5936</v>
      </c>
      <c r="G3079" s="37" t="s">
        <v>3520</v>
      </c>
      <c r="H3079" s="35" t="s">
        <v>3419</v>
      </c>
      <c r="I3079" s="35" t="s">
        <v>3416</v>
      </c>
      <c r="J3079" s="38">
        <v>0.46985428051001821</v>
      </c>
      <c r="K3079" s="35">
        <v>1</v>
      </c>
      <c r="L3079" s="38">
        <f t="shared" si="48"/>
        <v>0.46985428051001821</v>
      </c>
      <c r="M3079" s="35" t="s">
        <v>11</v>
      </c>
      <c r="N3079" s="38"/>
      <c r="O3079" s="35" t="s">
        <v>12</v>
      </c>
    </row>
    <row r="3080" spans="1:15" ht="30" x14ac:dyDescent="0.25">
      <c r="A3080" s="35">
        <v>1117712995</v>
      </c>
      <c r="B3080" s="35" t="s">
        <v>3412</v>
      </c>
      <c r="C3080" s="35">
        <v>2023</v>
      </c>
      <c r="D3080" s="36">
        <v>45102.634988425933</v>
      </c>
      <c r="E3080" s="37" t="s">
        <v>3038</v>
      </c>
      <c r="F3080" s="37" t="s">
        <v>5937</v>
      </c>
      <c r="G3080" s="37" t="s">
        <v>3520</v>
      </c>
      <c r="H3080" s="35" t="s">
        <v>3419</v>
      </c>
      <c r="I3080" s="35" t="s">
        <v>3416</v>
      </c>
      <c r="J3080" s="38">
        <v>0.53697632058287803</v>
      </c>
      <c r="K3080" s="35">
        <v>1</v>
      </c>
      <c r="L3080" s="38">
        <f t="shared" si="48"/>
        <v>0.53697632058287803</v>
      </c>
      <c r="M3080" s="35" t="s">
        <v>11</v>
      </c>
      <c r="N3080" s="38"/>
      <c r="O3080" s="35" t="s">
        <v>12</v>
      </c>
    </row>
    <row r="3081" spans="1:15" ht="30" x14ac:dyDescent="0.25">
      <c r="A3081" s="35">
        <v>1117712995</v>
      </c>
      <c r="B3081" s="35" t="s">
        <v>3412</v>
      </c>
      <c r="C3081" s="35">
        <v>2023</v>
      </c>
      <c r="D3081" s="36">
        <v>45102.634988425933</v>
      </c>
      <c r="E3081" s="37" t="s">
        <v>3038</v>
      </c>
      <c r="F3081" s="37" t="s">
        <v>5703</v>
      </c>
      <c r="G3081" s="37" t="s">
        <v>3520</v>
      </c>
      <c r="H3081" s="35" t="s">
        <v>3419</v>
      </c>
      <c r="I3081" s="35" t="s">
        <v>3416</v>
      </c>
      <c r="J3081" s="38">
        <v>0.13424408014571951</v>
      </c>
      <c r="K3081" s="35">
        <v>1</v>
      </c>
      <c r="L3081" s="38">
        <f t="shared" si="48"/>
        <v>0.13424408014571951</v>
      </c>
      <c r="M3081" s="35" t="s">
        <v>11</v>
      </c>
      <c r="N3081" s="38"/>
      <c r="O3081" s="35" t="s">
        <v>12</v>
      </c>
    </row>
    <row r="3082" spans="1:15" ht="30" x14ac:dyDescent="0.25">
      <c r="A3082" s="35">
        <v>1117712995</v>
      </c>
      <c r="B3082" s="35" t="s">
        <v>3412</v>
      </c>
      <c r="C3082" s="35">
        <v>2023</v>
      </c>
      <c r="D3082" s="36">
        <v>45102.634988425933</v>
      </c>
      <c r="E3082" s="37" t="s">
        <v>3038</v>
      </c>
      <c r="F3082" s="37" t="s">
        <v>5700</v>
      </c>
      <c r="G3082" s="37" t="s">
        <v>3520</v>
      </c>
      <c r="H3082" s="35" t="s">
        <v>3419</v>
      </c>
      <c r="I3082" s="35" t="s">
        <v>3416</v>
      </c>
      <c r="J3082" s="38">
        <v>0.20136612021857919</v>
      </c>
      <c r="K3082" s="35">
        <v>1</v>
      </c>
      <c r="L3082" s="38">
        <f t="shared" si="48"/>
        <v>0.20136612021857919</v>
      </c>
      <c r="M3082" s="35" t="s">
        <v>11</v>
      </c>
      <c r="N3082" s="38"/>
      <c r="O3082" s="35" t="s">
        <v>12</v>
      </c>
    </row>
    <row r="3083" spans="1:15" ht="30" x14ac:dyDescent="0.25">
      <c r="A3083" s="35">
        <v>1117712995</v>
      </c>
      <c r="B3083" s="35" t="s">
        <v>3412</v>
      </c>
      <c r="C3083" s="35">
        <v>2023</v>
      </c>
      <c r="D3083" s="36">
        <v>45102.634988425933</v>
      </c>
      <c r="E3083" s="37" t="s">
        <v>3038</v>
      </c>
      <c r="F3083" s="37" t="s">
        <v>5935</v>
      </c>
      <c r="G3083" s="37" t="s">
        <v>3520</v>
      </c>
      <c r="H3083" s="35" t="s">
        <v>3419</v>
      </c>
      <c r="I3083" s="35" t="s">
        <v>3416</v>
      </c>
      <c r="J3083" s="38">
        <v>0.13424408014571951</v>
      </c>
      <c r="K3083" s="35">
        <v>1</v>
      </c>
      <c r="L3083" s="38">
        <f t="shared" si="48"/>
        <v>0.13424408014571951</v>
      </c>
      <c r="M3083" s="35" t="s">
        <v>11</v>
      </c>
      <c r="N3083" s="38"/>
      <c r="O3083" s="35" t="s">
        <v>12</v>
      </c>
    </row>
    <row r="3084" spans="1:15" ht="30" x14ac:dyDescent="0.25">
      <c r="A3084" s="35">
        <v>1117712995</v>
      </c>
      <c r="B3084" s="35" t="s">
        <v>3412</v>
      </c>
      <c r="C3084" s="35">
        <v>2023</v>
      </c>
      <c r="D3084" s="36">
        <v>45102.634988425933</v>
      </c>
      <c r="E3084" s="37" t="s">
        <v>3038</v>
      </c>
      <c r="F3084" s="37" t="s">
        <v>5938</v>
      </c>
      <c r="G3084" s="37" t="s">
        <v>3520</v>
      </c>
      <c r="H3084" s="35" t="s">
        <v>3419</v>
      </c>
      <c r="I3084" s="35" t="s">
        <v>3416</v>
      </c>
      <c r="J3084" s="38">
        <v>0.26848816029143902</v>
      </c>
      <c r="K3084" s="35">
        <v>1</v>
      </c>
      <c r="L3084" s="38">
        <f t="shared" si="48"/>
        <v>0.26848816029143902</v>
      </c>
      <c r="M3084" s="35" t="s">
        <v>11</v>
      </c>
      <c r="N3084" s="38"/>
      <c r="O3084" s="35" t="s">
        <v>12</v>
      </c>
    </row>
    <row r="3085" spans="1:15" ht="30" x14ac:dyDescent="0.25">
      <c r="A3085" s="35">
        <v>1117712995</v>
      </c>
      <c r="B3085" s="35" t="s">
        <v>3412</v>
      </c>
      <c r="C3085" s="35">
        <v>2023</v>
      </c>
      <c r="D3085" s="36">
        <v>45102.634988425933</v>
      </c>
      <c r="E3085" s="37" t="s">
        <v>3038</v>
      </c>
      <c r="F3085" s="37" t="s">
        <v>5772</v>
      </c>
      <c r="G3085" s="37" t="s">
        <v>3520</v>
      </c>
      <c r="H3085" s="35" t="s">
        <v>3419</v>
      </c>
      <c r="I3085" s="35" t="s">
        <v>3416</v>
      </c>
      <c r="J3085" s="38">
        <v>0.13424408014571951</v>
      </c>
      <c r="K3085" s="35">
        <v>1</v>
      </c>
      <c r="L3085" s="38">
        <f t="shared" si="48"/>
        <v>0.13424408014571951</v>
      </c>
      <c r="M3085" s="35" t="s">
        <v>11</v>
      </c>
      <c r="N3085" s="38"/>
      <c r="O3085" s="35" t="s">
        <v>12</v>
      </c>
    </row>
    <row r="3086" spans="1:15" ht="30" x14ac:dyDescent="0.25">
      <c r="A3086" s="35">
        <v>1117712995</v>
      </c>
      <c r="B3086" s="35" t="s">
        <v>3412</v>
      </c>
      <c r="C3086" s="35">
        <v>2023</v>
      </c>
      <c r="D3086" s="36">
        <v>45102.634988425933</v>
      </c>
      <c r="E3086" s="37" t="s">
        <v>3038</v>
      </c>
      <c r="F3086" s="37" t="s">
        <v>5939</v>
      </c>
      <c r="G3086" s="37" t="s">
        <v>3520</v>
      </c>
      <c r="H3086" s="35" t="s">
        <v>3419</v>
      </c>
      <c r="I3086" s="35" t="s">
        <v>3416</v>
      </c>
      <c r="J3086" s="38">
        <v>0.13424408014571951</v>
      </c>
      <c r="K3086" s="35">
        <v>1</v>
      </c>
      <c r="L3086" s="38">
        <f t="shared" si="48"/>
        <v>0.13424408014571951</v>
      </c>
      <c r="M3086" s="35" t="s">
        <v>11</v>
      </c>
      <c r="N3086" s="38"/>
      <c r="O3086" s="35" t="s">
        <v>12</v>
      </c>
    </row>
    <row r="3087" spans="1:15" ht="30" x14ac:dyDescent="0.25">
      <c r="A3087" s="35">
        <v>1117712995</v>
      </c>
      <c r="B3087" s="35" t="s">
        <v>3412</v>
      </c>
      <c r="C3087" s="35">
        <v>2023</v>
      </c>
      <c r="D3087" s="36">
        <v>45102.634988425933</v>
      </c>
      <c r="E3087" s="37" t="s">
        <v>3038</v>
      </c>
      <c r="F3087" s="37" t="s">
        <v>5940</v>
      </c>
      <c r="G3087" s="37" t="s">
        <v>3520</v>
      </c>
      <c r="H3087" s="35" t="s">
        <v>3419</v>
      </c>
      <c r="I3087" s="35" t="s">
        <v>3416</v>
      </c>
      <c r="J3087" s="38">
        <v>0.13424408014571951</v>
      </c>
      <c r="K3087" s="35">
        <v>1</v>
      </c>
      <c r="L3087" s="38">
        <f t="shared" si="48"/>
        <v>0.13424408014571951</v>
      </c>
      <c r="M3087" s="35" t="s">
        <v>11</v>
      </c>
      <c r="N3087" s="38"/>
      <c r="O3087" s="35" t="s">
        <v>12</v>
      </c>
    </row>
    <row r="3088" spans="1:15" ht="30" x14ac:dyDescent="0.25">
      <c r="A3088" s="35">
        <v>1117712995</v>
      </c>
      <c r="B3088" s="35" t="s">
        <v>3412</v>
      </c>
      <c r="C3088" s="35">
        <v>2023</v>
      </c>
      <c r="D3088" s="36">
        <v>45102.634988425933</v>
      </c>
      <c r="E3088" s="37" t="s">
        <v>3038</v>
      </c>
      <c r="F3088" s="37" t="s">
        <v>5941</v>
      </c>
      <c r="G3088" s="37" t="s">
        <v>3520</v>
      </c>
      <c r="H3088" s="35" t="s">
        <v>3419</v>
      </c>
      <c r="I3088" s="35" t="s">
        <v>3416</v>
      </c>
      <c r="J3088" s="38">
        <v>0.26848816029143902</v>
      </c>
      <c r="K3088" s="35">
        <v>1</v>
      </c>
      <c r="L3088" s="38">
        <f t="shared" si="48"/>
        <v>0.26848816029143902</v>
      </c>
      <c r="M3088" s="35" t="s">
        <v>11</v>
      </c>
      <c r="N3088" s="38"/>
      <c r="O3088" s="35" t="s">
        <v>12</v>
      </c>
    </row>
    <row r="3089" spans="1:15" ht="30" x14ac:dyDescent="0.25">
      <c r="A3089" s="35">
        <v>1117712995</v>
      </c>
      <c r="B3089" s="35" t="s">
        <v>3412</v>
      </c>
      <c r="C3089" s="35">
        <v>2023</v>
      </c>
      <c r="D3089" s="36">
        <v>45102.634988425933</v>
      </c>
      <c r="E3089" s="37" t="s">
        <v>3038</v>
      </c>
      <c r="F3089" s="37" t="s">
        <v>5272</v>
      </c>
      <c r="G3089" s="37" t="s">
        <v>3520</v>
      </c>
      <c r="H3089" s="35" t="s">
        <v>3419</v>
      </c>
      <c r="I3089" s="35" t="s">
        <v>3416</v>
      </c>
      <c r="J3089" s="38">
        <v>0.26848816029143902</v>
      </c>
      <c r="K3089" s="35">
        <v>1</v>
      </c>
      <c r="L3089" s="38">
        <f t="shared" si="48"/>
        <v>0.26848816029143902</v>
      </c>
      <c r="M3089" s="35" t="s">
        <v>11</v>
      </c>
      <c r="N3089" s="38"/>
      <c r="O3089" s="35" t="s">
        <v>12</v>
      </c>
    </row>
    <row r="3090" spans="1:15" ht="30" x14ac:dyDescent="0.25">
      <c r="A3090" s="35">
        <v>1117712995</v>
      </c>
      <c r="B3090" s="35" t="s">
        <v>3412</v>
      </c>
      <c r="C3090" s="35">
        <v>2023</v>
      </c>
      <c r="D3090" s="36">
        <v>45102.634988425933</v>
      </c>
      <c r="E3090" s="37" t="s">
        <v>3038</v>
      </c>
      <c r="F3090" s="37" t="s">
        <v>5779</v>
      </c>
      <c r="G3090" s="37" t="s">
        <v>3520</v>
      </c>
      <c r="H3090" s="35" t="s">
        <v>3419</v>
      </c>
      <c r="I3090" s="35" t="s">
        <v>3416</v>
      </c>
      <c r="J3090" s="38">
        <v>0.13424408014571951</v>
      </c>
      <c r="K3090" s="35">
        <v>1</v>
      </c>
      <c r="L3090" s="38">
        <f t="shared" si="48"/>
        <v>0.13424408014571951</v>
      </c>
      <c r="M3090" s="35" t="s">
        <v>11</v>
      </c>
      <c r="N3090" s="38"/>
      <c r="O3090" s="35" t="s">
        <v>12</v>
      </c>
    </row>
    <row r="3091" spans="1:15" ht="30" x14ac:dyDescent="0.25">
      <c r="A3091" s="35">
        <v>1117712995</v>
      </c>
      <c r="B3091" s="35" t="s">
        <v>3412</v>
      </c>
      <c r="C3091" s="35">
        <v>2023</v>
      </c>
      <c r="D3091" s="36">
        <v>45102.634988425933</v>
      </c>
      <c r="E3091" s="37" t="s">
        <v>3038</v>
      </c>
      <c r="F3091" s="37" t="s">
        <v>5942</v>
      </c>
      <c r="G3091" s="37" t="s">
        <v>3520</v>
      </c>
      <c r="H3091" s="35" t="s">
        <v>3419</v>
      </c>
      <c r="I3091" s="35" t="s">
        <v>3416</v>
      </c>
      <c r="J3091" s="38">
        <v>7.3834244080145721</v>
      </c>
      <c r="K3091" s="35">
        <v>1</v>
      </c>
      <c r="L3091" s="38">
        <f t="shared" si="48"/>
        <v>7.3834244080145721</v>
      </c>
      <c r="M3091" s="35" t="s">
        <v>11</v>
      </c>
      <c r="N3091" s="38"/>
      <c r="O3091" s="35" t="s">
        <v>12</v>
      </c>
    </row>
    <row r="3092" spans="1:15" ht="30" x14ac:dyDescent="0.25">
      <c r="A3092" s="35">
        <v>1117712995</v>
      </c>
      <c r="B3092" s="35" t="s">
        <v>3412</v>
      </c>
      <c r="C3092" s="35">
        <v>2023</v>
      </c>
      <c r="D3092" s="36">
        <v>45102.634988425933</v>
      </c>
      <c r="E3092" s="37" t="s">
        <v>3038</v>
      </c>
      <c r="F3092" s="37" t="s">
        <v>5943</v>
      </c>
      <c r="G3092" s="37" t="s">
        <v>3520</v>
      </c>
      <c r="H3092" s="35" t="s">
        <v>3419</v>
      </c>
      <c r="I3092" s="35" t="s">
        <v>3416</v>
      </c>
      <c r="J3092" s="38">
        <v>6.5108378870673951</v>
      </c>
      <c r="K3092" s="35">
        <v>1</v>
      </c>
      <c r="L3092" s="38">
        <f t="shared" si="48"/>
        <v>6.5108378870673951</v>
      </c>
      <c r="M3092" s="35" t="s">
        <v>11</v>
      </c>
      <c r="N3092" s="38"/>
      <c r="O3092" s="35" t="s">
        <v>12</v>
      </c>
    </row>
    <row r="3093" spans="1:15" ht="30" x14ac:dyDescent="0.25">
      <c r="A3093" s="35">
        <v>1117712995</v>
      </c>
      <c r="B3093" s="35" t="s">
        <v>3412</v>
      </c>
      <c r="C3093" s="35">
        <v>2023</v>
      </c>
      <c r="D3093" s="36">
        <v>45102.634988425933</v>
      </c>
      <c r="E3093" s="37" t="s">
        <v>3038</v>
      </c>
      <c r="F3093" s="37" t="s">
        <v>5944</v>
      </c>
      <c r="G3093" s="37" t="s">
        <v>3520</v>
      </c>
      <c r="H3093" s="35" t="s">
        <v>3419</v>
      </c>
      <c r="I3093" s="35" t="s">
        <v>3416</v>
      </c>
      <c r="J3093" s="38">
        <v>0.13424408014571951</v>
      </c>
      <c r="K3093" s="35">
        <v>1</v>
      </c>
      <c r="L3093" s="38">
        <f t="shared" si="48"/>
        <v>0.13424408014571951</v>
      </c>
      <c r="M3093" s="35" t="s">
        <v>11</v>
      </c>
      <c r="N3093" s="38"/>
      <c r="O3093" s="35" t="s">
        <v>12</v>
      </c>
    </row>
    <row r="3094" spans="1:15" ht="30" x14ac:dyDescent="0.25">
      <c r="A3094" s="35">
        <v>1117712995</v>
      </c>
      <c r="B3094" s="35" t="s">
        <v>3412</v>
      </c>
      <c r="C3094" s="35">
        <v>2023</v>
      </c>
      <c r="D3094" s="36">
        <v>45102.634988425933</v>
      </c>
      <c r="E3094" s="37" t="s">
        <v>3038</v>
      </c>
      <c r="F3094" s="37" t="s">
        <v>5945</v>
      </c>
      <c r="G3094" s="37" t="s">
        <v>3520</v>
      </c>
      <c r="H3094" s="35" t="s">
        <v>3419</v>
      </c>
      <c r="I3094" s="35" t="s">
        <v>3416</v>
      </c>
      <c r="J3094" s="38">
        <v>0.13424408014571951</v>
      </c>
      <c r="K3094" s="35">
        <v>1</v>
      </c>
      <c r="L3094" s="38">
        <f t="shared" si="48"/>
        <v>0.13424408014571951</v>
      </c>
      <c r="M3094" s="35" t="s">
        <v>11</v>
      </c>
      <c r="N3094" s="38"/>
      <c r="O3094" s="35" t="s">
        <v>12</v>
      </c>
    </row>
    <row r="3095" spans="1:15" ht="30" x14ac:dyDescent="0.25">
      <c r="A3095" s="35">
        <v>1117712995</v>
      </c>
      <c r="B3095" s="35" t="s">
        <v>3412</v>
      </c>
      <c r="C3095" s="35">
        <v>2023</v>
      </c>
      <c r="D3095" s="36">
        <v>45102.634988425933</v>
      </c>
      <c r="E3095" s="37" t="s">
        <v>3038</v>
      </c>
      <c r="F3095" s="37" t="s">
        <v>5946</v>
      </c>
      <c r="G3095" s="37" t="s">
        <v>3520</v>
      </c>
      <c r="H3095" s="35" t="s">
        <v>3419</v>
      </c>
      <c r="I3095" s="35" t="s">
        <v>3416</v>
      </c>
      <c r="J3095" s="38">
        <v>0.13424408014571951</v>
      </c>
      <c r="K3095" s="35">
        <v>1</v>
      </c>
      <c r="L3095" s="38">
        <f t="shared" si="48"/>
        <v>0.13424408014571951</v>
      </c>
      <c r="M3095" s="35" t="s">
        <v>11</v>
      </c>
      <c r="N3095" s="38"/>
      <c r="O3095" s="35" t="s">
        <v>12</v>
      </c>
    </row>
    <row r="3096" spans="1:15" ht="30" x14ac:dyDescent="0.25">
      <c r="A3096" s="35">
        <v>1117712995</v>
      </c>
      <c r="B3096" s="35" t="s">
        <v>3412</v>
      </c>
      <c r="C3096" s="35">
        <v>2023</v>
      </c>
      <c r="D3096" s="36">
        <v>45102.634988425933</v>
      </c>
      <c r="E3096" s="37" t="s">
        <v>3038</v>
      </c>
      <c r="F3096" s="37" t="s">
        <v>5947</v>
      </c>
      <c r="G3096" s="37" t="s">
        <v>3520</v>
      </c>
      <c r="H3096" s="35" t="s">
        <v>3419</v>
      </c>
      <c r="I3096" s="35" t="s">
        <v>3416</v>
      </c>
      <c r="J3096" s="38">
        <v>0.13424408014571951</v>
      </c>
      <c r="K3096" s="35">
        <v>1</v>
      </c>
      <c r="L3096" s="38">
        <f t="shared" si="48"/>
        <v>0.13424408014571951</v>
      </c>
      <c r="M3096" s="35" t="s">
        <v>11</v>
      </c>
      <c r="N3096" s="38"/>
      <c r="O3096" s="35" t="s">
        <v>12</v>
      </c>
    </row>
    <row r="3097" spans="1:15" ht="30" x14ac:dyDescent="0.25">
      <c r="A3097" s="35">
        <v>1117712995</v>
      </c>
      <c r="B3097" s="35" t="s">
        <v>3412</v>
      </c>
      <c r="C3097" s="35">
        <v>2023</v>
      </c>
      <c r="D3097" s="36">
        <v>45102.634988425933</v>
      </c>
      <c r="E3097" s="37" t="s">
        <v>3038</v>
      </c>
      <c r="F3097" s="37" t="s">
        <v>5948</v>
      </c>
      <c r="G3097" s="37" t="s">
        <v>3520</v>
      </c>
      <c r="H3097" s="35" t="s">
        <v>3419</v>
      </c>
      <c r="I3097" s="35" t="s">
        <v>3416</v>
      </c>
      <c r="J3097" s="38">
        <v>0.13424408014571951</v>
      </c>
      <c r="K3097" s="35">
        <v>1</v>
      </c>
      <c r="L3097" s="38">
        <f t="shared" si="48"/>
        <v>0.13424408014571951</v>
      </c>
      <c r="M3097" s="35" t="s">
        <v>11</v>
      </c>
      <c r="N3097" s="38"/>
      <c r="O3097" s="35" t="s">
        <v>12</v>
      </c>
    </row>
    <row r="3098" spans="1:15" ht="30" x14ac:dyDescent="0.25">
      <c r="A3098" s="35">
        <v>1117712995</v>
      </c>
      <c r="B3098" s="35" t="s">
        <v>3412</v>
      </c>
      <c r="C3098" s="35">
        <v>2023</v>
      </c>
      <c r="D3098" s="36">
        <v>45102.634988425933</v>
      </c>
      <c r="E3098" s="37" t="s">
        <v>3038</v>
      </c>
      <c r="F3098" s="37" t="s">
        <v>5949</v>
      </c>
      <c r="G3098" s="37" t="s">
        <v>3520</v>
      </c>
      <c r="H3098" s="35" t="s">
        <v>3419</v>
      </c>
      <c r="I3098" s="35" t="s">
        <v>3416</v>
      </c>
      <c r="J3098" s="38">
        <v>0.13424408014571951</v>
      </c>
      <c r="K3098" s="35">
        <v>1</v>
      </c>
      <c r="L3098" s="38">
        <f t="shared" si="48"/>
        <v>0.13424408014571951</v>
      </c>
      <c r="M3098" s="35" t="s">
        <v>11</v>
      </c>
      <c r="N3098" s="38"/>
      <c r="O3098" s="35" t="s">
        <v>12</v>
      </c>
    </row>
    <row r="3099" spans="1:15" ht="30" x14ac:dyDescent="0.25">
      <c r="A3099" s="35">
        <v>1117712995</v>
      </c>
      <c r="B3099" s="35" t="s">
        <v>3412</v>
      </c>
      <c r="C3099" s="35">
        <v>2023</v>
      </c>
      <c r="D3099" s="36">
        <v>45102.634988425933</v>
      </c>
      <c r="E3099" s="37" t="s">
        <v>3038</v>
      </c>
      <c r="F3099" s="37" t="s">
        <v>5765</v>
      </c>
      <c r="G3099" s="37" t="s">
        <v>3520</v>
      </c>
      <c r="H3099" s="35" t="s">
        <v>3419</v>
      </c>
      <c r="I3099" s="35" t="s">
        <v>3416</v>
      </c>
      <c r="J3099" s="38">
        <v>0.13424408014571951</v>
      </c>
      <c r="K3099" s="35">
        <v>1</v>
      </c>
      <c r="L3099" s="38">
        <f t="shared" si="48"/>
        <v>0.13424408014571951</v>
      </c>
      <c r="M3099" s="35" t="s">
        <v>11</v>
      </c>
      <c r="N3099" s="38"/>
      <c r="O3099" s="35" t="s">
        <v>12</v>
      </c>
    </row>
    <row r="3100" spans="1:15" ht="30" x14ac:dyDescent="0.25">
      <c r="A3100" s="35">
        <v>1117712995</v>
      </c>
      <c r="B3100" s="35" t="s">
        <v>3412</v>
      </c>
      <c r="C3100" s="35">
        <v>2023</v>
      </c>
      <c r="D3100" s="36">
        <v>45102.634988425933</v>
      </c>
      <c r="E3100" s="37" t="s">
        <v>3038</v>
      </c>
      <c r="F3100" s="37" t="s">
        <v>5713</v>
      </c>
      <c r="G3100" s="37" t="s">
        <v>3520</v>
      </c>
      <c r="H3100" s="35" t="s">
        <v>3419</v>
      </c>
      <c r="I3100" s="35" t="s">
        <v>3416</v>
      </c>
      <c r="J3100" s="38">
        <v>0.13424408014571951</v>
      </c>
      <c r="K3100" s="35">
        <v>1</v>
      </c>
      <c r="L3100" s="38">
        <f t="shared" si="48"/>
        <v>0.13424408014571951</v>
      </c>
      <c r="M3100" s="35" t="s">
        <v>11</v>
      </c>
      <c r="N3100" s="38"/>
      <c r="O3100" s="35" t="s">
        <v>12</v>
      </c>
    </row>
    <row r="3101" spans="1:15" ht="30" x14ac:dyDescent="0.25">
      <c r="A3101" s="35">
        <v>1117712995</v>
      </c>
      <c r="B3101" s="35" t="s">
        <v>3412</v>
      </c>
      <c r="C3101" s="35">
        <v>2023</v>
      </c>
      <c r="D3101" s="36">
        <v>45102.634988425933</v>
      </c>
      <c r="E3101" s="37" t="s">
        <v>3038</v>
      </c>
      <c r="F3101" s="37" t="s">
        <v>5919</v>
      </c>
      <c r="G3101" s="37" t="s">
        <v>3520</v>
      </c>
      <c r="H3101" s="35" t="s">
        <v>3419</v>
      </c>
      <c r="I3101" s="35" t="s">
        <v>3416</v>
      </c>
      <c r="J3101" s="38">
        <v>0.13424408014571951</v>
      </c>
      <c r="K3101" s="35">
        <v>1</v>
      </c>
      <c r="L3101" s="38">
        <f t="shared" si="48"/>
        <v>0.13424408014571951</v>
      </c>
      <c r="M3101" s="35" t="s">
        <v>11</v>
      </c>
      <c r="N3101" s="38"/>
      <c r="O3101" s="35" t="s">
        <v>12</v>
      </c>
    </row>
    <row r="3102" spans="1:15" ht="30" x14ac:dyDescent="0.25">
      <c r="A3102" s="35">
        <v>1117712995</v>
      </c>
      <c r="B3102" s="35" t="s">
        <v>3412</v>
      </c>
      <c r="C3102" s="35">
        <v>2023</v>
      </c>
      <c r="D3102" s="36">
        <v>45102.634988425933</v>
      </c>
      <c r="E3102" s="37" t="s">
        <v>3038</v>
      </c>
      <c r="F3102" s="37" t="s">
        <v>5950</v>
      </c>
      <c r="G3102" s="37" t="s">
        <v>3520</v>
      </c>
      <c r="H3102" s="35" t="s">
        <v>3419</v>
      </c>
      <c r="I3102" s="35" t="s">
        <v>3416</v>
      </c>
      <c r="J3102" s="38">
        <v>0.13424408014571951</v>
      </c>
      <c r="K3102" s="35">
        <v>1</v>
      </c>
      <c r="L3102" s="38">
        <f t="shared" si="48"/>
        <v>0.13424408014571951</v>
      </c>
      <c r="M3102" s="35" t="s">
        <v>11</v>
      </c>
      <c r="N3102" s="38"/>
      <c r="O3102" s="35" t="s">
        <v>12</v>
      </c>
    </row>
    <row r="3103" spans="1:15" ht="30" x14ac:dyDescent="0.25">
      <c r="A3103" s="35">
        <v>1117712995</v>
      </c>
      <c r="B3103" s="35" t="s">
        <v>3412</v>
      </c>
      <c r="C3103" s="35">
        <v>2023</v>
      </c>
      <c r="D3103" s="36">
        <v>45102.634988425933</v>
      </c>
      <c r="E3103" s="37" t="s">
        <v>3038</v>
      </c>
      <c r="F3103" s="37" t="s">
        <v>5951</v>
      </c>
      <c r="G3103" s="37" t="s">
        <v>3520</v>
      </c>
      <c r="H3103" s="35" t="s">
        <v>3419</v>
      </c>
      <c r="I3103" s="35" t="s">
        <v>3416</v>
      </c>
      <c r="J3103" s="38">
        <v>0.13424408014571951</v>
      </c>
      <c r="K3103" s="35">
        <v>1</v>
      </c>
      <c r="L3103" s="38">
        <f t="shared" si="48"/>
        <v>0.13424408014571951</v>
      </c>
      <c r="M3103" s="35" t="s">
        <v>11</v>
      </c>
      <c r="N3103" s="38"/>
      <c r="O3103" s="35" t="s">
        <v>12</v>
      </c>
    </row>
    <row r="3104" spans="1:15" ht="30" x14ac:dyDescent="0.25">
      <c r="A3104" s="35">
        <v>1117712995</v>
      </c>
      <c r="B3104" s="35" t="s">
        <v>3412</v>
      </c>
      <c r="C3104" s="35">
        <v>2023</v>
      </c>
      <c r="D3104" s="36">
        <v>45102.634988425933</v>
      </c>
      <c r="E3104" s="37" t="s">
        <v>3038</v>
      </c>
      <c r="F3104" s="37" t="s">
        <v>5952</v>
      </c>
      <c r="G3104" s="37" t="s">
        <v>3520</v>
      </c>
      <c r="H3104" s="35" t="s">
        <v>3419</v>
      </c>
      <c r="I3104" s="35" t="s">
        <v>3416</v>
      </c>
      <c r="J3104" s="38">
        <v>0.20136612021857919</v>
      </c>
      <c r="K3104" s="35">
        <v>1</v>
      </c>
      <c r="L3104" s="38">
        <f t="shared" si="48"/>
        <v>0.20136612021857919</v>
      </c>
      <c r="M3104" s="35" t="s">
        <v>11</v>
      </c>
      <c r="N3104" s="38"/>
      <c r="O3104" s="35" t="s">
        <v>12</v>
      </c>
    </row>
    <row r="3105" spans="1:15" ht="30" x14ac:dyDescent="0.25">
      <c r="A3105" s="35">
        <v>1117712995</v>
      </c>
      <c r="B3105" s="35" t="s">
        <v>3412</v>
      </c>
      <c r="C3105" s="35">
        <v>2023</v>
      </c>
      <c r="D3105" s="36">
        <v>45102.634988425933</v>
      </c>
      <c r="E3105" s="37" t="s">
        <v>3038</v>
      </c>
      <c r="F3105" s="37" t="s">
        <v>5923</v>
      </c>
      <c r="G3105" s="37" t="s">
        <v>3520</v>
      </c>
      <c r="H3105" s="35" t="s">
        <v>3419</v>
      </c>
      <c r="I3105" s="35" t="s">
        <v>3416</v>
      </c>
      <c r="J3105" s="38">
        <v>0.26848816029143902</v>
      </c>
      <c r="K3105" s="35">
        <v>1</v>
      </c>
      <c r="L3105" s="38">
        <f t="shared" si="48"/>
        <v>0.26848816029143902</v>
      </c>
      <c r="M3105" s="35" t="s">
        <v>11</v>
      </c>
      <c r="N3105" s="38"/>
      <c r="O3105" s="35" t="s">
        <v>12</v>
      </c>
    </row>
    <row r="3106" spans="1:15" ht="30" x14ac:dyDescent="0.25">
      <c r="A3106" s="35">
        <v>1117712995</v>
      </c>
      <c r="B3106" s="35" t="s">
        <v>3412</v>
      </c>
      <c r="C3106" s="35">
        <v>2023</v>
      </c>
      <c r="D3106" s="36">
        <v>45102.634988425933</v>
      </c>
      <c r="E3106" s="37" t="s">
        <v>3038</v>
      </c>
      <c r="F3106" s="37" t="s">
        <v>5685</v>
      </c>
      <c r="G3106" s="37" t="s">
        <v>3520</v>
      </c>
      <c r="H3106" s="35" t="s">
        <v>3419</v>
      </c>
      <c r="I3106" s="35" t="s">
        <v>3416</v>
      </c>
      <c r="J3106" s="38">
        <v>0.26848816029143902</v>
      </c>
      <c r="K3106" s="35">
        <v>1</v>
      </c>
      <c r="L3106" s="38">
        <f t="shared" si="48"/>
        <v>0.26848816029143902</v>
      </c>
      <c r="M3106" s="35" t="s">
        <v>11</v>
      </c>
      <c r="N3106" s="38"/>
      <c r="O3106" s="35" t="s">
        <v>12</v>
      </c>
    </row>
    <row r="3107" spans="1:15" ht="30" x14ac:dyDescent="0.25">
      <c r="A3107" s="35">
        <v>1117712995</v>
      </c>
      <c r="B3107" s="35" t="s">
        <v>3412</v>
      </c>
      <c r="C3107" s="35">
        <v>2023</v>
      </c>
      <c r="D3107" s="36">
        <v>45102.634988425933</v>
      </c>
      <c r="E3107" s="37" t="s">
        <v>3038</v>
      </c>
      <c r="F3107" s="37" t="s">
        <v>5920</v>
      </c>
      <c r="G3107" s="37" t="s">
        <v>3520</v>
      </c>
      <c r="H3107" s="35" t="s">
        <v>3419</v>
      </c>
      <c r="I3107" s="35" t="s">
        <v>3416</v>
      </c>
      <c r="J3107" s="38">
        <v>0.33561020036429873</v>
      </c>
      <c r="K3107" s="35">
        <v>1</v>
      </c>
      <c r="L3107" s="38">
        <f t="shared" si="48"/>
        <v>0.33561020036429873</v>
      </c>
      <c r="M3107" s="35" t="s">
        <v>11</v>
      </c>
      <c r="N3107" s="38"/>
      <c r="O3107" s="35" t="s">
        <v>12</v>
      </c>
    </row>
    <row r="3108" spans="1:15" ht="30" x14ac:dyDescent="0.25">
      <c r="A3108" s="35">
        <v>1117712995</v>
      </c>
      <c r="B3108" s="35" t="s">
        <v>3412</v>
      </c>
      <c r="C3108" s="35">
        <v>2023</v>
      </c>
      <c r="D3108" s="36">
        <v>45102.634988425933</v>
      </c>
      <c r="E3108" s="37" t="s">
        <v>3038</v>
      </c>
      <c r="F3108" s="37" t="s">
        <v>5953</v>
      </c>
      <c r="G3108" s="37" t="s">
        <v>3520</v>
      </c>
      <c r="H3108" s="35" t="s">
        <v>3419</v>
      </c>
      <c r="I3108" s="35" t="s">
        <v>3416</v>
      </c>
      <c r="J3108" s="38">
        <v>0.33561020036429873</v>
      </c>
      <c r="K3108" s="35">
        <v>1</v>
      </c>
      <c r="L3108" s="38">
        <f t="shared" si="48"/>
        <v>0.33561020036429873</v>
      </c>
      <c r="M3108" s="35" t="s">
        <v>11</v>
      </c>
      <c r="N3108" s="38"/>
      <c r="O3108" s="35" t="s">
        <v>12</v>
      </c>
    </row>
    <row r="3109" spans="1:15" ht="30" x14ac:dyDescent="0.25">
      <c r="A3109" s="35">
        <v>1117712995</v>
      </c>
      <c r="B3109" s="35" t="s">
        <v>3412</v>
      </c>
      <c r="C3109" s="35">
        <v>2023</v>
      </c>
      <c r="D3109" s="36">
        <v>45102.634988425933</v>
      </c>
      <c r="E3109" s="37" t="s">
        <v>3038</v>
      </c>
      <c r="F3109" s="37" t="s">
        <v>5758</v>
      </c>
      <c r="G3109" s="37" t="s">
        <v>3520</v>
      </c>
      <c r="H3109" s="35" t="s">
        <v>3419</v>
      </c>
      <c r="I3109" s="35" t="s">
        <v>3416</v>
      </c>
      <c r="J3109" s="38">
        <v>0.33561020036429873</v>
      </c>
      <c r="K3109" s="35">
        <v>1</v>
      </c>
      <c r="L3109" s="38">
        <f t="shared" si="48"/>
        <v>0.33561020036429873</v>
      </c>
      <c r="M3109" s="35" t="s">
        <v>11</v>
      </c>
      <c r="N3109" s="38"/>
      <c r="O3109" s="35" t="s">
        <v>12</v>
      </c>
    </row>
    <row r="3110" spans="1:15" ht="30" x14ac:dyDescent="0.25">
      <c r="A3110" s="35">
        <v>1117712995</v>
      </c>
      <c r="B3110" s="35" t="s">
        <v>3412</v>
      </c>
      <c r="C3110" s="35">
        <v>2023</v>
      </c>
      <c r="D3110" s="36">
        <v>45102.634988425933</v>
      </c>
      <c r="E3110" s="37" t="s">
        <v>3038</v>
      </c>
      <c r="F3110" s="37" t="s">
        <v>5954</v>
      </c>
      <c r="G3110" s="37" t="s">
        <v>3520</v>
      </c>
      <c r="H3110" s="35" t="s">
        <v>3419</v>
      </c>
      <c r="I3110" s="35" t="s">
        <v>3416</v>
      </c>
      <c r="J3110" s="38">
        <v>0.33561020036429873</v>
      </c>
      <c r="K3110" s="35">
        <v>1</v>
      </c>
      <c r="L3110" s="38">
        <f t="shared" si="48"/>
        <v>0.33561020036429873</v>
      </c>
      <c r="M3110" s="35" t="s">
        <v>11</v>
      </c>
      <c r="N3110" s="38"/>
      <c r="O3110" s="35" t="s">
        <v>12</v>
      </c>
    </row>
    <row r="3111" spans="1:15" ht="30" x14ac:dyDescent="0.25">
      <c r="A3111" s="35">
        <v>1117712995</v>
      </c>
      <c r="B3111" s="35" t="s">
        <v>3412</v>
      </c>
      <c r="C3111" s="35">
        <v>2023</v>
      </c>
      <c r="D3111" s="36">
        <v>45102.634988425933</v>
      </c>
      <c r="E3111" s="37" t="s">
        <v>3038</v>
      </c>
      <c r="F3111" s="37" t="s">
        <v>5955</v>
      </c>
      <c r="G3111" s="37" t="s">
        <v>3520</v>
      </c>
      <c r="H3111" s="35" t="s">
        <v>3419</v>
      </c>
      <c r="I3111" s="35" t="s">
        <v>3416</v>
      </c>
      <c r="J3111" s="38">
        <v>0.33561020036429873</v>
      </c>
      <c r="K3111" s="35">
        <v>1</v>
      </c>
      <c r="L3111" s="38">
        <f t="shared" si="48"/>
        <v>0.33561020036429873</v>
      </c>
      <c r="M3111" s="35" t="s">
        <v>11</v>
      </c>
      <c r="N3111" s="38"/>
      <c r="O3111" s="35" t="s">
        <v>12</v>
      </c>
    </row>
    <row r="3112" spans="1:15" ht="30" x14ac:dyDescent="0.25">
      <c r="A3112" s="35">
        <v>1117712995</v>
      </c>
      <c r="B3112" s="35" t="s">
        <v>3412</v>
      </c>
      <c r="C3112" s="35">
        <v>2023</v>
      </c>
      <c r="D3112" s="36">
        <v>45102.634988425933</v>
      </c>
      <c r="E3112" s="37" t="s">
        <v>3038</v>
      </c>
      <c r="F3112" s="37" t="s">
        <v>5686</v>
      </c>
      <c r="G3112" s="37" t="s">
        <v>3520</v>
      </c>
      <c r="H3112" s="35" t="s">
        <v>3419</v>
      </c>
      <c r="I3112" s="35" t="s">
        <v>3416</v>
      </c>
      <c r="J3112" s="38">
        <v>0.40273224043715838</v>
      </c>
      <c r="K3112" s="35">
        <v>1</v>
      </c>
      <c r="L3112" s="38">
        <f t="shared" si="48"/>
        <v>0.40273224043715838</v>
      </c>
      <c r="M3112" s="35" t="s">
        <v>11</v>
      </c>
      <c r="N3112" s="38"/>
      <c r="O3112" s="35" t="s">
        <v>12</v>
      </c>
    </row>
    <row r="3113" spans="1:15" ht="30" x14ac:dyDescent="0.25">
      <c r="A3113" s="35">
        <v>1117712995</v>
      </c>
      <c r="B3113" s="35" t="s">
        <v>3412</v>
      </c>
      <c r="C3113" s="35">
        <v>2023</v>
      </c>
      <c r="D3113" s="36">
        <v>45102.634988425933</v>
      </c>
      <c r="E3113" s="37" t="s">
        <v>3038</v>
      </c>
      <c r="F3113" s="37" t="s">
        <v>5956</v>
      </c>
      <c r="G3113" s="37" t="s">
        <v>3520</v>
      </c>
      <c r="H3113" s="35" t="s">
        <v>3419</v>
      </c>
      <c r="I3113" s="35" t="s">
        <v>3416</v>
      </c>
      <c r="J3113" s="38">
        <v>0.40273224043715838</v>
      </c>
      <c r="K3113" s="35">
        <v>1</v>
      </c>
      <c r="L3113" s="38">
        <f t="shared" si="48"/>
        <v>0.40273224043715838</v>
      </c>
      <c r="M3113" s="35" t="s">
        <v>11</v>
      </c>
      <c r="N3113" s="38"/>
      <c r="O3113" s="35" t="s">
        <v>12</v>
      </c>
    </row>
    <row r="3114" spans="1:15" ht="30" x14ac:dyDescent="0.25">
      <c r="A3114" s="35">
        <v>1117712995</v>
      </c>
      <c r="B3114" s="35" t="s">
        <v>3412</v>
      </c>
      <c r="C3114" s="35">
        <v>2023</v>
      </c>
      <c r="D3114" s="36">
        <v>45102.634988425933</v>
      </c>
      <c r="E3114" s="37" t="s">
        <v>3038</v>
      </c>
      <c r="F3114" s="37" t="s">
        <v>5957</v>
      </c>
      <c r="G3114" s="37" t="s">
        <v>3520</v>
      </c>
      <c r="H3114" s="35" t="s">
        <v>3419</v>
      </c>
      <c r="I3114" s="35" t="s">
        <v>3416</v>
      </c>
      <c r="J3114" s="38">
        <v>0.40273224043715838</v>
      </c>
      <c r="K3114" s="35">
        <v>1</v>
      </c>
      <c r="L3114" s="38">
        <f t="shared" si="48"/>
        <v>0.40273224043715838</v>
      </c>
      <c r="M3114" s="35" t="s">
        <v>11</v>
      </c>
      <c r="N3114" s="38"/>
      <c r="O3114" s="35" t="s">
        <v>12</v>
      </c>
    </row>
    <row r="3115" spans="1:15" ht="30" x14ac:dyDescent="0.25">
      <c r="A3115" s="35">
        <v>1117712995</v>
      </c>
      <c r="B3115" s="35" t="s">
        <v>3412</v>
      </c>
      <c r="C3115" s="35">
        <v>2023</v>
      </c>
      <c r="D3115" s="36">
        <v>45102.634988425933</v>
      </c>
      <c r="E3115" s="37" t="s">
        <v>3038</v>
      </c>
      <c r="F3115" s="37" t="s">
        <v>5699</v>
      </c>
      <c r="G3115" s="37" t="s">
        <v>3520</v>
      </c>
      <c r="H3115" s="35" t="s">
        <v>3419</v>
      </c>
      <c r="I3115" s="35" t="s">
        <v>3416</v>
      </c>
      <c r="J3115" s="38">
        <v>0.53697632058287803</v>
      </c>
      <c r="K3115" s="35">
        <v>1</v>
      </c>
      <c r="L3115" s="38">
        <f t="shared" si="48"/>
        <v>0.53697632058287803</v>
      </c>
      <c r="M3115" s="35" t="s">
        <v>11</v>
      </c>
      <c r="N3115" s="38"/>
      <c r="O3115" s="35" t="s">
        <v>12</v>
      </c>
    </row>
    <row r="3116" spans="1:15" ht="30" x14ac:dyDescent="0.25">
      <c r="A3116" s="35">
        <v>1117712995</v>
      </c>
      <c r="B3116" s="35" t="s">
        <v>3412</v>
      </c>
      <c r="C3116" s="35">
        <v>2023</v>
      </c>
      <c r="D3116" s="36">
        <v>45102.634988425933</v>
      </c>
      <c r="E3116" s="37" t="s">
        <v>3038</v>
      </c>
      <c r="F3116" s="37" t="s">
        <v>5687</v>
      </c>
      <c r="G3116" s="37" t="s">
        <v>3520</v>
      </c>
      <c r="H3116" s="35" t="s">
        <v>3419</v>
      </c>
      <c r="I3116" s="35" t="s">
        <v>3416</v>
      </c>
      <c r="J3116" s="38">
        <v>0.67122040072859745</v>
      </c>
      <c r="K3116" s="35">
        <v>1</v>
      </c>
      <c r="L3116" s="38">
        <f t="shared" si="48"/>
        <v>0.67122040072859745</v>
      </c>
      <c r="M3116" s="35" t="s">
        <v>11</v>
      </c>
      <c r="N3116" s="38"/>
      <c r="O3116" s="35" t="s">
        <v>12</v>
      </c>
    </row>
    <row r="3117" spans="1:15" x14ac:dyDescent="0.25">
      <c r="A3117" s="35">
        <v>1116208559</v>
      </c>
      <c r="B3117" s="35" t="s">
        <v>3412</v>
      </c>
      <c r="C3117" s="35">
        <v>2023</v>
      </c>
      <c r="D3117" s="36">
        <v>45087.375219907408</v>
      </c>
      <c r="E3117" s="37" t="s">
        <v>3040</v>
      </c>
      <c r="F3117" s="37" t="s">
        <v>5958</v>
      </c>
      <c r="G3117" s="37" t="s">
        <v>5736</v>
      </c>
      <c r="H3117" s="35" t="s">
        <v>3419</v>
      </c>
      <c r="I3117" s="35" t="s">
        <v>3416</v>
      </c>
      <c r="J3117" s="38">
        <v>15.972527472527471</v>
      </c>
      <c r="K3117" s="35">
        <v>1</v>
      </c>
      <c r="L3117" s="38">
        <f t="shared" si="48"/>
        <v>15.972527472527471</v>
      </c>
      <c r="M3117" s="35" t="s">
        <v>11</v>
      </c>
      <c r="N3117" s="38"/>
      <c r="O3117" s="35" t="s">
        <v>12</v>
      </c>
    </row>
    <row r="3118" spans="1:15" x14ac:dyDescent="0.25">
      <c r="A3118" s="35">
        <v>1116208559</v>
      </c>
      <c r="B3118" s="35" t="s">
        <v>3412</v>
      </c>
      <c r="C3118" s="35">
        <v>2023</v>
      </c>
      <c r="D3118" s="36">
        <v>45087.375219907408</v>
      </c>
      <c r="E3118" s="37" t="s">
        <v>3040</v>
      </c>
      <c r="F3118" s="37" t="s">
        <v>5160</v>
      </c>
      <c r="G3118" s="37" t="s">
        <v>3712</v>
      </c>
      <c r="H3118" s="35" t="s">
        <v>3419</v>
      </c>
      <c r="I3118" s="35" t="s">
        <v>3416</v>
      </c>
      <c r="J3118" s="38">
        <v>1.064835164835165</v>
      </c>
      <c r="K3118" s="35">
        <v>1</v>
      </c>
      <c r="L3118" s="38">
        <f t="shared" si="48"/>
        <v>1.064835164835165</v>
      </c>
      <c r="M3118" s="35" t="s">
        <v>11</v>
      </c>
      <c r="N3118" s="38"/>
      <c r="O3118" s="35" t="s">
        <v>12</v>
      </c>
    </row>
    <row r="3119" spans="1:15" x14ac:dyDescent="0.25">
      <c r="A3119" s="35">
        <v>1116208559</v>
      </c>
      <c r="B3119" s="35" t="s">
        <v>3412</v>
      </c>
      <c r="C3119" s="35">
        <v>2023</v>
      </c>
      <c r="D3119" s="36">
        <v>45087.375219907408</v>
      </c>
      <c r="E3119" s="37" t="s">
        <v>3040</v>
      </c>
      <c r="F3119" s="37" t="s">
        <v>5959</v>
      </c>
      <c r="G3119" s="37" t="s">
        <v>3970</v>
      </c>
      <c r="H3119" s="35" t="s">
        <v>3419</v>
      </c>
      <c r="I3119" s="35" t="s">
        <v>3416</v>
      </c>
      <c r="J3119" s="38">
        <v>0.21296703296703301</v>
      </c>
      <c r="K3119" s="35">
        <v>1</v>
      </c>
      <c r="L3119" s="38">
        <f t="shared" si="48"/>
        <v>0.21296703296703301</v>
      </c>
      <c r="M3119" s="35" t="s">
        <v>11</v>
      </c>
      <c r="N3119" s="38"/>
      <c r="O3119" s="35" t="s">
        <v>12</v>
      </c>
    </row>
    <row r="3120" spans="1:15" x14ac:dyDescent="0.25">
      <c r="A3120" s="35">
        <v>1116208559</v>
      </c>
      <c r="B3120" s="35" t="s">
        <v>3412</v>
      </c>
      <c r="C3120" s="35">
        <v>2023</v>
      </c>
      <c r="D3120" s="36">
        <v>45087.375219907408</v>
      </c>
      <c r="E3120" s="37" t="s">
        <v>3040</v>
      </c>
      <c r="F3120" s="37" t="s">
        <v>5960</v>
      </c>
      <c r="G3120" s="37" t="s">
        <v>3945</v>
      </c>
      <c r="H3120" s="35" t="s">
        <v>3419</v>
      </c>
      <c r="I3120" s="35" t="s">
        <v>3416</v>
      </c>
      <c r="J3120" s="38">
        <v>2.1296703296703301</v>
      </c>
      <c r="K3120" s="35">
        <v>1</v>
      </c>
      <c r="L3120" s="38">
        <f t="shared" si="48"/>
        <v>2.1296703296703301</v>
      </c>
      <c r="M3120" s="35" t="s">
        <v>11</v>
      </c>
      <c r="N3120" s="38"/>
      <c r="O3120" s="35" t="s">
        <v>12</v>
      </c>
    </row>
    <row r="3121" spans="1:15" x14ac:dyDescent="0.25">
      <c r="A3121" s="35">
        <v>1115945555</v>
      </c>
      <c r="B3121" s="35" t="s">
        <v>3412</v>
      </c>
      <c r="C3121" s="35">
        <v>2023</v>
      </c>
      <c r="D3121" s="36">
        <v>45084.425868055558</v>
      </c>
      <c r="E3121" s="37" t="s">
        <v>3043</v>
      </c>
      <c r="F3121" s="37" t="s">
        <v>5961</v>
      </c>
      <c r="G3121" s="37" t="s">
        <v>4561</v>
      </c>
      <c r="H3121" s="35" t="s">
        <v>3419</v>
      </c>
      <c r="I3121" s="35" t="s">
        <v>3530</v>
      </c>
      <c r="J3121" s="38">
        <v>7.0245198675496692</v>
      </c>
      <c r="K3121" s="35">
        <v>1</v>
      </c>
      <c r="L3121" s="38">
        <f t="shared" si="48"/>
        <v>7.0245198675496692</v>
      </c>
      <c r="M3121" s="35" t="s">
        <v>11</v>
      </c>
      <c r="N3121" s="38"/>
      <c r="O3121" s="35" t="s">
        <v>12</v>
      </c>
    </row>
    <row r="3122" spans="1:15" x14ac:dyDescent="0.25">
      <c r="A3122" s="35">
        <v>1115945555</v>
      </c>
      <c r="B3122" s="35" t="s">
        <v>3412</v>
      </c>
      <c r="C3122" s="35">
        <v>2023</v>
      </c>
      <c r="D3122" s="36">
        <v>45084.425868055558</v>
      </c>
      <c r="E3122" s="37" t="s">
        <v>3043</v>
      </c>
      <c r="F3122" s="37" t="s">
        <v>4312</v>
      </c>
      <c r="G3122" s="37" t="s">
        <v>3876</v>
      </c>
      <c r="H3122" s="35" t="s">
        <v>3419</v>
      </c>
      <c r="I3122" s="35" t="s">
        <v>3640</v>
      </c>
      <c r="J3122" s="38">
        <v>8.7837913907284779</v>
      </c>
      <c r="K3122" s="35">
        <v>2</v>
      </c>
      <c r="L3122" s="38">
        <f t="shared" si="48"/>
        <v>17.567582781456956</v>
      </c>
      <c r="M3122" s="35" t="s">
        <v>11</v>
      </c>
      <c r="N3122" s="38"/>
      <c r="O3122" s="35" t="s">
        <v>12</v>
      </c>
    </row>
    <row r="3123" spans="1:15" x14ac:dyDescent="0.25">
      <c r="A3123" s="35">
        <v>1115945555</v>
      </c>
      <c r="B3123" s="35" t="s">
        <v>3412</v>
      </c>
      <c r="C3123" s="35">
        <v>2023</v>
      </c>
      <c r="D3123" s="36">
        <v>45084.425868055558</v>
      </c>
      <c r="E3123" s="37" t="s">
        <v>3043</v>
      </c>
      <c r="F3123" s="37" t="s">
        <v>5962</v>
      </c>
      <c r="G3123" s="37" t="s">
        <v>5963</v>
      </c>
      <c r="H3123" s="35" t="s">
        <v>3419</v>
      </c>
      <c r="I3123" s="35" t="s">
        <v>3640</v>
      </c>
      <c r="J3123" s="38">
        <v>5.7678973509933771</v>
      </c>
      <c r="K3123" s="35">
        <v>1</v>
      </c>
      <c r="L3123" s="38">
        <f t="shared" si="48"/>
        <v>5.7678973509933771</v>
      </c>
      <c r="M3123" s="35" t="s">
        <v>11</v>
      </c>
      <c r="N3123" s="38"/>
      <c r="O3123" s="35" t="s">
        <v>12</v>
      </c>
    </row>
    <row r="3124" spans="1:15" x14ac:dyDescent="0.25">
      <c r="A3124" s="35">
        <v>1115850700</v>
      </c>
      <c r="B3124" s="35" t="s">
        <v>3412</v>
      </c>
      <c r="C3124" s="35">
        <v>2023</v>
      </c>
      <c r="D3124" s="36">
        <v>45083.452997685177</v>
      </c>
      <c r="E3124" s="37" t="s">
        <v>3046</v>
      </c>
      <c r="F3124" s="37" t="s">
        <v>4712</v>
      </c>
      <c r="G3124" s="37" t="s">
        <v>3723</v>
      </c>
      <c r="H3124" s="35" t="s">
        <v>3419</v>
      </c>
      <c r="I3124" s="35" t="s">
        <v>3530</v>
      </c>
      <c r="J3124" s="38">
        <v>10.59</v>
      </c>
      <c r="K3124" s="35">
        <v>2</v>
      </c>
      <c r="L3124" s="38">
        <f t="shared" si="48"/>
        <v>21.18</v>
      </c>
      <c r="M3124" s="35" t="s">
        <v>11</v>
      </c>
      <c r="N3124" s="38"/>
      <c r="O3124" s="35" t="s">
        <v>12</v>
      </c>
    </row>
    <row r="3125" spans="1:15" x14ac:dyDescent="0.25">
      <c r="A3125" s="35">
        <v>1115848817</v>
      </c>
      <c r="B3125" s="35" t="s">
        <v>3412</v>
      </c>
      <c r="C3125" s="35">
        <v>2023</v>
      </c>
      <c r="D3125" s="36">
        <v>45083.451585648138</v>
      </c>
      <c r="E3125" s="37" t="s">
        <v>3049</v>
      </c>
      <c r="F3125" s="37" t="s">
        <v>4451</v>
      </c>
      <c r="G3125" s="37" t="s">
        <v>3674</v>
      </c>
      <c r="H3125" s="35" t="s">
        <v>3415</v>
      </c>
      <c r="I3125" s="35" t="s">
        <v>3530</v>
      </c>
      <c r="J3125" s="38">
        <v>0.53856209150326795</v>
      </c>
      <c r="K3125" s="35">
        <v>4</v>
      </c>
      <c r="L3125" s="38">
        <f t="shared" si="48"/>
        <v>2.1542483660130718</v>
      </c>
      <c r="M3125" s="35" t="s">
        <v>11</v>
      </c>
      <c r="N3125" s="38"/>
      <c r="O3125" s="35" t="s">
        <v>12</v>
      </c>
    </row>
    <row r="3126" spans="1:15" x14ac:dyDescent="0.25">
      <c r="A3126" s="35">
        <v>1115848817</v>
      </c>
      <c r="B3126" s="35" t="s">
        <v>3412</v>
      </c>
      <c r="C3126" s="35">
        <v>2023</v>
      </c>
      <c r="D3126" s="36">
        <v>45083.451585648138</v>
      </c>
      <c r="E3126" s="37" t="s">
        <v>3049</v>
      </c>
      <c r="F3126" s="37" t="s">
        <v>4455</v>
      </c>
      <c r="G3126" s="37" t="s">
        <v>3674</v>
      </c>
      <c r="H3126" s="35" t="s">
        <v>3419</v>
      </c>
      <c r="I3126" s="35" t="s">
        <v>3530</v>
      </c>
      <c r="J3126" s="38">
        <v>0.64627450980392143</v>
      </c>
      <c r="K3126" s="35">
        <v>3</v>
      </c>
      <c r="L3126" s="38">
        <f t="shared" si="48"/>
        <v>1.9388235294117644</v>
      </c>
      <c r="M3126" s="35" t="s">
        <v>11</v>
      </c>
      <c r="N3126" s="38"/>
      <c r="O3126" s="35" t="s">
        <v>12</v>
      </c>
    </row>
    <row r="3127" spans="1:15" x14ac:dyDescent="0.25">
      <c r="A3127" s="35">
        <v>1115848817</v>
      </c>
      <c r="B3127" s="35" t="s">
        <v>3412</v>
      </c>
      <c r="C3127" s="35">
        <v>2023</v>
      </c>
      <c r="D3127" s="36">
        <v>45083.451585648138</v>
      </c>
      <c r="E3127" s="37" t="s">
        <v>3049</v>
      </c>
      <c r="F3127" s="37" t="s">
        <v>4453</v>
      </c>
      <c r="G3127" s="37" t="s">
        <v>5495</v>
      </c>
      <c r="H3127" s="35" t="s">
        <v>3419</v>
      </c>
      <c r="I3127" s="35" t="s">
        <v>3416</v>
      </c>
      <c r="J3127" s="38">
        <v>2.1542483660130718</v>
      </c>
      <c r="K3127" s="35">
        <v>1</v>
      </c>
      <c r="L3127" s="38">
        <f t="shared" si="48"/>
        <v>2.1542483660130718</v>
      </c>
      <c r="M3127" s="35" t="s">
        <v>11</v>
      </c>
      <c r="N3127" s="38"/>
      <c r="O3127" s="35" t="s">
        <v>12</v>
      </c>
    </row>
    <row r="3128" spans="1:15" x14ac:dyDescent="0.25">
      <c r="A3128" s="35">
        <v>1115848817</v>
      </c>
      <c r="B3128" s="35" t="s">
        <v>3412</v>
      </c>
      <c r="C3128" s="35">
        <v>2023</v>
      </c>
      <c r="D3128" s="36">
        <v>45083.451585648138</v>
      </c>
      <c r="E3128" s="37" t="s">
        <v>3049</v>
      </c>
      <c r="F3128" s="37" t="s">
        <v>4451</v>
      </c>
      <c r="G3128" s="37" t="s">
        <v>5495</v>
      </c>
      <c r="H3128" s="35" t="s">
        <v>3419</v>
      </c>
      <c r="I3128" s="35" t="s">
        <v>3416</v>
      </c>
      <c r="J3128" s="38">
        <v>2.6928104575163401</v>
      </c>
      <c r="K3128" s="35">
        <v>3</v>
      </c>
      <c r="L3128" s="38">
        <f t="shared" si="48"/>
        <v>8.0784313725490193</v>
      </c>
      <c r="M3128" s="35" t="s">
        <v>11</v>
      </c>
      <c r="N3128" s="38"/>
      <c r="O3128" s="35" t="s">
        <v>12</v>
      </c>
    </row>
    <row r="3129" spans="1:15" x14ac:dyDescent="0.25">
      <c r="A3129" s="35">
        <v>1115848817</v>
      </c>
      <c r="B3129" s="35" t="s">
        <v>3412</v>
      </c>
      <c r="C3129" s="35">
        <v>2023</v>
      </c>
      <c r="D3129" s="36">
        <v>45083.451585648138</v>
      </c>
      <c r="E3129" s="37" t="s">
        <v>3049</v>
      </c>
      <c r="F3129" s="37" t="s">
        <v>4453</v>
      </c>
      <c r="G3129" s="37" t="s">
        <v>3674</v>
      </c>
      <c r="H3129" s="35" t="s">
        <v>3415</v>
      </c>
      <c r="I3129" s="35" t="s">
        <v>3530</v>
      </c>
      <c r="J3129" s="38">
        <v>0.53856209150326795</v>
      </c>
      <c r="K3129" s="35">
        <v>4</v>
      </c>
      <c r="L3129" s="38">
        <f t="shared" si="48"/>
        <v>2.1542483660130718</v>
      </c>
      <c r="M3129" s="35" t="s">
        <v>11</v>
      </c>
      <c r="N3129" s="38"/>
      <c r="O3129" s="35" t="s">
        <v>12</v>
      </c>
    </row>
    <row r="3130" spans="1:15" x14ac:dyDescent="0.25">
      <c r="A3130" s="35">
        <v>1115848816</v>
      </c>
      <c r="B3130" s="35" t="s">
        <v>3412</v>
      </c>
      <c r="C3130" s="35">
        <v>2023</v>
      </c>
      <c r="D3130" s="36">
        <v>45083.451585648138</v>
      </c>
      <c r="E3130" s="37" t="s">
        <v>3051</v>
      </c>
      <c r="F3130" s="37" t="s">
        <v>4451</v>
      </c>
      <c r="G3130" s="37" t="s">
        <v>5495</v>
      </c>
      <c r="H3130" s="35" t="s">
        <v>3419</v>
      </c>
      <c r="I3130" s="35" t="s">
        <v>3416</v>
      </c>
      <c r="J3130" s="38">
        <v>2.2360000000000002</v>
      </c>
      <c r="K3130" s="35">
        <v>1</v>
      </c>
      <c r="L3130" s="38">
        <f t="shared" si="48"/>
        <v>2.2360000000000002</v>
      </c>
      <c r="M3130" s="35" t="s">
        <v>11</v>
      </c>
      <c r="N3130" s="38"/>
      <c r="O3130" s="35" t="s">
        <v>12</v>
      </c>
    </row>
    <row r="3131" spans="1:15" x14ac:dyDescent="0.25">
      <c r="A3131" s="35">
        <v>1115848816</v>
      </c>
      <c r="B3131" s="35" t="s">
        <v>3412</v>
      </c>
      <c r="C3131" s="35">
        <v>2023</v>
      </c>
      <c r="D3131" s="36">
        <v>45083.451585648138</v>
      </c>
      <c r="E3131" s="37" t="s">
        <v>3051</v>
      </c>
      <c r="F3131" s="37" t="s">
        <v>4455</v>
      </c>
      <c r="G3131" s="37" t="s">
        <v>5495</v>
      </c>
      <c r="H3131" s="35" t="s">
        <v>3415</v>
      </c>
      <c r="I3131" s="35" t="s">
        <v>3416</v>
      </c>
      <c r="J3131" s="38">
        <v>2.2360000000000002</v>
      </c>
      <c r="K3131" s="35">
        <v>4</v>
      </c>
      <c r="L3131" s="38">
        <f t="shared" si="48"/>
        <v>8.9440000000000008</v>
      </c>
      <c r="M3131" s="35" t="s">
        <v>11</v>
      </c>
      <c r="N3131" s="38"/>
      <c r="O3131" s="35" t="s">
        <v>12</v>
      </c>
    </row>
    <row r="3132" spans="1:15" x14ac:dyDescent="0.25">
      <c r="A3132" s="35">
        <v>1115785176</v>
      </c>
      <c r="B3132" s="35" t="s">
        <v>3412</v>
      </c>
      <c r="C3132" s="35">
        <v>2023</v>
      </c>
      <c r="D3132" s="36">
        <v>45082.73542824074</v>
      </c>
      <c r="E3132" s="37" t="s">
        <v>3053</v>
      </c>
      <c r="F3132" s="37" t="s">
        <v>4615</v>
      </c>
      <c r="G3132" s="37" t="s">
        <v>4017</v>
      </c>
      <c r="H3132" s="35" t="s">
        <v>3415</v>
      </c>
      <c r="I3132" s="35" t="s">
        <v>3530</v>
      </c>
      <c r="J3132" s="38">
        <v>1.2450000000000001</v>
      </c>
      <c r="K3132" s="35">
        <v>4</v>
      </c>
      <c r="L3132" s="38">
        <f t="shared" si="48"/>
        <v>4.9800000000000004</v>
      </c>
      <c r="M3132" s="35" t="s">
        <v>11</v>
      </c>
      <c r="N3132" s="38"/>
      <c r="O3132" s="35" t="s">
        <v>12</v>
      </c>
    </row>
    <row r="3133" spans="1:15" x14ac:dyDescent="0.25">
      <c r="A3133" s="35">
        <v>1115784837</v>
      </c>
      <c r="B3133" s="35" t="s">
        <v>3412</v>
      </c>
      <c r="C3133" s="35">
        <v>2023</v>
      </c>
      <c r="D3133" s="36">
        <v>45082.73542824074</v>
      </c>
      <c r="E3133" s="37" t="s">
        <v>2722</v>
      </c>
      <c r="F3133" s="37" t="s">
        <v>5964</v>
      </c>
      <c r="G3133" s="37" t="s">
        <v>4017</v>
      </c>
      <c r="H3133" s="35" t="s">
        <v>3419</v>
      </c>
      <c r="I3133" s="35" t="s">
        <v>3530</v>
      </c>
      <c r="J3133" s="38">
        <v>1.261560693641619</v>
      </c>
      <c r="K3133" s="35">
        <v>1</v>
      </c>
      <c r="L3133" s="38">
        <f t="shared" si="48"/>
        <v>1.261560693641619</v>
      </c>
      <c r="M3133" s="35" t="s">
        <v>11</v>
      </c>
      <c r="N3133" s="38"/>
      <c r="O3133" s="35" t="s">
        <v>12</v>
      </c>
    </row>
    <row r="3134" spans="1:15" ht="30" x14ac:dyDescent="0.25">
      <c r="A3134" s="35">
        <v>1115784837</v>
      </c>
      <c r="B3134" s="35" t="s">
        <v>3412</v>
      </c>
      <c r="C3134" s="35">
        <v>2023</v>
      </c>
      <c r="D3134" s="36">
        <v>45082.73542824074</v>
      </c>
      <c r="E3134" s="37" t="s">
        <v>2722</v>
      </c>
      <c r="F3134" s="37" t="s">
        <v>4681</v>
      </c>
      <c r="G3134" s="37" t="s">
        <v>4682</v>
      </c>
      <c r="H3134" s="35" t="s">
        <v>3419</v>
      </c>
      <c r="I3134" s="35" t="s">
        <v>3416</v>
      </c>
      <c r="J3134" s="38">
        <v>1.648439306358382</v>
      </c>
      <c r="K3134" s="35">
        <v>1</v>
      </c>
      <c r="L3134" s="38">
        <f t="shared" si="48"/>
        <v>1.648439306358382</v>
      </c>
      <c r="M3134" s="35" t="s">
        <v>11</v>
      </c>
      <c r="N3134" s="38"/>
      <c r="O3134" s="35" t="s">
        <v>12</v>
      </c>
    </row>
    <row r="3135" spans="1:15" x14ac:dyDescent="0.25">
      <c r="A3135" s="35">
        <v>1115781748</v>
      </c>
      <c r="B3135" s="35" t="s">
        <v>3412</v>
      </c>
      <c r="C3135" s="35">
        <v>2023</v>
      </c>
      <c r="D3135" s="36">
        <v>45082.726736111108</v>
      </c>
      <c r="E3135" s="37" t="s">
        <v>2542</v>
      </c>
      <c r="F3135" s="37" t="s">
        <v>4260</v>
      </c>
      <c r="G3135" s="37" t="s">
        <v>3937</v>
      </c>
      <c r="H3135" s="35" t="s">
        <v>3419</v>
      </c>
      <c r="I3135" s="35" t="s">
        <v>3530</v>
      </c>
      <c r="J3135" s="38">
        <v>5.3107344632768356</v>
      </c>
      <c r="K3135" s="35">
        <v>2</v>
      </c>
      <c r="L3135" s="38">
        <f t="shared" si="48"/>
        <v>10.621468926553671</v>
      </c>
      <c r="M3135" s="35" t="s">
        <v>11</v>
      </c>
      <c r="N3135" s="38"/>
      <c r="O3135" s="35" t="s">
        <v>12</v>
      </c>
    </row>
    <row r="3136" spans="1:15" x14ac:dyDescent="0.25">
      <c r="A3136" s="35">
        <v>1115781748</v>
      </c>
      <c r="B3136" s="35" t="s">
        <v>3412</v>
      </c>
      <c r="C3136" s="35">
        <v>2023</v>
      </c>
      <c r="D3136" s="36">
        <v>45082.726736111108</v>
      </c>
      <c r="E3136" s="37" t="s">
        <v>2542</v>
      </c>
      <c r="F3136" s="37" t="s">
        <v>5967</v>
      </c>
      <c r="G3136" s="37" t="s">
        <v>3710</v>
      </c>
      <c r="H3136" s="35" t="s">
        <v>3419</v>
      </c>
      <c r="I3136" s="35" t="s">
        <v>3416</v>
      </c>
      <c r="J3136" s="38">
        <v>2.6553672316384178</v>
      </c>
      <c r="K3136" s="35">
        <v>1</v>
      </c>
      <c r="L3136" s="38">
        <f t="shared" si="48"/>
        <v>2.6553672316384178</v>
      </c>
      <c r="M3136" s="35" t="s">
        <v>11</v>
      </c>
      <c r="N3136" s="38"/>
      <c r="O3136" s="35" t="s">
        <v>12</v>
      </c>
    </row>
    <row r="3137" spans="1:15" x14ac:dyDescent="0.25">
      <c r="A3137" s="35">
        <v>1115781748</v>
      </c>
      <c r="B3137" s="35" t="s">
        <v>3412</v>
      </c>
      <c r="C3137" s="35">
        <v>2023</v>
      </c>
      <c r="D3137" s="36">
        <v>45082.726736111108</v>
      </c>
      <c r="E3137" s="37" t="s">
        <v>2542</v>
      </c>
      <c r="F3137" s="37" t="s">
        <v>4706</v>
      </c>
      <c r="G3137" s="37" t="s">
        <v>4024</v>
      </c>
      <c r="H3137" s="35" t="s">
        <v>3419</v>
      </c>
      <c r="I3137" s="35" t="s">
        <v>3530</v>
      </c>
      <c r="J3137" s="38">
        <v>0.1327683615819209</v>
      </c>
      <c r="K3137" s="35">
        <v>1</v>
      </c>
      <c r="L3137" s="38">
        <f t="shared" si="48"/>
        <v>0.1327683615819209</v>
      </c>
      <c r="M3137" s="35" t="s">
        <v>11</v>
      </c>
      <c r="N3137" s="38"/>
      <c r="O3137" s="35" t="s">
        <v>12</v>
      </c>
    </row>
    <row r="3138" spans="1:15" x14ac:dyDescent="0.25">
      <c r="A3138" s="35">
        <v>1115781748</v>
      </c>
      <c r="B3138" s="35" t="s">
        <v>3412</v>
      </c>
      <c r="C3138" s="35">
        <v>2023</v>
      </c>
      <c r="D3138" s="36">
        <v>45082.726736111108</v>
      </c>
      <c r="E3138" s="37" t="s">
        <v>2542</v>
      </c>
      <c r="F3138" s="37" t="s">
        <v>5968</v>
      </c>
      <c r="G3138" s="37" t="s">
        <v>3797</v>
      </c>
      <c r="H3138" s="35" t="s">
        <v>3419</v>
      </c>
      <c r="I3138" s="35" t="s">
        <v>3530</v>
      </c>
      <c r="J3138" s="38">
        <v>0.66384180790960445</v>
      </c>
      <c r="K3138" s="35">
        <v>2</v>
      </c>
      <c r="L3138" s="38">
        <f t="shared" ref="L3138:L3201" si="49">J3138*K3138</f>
        <v>1.3276836158192089</v>
      </c>
      <c r="M3138" s="35" t="s">
        <v>11</v>
      </c>
      <c r="N3138" s="38"/>
      <c r="O3138" s="35" t="s">
        <v>12</v>
      </c>
    </row>
    <row r="3139" spans="1:15" x14ac:dyDescent="0.25">
      <c r="A3139" s="35">
        <v>1115781748</v>
      </c>
      <c r="B3139" s="35" t="s">
        <v>3412</v>
      </c>
      <c r="C3139" s="35">
        <v>2023</v>
      </c>
      <c r="D3139" s="36">
        <v>45082.726736111108</v>
      </c>
      <c r="E3139" s="37" t="s">
        <v>2542</v>
      </c>
      <c r="F3139" s="37" t="s">
        <v>5969</v>
      </c>
      <c r="G3139" s="37" t="s">
        <v>4173</v>
      </c>
      <c r="H3139" s="35" t="s">
        <v>3419</v>
      </c>
      <c r="I3139" s="35" t="s">
        <v>3530</v>
      </c>
      <c r="J3139" s="38">
        <v>0.66384180790960445</v>
      </c>
      <c r="K3139" s="35">
        <v>1</v>
      </c>
      <c r="L3139" s="38">
        <f t="shared" si="49"/>
        <v>0.66384180790960445</v>
      </c>
      <c r="M3139" s="35" t="s">
        <v>11</v>
      </c>
      <c r="N3139" s="38"/>
      <c r="O3139" s="35" t="s">
        <v>12</v>
      </c>
    </row>
    <row r="3140" spans="1:15" x14ac:dyDescent="0.25">
      <c r="A3140" s="35">
        <v>1115781748</v>
      </c>
      <c r="B3140" s="35" t="s">
        <v>3412</v>
      </c>
      <c r="C3140" s="35">
        <v>2023</v>
      </c>
      <c r="D3140" s="36">
        <v>45082.726736111108</v>
      </c>
      <c r="E3140" s="37" t="s">
        <v>2542</v>
      </c>
      <c r="F3140" s="37" t="s">
        <v>5970</v>
      </c>
      <c r="G3140" s="37" t="s">
        <v>3889</v>
      </c>
      <c r="H3140" s="35" t="s">
        <v>3419</v>
      </c>
      <c r="I3140" s="35" t="s">
        <v>3530</v>
      </c>
      <c r="J3140" s="38">
        <v>0.1327683615819209</v>
      </c>
      <c r="K3140" s="35">
        <v>1</v>
      </c>
      <c r="L3140" s="38">
        <f t="shared" si="49"/>
        <v>0.1327683615819209</v>
      </c>
      <c r="M3140" s="35" t="s">
        <v>11</v>
      </c>
      <c r="N3140" s="38"/>
      <c r="O3140" s="35" t="s">
        <v>12</v>
      </c>
    </row>
    <row r="3141" spans="1:15" x14ac:dyDescent="0.25">
      <c r="A3141" s="35">
        <v>1115781748</v>
      </c>
      <c r="B3141" s="35" t="s">
        <v>3412</v>
      </c>
      <c r="C3141" s="35">
        <v>2023</v>
      </c>
      <c r="D3141" s="36">
        <v>45082.726736111108</v>
      </c>
      <c r="E3141" s="37" t="s">
        <v>2542</v>
      </c>
      <c r="F3141" s="37" t="s">
        <v>5966</v>
      </c>
      <c r="G3141" s="37" t="s">
        <v>4173</v>
      </c>
      <c r="H3141" s="35" t="s">
        <v>3419</v>
      </c>
      <c r="I3141" s="35" t="s">
        <v>3530</v>
      </c>
      <c r="J3141" s="38">
        <v>3.9830508474576272</v>
      </c>
      <c r="K3141" s="35">
        <v>2</v>
      </c>
      <c r="L3141" s="38">
        <f t="shared" si="49"/>
        <v>7.9661016949152543</v>
      </c>
      <c r="M3141" s="35" t="s">
        <v>11</v>
      </c>
      <c r="N3141" s="38"/>
      <c r="O3141" s="35" t="s">
        <v>12</v>
      </c>
    </row>
    <row r="3142" spans="1:15" x14ac:dyDescent="0.25">
      <c r="A3142" s="35">
        <v>1115028328</v>
      </c>
      <c r="B3142" s="35" t="s">
        <v>3527</v>
      </c>
      <c r="C3142" s="35">
        <v>2023</v>
      </c>
      <c r="D3142" s="36">
        <v>45077.401388888888</v>
      </c>
      <c r="E3142" s="37" t="s">
        <v>3062</v>
      </c>
      <c r="F3142" s="37" t="s">
        <v>5512</v>
      </c>
      <c r="G3142" s="37" t="s">
        <v>4432</v>
      </c>
      <c r="H3142" s="35" t="s">
        <v>3419</v>
      </c>
      <c r="I3142" s="35" t="s">
        <v>3416</v>
      </c>
      <c r="J3142" s="38">
        <v>8.3247800586510259</v>
      </c>
      <c r="K3142" s="35">
        <v>1</v>
      </c>
      <c r="L3142" s="38">
        <f t="shared" si="49"/>
        <v>8.3247800586510259</v>
      </c>
      <c r="M3142" s="35" t="s">
        <v>11</v>
      </c>
      <c r="N3142" s="38"/>
      <c r="O3142" s="35" t="s">
        <v>12</v>
      </c>
    </row>
    <row r="3143" spans="1:15" x14ac:dyDescent="0.25">
      <c r="A3143" s="35">
        <v>1115028328</v>
      </c>
      <c r="B3143" s="35" t="s">
        <v>3527</v>
      </c>
      <c r="C3143" s="35">
        <v>2023</v>
      </c>
      <c r="D3143" s="36">
        <v>45077.401388888888</v>
      </c>
      <c r="E3143" s="37" t="s">
        <v>3062</v>
      </c>
      <c r="F3143" s="37" t="s">
        <v>5512</v>
      </c>
      <c r="G3143" s="37" t="s">
        <v>4432</v>
      </c>
      <c r="H3143" s="35" t="s">
        <v>3419</v>
      </c>
      <c r="I3143" s="35" t="s">
        <v>3416</v>
      </c>
      <c r="J3143" s="38">
        <v>9.9342375366568909</v>
      </c>
      <c r="K3143" s="35">
        <v>1</v>
      </c>
      <c r="L3143" s="38">
        <f t="shared" si="49"/>
        <v>9.9342375366568909</v>
      </c>
      <c r="M3143" s="35" t="s">
        <v>11</v>
      </c>
      <c r="N3143" s="38"/>
      <c r="O3143" s="35" t="s">
        <v>12</v>
      </c>
    </row>
    <row r="3144" spans="1:15" x14ac:dyDescent="0.25">
      <c r="A3144" s="35">
        <v>1115028328</v>
      </c>
      <c r="B3144" s="35" t="s">
        <v>3527</v>
      </c>
      <c r="C3144" s="35">
        <v>2023</v>
      </c>
      <c r="D3144" s="36">
        <v>45077.401388888888</v>
      </c>
      <c r="E3144" s="37" t="s">
        <v>3062</v>
      </c>
      <c r="F3144" s="37" t="s">
        <v>5972</v>
      </c>
      <c r="G3144" s="37" t="s">
        <v>5973</v>
      </c>
      <c r="H3144" s="35" t="s">
        <v>3419</v>
      </c>
      <c r="I3144" s="35" t="s">
        <v>3416</v>
      </c>
      <c r="J3144" s="38">
        <v>8.8242668621700879</v>
      </c>
      <c r="K3144" s="35">
        <v>2</v>
      </c>
      <c r="L3144" s="38">
        <f t="shared" si="49"/>
        <v>17.648533724340176</v>
      </c>
      <c r="M3144" s="35" t="s">
        <v>11</v>
      </c>
      <c r="N3144" s="38"/>
      <c r="O3144" s="35" t="s">
        <v>12</v>
      </c>
    </row>
    <row r="3145" spans="1:15" x14ac:dyDescent="0.25">
      <c r="A3145" s="35">
        <v>1115028328</v>
      </c>
      <c r="B3145" s="35" t="s">
        <v>3527</v>
      </c>
      <c r="C3145" s="35">
        <v>2023</v>
      </c>
      <c r="D3145" s="36">
        <v>45077.401388888888</v>
      </c>
      <c r="E3145" s="37" t="s">
        <v>3062</v>
      </c>
      <c r="F3145" s="37" t="s">
        <v>5974</v>
      </c>
      <c r="G3145" s="37" t="s">
        <v>4784</v>
      </c>
      <c r="H3145" s="35" t="s">
        <v>3419</v>
      </c>
      <c r="I3145" s="35" t="s">
        <v>3416</v>
      </c>
      <c r="J3145" s="38">
        <v>1.9424486803519061</v>
      </c>
      <c r="K3145" s="35">
        <v>1</v>
      </c>
      <c r="L3145" s="38">
        <f t="shared" si="49"/>
        <v>1.9424486803519061</v>
      </c>
      <c r="M3145" s="35" t="s">
        <v>11</v>
      </c>
      <c r="N3145" s="38"/>
      <c r="O3145" s="35" t="s">
        <v>12</v>
      </c>
    </row>
    <row r="3146" spans="1:15" x14ac:dyDescent="0.25">
      <c r="A3146" s="35">
        <v>1114867045</v>
      </c>
      <c r="B3146" s="35" t="s">
        <v>3527</v>
      </c>
      <c r="C3146" s="35">
        <v>2023</v>
      </c>
      <c r="D3146" s="36">
        <v>45077.32707175926</v>
      </c>
      <c r="E3146" s="37" t="s">
        <v>3065</v>
      </c>
      <c r="F3146" s="37" t="s">
        <v>5975</v>
      </c>
      <c r="G3146" s="37" t="s">
        <v>3702</v>
      </c>
      <c r="H3146" s="35" t="s">
        <v>3419</v>
      </c>
      <c r="I3146" s="35" t="s">
        <v>3416</v>
      </c>
      <c r="J3146" s="38">
        <v>36.770000000000003</v>
      </c>
      <c r="K3146" s="35">
        <v>1</v>
      </c>
      <c r="L3146" s="38">
        <f t="shared" si="49"/>
        <v>36.770000000000003</v>
      </c>
      <c r="M3146" s="35" t="s">
        <v>11</v>
      </c>
      <c r="N3146" s="38"/>
      <c r="O3146" s="35" t="s">
        <v>12</v>
      </c>
    </row>
    <row r="3147" spans="1:15" x14ac:dyDescent="0.25">
      <c r="A3147" s="35">
        <v>1114864525</v>
      </c>
      <c r="B3147" s="35" t="s">
        <v>3527</v>
      </c>
      <c r="C3147" s="35">
        <v>2023</v>
      </c>
      <c r="D3147" s="36">
        <v>45076.623333333337</v>
      </c>
      <c r="E3147" s="37" t="s">
        <v>3067</v>
      </c>
      <c r="F3147" s="37" t="s">
        <v>5976</v>
      </c>
      <c r="G3147" s="37" t="s">
        <v>3788</v>
      </c>
      <c r="H3147" s="35" t="s">
        <v>3419</v>
      </c>
      <c r="I3147" s="35" t="s">
        <v>3416</v>
      </c>
      <c r="J3147" s="38">
        <v>87.28</v>
      </c>
      <c r="K3147" s="35">
        <v>1</v>
      </c>
      <c r="L3147" s="38">
        <f t="shared" si="49"/>
        <v>87.28</v>
      </c>
      <c r="M3147" s="35" t="s">
        <v>11</v>
      </c>
      <c r="N3147" s="38"/>
      <c r="O3147" s="35" t="s">
        <v>12</v>
      </c>
    </row>
    <row r="3148" spans="1:15" x14ac:dyDescent="0.25">
      <c r="A3148" s="35">
        <v>1113861639</v>
      </c>
      <c r="B3148" s="35" t="s">
        <v>3527</v>
      </c>
      <c r="C3148" s="35">
        <v>2023</v>
      </c>
      <c r="D3148" s="36">
        <v>45063.378217592603</v>
      </c>
      <c r="E3148" s="37" t="s">
        <v>3070</v>
      </c>
      <c r="F3148" s="37" t="s">
        <v>5978</v>
      </c>
      <c r="G3148" s="37" t="s">
        <v>4154</v>
      </c>
      <c r="H3148" s="35" t="s">
        <v>3419</v>
      </c>
      <c r="I3148" s="35" t="s">
        <v>3453</v>
      </c>
      <c r="J3148" s="38">
        <v>37.729999999999997</v>
      </c>
      <c r="K3148" s="35">
        <v>1</v>
      </c>
      <c r="L3148" s="38">
        <f t="shared" si="49"/>
        <v>37.729999999999997</v>
      </c>
      <c r="M3148" s="35" t="s">
        <v>11</v>
      </c>
      <c r="N3148" s="38"/>
      <c r="O3148" s="35" t="s">
        <v>12</v>
      </c>
    </row>
    <row r="3149" spans="1:15" ht="30" x14ac:dyDescent="0.25">
      <c r="A3149" s="35">
        <v>1113339417</v>
      </c>
      <c r="B3149" s="35" t="s">
        <v>3527</v>
      </c>
      <c r="C3149" s="35">
        <v>2023</v>
      </c>
      <c r="D3149" s="36">
        <v>45062.814722222232</v>
      </c>
      <c r="E3149" s="37" t="s">
        <v>3075</v>
      </c>
      <c r="F3149" s="37" t="s">
        <v>5979</v>
      </c>
      <c r="G3149" s="37" t="s">
        <v>3678</v>
      </c>
      <c r="H3149" s="35" t="s">
        <v>3419</v>
      </c>
      <c r="I3149" s="35" t="s">
        <v>3416</v>
      </c>
      <c r="J3149" s="38">
        <v>5.43</v>
      </c>
      <c r="K3149" s="35">
        <v>1</v>
      </c>
      <c r="L3149" s="38">
        <f t="shared" si="49"/>
        <v>5.43</v>
      </c>
      <c r="M3149" s="35" t="s">
        <v>11</v>
      </c>
      <c r="N3149" s="38"/>
      <c r="O3149" s="35" t="s">
        <v>12</v>
      </c>
    </row>
    <row r="3150" spans="1:15" x14ac:dyDescent="0.25">
      <c r="A3150" s="35">
        <v>1113722095</v>
      </c>
      <c r="B3150" s="35" t="s">
        <v>3527</v>
      </c>
      <c r="C3150" s="35">
        <v>2023</v>
      </c>
      <c r="D3150" s="36">
        <v>45061.880023148151</v>
      </c>
      <c r="E3150" s="37" t="s">
        <v>179</v>
      </c>
      <c r="F3150" s="37" t="s">
        <v>5980</v>
      </c>
      <c r="G3150" s="37" t="s">
        <v>5274</v>
      </c>
      <c r="H3150" s="35" t="s">
        <v>3419</v>
      </c>
      <c r="I3150" s="35" t="s">
        <v>3416</v>
      </c>
      <c r="J3150" s="38">
        <v>1.2</v>
      </c>
      <c r="K3150" s="35">
        <v>1</v>
      </c>
      <c r="L3150" s="38">
        <f t="shared" si="49"/>
        <v>1.2</v>
      </c>
      <c r="M3150" s="35" t="s">
        <v>11</v>
      </c>
      <c r="N3150" s="38"/>
      <c r="O3150" s="35" t="s">
        <v>2314</v>
      </c>
    </row>
    <row r="3151" spans="1:15" x14ac:dyDescent="0.25">
      <c r="A3151" s="35">
        <v>1113720587</v>
      </c>
      <c r="B3151" s="35" t="s">
        <v>3527</v>
      </c>
      <c r="C3151" s="35">
        <v>2023</v>
      </c>
      <c r="D3151" s="36">
        <v>45061.879386574074</v>
      </c>
      <c r="E3151" s="37" t="s">
        <v>3080</v>
      </c>
      <c r="F3151" s="37" t="s">
        <v>5981</v>
      </c>
      <c r="G3151" s="37" t="s">
        <v>5274</v>
      </c>
      <c r="H3151" s="35" t="s">
        <v>3419</v>
      </c>
      <c r="I3151" s="35" t="s">
        <v>3453</v>
      </c>
      <c r="J3151" s="38">
        <v>4.681010928961749</v>
      </c>
      <c r="K3151" s="35">
        <v>1</v>
      </c>
      <c r="L3151" s="38">
        <f t="shared" si="49"/>
        <v>4.681010928961749</v>
      </c>
      <c r="M3151" s="35" t="s">
        <v>11</v>
      </c>
      <c r="N3151" s="38"/>
      <c r="O3151" s="35" t="s">
        <v>2314</v>
      </c>
    </row>
    <row r="3152" spans="1:15" x14ac:dyDescent="0.25">
      <c r="A3152" s="35">
        <v>1113720587</v>
      </c>
      <c r="B3152" s="35" t="s">
        <v>3527</v>
      </c>
      <c r="C3152" s="35">
        <v>2023</v>
      </c>
      <c r="D3152" s="36">
        <v>45061.879386574074</v>
      </c>
      <c r="E3152" s="37" t="s">
        <v>3080</v>
      </c>
      <c r="F3152" s="37" t="s">
        <v>5982</v>
      </c>
      <c r="G3152" s="37" t="s">
        <v>5274</v>
      </c>
      <c r="H3152" s="35" t="s">
        <v>3419</v>
      </c>
      <c r="I3152" s="35" t="s">
        <v>3453</v>
      </c>
      <c r="J3152" s="38">
        <v>2.6748633879781418</v>
      </c>
      <c r="K3152" s="35">
        <v>1</v>
      </c>
      <c r="L3152" s="38">
        <f t="shared" si="49"/>
        <v>2.6748633879781418</v>
      </c>
      <c r="M3152" s="35" t="s">
        <v>11</v>
      </c>
      <c r="N3152" s="38"/>
      <c r="O3152" s="35" t="s">
        <v>2314</v>
      </c>
    </row>
    <row r="3153" spans="1:15" x14ac:dyDescent="0.25">
      <c r="A3153" s="35">
        <v>1113720587</v>
      </c>
      <c r="B3153" s="35" t="s">
        <v>3527</v>
      </c>
      <c r="C3153" s="35">
        <v>2023</v>
      </c>
      <c r="D3153" s="36">
        <v>45061.879386574074</v>
      </c>
      <c r="E3153" s="37" t="s">
        <v>3080</v>
      </c>
      <c r="F3153" s="37" t="s">
        <v>5983</v>
      </c>
      <c r="G3153" s="37" t="s">
        <v>5274</v>
      </c>
      <c r="H3153" s="35" t="s">
        <v>3419</v>
      </c>
      <c r="I3153" s="35" t="s">
        <v>3453</v>
      </c>
      <c r="J3153" s="38">
        <v>3.7448087431693988</v>
      </c>
      <c r="K3153" s="35">
        <v>1</v>
      </c>
      <c r="L3153" s="38">
        <f t="shared" si="49"/>
        <v>3.7448087431693988</v>
      </c>
      <c r="M3153" s="35" t="s">
        <v>11</v>
      </c>
      <c r="N3153" s="38"/>
      <c r="O3153" s="35" t="s">
        <v>2314</v>
      </c>
    </row>
    <row r="3154" spans="1:15" x14ac:dyDescent="0.25">
      <c r="A3154" s="35">
        <v>1113720587</v>
      </c>
      <c r="B3154" s="35" t="s">
        <v>3527</v>
      </c>
      <c r="C3154" s="35">
        <v>2023</v>
      </c>
      <c r="D3154" s="36">
        <v>45061.879386574074</v>
      </c>
      <c r="E3154" s="37" t="s">
        <v>3080</v>
      </c>
      <c r="F3154" s="37" t="s">
        <v>5984</v>
      </c>
      <c r="G3154" s="37" t="s">
        <v>5274</v>
      </c>
      <c r="H3154" s="35" t="s">
        <v>3419</v>
      </c>
      <c r="I3154" s="35" t="s">
        <v>3453</v>
      </c>
      <c r="J3154" s="38">
        <v>1.069945355191257</v>
      </c>
      <c r="K3154" s="35">
        <v>1</v>
      </c>
      <c r="L3154" s="38">
        <f t="shared" si="49"/>
        <v>1.069945355191257</v>
      </c>
      <c r="M3154" s="35" t="s">
        <v>11</v>
      </c>
      <c r="N3154" s="38"/>
      <c r="O3154" s="35" t="s">
        <v>2314</v>
      </c>
    </row>
    <row r="3155" spans="1:15" x14ac:dyDescent="0.25">
      <c r="A3155" s="35">
        <v>1113720587</v>
      </c>
      <c r="B3155" s="35" t="s">
        <v>3527</v>
      </c>
      <c r="C3155" s="35">
        <v>2023</v>
      </c>
      <c r="D3155" s="36">
        <v>45061.879386574074</v>
      </c>
      <c r="E3155" s="37" t="s">
        <v>3080</v>
      </c>
      <c r="F3155" s="37" t="s">
        <v>5985</v>
      </c>
      <c r="G3155" s="37" t="s">
        <v>5692</v>
      </c>
      <c r="H3155" s="35" t="s">
        <v>3419</v>
      </c>
      <c r="I3155" s="35" t="s">
        <v>3453</v>
      </c>
      <c r="J3155" s="38">
        <v>1.3374316939890709</v>
      </c>
      <c r="K3155" s="35">
        <v>1</v>
      </c>
      <c r="L3155" s="38">
        <f t="shared" si="49"/>
        <v>1.3374316939890709</v>
      </c>
      <c r="M3155" s="35" t="s">
        <v>11</v>
      </c>
      <c r="N3155" s="38"/>
      <c r="O3155" s="35" t="s">
        <v>2314</v>
      </c>
    </row>
    <row r="3156" spans="1:15" x14ac:dyDescent="0.25">
      <c r="A3156" s="35">
        <v>1113720587</v>
      </c>
      <c r="B3156" s="35" t="s">
        <v>3527</v>
      </c>
      <c r="C3156" s="35">
        <v>2023</v>
      </c>
      <c r="D3156" s="36">
        <v>45061.879386574074</v>
      </c>
      <c r="E3156" s="37" t="s">
        <v>3080</v>
      </c>
      <c r="F3156" s="37" t="s">
        <v>5986</v>
      </c>
      <c r="G3156" s="37" t="s">
        <v>5692</v>
      </c>
      <c r="H3156" s="35" t="s">
        <v>3419</v>
      </c>
      <c r="I3156" s="35" t="s">
        <v>3453</v>
      </c>
      <c r="J3156" s="38">
        <v>9.3620218579234979</v>
      </c>
      <c r="K3156" s="35">
        <v>1</v>
      </c>
      <c r="L3156" s="38">
        <f t="shared" si="49"/>
        <v>9.3620218579234979</v>
      </c>
      <c r="M3156" s="35" t="s">
        <v>11</v>
      </c>
      <c r="N3156" s="38"/>
      <c r="O3156" s="35" t="s">
        <v>2314</v>
      </c>
    </row>
    <row r="3157" spans="1:15" x14ac:dyDescent="0.25">
      <c r="A3157" s="35">
        <v>1113720587</v>
      </c>
      <c r="B3157" s="35" t="s">
        <v>3527</v>
      </c>
      <c r="C3157" s="35">
        <v>2023</v>
      </c>
      <c r="D3157" s="36">
        <v>45061.879386574074</v>
      </c>
      <c r="E3157" s="37" t="s">
        <v>3080</v>
      </c>
      <c r="F3157" s="37" t="s">
        <v>5987</v>
      </c>
      <c r="G3157" s="37" t="s">
        <v>5692</v>
      </c>
      <c r="H3157" s="35" t="s">
        <v>3419</v>
      </c>
      <c r="I3157" s="35" t="s">
        <v>3453</v>
      </c>
      <c r="J3157" s="38">
        <v>0.5349726775956285</v>
      </c>
      <c r="K3157" s="35">
        <v>1</v>
      </c>
      <c r="L3157" s="38">
        <f t="shared" si="49"/>
        <v>0.5349726775956285</v>
      </c>
      <c r="M3157" s="35" t="s">
        <v>11</v>
      </c>
      <c r="N3157" s="38"/>
      <c r="O3157" s="35" t="s">
        <v>2314</v>
      </c>
    </row>
    <row r="3158" spans="1:15" x14ac:dyDescent="0.25">
      <c r="A3158" s="35">
        <v>1113720587</v>
      </c>
      <c r="B3158" s="35" t="s">
        <v>3527</v>
      </c>
      <c r="C3158" s="35">
        <v>2023</v>
      </c>
      <c r="D3158" s="36">
        <v>45061.879386574074</v>
      </c>
      <c r="E3158" s="37" t="s">
        <v>3080</v>
      </c>
      <c r="F3158" s="37" t="s">
        <v>5988</v>
      </c>
      <c r="G3158" s="37" t="s">
        <v>5692</v>
      </c>
      <c r="H3158" s="35" t="s">
        <v>3419</v>
      </c>
      <c r="I3158" s="35" t="s">
        <v>3453</v>
      </c>
      <c r="J3158" s="38">
        <v>0.80245901639344264</v>
      </c>
      <c r="K3158" s="35">
        <v>1</v>
      </c>
      <c r="L3158" s="38">
        <f t="shared" si="49"/>
        <v>0.80245901639344264</v>
      </c>
      <c r="M3158" s="35" t="s">
        <v>11</v>
      </c>
      <c r="N3158" s="38"/>
      <c r="O3158" s="35" t="s">
        <v>2314</v>
      </c>
    </row>
    <row r="3159" spans="1:15" x14ac:dyDescent="0.25">
      <c r="A3159" s="35">
        <v>1113720587</v>
      </c>
      <c r="B3159" s="35" t="s">
        <v>3527</v>
      </c>
      <c r="C3159" s="35">
        <v>2023</v>
      </c>
      <c r="D3159" s="36">
        <v>45061.879386574074</v>
      </c>
      <c r="E3159" s="37" t="s">
        <v>3080</v>
      </c>
      <c r="F3159" s="37" t="s">
        <v>5989</v>
      </c>
      <c r="G3159" s="37" t="s">
        <v>5692</v>
      </c>
      <c r="H3159" s="35" t="s">
        <v>3419</v>
      </c>
      <c r="I3159" s="35" t="s">
        <v>3453</v>
      </c>
      <c r="J3159" s="38">
        <v>1.069945355191257</v>
      </c>
      <c r="K3159" s="35">
        <v>1</v>
      </c>
      <c r="L3159" s="38">
        <f t="shared" si="49"/>
        <v>1.069945355191257</v>
      </c>
      <c r="M3159" s="35" t="s">
        <v>11</v>
      </c>
      <c r="N3159" s="38"/>
      <c r="O3159" s="35" t="s">
        <v>2314</v>
      </c>
    </row>
    <row r="3160" spans="1:15" x14ac:dyDescent="0.25">
      <c r="A3160" s="35">
        <v>1113720587</v>
      </c>
      <c r="B3160" s="35" t="s">
        <v>3527</v>
      </c>
      <c r="C3160" s="35">
        <v>2023</v>
      </c>
      <c r="D3160" s="36">
        <v>45061.879386574074</v>
      </c>
      <c r="E3160" s="37" t="s">
        <v>3080</v>
      </c>
      <c r="F3160" s="37" t="s">
        <v>5990</v>
      </c>
      <c r="G3160" s="37" t="s">
        <v>5274</v>
      </c>
      <c r="H3160" s="35" t="s">
        <v>3419</v>
      </c>
      <c r="I3160" s="35" t="s">
        <v>3416</v>
      </c>
      <c r="J3160" s="38">
        <v>1.3374316939890709</v>
      </c>
      <c r="K3160" s="35">
        <v>1</v>
      </c>
      <c r="L3160" s="38">
        <f t="shared" si="49"/>
        <v>1.3374316939890709</v>
      </c>
      <c r="M3160" s="35" t="s">
        <v>11</v>
      </c>
      <c r="N3160" s="38"/>
      <c r="O3160" s="35" t="s">
        <v>2314</v>
      </c>
    </row>
    <row r="3161" spans="1:15" x14ac:dyDescent="0.25">
      <c r="A3161" s="35">
        <v>1113720587</v>
      </c>
      <c r="B3161" s="35" t="s">
        <v>3527</v>
      </c>
      <c r="C3161" s="35">
        <v>2023</v>
      </c>
      <c r="D3161" s="36">
        <v>45061.879386574074</v>
      </c>
      <c r="E3161" s="37" t="s">
        <v>3080</v>
      </c>
      <c r="F3161" s="37" t="s">
        <v>5991</v>
      </c>
      <c r="G3161" s="37" t="s">
        <v>5692</v>
      </c>
      <c r="H3161" s="35" t="s">
        <v>3419</v>
      </c>
      <c r="I3161" s="35" t="s">
        <v>3453</v>
      </c>
      <c r="J3161" s="38">
        <v>2.0061475409836071</v>
      </c>
      <c r="K3161" s="35">
        <v>1</v>
      </c>
      <c r="L3161" s="38">
        <f t="shared" si="49"/>
        <v>2.0061475409836071</v>
      </c>
      <c r="M3161" s="35" t="s">
        <v>11</v>
      </c>
      <c r="N3161" s="38"/>
      <c r="O3161" s="35" t="s">
        <v>2314</v>
      </c>
    </row>
    <row r="3162" spans="1:15" x14ac:dyDescent="0.25">
      <c r="A3162" s="35">
        <v>1113720587</v>
      </c>
      <c r="B3162" s="35" t="s">
        <v>3527</v>
      </c>
      <c r="C3162" s="35">
        <v>2023</v>
      </c>
      <c r="D3162" s="36">
        <v>45061.879386574074</v>
      </c>
      <c r="E3162" s="37" t="s">
        <v>3080</v>
      </c>
      <c r="F3162" s="37" t="s">
        <v>5992</v>
      </c>
      <c r="G3162" s="37" t="s">
        <v>5274</v>
      </c>
      <c r="H3162" s="35" t="s">
        <v>3419</v>
      </c>
      <c r="I3162" s="35" t="s">
        <v>3453</v>
      </c>
      <c r="J3162" s="38">
        <v>2.0061475409836071</v>
      </c>
      <c r="K3162" s="35">
        <v>1</v>
      </c>
      <c r="L3162" s="38">
        <f t="shared" si="49"/>
        <v>2.0061475409836071</v>
      </c>
      <c r="M3162" s="35" t="s">
        <v>11</v>
      </c>
      <c r="N3162" s="38"/>
      <c r="O3162" s="35" t="s">
        <v>2314</v>
      </c>
    </row>
    <row r="3163" spans="1:15" x14ac:dyDescent="0.25">
      <c r="A3163" s="35">
        <v>1113720587</v>
      </c>
      <c r="B3163" s="35" t="s">
        <v>3527</v>
      </c>
      <c r="C3163" s="35">
        <v>2023</v>
      </c>
      <c r="D3163" s="36">
        <v>45061.879386574074</v>
      </c>
      <c r="E3163" s="37" t="s">
        <v>3080</v>
      </c>
      <c r="F3163" s="37" t="s">
        <v>5993</v>
      </c>
      <c r="G3163" s="37" t="s">
        <v>5692</v>
      </c>
      <c r="H3163" s="35" t="s">
        <v>3419</v>
      </c>
      <c r="I3163" s="35" t="s">
        <v>3453</v>
      </c>
      <c r="J3163" s="38">
        <v>2.139890710382514</v>
      </c>
      <c r="K3163" s="35">
        <v>1</v>
      </c>
      <c r="L3163" s="38">
        <f t="shared" si="49"/>
        <v>2.139890710382514</v>
      </c>
      <c r="M3163" s="35" t="s">
        <v>11</v>
      </c>
      <c r="N3163" s="38"/>
      <c r="O3163" s="35" t="s">
        <v>2314</v>
      </c>
    </row>
    <row r="3164" spans="1:15" x14ac:dyDescent="0.25">
      <c r="A3164" s="35">
        <v>1113720587</v>
      </c>
      <c r="B3164" s="35" t="s">
        <v>3527</v>
      </c>
      <c r="C3164" s="35">
        <v>2023</v>
      </c>
      <c r="D3164" s="36">
        <v>45061.879386574074</v>
      </c>
      <c r="E3164" s="37" t="s">
        <v>3080</v>
      </c>
      <c r="F3164" s="37" t="s">
        <v>5994</v>
      </c>
      <c r="G3164" s="37" t="s">
        <v>5692</v>
      </c>
      <c r="H3164" s="35" t="s">
        <v>3419</v>
      </c>
      <c r="I3164" s="35" t="s">
        <v>3453</v>
      </c>
      <c r="J3164" s="38">
        <v>2.27363387978142</v>
      </c>
      <c r="K3164" s="35">
        <v>1</v>
      </c>
      <c r="L3164" s="38">
        <f t="shared" si="49"/>
        <v>2.27363387978142</v>
      </c>
      <c r="M3164" s="35" t="s">
        <v>11</v>
      </c>
      <c r="N3164" s="38"/>
      <c r="O3164" s="35" t="s">
        <v>2314</v>
      </c>
    </row>
    <row r="3165" spans="1:15" x14ac:dyDescent="0.25">
      <c r="A3165" s="35">
        <v>1113720587</v>
      </c>
      <c r="B3165" s="35" t="s">
        <v>3527</v>
      </c>
      <c r="C3165" s="35">
        <v>2023</v>
      </c>
      <c r="D3165" s="36">
        <v>45061.879386574074</v>
      </c>
      <c r="E3165" s="37" t="s">
        <v>3080</v>
      </c>
      <c r="F3165" s="37" t="s">
        <v>5995</v>
      </c>
      <c r="G3165" s="37" t="s">
        <v>5274</v>
      </c>
      <c r="H3165" s="35" t="s">
        <v>3419</v>
      </c>
      <c r="I3165" s="35" t="s">
        <v>3453</v>
      </c>
      <c r="J3165" s="38">
        <v>2.4073770491803281</v>
      </c>
      <c r="K3165" s="35">
        <v>1</v>
      </c>
      <c r="L3165" s="38">
        <f t="shared" si="49"/>
        <v>2.4073770491803281</v>
      </c>
      <c r="M3165" s="35" t="s">
        <v>11</v>
      </c>
      <c r="N3165" s="38"/>
      <c r="O3165" s="35" t="s">
        <v>2314</v>
      </c>
    </row>
    <row r="3166" spans="1:15" x14ac:dyDescent="0.25">
      <c r="A3166" s="35">
        <v>1113720587</v>
      </c>
      <c r="B3166" s="35" t="s">
        <v>3527</v>
      </c>
      <c r="C3166" s="35">
        <v>2023</v>
      </c>
      <c r="D3166" s="36">
        <v>45061.879386574074</v>
      </c>
      <c r="E3166" s="37" t="s">
        <v>3080</v>
      </c>
      <c r="F3166" s="37" t="s">
        <v>5996</v>
      </c>
      <c r="G3166" s="37" t="s">
        <v>5692</v>
      </c>
      <c r="H3166" s="35" t="s">
        <v>3419</v>
      </c>
      <c r="I3166" s="35" t="s">
        <v>3453</v>
      </c>
      <c r="J3166" s="38">
        <v>3.3435792349726778</v>
      </c>
      <c r="K3166" s="35">
        <v>1</v>
      </c>
      <c r="L3166" s="38">
        <f t="shared" si="49"/>
        <v>3.3435792349726778</v>
      </c>
      <c r="M3166" s="35" t="s">
        <v>11</v>
      </c>
      <c r="N3166" s="38"/>
      <c r="O3166" s="35" t="s">
        <v>2314</v>
      </c>
    </row>
    <row r="3167" spans="1:15" x14ac:dyDescent="0.25">
      <c r="A3167" s="35">
        <v>1113720587</v>
      </c>
      <c r="B3167" s="35" t="s">
        <v>3527</v>
      </c>
      <c r="C3167" s="35">
        <v>2023</v>
      </c>
      <c r="D3167" s="36">
        <v>45061.879386574074</v>
      </c>
      <c r="E3167" s="37" t="s">
        <v>3080</v>
      </c>
      <c r="F3167" s="37" t="s">
        <v>5997</v>
      </c>
      <c r="G3167" s="37" t="s">
        <v>5692</v>
      </c>
      <c r="H3167" s="35" t="s">
        <v>3419</v>
      </c>
      <c r="I3167" s="35" t="s">
        <v>3453</v>
      </c>
      <c r="J3167" s="38">
        <v>4.0122950819672134</v>
      </c>
      <c r="K3167" s="35">
        <v>1</v>
      </c>
      <c r="L3167" s="38">
        <f t="shared" si="49"/>
        <v>4.0122950819672134</v>
      </c>
      <c r="M3167" s="35" t="s">
        <v>11</v>
      </c>
      <c r="N3167" s="38"/>
      <c r="O3167" s="35" t="s">
        <v>2314</v>
      </c>
    </row>
    <row r="3168" spans="1:15" x14ac:dyDescent="0.25">
      <c r="A3168" s="35">
        <v>1113720587</v>
      </c>
      <c r="B3168" s="35" t="s">
        <v>3527</v>
      </c>
      <c r="C3168" s="35">
        <v>2023</v>
      </c>
      <c r="D3168" s="36">
        <v>45061.879386574074</v>
      </c>
      <c r="E3168" s="37" t="s">
        <v>3080</v>
      </c>
      <c r="F3168" s="37" t="s">
        <v>5998</v>
      </c>
      <c r="G3168" s="37" t="s">
        <v>5692</v>
      </c>
      <c r="H3168" s="35" t="s">
        <v>3419</v>
      </c>
      <c r="I3168" s="35" t="s">
        <v>3453</v>
      </c>
      <c r="J3168" s="38">
        <v>0.1337431693989071</v>
      </c>
      <c r="K3168" s="35">
        <v>1</v>
      </c>
      <c r="L3168" s="38">
        <f t="shared" si="49"/>
        <v>0.1337431693989071</v>
      </c>
      <c r="M3168" s="35" t="s">
        <v>11</v>
      </c>
      <c r="N3168" s="38"/>
      <c r="O3168" s="35" t="s">
        <v>2314</v>
      </c>
    </row>
    <row r="3169" spans="1:15" x14ac:dyDescent="0.25">
      <c r="A3169" s="35">
        <v>1113720587</v>
      </c>
      <c r="B3169" s="35" t="s">
        <v>3527</v>
      </c>
      <c r="C3169" s="35">
        <v>2023</v>
      </c>
      <c r="D3169" s="36">
        <v>45061.879386574074</v>
      </c>
      <c r="E3169" s="37" t="s">
        <v>3080</v>
      </c>
      <c r="F3169" s="37" t="s">
        <v>5999</v>
      </c>
      <c r="G3169" s="37" t="s">
        <v>5274</v>
      </c>
      <c r="H3169" s="35" t="s">
        <v>3419</v>
      </c>
      <c r="I3169" s="35" t="s">
        <v>3416</v>
      </c>
      <c r="J3169" s="38">
        <v>1.3374316939890709</v>
      </c>
      <c r="K3169" s="35">
        <v>1</v>
      </c>
      <c r="L3169" s="38">
        <f t="shared" si="49"/>
        <v>1.3374316939890709</v>
      </c>
      <c r="M3169" s="35" t="s">
        <v>11</v>
      </c>
      <c r="N3169" s="38"/>
      <c r="O3169" s="35" t="s">
        <v>2314</v>
      </c>
    </row>
    <row r="3170" spans="1:15" x14ac:dyDescent="0.25">
      <c r="A3170" s="35">
        <v>1113720587</v>
      </c>
      <c r="B3170" s="35" t="s">
        <v>3527</v>
      </c>
      <c r="C3170" s="35">
        <v>2023</v>
      </c>
      <c r="D3170" s="36">
        <v>45061.879386574074</v>
      </c>
      <c r="E3170" s="37" t="s">
        <v>3080</v>
      </c>
      <c r="F3170" s="37" t="s">
        <v>6000</v>
      </c>
      <c r="G3170" s="37" t="s">
        <v>5274</v>
      </c>
      <c r="H3170" s="35" t="s">
        <v>3419</v>
      </c>
      <c r="I3170" s="35" t="s">
        <v>3453</v>
      </c>
      <c r="J3170" s="38">
        <v>2.6748633879781418</v>
      </c>
      <c r="K3170" s="35">
        <v>1</v>
      </c>
      <c r="L3170" s="38">
        <f t="shared" si="49"/>
        <v>2.6748633879781418</v>
      </c>
      <c r="M3170" s="35" t="s">
        <v>11</v>
      </c>
      <c r="N3170" s="38"/>
      <c r="O3170" s="35" t="s">
        <v>2314</v>
      </c>
    </row>
    <row r="3171" spans="1:15" ht="30" x14ac:dyDescent="0.25">
      <c r="A3171" s="35">
        <v>1113281012</v>
      </c>
      <c r="B3171" s="35" t="s">
        <v>3527</v>
      </c>
      <c r="C3171" s="35">
        <v>2023</v>
      </c>
      <c r="D3171" s="36">
        <v>45061.415706018517</v>
      </c>
      <c r="E3171" s="37" t="s">
        <v>3082</v>
      </c>
      <c r="F3171" s="37" t="s">
        <v>5979</v>
      </c>
      <c r="G3171" s="37" t="s">
        <v>3678</v>
      </c>
      <c r="H3171" s="35" t="s">
        <v>3419</v>
      </c>
      <c r="I3171" s="35" t="s">
        <v>3416</v>
      </c>
      <c r="J3171" s="38">
        <v>6.49</v>
      </c>
      <c r="K3171" s="35">
        <v>2</v>
      </c>
      <c r="L3171" s="38">
        <f t="shared" si="49"/>
        <v>12.98</v>
      </c>
      <c r="M3171" s="35" t="s">
        <v>11</v>
      </c>
      <c r="N3171" s="38"/>
      <c r="O3171" s="35" t="s">
        <v>12</v>
      </c>
    </row>
    <row r="3172" spans="1:15" x14ac:dyDescent="0.25">
      <c r="A3172" s="35">
        <v>1112440108</v>
      </c>
      <c r="B3172" s="35" t="s">
        <v>3527</v>
      </c>
      <c r="C3172" s="35">
        <v>2023</v>
      </c>
      <c r="D3172" s="36">
        <v>45050.394571759258</v>
      </c>
      <c r="E3172" s="37" t="s">
        <v>3087</v>
      </c>
      <c r="F3172" s="37" t="s">
        <v>5960</v>
      </c>
      <c r="G3172" s="37" t="s">
        <v>3945</v>
      </c>
      <c r="H3172" s="35" t="s">
        <v>3419</v>
      </c>
      <c r="I3172" s="35" t="s">
        <v>3530</v>
      </c>
      <c r="J3172" s="38">
        <v>1.2949999999999999</v>
      </c>
      <c r="K3172" s="35">
        <v>3</v>
      </c>
      <c r="L3172" s="38">
        <f t="shared" si="49"/>
        <v>3.8849999999999998</v>
      </c>
      <c r="M3172" s="35" t="s">
        <v>11</v>
      </c>
      <c r="N3172" s="38"/>
      <c r="O3172" s="35" t="s">
        <v>12</v>
      </c>
    </row>
    <row r="3173" spans="1:15" x14ac:dyDescent="0.25">
      <c r="A3173" s="35">
        <v>1112440108</v>
      </c>
      <c r="B3173" s="35" t="s">
        <v>3527</v>
      </c>
      <c r="C3173" s="35">
        <v>2023</v>
      </c>
      <c r="D3173" s="36">
        <v>45050.394571759258</v>
      </c>
      <c r="E3173" s="37" t="s">
        <v>3087</v>
      </c>
      <c r="F3173" s="37" t="s">
        <v>5066</v>
      </c>
      <c r="G3173" s="37" t="s">
        <v>3652</v>
      </c>
      <c r="H3173" s="35" t="s">
        <v>3419</v>
      </c>
      <c r="I3173" s="35" t="s">
        <v>3530</v>
      </c>
      <c r="J3173" s="38">
        <v>1.2949999999999999</v>
      </c>
      <c r="K3173" s="35">
        <v>1</v>
      </c>
      <c r="L3173" s="38">
        <f t="shared" si="49"/>
        <v>1.2949999999999999</v>
      </c>
      <c r="M3173" s="35" t="s">
        <v>11</v>
      </c>
      <c r="N3173" s="38"/>
      <c r="O3173" s="35" t="s">
        <v>12</v>
      </c>
    </row>
    <row r="3174" spans="1:15" x14ac:dyDescent="0.25">
      <c r="A3174" s="35">
        <v>1112433260</v>
      </c>
      <c r="B3174" s="35" t="s">
        <v>3527</v>
      </c>
      <c r="C3174" s="35">
        <v>2023</v>
      </c>
      <c r="D3174" s="36">
        <v>45050.377881944441</v>
      </c>
      <c r="E3174" s="37" t="s">
        <v>3089</v>
      </c>
      <c r="F3174" s="37" t="s">
        <v>4321</v>
      </c>
      <c r="G3174" s="37" t="s">
        <v>4322</v>
      </c>
      <c r="H3174" s="35" t="s">
        <v>3419</v>
      </c>
      <c r="I3174" s="35" t="s">
        <v>3416</v>
      </c>
      <c r="J3174" s="38">
        <v>27.514285714285709</v>
      </c>
      <c r="K3174" s="35">
        <v>1</v>
      </c>
      <c r="L3174" s="38">
        <f t="shared" si="49"/>
        <v>27.514285714285709</v>
      </c>
      <c r="M3174" s="35" t="s">
        <v>11</v>
      </c>
      <c r="N3174" s="38"/>
      <c r="O3174" s="35" t="s">
        <v>12</v>
      </c>
    </row>
    <row r="3175" spans="1:15" x14ac:dyDescent="0.25">
      <c r="A3175" s="35">
        <v>1112433260</v>
      </c>
      <c r="B3175" s="35" t="s">
        <v>3527</v>
      </c>
      <c r="C3175" s="35">
        <v>2023</v>
      </c>
      <c r="D3175" s="36">
        <v>45050.377881944441</v>
      </c>
      <c r="E3175" s="37" t="s">
        <v>3089</v>
      </c>
      <c r="F3175" s="37" t="s">
        <v>4321</v>
      </c>
      <c r="G3175" s="37" t="s">
        <v>4322</v>
      </c>
      <c r="H3175" s="35" t="s">
        <v>3419</v>
      </c>
      <c r="I3175" s="35" t="s">
        <v>3416</v>
      </c>
      <c r="J3175" s="38">
        <v>30.265714285714289</v>
      </c>
      <c r="K3175" s="35">
        <v>1</v>
      </c>
      <c r="L3175" s="38">
        <f t="shared" si="49"/>
        <v>30.265714285714289</v>
      </c>
      <c r="M3175" s="35" t="s">
        <v>11</v>
      </c>
      <c r="N3175" s="38"/>
      <c r="O3175" s="35" t="s">
        <v>12</v>
      </c>
    </row>
    <row r="3176" spans="1:15" x14ac:dyDescent="0.25">
      <c r="A3176" s="35">
        <v>1112433245</v>
      </c>
      <c r="B3176" s="35" t="s">
        <v>3527</v>
      </c>
      <c r="C3176" s="35">
        <v>2023</v>
      </c>
      <c r="D3176" s="36">
        <v>45050.377881944441</v>
      </c>
      <c r="E3176" s="37" t="s">
        <v>3091</v>
      </c>
      <c r="F3176" s="37" t="s">
        <v>4221</v>
      </c>
      <c r="G3176" s="37" t="s">
        <v>1210</v>
      </c>
      <c r="H3176" s="35" t="s">
        <v>3419</v>
      </c>
      <c r="I3176" s="35" t="s">
        <v>3416</v>
      </c>
      <c r="J3176" s="38">
        <v>31.686315789473689</v>
      </c>
      <c r="K3176" s="35">
        <v>1</v>
      </c>
      <c r="L3176" s="38">
        <f t="shared" si="49"/>
        <v>31.686315789473689</v>
      </c>
      <c r="M3176" s="35" t="s">
        <v>11</v>
      </c>
      <c r="N3176" s="38"/>
      <c r="O3176" s="35" t="s">
        <v>12</v>
      </c>
    </row>
    <row r="3177" spans="1:15" x14ac:dyDescent="0.25">
      <c r="A3177" s="35">
        <v>1112433245</v>
      </c>
      <c r="B3177" s="35" t="s">
        <v>3527</v>
      </c>
      <c r="C3177" s="35">
        <v>2023</v>
      </c>
      <c r="D3177" s="36">
        <v>45050.377881944441</v>
      </c>
      <c r="E3177" s="37" t="s">
        <v>3091</v>
      </c>
      <c r="F3177" s="37" t="s">
        <v>4221</v>
      </c>
      <c r="G3177" s="37" t="s">
        <v>1210</v>
      </c>
      <c r="H3177" s="35" t="s">
        <v>3419</v>
      </c>
      <c r="I3177" s="35" t="s">
        <v>3530</v>
      </c>
      <c r="J3177" s="38">
        <v>30.59368421052632</v>
      </c>
      <c r="K3177" s="35">
        <v>1</v>
      </c>
      <c r="L3177" s="38">
        <f t="shared" si="49"/>
        <v>30.59368421052632</v>
      </c>
      <c r="M3177" s="35" t="s">
        <v>11</v>
      </c>
      <c r="N3177" s="38"/>
      <c r="O3177" s="35" t="s">
        <v>12</v>
      </c>
    </row>
    <row r="3178" spans="1:15" x14ac:dyDescent="0.25">
      <c r="A3178" s="35">
        <v>1112427213</v>
      </c>
      <c r="B3178" s="35" t="s">
        <v>3527</v>
      </c>
      <c r="C3178" s="35">
        <v>2023</v>
      </c>
      <c r="D3178" s="36">
        <v>45050.377881944441</v>
      </c>
      <c r="E3178" s="37" t="s">
        <v>2406</v>
      </c>
      <c r="F3178" s="37" t="s">
        <v>5098</v>
      </c>
      <c r="G3178" s="37" t="s">
        <v>3619</v>
      </c>
      <c r="H3178" s="35" t="s">
        <v>3419</v>
      </c>
      <c r="I3178" s="35" t="s">
        <v>3453</v>
      </c>
      <c r="J3178" s="38">
        <v>7.18</v>
      </c>
      <c r="K3178" s="35">
        <v>1</v>
      </c>
      <c r="L3178" s="38">
        <f t="shared" si="49"/>
        <v>7.18</v>
      </c>
      <c r="M3178" s="35" t="s">
        <v>11</v>
      </c>
      <c r="N3178" s="38"/>
      <c r="O3178" s="35" t="s">
        <v>12</v>
      </c>
    </row>
    <row r="3179" spans="1:15" x14ac:dyDescent="0.25">
      <c r="A3179" s="35">
        <v>1112425772</v>
      </c>
      <c r="B3179" s="35" t="s">
        <v>3527</v>
      </c>
      <c r="C3179" s="35">
        <v>2023</v>
      </c>
      <c r="D3179" s="36">
        <v>45050.377881944441</v>
      </c>
      <c r="E3179" s="37" t="s">
        <v>3094</v>
      </c>
      <c r="F3179" s="37" t="s">
        <v>6002</v>
      </c>
      <c r="G3179" s="37" t="s">
        <v>5010</v>
      </c>
      <c r="H3179" s="35" t="s">
        <v>3415</v>
      </c>
      <c r="I3179" s="35" t="s">
        <v>3416</v>
      </c>
      <c r="J3179" s="38">
        <v>0.99499999999999988</v>
      </c>
      <c r="K3179" s="35">
        <v>4</v>
      </c>
      <c r="L3179" s="38">
        <f t="shared" si="49"/>
        <v>3.9799999999999995</v>
      </c>
      <c r="M3179" s="35" t="s">
        <v>11</v>
      </c>
      <c r="N3179" s="38"/>
      <c r="O3179" s="35" t="s">
        <v>12</v>
      </c>
    </row>
    <row r="3180" spans="1:15" x14ac:dyDescent="0.25">
      <c r="A3180" s="35">
        <v>1112425769</v>
      </c>
      <c r="B3180" s="35" t="s">
        <v>3527</v>
      </c>
      <c r="C3180" s="35">
        <v>2023</v>
      </c>
      <c r="D3180" s="36">
        <v>45050.377881944441</v>
      </c>
      <c r="E3180" s="37" t="s">
        <v>3096</v>
      </c>
      <c r="F3180" s="37" t="s">
        <v>6003</v>
      </c>
      <c r="G3180" s="37" t="s">
        <v>4156</v>
      </c>
      <c r="H3180" s="35" t="s">
        <v>3419</v>
      </c>
      <c r="I3180" s="35" t="s">
        <v>3530</v>
      </c>
      <c r="J3180" s="38">
        <v>8.4705882352941173E-2</v>
      </c>
      <c r="K3180" s="35">
        <v>2</v>
      </c>
      <c r="L3180" s="38">
        <f t="shared" si="49"/>
        <v>0.16941176470588235</v>
      </c>
      <c r="M3180" s="35" t="s">
        <v>11</v>
      </c>
      <c r="N3180" s="38"/>
      <c r="O3180" s="35" t="s">
        <v>12</v>
      </c>
    </row>
    <row r="3181" spans="1:15" x14ac:dyDescent="0.25">
      <c r="A3181" s="35">
        <v>1112425769</v>
      </c>
      <c r="B3181" s="35" t="s">
        <v>3527</v>
      </c>
      <c r="C3181" s="35">
        <v>2023</v>
      </c>
      <c r="D3181" s="36">
        <v>45050.377881944441</v>
      </c>
      <c r="E3181" s="37" t="s">
        <v>3096</v>
      </c>
      <c r="F3181" s="37" t="s">
        <v>6004</v>
      </c>
      <c r="G3181" s="37" t="s">
        <v>3726</v>
      </c>
      <c r="H3181" s="35" t="s">
        <v>3419</v>
      </c>
      <c r="I3181" s="35" t="s">
        <v>3416</v>
      </c>
      <c r="J3181" s="38">
        <v>0.33882352941176469</v>
      </c>
      <c r="K3181" s="35">
        <v>3</v>
      </c>
      <c r="L3181" s="38">
        <f t="shared" si="49"/>
        <v>1.016470588235294</v>
      </c>
      <c r="M3181" s="35" t="s">
        <v>11</v>
      </c>
      <c r="N3181" s="38"/>
      <c r="O3181" s="35" t="s">
        <v>12</v>
      </c>
    </row>
    <row r="3182" spans="1:15" x14ac:dyDescent="0.25">
      <c r="A3182" s="35">
        <v>1112425769</v>
      </c>
      <c r="B3182" s="35" t="s">
        <v>3527</v>
      </c>
      <c r="C3182" s="35">
        <v>2023</v>
      </c>
      <c r="D3182" s="36">
        <v>45050.377881944441</v>
      </c>
      <c r="E3182" s="37" t="s">
        <v>3096</v>
      </c>
      <c r="F3182" s="37" t="s">
        <v>3528</v>
      </c>
      <c r="G3182" s="37" t="s">
        <v>3529</v>
      </c>
      <c r="H3182" s="35" t="s">
        <v>3419</v>
      </c>
      <c r="I3182" s="35" t="s">
        <v>3530</v>
      </c>
      <c r="J3182" s="38">
        <v>1.6941176470588231</v>
      </c>
      <c r="K3182" s="35">
        <v>1</v>
      </c>
      <c r="L3182" s="38">
        <f t="shared" si="49"/>
        <v>1.6941176470588231</v>
      </c>
      <c r="M3182" s="35" t="s">
        <v>11</v>
      </c>
      <c r="N3182" s="38"/>
      <c r="O3182" s="35" t="s">
        <v>12</v>
      </c>
    </row>
    <row r="3183" spans="1:15" x14ac:dyDescent="0.25">
      <c r="A3183" s="35">
        <v>1112425765</v>
      </c>
      <c r="B3183" s="35" t="s">
        <v>3527</v>
      </c>
      <c r="C3183" s="35">
        <v>2023</v>
      </c>
      <c r="D3183" s="36">
        <v>45050.377881944441</v>
      </c>
      <c r="E3183" s="37" t="s">
        <v>3098</v>
      </c>
      <c r="F3183" s="37" t="s">
        <v>6005</v>
      </c>
      <c r="G3183" s="37" t="s">
        <v>4156</v>
      </c>
      <c r="H3183" s="35" t="s">
        <v>3419</v>
      </c>
      <c r="I3183" s="35" t="s">
        <v>3416</v>
      </c>
      <c r="J3183" s="38">
        <v>0.16051282051282051</v>
      </c>
      <c r="K3183" s="35">
        <v>2</v>
      </c>
      <c r="L3183" s="38">
        <f t="shared" si="49"/>
        <v>0.32102564102564102</v>
      </c>
      <c r="M3183" s="35" t="s">
        <v>11</v>
      </c>
      <c r="N3183" s="38"/>
      <c r="O3183" s="35" t="s">
        <v>12</v>
      </c>
    </row>
    <row r="3184" spans="1:15" x14ac:dyDescent="0.25">
      <c r="A3184" s="35">
        <v>1112425765</v>
      </c>
      <c r="B3184" s="35" t="s">
        <v>3527</v>
      </c>
      <c r="C3184" s="35">
        <v>2023</v>
      </c>
      <c r="D3184" s="36">
        <v>45050.377881944441</v>
      </c>
      <c r="E3184" s="37" t="s">
        <v>3098</v>
      </c>
      <c r="F3184" s="37" t="s">
        <v>6006</v>
      </c>
      <c r="G3184" s="37" t="s">
        <v>3772</v>
      </c>
      <c r="H3184" s="35" t="s">
        <v>3419</v>
      </c>
      <c r="I3184" s="35" t="s">
        <v>3416</v>
      </c>
      <c r="J3184" s="38">
        <v>2.8089743589743592</v>
      </c>
      <c r="K3184" s="35">
        <v>1</v>
      </c>
      <c r="L3184" s="38">
        <f t="shared" si="49"/>
        <v>2.8089743589743592</v>
      </c>
      <c r="M3184" s="35" t="s">
        <v>11</v>
      </c>
      <c r="N3184" s="38"/>
      <c r="O3184" s="35" t="s">
        <v>12</v>
      </c>
    </row>
    <row r="3185" spans="1:15" x14ac:dyDescent="0.25">
      <c r="A3185" s="35">
        <v>1112425763</v>
      </c>
      <c r="B3185" s="35" t="s">
        <v>3527</v>
      </c>
      <c r="C3185" s="35">
        <v>2023</v>
      </c>
      <c r="D3185" s="36">
        <v>45050.377881944441</v>
      </c>
      <c r="E3185" s="37" t="s">
        <v>3100</v>
      </c>
      <c r="F3185" s="37" t="s">
        <v>4396</v>
      </c>
      <c r="G3185" s="37" t="s">
        <v>3619</v>
      </c>
      <c r="H3185" s="35" t="s">
        <v>3419</v>
      </c>
      <c r="I3185" s="35" t="s">
        <v>3453</v>
      </c>
      <c r="J3185" s="38">
        <v>3.08</v>
      </c>
      <c r="K3185" s="35">
        <v>1</v>
      </c>
      <c r="L3185" s="38">
        <f t="shared" si="49"/>
        <v>3.08</v>
      </c>
      <c r="M3185" s="35" t="s">
        <v>11</v>
      </c>
      <c r="N3185" s="38"/>
      <c r="O3185" s="35" t="s">
        <v>12</v>
      </c>
    </row>
    <row r="3186" spans="1:15" x14ac:dyDescent="0.25">
      <c r="A3186" s="35">
        <v>1112425760</v>
      </c>
      <c r="B3186" s="35" t="s">
        <v>3527</v>
      </c>
      <c r="C3186" s="35">
        <v>2023</v>
      </c>
      <c r="D3186" s="36">
        <v>45050.377881944441</v>
      </c>
      <c r="E3186" s="37" t="s">
        <v>294</v>
      </c>
      <c r="F3186" s="37" t="s">
        <v>6007</v>
      </c>
      <c r="G3186" s="37" t="s">
        <v>4063</v>
      </c>
      <c r="H3186" s="35" t="s">
        <v>3415</v>
      </c>
      <c r="I3186" s="35" t="s">
        <v>3530</v>
      </c>
      <c r="J3186" s="38">
        <v>1.6248096446700511</v>
      </c>
      <c r="K3186" s="35">
        <v>4</v>
      </c>
      <c r="L3186" s="38">
        <f t="shared" si="49"/>
        <v>6.4992385786802043</v>
      </c>
      <c r="M3186" s="35" t="s">
        <v>11</v>
      </c>
      <c r="N3186" s="38"/>
      <c r="O3186" s="35" t="s">
        <v>12</v>
      </c>
    </row>
    <row r="3187" spans="1:15" x14ac:dyDescent="0.25">
      <c r="A3187" s="35">
        <v>1112425760</v>
      </c>
      <c r="B3187" s="35" t="s">
        <v>3527</v>
      </c>
      <c r="C3187" s="35">
        <v>2023</v>
      </c>
      <c r="D3187" s="36">
        <v>45050.377881944441</v>
      </c>
      <c r="E3187" s="37" t="s">
        <v>294</v>
      </c>
      <c r="F3187" s="37" t="s">
        <v>6008</v>
      </c>
      <c r="G3187" s="37" t="s">
        <v>5723</v>
      </c>
      <c r="H3187" s="35" t="s">
        <v>3415</v>
      </c>
      <c r="I3187" s="35" t="s">
        <v>3416</v>
      </c>
      <c r="J3187" s="38">
        <v>0.19049492385786801</v>
      </c>
      <c r="K3187" s="35">
        <v>4</v>
      </c>
      <c r="L3187" s="38">
        <f t="shared" si="49"/>
        <v>0.76197969543147204</v>
      </c>
      <c r="M3187" s="35" t="s">
        <v>11</v>
      </c>
      <c r="N3187" s="38"/>
      <c r="O3187" s="35" t="s">
        <v>12</v>
      </c>
    </row>
    <row r="3188" spans="1:15" x14ac:dyDescent="0.25">
      <c r="A3188" s="35">
        <v>1112425760</v>
      </c>
      <c r="B3188" s="35" t="s">
        <v>3527</v>
      </c>
      <c r="C3188" s="35">
        <v>2023</v>
      </c>
      <c r="D3188" s="36">
        <v>45050.377881944441</v>
      </c>
      <c r="E3188" s="37" t="s">
        <v>294</v>
      </c>
      <c r="F3188" s="37" t="s">
        <v>6009</v>
      </c>
      <c r="G3188" s="37" t="s">
        <v>4309</v>
      </c>
      <c r="H3188" s="35" t="s">
        <v>3419</v>
      </c>
      <c r="I3188" s="35" t="s">
        <v>3416</v>
      </c>
      <c r="J3188" s="38">
        <v>0.15687817258883249</v>
      </c>
      <c r="K3188" s="35">
        <v>2</v>
      </c>
      <c r="L3188" s="38">
        <f t="shared" si="49"/>
        <v>0.31375634517766499</v>
      </c>
      <c r="M3188" s="35" t="s">
        <v>11</v>
      </c>
      <c r="N3188" s="38"/>
      <c r="O3188" s="35" t="s">
        <v>12</v>
      </c>
    </row>
    <row r="3189" spans="1:15" x14ac:dyDescent="0.25">
      <c r="A3189" s="35">
        <v>1112425760</v>
      </c>
      <c r="B3189" s="35" t="s">
        <v>3527</v>
      </c>
      <c r="C3189" s="35">
        <v>2023</v>
      </c>
      <c r="D3189" s="36">
        <v>45050.377881944441</v>
      </c>
      <c r="E3189" s="37" t="s">
        <v>294</v>
      </c>
      <c r="F3189" s="37" t="s">
        <v>6010</v>
      </c>
      <c r="G3189" s="37" t="s">
        <v>5010</v>
      </c>
      <c r="H3189" s="35" t="s">
        <v>3419</v>
      </c>
      <c r="I3189" s="35" t="s">
        <v>3416</v>
      </c>
      <c r="J3189" s="38">
        <v>0.50425126903553297</v>
      </c>
      <c r="K3189" s="35">
        <v>2</v>
      </c>
      <c r="L3189" s="38">
        <f t="shared" si="49"/>
        <v>1.0085025380710659</v>
      </c>
      <c r="M3189" s="35" t="s">
        <v>11</v>
      </c>
      <c r="N3189" s="38"/>
      <c r="O3189" s="35" t="s">
        <v>12</v>
      </c>
    </row>
    <row r="3190" spans="1:15" x14ac:dyDescent="0.25">
      <c r="A3190" s="35">
        <v>1112425760</v>
      </c>
      <c r="B3190" s="35" t="s">
        <v>3527</v>
      </c>
      <c r="C3190" s="35">
        <v>2023</v>
      </c>
      <c r="D3190" s="36">
        <v>45050.377881944441</v>
      </c>
      <c r="E3190" s="37" t="s">
        <v>294</v>
      </c>
      <c r="F3190" s="37" t="s">
        <v>6011</v>
      </c>
      <c r="G3190" s="37" t="s">
        <v>4108</v>
      </c>
      <c r="H3190" s="35" t="s">
        <v>3419</v>
      </c>
      <c r="I3190" s="35" t="s">
        <v>3416</v>
      </c>
      <c r="J3190" s="38">
        <v>0.20170050761421321</v>
      </c>
      <c r="K3190" s="35">
        <v>2</v>
      </c>
      <c r="L3190" s="38">
        <f t="shared" si="49"/>
        <v>0.40340101522842642</v>
      </c>
      <c r="M3190" s="35" t="s">
        <v>11</v>
      </c>
      <c r="N3190" s="38"/>
      <c r="O3190" s="35" t="s">
        <v>12</v>
      </c>
    </row>
    <row r="3191" spans="1:15" x14ac:dyDescent="0.25">
      <c r="A3191" s="35">
        <v>1112425760</v>
      </c>
      <c r="B3191" s="35" t="s">
        <v>3527</v>
      </c>
      <c r="C3191" s="35">
        <v>2023</v>
      </c>
      <c r="D3191" s="36">
        <v>45050.377881944441</v>
      </c>
      <c r="E3191" s="37" t="s">
        <v>294</v>
      </c>
      <c r="F3191" s="37" t="s">
        <v>4452</v>
      </c>
      <c r="G3191" s="37" t="s">
        <v>3674</v>
      </c>
      <c r="H3191" s="35" t="s">
        <v>3415</v>
      </c>
      <c r="I3191" s="35" t="s">
        <v>3416</v>
      </c>
      <c r="J3191" s="38">
        <v>1.0533248730964471</v>
      </c>
      <c r="K3191" s="35">
        <v>4</v>
      </c>
      <c r="L3191" s="38">
        <f t="shared" si="49"/>
        <v>4.2132994923857883</v>
      </c>
      <c r="M3191" s="35" t="s">
        <v>11</v>
      </c>
      <c r="N3191" s="38"/>
      <c r="O3191" s="35" t="s">
        <v>12</v>
      </c>
    </row>
    <row r="3192" spans="1:15" x14ac:dyDescent="0.25">
      <c r="A3192" s="35">
        <v>1112425760</v>
      </c>
      <c r="B3192" s="35" t="s">
        <v>3527</v>
      </c>
      <c r="C3192" s="35">
        <v>2023</v>
      </c>
      <c r="D3192" s="36">
        <v>45050.377881944441</v>
      </c>
      <c r="E3192" s="37" t="s">
        <v>294</v>
      </c>
      <c r="F3192" s="37" t="s">
        <v>6012</v>
      </c>
      <c r="G3192" s="37" t="s">
        <v>3712</v>
      </c>
      <c r="H3192" s="35" t="s">
        <v>3419</v>
      </c>
      <c r="I3192" s="35" t="s">
        <v>3416</v>
      </c>
      <c r="J3192" s="38">
        <v>0.39219543147208119</v>
      </c>
      <c r="K3192" s="35">
        <v>1</v>
      </c>
      <c r="L3192" s="38">
        <f t="shared" si="49"/>
        <v>0.39219543147208119</v>
      </c>
      <c r="M3192" s="35" t="s">
        <v>11</v>
      </c>
      <c r="N3192" s="38"/>
      <c r="O3192" s="35" t="s">
        <v>12</v>
      </c>
    </row>
    <row r="3193" spans="1:15" x14ac:dyDescent="0.25">
      <c r="A3193" s="35">
        <v>1112425760</v>
      </c>
      <c r="B3193" s="35" t="s">
        <v>3527</v>
      </c>
      <c r="C3193" s="35">
        <v>2023</v>
      </c>
      <c r="D3193" s="36">
        <v>45050.377881944441</v>
      </c>
      <c r="E3193" s="37" t="s">
        <v>294</v>
      </c>
      <c r="F3193" s="37" t="s">
        <v>3715</v>
      </c>
      <c r="G3193" s="37" t="s">
        <v>3716</v>
      </c>
      <c r="H3193" s="35" t="s">
        <v>3419</v>
      </c>
      <c r="I3193" s="35" t="s">
        <v>3416</v>
      </c>
      <c r="J3193" s="38">
        <v>0.77318527918781721</v>
      </c>
      <c r="K3193" s="35">
        <v>2</v>
      </c>
      <c r="L3193" s="38">
        <f t="shared" si="49"/>
        <v>1.5463705583756344</v>
      </c>
      <c r="M3193" s="35" t="s">
        <v>11</v>
      </c>
      <c r="N3193" s="38"/>
      <c r="O3193" s="35" t="s">
        <v>12</v>
      </c>
    </row>
    <row r="3194" spans="1:15" x14ac:dyDescent="0.25">
      <c r="A3194" s="35">
        <v>1112425760</v>
      </c>
      <c r="B3194" s="35" t="s">
        <v>3527</v>
      </c>
      <c r="C3194" s="35">
        <v>2023</v>
      </c>
      <c r="D3194" s="36">
        <v>45050.377881944441</v>
      </c>
      <c r="E3194" s="37" t="s">
        <v>294</v>
      </c>
      <c r="F3194" s="37" t="s">
        <v>3665</v>
      </c>
      <c r="G3194" s="37" t="s">
        <v>3666</v>
      </c>
      <c r="H3194" s="35" t="s">
        <v>3419</v>
      </c>
      <c r="I3194" s="35" t="s">
        <v>3416</v>
      </c>
      <c r="J3194" s="38">
        <v>0.84041878172588824</v>
      </c>
      <c r="K3194" s="35">
        <v>3</v>
      </c>
      <c r="L3194" s="38">
        <f t="shared" si="49"/>
        <v>2.5212563451776648</v>
      </c>
      <c r="M3194" s="35" t="s">
        <v>11</v>
      </c>
      <c r="N3194" s="38"/>
      <c r="O3194" s="35" t="s">
        <v>12</v>
      </c>
    </row>
    <row r="3195" spans="1:15" x14ac:dyDescent="0.25">
      <c r="A3195" s="35">
        <v>1111754063</v>
      </c>
      <c r="B3195" s="35" t="s">
        <v>3527</v>
      </c>
      <c r="C3195" s="35">
        <v>2023</v>
      </c>
      <c r="D3195" s="36">
        <v>45048.845856481479</v>
      </c>
      <c r="E3195" s="37" t="s">
        <v>3020</v>
      </c>
      <c r="F3195" s="37" t="s">
        <v>5171</v>
      </c>
      <c r="G3195" s="37" t="s">
        <v>3710</v>
      </c>
      <c r="H3195" s="35" t="s">
        <v>3419</v>
      </c>
      <c r="I3195" s="35" t="s">
        <v>3530</v>
      </c>
      <c r="J3195" s="38">
        <v>53.77</v>
      </c>
      <c r="K3195" s="35">
        <v>1</v>
      </c>
      <c r="L3195" s="38">
        <f t="shared" si="49"/>
        <v>53.77</v>
      </c>
      <c r="M3195" s="35" t="s">
        <v>11</v>
      </c>
      <c r="N3195" s="38"/>
      <c r="O3195" s="35" t="s">
        <v>12</v>
      </c>
    </row>
    <row r="3196" spans="1:15" x14ac:dyDescent="0.25">
      <c r="A3196" s="35">
        <v>1111756843</v>
      </c>
      <c r="B3196" s="35" t="s">
        <v>3527</v>
      </c>
      <c r="C3196" s="35">
        <v>2023</v>
      </c>
      <c r="D3196" s="36">
        <v>45048.507835648154</v>
      </c>
      <c r="E3196" s="37" t="s">
        <v>3107</v>
      </c>
      <c r="F3196" s="37" t="s">
        <v>5171</v>
      </c>
      <c r="G3196" s="37" t="s">
        <v>3710</v>
      </c>
      <c r="H3196" s="35" t="s">
        <v>3419</v>
      </c>
      <c r="I3196" s="35" t="s">
        <v>3530</v>
      </c>
      <c r="J3196" s="38">
        <v>55.27</v>
      </c>
      <c r="K3196" s="35">
        <v>1</v>
      </c>
      <c r="L3196" s="38">
        <f t="shared" si="49"/>
        <v>55.27</v>
      </c>
      <c r="M3196" s="35" t="s">
        <v>11</v>
      </c>
      <c r="N3196" s="38"/>
      <c r="O3196" s="35" t="s">
        <v>12</v>
      </c>
    </row>
    <row r="3197" spans="1:15" x14ac:dyDescent="0.25">
      <c r="A3197" s="35">
        <v>1112195130</v>
      </c>
      <c r="B3197" s="35" t="s">
        <v>3527</v>
      </c>
      <c r="C3197" s="35">
        <v>2023</v>
      </c>
      <c r="D3197" s="36">
        <v>45048.415648148148</v>
      </c>
      <c r="E3197" s="37" t="s">
        <v>3104</v>
      </c>
      <c r="F3197" s="37" t="s">
        <v>4170</v>
      </c>
      <c r="G3197" s="37" t="s">
        <v>4035</v>
      </c>
      <c r="H3197" s="35" t="s">
        <v>3419</v>
      </c>
      <c r="I3197" s="35" t="s">
        <v>3530</v>
      </c>
      <c r="J3197" s="38">
        <v>16.115492957746479</v>
      </c>
      <c r="K3197" s="35">
        <v>1</v>
      </c>
      <c r="L3197" s="38">
        <f t="shared" si="49"/>
        <v>16.115492957746479</v>
      </c>
      <c r="M3197" s="35" t="s">
        <v>11</v>
      </c>
      <c r="N3197" s="38"/>
      <c r="O3197" s="35" t="s">
        <v>12</v>
      </c>
    </row>
    <row r="3198" spans="1:15" x14ac:dyDescent="0.25">
      <c r="A3198" s="35">
        <v>1112195130</v>
      </c>
      <c r="B3198" s="35" t="s">
        <v>3527</v>
      </c>
      <c r="C3198" s="35">
        <v>2023</v>
      </c>
      <c r="D3198" s="36">
        <v>45048.415648148148</v>
      </c>
      <c r="E3198" s="37" t="s">
        <v>3104</v>
      </c>
      <c r="F3198" s="37" t="s">
        <v>6013</v>
      </c>
      <c r="G3198" s="37" t="s">
        <v>3867</v>
      </c>
      <c r="H3198" s="35" t="s">
        <v>3419</v>
      </c>
      <c r="I3198" s="35" t="s">
        <v>3416</v>
      </c>
      <c r="J3198" s="38">
        <v>2.1487323943661969</v>
      </c>
      <c r="K3198" s="35">
        <v>1</v>
      </c>
      <c r="L3198" s="38">
        <f t="shared" si="49"/>
        <v>2.1487323943661969</v>
      </c>
      <c r="M3198" s="35" t="s">
        <v>11</v>
      </c>
      <c r="N3198" s="38"/>
      <c r="O3198" s="35" t="s">
        <v>12</v>
      </c>
    </row>
    <row r="3199" spans="1:15" x14ac:dyDescent="0.25">
      <c r="A3199" s="35">
        <v>1112195130</v>
      </c>
      <c r="B3199" s="35" t="s">
        <v>3527</v>
      </c>
      <c r="C3199" s="35">
        <v>2023</v>
      </c>
      <c r="D3199" s="36">
        <v>45048.415648148148</v>
      </c>
      <c r="E3199" s="37" t="s">
        <v>3104</v>
      </c>
      <c r="F3199" s="37" t="s">
        <v>6014</v>
      </c>
      <c r="G3199" s="37" t="s">
        <v>3658</v>
      </c>
      <c r="H3199" s="35" t="s">
        <v>3419</v>
      </c>
      <c r="I3199" s="35" t="s">
        <v>3416</v>
      </c>
      <c r="J3199" s="38">
        <v>29.00788732394366</v>
      </c>
      <c r="K3199" s="35">
        <v>2</v>
      </c>
      <c r="L3199" s="38">
        <f t="shared" si="49"/>
        <v>58.015774647887319</v>
      </c>
      <c r="M3199" s="35" t="s">
        <v>11</v>
      </c>
      <c r="N3199" s="38"/>
      <c r="O3199" s="35" t="s">
        <v>12</v>
      </c>
    </row>
    <row r="3200" spans="1:15" x14ac:dyDescent="0.25">
      <c r="A3200" s="35">
        <v>1110921153</v>
      </c>
      <c r="B3200" s="35" t="s">
        <v>3631</v>
      </c>
      <c r="C3200" s="35">
        <v>2023</v>
      </c>
      <c r="D3200" s="36">
        <v>45037.364629629628</v>
      </c>
      <c r="E3200" s="37" t="s">
        <v>3118</v>
      </c>
      <c r="F3200" s="37" t="s">
        <v>6019</v>
      </c>
      <c r="G3200" s="37" t="s">
        <v>3652</v>
      </c>
      <c r="H3200" s="35" t="s">
        <v>3415</v>
      </c>
      <c r="I3200" s="35" t="s">
        <v>3530</v>
      </c>
      <c r="J3200" s="38">
        <v>24.72</v>
      </c>
      <c r="K3200" s="35">
        <v>4</v>
      </c>
      <c r="L3200" s="38">
        <f t="shared" si="49"/>
        <v>98.88</v>
      </c>
      <c r="M3200" s="35" t="s">
        <v>11</v>
      </c>
      <c r="N3200" s="38"/>
      <c r="O3200" s="35" t="s">
        <v>12</v>
      </c>
    </row>
    <row r="3201" spans="1:15" x14ac:dyDescent="0.25">
      <c r="A3201" s="35">
        <v>1110841933</v>
      </c>
      <c r="B3201" s="35" t="s">
        <v>3631</v>
      </c>
      <c r="C3201" s="35">
        <v>2023</v>
      </c>
      <c r="D3201" s="36">
        <v>45036.553298611107</v>
      </c>
      <c r="E3201" s="37" t="s">
        <v>3120</v>
      </c>
      <c r="F3201" s="37" t="s">
        <v>6020</v>
      </c>
      <c r="G3201" s="37" t="s">
        <v>4668</v>
      </c>
      <c r="H3201" s="35" t="s">
        <v>3419</v>
      </c>
      <c r="I3201" s="35" t="s">
        <v>3640</v>
      </c>
      <c r="J3201" s="38">
        <v>3.18</v>
      </c>
      <c r="K3201" s="35">
        <v>2</v>
      </c>
      <c r="L3201" s="38">
        <f t="shared" si="49"/>
        <v>6.36</v>
      </c>
      <c r="M3201" s="35" t="s">
        <v>11</v>
      </c>
      <c r="N3201" s="38"/>
      <c r="O3201" s="35" t="s">
        <v>12</v>
      </c>
    </row>
    <row r="3202" spans="1:15" x14ac:dyDescent="0.25">
      <c r="A3202" s="35">
        <v>1110841864</v>
      </c>
      <c r="B3202" s="35" t="s">
        <v>3631</v>
      </c>
      <c r="C3202" s="35">
        <v>2023</v>
      </c>
      <c r="D3202" s="36">
        <v>45036.553298611107</v>
      </c>
      <c r="E3202" s="37" t="s">
        <v>3123</v>
      </c>
      <c r="F3202" s="37" t="s">
        <v>6021</v>
      </c>
      <c r="G3202" s="37" t="s">
        <v>3825</v>
      </c>
      <c r="H3202" s="35" t="s">
        <v>3415</v>
      </c>
      <c r="I3202" s="35" t="s">
        <v>3416</v>
      </c>
      <c r="J3202" s="38">
        <v>0.54499999999999993</v>
      </c>
      <c r="K3202" s="35">
        <v>4</v>
      </c>
      <c r="L3202" s="38">
        <f t="shared" ref="L3202:L3265" si="50">J3202*K3202</f>
        <v>2.1799999999999997</v>
      </c>
      <c r="M3202" s="35" t="s">
        <v>11</v>
      </c>
      <c r="N3202" s="38"/>
      <c r="O3202" s="35" t="s">
        <v>12</v>
      </c>
    </row>
    <row r="3203" spans="1:15" x14ac:dyDescent="0.25">
      <c r="A3203" s="35">
        <v>1110841494</v>
      </c>
      <c r="B3203" s="35" t="s">
        <v>3631</v>
      </c>
      <c r="C3203" s="35">
        <v>2023</v>
      </c>
      <c r="D3203" s="36">
        <v>45036.553298611107</v>
      </c>
      <c r="E3203" s="37" t="s">
        <v>3125</v>
      </c>
      <c r="F3203" s="37" t="s">
        <v>3735</v>
      </c>
      <c r="G3203" s="37" t="s">
        <v>3740</v>
      </c>
      <c r="H3203" s="35" t="s">
        <v>3419</v>
      </c>
      <c r="I3203" s="35" t="s">
        <v>3640</v>
      </c>
      <c r="J3203" s="38">
        <v>1.3933333333333331</v>
      </c>
      <c r="K3203" s="35">
        <v>3</v>
      </c>
      <c r="L3203" s="38">
        <f t="shared" si="50"/>
        <v>4.18</v>
      </c>
      <c r="M3203" s="35" t="s">
        <v>11</v>
      </c>
      <c r="N3203" s="38"/>
      <c r="O3203" s="35" t="s">
        <v>12</v>
      </c>
    </row>
    <row r="3204" spans="1:15" x14ac:dyDescent="0.25">
      <c r="A3204" s="35">
        <v>1110822404</v>
      </c>
      <c r="B3204" s="35" t="s">
        <v>3631</v>
      </c>
      <c r="C3204" s="35">
        <v>2023</v>
      </c>
      <c r="D3204" s="36">
        <v>45036.477199074077</v>
      </c>
      <c r="E3204" s="37" t="s">
        <v>294</v>
      </c>
      <c r="F3204" s="37" t="s">
        <v>6022</v>
      </c>
      <c r="G3204" s="37" t="s">
        <v>3710</v>
      </c>
      <c r="H3204" s="35" t="s">
        <v>3419</v>
      </c>
      <c r="I3204" s="35" t="s">
        <v>3530</v>
      </c>
      <c r="J3204" s="38">
        <v>0.22151755379388449</v>
      </c>
      <c r="K3204" s="35">
        <v>1</v>
      </c>
      <c r="L3204" s="38">
        <f t="shared" si="50"/>
        <v>0.22151755379388449</v>
      </c>
      <c r="M3204" s="35" t="s">
        <v>11</v>
      </c>
      <c r="N3204" s="38"/>
      <c r="O3204" s="35" t="s">
        <v>12</v>
      </c>
    </row>
    <row r="3205" spans="1:15" x14ac:dyDescent="0.25">
      <c r="A3205" s="35">
        <v>1110822404</v>
      </c>
      <c r="B3205" s="35" t="s">
        <v>3631</v>
      </c>
      <c r="C3205" s="35">
        <v>2023</v>
      </c>
      <c r="D3205" s="36">
        <v>45036.477199074077</v>
      </c>
      <c r="E3205" s="37" t="s">
        <v>294</v>
      </c>
      <c r="F3205" s="37" t="s">
        <v>4137</v>
      </c>
      <c r="G3205" s="37" t="s">
        <v>3529</v>
      </c>
      <c r="H3205" s="35" t="s">
        <v>3415</v>
      </c>
      <c r="I3205" s="35" t="s">
        <v>3530</v>
      </c>
      <c r="J3205" s="38">
        <v>1.052208380520951</v>
      </c>
      <c r="K3205" s="35">
        <v>4</v>
      </c>
      <c r="L3205" s="38">
        <f t="shared" si="50"/>
        <v>4.208833522083804</v>
      </c>
      <c r="M3205" s="35" t="s">
        <v>11</v>
      </c>
      <c r="N3205" s="38"/>
      <c r="O3205" s="35" t="s">
        <v>12</v>
      </c>
    </row>
    <row r="3206" spans="1:15" x14ac:dyDescent="0.25">
      <c r="A3206" s="35">
        <v>1110822404</v>
      </c>
      <c r="B3206" s="35" t="s">
        <v>3631</v>
      </c>
      <c r="C3206" s="35">
        <v>2023</v>
      </c>
      <c r="D3206" s="36">
        <v>45036.477199074077</v>
      </c>
      <c r="E3206" s="37" t="s">
        <v>294</v>
      </c>
      <c r="F3206" s="37" t="s">
        <v>6023</v>
      </c>
      <c r="G3206" s="37" t="s">
        <v>4063</v>
      </c>
      <c r="H3206" s="35" t="s">
        <v>3415</v>
      </c>
      <c r="I3206" s="35" t="s">
        <v>3530</v>
      </c>
      <c r="J3206" s="38">
        <v>0.55379388448471123</v>
      </c>
      <c r="K3206" s="35">
        <v>4</v>
      </c>
      <c r="L3206" s="38">
        <f t="shared" si="50"/>
        <v>2.2151755379388449</v>
      </c>
      <c r="M3206" s="35" t="s">
        <v>11</v>
      </c>
      <c r="N3206" s="38"/>
      <c r="O3206" s="35" t="s">
        <v>12</v>
      </c>
    </row>
    <row r="3207" spans="1:15" x14ac:dyDescent="0.25">
      <c r="A3207" s="35">
        <v>1110822404</v>
      </c>
      <c r="B3207" s="35" t="s">
        <v>3631</v>
      </c>
      <c r="C3207" s="35">
        <v>2023</v>
      </c>
      <c r="D3207" s="36">
        <v>45036.477199074077</v>
      </c>
      <c r="E3207" s="37" t="s">
        <v>294</v>
      </c>
      <c r="F3207" s="37" t="s">
        <v>6024</v>
      </c>
      <c r="G3207" s="37" t="s">
        <v>3945</v>
      </c>
      <c r="H3207" s="35" t="s">
        <v>3415</v>
      </c>
      <c r="I3207" s="35" t="s">
        <v>3416</v>
      </c>
      <c r="J3207" s="38">
        <v>0.15506228765571919</v>
      </c>
      <c r="K3207" s="35">
        <v>4</v>
      </c>
      <c r="L3207" s="38">
        <f t="shared" si="50"/>
        <v>0.62024915062287678</v>
      </c>
      <c r="M3207" s="35" t="s">
        <v>11</v>
      </c>
      <c r="N3207" s="38"/>
      <c r="O3207" s="35" t="s">
        <v>12</v>
      </c>
    </row>
    <row r="3208" spans="1:15" x14ac:dyDescent="0.25">
      <c r="A3208" s="35">
        <v>1110822404</v>
      </c>
      <c r="B3208" s="35" t="s">
        <v>3631</v>
      </c>
      <c r="C3208" s="35">
        <v>2023</v>
      </c>
      <c r="D3208" s="36">
        <v>45036.477199074077</v>
      </c>
      <c r="E3208" s="37" t="s">
        <v>294</v>
      </c>
      <c r="F3208" s="37" t="s">
        <v>3933</v>
      </c>
      <c r="G3208" s="37" t="s">
        <v>3987</v>
      </c>
      <c r="H3208" s="35" t="s">
        <v>3419</v>
      </c>
      <c r="I3208" s="35" t="s">
        <v>3416</v>
      </c>
      <c r="J3208" s="38">
        <v>5.4825594563986408</v>
      </c>
      <c r="K3208" s="35">
        <v>1</v>
      </c>
      <c r="L3208" s="38">
        <f t="shared" si="50"/>
        <v>5.4825594563986408</v>
      </c>
      <c r="M3208" s="35" t="s">
        <v>11</v>
      </c>
      <c r="N3208" s="38"/>
      <c r="O3208" s="35" t="s">
        <v>12</v>
      </c>
    </row>
    <row r="3209" spans="1:15" x14ac:dyDescent="0.25">
      <c r="A3209" s="35">
        <v>1110822404</v>
      </c>
      <c r="B3209" s="35" t="s">
        <v>3631</v>
      </c>
      <c r="C3209" s="35">
        <v>2023</v>
      </c>
      <c r="D3209" s="36">
        <v>45036.477199074077</v>
      </c>
      <c r="E3209" s="37" t="s">
        <v>294</v>
      </c>
      <c r="F3209" s="37" t="s">
        <v>6025</v>
      </c>
      <c r="G3209" s="37" t="s">
        <v>3772</v>
      </c>
      <c r="H3209" s="35" t="s">
        <v>3419</v>
      </c>
      <c r="I3209" s="35" t="s">
        <v>3416</v>
      </c>
      <c r="J3209" s="38">
        <v>0.66455266138165348</v>
      </c>
      <c r="K3209" s="35">
        <v>1</v>
      </c>
      <c r="L3209" s="38">
        <f t="shared" si="50"/>
        <v>0.66455266138165348</v>
      </c>
      <c r="M3209" s="35" t="s">
        <v>11</v>
      </c>
      <c r="N3209" s="38"/>
      <c r="O3209" s="35" t="s">
        <v>12</v>
      </c>
    </row>
    <row r="3210" spans="1:15" x14ac:dyDescent="0.25">
      <c r="A3210" s="35">
        <v>1110822404</v>
      </c>
      <c r="B3210" s="35" t="s">
        <v>3631</v>
      </c>
      <c r="C3210" s="35">
        <v>2023</v>
      </c>
      <c r="D3210" s="36">
        <v>45036.477199074077</v>
      </c>
      <c r="E3210" s="37" t="s">
        <v>294</v>
      </c>
      <c r="F3210" s="37" t="s">
        <v>6026</v>
      </c>
      <c r="G3210" s="37" t="s">
        <v>3987</v>
      </c>
      <c r="H3210" s="35" t="s">
        <v>3415</v>
      </c>
      <c r="I3210" s="35" t="s">
        <v>3416</v>
      </c>
      <c r="J3210" s="38">
        <v>0.1661381653454134</v>
      </c>
      <c r="K3210" s="35">
        <v>4</v>
      </c>
      <c r="L3210" s="38">
        <f t="shared" si="50"/>
        <v>0.66455266138165359</v>
      </c>
      <c r="M3210" s="35" t="s">
        <v>11</v>
      </c>
      <c r="N3210" s="38"/>
      <c r="O3210" s="35" t="s">
        <v>12</v>
      </c>
    </row>
    <row r="3211" spans="1:15" x14ac:dyDescent="0.25">
      <c r="A3211" s="35">
        <v>1110822404</v>
      </c>
      <c r="B3211" s="35" t="s">
        <v>3631</v>
      </c>
      <c r="C3211" s="35">
        <v>2023</v>
      </c>
      <c r="D3211" s="36">
        <v>45036.477199074077</v>
      </c>
      <c r="E3211" s="37" t="s">
        <v>294</v>
      </c>
      <c r="F3211" s="37" t="s">
        <v>6027</v>
      </c>
      <c r="G3211" s="37" t="s">
        <v>3825</v>
      </c>
      <c r="H3211" s="35" t="s">
        <v>3419</v>
      </c>
      <c r="I3211" s="35" t="s">
        <v>3416</v>
      </c>
      <c r="J3211" s="38">
        <v>0.22151755379388449</v>
      </c>
      <c r="K3211" s="35">
        <v>1</v>
      </c>
      <c r="L3211" s="38">
        <f t="shared" si="50"/>
        <v>0.22151755379388449</v>
      </c>
      <c r="M3211" s="35" t="s">
        <v>11</v>
      </c>
      <c r="N3211" s="38"/>
      <c r="O3211" s="35" t="s">
        <v>12</v>
      </c>
    </row>
    <row r="3212" spans="1:15" x14ac:dyDescent="0.25">
      <c r="A3212" s="35">
        <v>1110822404</v>
      </c>
      <c r="B3212" s="35" t="s">
        <v>3631</v>
      </c>
      <c r="C3212" s="35">
        <v>2023</v>
      </c>
      <c r="D3212" s="36">
        <v>45036.477199074077</v>
      </c>
      <c r="E3212" s="37" t="s">
        <v>294</v>
      </c>
      <c r="F3212" s="37" t="s">
        <v>6028</v>
      </c>
      <c r="G3212" s="37" t="s">
        <v>3720</v>
      </c>
      <c r="H3212" s="35" t="s">
        <v>3415</v>
      </c>
      <c r="I3212" s="35" t="s">
        <v>3416</v>
      </c>
      <c r="J3212" s="38">
        <v>0.15506228765571919</v>
      </c>
      <c r="K3212" s="35">
        <v>4</v>
      </c>
      <c r="L3212" s="38">
        <f t="shared" si="50"/>
        <v>0.62024915062287678</v>
      </c>
      <c r="M3212" s="35" t="s">
        <v>11</v>
      </c>
      <c r="N3212" s="38"/>
      <c r="O3212" s="35" t="s">
        <v>12</v>
      </c>
    </row>
    <row r="3213" spans="1:15" x14ac:dyDescent="0.25">
      <c r="A3213" s="35">
        <v>1110822404</v>
      </c>
      <c r="B3213" s="35" t="s">
        <v>3631</v>
      </c>
      <c r="C3213" s="35">
        <v>2023</v>
      </c>
      <c r="D3213" s="36">
        <v>45036.477199074077</v>
      </c>
      <c r="E3213" s="37" t="s">
        <v>294</v>
      </c>
      <c r="F3213" s="37" t="s">
        <v>6029</v>
      </c>
      <c r="G3213" s="37" t="s">
        <v>3652</v>
      </c>
      <c r="H3213" s="35" t="s">
        <v>3415</v>
      </c>
      <c r="I3213" s="35" t="s">
        <v>3416</v>
      </c>
      <c r="J3213" s="38">
        <v>0.40980747451868632</v>
      </c>
      <c r="K3213" s="35">
        <v>4</v>
      </c>
      <c r="L3213" s="38">
        <f t="shared" si="50"/>
        <v>1.6392298980747453</v>
      </c>
      <c r="M3213" s="35" t="s">
        <v>11</v>
      </c>
      <c r="N3213" s="38"/>
      <c r="O3213" s="35" t="s">
        <v>12</v>
      </c>
    </row>
    <row r="3214" spans="1:15" x14ac:dyDescent="0.25">
      <c r="A3214" s="35">
        <v>1110822404</v>
      </c>
      <c r="B3214" s="35" t="s">
        <v>3631</v>
      </c>
      <c r="C3214" s="35">
        <v>2023</v>
      </c>
      <c r="D3214" s="36">
        <v>45036.477199074077</v>
      </c>
      <c r="E3214" s="37" t="s">
        <v>294</v>
      </c>
      <c r="F3214" s="37" t="s">
        <v>6030</v>
      </c>
      <c r="G3214" s="37" t="s">
        <v>3551</v>
      </c>
      <c r="H3214" s="35" t="s">
        <v>3415</v>
      </c>
      <c r="I3214" s="35" t="s">
        <v>3416</v>
      </c>
      <c r="J3214" s="38">
        <v>0.33227633069082668</v>
      </c>
      <c r="K3214" s="35">
        <v>4</v>
      </c>
      <c r="L3214" s="38">
        <f t="shared" si="50"/>
        <v>1.3291053227633067</v>
      </c>
      <c r="M3214" s="35" t="s">
        <v>11</v>
      </c>
      <c r="N3214" s="38"/>
      <c r="O3214" s="35" t="s">
        <v>12</v>
      </c>
    </row>
    <row r="3215" spans="1:15" x14ac:dyDescent="0.25">
      <c r="A3215" s="35">
        <v>1110822404</v>
      </c>
      <c r="B3215" s="35" t="s">
        <v>3631</v>
      </c>
      <c r="C3215" s="35">
        <v>2023</v>
      </c>
      <c r="D3215" s="36">
        <v>45036.477199074077</v>
      </c>
      <c r="E3215" s="37" t="s">
        <v>294</v>
      </c>
      <c r="F3215" s="37" t="s">
        <v>6031</v>
      </c>
      <c r="G3215" s="37" t="s">
        <v>3710</v>
      </c>
      <c r="H3215" s="35" t="s">
        <v>3415</v>
      </c>
      <c r="I3215" s="35" t="s">
        <v>3416</v>
      </c>
      <c r="J3215" s="38">
        <v>0.26582106455266141</v>
      </c>
      <c r="K3215" s="35">
        <v>4</v>
      </c>
      <c r="L3215" s="38">
        <f t="shared" si="50"/>
        <v>1.0632842582106456</v>
      </c>
      <c r="M3215" s="35" t="s">
        <v>11</v>
      </c>
      <c r="N3215" s="38"/>
      <c r="O3215" s="35" t="s">
        <v>12</v>
      </c>
    </row>
    <row r="3216" spans="1:15" x14ac:dyDescent="0.25">
      <c r="A3216" s="35">
        <v>1110822404</v>
      </c>
      <c r="B3216" s="35" t="s">
        <v>3631</v>
      </c>
      <c r="C3216" s="35">
        <v>2023</v>
      </c>
      <c r="D3216" s="36">
        <v>45036.477199074077</v>
      </c>
      <c r="E3216" s="37" t="s">
        <v>294</v>
      </c>
      <c r="F3216" s="37" t="s">
        <v>4807</v>
      </c>
      <c r="G3216" s="37" t="s">
        <v>3652</v>
      </c>
      <c r="H3216" s="35" t="s">
        <v>3419</v>
      </c>
      <c r="I3216" s="35" t="s">
        <v>3416</v>
      </c>
      <c r="J3216" s="38">
        <v>0.60917327293318235</v>
      </c>
      <c r="K3216" s="35">
        <v>1</v>
      </c>
      <c r="L3216" s="38">
        <f t="shared" si="50"/>
        <v>0.60917327293318235</v>
      </c>
      <c r="M3216" s="35" t="s">
        <v>11</v>
      </c>
      <c r="N3216" s="38"/>
      <c r="O3216" s="35" t="s">
        <v>12</v>
      </c>
    </row>
    <row r="3217" spans="1:15" x14ac:dyDescent="0.25">
      <c r="A3217" s="35">
        <v>1110534639</v>
      </c>
      <c r="B3217" s="35" t="s">
        <v>3631</v>
      </c>
      <c r="C3217" s="35">
        <v>2023</v>
      </c>
      <c r="D3217" s="36">
        <v>45033.802986111114</v>
      </c>
      <c r="E3217" s="37" t="s">
        <v>3127</v>
      </c>
      <c r="F3217" s="37" t="s">
        <v>6032</v>
      </c>
      <c r="G3217" s="37" t="s">
        <v>4035</v>
      </c>
      <c r="H3217" s="35" t="s">
        <v>3419</v>
      </c>
      <c r="I3217" s="35" t="s">
        <v>3640</v>
      </c>
      <c r="J3217" s="38">
        <v>14.17</v>
      </c>
      <c r="K3217" s="35">
        <v>1</v>
      </c>
      <c r="L3217" s="38">
        <f t="shared" si="50"/>
        <v>14.17</v>
      </c>
      <c r="M3217" s="35" t="s">
        <v>11</v>
      </c>
      <c r="N3217" s="38"/>
      <c r="O3217" s="35" t="s">
        <v>12</v>
      </c>
    </row>
    <row r="3218" spans="1:15" x14ac:dyDescent="0.25">
      <c r="A3218" s="35">
        <v>1108985786</v>
      </c>
      <c r="B3218" s="35" t="s">
        <v>3631</v>
      </c>
      <c r="C3218" s="35">
        <v>2023</v>
      </c>
      <c r="D3218" s="36">
        <v>45019.385636574072</v>
      </c>
      <c r="E3218" s="37" t="s">
        <v>965</v>
      </c>
      <c r="F3218" s="37" t="s">
        <v>4331</v>
      </c>
      <c r="G3218" s="37" t="s">
        <v>4147</v>
      </c>
      <c r="H3218" s="35" t="s">
        <v>3419</v>
      </c>
      <c r="I3218" s="35" t="s">
        <v>6033</v>
      </c>
      <c r="J3218" s="38">
        <v>0.33580402010050248</v>
      </c>
      <c r="K3218" s="35">
        <v>1</v>
      </c>
      <c r="L3218" s="38">
        <f t="shared" si="50"/>
        <v>0.33580402010050248</v>
      </c>
      <c r="M3218" s="35" t="s">
        <v>11</v>
      </c>
      <c r="N3218" s="38"/>
      <c r="O3218" s="35" t="s">
        <v>12</v>
      </c>
    </row>
    <row r="3219" spans="1:15" x14ac:dyDescent="0.25">
      <c r="A3219" s="35">
        <v>1108985786</v>
      </c>
      <c r="B3219" s="35" t="s">
        <v>3631</v>
      </c>
      <c r="C3219" s="35">
        <v>2023</v>
      </c>
      <c r="D3219" s="36">
        <v>45019.385636574072</v>
      </c>
      <c r="E3219" s="37" t="s">
        <v>965</v>
      </c>
      <c r="F3219" s="37" t="s">
        <v>4331</v>
      </c>
      <c r="G3219" s="37" t="s">
        <v>4147</v>
      </c>
      <c r="H3219" s="35" t="s">
        <v>3419</v>
      </c>
      <c r="I3219" s="35" t="s">
        <v>3530</v>
      </c>
      <c r="J3219" s="38">
        <v>0.33580402010050248</v>
      </c>
      <c r="K3219" s="35">
        <v>1</v>
      </c>
      <c r="L3219" s="38">
        <f t="shared" si="50"/>
        <v>0.33580402010050248</v>
      </c>
      <c r="M3219" s="35" t="s">
        <v>11</v>
      </c>
      <c r="N3219" s="38"/>
      <c r="O3219" s="35" t="s">
        <v>12</v>
      </c>
    </row>
    <row r="3220" spans="1:15" x14ac:dyDescent="0.25">
      <c r="A3220" s="35">
        <v>1108985786</v>
      </c>
      <c r="B3220" s="35" t="s">
        <v>3631</v>
      </c>
      <c r="C3220" s="35">
        <v>2023</v>
      </c>
      <c r="D3220" s="36">
        <v>45019.385636574072</v>
      </c>
      <c r="E3220" s="37" t="s">
        <v>965</v>
      </c>
      <c r="F3220" s="37" t="s">
        <v>4330</v>
      </c>
      <c r="G3220" s="37" t="s">
        <v>3987</v>
      </c>
      <c r="H3220" s="35" t="s">
        <v>3415</v>
      </c>
      <c r="I3220" s="35" t="s">
        <v>3416</v>
      </c>
      <c r="J3220" s="38">
        <v>0.33580402010050248</v>
      </c>
      <c r="K3220" s="35">
        <v>4</v>
      </c>
      <c r="L3220" s="38">
        <f t="shared" si="50"/>
        <v>1.3432160804020099</v>
      </c>
      <c r="M3220" s="35" t="s">
        <v>11</v>
      </c>
      <c r="N3220" s="38"/>
      <c r="O3220" s="35" t="s">
        <v>12</v>
      </c>
    </row>
    <row r="3221" spans="1:15" x14ac:dyDescent="0.25">
      <c r="A3221" s="35">
        <v>1108985786</v>
      </c>
      <c r="B3221" s="35" t="s">
        <v>3631</v>
      </c>
      <c r="C3221" s="35">
        <v>2023</v>
      </c>
      <c r="D3221" s="36">
        <v>45019.385636574072</v>
      </c>
      <c r="E3221" s="37" t="s">
        <v>965</v>
      </c>
      <c r="F3221" s="37" t="s">
        <v>6034</v>
      </c>
      <c r="G3221" s="37" t="s">
        <v>3865</v>
      </c>
      <c r="H3221" s="35" t="s">
        <v>3419</v>
      </c>
      <c r="I3221" s="35" t="s">
        <v>3530</v>
      </c>
      <c r="J3221" s="38">
        <v>0.5596733668341709</v>
      </c>
      <c r="K3221" s="35">
        <v>1</v>
      </c>
      <c r="L3221" s="38">
        <f t="shared" si="50"/>
        <v>0.5596733668341709</v>
      </c>
      <c r="M3221" s="35" t="s">
        <v>11</v>
      </c>
      <c r="N3221" s="38"/>
      <c r="O3221" s="35" t="s">
        <v>12</v>
      </c>
    </row>
    <row r="3222" spans="1:15" x14ac:dyDescent="0.25">
      <c r="A3222" s="35">
        <v>1108985786</v>
      </c>
      <c r="B3222" s="35" t="s">
        <v>3631</v>
      </c>
      <c r="C3222" s="35">
        <v>2023</v>
      </c>
      <c r="D3222" s="36">
        <v>45019.385636574072</v>
      </c>
      <c r="E3222" s="37" t="s">
        <v>965</v>
      </c>
      <c r="F3222" s="37" t="s">
        <v>6035</v>
      </c>
      <c r="G3222" s="37" t="s">
        <v>3551</v>
      </c>
      <c r="H3222" s="35" t="s">
        <v>3419</v>
      </c>
      <c r="I3222" s="35" t="s">
        <v>3416</v>
      </c>
      <c r="J3222" s="38">
        <v>0.33580402010050248</v>
      </c>
      <c r="K3222" s="35">
        <v>2</v>
      </c>
      <c r="L3222" s="38">
        <f t="shared" si="50"/>
        <v>0.67160804020100495</v>
      </c>
      <c r="M3222" s="35" t="s">
        <v>11</v>
      </c>
      <c r="N3222" s="38"/>
      <c r="O3222" s="35" t="s">
        <v>12</v>
      </c>
    </row>
    <row r="3223" spans="1:15" x14ac:dyDescent="0.25">
      <c r="A3223" s="35">
        <v>1108985786</v>
      </c>
      <c r="B3223" s="35" t="s">
        <v>3631</v>
      </c>
      <c r="C3223" s="35">
        <v>2023</v>
      </c>
      <c r="D3223" s="36">
        <v>45019.385636574072</v>
      </c>
      <c r="E3223" s="37" t="s">
        <v>965</v>
      </c>
      <c r="F3223" s="37" t="s">
        <v>3717</v>
      </c>
      <c r="G3223" s="37" t="s">
        <v>3718</v>
      </c>
      <c r="H3223" s="35" t="s">
        <v>3419</v>
      </c>
      <c r="I3223" s="35" t="s">
        <v>3416</v>
      </c>
      <c r="J3223" s="38">
        <v>0.44773869346733669</v>
      </c>
      <c r="K3223" s="35">
        <v>1</v>
      </c>
      <c r="L3223" s="38">
        <f t="shared" si="50"/>
        <v>0.44773869346733669</v>
      </c>
      <c r="M3223" s="35" t="s">
        <v>11</v>
      </c>
      <c r="N3223" s="38"/>
      <c r="O3223" s="35" t="s">
        <v>12</v>
      </c>
    </row>
    <row r="3224" spans="1:15" x14ac:dyDescent="0.25">
      <c r="A3224" s="35">
        <v>1108985786</v>
      </c>
      <c r="B3224" s="35" t="s">
        <v>3631</v>
      </c>
      <c r="C3224" s="35">
        <v>2023</v>
      </c>
      <c r="D3224" s="36">
        <v>45019.385636574072</v>
      </c>
      <c r="E3224" s="37" t="s">
        <v>965</v>
      </c>
      <c r="F3224" s="37" t="s">
        <v>6036</v>
      </c>
      <c r="G3224" s="37" t="s">
        <v>6037</v>
      </c>
      <c r="H3224" s="35" t="s">
        <v>3419</v>
      </c>
      <c r="I3224" s="35" t="s">
        <v>3416</v>
      </c>
      <c r="J3224" s="38">
        <v>0.9514447236180904</v>
      </c>
      <c r="K3224" s="35">
        <v>2</v>
      </c>
      <c r="L3224" s="38">
        <f t="shared" si="50"/>
        <v>1.9028894472361808</v>
      </c>
      <c r="M3224" s="35" t="s">
        <v>11</v>
      </c>
      <c r="N3224" s="38"/>
      <c r="O3224" s="35" t="s">
        <v>12</v>
      </c>
    </row>
    <row r="3225" spans="1:15" x14ac:dyDescent="0.25">
      <c r="A3225" s="35">
        <v>1108985786</v>
      </c>
      <c r="B3225" s="35" t="s">
        <v>3631</v>
      </c>
      <c r="C3225" s="35">
        <v>2023</v>
      </c>
      <c r="D3225" s="36">
        <v>45019.385636574072</v>
      </c>
      <c r="E3225" s="37" t="s">
        <v>965</v>
      </c>
      <c r="F3225" s="37" t="s">
        <v>3717</v>
      </c>
      <c r="G3225" s="37" t="s">
        <v>3718</v>
      </c>
      <c r="H3225" s="35" t="s">
        <v>3419</v>
      </c>
      <c r="I3225" s="35" t="s">
        <v>3453</v>
      </c>
      <c r="J3225" s="38">
        <v>0.55967336683417079</v>
      </c>
      <c r="K3225" s="35">
        <v>3</v>
      </c>
      <c r="L3225" s="38">
        <f t="shared" si="50"/>
        <v>1.6790201005025125</v>
      </c>
      <c r="M3225" s="35" t="s">
        <v>11</v>
      </c>
      <c r="N3225" s="38"/>
      <c r="O3225" s="35" t="s">
        <v>12</v>
      </c>
    </row>
    <row r="3226" spans="1:15" x14ac:dyDescent="0.25">
      <c r="A3226" s="35">
        <v>1108985786</v>
      </c>
      <c r="B3226" s="35" t="s">
        <v>3631</v>
      </c>
      <c r="C3226" s="35">
        <v>2023</v>
      </c>
      <c r="D3226" s="36">
        <v>45019.385636574072</v>
      </c>
      <c r="E3226" s="37" t="s">
        <v>965</v>
      </c>
      <c r="F3226" s="37" t="s">
        <v>3789</v>
      </c>
      <c r="G3226" s="37" t="s">
        <v>3790</v>
      </c>
      <c r="H3226" s="35" t="s">
        <v>3419</v>
      </c>
      <c r="I3226" s="35" t="s">
        <v>3530</v>
      </c>
      <c r="J3226" s="38">
        <v>0.5596733668341709</v>
      </c>
      <c r="K3226" s="35">
        <v>1</v>
      </c>
      <c r="L3226" s="38">
        <f t="shared" si="50"/>
        <v>0.5596733668341709</v>
      </c>
      <c r="M3226" s="35" t="s">
        <v>11</v>
      </c>
      <c r="N3226" s="38"/>
      <c r="O3226" s="35" t="s">
        <v>12</v>
      </c>
    </row>
    <row r="3227" spans="1:15" x14ac:dyDescent="0.25">
      <c r="A3227" s="35">
        <v>1108985786</v>
      </c>
      <c r="B3227" s="35" t="s">
        <v>3631</v>
      </c>
      <c r="C3227" s="35">
        <v>2023</v>
      </c>
      <c r="D3227" s="36">
        <v>45019.385636574072</v>
      </c>
      <c r="E3227" s="37" t="s">
        <v>965</v>
      </c>
      <c r="F3227" s="37" t="s">
        <v>4310</v>
      </c>
      <c r="G3227" s="37" t="s">
        <v>3837</v>
      </c>
      <c r="H3227" s="35" t="s">
        <v>3415</v>
      </c>
      <c r="I3227" s="35" t="s">
        <v>3416</v>
      </c>
      <c r="J3227" s="38">
        <v>2.496143216080402</v>
      </c>
      <c r="K3227" s="35">
        <v>4</v>
      </c>
      <c r="L3227" s="38">
        <f t="shared" si="50"/>
        <v>9.9845728643216081</v>
      </c>
      <c r="M3227" s="35" t="s">
        <v>11</v>
      </c>
      <c r="N3227" s="38"/>
      <c r="O3227" s="35" t="s">
        <v>12</v>
      </c>
    </row>
    <row r="3228" spans="1:15" x14ac:dyDescent="0.25">
      <c r="A3228" s="35">
        <v>1108985783</v>
      </c>
      <c r="B3228" s="35" t="s">
        <v>3631</v>
      </c>
      <c r="C3228" s="35">
        <v>2023</v>
      </c>
      <c r="D3228" s="36">
        <v>45019.385636574072</v>
      </c>
      <c r="E3228" s="37" t="s">
        <v>3132</v>
      </c>
      <c r="F3228" s="37" t="s">
        <v>4331</v>
      </c>
      <c r="G3228" s="37" t="s">
        <v>3959</v>
      </c>
      <c r="H3228" s="35" t="s">
        <v>3419</v>
      </c>
      <c r="I3228" s="35" t="s">
        <v>3416</v>
      </c>
      <c r="J3228" s="38">
        <v>1.0181818181818181</v>
      </c>
      <c r="K3228" s="35">
        <v>1</v>
      </c>
      <c r="L3228" s="38">
        <f t="shared" si="50"/>
        <v>1.0181818181818181</v>
      </c>
      <c r="M3228" s="35" t="s">
        <v>11</v>
      </c>
      <c r="N3228" s="38"/>
      <c r="O3228" s="35" t="s">
        <v>12</v>
      </c>
    </row>
    <row r="3229" spans="1:15" x14ac:dyDescent="0.25">
      <c r="A3229" s="35">
        <v>1108985783</v>
      </c>
      <c r="B3229" s="35" t="s">
        <v>3631</v>
      </c>
      <c r="C3229" s="35">
        <v>2023</v>
      </c>
      <c r="D3229" s="36">
        <v>45019.385636574072</v>
      </c>
      <c r="E3229" s="37" t="s">
        <v>3132</v>
      </c>
      <c r="F3229" s="37" t="s">
        <v>4331</v>
      </c>
      <c r="G3229" s="37" t="s">
        <v>4147</v>
      </c>
      <c r="H3229" s="35" t="s">
        <v>3419</v>
      </c>
      <c r="I3229" s="35" t="s">
        <v>3828</v>
      </c>
      <c r="J3229" s="38">
        <v>0.4751515151515151</v>
      </c>
      <c r="K3229" s="35">
        <v>1</v>
      </c>
      <c r="L3229" s="38">
        <f t="shared" si="50"/>
        <v>0.4751515151515151</v>
      </c>
      <c r="M3229" s="35" t="s">
        <v>11</v>
      </c>
      <c r="N3229" s="38"/>
      <c r="O3229" s="35" t="s">
        <v>12</v>
      </c>
    </row>
    <row r="3230" spans="1:15" x14ac:dyDescent="0.25">
      <c r="A3230" s="35">
        <v>1108985783</v>
      </c>
      <c r="B3230" s="35" t="s">
        <v>3631</v>
      </c>
      <c r="C3230" s="35">
        <v>2023</v>
      </c>
      <c r="D3230" s="36">
        <v>45019.385636574072</v>
      </c>
      <c r="E3230" s="37" t="s">
        <v>3132</v>
      </c>
      <c r="F3230" s="37" t="s">
        <v>6038</v>
      </c>
      <c r="G3230" s="37" t="s">
        <v>3529</v>
      </c>
      <c r="H3230" s="35" t="s">
        <v>3415</v>
      </c>
      <c r="I3230" s="35" t="s">
        <v>3530</v>
      </c>
      <c r="J3230" s="38">
        <v>0.20363636363636359</v>
      </c>
      <c r="K3230" s="35">
        <v>4</v>
      </c>
      <c r="L3230" s="38">
        <f t="shared" si="50"/>
        <v>0.81454545454545435</v>
      </c>
      <c r="M3230" s="35" t="s">
        <v>11</v>
      </c>
      <c r="N3230" s="38"/>
      <c r="O3230" s="35" t="s">
        <v>12</v>
      </c>
    </row>
    <row r="3231" spans="1:15" x14ac:dyDescent="0.25">
      <c r="A3231" s="35">
        <v>1108985783</v>
      </c>
      <c r="B3231" s="35" t="s">
        <v>3631</v>
      </c>
      <c r="C3231" s="35">
        <v>2023</v>
      </c>
      <c r="D3231" s="36">
        <v>45019.385636574072</v>
      </c>
      <c r="E3231" s="37" t="s">
        <v>3132</v>
      </c>
      <c r="F3231" s="37" t="s">
        <v>6039</v>
      </c>
      <c r="G3231" s="37" t="s">
        <v>3830</v>
      </c>
      <c r="H3231" s="35" t="s">
        <v>3415</v>
      </c>
      <c r="I3231" s="35" t="s">
        <v>3416</v>
      </c>
      <c r="J3231" s="38">
        <v>0.33939393939393941</v>
      </c>
      <c r="K3231" s="35">
        <v>4</v>
      </c>
      <c r="L3231" s="38">
        <f t="shared" si="50"/>
        <v>1.3575757575757577</v>
      </c>
      <c r="M3231" s="35" t="s">
        <v>11</v>
      </c>
      <c r="N3231" s="38"/>
      <c r="O3231" s="35" t="s">
        <v>12</v>
      </c>
    </row>
    <row r="3232" spans="1:15" x14ac:dyDescent="0.25">
      <c r="A3232" s="35">
        <v>1108985783</v>
      </c>
      <c r="B3232" s="35" t="s">
        <v>3631</v>
      </c>
      <c r="C3232" s="35">
        <v>2023</v>
      </c>
      <c r="D3232" s="36">
        <v>45019.385636574072</v>
      </c>
      <c r="E3232" s="37" t="s">
        <v>3132</v>
      </c>
      <c r="F3232" s="37" t="s">
        <v>6040</v>
      </c>
      <c r="G3232" s="37" t="s">
        <v>4108</v>
      </c>
      <c r="H3232" s="35" t="s">
        <v>3415</v>
      </c>
      <c r="I3232" s="35" t="s">
        <v>3530</v>
      </c>
      <c r="J3232" s="38">
        <v>0.20363636363636359</v>
      </c>
      <c r="K3232" s="35">
        <v>4</v>
      </c>
      <c r="L3232" s="38">
        <f t="shared" si="50"/>
        <v>0.81454545454545435</v>
      </c>
      <c r="M3232" s="35" t="s">
        <v>11</v>
      </c>
      <c r="N3232" s="38"/>
      <c r="O3232" s="35" t="s">
        <v>12</v>
      </c>
    </row>
    <row r="3233" spans="1:15" x14ac:dyDescent="0.25">
      <c r="A3233" s="35">
        <v>1108985781</v>
      </c>
      <c r="B3233" s="35" t="s">
        <v>3631</v>
      </c>
      <c r="C3233" s="35">
        <v>2023</v>
      </c>
      <c r="D3233" s="36">
        <v>45019.385636574072</v>
      </c>
      <c r="E3233" s="37" t="s">
        <v>3134</v>
      </c>
      <c r="F3233" s="37" t="s">
        <v>4332</v>
      </c>
      <c r="G3233" s="37" t="s">
        <v>3664</v>
      </c>
      <c r="H3233" s="35" t="s">
        <v>3419</v>
      </c>
      <c r="I3233" s="35" t="s">
        <v>3416</v>
      </c>
      <c r="J3233" s="38">
        <v>0.71430379746835448</v>
      </c>
      <c r="K3233" s="35">
        <v>2</v>
      </c>
      <c r="L3233" s="38">
        <f t="shared" si="50"/>
        <v>1.428607594936709</v>
      </c>
      <c r="M3233" s="35" t="s">
        <v>11</v>
      </c>
      <c r="N3233" s="38"/>
      <c r="O3233" s="35" t="s">
        <v>12</v>
      </c>
    </row>
    <row r="3234" spans="1:15" x14ac:dyDescent="0.25">
      <c r="A3234" s="35">
        <v>1108985781</v>
      </c>
      <c r="B3234" s="35" t="s">
        <v>3631</v>
      </c>
      <c r="C3234" s="35">
        <v>2023</v>
      </c>
      <c r="D3234" s="36">
        <v>45019.385636574072</v>
      </c>
      <c r="E3234" s="37" t="s">
        <v>3134</v>
      </c>
      <c r="F3234" s="37" t="s">
        <v>4332</v>
      </c>
      <c r="G3234" s="37" t="s">
        <v>3682</v>
      </c>
      <c r="H3234" s="35" t="s">
        <v>3419</v>
      </c>
      <c r="I3234" s="35" t="s">
        <v>3416</v>
      </c>
      <c r="J3234" s="38">
        <v>0.71430379746835448</v>
      </c>
      <c r="K3234" s="35">
        <v>1</v>
      </c>
      <c r="L3234" s="38">
        <f t="shared" si="50"/>
        <v>0.71430379746835448</v>
      </c>
      <c r="M3234" s="35" t="s">
        <v>11</v>
      </c>
      <c r="N3234" s="38"/>
      <c r="O3234" s="35" t="s">
        <v>12</v>
      </c>
    </row>
    <row r="3235" spans="1:15" x14ac:dyDescent="0.25">
      <c r="A3235" s="35">
        <v>1108985781</v>
      </c>
      <c r="B3235" s="35" t="s">
        <v>3631</v>
      </c>
      <c r="C3235" s="35">
        <v>2023</v>
      </c>
      <c r="D3235" s="36">
        <v>45019.385636574072</v>
      </c>
      <c r="E3235" s="37" t="s">
        <v>3134</v>
      </c>
      <c r="F3235" s="37" t="s">
        <v>4332</v>
      </c>
      <c r="G3235" s="37" t="s">
        <v>3963</v>
      </c>
      <c r="H3235" s="35" t="s">
        <v>3419</v>
      </c>
      <c r="I3235" s="35" t="s">
        <v>3530</v>
      </c>
      <c r="J3235" s="38">
        <v>0.64936708860759496</v>
      </c>
      <c r="K3235" s="35">
        <v>1</v>
      </c>
      <c r="L3235" s="38">
        <f t="shared" si="50"/>
        <v>0.64936708860759496</v>
      </c>
      <c r="M3235" s="35" t="s">
        <v>11</v>
      </c>
      <c r="N3235" s="38"/>
      <c r="O3235" s="35" t="s">
        <v>12</v>
      </c>
    </row>
    <row r="3236" spans="1:15" x14ac:dyDescent="0.25">
      <c r="A3236" s="35">
        <v>1108985781</v>
      </c>
      <c r="B3236" s="35" t="s">
        <v>3631</v>
      </c>
      <c r="C3236" s="35">
        <v>2023</v>
      </c>
      <c r="D3236" s="36">
        <v>45019.385636574072</v>
      </c>
      <c r="E3236" s="37" t="s">
        <v>3134</v>
      </c>
      <c r="F3236" s="37" t="s">
        <v>3958</v>
      </c>
      <c r="G3236" s="37" t="s">
        <v>3959</v>
      </c>
      <c r="H3236" s="35" t="s">
        <v>3415</v>
      </c>
      <c r="I3236" s="35" t="s">
        <v>3416</v>
      </c>
      <c r="J3236" s="38">
        <v>0.58443037974683543</v>
      </c>
      <c r="K3236" s="35">
        <v>4</v>
      </c>
      <c r="L3236" s="38">
        <f t="shared" si="50"/>
        <v>2.3377215189873417</v>
      </c>
      <c r="M3236" s="35" t="s">
        <v>11</v>
      </c>
      <c r="N3236" s="38"/>
      <c r="O3236" s="35" t="s">
        <v>12</v>
      </c>
    </row>
    <row r="3237" spans="1:15" x14ac:dyDescent="0.25">
      <c r="A3237" s="35">
        <v>1108985767</v>
      </c>
      <c r="B3237" s="35" t="s">
        <v>3631</v>
      </c>
      <c r="C3237" s="35">
        <v>2023</v>
      </c>
      <c r="D3237" s="36">
        <v>45019.385636574072</v>
      </c>
      <c r="E3237" s="37" t="s">
        <v>3136</v>
      </c>
      <c r="F3237" s="37" t="s">
        <v>6041</v>
      </c>
      <c r="G3237" s="37" t="s">
        <v>3674</v>
      </c>
      <c r="H3237" s="35" t="s">
        <v>3419</v>
      </c>
      <c r="I3237" s="35" t="s">
        <v>3416</v>
      </c>
      <c r="J3237" s="38">
        <v>1.94</v>
      </c>
      <c r="K3237" s="35">
        <v>2</v>
      </c>
      <c r="L3237" s="38">
        <f t="shared" si="50"/>
        <v>3.88</v>
      </c>
      <c r="M3237" s="35" t="s">
        <v>11</v>
      </c>
      <c r="N3237" s="38"/>
      <c r="O3237" s="35" t="s">
        <v>12</v>
      </c>
    </row>
    <row r="3238" spans="1:15" x14ac:dyDescent="0.25">
      <c r="A3238" s="35">
        <v>1108866811</v>
      </c>
      <c r="B3238" s="35" t="s">
        <v>3631</v>
      </c>
      <c r="C3238" s="35">
        <v>2023</v>
      </c>
      <c r="D3238" s="36">
        <v>45018.304155092592</v>
      </c>
      <c r="E3238" s="37" t="s">
        <v>3138</v>
      </c>
      <c r="F3238" s="37" t="s">
        <v>5291</v>
      </c>
      <c r="G3238" s="37" t="s">
        <v>5291</v>
      </c>
      <c r="H3238" s="35" t="s">
        <v>3419</v>
      </c>
      <c r="I3238" s="35" t="s">
        <v>3416</v>
      </c>
      <c r="J3238" s="38">
        <v>17.925000000000001</v>
      </c>
      <c r="K3238" s="35">
        <v>1</v>
      </c>
      <c r="L3238" s="38">
        <f t="shared" si="50"/>
        <v>17.925000000000001</v>
      </c>
      <c r="M3238" s="35" t="s">
        <v>11</v>
      </c>
      <c r="N3238" s="38"/>
      <c r="O3238" s="35" t="s">
        <v>2314</v>
      </c>
    </row>
    <row r="3239" spans="1:15" x14ac:dyDescent="0.25">
      <c r="A3239" s="35">
        <v>1108866811</v>
      </c>
      <c r="B3239" s="35" t="s">
        <v>3631</v>
      </c>
      <c r="C3239" s="35">
        <v>2023</v>
      </c>
      <c r="D3239" s="36">
        <v>45018.304155092592</v>
      </c>
      <c r="E3239" s="37" t="s">
        <v>3138</v>
      </c>
      <c r="F3239" s="37" t="s">
        <v>5446</v>
      </c>
      <c r="G3239" s="37" t="s">
        <v>5446</v>
      </c>
      <c r="H3239" s="35" t="s">
        <v>3419</v>
      </c>
      <c r="I3239" s="35" t="s">
        <v>3416</v>
      </c>
      <c r="J3239" s="38">
        <v>17.925000000000001</v>
      </c>
      <c r="K3239" s="35">
        <v>1</v>
      </c>
      <c r="L3239" s="38">
        <f t="shared" si="50"/>
        <v>17.925000000000001</v>
      </c>
      <c r="M3239" s="35" t="s">
        <v>11</v>
      </c>
      <c r="N3239" s="38"/>
      <c r="O3239" s="35" t="s">
        <v>2314</v>
      </c>
    </row>
    <row r="3240" spans="1:15" x14ac:dyDescent="0.25">
      <c r="A3240" s="35">
        <v>1108589248</v>
      </c>
      <c r="B3240" s="35" t="s">
        <v>3646</v>
      </c>
      <c r="C3240" s="35">
        <v>2023</v>
      </c>
      <c r="D3240" s="36">
        <v>45015.590254629627</v>
      </c>
      <c r="E3240" s="37" t="s">
        <v>3141</v>
      </c>
      <c r="F3240" s="37" t="s">
        <v>5245</v>
      </c>
      <c r="G3240" s="37" t="s">
        <v>3876</v>
      </c>
      <c r="H3240" s="35" t="s">
        <v>3419</v>
      </c>
      <c r="I3240" s="35" t="s">
        <v>3530</v>
      </c>
      <c r="J3240" s="38">
        <v>17.057703081232489</v>
      </c>
      <c r="K3240" s="35">
        <v>1</v>
      </c>
      <c r="L3240" s="38">
        <f t="shared" si="50"/>
        <v>17.057703081232489</v>
      </c>
      <c r="M3240" s="35" t="s">
        <v>11</v>
      </c>
      <c r="N3240" s="38"/>
      <c r="O3240" s="35" t="s">
        <v>12</v>
      </c>
    </row>
    <row r="3241" spans="1:15" x14ac:dyDescent="0.25">
      <c r="A3241" s="35">
        <v>1108589248</v>
      </c>
      <c r="B3241" s="35" t="s">
        <v>3646</v>
      </c>
      <c r="C3241" s="35">
        <v>2023</v>
      </c>
      <c r="D3241" s="36">
        <v>45015.590254629627</v>
      </c>
      <c r="E3241" s="37" t="s">
        <v>3141</v>
      </c>
      <c r="F3241" s="37" t="s">
        <v>6027</v>
      </c>
      <c r="G3241" s="37" t="s">
        <v>3825</v>
      </c>
      <c r="H3241" s="35" t="s">
        <v>3419</v>
      </c>
      <c r="I3241" s="35" t="s">
        <v>3416</v>
      </c>
      <c r="J3241" s="38">
        <v>0.1066106442577031</v>
      </c>
      <c r="K3241" s="35">
        <v>3</v>
      </c>
      <c r="L3241" s="38">
        <f t="shared" si="50"/>
        <v>0.31983193277310928</v>
      </c>
      <c r="M3241" s="35" t="s">
        <v>11</v>
      </c>
      <c r="N3241" s="38"/>
      <c r="O3241" s="35" t="s">
        <v>12</v>
      </c>
    </row>
    <row r="3242" spans="1:15" x14ac:dyDescent="0.25">
      <c r="A3242" s="35">
        <v>1108589248</v>
      </c>
      <c r="B3242" s="35" t="s">
        <v>3646</v>
      </c>
      <c r="C3242" s="35">
        <v>2023</v>
      </c>
      <c r="D3242" s="36">
        <v>45015.590254629627</v>
      </c>
      <c r="E3242" s="37" t="s">
        <v>3141</v>
      </c>
      <c r="F3242" s="37" t="s">
        <v>4329</v>
      </c>
      <c r="G3242" s="37" t="s">
        <v>4147</v>
      </c>
      <c r="H3242" s="35" t="s">
        <v>3419</v>
      </c>
      <c r="I3242" s="35" t="s">
        <v>3530</v>
      </c>
      <c r="J3242" s="38">
        <v>5.3305322128851543E-2</v>
      </c>
      <c r="K3242" s="35">
        <v>2</v>
      </c>
      <c r="L3242" s="38">
        <f t="shared" si="50"/>
        <v>0.10661064425770309</v>
      </c>
      <c r="M3242" s="35" t="s">
        <v>11</v>
      </c>
      <c r="N3242" s="38"/>
      <c r="O3242" s="35" t="s">
        <v>12</v>
      </c>
    </row>
    <row r="3243" spans="1:15" x14ac:dyDescent="0.25">
      <c r="A3243" s="35">
        <v>1108589248</v>
      </c>
      <c r="B3243" s="35" t="s">
        <v>3646</v>
      </c>
      <c r="C3243" s="35">
        <v>2023</v>
      </c>
      <c r="D3243" s="36">
        <v>45015.590254629627</v>
      </c>
      <c r="E3243" s="37" t="s">
        <v>3141</v>
      </c>
      <c r="F3243" s="37" t="s">
        <v>4329</v>
      </c>
      <c r="G3243" s="37" t="s">
        <v>4147</v>
      </c>
      <c r="H3243" s="35" t="s">
        <v>3419</v>
      </c>
      <c r="I3243" s="35" t="s">
        <v>3416</v>
      </c>
      <c r="J3243" s="38">
        <v>5.3305322128851543E-2</v>
      </c>
      <c r="K3243" s="35">
        <v>2</v>
      </c>
      <c r="L3243" s="38">
        <f t="shared" si="50"/>
        <v>0.10661064425770309</v>
      </c>
      <c r="M3243" s="35" t="s">
        <v>11</v>
      </c>
      <c r="N3243" s="38"/>
      <c r="O3243" s="35" t="s">
        <v>12</v>
      </c>
    </row>
    <row r="3244" spans="1:15" x14ac:dyDescent="0.25">
      <c r="A3244" s="35">
        <v>1108589248</v>
      </c>
      <c r="B3244" s="35" t="s">
        <v>3646</v>
      </c>
      <c r="C3244" s="35">
        <v>2023</v>
      </c>
      <c r="D3244" s="36">
        <v>45015.590254629627</v>
      </c>
      <c r="E3244" s="37" t="s">
        <v>3141</v>
      </c>
      <c r="F3244" s="37" t="s">
        <v>4330</v>
      </c>
      <c r="G3244" s="37" t="s">
        <v>5476</v>
      </c>
      <c r="H3244" s="35" t="s">
        <v>3419</v>
      </c>
      <c r="I3244" s="35" t="s">
        <v>3416</v>
      </c>
      <c r="J3244" s="38">
        <v>0.15991596638655459</v>
      </c>
      <c r="K3244" s="35">
        <v>1</v>
      </c>
      <c r="L3244" s="38">
        <f t="shared" si="50"/>
        <v>0.15991596638655459</v>
      </c>
      <c r="M3244" s="35" t="s">
        <v>11</v>
      </c>
      <c r="N3244" s="38"/>
      <c r="O3244" s="35" t="s">
        <v>12</v>
      </c>
    </row>
    <row r="3245" spans="1:15" x14ac:dyDescent="0.25">
      <c r="A3245" s="35">
        <v>1108589248</v>
      </c>
      <c r="B3245" s="35" t="s">
        <v>3646</v>
      </c>
      <c r="C3245" s="35">
        <v>2023</v>
      </c>
      <c r="D3245" s="36">
        <v>45015.590254629627</v>
      </c>
      <c r="E3245" s="37" t="s">
        <v>3141</v>
      </c>
      <c r="F3245" s="37" t="s">
        <v>6041</v>
      </c>
      <c r="G3245" s="37" t="s">
        <v>6042</v>
      </c>
      <c r="H3245" s="35" t="s">
        <v>3419</v>
      </c>
      <c r="I3245" s="35" t="s">
        <v>3416</v>
      </c>
      <c r="J3245" s="38">
        <v>1.066106442577031</v>
      </c>
      <c r="K3245" s="35">
        <v>1</v>
      </c>
      <c r="L3245" s="38">
        <f t="shared" si="50"/>
        <v>1.066106442577031</v>
      </c>
      <c r="M3245" s="35" t="s">
        <v>11</v>
      </c>
      <c r="N3245" s="38"/>
      <c r="O3245" s="35" t="s">
        <v>12</v>
      </c>
    </row>
    <row r="3246" spans="1:15" x14ac:dyDescent="0.25">
      <c r="A3246" s="35">
        <v>1108589248</v>
      </c>
      <c r="B3246" s="35" t="s">
        <v>3646</v>
      </c>
      <c r="C3246" s="35">
        <v>2023</v>
      </c>
      <c r="D3246" s="36">
        <v>45015.590254629627</v>
      </c>
      <c r="E3246" s="37" t="s">
        <v>3141</v>
      </c>
      <c r="F3246" s="37" t="s">
        <v>6043</v>
      </c>
      <c r="G3246" s="37" t="s">
        <v>3876</v>
      </c>
      <c r="H3246" s="35" t="s">
        <v>3419</v>
      </c>
      <c r="I3246" s="35" t="s">
        <v>3416</v>
      </c>
      <c r="J3246" s="38">
        <v>5.3305322128851543E-2</v>
      </c>
      <c r="K3246" s="35">
        <v>1</v>
      </c>
      <c r="L3246" s="38">
        <f t="shared" si="50"/>
        <v>5.3305322128851543E-2</v>
      </c>
      <c r="M3246" s="35" t="s">
        <v>11</v>
      </c>
      <c r="N3246" s="38"/>
      <c r="O3246" s="35" t="s">
        <v>12</v>
      </c>
    </row>
    <row r="3247" spans="1:15" x14ac:dyDescent="0.25">
      <c r="A3247" s="35">
        <v>1108589248</v>
      </c>
      <c r="B3247" s="35" t="s">
        <v>3646</v>
      </c>
      <c r="C3247" s="35">
        <v>2023</v>
      </c>
      <c r="D3247" s="36">
        <v>45015.590254629627</v>
      </c>
      <c r="E3247" s="37" t="s">
        <v>3141</v>
      </c>
      <c r="F3247" s="37" t="s">
        <v>6043</v>
      </c>
      <c r="G3247" s="37" t="s">
        <v>3720</v>
      </c>
      <c r="H3247" s="35" t="s">
        <v>3419</v>
      </c>
      <c r="I3247" s="35" t="s">
        <v>3416</v>
      </c>
      <c r="J3247" s="38">
        <v>5.330532212885155E-2</v>
      </c>
      <c r="K3247" s="35">
        <v>3</v>
      </c>
      <c r="L3247" s="38">
        <f t="shared" si="50"/>
        <v>0.15991596638655464</v>
      </c>
      <c r="M3247" s="35" t="s">
        <v>11</v>
      </c>
      <c r="N3247" s="38"/>
      <c r="O3247" s="35" t="s">
        <v>12</v>
      </c>
    </row>
    <row r="3248" spans="1:15" x14ac:dyDescent="0.25">
      <c r="A3248" s="35">
        <v>1108588513</v>
      </c>
      <c r="B3248" s="35" t="s">
        <v>3646</v>
      </c>
      <c r="C3248" s="35">
        <v>2023</v>
      </c>
      <c r="D3248" s="36">
        <v>45015.590254629627</v>
      </c>
      <c r="E3248" s="37" t="s">
        <v>3144</v>
      </c>
      <c r="F3248" s="37" t="s">
        <v>5245</v>
      </c>
      <c r="G3248" s="37" t="s">
        <v>3876</v>
      </c>
      <c r="H3248" s="35" t="s">
        <v>3419</v>
      </c>
      <c r="I3248" s="35" t="s">
        <v>3416</v>
      </c>
      <c r="J3248" s="38">
        <v>16.170000000000002</v>
      </c>
      <c r="K3248" s="35">
        <v>1</v>
      </c>
      <c r="L3248" s="38">
        <f t="shared" si="50"/>
        <v>16.170000000000002</v>
      </c>
      <c r="M3248" s="35" t="s">
        <v>11</v>
      </c>
      <c r="N3248" s="38"/>
      <c r="O3248" s="35" t="s">
        <v>12</v>
      </c>
    </row>
    <row r="3249" spans="1:15" x14ac:dyDescent="0.25">
      <c r="A3249" s="35">
        <v>1108567857</v>
      </c>
      <c r="B3249" s="35" t="s">
        <v>3646</v>
      </c>
      <c r="C3249" s="35">
        <v>2023</v>
      </c>
      <c r="D3249" s="36">
        <v>45015.449837962973</v>
      </c>
      <c r="E3249" s="37" t="s">
        <v>3146</v>
      </c>
      <c r="F3249" s="37" t="s">
        <v>6044</v>
      </c>
      <c r="G3249" s="37" t="s">
        <v>4392</v>
      </c>
      <c r="H3249" s="35" t="s">
        <v>3415</v>
      </c>
      <c r="I3249" s="35" t="s">
        <v>3416</v>
      </c>
      <c r="J3249" s="38">
        <v>44.012500000000003</v>
      </c>
      <c r="K3249" s="35">
        <v>4</v>
      </c>
      <c r="L3249" s="38">
        <f t="shared" si="50"/>
        <v>176.05</v>
      </c>
      <c r="M3249" s="35" t="s">
        <v>11</v>
      </c>
      <c r="N3249" s="38"/>
      <c r="O3249" s="35" t="s">
        <v>12</v>
      </c>
    </row>
    <row r="3250" spans="1:15" x14ac:dyDescent="0.25">
      <c r="A3250" s="35">
        <v>1107483796</v>
      </c>
      <c r="B3250" s="35" t="s">
        <v>3646</v>
      </c>
      <c r="C3250" s="35">
        <v>2023</v>
      </c>
      <c r="D3250" s="36">
        <v>45004.697442129633</v>
      </c>
      <c r="E3250" s="37" t="s">
        <v>294</v>
      </c>
      <c r="F3250" s="37" t="s">
        <v>6047</v>
      </c>
      <c r="G3250" s="37" t="s">
        <v>3738</v>
      </c>
      <c r="H3250" s="35" t="s">
        <v>3419</v>
      </c>
      <c r="I3250" s="35" t="s">
        <v>3416</v>
      </c>
      <c r="J3250" s="38">
        <v>0.27328026811897782</v>
      </c>
      <c r="K3250" s="35">
        <v>2</v>
      </c>
      <c r="L3250" s="38">
        <f t="shared" si="50"/>
        <v>0.54656053623795564</v>
      </c>
      <c r="M3250" s="35" t="s">
        <v>11</v>
      </c>
      <c r="N3250" s="38"/>
      <c r="O3250" s="35" t="s">
        <v>12</v>
      </c>
    </row>
    <row r="3251" spans="1:15" x14ac:dyDescent="0.25">
      <c r="A3251" s="35">
        <v>1107483796</v>
      </c>
      <c r="B3251" s="35" t="s">
        <v>3646</v>
      </c>
      <c r="C3251" s="35">
        <v>2023</v>
      </c>
      <c r="D3251" s="36">
        <v>45004.697442129633</v>
      </c>
      <c r="E3251" s="37" t="s">
        <v>294</v>
      </c>
      <c r="F3251" s="37" t="s">
        <v>6048</v>
      </c>
      <c r="G3251" s="37" t="s">
        <v>4264</v>
      </c>
      <c r="H3251" s="35" t="s">
        <v>3415</v>
      </c>
      <c r="I3251" s="35" t="s">
        <v>3416</v>
      </c>
      <c r="J3251" s="38">
        <v>0.17080016757436109</v>
      </c>
      <c r="K3251" s="35">
        <v>4</v>
      </c>
      <c r="L3251" s="38">
        <f t="shared" si="50"/>
        <v>0.68320067029744436</v>
      </c>
      <c r="M3251" s="35" t="s">
        <v>11</v>
      </c>
      <c r="N3251" s="38"/>
      <c r="O3251" s="35" t="s">
        <v>12</v>
      </c>
    </row>
    <row r="3252" spans="1:15" x14ac:dyDescent="0.25">
      <c r="A3252" s="35">
        <v>1107483796</v>
      </c>
      <c r="B3252" s="35" t="s">
        <v>3646</v>
      </c>
      <c r="C3252" s="35">
        <v>2023</v>
      </c>
      <c r="D3252" s="36">
        <v>45004.697442129633</v>
      </c>
      <c r="E3252" s="37" t="s">
        <v>294</v>
      </c>
      <c r="F3252" s="37" t="s">
        <v>6049</v>
      </c>
      <c r="G3252" s="37" t="s">
        <v>4362</v>
      </c>
      <c r="H3252" s="35" t="s">
        <v>3419</v>
      </c>
      <c r="I3252" s="35" t="s">
        <v>3416</v>
      </c>
      <c r="J3252" s="38">
        <v>0.85400083787180558</v>
      </c>
      <c r="K3252" s="35">
        <v>2</v>
      </c>
      <c r="L3252" s="38">
        <f t="shared" si="50"/>
        <v>1.7080016757436112</v>
      </c>
      <c r="M3252" s="35" t="s">
        <v>11</v>
      </c>
      <c r="N3252" s="38"/>
      <c r="O3252" s="35" t="s">
        <v>12</v>
      </c>
    </row>
    <row r="3253" spans="1:15" x14ac:dyDescent="0.25">
      <c r="A3253" s="35">
        <v>1107483796</v>
      </c>
      <c r="B3253" s="35" t="s">
        <v>3646</v>
      </c>
      <c r="C3253" s="35">
        <v>2023</v>
      </c>
      <c r="D3253" s="36">
        <v>45004.697442129633</v>
      </c>
      <c r="E3253" s="37" t="s">
        <v>294</v>
      </c>
      <c r="F3253" s="37" t="s">
        <v>6050</v>
      </c>
      <c r="G3253" s="37" t="s">
        <v>3945</v>
      </c>
      <c r="H3253" s="35" t="s">
        <v>3415</v>
      </c>
      <c r="I3253" s="35" t="s">
        <v>3416</v>
      </c>
      <c r="J3253" s="38">
        <v>0.15941348973607039</v>
      </c>
      <c r="K3253" s="35">
        <v>4</v>
      </c>
      <c r="L3253" s="38">
        <f t="shared" si="50"/>
        <v>0.63765395894428156</v>
      </c>
      <c r="M3253" s="35" t="s">
        <v>11</v>
      </c>
      <c r="N3253" s="38"/>
      <c r="O3253" s="35" t="s">
        <v>12</v>
      </c>
    </row>
    <row r="3254" spans="1:15" x14ac:dyDescent="0.25">
      <c r="A3254" s="35">
        <v>1107483796</v>
      </c>
      <c r="B3254" s="35" t="s">
        <v>3646</v>
      </c>
      <c r="C3254" s="35">
        <v>2023</v>
      </c>
      <c r="D3254" s="36">
        <v>45004.697442129633</v>
      </c>
      <c r="E3254" s="37" t="s">
        <v>294</v>
      </c>
      <c r="F3254" s="37" t="s">
        <v>6051</v>
      </c>
      <c r="G3254" s="37" t="s">
        <v>3529</v>
      </c>
      <c r="H3254" s="35" t="s">
        <v>3415</v>
      </c>
      <c r="I3254" s="35" t="s">
        <v>3416</v>
      </c>
      <c r="J3254" s="38">
        <v>0.37576036866359452</v>
      </c>
      <c r="K3254" s="35">
        <v>4</v>
      </c>
      <c r="L3254" s="38">
        <f t="shared" si="50"/>
        <v>1.5030414746543781</v>
      </c>
      <c r="M3254" s="35" t="s">
        <v>11</v>
      </c>
      <c r="N3254" s="38"/>
      <c r="O3254" s="35" t="s">
        <v>12</v>
      </c>
    </row>
    <row r="3255" spans="1:15" x14ac:dyDescent="0.25">
      <c r="A3255" s="35">
        <v>1107483796</v>
      </c>
      <c r="B3255" s="35" t="s">
        <v>3646</v>
      </c>
      <c r="C3255" s="35">
        <v>2023</v>
      </c>
      <c r="D3255" s="36">
        <v>45004.697442129633</v>
      </c>
      <c r="E3255" s="37" t="s">
        <v>294</v>
      </c>
      <c r="F3255" s="37" t="s">
        <v>6052</v>
      </c>
      <c r="G3255" s="37" t="s">
        <v>4063</v>
      </c>
      <c r="H3255" s="35" t="s">
        <v>3415</v>
      </c>
      <c r="I3255" s="35" t="s">
        <v>3416</v>
      </c>
      <c r="J3255" s="38">
        <v>0.15941348973607039</v>
      </c>
      <c r="K3255" s="35">
        <v>4</v>
      </c>
      <c r="L3255" s="38">
        <f t="shared" si="50"/>
        <v>0.63765395894428156</v>
      </c>
      <c r="M3255" s="35" t="s">
        <v>11</v>
      </c>
      <c r="N3255" s="38"/>
      <c r="O3255" s="35" t="s">
        <v>12</v>
      </c>
    </row>
    <row r="3256" spans="1:15" x14ac:dyDescent="0.25">
      <c r="A3256" s="35">
        <v>1107483796</v>
      </c>
      <c r="B3256" s="35" t="s">
        <v>3646</v>
      </c>
      <c r="C3256" s="35">
        <v>2023</v>
      </c>
      <c r="D3256" s="36">
        <v>45004.697442129633</v>
      </c>
      <c r="E3256" s="37" t="s">
        <v>294</v>
      </c>
      <c r="F3256" s="37" t="s">
        <v>3675</v>
      </c>
      <c r="G3256" s="37" t="s">
        <v>4392</v>
      </c>
      <c r="H3256" s="35" t="s">
        <v>3415</v>
      </c>
      <c r="I3256" s="35" t="s">
        <v>3416</v>
      </c>
      <c r="J3256" s="38">
        <v>0.85400083787180558</v>
      </c>
      <c r="K3256" s="35">
        <v>4</v>
      </c>
      <c r="L3256" s="38">
        <f t="shared" si="50"/>
        <v>3.4160033514872223</v>
      </c>
      <c r="M3256" s="35" t="s">
        <v>11</v>
      </c>
      <c r="N3256" s="38"/>
      <c r="O3256" s="35" t="s">
        <v>12</v>
      </c>
    </row>
    <row r="3257" spans="1:15" x14ac:dyDescent="0.25">
      <c r="A3257" s="35">
        <v>1107483796</v>
      </c>
      <c r="B3257" s="35" t="s">
        <v>3646</v>
      </c>
      <c r="C3257" s="35">
        <v>2023</v>
      </c>
      <c r="D3257" s="36">
        <v>45004.697442129633</v>
      </c>
      <c r="E3257" s="37" t="s">
        <v>294</v>
      </c>
      <c r="F3257" s="37" t="s">
        <v>6053</v>
      </c>
      <c r="G3257" s="37" t="s">
        <v>3652</v>
      </c>
      <c r="H3257" s="35" t="s">
        <v>3415</v>
      </c>
      <c r="I3257" s="35" t="s">
        <v>3416</v>
      </c>
      <c r="J3257" s="38">
        <v>0.17080016757436109</v>
      </c>
      <c r="K3257" s="35">
        <v>4</v>
      </c>
      <c r="L3257" s="38">
        <f t="shared" si="50"/>
        <v>0.68320067029744436</v>
      </c>
      <c r="M3257" s="35" t="s">
        <v>11</v>
      </c>
      <c r="N3257" s="38"/>
      <c r="O3257" s="35" t="s">
        <v>12</v>
      </c>
    </row>
    <row r="3258" spans="1:15" x14ac:dyDescent="0.25">
      <c r="A3258" s="35">
        <v>1107483796</v>
      </c>
      <c r="B3258" s="35" t="s">
        <v>3646</v>
      </c>
      <c r="C3258" s="35">
        <v>2023</v>
      </c>
      <c r="D3258" s="36">
        <v>45004.697442129633</v>
      </c>
      <c r="E3258" s="37" t="s">
        <v>294</v>
      </c>
      <c r="F3258" s="37" t="s">
        <v>6054</v>
      </c>
      <c r="G3258" s="37" t="s">
        <v>3726</v>
      </c>
      <c r="H3258" s="35" t="s">
        <v>3415</v>
      </c>
      <c r="I3258" s="35" t="s">
        <v>3416</v>
      </c>
      <c r="J3258" s="38">
        <v>0.20496020108923341</v>
      </c>
      <c r="K3258" s="35">
        <v>4</v>
      </c>
      <c r="L3258" s="38">
        <f t="shared" si="50"/>
        <v>0.81984080435693363</v>
      </c>
      <c r="M3258" s="35" t="s">
        <v>11</v>
      </c>
      <c r="N3258" s="38"/>
      <c r="O3258" s="35" t="s">
        <v>12</v>
      </c>
    </row>
    <row r="3259" spans="1:15" x14ac:dyDescent="0.25">
      <c r="A3259" s="35">
        <v>1107483796</v>
      </c>
      <c r="B3259" s="35" t="s">
        <v>3646</v>
      </c>
      <c r="C3259" s="35">
        <v>2023</v>
      </c>
      <c r="D3259" s="36">
        <v>45004.697442129633</v>
      </c>
      <c r="E3259" s="37" t="s">
        <v>294</v>
      </c>
      <c r="F3259" s="37" t="s">
        <v>6055</v>
      </c>
      <c r="G3259" s="37" t="s">
        <v>4362</v>
      </c>
      <c r="H3259" s="35" t="s">
        <v>3419</v>
      </c>
      <c r="I3259" s="35" t="s">
        <v>3416</v>
      </c>
      <c r="J3259" s="38">
        <v>1.651068286552158</v>
      </c>
      <c r="K3259" s="35">
        <v>2</v>
      </c>
      <c r="L3259" s="38">
        <f t="shared" si="50"/>
        <v>3.302136573104316</v>
      </c>
      <c r="M3259" s="35" t="s">
        <v>11</v>
      </c>
      <c r="N3259" s="38"/>
      <c r="O3259" s="35" t="s">
        <v>12</v>
      </c>
    </row>
    <row r="3260" spans="1:15" x14ac:dyDescent="0.25">
      <c r="A3260" s="35">
        <v>1107483796</v>
      </c>
      <c r="B3260" s="35" t="s">
        <v>3646</v>
      </c>
      <c r="C3260" s="35">
        <v>2023</v>
      </c>
      <c r="D3260" s="36">
        <v>45004.697442129633</v>
      </c>
      <c r="E3260" s="37" t="s">
        <v>294</v>
      </c>
      <c r="F3260" s="37" t="s">
        <v>6056</v>
      </c>
      <c r="G3260" s="37" t="s">
        <v>6057</v>
      </c>
      <c r="H3260" s="35" t="s">
        <v>3419</v>
      </c>
      <c r="I3260" s="35" t="s">
        <v>3416</v>
      </c>
      <c r="J3260" s="38">
        <v>5.6364055299539171</v>
      </c>
      <c r="K3260" s="35">
        <v>1</v>
      </c>
      <c r="L3260" s="38">
        <f t="shared" si="50"/>
        <v>5.6364055299539171</v>
      </c>
      <c r="M3260" s="35" t="s">
        <v>11</v>
      </c>
      <c r="N3260" s="38"/>
      <c r="O3260" s="35" t="s">
        <v>12</v>
      </c>
    </row>
    <row r="3261" spans="1:15" x14ac:dyDescent="0.25">
      <c r="A3261" s="35">
        <v>1107483796</v>
      </c>
      <c r="B3261" s="35" t="s">
        <v>3646</v>
      </c>
      <c r="C3261" s="35">
        <v>2023</v>
      </c>
      <c r="D3261" s="36">
        <v>45004.697442129633</v>
      </c>
      <c r="E3261" s="37" t="s">
        <v>294</v>
      </c>
      <c r="F3261" s="37" t="s">
        <v>6058</v>
      </c>
      <c r="G3261" s="37" t="s">
        <v>5509</v>
      </c>
      <c r="H3261" s="35" t="s">
        <v>3415</v>
      </c>
      <c r="I3261" s="35" t="s">
        <v>3416</v>
      </c>
      <c r="J3261" s="38">
        <v>0.27328026811897782</v>
      </c>
      <c r="K3261" s="35">
        <v>4</v>
      </c>
      <c r="L3261" s="38">
        <f t="shared" si="50"/>
        <v>1.0931210724759113</v>
      </c>
      <c r="M3261" s="35" t="s">
        <v>11</v>
      </c>
      <c r="N3261" s="38"/>
      <c r="O3261" s="35" t="s">
        <v>12</v>
      </c>
    </row>
    <row r="3262" spans="1:15" x14ac:dyDescent="0.25">
      <c r="A3262" s="35">
        <v>1107483796</v>
      </c>
      <c r="B3262" s="35" t="s">
        <v>3646</v>
      </c>
      <c r="C3262" s="35">
        <v>2023</v>
      </c>
      <c r="D3262" s="36">
        <v>45004.697442129633</v>
      </c>
      <c r="E3262" s="37" t="s">
        <v>294</v>
      </c>
      <c r="F3262" s="37" t="s">
        <v>6059</v>
      </c>
      <c r="G3262" s="37" t="s">
        <v>3738</v>
      </c>
      <c r="H3262" s="35" t="s">
        <v>3419</v>
      </c>
      <c r="I3262" s="35" t="s">
        <v>3416</v>
      </c>
      <c r="J3262" s="38">
        <v>0.15941348973607039</v>
      </c>
      <c r="K3262" s="35">
        <v>2</v>
      </c>
      <c r="L3262" s="38">
        <f t="shared" si="50"/>
        <v>0.31882697947214078</v>
      </c>
      <c r="M3262" s="35" t="s">
        <v>11</v>
      </c>
      <c r="N3262" s="38"/>
      <c r="O3262" s="35" t="s">
        <v>12</v>
      </c>
    </row>
    <row r="3263" spans="1:15" x14ac:dyDescent="0.25">
      <c r="A3263" s="35">
        <v>1107483796</v>
      </c>
      <c r="B3263" s="35" t="s">
        <v>3646</v>
      </c>
      <c r="C3263" s="35">
        <v>2023</v>
      </c>
      <c r="D3263" s="36">
        <v>45004.697442129633</v>
      </c>
      <c r="E3263" s="37" t="s">
        <v>294</v>
      </c>
      <c r="F3263" s="37" t="s">
        <v>3944</v>
      </c>
      <c r="G3263" s="37" t="s">
        <v>3945</v>
      </c>
      <c r="H3263" s="35" t="s">
        <v>3415</v>
      </c>
      <c r="I3263" s="35" t="s">
        <v>3416</v>
      </c>
      <c r="J3263" s="38">
        <v>1.127281105990783</v>
      </c>
      <c r="K3263" s="35">
        <v>4</v>
      </c>
      <c r="L3263" s="38">
        <f t="shared" si="50"/>
        <v>4.5091244239631321</v>
      </c>
      <c r="M3263" s="35" t="s">
        <v>11</v>
      </c>
      <c r="N3263" s="38"/>
      <c r="O3263" s="35" t="s">
        <v>12</v>
      </c>
    </row>
    <row r="3264" spans="1:15" x14ac:dyDescent="0.25">
      <c r="A3264" s="35">
        <v>1107483796</v>
      </c>
      <c r="B3264" s="35" t="s">
        <v>3646</v>
      </c>
      <c r="C3264" s="35">
        <v>2023</v>
      </c>
      <c r="D3264" s="36">
        <v>45004.697442129633</v>
      </c>
      <c r="E3264" s="37" t="s">
        <v>294</v>
      </c>
      <c r="F3264" s="37" t="s">
        <v>6046</v>
      </c>
      <c r="G3264" s="37" t="s">
        <v>3718</v>
      </c>
      <c r="H3264" s="35" t="s">
        <v>3419</v>
      </c>
      <c r="I3264" s="35" t="s">
        <v>3416</v>
      </c>
      <c r="J3264" s="38">
        <v>0.84261416003351486</v>
      </c>
      <c r="K3264" s="35">
        <v>2</v>
      </c>
      <c r="L3264" s="38">
        <f t="shared" si="50"/>
        <v>1.6852283200670297</v>
      </c>
      <c r="M3264" s="35" t="s">
        <v>11</v>
      </c>
      <c r="N3264" s="38"/>
      <c r="O3264" s="35" t="s">
        <v>12</v>
      </c>
    </row>
    <row r="3265" spans="1:15" x14ac:dyDescent="0.25">
      <c r="A3265" s="35">
        <v>1107353399</v>
      </c>
      <c r="B3265" s="35" t="s">
        <v>3646</v>
      </c>
      <c r="C3265" s="35">
        <v>2023</v>
      </c>
      <c r="D3265" s="36">
        <v>45003.410428240742</v>
      </c>
      <c r="E3265" s="37" t="s">
        <v>857</v>
      </c>
      <c r="F3265" s="37" t="s">
        <v>6060</v>
      </c>
      <c r="G3265" s="37" t="s">
        <v>3726</v>
      </c>
      <c r="H3265" s="35" t="s">
        <v>3419</v>
      </c>
      <c r="I3265" s="35" t="s">
        <v>3416</v>
      </c>
      <c r="J3265" s="38">
        <v>0.97749214330609679</v>
      </c>
      <c r="K3265" s="35">
        <v>1</v>
      </c>
      <c r="L3265" s="38">
        <f t="shared" si="50"/>
        <v>0.97749214330609679</v>
      </c>
      <c r="M3265" s="35" t="s">
        <v>11</v>
      </c>
      <c r="N3265" s="38"/>
      <c r="O3265" s="35" t="s">
        <v>12</v>
      </c>
    </row>
    <row r="3266" spans="1:15" ht="30" x14ac:dyDescent="0.25">
      <c r="A3266" s="35">
        <v>1107353399</v>
      </c>
      <c r="B3266" s="35" t="s">
        <v>3646</v>
      </c>
      <c r="C3266" s="35">
        <v>2023</v>
      </c>
      <c r="D3266" s="36">
        <v>45003.410428240742</v>
      </c>
      <c r="E3266" s="37" t="s">
        <v>857</v>
      </c>
      <c r="F3266" s="37" t="s">
        <v>3948</v>
      </c>
      <c r="G3266" s="37" t="s">
        <v>3949</v>
      </c>
      <c r="H3266" s="35" t="s">
        <v>3419</v>
      </c>
      <c r="I3266" s="35" t="s">
        <v>3416</v>
      </c>
      <c r="J3266" s="38">
        <v>8.0562539283469512</v>
      </c>
      <c r="K3266" s="35">
        <v>2</v>
      </c>
      <c r="L3266" s="38">
        <f t="shared" ref="L3266:L3329" si="51">J3266*K3266</f>
        <v>16.112507856693902</v>
      </c>
      <c r="M3266" s="35" t="s">
        <v>11</v>
      </c>
      <c r="N3266" s="38"/>
      <c r="O3266" s="35" t="s">
        <v>12</v>
      </c>
    </row>
    <row r="3267" spans="1:15" x14ac:dyDescent="0.25">
      <c r="A3267" s="35">
        <v>1107256823</v>
      </c>
      <c r="B3267" s="35" t="s">
        <v>3646</v>
      </c>
      <c r="C3267" s="35">
        <v>2023</v>
      </c>
      <c r="D3267" s="36">
        <v>45002.502083333333</v>
      </c>
      <c r="E3267" s="37" t="s">
        <v>3152</v>
      </c>
      <c r="F3267" s="37" t="s">
        <v>6061</v>
      </c>
      <c r="G3267" s="37" t="s">
        <v>3738</v>
      </c>
      <c r="H3267" s="35" t="s">
        <v>3419</v>
      </c>
      <c r="I3267" s="35" t="s">
        <v>3453</v>
      </c>
      <c r="J3267" s="38">
        <v>1.05</v>
      </c>
      <c r="K3267" s="35">
        <v>2</v>
      </c>
      <c r="L3267" s="38">
        <f t="shared" si="51"/>
        <v>2.1</v>
      </c>
      <c r="M3267" s="35" t="s">
        <v>11</v>
      </c>
      <c r="N3267" s="38"/>
      <c r="O3267" s="35" t="s">
        <v>12</v>
      </c>
    </row>
    <row r="3268" spans="1:15" x14ac:dyDescent="0.25">
      <c r="A3268" s="35">
        <v>1107188713</v>
      </c>
      <c r="B3268" s="35" t="s">
        <v>3646</v>
      </c>
      <c r="C3268" s="35">
        <v>2023</v>
      </c>
      <c r="D3268" s="36">
        <v>45001.660578703697</v>
      </c>
      <c r="E3268" s="37" t="s">
        <v>3152</v>
      </c>
      <c r="F3268" s="37" t="s">
        <v>6062</v>
      </c>
      <c r="G3268" s="37" t="s">
        <v>3738</v>
      </c>
      <c r="H3268" s="35" t="s">
        <v>3419</v>
      </c>
      <c r="I3268" s="35" t="s">
        <v>3416</v>
      </c>
      <c r="J3268" s="38">
        <v>16.399999999999999</v>
      </c>
      <c r="K3268" s="35">
        <v>1</v>
      </c>
      <c r="L3268" s="38">
        <f t="shared" si="51"/>
        <v>16.399999999999999</v>
      </c>
      <c r="M3268" s="35" t="s">
        <v>11</v>
      </c>
      <c r="N3268" s="38"/>
      <c r="O3268" s="35" t="s">
        <v>12</v>
      </c>
    </row>
    <row r="3269" spans="1:15" x14ac:dyDescent="0.25">
      <c r="A3269" s="35">
        <v>1107026406</v>
      </c>
      <c r="B3269" s="35" t="s">
        <v>3646</v>
      </c>
      <c r="C3269" s="35">
        <v>2023</v>
      </c>
      <c r="D3269" s="36">
        <v>45000.0783912037</v>
      </c>
      <c r="E3269" s="37" t="s">
        <v>3070</v>
      </c>
      <c r="F3269" s="37" t="s">
        <v>5068</v>
      </c>
      <c r="G3269" s="37" t="s">
        <v>4860</v>
      </c>
      <c r="H3269" s="35" t="s">
        <v>3419</v>
      </c>
      <c r="I3269" s="35" t="s">
        <v>3416</v>
      </c>
      <c r="J3269" s="38">
        <v>2.273265306122449</v>
      </c>
      <c r="K3269" s="35">
        <v>1</v>
      </c>
      <c r="L3269" s="38">
        <f t="shared" si="51"/>
        <v>2.273265306122449</v>
      </c>
      <c r="M3269" s="35" t="s">
        <v>11</v>
      </c>
      <c r="N3269" s="38"/>
      <c r="O3269" s="35" t="s">
        <v>12</v>
      </c>
    </row>
    <row r="3270" spans="1:15" x14ac:dyDescent="0.25">
      <c r="A3270" s="35">
        <v>1107026406</v>
      </c>
      <c r="B3270" s="35" t="s">
        <v>3646</v>
      </c>
      <c r="C3270" s="35">
        <v>2023</v>
      </c>
      <c r="D3270" s="36">
        <v>45000.0783912037</v>
      </c>
      <c r="E3270" s="37" t="s">
        <v>3070</v>
      </c>
      <c r="F3270" s="37" t="s">
        <v>4515</v>
      </c>
      <c r="G3270" s="37" t="s">
        <v>3666</v>
      </c>
      <c r="H3270" s="35" t="s">
        <v>3419</v>
      </c>
      <c r="I3270" s="35" t="s">
        <v>3453</v>
      </c>
      <c r="J3270" s="38">
        <v>17.428367346938771</v>
      </c>
      <c r="K3270" s="35">
        <v>2</v>
      </c>
      <c r="L3270" s="38">
        <f t="shared" si="51"/>
        <v>34.856734693877542</v>
      </c>
      <c r="M3270" s="35" t="s">
        <v>11</v>
      </c>
      <c r="N3270" s="38"/>
      <c r="O3270" s="35" t="s">
        <v>12</v>
      </c>
    </row>
    <row r="3271" spans="1:15" x14ac:dyDescent="0.25">
      <c r="A3271" s="35">
        <v>1105780129</v>
      </c>
      <c r="B3271" s="35" t="s">
        <v>3646</v>
      </c>
      <c r="C3271" s="35">
        <v>2023</v>
      </c>
      <c r="D3271" s="36">
        <v>44989.633993055562</v>
      </c>
      <c r="E3271" s="37" t="s">
        <v>3159</v>
      </c>
      <c r="F3271" s="37" t="s">
        <v>4793</v>
      </c>
      <c r="G3271" s="37" t="s">
        <v>3652</v>
      </c>
      <c r="H3271" s="35" t="s">
        <v>3415</v>
      </c>
      <c r="I3271" s="35" t="s">
        <v>3416</v>
      </c>
      <c r="J3271" s="38">
        <v>0.64749999999999996</v>
      </c>
      <c r="K3271" s="35">
        <v>4</v>
      </c>
      <c r="L3271" s="38">
        <f t="shared" si="51"/>
        <v>2.59</v>
      </c>
      <c r="M3271" s="35" t="s">
        <v>11</v>
      </c>
      <c r="N3271" s="38"/>
      <c r="O3271" s="35" t="s">
        <v>12</v>
      </c>
    </row>
    <row r="3272" spans="1:15" x14ac:dyDescent="0.25">
      <c r="A3272" s="35">
        <v>1105780129</v>
      </c>
      <c r="B3272" s="35" t="s">
        <v>3646</v>
      </c>
      <c r="C3272" s="35">
        <v>2023</v>
      </c>
      <c r="D3272" s="36">
        <v>44989.633993055562</v>
      </c>
      <c r="E3272" s="37" t="s">
        <v>3159</v>
      </c>
      <c r="F3272" s="37" t="s">
        <v>4807</v>
      </c>
      <c r="G3272" s="37" t="s">
        <v>3652</v>
      </c>
      <c r="H3272" s="35" t="s">
        <v>3415</v>
      </c>
      <c r="I3272" s="35" t="s">
        <v>3416</v>
      </c>
      <c r="J3272" s="38">
        <v>0.64749999999999996</v>
      </c>
      <c r="K3272" s="35">
        <v>4</v>
      </c>
      <c r="L3272" s="38">
        <f t="shared" si="51"/>
        <v>2.59</v>
      </c>
      <c r="M3272" s="35" t="s">
        <v>11</v>
      </c>
      <c r="N3272" s="38"/>
      <c r="O3272" s="35" t="s">
        <v>12</v>
      </c>
    </row>
    <row r="3273" spans="1:15" x14ac:dyDescent="0.25">
      <c r="A3273" s="35">
        <v>1105776290</v>
      </c>
      <c r="B3273" s="35" t="s">
        <v>3646</v>
      </c>
      <c r="C3273" s="35">
        <v>2023</v>
      </c>
      <c r="D3273" s="36">
        <v>44989.599594907413</v>
      </c>
      <c r="E3273" s="37" t="s">
        <v>3162</v>
      </c>
      <c r="F3273" s="37" t="s">
        <v>4454</v>
      </c>
      <c r="G3273" s="37" t="s">
        <v>5495</v>
      </c>
      <c r="H3273" s="35" t="s">
        <v>3415</v>
      </c>
      <c r="I3273" s="35" t="s">
        <v>3416</v>
      </c>
      <c r="J3273" s="38">
        <v>3.528</v>
      </c>
      <c r="K3273" s="35">
        <v>4</v>
      </c>
      <c r="L3273" s="38">
        <f t="shared" si="51"/>
        <v>14.112</v>
      </c>
      <c r="M3273" s="35" t="s">
        <v>11</v>
      </c>
      <c r="N3273" s="38"/>
      <c r="O3273" s="35" t="s">
        <v>12</v>
      </c>
    </row>
    <row r="3274" spans="1:15" x14ac:dyDescent="0.25">
      <c r="A3274" s="35">
        <v>1105776290</v>
      </c>
      <c r="B3274" s="35" t="s">
        <v>3646</v>
      </c>
      <c r="C3274" s="35">
        <v>2023</v>
      </c>
      <c r="D3274" s="36">
        <v>44989.599594907413</v>
      </c>
      <c r="E3274" s="37" t="s">
        <v>3162</v>
      </c>
      <c r="F3274" s="37" t="s">
        <v>4452</v>
      </c>
      <c r="G3274" s="37" t="s">
        <v>5495</v>
      </c>
      <c r="H3274" s="35" t="s">
        <v>3415</v>
      </c>
      <c r="I3274" s="35" t="s">
        <v>3416</v>
      </c>
      <c r="J3274" s="38">
        <v>5.2919999999999998</v>
      </c>
      <c r="K3274" s="35">
        <v>4</v>
      </c>
      <c r="L3274" s="38">
        <f t="shared" si="51"/>
        <v>21.167999999999999</v>
      </c>
      <c r="M3274" s="35" t="s">
        <v>11</v>
      </c>
      <c r="N3274" s="38"/>
      <c r="O3274" s="35" t="s">
        <v>12</v>
      </c>
    </row>
    <row r="3275" spans="1:15" x14ac:dyDescent="0.25">
      <c r="A3275" s="35">
        <v>1105458937</v>
      </c>
      <c r="B3275" s="35" t="s">
        <v>3646</v>
      </c>
      <c r="C3275" s="35">
        <v>2023</v>
      </c>
      <c r="D3275" s="36">
        <v>44986.710590277777</v>
      </c>
      <c r="E3275" s="37" t="s">
        <v>294</v>
      </c>
      <c r="F3275" s="37" t="s">
        <v>6065</v>
      </c>
      <c r="G3275" s="37" t="s">
        <v>4326</v>
      </c>
      <c r="H3275" s="35" t="s">
        <v>3415</v>
      </c>
      <c r="I3275" s="35" t="s">
        <v>3530</v>
      </c>
      <c r="J3275" s="38">
        <v>10.975470677342569</v>
      </c>
      <c r="K3275" s="35">
        <v>4</v>
      </c>
      <c r="L3275" s="38">
        <f t="shared" si="51"/>
        <v>43.901882709370277</v>
      </c>
      <c r="M3275" s="35" t="s">
        <v>11</v>
      </c>
      <c r="N3275" s="38"/>
      <c r="O3275" s="35" t="s">
        <v>12</v>
      </c>
    </row>
    <row r="3276" spans="1:15" x14ac:dyDescent="0.25">
      <c r="A3276" s="35">
        <v>1105458937</v>
      </c>
      <c r="B3276" s="35" t="s">
        <v>3646</v>
      </c>
      <c r="C3276" s="35">
        <v>2023</v>
      </c>
      <c r="D3276" s="36">
        <v>44986.710590277777</v>
      </c>
      <c r="E3276" s="37" t="s">
        <v>294</v>
      </c>
      <c r="F3276" s="37" t="s">
        <v>6066</v>
      </c>
      <c r="G3276" s="37" t="s">
        <v>4392</v>
      </c>
      <c r="H3276" s="35" t="s">
        <v>3419</v>
      </c>
      <c r="I3276" s="35" t="s">
        <v>3416</v>
      </c>
      <c r="J3276" s="38">
        <v>1.0585479333477601</v>
      </c>
      <c r="K3276" s="35">
        <v>3</v>
      </c>
      <c r="L3276" s="38">
        <f t="shared" si="51"/>
        <v>3.1756438000432805</v>
      </c>
      <c r="M3276" s="35" t="s">
        <v>11</v>
      </c>
      <c r="N3276" s="38"/>
      <c r="O3276" s="35" t="s">
        <v>12</v>
      </c>
    </row>
    <row r="3277" spans="1:15" x14ac:dyDescent="0.25">
      <c r="A3277" s="35">
        <v>1105458937</v>
      </c>
      <c r="B3277" s="35" t="s">
        <v>3646</v>
      </c>
      <c r="C3277" s="35">
        <v>2023</v>
      </c>
      <c r="D3277" s="36">
        <v>44986.710590277777</v>
      </c>
      <c r="E3277" s="37" t="s">
        <v>294</v>
      </c>
      <c r="F3277" s="37" t="s">
        <v>6067</v>
      </c>
      <c r="G3277" s="37" t="s">
        <v>3710</v>
      </c>
      <c r="H3277" s="35" t="s">
        <v>3415</v>
      </c>
      <c r="I3277" s="35" t="s">
        <v>3416</v>
      </c>
      <c r="J3277" s="38">
        <v>0.15599653754598569</v>
      </c>
      <c r="K3277" s="35">
        <v>4</v>
      </c>
      <c r="L3277" s="38">
        <f t="shared" si="51"/>
        <v>0.62398615018394277</v>
      </c>
      <c r="M3277" s="35" t="s">
        <v>11</v>
      </c>
      <c r="N3277" s="38"/>
      <c r="O3277" s="35" t="s">
        <v>12</v>
      </c>
    </row>
    <row r="3278" spans="1:15" x14ac:dyDescent="0.25">
      <c r="A3278" s="35">
        <v>1105458937</v>
      </c>
      <c r="B3278" s="35" t="s">
        <v>3646</v>
      </c>
      <c r="C3278" s="35">
        <v>2023</v>
      </c>
      <c r="D3278" s="36">
        <v>44986.710590277777</v>
      </c>
      <c r="E3278" s="37" t="s">
        <v>294</v>
      </c>
      <c r="F3278" s="37" t="s">
        <v>4961</v>
      </c>
      <c r="G3278" s="37" t="s">
        <v>3551</v>
      </c>
      <c r="H3278" s="35" t="s">
        <v>3415</v>
      </c>
      <c r="I3278" s="35" t="s">
        <v>3416</v>
      </c>
      <c r="J3278" s="38">
        <v>0.94712183510062753</v>
      </c>
      <c r="K3278" s="35">
        <v>4</v>
      </c>
      <c r="L3278" s="38">
        <f t="shared" si="51"/>
        <v>3.7884873404025101</v>
      </c>
      <c r="M3278" s="35" t="s">
        <v>11</v>
      </c>
      <c r="N3278" s="38"/>
      <c r="O3278" s="35" t="s">
        <v>12</v>
      </c>
    </row>
    <row r="3279" spans="1:15" x14ac:dyDescent="0.25">
      <c r="A3279" s="35">
        <v>1105452541</v>
      </c>
      <c r="B3279" s="35" t="s">
        <v>3646</v>
      </c>
      <c r="C3279" s="35">
        <v>2023</v>
      </c>
      <c r="D3279" s="36">
        <v>44986.707592592589</v>
      </c>
      <c r="E3279" s="37" t="s">
        <v>3166</v>
      </c>
      <c r="F3279" s="37" t="s">
        <v>4321</v>
      </c>
      <c r="G3279" s="37" t="s">
        <v>4322</v>
      </c>
      <c r="H3279" s="35" t="s">
        <v>3419</v>
      </c>
      <c r="I3279" s="35" t="s">
        <v>3416</v>
      </c>
      <c r="J3279" s="38">
        <v>26.18</v>
      </c>
      <c r="K3279" s="35">
        <v>1</v>
      </c>
      <c r="L3279" s="38">
        <f t="shared" si="51"/>
        <v>26.18</v>
      </c>
      <c r="M3279" s="35" t="s">
        <v>11</v>
      </c>
      <c r="N3279" s="38"/>
      <c r="O3279" s="35" t="s">
        <v>12</v>
      </c>
    </row>
    <row r="3280" spans="1:15" x14ac:dyDescent="0.25">
      <c r="A3280" s="35">
        <v>1105374462</v>
      </c>
      <c r="B3280" s="35" t="s">
        <v>3721</v>
      </c>
      <c r="C3280" s="35">
        <v>2023</v>
      </c>
      <c r="D3280" s="36">
        <v>44985.957337962973</v>
      </c>
      <c r="E3280" s="37" t="s">
        <v>2752</v>
      </c>
      <c r="F3280" s="37" t="s">
        <v>6066</v>
      </c>
      <c r="G3280" s="37" t="s">
        <v>4392</v>
      </c>
      <c r="H3280" s="35" t="s">
        <v>3419</v>
      </c>
      <c r="I3280" s="35" t="s">
        <v>3416</v>
      </c>
      <c r="J3280" s="38">
        <v>0.52510638297872336</v>
      </c>
      <c r="K3280" s="35">
        <v>1</v>
      </c>
      <c r="L3280" s="38">
        <f t="shared" si="51"/>
        <v>0.52510638297872336</v>
      </c>
      <c r="M3280" s="35" t="s">
        <v>11</v>
      </c>
      <c r="N3280" s="38"/>
      <c r="O3280" s="35" t="s">
        <v>12</v>
      </c>
    </row>
    <row r="3281" spans="1:15" x14ac:dyDescent="0.25">
      <c r="A3281" s="35">
        <v>1105374462</v>
      </c>
      <c r="B3281" s="35" t="s">
        <v>3721</v>
      </c>
      <c r="C3281" s="35">
        <v>2023</v>
      </c>
      <c r="D3281" s="36">
        <v>44985.957337962973</v>
      </c>
      <c r="E3281" s="37" t="s">
        <v>2752</v>
      </c>
      <c r="F3281" s="37" t="s">
        <v>6068</v>
      </c>
      <c r="G3281" s="37" t="s">
        <v>4753</v>
      </c>
      <c r="H3281" s="35" t="s">
        <v>3419</v>
      </c>
      <c r="I3281" s="35" t="s">
        <v>3530</v>
      </c>
      <c r="J3281" s="38">
        <v>12.07744680851064</v>
      </c>
      <c r="K3281" s="35">
        <v>2</v>
      </c>
      <c r="L3281" s="38">
        <f t="shared" si="51"/>
        <v>24.15489361702128</v>
      </c>
      <c r="M3281" s="35" t="s">
        <v>11</v>
      </c>
      <c r="N3281" s="38"/>
      <c r="O3281" s="35" t="s">
        <v>12</v>
      </c>
    </row>
    <row r="3282" spans="1:15" x14ac:dyDescent="0.25">
      <c r="A3282" s="35">
        <v>1105196977</v>
      </c>
      <c r="B3282" s="35" t="s">
        <v>3721</v>
      </c>
      <c r="C3282" s="35">
        <v>2023</v>
      </c>
      <c r="D3282" s="36">
        <v>44984.616712962961</v>
      </c>
      <c r="E3282" s="37" t="s">
        <v>3169</v>
      </c>
      <c r="F3282" s="37" t="s">
        <v>6069</v>
      </c>
      <c r="G3282" s="37" t="s">
        <v>4105</v>
      </c>
      <c r="H3282" s="35" t="s">
        <v>3419</v>
      </c>
      <c r="I3282" s="35" t="s">
        <v>3530</v>
      </c>
      <c r="J3282" s="38">
        <v>0.95790654205607484</v>
      </c>
      <c r="K3282" s="35">
        <v>1</v>
      </c>
      <c r="L3282" s="38">
        <f t="shared" si="51"/>
        <v>0.95790654205607484</v>
      </c>
      <c r="M3282" s="35" t="s">
        <v>11</v>
      </c>
      <c r="N3282" s="38"/>
      <c r="O3282" s="35" t="s">
        <v>12</v>
      </c>
    </row>
    <row r="3283" spans="1:15" x14ac:dyDescent="0.25">
      <c r="A3283" s="35">
        <v>1105196977</v>
      </c>
      <c r="B3283" s="35" t="s">
        <v>3721</v>
      </c>
      <c r="C3283" s="35">
        <v>2023</v>
      </c>
      <c r="D3283" s="36">
        <v>44984.616712962961</v>
      </c>
      <c r="E3283" s="37" t="s">
        <v>3169</v>
      </c>
      <c r="F3283" s="37" t="s">
        <v>4221</v>
      </c>
      <c r="G3283" s="37" t="s">
        <v>1210</v>
      </c>
      <c r="H3283" s="35" t="s">
        <v>3419</v>
      </c>
      <c r="I3283" s="35" t="s">
        <v>3416</v>
      </c>
      <c r="J3283" s="38">
        <v>31.072093457943929</v>
      </c>
      <c r="K3283" s="35">
        <v>1</v>
      </c>
      <c r="L3283" s="38">
        <f t="shared" si="51"/>
        <v>31.072093457943929</v>
      </c>
      <c r="M3283" s="35" t="s">
        <v>11</v>
      </c>
      <c r="N3283" s="38"/>
      <c r="O3283" s="35" t="s">
        <v>12</v>
      </c>
    </row>
    <row r="3284" spans="1:15" x14ac:dyDescent="0.25">
      <c r="A3284" s="35">
        <v>1105156841</v>
      </c>
      <c r="B3284" s="35" t="s">
        <v>3721</v>
      </c>
      <c r="C3284" s="35">
        <v>2023</v>
      </c>
      <c r="D3284" s="36">
        <v>44984.338807870372</v>
      </c>
      <c r="E3284" s="37" t="s">
        <v>3172</v>
      </c>
      <c r="F3284" s="37" t="s">
        <v>6070</v>
      </c>
      <c r="G3284" s="37" t="s">
        <v>4856</v>
      </c>
      <c r="H3284" s="35" t="s">
        <v>3419</v>
      </c>
      <c r="I3284" s="35" t="s">
        <v>3453</v>
      </c>
      <c r="J3284" s="38">
        <v>12.081666666666671</v>
      </c>
      <c r="K3284" s="35">
        <v>1</v>
      </c>
      <c r="L3284" s="38">
        <f t="shared" si="51"/>
        <v>12.081666666666671</v>
      </c>
      <c r="M3284" s="35" t="s">
        <v>11</v>
      </c>
      <c r="N3284" s="38"/>
      <c r="O3284" s="35" t="s">
        <v>12</v>
      </c>
    </row>
    <row r="3285" spans="1:15" x14ac:dyDescent="0.25">
      <c r="A3285" s="35">
        <v>1105156841</v>
      </c>
      <c r="B3285" s="35" t="s">
        <v>3721</v>
      </c>
      <c r="C3285" s="35">
        <v>2023</v>
      </c>
      <c r="D3285" s="36">
        <v>44984.338807870372</v>
      </c>
      <c r="E3285" s="37" t="s">
        <v>3172</v>
      </c>
      <c r="F3285" s="37" t="s">
        <v>6071</v>
      </c>
      <c r="G3285" s="37" t="s">
        <v>3865</v>
      </c>
      <c r="H3285" s="35" t="s">
        <v>3419</v>
      </c>
      <c r="I3285" s="35" t="s">
        <v>3416</v>
      </c>
      <c r="J3285" s="38">
        <v>1.0983333333333329</v>
      </c>
      <c r="K3285" s="35">
        <v>1</v>
      </c>
      <c r="L3285" s="38">
        <f t="shared" si="51"/>
        <v>1.0983333333333329</v>
      </c>
      <c r="M3285" s="35" t="s">
        <v>11</v>
      </c>
      <c r="N3285" s="38"/>
      <c r="O3285" s="35" t="s">
        <v>12</v>
      </c>
    </row>
    <row r="3286" spans="1:15" x14ac:dyDescent="0.25">
      <c r="A3286" s="35">
        <v>1105096685</v>
      </c>
      <c r="B3286" s="35" t="s">
        <v>3721</v>
      </c>
      <c r="C3286" s="35">
        <v>2023</v>
      </c>
      <c r="D3286" s="36">
        <v>44983.738495370373</v>
      </c>
      <c r="E3286" s="37" t="s">
        <v>3174</v>
      </c>
      <c r="F3286" s="37" t="s">
        <v>4391</v>
      </c>
      <c r="G3286" s="37" t="s">
        <v>3710</v>
      </c>
      <c r="H3286" s="35" t="s">
        <v>3419</v>
      </c>
      <c r="I3286" s="35" t="s">
        <v>3416</v>
      </c>
      <c r="J3286" s="38">
        <v>19.64</v>
      </c>
      <c r="K3286" s="35">
        <v>2</v>
      </c>
      <c r="L3286" s="38">
        <f t="shared" si="51"/>
        <v>39.28</v>
      </c>
      <c r="M3286" s="35" t="s">
        <v>11</v>
      </c>
      <c r="N3286" s="38"/>
      <c r="O3286" s="35" t="s">
        <v>12</v>
      </c>
    </row>
    <row r="3287" spans="1:15" x14ac:dyDescent="0.25">
      <c r="A3287" s="35">
        <v>1104633631</v>
      </c>
      <c r="B3287" s="35" t="s">
        <v>3721</v>
      </c>
      <c r="C3287" s="35">
        <v>2023</v>
      </c>
      <c r="D3287" s="36">
        <v>44979.60765046296</v>
      </c>
      <c r="E3287" s="37" t="s">
        <v>768</v>
      </c>
      <c r="F3287" s="37" t="s">
        <v>6072</v>
      </c>
      <c r="G3287" s="37" t="s">
        <v>4908</v>
      </c>
      <c r="H3287" s="35" t="s">
        <v>3419</v>
      </c>
      <c r="I3287" s="35" t="s">
        <v>3416</v>
      </c>
      <c r="J3287" s="38">
        <v>7.68</v>
      </c>
      <c r="K3287" s="35">
        <v>1</v>
      </c>
      <c r="L3287" s="38">
        <f t="shared" si="51"/>
        <v>7.68</v>
      </c>
      <c r="M3287" s="35" t="s">
        <v>11</v>
      </c>
      <c r="N3287" s="38"/>
      <c r="O3287" s="35" t="s">
        <v>12</v>
      </c>
    </row>
    <row r="3288" spans="1:15" x14ac:dyDescent="0.25">
      <c r="A3288" s="35">
        <v>1104508425</v>
      </c>
      <c r="B3288" s="35" t="s">
        <v>3721</v>
      </c>
      <c r="C3288" s="35">
        <v>2023</v>
      </c>
      <c r="D3288" s="36">
        <v>44978.826249999998</v>
      </c>
      <c r="E3288" s="37" t="s">
        <v>3179</v>
      </c>
      <c r="F3288" s="37" t="s">
        <v>6073</v>
      </c>
      <c r="G3288" s="37" t="s">
        <v>4856</v>
      </c>
      <c r="H3288" s="35" t="s">
        <v>3419</v>
      </c>
      <c r="I3288" s="35" t="s">
        <v>3530</v>
      </c>
      <c r="J3288" s="38">
        <v>14.18</v>
      </c>
      <c r="K3288" s="35">
        <v>1</v>
      </c>
      <c r="L3288" s="38">
        <f t="shared" si="51"/>
        <v>14.18</v>
      </c>
      <c r="M3288" s="35" t="s">
        <v>11</v>
      </c>
      <c r="N3288" s="38"/>
      <c r="O3288" s="35" t="s">
        <v>12</v>
      </c>
    </row>
    <row r="3289" spans="1:15" x14ac:dyDescent="0.25">
      <c r="A3289" s="35">
        <v>1103908217</v>
      </c>
      <c r="B3289" s="35" t="s">
        <v>3721</v>
      </c>
      <c r="C3289" s="35">
        <v>2023</v>
      </c>
      <c r="D3289" s="36">
        <v>44972.94809027778</v>
      </c>
      <c r="E3289" s="37" t="s">
        <v>2494</v>
      </c>
      <c r="F3289" s="37" t="s">
        <v>6074</v>
      </c>
      <c r="G3289" s="37" t="s">
        <v>4362</v>
      </c>
      <c r="H3289" s="35" t="s">
        <v>3419</v>
      </c>
      <c r="I3289" s="35" t="s">
        <v>3416</v>
      </c>
      <c r="J3289" s="38">
        <v>8.2222157996146432</v>
      </c>
      <c r="K3289" s="35">
        <v>2</v>
      </c>
      <c r="L3289" s="38">
        <f t="shared" si="51"/>
        <v>16.444431599229286</v>
      </c>
      <c r="M3289" s="35" t="s">
        <v>11</v>
      </c>
      <c r="N3289" s="38"/>
      <c r="O3289" s="35" t="s">
        <v>12</v>
      </c>
    </row>
    <row r="3290" spans="1:15" x14ac:dyDescent="0.25">
      <c r="A3290" s="35">
        <v>1103908217</v>
      </c>
      <c r="B3290" s="35" t="s">
        <v>3721</v>
      </c>
      <c r="C3290" s="35">
        <v>2023</v>
      </c>
      <c r="D3290" s="36">
        <v>44972.94809027778</v>
      </c>
      <c r="E3290" s="37" t="s">
        <v>2494</v>
      </c>
      <c r="F3290" s="37" t="s">
        <v>4797</v>
      </c>
      <c r="G3290" s="37" t="s">
        <v>3652</v>
      </c>
      <c r="H3290" s="35" t="s">
        <v>3415</v>
      </c>
      <c r="I3290" s="35" t="s">
        <v>3416</v>
      </c>
      <c r="J3290" s="38">
        <v>0.73978805394990366</v>
      </c>
      <c r="K3290" s="35">
        <v>4</v>
      </c>
      <c r="L3290" s="38">
        <f t="shared" si="51"/>
        <v>2.9591522157996146</v>
      </c>
      <c r="M3290" s="35" t="s">
        <v>11</v>
      </c>
      <c r="N3290" s="38"/>
      <c r="O3290" s="35" t="s">
        <v>12</v>
      </c>
    </row>
    <row r="3291" spans="1:15" x14ac:dyDescent="0.25">
      <c r="A3291" s="35">
        <v>1103908217</v>
      </c>
      <c r="B3291" s="35" t="s">
        <v>3721</v>
      </c>
      <c r="C3291" s="35">
        <v>2023</v>
      </c>
      <c r="D3291" s="36">
        <v>44972.94809027778</v>
      </c>
      <c r="E3291" s="37" t="s">
        <v>2494</v>
      </c>
      <c r="F3291" s="37" t="s">
        <v>4801</v>
      </c>
      <c r="G3291" s="37" t="s">
        <v>3652</v>
      </c>
      <c r="H3291" s="35" t="s">
        <v>3415</v>
      </c>
      <c r="I3291" s="35" t="s">
        <v>3416</v>
      </c>
      <c r="J3291" s="38">
        <v>0.6341040462427745</v>
      </c>
      <c r="K3291" s="35">
        <v>4</v>
      </c>
      <c r="L3291" s="38">
        <f t="shared" si="51"/>
        <v>2.536416184971098</v>
      </c>
      <c r="M3291" s="35" t="s">
        <v>11</v>
      </c>
      <c r="N3291" s="38"/>
      <c r="O3291" s="35" t="s">
        <v>12</v>
      </c>
    </row>
    <row r="3292" spans="1:15" x14ac:dyDescent="0.25">
      <c r="A3292" s="35">
        <v>1103894430</v>
      </c>
      <c r="B3292" s="35" t="s">
        <v>3721</v>
      </c>
      <c r="C3292" s="35">
        <v>2023</v>
      </c>
      <c r="D3292" s="36">
        <v>44972.94809027778</v>
      </c>
      <c r="E3292" s="37" t="s">
        <v>3184</v>
      </c>
      <c r="F3292" s="37" t="s">
        <v>6075</v>
      </c>
      <c r="G3292" s="37" t="s">
        <v>3937</v>
      </c>
      <c r="H3292" s="35" t="s">
        <v>3419</v>
      </c>
      <c r="I3292" s="35" t="s">
        <v>3640</v>
      </c>
      <c r="J3292" s="38">
        <v>3.08</v>
      </c>
      <c r="K3292" s="35">
        <v>2</v>
      </c>
      <c r="L3292" s="38">
        <f t="shared" si="51"/>
        <v>6.16</v>
      </c>
      <c r="M3292" s="35" t="s">
        <v>11</v>
      </c>
      <c r="N3292" s="38"/>
      <c r="O3292" s="35" t="s">
        <v>12</v>
      </c>
    </row>
    <row r="3293" spans="1:15" x14ac:dyDescent="0.25">
      <c r="A3293" s="35">
        <v>1103716418</v>
      </c>
      <c r="B3293" s="35" t="s">
        <v>3721</v>
      </c>
      <c r="C3293" s="35">
        <v>2023</v>
      </c>
      <c r="D3293" s="36">
        <v>44971.42015046296</v>
      </c>
      <c r="E3293" s="37" t="s">
        <v>3186</v>
      </c>
      <c r="F3293" s="37" t="s">
        <v>3739</v>
      </c>
      <c r="G3293" s="37" t="s">
        <v>3740</v>
      </c>
      <c r="H3293" s="35" t="s">
        <v>3419</v>
      </c>
      <c r="I3293" s="35" t="s">
        <v>3640</v>
      </c>
      <c r="J3293" s="38">
        <v>3.59</v>
      </c>
      <c r="K3293" s="35">
        <v>2</v>
      </c>
      <c r="L3293" s="38">
        <f t="shared" si="51"/>
        <v>7.18</v>
      </c>
      <c r="M3293" s="35" t="s">
        <v>11</v>
      </c>
      <c r="N3293" s="38"/>
      <c r="O3293" s="35" t="s">
        <v>12</v>
      </c>
    </row>
    <row r="3294" spans="1:15" x14ac:dyDescent="0.25">
      <c r="A3294" s="35">
        <v>1103681173</v>
      </c>
      <c r="B3294" s="35" t="s">
        <v>3721</v>
      </c>
      <c r="C3294" s="35">
        <v>2023</v>
      </c>
      <c r="D3294" s="36">
        <v>44970.934282407397</v>
      </c>
      <c r="E3294" s="37" t="s">
        <v>3189</v>
      </c>
      <c r="F3294" s="37" t="s">
        <v>5072</v>
      </c>
      <c r="G3294" s="37" t="s">
        <v>3740</v>
      </c>
      <c r="H3294" s="35" t="s">
        <v>3419</v>
      </c>
      <c r="I3294" s="35" t="s">
        <v>3530</v>
      </c>
      <c r="J3294" s="38">
        <v>3.59</v>
      </c>
      <c r="K3294" s="35">
        <v>1</v>
      </c>
      <c r="L3294" s="38">
        <f t="shared" si="51"/>
        <v>3.59</v>
      </c>
      <c r="M3294" s="35" t="s">
        <v>11</v>
      </c>
      <c r="N3294" s="38"/>
      <c r="O3294" s="35" t="s">
        <v>12</v>
      </c>
    </row>
    <row r="3295" spans="1:15" x14ac:dyDescent="0.25">
      <c r="A3295" s="35">
        <v>1103681173</v>
      </c>
      <c r="B3295" s="35" t="s">
        <v>3721</v>
      </c>
      <c r="C3295" s="35">
        <v>2023</v>
      </c>
      <c r="D3295" s="36">
        <v>44970.934282407397</v>
      </c>
      <c r="E3295" s="37" t="s">
        <v>3189</v>
      </c>
      <c r="F3295" s="37" t="s">
        <v>5072</v>
      </c>
      <c r="G3295" s="37" t="s">
        <v>3740</v>
      </c>
      <c r="H3295" s="35" t="s">
        <v>3419</v>
      </c>
      <c r="I3295" s="35" t="s">
        <v>3640</v>
      </c>
      <c r="J3295" s="38">
        <v>3.59</v>
      </c>
      <c r="K3295" s="35">
        <v>1</v>
      </c>
      <c r="L3295" s="38">
        <f t="shared" si="51"/>
        <v>3.59</v>
      </c>
      <c r="M3295" s="35" t="s">
        <v>11</v>
      </c>
      <c r="N3295" s="38"/>
      <c r="O3295" s="35" t="s">
        <v>12</v>
      </c>
    </row>
    <row r="3296" spans="1:15" x14ac:dyDescent="0.25">
      <c r="A3296" s="35">
        <v>1103673852</v>
      </c>
      <c r="B3296" s="35" t="s">
        <v>3721</v>
      </c>
      <c r="C3296" s="35">
        <v>2023</v>
      </c>
      <c r="D3296" s="36">
        <v>44970.905219907407</v>
      </c>
      <c r="E3296" s="37" t="s">
        <v>768</v>
      </c>
      <c r="F3296" s="37" t="s">
        <v>6076</v>
      </c>
      <c r="G3296" s="37" t="s">
        <v>3905</v>
      </c>
      <c r="H3296" s="35" t="s">
        <v>3419</v>
      </c>
      <c r="I3296" s="35" t="s">
        <v>3640</v>
      </c>
      <c r="J3296" s="38">
        <v>6.3933333333333344</v>
      </c>
      <c r="K3296" s="35">
        <v>1</v>
      </c>
      <c r="L3296" s="38">
        <f t="shared" si="51"/>
        <v>6.3933333333333344</v>
      </c>
      <c r="M3296" s="35" t="s">
        <v>11</v>
      </c>
      <c r="N3296" s="38"/>
      <c r="O3296" s="35" t="s">
        <v>12</v>
      </c>
    </row>
    <row r="3297" spans="1:15" x14ac:dyDescent="0.25">
      <c r="A3297" s="35">
        <v>1103673852</v>
      </c>
      <c r="B3297" s="35" t="s">
        <v>3721</v>
      </c>
      <c r="C3297" s="35">
        <v>2023</v>
      </c>
      <c r="D3297" s="36">
        <v>44970.905219907407</v>
      </c>
      <c r="E3297" s="37" t="s">
        <v>768</v>
      </c>
      <c r="F3297" s="37" t="s">
        <v>6077</v>
      </c>
      <c r="G3297" s="37" t="s">
        <v>4989</v>
      </c>
      <c r="H3297" s="35" t="s">
        <v>3419</v>
      </c>
      <c r="I3297" s="35" t="s">
        <v>3416</v>
      </c>
      <c r="J3297" s="38">
        <v>12.786666666666671</v>
      </c>
      <c r="K3297" s="35">
        <v>1</v>
      </c>
      <c r="L3297" s="38">
        <f t="shared" si="51"/>
        <v>12.786666666666671</v>
      </c>
      <c r="M3297" s="35" t="s">
        <v>11</v>
      </c>
      <c r="N3297" s="38"/>
      <c r="O3297" s="35" t="s">
        <v>12</v>
      </c>
    </row>
    <row r="3298" spans="1:15" x14ac:dyDescent="0.25">
      <c r="A3298" s="35">
        <v>1103068467</v>
      </c>
      <c r="B3298" s="35" t="s">
        <v>3721</v>
      </c>
      <c r="C3298" s="35">
        <v>2023</v>
      </c>
      <c r="D3298" s="36">
        <v>44965.837129629632</v>
      </c>
      <c r="E3298" s="37" t="s">
        <v>3193</v>
      </c>
      <c r="F3298" s="37" t="s">
        <v>6078</v>
      </c>
      <c r="G3298" s="37" t="s">
        <v>3865</v>
      </c>
      <c r="H3298" s="35" t="s">
        <v>3415</v>
      </c>
      <c r="I3298" s="35" t="s">
        <v>3530</v>
      </c>
      <c r="J3298" s="38">
        <v>3.3647361477572559</v>
      </c>
      <c r="K3298" s="35">
        <v>4</v>
      </c>
      <c r="L3298" s="38">
        <f t="shared" si="51"/>
        <v>13.458944591029024</v>
      </c>
      <c r="M3298" s="35" t="s">
        <v>11</v>
      </c>
      <c r="N3298" s="38"/>
      <c r="O3298" s="35" t="s">
        <v>12</v>
      </c>
    </row>
    <row r="3299" spans="1:15" x14ac:dyDescent="0.25">
      <c r="A3299" s="35">
        <v>1103068467</v>
      </c>
      <c r="B3299" s="35" t="s">
        <v>3721</v>
      </c>
      <c r="C3299" s="35">
        <v>2023</v>
      </c>
      <c r="D3299" s="36">
        <v>44965.837129629632</v>
      </c>
      <c r="E3299" s="37" t="s">
        <v>3193</v>
      </c>
      <c r="F3299" s="37" t="s">
        <v>6079</v>
      </c>
      <c r="G3299" s="37" t="s">
        <v>3710</v>
      </c>
      <c r="H3299" s="35" t="s">
        <v>3415</v>
      </c>
      <c r="I3299" s="35" t="s">
        <v>3416</v>
      </c>
      <c r="J3299" s="38">
        <v>0.112532981530343</v>
      </c>
      <c r="K3299" s="35">
        <v>4</v>
      </c>
      <c r="L3299" s="38">
        <f t="shared" si="51"/>
        <v>0.45013192612137198</v>
      </c>
      <c r="M3299" s="35" t="s">
        <v>11</v>
      </c>
      <c r="N3299" s="38"/>
      <c r="O3299" s="35" t="s">
        <v>12</v>
      </c>
    </row>
    <row r="3300" spans="1:15" x14ac:dyDescent="0.25">
      <c r="A3300" s="35">
        <v>1103068467</v>
      </c>
      <c r="B3300" s="35" t="s">
        <v>3721</v>
      </c>
      <c r="C3300" s="35">
        <v>2023</v>
      </c>
      <c r="D3300" s="36">
        <v>44965.837129629632</v>
      </c>
      <c r="E3300" s="37" t="s">
        <v>3193</v>
      </c>
      <c r="F3300" s="37" t="s">
        <v>6080</v>
      </c>
      <c r="G3300" s="37" t="s">
        <v>5102</v>
      </c>
      <c r="H3300" s="35" t="s">
        <v>3415</v>
      </c>
      <c r="I3300" s="35" t="s">
        <v>3416</v>
      </c>
      <c r="J3300" s="38">
        <v>0.112532981530343</v>
      </c>
      <c r="K3300" s="35">
        <v>4</v>
      </c>
      <c r="L3300" s="38">
        <f t="shared" si="51"/>
        <v>0.45013192612137198</v>
      </c>
      <c r="M3300" s="35" t="s">
        <v>11</v>
      </c>
      <c r="N3300" s="38"/>
      <c r="O3300" s="35" t="s">
        <v>12</v>
      </c>
    </row>
    <row r="3301" spans="1:15" x14ac:dyDescent="0.25">
      <c r="A3301" s="35">
        <v>1103068467</v>
      </c>
      <c r="B3301" s="35" t="s">
        <v>3721</v>
      </c>
      <c r="C3301" s="35">
        <v>2023</v>
      </c>
      <c r="D3301" s="36">
        <v>44965.837129629632</v>
      </c>
      <c r="E3301" s="37" t="s">
        <v>3193</v>
      </c>
      <c r="F3301" s="37" t="s">
        <v>6081</v>
      </c>
      <c r="G3301" s="37" t="s">
        <v>3837</v>
      </c>
      <c r="H3301" s="35" t="s">
        <v>3415</v>
      </c>
      <c r="I3301" s="35" t="s">
        <v>3416</v>
      </c>
      <c r="J3301" s="38">
        <v>0.112532981530343</v>
      </c>
      <c r="K3301" s="35">
        <v>4</v>
      </c>
      <c r="L3301" s="38">
        <f t="shared" si="51"/>
        <v>0.45013192612137198</v>
      </c>
      <c r="M3301" s="35" t="s">
        <v>11</v>
      </c>
      <c r="N3301" s="38"/>
      <c r="O3301" s="35" t="s">
        <v>12</v>
      </c>
    </row>
    <row r="3302" spans="1:15" x14ac:dyDescent="0.25">
      <c r="A3302" s="35">
        <v>1103068467</v>
      </c>
      <c r="B3302" s="35" t="s">
        <v>3721</v>
      </c>
      <c r="C3302" s="35">
        <v>2023</v>
      </c>
      <c r="D3302" s="36">
        <v>44965.837129629632</v>
      </c>
      <c r="E3302" s="37" t="s">
        <v>3193</v>
      </c>
      <c r="F3302" s="37" t="s">
        <v>6082</v>
      </c>
      <c r="G3302" s="37" t="s">
        <v>3652</v>
      </c>
      <c r="H3302" s="35" t="s">
        <v>3419</v>
      </c>
      <c r="I3302" s="35" t="s">
        <v>3416</v>
      </c>
      <c r="J3302" s="38">
        <v>0.56266490765171506</v>
      </c>
      <c r="K3302" s="35">
        <v>2</v>
      </c>
      <c r="L3302" s="38">
        <f t="shared" si="51"/>
        <v>1.1253298153034301</v>
      </c>
      <c r="M3302" s="35" t="s">
        <v>11</v>
      </c>
      <c r="N3302" s="38"/>
      <c r="O3302" s="35" t="s">
        <v>12</v>
      </c>
    </row>
    <row r="3303" spans="1:15" x14ac:dyDescent="0.25">
      <c r="A3303" s="35">
        <v>1103068467</v>
      </c>
      <c r="B3303" s="35" t="s">
        <v>3721</v>
      </c>
      <c r="C3303" s="35">
        <v>2023</v>
      </c>
      <c r="D3303" s="36">
        <v>44965.837129629632</v>
      </c>
      <c r="E3303" s="37" t="s">
        <v>3193</v>
      </c>
      <c r="F3303" s="37" t="s">
        <v>6083</v>
      </c>
      <c r="G3303" s="37" t="s">
        <v>3551</v>
      </c>
      <c r="H3303" s="35" t="s">
        <v>3415</v>
      </c>
      <c r="I3303" s="35" t="s">
        <v>3416</v>
      </c>
      <c r="J3303" s="38">
        <v>0.16879947229551451</v>
      </c>
      <c r="K3303" s="35">
        <v>4</v>
      </c>
      <c r="L3303" s="38">
        <f t="shared" si="51"/>
        <v>0.67519788918205803</v>
      </c>
      <c r="M3303" s="35" t="s">
        <v>11</v>
      </c>
      <c r="N3303" s="38"/>
      <c r="O3303" s="35" t="s">
        <v>12</v>
      </c>
    </row>
    <row r="3304" spans="1:15" x14ac:dyDescent="0.25">
      <c r="A3304" s="35">
        <v>1103068467</v>
      </c>
      <c r="B3304" s="35" t="s">
        <v>3721</v>
      </c>
      <c r="C3304" s="35">
        <v>2023</v>
      </c>
      <c r="D3304" s="36">
        <v>44965.837129629632</v>
      </c>
      <c r="E3304" s="37" t="s">
        <v>3193</v>
      </c>
      <c r="F3304" s="37" t="s">
        <v>6084</v>
      </c>
      <c r="G3304" s="37" t="s">
        <v>3551</v>
      </c>
      <c r="H3304" s="35" t="s">
        <v>3415</v>
      </c>
      <c r="I3304" s="35" t="s">
        <v>3416</v>
      </c>
      <c r="J3304" s="38">
        <v>0.112532981530343</v>
      </c>
      <c r="K3304" s="35">
        <v>4</v>
      </c>
      <c r="L3304" s="38">
        <f t="shared" si="51"/>
        <v>0.45013192612137198</v>
      </c>
      <c r="M3304" s="35" t="s">
        <v>11</v>
      </c>
      <c r="N3304" s="38"/>
      <c r="O3304" s="35" t="s">
        <v>12</v>
      </c>
    </row>
    <row r="3305" spans="1:15" x14ac:dyDescent="0.25">
      <c r="A3305" s="35">
        <v>1103068323</v>
      </c>
      <c r="B3305" s="35" t="s">
        <v>3721</v>
      </c>
      <c r="C3305" s="35">
        <v>2023</v>
      </c>
      <c r="D3305" s="36">
        <v>44965.837129629632</v>
      </c>
      <c r="E3305" s="37" t="s">
        <v>3196</v>
      </c>
      <c r="F3305" s="37" t="s">
        <v>6085</v>
      </c>
      <c r="G3305" s="37" t="s">
        <v>3662</v>
      </c>
      <c r="H3305" s="35" t="s">
        <v>3415</v>
      </c>
      <c r="I3305" s="35" t="s">
        <v>3530</v>
      </c>
      <c r="J3305" s="38">
        <v>0.54499999999999993</v>
      </c>
      <c r="K3305" s="35">
        <v>4</v>
      </c>
      <c r="L3305" s="38">
        <f t="shared" si="51"/>
        <v>2.1799999999999997</v>
      </c>
      <c r="M3305" s="35" t="s">
        <v>11</v>
      </c>
      <c r="N3305" s="38"/>
      <c r="O3305" s="35" t="s">
        <v>12</v>
      </c>
    </row>
    <row r="3306" spans="1:15" x14ac:dyDescent="0.25">
      <c r="A3306" s="35">
        <v>1103060612</v>
      </c>
      <c r="B3306" s="35" t="s">
        <v>3721</v>
      </c>
      <c r="C3306" s="35">
        <v>2023</v>
      </c>
      <c r="D3306" s="36">
        <v>44965.815150462957</v>
      </c>
      <c r="E3306" s="37" t="s">
        <v>3198</v>
      </c>
      <c r="F3306" s="37" t="s">
        <v>6086</v>
      </c>
      <c r="G3306" s="37" t="s">
        <v>6087</v>
      </c>
      <c r="H3306" s="35" t="s">
        <v>3419</v>
      </c>
      <c r="I3306" s="35" t="s">
        <v>3416</v>
      </c>
      <c r="J3306" s="38">
        <v>10.18</v>
      </c>
      <c r="K3306" s="35">
        <v>1</v>
      </c>
      <c r="L3306" s="38">
        <f t="shared" si="51"/>
        <v>10.18</v>
      </c>
      <c r="M3306" s="35" t="s">
        <v>11</v>
      </c>
      <c r="N3306" s="38"/>
      <c r="O3306" s="35" t="s">
        <v>12</v>
      </c>
    </row>
    <row r="3307" spans="1:15" x14ac:dyDescent="0.25">
      <c r="A3307" s="35">
        <v>1102867184</v>
      </c>
      <c r="B3307" s="35" t="s">
        <v>3721</v>
      </c>
      <c r="C3307" s="35">
        <v>2023</v>
      </c>
      <c r="D3307" s="36">
        <v>44965.366550925923</v>
      </c>
      <c r="E3307" s="37" t="s">
        <v>3200</v>
      </c>
      <c r="F3307" s="37" t="s">
        <v>6086</v>
      </c>
      <c r="G3307" s="37" t="s">
        <v>6087</v>
      </c>
      <c r="H3307" s="35" t="s">
        <v>3419</v>
      </c>
      <c r="I3307" s="35" t="s">
        <v>3416</v>
      </c>
      <c r="J3307" s="38">
        <v>10.17939393939394</v>
      </c>
      <c r="K3307" s="35">
        <v>1</v>
      </c>
      <c r="L3307" s="38">
        <f t="shared" si="51"/>
        <v>10.17939393939394</v>
      </c>
      <c r="M3307" s="35" t="s">
        <v>11</v>
      </c>
      <c r="N3307" s="38"/>
      <c r="O3307" s="35" t="s">
        <v>12</v>
      </c>
    </row>
    <row r="3308" spans="1:15" x14ac:dyDescent="0.25">
      <c r="A3308" s="35">
        <v>1102867184</v>
      </c>
      <c r="B3308" s="35" t="s">
        <v>3721</v>
      </c>
      <c r="C3308" s="35">
        <v>2023</v>
      </c>
      <c r="D3308" s="36">
        <v>44965.366550925923</v>
      </c>
      <c r="E3308" s="37" t="s">
        <v>3200</v>
      </c>
      <c r="F3308" s="37" t="s">
        <v>6088</v>
      </c>
      <c r="G3308" s="37" t="s">
        <v>3652</v>
      </c>
      <c r="H3308" s="35" t="s">
        <v>3419</v>
      </c>
      <c r="I3308" s="35" t="s">
        <v>3530</v>
      </c>
      <c r="J3308" s="38">
        <v>7.5006060606060609</v>
      </c>
      <c r="K3308" s="35">
        <v>1</v>
      </c>
      <c r="L3308" s="38">
        <f t="shared" si="51"/>
        <v>7.5006060606060609</v>
      </c>
      <c r="M3308" s="35" t="s">
        <v>11</v>
      </c>
      <c r="N3308" s="38"/>
      <c r="O3308" s="35" t="s">
        <v>12</v>
      </c>
    </row>
    <row r="3309" spans="1:15" x14ac:dyDescent="0.25">
      <c r="A3309" s="35">
        <v>1102867759</v>
      </c>
      <c r="B3309" s="35" t="s">
        <v>3721</v>
      </c>
      <c r="C3309" s="35">
        <v>2023</v>
      </c>
      <c r="D3309" s="36">
        <v>44964</v>
      </c>
      <c r="E3309" s="37" t="s">
        <v>3203</v>
      </c>
      <c r="F3309" s="37" t="s">
        <v>6088</v>
      </c>
      <c r="G3309" s="37" t="s">
        <v>6087</v>
      </c>
      <c r="H3309" s="35" t="s">
        <v>3419</v>
      </c>
      <c r="I3309" s="35" t="s">
        <v>3530</v>
      </c>
      <c r="J3309" s="38">
        <v>7</v>
      </c>
      <c r="K3309" s="35">
        <v>1</v>
      </c>
      <c r="L3309" s="38">
        <f t="shared" si="51"/>
        <v>7</v>
      </c>
      <c r="M3309" s="35" t="s">
        <v>11</v>
      </c>
      <c r="N3309" s="38"/>
      <c r="O3309" s="35" t="s">
        <v>12</v>
      </c>
    </row>
    <row r="3310" spans="1:15" x14ac:dyDescent="0.25">
      <c r="A3310" s="35">
        <v>1102500791</v>
      </c>
      <c r="B3310" s="35" t="s">
        <v>3721</v>
      </c>
      <c r="C3310" s="35">
        <v>2023</v>
      </c>
      <c r="D3310" s="36">
        <v>44961.356874999998</v>
      </c>
      <c r="E3310" s="37" t="s">
        <v>3205</v>
      </c>
      <c r="F3310" s="37" t="s">
        <v>6089</v>
      </c>
      <c r="G3310" s="37" t="s">
        <v>3652</v>
      </c>
      <c r="H3310" s="35" t="s">
        <v>3415</v>
      </c>
      <c r="I3310" s="35" t="s">
        <v>3530</v>
      </c>
      <c r="J3310" s="38">
        <v>2.8790893760539631</v>
      </c>
      <c r="K3310" s="35">
        <v>4</v>
      </c>
      <c r="L3310" s="38">
        <f t="shared" si="51"/>
        <v>11.516357504215852</v>
      </c>
      <c r="M3310" s="35" t="s">
        <v>11</v>
      </c>
      <c r="N3310" s="38"/>
      <c r="O3310" s="35" t="s">
        <v>12</v>
      </c>
    </row>
    <row r="3311" spans="1:15" x14ac:dyDescent="0.25">
      <c r="A3311" s="35">
        <v>1102500791</v>
      </c>
      <c r="B3311" s="35" t="s">
        <v>3721</v>
      </c>
      <c r="C3311" s="35">
        <v>2023</v>
      </c>
      <c r="D3311" s="36">
        <v>44961.356874999998</v>
      </c>
      <c r="E3311" s="37" t="s">
        <v>3205</v>
      </c>
      <c r="F3311" s="37" t="s">
        <v>6090</v>
      </c>
      <c r="G3311" s="37" t="s">
        <v>3652</v>
      </c>
      <c r="H3311" s="35" t="s">
        <v>3415</v>
      </c>
      <c r="I3311" s="35" t="s">
        <v>3530</v>
      </c>
      <c r="J3311" s="38">
        <v>0.1066329398538505</v>
      </c>
      <c r="K3311" s="35">
        <v>4</v>
      </c>
      <c r="L3311" s="38">
        <f t="shared" si="51"/>
        <v>0.426531759415402</v>
      </c>
      <c r="M3311" s="35" t="s">
        <v>11</v>
      </c>
      <c r="N3311" s="38"/>
      <c r="O3311" s="35" t="s">
        <v>12</v>
      </c>
    </row>
    <row r="3312" spans="1:15" x14ac:dyDescent="0.25">
      <c r="A3312" s="35">
        <v>1102500791</v>
      </c>
      <c r="B3312" s="35" t="s">
        <v>3721</v>
      </c>
      <c r="C3312" s="35">
        <v>2023</v>
      </c>
      <c r="D3312" s="36">
        <v>44961.356874999998</v>
      </c>
      <c r="E3312" s="37" t="s">
        <v>3205</v>
      </c>
      <c r="F3312" s="37" t="s">
        <v>6091</v>
      </c>
      <c r="G3312" s="37" t="s">
        <v>3652</v>
      </c>
      <c r="H3312" s="35" t="s">
        <v>3419</v>
      </c>
      <c r="I3312" s="35" t="s">
        <v>3530</v>
      </c>
      <c r="J3312" s="38">
        <v>1.0556661045531199</v>
      </c>
      <c r="K3312" s="35">
        <v>1</v>
      </c>
      <c r="L3312" s="38">
        <f t="shared" si="51"/>
        <v>1.0556661045531199</v>
      </c>
      <c r="M3312" s="35" t="s">
        <v>11</v>
      </c>
      <c r="N3312" s="38"/>
      <c r="O3312" s="35" t="s">
        <v>12</v>
      </c>
    </row>
    <row r="3313" spans="1:15" x14ac:dyDescent="0.25">
      <c r="A3313" s="35">
        <v>1102500791</v>
      </c>
      <c r="B3313" s="35" t="s">
        <v>3721</v>
      </c>
      <c r="C3313" s="35">
        <v>2023</v>
      </c>
      <c r="D3313" s="36">
        <v>44961.356874999998</v>
      </c>
      <c r="E3313" s="37" t="s">
        <v>3205</v>
      </c>
      <c r="F3313" s="37" t="s">
        <v>4483</v>
      </c>
      <c r="G3313" s="37" t="s">
        <v>3652</v>
      </c>
      <c r="H3313" s="35" t="s">
        <v>3419</v>
      </c>
      <c r="I3313" s="35" t="s">
        <v>3530</v>
      </c>
      <c r="J3313" s="38">
        <v>1.0663293985385049</v>
      </c>
      <c r="K3313" s="35">
        <v>2</v>
      </c>
      <c r="L3313" s="38">
        <f t="shared" si="51"/>
        <v>2.1326587970770099</v>
      </c>
      <c r="M3313" s="35" t="s">
        <v>11</v>
      </c>
      <c r="N3313" s="38"/>
      <c r="O3313" s="35" t="s">
        <v>12</v>
      </c>
    </row>
    <row r="3314" spans="1:15" x14ac:dyDescent="0.25">
      <c r="A3314" s="35">
        <v>1102500791</v>
      </c>
      <c r="B3314" s="35" t="s">
        <v>3721</v>
      </c>
      <c r="C3314" s="35">
        <v>2023</v>
      </c>
      <c r="D3314" s="36">
        <v>44961.356874999998</v>
      </c>
      <c r="E3314" s="37" t="s">
        <v>3205</v>
      </c>
      <c r="F3314" s="37" t="s">
        <v>4781</v>
      </c>
      <c r="G3314" s="37" t="s">
        <v>3652</v>
      </c>
      <c r="H3314" s="35" t="s">
        <v>3415</v>
      </c>
      <c r="I3314" s="35" t="s">
        <v>3416</v>
      </c>
      <c r="J3314" s="38">
        <v>0.95969645868465436</v>
      </c>
      <c r="K3314" s="35">
        <v>4</v>
      </c>
      <c r="L3314" s="38">
        <f t="shared" si="51"/>
        <v>3.8387858347386175</v>
      </c>
      <c r="M3314" s="35" t="s">
        <v>11</v>
      </c>
      <c r="N3314" s="38"/>
      <c r="O3314" s="35" t="s">
        <v>12</v>
      </c>
    </row>
    <row r="3315" spans="1:15" x14ac:dyDescent="0.25">
      <c r="A3315" s="35">
        <v>1102239837</v>
      </c>
      <c r="B3315" s="35" t="s">
        <v>3721</v>
      </c>
      <c r="C3315" s="35">
        <v>2023</v>
      </c>
      <c r="D3315" s="36">
        <v>44958.738136574073</v>
      </c>
      <c r="E3315" s="37" t="s">
        <v>3208</v>
      </c>
      <c r="F3315" s="37" t="s">
        <v>6092</v>
      </c>
      <c r="G3315" s="37" t="s">
        <v>3658</v>
      </c>
      <c r="H3315" s="35" t="s">
        <v>3419</v>
      </c>
      <c r="I3315" s="35" t="s">
        <v>3530</v>
      </c>
      <c r="J3315" s="38">
        <v>6.09</v>
      </c>
      <c r="K3315" s="35">
        <v>2</v>
      </c>
      <c r="L3315" s="38">
        <f t="shared" si="51"/>
        <v>12.18</v>
      </c>
      <c r="M3315" s="35" t="s">
        <v>11</v>
      </c>
      <c r="N3315" s="38"/>
      <c r="O3315" s="35" t="s">
        <v>12</v>
      </c>
    </row>
    <row r="3316" spans="1:15" x14ac:dyDescent="0.25">
      <c r="A3316" s="35">
        <v>1102230131</v>
      </c>
      <c r="B3316" s="35" t="s">
        <v>3721</v>
      </c>
      <c r="C3316" s="35">
        <v>2023</v>
      </c>
      <c r="D3316" s="36">
        <v>44958.738136574073</v>
      </c>
      <c r="E3316" s="37" t="s">
        <v>318</v>
      </c>
      <c r="F3316" s="37" t="s">
        <v>6093</v>
      </c>
      <c r="G3316" s="37" t="s">
        <v>3740</v>
      </c>
      <c r="H3316" s="35" t="s">
        <v>3419</v>
      </c>
      <c r="I3316" s="35" t="s">
        <v>3530</v>
      </c>
      <c r="J3316" s="38">
        <v>1.5930597889800699</v>
      </c>
      <c r="K3316" s="35">
        <v>2</v>
      </c>
      <c r="L3316" s="38">
        <f t="shared" si="51"/>
        <v>3.1861195779601399</v>
      </c>
      <c r="M3316" s="35" t="s">
        <v>11</v>
      </c>
      <c r="N3316" s="38"/>
      <c r="O3316" s="35" t="s">
        <v>12</v>
      </c>
    </row>
    <row r="3317" spans="1:15" x14ac:dyDescent="0.25">
      <c r="A3317" s="35">
        <v>1102230131</v>
      </c>
      <c r="B3317" s="35" t="s">
        <v>3721</v>
      </c>
      <c r="C3317" s="35">
        <v>2023</v>
      </c>
      <c r="D3317" s="36">
        <v>44958.738136574073</v>
      </c>
      <c r="E3317" s="37" t="s">
        <v>318</v>
      </c>
      <c r="F3317" s="37" t="s">
        <v>6094</v>
      </c>
      <c r="G3317" s="37" t="s">
        <v>5010</v>
      </c>
      <c r="H3317" s="35" t="s">
        <v>3415</v>
      </c>
      <c r="I3317" s="35" t="s">
        <v>3530</v>
      </c>
      <c r="J3317" s="38">
        <v>0.31005861664712769</v>
      </c>
      <c r="K3317" s="35">
        <v>4</v>
      </c>
      <c r="L3317" s="38">
        <f t="shared" si="51"/>
        <v>1.2402344665885108</v>
      </c>
      <c r="M3317" s="35" t="s">
        <v>11</v>
      </c>
      <c r="N3317" s="38"/>
      <c r="O3317" s="35" t="s">
        <v>12</v>
      </c>
    </row>
    <row r="3318" spans="1:15" x14ac:dyDescent="0.25">
      <c r="A3318" s="35">
        <v>1102230131</v>
      </c>
      <c r="B3318" s="35" t="s">
        <v>3721</v>
      </c>
      <c r="C3318" s="35">
        <v>2023</v>
      </c>
      <c r="D3318" s="36">
        <v>44958.738136574073</v>
      </c>
      <c r="E3318" s="37" t="s">
        <v>318</v>
      </c>
      <c r="F3318" s="37" t="s">
        <v>6095</v>
      </c>
      <c r="G3318" s="37" t="s">
        <v>3718</v>
      </c>
      <c r="H3318" s="35" t="s">
        <v>3415</v>
      </c>
      <c r="I3318" s="35" t="s">
        <v>3416</v>
      </c>
      <c r="J3318" s="38">
        <v>0.79118405627198118</v>
      </c>
      <c r="K3318" s="35">
        <v>4</v>
      </c>
      <c r="L3318" s="38">
        <f t="shared" si="51"/>
        <v>3.1647362250879247</v>
      </c>
      <c r="M3318" s="35" t="s">
        <v>11</v>
      </c>
      <c r="N3318" s="38"/>
      <c r="O3318" s="35" t="s">
        <v>12</v>
      </c>
    </row>
    <row r="3319" spans="1:15" x14ac:dyDescent="0.25">
      <c r="A3319" s="35">
        <v>1102230131</v>
      </c>
      <c r="B3319" s="35" t="s">
        <v>3721</v>
      </c>
      <c r="C3319" s="35">
        <v>2023</v>
      </c>
      <c r="D3319" s="36">
        <v>44958.738136574073</v>
      </c>
      <c r="E3319" s="37" t="s">
        <v>318</v>
      </c>
      <c r="F3319" s="37" t="s">
        <v>5095</v>
      </c>
      <c r="G3319" s="37" t="s">
        <v>4309</v>
      </c>
      <c r="H3319" s="35" t="s">
        <v>3415</v>
      </c>
      <c r="I3319" s="35" t="s">
        <v>3416</v>
      </c>
      <c r="J3319" s="38">
        <v>2.6622274325908561</v>
      </c>
      <c r="K3319" s="35">
        <v>4</v>
      </c>
      <c r="L3319" s="38">
        <f t="shared" si="51"/>
        <v>10.648909730363425</v>
      </c>
      <c r="M3319" s="35" t="s">
        <v>11</v>
      </c>
      <c r="N3319" s="38"/>
      <c r="O3319" s="35" t="s">
        <v>12</v>
      </c>
    </row>
    <row r="3320" spans="1:15" x14ac:dyDescent="0.25">
      <c r="A3320" s="35">
        <v>1101912517</v>
      </c>
      <c r="B3320" s="35" t="s">
        <v>3761</v>
      </c>
      <c r="C3320" s="35">
        <v>2023</v>
      </c>
      <c r="D3320" s="36">
        <v>44955.847442129627</v>
      </c>
      <c r="E3320" s="37" t="s">
        <v>3211</v>
      </c>
      <c r="F3320" s="37" t="s">
        <v>6096</v>
      </c>
      <c r="G3320" s="37" t="s">
        <v>6097</v>
      </c>
      <c r="H3320" s="35" t="s">
        <v>3419</v>
      </c>
      <c r="I3320" s="35" t="s">
        <v>3416</v>
      </c>
      <c r="J3320" s="38">
        <v>23.964680851063829</v>
      </c>
      <c r="K3320" s="35">
        <v>1</v>
      </c>
      <c r="L3320" s="38">
        <f t="shared" si="51"/>
        <v>23.964680851063829</v>
      </c>
      <c r="M3320" s="35" t="s">
        <v>11</v>
      </c>
      <c r="N3320" s="38"/>
      <c r="O3320" s="35" t="s">
        <v>12</v>
      </c>
    </row>
    <row r="3321" spans="1:15" x14ac:dyDescent="0.25">
      <c r="A3321" s="35">
        <v>1101912517</v>
      </c>
      <c r="B3321" s="35" t="s">
        <v>3761</v>
      </c>
      <c r="C3321" s="35">
        <v>2023</v>
      </c>
      <c r="D3321" s="36">
        <v>44955.847442129627</v>
      </c>
      <c r="E3321" s="37" t="s">
        <v>3211</v>
      </c>
      <c r="F3321" s="37" t="s">
        <v>6098</v>
      </c>
      <c r="G3321" s="37" t="s">
        <v>3927</v>
      </c>
      <c r="H3321" s="35" t="s">
        <v>3419</v>
      </c>
      <c r="I3321" s="35" t="s">
        <v>3453</v>
      </c>
      <c r="J3321" s="38">
        <v>7.1653191489361703</v>
      </c>
      <c r="K3321" s="35">
        <v>1</v>
      </c>
      <c r="L3321" s="38">
        <f t="shared" si="51"/>
        <v>7.1653191489361703</v>
      </c>
      <c r="M3321" s="35" t="s">
        <v>11</v>
      </c>
      <c r="N3321" s="38"/>
      <c r="O3321" s="35" t="s">
        <v>12</v>
      </c>
    </row>
    <row r="3322" spans="1:15" x14ac:dyDescent="0.25">
      <c r="A3322" s="35">
        <v>1101911975</v>
      </c>
      <c r="B3322" s="35" t="s">
        <v>3761</v>
      </c>
      <c r="C3322" s="35">
        <v>2023</v>
      </c>
      <c r="D3322" s="36">
        <v>44955.847442129627</v>
      </c>
      <c r="E3322" s="37" t="s">
        <v>3062</v>
      </c>
      <c r="F3322" s="37" t="s">
        <v>5512</v>
      </c>
      <c r="G3322" s="37" t="s">
        <v>4432</v>
      </c>
      <c r="H3322" s="35" t="s">
        <v>3419</v>
      </c>
      <c r="I3322" s="35" t="s">
        <v>3416</v>
      </c>
      <c r="J3322" s="38">
        <v>7.4272727272727277</v>
      </c>
      <c r="K3322" s="35">
        <v>1</v>
      </c>
      <c r="L3322" s="38">
        <f t="shared" si="51"/>
        <v>7.4272727272727277</v>
      </c>
      <c r="M3322" s="35" t="s">
        <v>11</v>
      </c>
      <c r="N3322" s="38"/>
      <c r="O3322" s="35" t="s">
        <v>12</v>
      </c>
    </row>
    <row r="3323" spans="1:15" x14ac:dyDescent="0.25">
      <c r="A3323" s="35">
        <v>1101911975</v>
      </c>
      <c r="B3323" s="35" t="s">
        <v>3761</v>
      </c>
      <c r="C3323" s="35">
        <v>2023</v>
      </c>
      <c r="D3323" s="36">
        <v>44955.847442129627</v>
      </c>
      <c r="E3323" s="37" t="s">
        <v>3062</v>
      </c>
      <c r="F3323" s="37" t="s">
        <v>5972</v>
      </c>
      <c r="G3323" s="37" t="s">
        <v>5973</v>
      </c>
      <c r="H3323" s="35" t="s">
        <v>3419</v>
      </c>
      <c r="I3323" s="35" t="s">
        <v>3416</v>
      </c>
      <c r="J3323" s="38">
        <v>8.6363636363636367</v>
      </c>
      <c r="K3323" s="35">
        <v>2</v>
      </c>
      <c r="L3323" s="38">
        <f t="shared" si="51"/>
        <v>17.272727272727273</v>
      </c>
      <c r="M3323" s="35" t="s">
        <v>11</v>
      </c>
      <c r="N3323" s="38"/>
      <c r="O3323" s="35" t="s">
        <v>12</v>
      </c>
    </row>
    <row r="3324" spans="1:15" x14ac:dyDescent="0.25">
      <c r="A3324" s="35">
        <v>1101909534</v>
      </c>
      <c r="B3324" s="35" t="s">
        <v>3761</v>
      </c>
      <c r="C3324" s="35">
        <v>2023</v>
      </c>
      <c r="D3324" s="36">
        <v>44955.847442129627</v>
      </c>
      <c r="E3324" s="37" t="s">
        <v>3215</v>
      </c>
      <c r="F3324" s="37" t="s">
        <v>6099</v>
      </c>
      <c r="G3324" s="37" t="s">
        <v>3876</v>
      </c>
      <c r="H3324" s="35" t="s">
        <v>3419</v>
      </c>
      <c r="I3324" s="35" t="s">
        <v>3640</v>
      </c>
      <c r="J3324" s="38">
        <v>33.28</v>
      </c>
      <c r="K3324" s="35">
        <v>1</v>
      </c>
      <c r="L3324" s="38">
        <f t="shared" si="51"/>
        <v>33.28</v>
      </c>
      <c r="M3324" s="35" t="s">
        <v>11</v>
      </c>
      <c r="N3324" s="38"/>
      <c r="O3324" s="35" t="s">
        <v>12</v>
      </c>
    </row>
    <row r="3325" spans="1:15" x14ac:dyDescent="0.25">
      <c r="A3325" s="35">
        <v>1101909422</v>
      </c>
      <c r="B3325" s="35" t="s">
        <v>3761</v>
      </c>
      <c r="C3325" s="35">
        <v>2023</v>
      </c>
      <c r="D3325" s="36">
        <v>44955.847442129627</v>
      </c>
      <c r="E3325" s="37" t="s">
        <v>3217</v>
      </c>
      <c r="F3325" s="37" t="s">
        <v>6100</v>
      </c>
      <c r="G3325" s="37" t="s">
        <v>3676</v>
      </c>
      <c r="H3325" s="35" t="s">
        <v>3419</v>
      </c>
      <c r="I3325" s="35" t="s">
        <v>3453</v>
      </c>
      <c r="J3325" s="38">
        <v>3.7129707112970709</v>
      </c>
      <c r="K3325" s="35">
        <v>1</v>
      </c>
      <c r="L3325" s="38">
        <f t="shared" si="51"/>
        <v>3.7129707112970709</v>
      </c>
      <c r="M3325" s="35" t="s">
        <v>11</v>
      </c>
      <c r="N3325" s="38"/>
      <c r="O3325" s="35" t="s">
        <v>12</v>
      </c>
    </row>
    <row r="3326" spans="1:15" x14ac:dyDescent="0.25">
      <c r="A3326" s="35">
        <v>1101909422</v>
      </c>
      <c r="B3326" s="35" t="s">
        <v>3761</v>
      </c>
      <c r="C3326" s="35">
        <v>2023</v>
      </c>
      <c r="D3326" s="36">
        <v>44955.847442129627</v>
      </c>
      <c r="E3326" s="37" t="s">
        <v>3217</v>
      </c>
      <c r="F3326" s="37" t="s">
        <v>5146</v>
      </c>
      <c r="G3326" s="37" t="s">
        <v>4043</v>
      </c>
      <c r="H3326" s="35" t="s">
        <v>3419</v>
      </c>
      <c r="I3326" s="35" t="s">
        <v>4226</v>
      </c>
      <c r="J3326" s="38">
        <v>58.927029288702933</v>
      </c>
      <c r="K3326" s="35">
        <v>1</v>
      </c>
      <c r="L3326" s="38">
        <f t="shared" si="51"/>
        <v>58.927029288702933</v>
      </c>
      <c r="M3326" s="35" t="s">
        <v>11</v>
      </c>
      <c r="N3326" s="38"/>
      <c r="O3326" s="35" t="s">
        <v>12</v>
      </c>
    </row>
    <row r="3327" spans="1:15" x14ac:dyDescent="0.25">
      <c r="A3327" s="35">
        <v>1101131183</v>
      </c>
      <c r="B3327" s="35" t="s">
        <v>3761</v>
      </c>
      <c r="C3327" s="35">
        <v>2023</v>
      </c>
      <c r="D3327" s="36">
        <v>44948.551712962973</v>
      </c>
      <c r="E3327" s="37" t="s">
        <v>414</v>
      </c>
      <c r="F3327" s="37" t="s">
        <v>4919</v>
      </c>
      <c r="G3327" s="37" t="s">
        <v>3871</v>
      </c>
      <c r="H3327" s="35" t="s">
        <v>3415</v>
      </c>
      <c r="I3327" s="35" t="s">
        <v>3640</v>
      </c>
      <c r="J3327" s="38">
        <v>9.31</v>
      </c>
      <c r="K3327" s="35">
        <v>4</v>
      </c>
      <c r="L3327" s="38">
        <f t="shared" si="51"/>
        <v>37.24</v>
      </c>
      <c r="M3327" s="35" t="s">
        <v>11</v>
      </c>
      <c r="N3327" s="38"/>
      <c r="O3327" s="35" t="s">
        <v>12</v>
      </c>
    </row>
    <row r="3328" spans="1:15" x14ac:dyDescent="0.25">
      <c r="A3328" s="35">
        <v>1100966441</v>
      </c>
      <c r="B3328" s="35" t="s">
        <v>3761</v>
      </c>
      <c r="C3328" s="35">
        <v>2023</v>
      </c>
      <c r="D3328" s="36">
        <v>44946.745162037027</v>
      </c>
      <c r="E3328" s="37" t="s">
        <v>3221</v>
      </c>
      <c r="F3328" s="37" t="s">
        <v>6101</v>
      </c>
      <c r="G3328" s="37" t="s">
        <v>4083</v>
      </c>
      <c r="H3328" s="35" t="s">
        <v>3419</v>
      </c>
      <c r="I3328" s="35" t="s">
        <v>3530</v>
      </c>
      <c r="J3328" s="38">
        <v>6.17</v>
      </c>
      <c r="K3328" s="35">
        <v>1</v>
      </c>
      <c r="L3328" s="38">
        <f t="shared" si="51"/>
        <v>6.17</v>
      </c>
      <c r="M3328" s="35" t="s">
        <v>11</v>
      </c>
      <c r="N3328" s="38"/>
      <c r="O3328" s="35" t="s">
        <v>12</v>
      </c>
    </row>
    <row r="3329" spans="1:15" x14ac:dyDescent="0.25">
      <c r="A3329" s="35">
        <v>1100958073</v>
      </c>
      <c r="B3329" s="35" t="s">
        <v>3761</v>
      </c>
      <c r="C3329" s="35">
        <v>2023</v>
      </c>
      <c r="D3329" s="36">
        <v>44946.679456018523</v>
      </c>
      <c r="E3329" s="37" t="s">
        <v>3169</v>
      </c>
      <c r="F3329" s="37" t="s">
        <v>6102</v>
      </c>
      <c r="G3329" s="37" t="s">
        <v>3551</v>
      </c>
      <c r="H3329" s="35" t="s">
        <v>3419</v>
      </c>
      <c r="I3329" s="35" t="s">
        <v>3416</v>
      </c>
      <c r="J3329" s="38">
        <v>16.18</v>
      </c>
      <c r="K3329" s="35">
        <v>1</v>
      </c>
      <c r="L3329" s="38">
        <f t="shared" si="51"/>
        <v>16.18</v>
      </c>
      <c r="M3329" s="35" t="s">
        <v>11</v>
      </c>
      <c r="N3329" s="38"/>
      <c r="O3329" s="35" t="s">
        <v>12</v>
      </c>
    </row>
    <row r="3330" spans="1:15" x14ac:dyDescent="0.25">
      <c r="A3330" s="35">
        <v>1100957663</v>
      </c>
      <c r="B3330" s="35" t="s">
        <v>3761</v>
      </c>
      <c r="C3330" s="35">
        <v>2023</v>
      </c>
      <c r="D3330" s="36">
        <v>44946.679456018523</v>
      </c>
      <c r="E3330" s="37" t="s">
        <v>3100</v>
      </c>
      <c r="F3330" s="37" t="s">
        <v>5083</v>
      </c>
      <c r="G3330" s="37" t="s">
        <v>4009</v>
      </c>
      <c r="H3330" s="35" t="s">
        <v>3419</v>
      </c>
      <c r="I3330" s="35" t="s">
        <v>3416</v>
      </c>
      <c r="J3330" s="38">
        <v>11.32</v>
      </c>
      <c r="K3330" s="35">
        <v>1</v>
      </c>
      <c r="L3330" s="38">
        <f t="shared" ref="L3330:L3393" si="52">J3330*K3330</f>
        <v>11.32</v>
      </c>
      <c r="M3330" s="35" t="s">
        <v>11</v>
      </c>
      <c r="N3330" s="38"/>
      <c r="O3330" s="35" t="s">
        <v>12</v>
      </c>
    </row>
    <row r="3331" spans="1:15" x14ac:dyDescent="0.25">
      <c r="A3331" s="35">
        <v>1100957663</v>
      </c>
      <c r="B3331" s="35" t="s">
        <v>3761</v>
      </c>
      <c r="C3331" s="35">
        <v>2023</v>
      </c>
      <c r="D3331" s="36">
        <v>44946.679456018523</v>
      </c>
      <c r="E3331" s="37" t="s">
        <v>3100</v>
      </c>
      <c r="F3331" s="37" t="s">
        <v>5083</v>
      </c>
      <c r="G3331" s="37" t="s">
        <v>4009</v>
      </c>
      <c r="H3331" s="35" t="s">
        <v>3419</v>
      </c>
      <c r="I3331" s="35" t="s">
        <v>3530</v>
      </c>
      <c r="J3331" s="38">
        <v>11.32</v>
      </c>
      <c r="K3331" s="35">
        <v>3</v>
      </c>
      <c r="L3331" s="38">
        <f t="shared" si="52"/>
        <v>33.96</v>
      </c>
      <c r="M3331" s="35" t="s">
        <v>11</v>
      </c>
      <c r="N3331" s="38"/>
      <c r="O3331" s="35" t="s">
        <v>12</v>
      </c>
    </row>
    <row r="3332" spans="1:15" x14ac:dyDescent="0.25">
      <c r="A3332" s="35">
        <v>1100955761</v>
      </c>
      <c r="B3332" s="35" t="s">
        <v>3761</v>
      </c>
      <c r="C3332" s="35">
        <v>2023</v>
      </c>
      <c r="D3332" s="36">
        <v>44946.679456018523</v>
      </c>
      <c r="E3332" s="37" t="s">
        <v>79</v>
      </c>
      <c r="F3332" s="37" t="s">
        <v>6103</v>
      </c>
      <c r="G3332" s="37" t="s">
        <v>3740</v>
      </c>
      <c r="H3332" s="35" t="s">
        <v>3415</v>
      </c>
      <c r="I3332" s="35" t="s">
        <v>3453</v>
      </c>
      <c r="J3332" s="38">
        <v>2.2029389312977101</v>
      </c>
      <c r="K3332" s="35">
        <v>4</v>
      </c>
      <c r="L3332" s="38">
        <f t="shared" si="52"/>
        <v>8.8117557251908405</v>
      </c>
      <c r="M3332" s="35" t="s">
        <v>11</v>
      </c>
      <c r="N3332" s="38"/>
      <c r="O3332" s="35" t="s">
        <v>12</v>
      </c>
    </row>
    <row r="3333" spans="1:15" x14ac:dyDescent="0.25">
      <c r="A3333" s="35">
        <v>1100955761</v>
      </c>
      <c r="B3333" s="35" t="s">
        <v>3761</v>
      </c>
      <c r="C3333" s="35">
        <v>2023</v>
      </c>
      <c r="D3333" s="36">
        <v>44946.679456018523</v>
      </c>
      <c r="E3333" s="37" t="s">
        <v>79</v>
      </c>
      <c r="F3333" s="37" t="s">
        <v>6104</v>
      </c>
      <c r="G3333" s="37" t="s">
        <v>4024</v>
      </c>
      <c r="H3333" s="35" t="s">
        <v>3419</v>
      </c>
      <c r="I3333" s="35" t="s">
        <v>3530</v>
      </c>
      <c r="J3333" s="38">
        <v>0.53404580152671755</v>
      </c>
      <c r="K3333" s="35">
        <v>1</v>
      </c>
      <c r="L3333" s="38">
        <f t="shared" si="52"/>
        <v>0.53404580152671755</v>
      </c>
      <c r="M3333" s="35" t="s">
        <v>11</v>
      </c>
      <c r="N3333" s="38"/>
      <c r="O3333" s="35" t="s">
        <v>12</v>
      </c>
    </row>
    <row r="3334" spans="1:15" x14ac:dyDescent="0.25">
      <c r="A3334" s="35">
        <v>1100955761</v>
      </c>
      <c r="B3334" s="35" t="s">
        <v>3761</v>
      </c>
      <c r="C3334" s="35">
        <v>2023</v>
      </c>
      <c r="D3334" s="36">
        <v>44946.679456018523</v>
      </c>
      <c r="E3334" s="37" t="s">
        <v>79</v>
      </c>
      <c r="F3334" s="37" t="s">
        <v>6104</v>
      </c>
      <c r="G3334" s="37" t="s">
        <v>4024</v>
      </c>
      <c r="H3334" s="35" t="s">
        <v>3419</v>
      </c>
      <c r="I3334" s="35" t="s">
        <v>3416</v>
      </c>
      <c r="J3334" s="38">
        <v>0.55629770992366412</v>
      </c>
      <c r="K3334" s="35">
        <v>1</v>
      </c>
      <c r="L3334" s="38">
        <f t="shared" si="52"/>
        <v>0.55629770992366412</v>
      </c>
      <c r="M3334" s="35" t="s">
        <v>11</v>
      </c>
      <c r="N3334" s="38"/>
      <c r="O3334" s="35" t="s">
        <v>12</v>
      </c>
    </row>
    <row r="3335" spans="1:15" x14ac:dyDescent="0.25">
      <c r="A3335" s="35">
        <v>1100955761</v>
      </c>
      <c r="B3335" s="35" t="s">
        <v>3761</v>
      </c>
      <c r="C3335" s="35">
        <v>2023</v>
      </c>
      <c r="D3335" s="36">
        <v>44946.679456018523</v>
      </c>
      <c r="E3335" s="37" t="s">
        <v>79</v>
      </c>
      <c r="F3335" s="37" t="s">
        <v>6104</v>
      </c>
      <c r="G3335" s="37" t="s">
        <v>4024</v>
      </c>
      <c r="H3335" s="35" t="s">
        <v>3419</v>
      </c>
      <c r="I3335" s="35" t="s">
        <v>3931</v>
      </c>
      <c r="J3335" s="38">
        <v>0.1223854961832061</v>
      </c>
      <c r="K3335" s="35">
        <v>2</v>
      </c>
      <c r="L3335" s="38">
        <f t="shared" si="52"/>
        <v>0.2447709923664122</v>
      </c>
      <c r="M3335" s="35" t="s">
        <v>11</v>
      </c>
      <c r="N3335" s="38"/>
      <c r="O3335" s="35" t="s">
        <v>12</v>
      </c>
    </row>
    <row r="3336" spans="1:15" x14ac:dyDescent="0.25">
      <c r="A3336" s="35">
        <v>1100955761</v>
      </c>
      <c r="B3336" s="35" t="s">
        <v>3761</v>
      </c>
      <c r="C3336" s="35">
        <v>2023</v>
      </c>
      <c r="D3336" s="36">
        <v>44946.679456018523</v>
      </c>
      <c r="E3336" s="37" t="s">
        <v>79</v>
      </c>
      <c r="F3336" s="37" t="s">
        <v>6105</v>
      </c>
      <c r="G3336" s="37" t="s">
        <v>3658</v>
      </c>
      <c r="H3336" s="35" t="s">
        <v>3415</v>
      </c>
      <c r="I3336" s="35" t="s">
        <v>3416</v>
      </c>
      <c r="J3336" s="38">
        <v>0.26702290076335877</v>
      </c>
      <c r="K3336" s="35">
        <v>4</v>
      </c>
      <c r="L3336" s="38">
        <f t="shared" si="52"/>
        <v>1.0680916030534351</v>
      </c>
      <c r="M3336" s="35" t="s">
        <v>11</v>
      </c>
      <c r="N3336" s="38"/>
      <c r="O3336" s="35" t="s">
        <v>12</v>
      </c>
    </row>
    <row r="3337" spans="1:15" x14ac:dyDescent="0.25">
      <c r="A3337" s="35">
        <v>1100955761</v>
      </c>
      <c r="B3337" s="35" t="s">
        <v>3761</v>
      </c>
      <c r="C3337" s="35">
        <v>2023</v>
      </c>
      <c r="D3337" s="36">
        <v>44946.679456018523</v>
      </c>
      <c r="E3337" s="37" t="s">
        <v>79</v>
      </c>
      <c r="F3337" s="37" t="s">
        <v>6106</v>
      </c>
      <c r="G3337" s="37" t="s">
        <v>3718</v>
      </c>
      <c r="H3337" s="35" t="s">
        <v>3415</v>
      </c>
      <c r="I3337" s="35" t="s">
        <v>3416</v>
      </c>
      <c r="J3337" s="38">
        <v>0.1112595419847328</v>
      </c>
      <c r="K3337" s="35">
        <v>4</v>
      </c>
      <c r="L3337" s="38">
        <f t="shared" si="52"/>
        <v>0.4450381679389312</v>
      </c>
      <c r="M3337" s="35" t="s">
        <v>11</v>
      </c>
      <c r="N3337" s="38"/>
      <c r="O3337" s="35" t="s">
        <v>12</v>
      </c>
    </row>
    <row r="3338" spans="1:15" x14ac:dyDescent="0.25">
      <c r="A3338" s="35">
        <v>1100955760</v>
      </c>
      <c r="B3338" s="35" t="s">
        <v>3761</v>
      </c>
      <c r="C3338" s="35">
        <v>2023</v>
      </c>
      <c r="D3338" s="36">
        <v>44946.679456018523</v>
      </c>
      <c r="E3338" s="37" t="s">
        <v>414</v>
      </c>
      <c r="F3338" s="37" t="s">
        <v>6107</v>
      </c>
      <c r="G3338" s="37" t="s">
        <v>5010</v>
      </c>
      <c r="H3338" s="35" t="s">
        <v>3419</v>
      </c>
      <c r="I3338" s="35" t="s">
        <v>3530</v>
      </c>
      <c r="J3338" s="38">
        <v>0.18034511784511781</v>
      </c>
      <c r="K3338" s="35">
        <v>2</v>
      </c>
      <c r="L3338" s="38">
        <f t="shared" si="52"/>
        <v>0.36069023569023562</v>
      </c>
      <c r="M3338" s="35" t="s">
        <v>11</v>
      </c>
      <c r="N3338" s="38"/>
      <c r="O3338" s="35" t="s">
        <v>12</v>
      </c>
    </row>
    <row r="3339" spans="1:15" x14ac:dyDescent="0.25">
      <c r="A3339" s="35">
        <v>1100955760</v>
      </c>
      <c r="B3339" s="35" t="s">
        <v>3761</v>
      </c>
      <c r="C3339" s="35">
        <v>2023</v>
      </c>
      <c r="D3339" s="36">
        <v>44946.679456018523</v>
      </c>
      <c r="E3339" s="37" t="s">
        <v>414</v>
      </c>
      <c r="F3339" s="37" t="s">
        <v>6108</v>
      </c>
      <c r="G3339" s="37" t="s">
        <v>4867</v>
      </c>
      <c r="H3339" s="35" t="s">
        <v>3415</v>
      </c>
      <c r="I3339" s="35" t="s">
        <v>3453</v>
      </c>
      <c r="J3339" s="38">
        <v>1.5028759820426489</v>
      </c>
      <c r="K3339" s="35">
        <v>4</v>
      </c>
      <c r="L3339" s="38">
        <f t="shared" si="52"/>
        <v>6.0115039281705958</v>
      </c>
      <c r="M3339" s="35" t="s">
        <v>11</v>
      </c>
      <c r="N3339" s="38"/>
      <c r="O3339" s="35" t="s">
        <v>12</v>
      </c>
    </row>
    <row r="3340" spans="1:15" x14ac:dyDescent="0.25">
      <c r="A3340" s="35">
        <v>1100955760</v>
      </c>
      <c r="B3340" s="35" t="s">
        <v>3761</v>
      </c>
      <c r="C3340" s="35">
        <v>2023</v>
      </c>
      <c r="D3340" s="36">
        <v>44946.679456018523</v>
      </c>
      <c r="E3340" s="37" t="s">
        <v>414</v>
      </c>
      <c r="F3340" s="37" t="s">
        <v>6109</v>
      </c>
      <c r="G3340" s="37" t="s">
        <v>4989</v>
      </c>
      <c r="H3340" s="35" t="s">
        <v>3419</v>
      </c>
      <c r="I3340" s="35" t="s">
        <v>3453</v>
      </c>
      <c r="J3340" s="38">
        <v>4.7971801346801346</v>
      </c>
      <c r="K3340" s="35">
        <v>2</v>
      </c>
      <c r="L3340" s="38">
        <f t="shared" si="52"/>
        <v>9.5943602693602692</v>
      </c>
      <c r="M3340" s="35" t="s">
        <v>11</v>
      </c>
      <c r="N3340" s="38"/>
      <c r="O3340" s="35" t="s">
        <v>12</v>
      </c>
    </row>
    <row r="3341" spans="1:15" x14ac:dyDescent="0.25">
      <c r="A3341" s="35">
        <v>1100955760</v>
      </c>
      <c r="B3341" s="35" t="s">
        <v>3761</v>
      </c>
      <c r="C3341" s="35">
        <v>2023</v>
      </c>
      <c r="D3341" s="36">
        <v>44946.679456018523</v>
      </c>
      <c r="E3341" s="37" t="s">
        <v>414</v>
      </c>
      <c r="F3341" s="37" t="s">
        <v>6110</v>
      </c>
      <c r="G3341" s="37" t="s">
        <v>3987</v>
      </c>
      <c r="H3341" s="35" t="s">
        <v>3419</v>
      </c>
      <c r="I3341" s="35" t="s">
        <v>3416</v>
      </c>
      <c r="J3341" s="38">
        <v>0.1202300785634119</v>
      </c>
      <c r="K3341" s="35">
        <v>2</v>
      </c>
      <c r="L3341" s="38">
        <f t="shared" si="52"/>
        <v>0.24046015712682381</v>
      </c>
      <c r="M3341" s="35" t="s">
        <v>11</v>
      </c>
      <c r="N3341" s="38"/>
      <c r="O3341" s="35" t="s">
        <v>12</v>
      </c>
    </row>
    <row r="3342" spans="1:15" x14ac:dyDescent="0.25">
      <c r="A3342" s="35">
        <v>1100955760</v>
      </c>
      <c r="B3342" s="35" t="s">
        <v>3761</v>
      </c>
      <c r="C3342" s="35">
        <v>2023</v>
      </c>
      <c r="D3342" s="36">
        <v>44946.679456018523</v>
      </c>
      <c r="E3342" s="37" t="s">
        <v>414</v>
      </c>
      <c r="F3342" s="37" t="s">
        <v>6111</v>
      </c>
      <c r="G3342" s="37" t="s">
        <v>3740</v>
      </c>
      <c r="H3342" s="35" t="s">
        <v>3415</v>
      </c>
      <c r="I3342" s="35" t="s">
        <v>3416</v>
      </c>
      <c r="J3342" s="38">
        <v>1.5028759820426489</v>
      </c>
      <c r="K3342" s="35">
        <v>4</v>
      </c>
      <c r="L3342" s="38">
        <f t="shared" si="52"/>
        <v>6.0115039281705958</v>
      </c>
      <c r="M3342" s="35" t="s">
        <v>11</v>
      </c>
      <c r="N3342" s="38"/>
      <c r="O3342" s="35" t="s">
        <v>12</v>
      </c>
    </row>
    <row r="3343" spans="1:15" x14ac:dyDescent="0.25">
      <c r="A3343" s="35">
        <v>1100955760</v>
      </c>
      <c r="B3343" s="35" t="s">
        <v>3761</v>
      </c>
      <c r="C3343" s="35">
        <v>2023</v>
      </c>
      <c r="D3343" s="36">
        <v>44946.679456018523</v>
      </c>
      <c r="E3343" s="37" t="s">
        <v>414</v>
      </c>
      <c r="F3343" s="37" t="s">
        <v>6112</v>
      </c>
      <c r="G3343" s="37" t="s">
        <v>3876</v>
      </c>
      <c r="H3343" s="35" t="s">
        <v>3415</v>
      </c>
      <c r="I3343" s="35" t="s">
        <v>3416</v>
      </c>
      <c r="J3343" s="38">
        <v>1.190277777777778</v>
      </c>
      <c r="K3343" s="35">
        <v>4</v>
      </c>
      <c r="L3343" s="38">
        <f t="shared" si="52"/>
        <v>4.761111111111112</v>
      </c>
      <c r="M3343" s="35" t="s">
        <v>11</v>
      </c>
      <c r="N3343" s="38"/>
      <c r="O3343" s="35" t="s">
        <v>12</v>
      </c>
    </row>
    <row r="3344" spans="1:15" x14ac:dyDescent="0.25">
      <c r="A3344" s="35">
        <v>1100955760</v>
      </c>
      <c r="B3344" s="35" t="s">
        <v>3761</v>
      </c>
      <c r="C3344" s="35">
        <v>2023</v>
      </c>
      <c r="D3344" s="36">
        <v>44946.679456018523</v>
      </c>
      <c r="E3344" s="37" t="s">
        <v>414</v>
      </c>
      <c r="F3344" s="37" t="s">
        <v>6113</v>
      </c>
      <c r="G3344" s="37" t="s">
        <v>3757</v>
      </c>
      <c r="H3344" s="35" t="s">
        <v>3415</v>
      </c>
      <c r="I3344" s="35" t="s">
        <v>3416</v>
      </c>
      <c r="J3344" s="38">
        <v>0.90172558922558921</v>
      </c>
      <c r="K3344" s="35">
        <v>4</v>
      </c>
      <c r="L3344" s="38">
        <f t="shared" si="52"/>
        <v>3.6069023569023568</v>
      </c>
      <c r="M3344" s="35" t="s">
        <v>11</v>
      </c>
      <c r="N3344" s="38"/>
      <c r="O3344" s="35" t="s">
        <v>12</v>
      </c>
    </row>
    <row r="3345" spans="1:15" x14ac:dyDescent="0.25">
      <c r="A3345" s="35">
        <v>1100955760</v>
      </c>
      <c r="B3345" s="35" t="s">
        <v>3761</v>
      </c>
      <c r="C3345" s="35">
        <v>2023</v>
      </c>
      <c r="D3345" s="36">
        <v>44946.679456018523</v>
      </c>
      <c r="E3345" s="37" t="s">
        <v>414</v>
      </c>
      <c r="F3345" s="37" t="s">
        <v>6114</v>
      </c>
      <c r="G3345" s="37" t="s">
        <v>4057</v>
      </c>
      <c r="H3345" s="35" t="s">
        <v>3415</v>
      </c>
      <c r="I3345" s="35" t="s">
        <v>3416</v>
      </c>
      <c r="J3345" s="38">
        <v>0.18034511784511781</v>
      </c>
      <c r="K3345" s="35">
        <v>4</v>
      </c>
      <c r="L3345" s="38">
        <f t="shared" si="52"/>
        <v>0.72138047138047123</v>
      </c>
      <c r="M3345" s="35" t="s">
        <v>11</v>
      </c>
      <c r="N3345" s="38"/>
      <c r="O3345" s="35" t="s">
        <v>12</v>
      </c>
    </row>
    <row r="3346" spans="1:15" x14ac:dyDescent="0.25">
      <c r="A3346" s="35">
        <v>1100955760</v>
      </c>
      <c r="B3346" s="35" t="s">
        <v>3761</v>
      </c>
      <c r="C3346" s="35">
        <v>2023</v>
      </c>
      <c r="D3346" s="36">
        <v>44946.679456018523</v>
      </c>
      <c r="E3346" s="37" t="s">
        <v>414</v>
      </c>
      <c r="F3346" s="37" t="s">
        <v>6115</v>
      </c>
      <c r="G3346" s="37" t="s">
        <v>3876</v>
      </c>
      <c r="H3346" s="35" t="s">
        <v>3419</v>
      </c>
      <c r="I3346" s="35" t="s">
        <v>3530</v>
      </c>
      <c r="J3346" s="38">
        <v>0.58912738496071826</v>
      </c>
      <c r="K3346" s="35">
        <v>2</v>
      </c>
      <c r="L3346" s="38">
        <f t="shared" si="52"/>
        <v>1.1782547699214365</v>
      </c>
      <c r="M3346" s="35" t="s">
        <v>11</v>
      </c>
      <c r="N3346" s="38"/>
      <c r="O3346" s="35" t="s">
        <v>12</v>
      </c>
    </row>
    <row r="3347" spans="1:15" x14ac:dyDescent="0.25">
      <c r="A3347" s="35">
        <v>1100955760</v>
      </c>
      <c r="B3347" s="35" t="s">
        <v>3761</v>
      </c>
      <c r="C3347" s="35">
        <v>2023</v>
      </c>
      <c r="D3347" s="36">
        <v>44946.679456018523</v>
      </c>
      <c r="E3347" s="37" t="s">
        <v>414</v>
      </c>
      <c r="F3347" s="37" t="s">
        <v>3667</v>
      </c>
      <c r="G3347" s="37" t="s">
        <v>3668</v>
      </c>
      <c r="H3347" s="35" t="s">
        <v>3419</v>
      </c>
      <c r="I3347" s="35" t="s">
        <v>3416</v>
      </c>
      <c r="J3347" s="38">
        <v>1.190277777777778</v>
      </c>
      <c r="K3347" s="35">
        <v>1</v>
      </c>
      <c r="L3347" s="38">
        <f t="shared" si="52"/>
        <v>1.190277777777778</v>
      </c>
      <c r="M3347" s="35" t="s">
        <v>11</v>
      </c>
      <c r="N3347" s="38"/>
      <c r="O3347" s="35" t="s">
        <v>12</v>
      </c>
    </row>
    <row r="3348" spans="1:15" x14ac:dyDescent="0.25">
      <c r="A3348" s="35">
        <v>1100955760</v>
      </c>
      <c r="B3348" s="35" t="s">
        <v>3761</v>
      </c>
      <c r="C3348" s="35">
        <v>2023</v>
      </c>
      <c r="D3348" s="36">
        <v>44946.679456018523</v>
      </c>
      <c r="E3348" s="37" t="s">
        <v>414</v>
      </c>
      <c r="F3348" s="37" t="s">
        <v>6116</v>
      </c>
      <c r="G3348" s="37" t="s">
        <v>4055</v>
      </c>
      <c r="H3348" s="35" t="s">
        <v>3419</v>
      </c>
      <c r="I3348" s="35" t="s">
        <v>3416</v>
      </c>
      <c r="J3348" s="38">
        <v>0.42080527497194159</v>
      </c>
      <c r="K3348" s="35">
        <v>2</v>
      </c>
      <c r="L3348" s="38">
        <f t="shared" si="52"/>
        <v>0.84161054994388318</v>
      </c>
      <c r="M3348" s="35" t="s">
        <v>11</v>
      </c>
      <c r="N3348" s="38"/>
      <c r="O3348" s="35" t="s">
        <v>12</v>
      </c>
    </row>
    <row r="3349" spans="1:15" x14ac:dyDescent="0.25">
      <c r="A3349" s="35">
        <v>1100955760</v>
      </c>
      <c r="B3349" s="35" t="s">
        <v>3761</v>
      </c>
      <c r="C3349" s="35">
        <v>2023</v>
      </c>
      <c r="D3349" s="36">
        <v>44946.679456018523</v>
      </c>
      <c r="E3349" s="37" t="s">
        <v>414</v>
      </c>
      <c r="F3349" s="37" t="s">
        <v>3667</v>
      </c>
      <c r="G3349" s="37" t="s">
        <v>3668</v>
      </c>
      <c r="H3349" s="35" t="s">
        <v>3419</v>
      </c>
      <c r="I3349" s="35" t="s">
        <v>3640</v>
      </c>
      <c r="J3349" s="38">
        <v>1.190277777777778</v>
      </c>
      <c r="K3349" s="35">
        <v>3</v>
      </c>
      <c r="L3349" s="38">
        <f t="shared" si="52"/>
        <v>3.5708333333333337</v>
      </c>
      <c r="M3349" s="35" t="s">
        <v>11</v>
      </c>
      <c r="N3349" s="38"/>
      <c r="O3349" s="35" t="s">
        <v>12</v>
      </c>
    </row>
    <row r="3350" spans="1:15" x14ac:dyDescent="0.25">
      <c r="A3350" s="35">
        <v>1100955760</v>
      </c>
      <c r="B3350" s="35" t="s">
        <v>3761</v>
      </c>
      <c r="C3350" s="35">
        <v>2023</v>
      </c>
      <c r="D3350" s="36">
        <v>44946.679456018523</v>
      </c>
      <c r="E3350" s="37" t="s">
        <v>414</v>
      </c>
      <c r="F3350" s="37" t="s">
        <v>3791</v>
      </c>
      <c r="G3350" s="37" t="s">
        <v>3792</v>
      </c>
      <c r="H3350" s="35" t="s">
        <v>3415</v>
      </c>
      <c r="I3350" s="35" t="s">
        <v>3416</v>
      </c>
      <c r="J3350" s="38">
        <v>0.58912738496071826</v>
      </c>
      <c r="K3350" s="35">
        <v>4</v>
      </c>
      <c r="L3350" s="38">
        <f t="shared" si="52"/>
        <v>2.356509539842873</v>
      </c>
      <c r="M3350" s="35" t="s">
        <v>11</v>
      </c>
      <c r="N3350" s="38"/>
      <c r="O3350" s="35" t="s">
        <v>12</v>
      </c>
    </row>
    <row r="3351" spans="1:15" x14ac:dyDescent="0.25">
      <c r="A3351" s="35">
        <v>1100955760</v>
      </c>
      <c r="B3351" s="35" t="s">
        <v>3761</v>
      </c>
      <c r="C3351" s="35">
        <v>2023</v>
      </c>
      <c r="D3351" s="36">
        <v>44946.679456018523</v>
      </c>
      <c r="E3351" s="37" t="s">
        <v>414</v>
      </c>
      <c r="F3351" s="37" t="s">
        <v>3730</v>
      </c>
      <c r="G3351" s="37" t="s">
        <v>3658</v>
      </c>
      <c r="H3351" s="35" t="s">
        <v>3419</v>
      </c>
      <c r="I3351" s="35" t="s">
        <v>3416</v>
      </c>
      <c r="J3351" s="38">
        <v>0.30057519640852981</v>
      </c>
      <c r="K3351" s="35">
        <v>2</v>
      </c>
      <c r="L3351" s="38">
        <f t="shared" si="52"/>
        <v>0.60115039281705962</v>
      </c>
      <c r="M3351" s="35" t="s">
        <v>11</v>
      </c>
      <c r="N3351" s="38"/>
      <c r="O3351" s="35" t="s">
        <v>12</v>
      </c>
    </row>
    <row r="3352" spans="1:15" x14ac:dyDescent="0.25">
      <c r="A3352" s="35">
        <v>1100955760</v>
      </c>
      <c r="B3352" s="35" t="s">
        <v>3761</v>
      </c>
      <c r="C3352" s="35">
        <v>2023</v>
      </c>
      <c r="D3352" s="36">
        <v>44946.679456018523</v>
      </c>
      <c r="E3352" s="37" t="s">
        <v>414</v>
      </c>
      <c r="F3352" s="37" t="s">
        <v>4588</v>
      </c>
      <c r="G3352" s="37" t="s">
        <v>3723</v>
      </c>
      <c r="H3352" s="35" t="s">
        <v>3419</v>
      </c>
      <c r="I3352" s="35" t="s">
        <v>3453</v>
      </c>
      <c r="J3352" s="38">
        <v>0.90172558922558921</v>
      </c>
      <c r="K3352" s="35">
        <v>2</v>
      </c>
      <c r="L3352" s="38">
        <f t="shared" si="52"/>
        <v>1.8034511784511784</v>
      </c>
      <c r="M3352" s="35" t="s">
        <v>11</v>
      </c>
      <c r="N3352" s="38"/>
      <c r="O3352" s="35" t="s">
        <v>12</v>
      </c>
    </row>
    <row r="3353" spans="1:15" x14ac:dyDescent="0.25">
      <c r="A3353" s="35">
        <v>1100879522</v>
      </c>
      <c r="B3353" s="35" t="s">
        <v>3761</v>
      </c>
      <c r="C3353" s="35">
        <v>2023</v>
      </c>
      <c r="D3353" s="36">
        <v>44945.857604166667</v>
      </c>
      <c r="E3353" s="37" t="s">
        <v>3228</v>
      </c>
      <c r="F3353" s="37" t="s">
        <v>5119</v>
      </c>
      <c r="G3353" s="37" t="s">
        <v>3945</v>
      </c>
      <c r="H3353" s="35" t="s">
        <v>3419</v>
      </c>
      <c r="I3353" s="35" t="s">
        <v>3416</v>
      </c>
      <c r="J3353" s="38">
        <v>11.09</v>
      </c>
      <c r="K3353" s="35">
        <v>2</v>
      </c>
      <c r="L3353" s="38">
        <f t="shared" si="52"/>
        <v>22.18</v>
      </c>
      <c r="M3353" s="35" t="s">
        <v>11</v>
      </c>
      <c r="N3353" s="38"/>
      <c r="O3353" s="35" t="s">
        <v>12</v>
      </c>
    </row>
    <row r="3354" spans="1:15" x14ac:dyDescent="0.25">
      <c r="A3354" s="35">
        <v>1100426977</v>
      </c>
      <c r="B3354" s="35" t="s">
        <v>3761</v>
      </c>
      <c r="C3354" s="35">
        <v>2023</v>
      </c>
      <c r="D3354" s="36">
        <v>44941.510520833333</v>
      </c>
      <c r="E3354" s="37" t="s">
        <v>2081</v>
      </c>
      <c r="F3354" s="37" t="s">
        <v>3766</v>
      </c>
      <c r="G3354" s="37" t="s">
        <v>3726</v>
      </c>
      <c r="H3354" s="35" t="s">
        <v>3419</v>
      </c>
      <c r="I3354" s="35" t="s">
        <v>3530</v>
      </c>
      <c r="J3354" s="38">
        <v>2.6446801346801352</v>
      </c>
      <c r="K3354" s="35">
        <v>2</v>
      </c>
      <c r="L3354" s="38">
        <f t="shared" si="52"/>
        <v>5.2893602693602704</v>
      </c>
      <c r="M3354" s="35" t="s">
        <v>11</v>
      </c>
      <c r="N3354" s="38"/>
      <c r="O3354" s="35" t="s">
        <v>12</v>
      </c>
    </row>
    <row r="3355" spans="1:15" x14ac:dyDescent="0.25">
      <c r="A3355" s="35">
        <v>1100426977</v>
      </c>
      <c r="B3355" s="35" t="s">
        <v>3761</v>
      </c>
      <c r="C3355" s="35">
        <v>2023</v>
      </c>
      <c r="D3355" s="36">
        <v>44941.510520833333</v>
      </c>
      <c r="E3355" s="37" t="s">
        <v>2081</v>
      </c>
      <c r="F3355" s="37" t="s">
        <v>4899</v>
      </c>
      <c r="G3355" s="37" t="s">
        <v>3726</v>
      </c>
      <c r="H3355" s="35" t="s">
        <v>3419</v>
      </c>
      <c r="I3355" s="35" t="s">
        <v>3530</v>
      </c>
      <c r="J3355" s="38">
        <v>10.74063973063973</v>
      </c>
      <c r="K3355" s="35">
        <v>1</v>
      </c>
      <c r="L3355" s="38">
        <f t="shared" si="52"/>
        <v>10.74063973063973</v>
      </c>
      <c r="M3355" s="35" t="s">
        <v>11</v>
      </c>
      <c r="N3355" s="38"/>
      <c r="O3355" s="35" t="s">
        <v>12</v>
      </c>
    </row>
    <row r="3356" spans="1:15" x14ac:dyDescent="0.25">
      <c r="A3356" s="35">
        <v>1100426398</v>
      </c>
      <c r="B3356" s="35" t="s">
        <v>3761</v>
      </c>
      <c r="C3356" s="35">
        <v>2023</v>
      </c>
      <c r="D3356" s="36">
        <v>44941.503599537027</v>
      </c>
      <c r="E3356" s="37" t="s">
        <v>3233</v>
      </c>
      <c r="F3356" s="37" t="s">
        <v>6117</v>
      </c>
      <c r="G3356" s="37" t="s">
        <v>4024</v>
      </c>
      <c r="H3356" s="35" t="s">
        <v>3419</v>
      </c>
      <c r="I3356" s="35" t="s">
        <v>4617</v>
      </c>
      <c r="J3356" s="38">
        <v>9.59</v>
      </c>
      <c r="K3356" s="35">
        <v>1</v>
      </c>
      <c r="L3356" s="38">
        <f t="shared" si="52"/>
        <v>9.59</v>
      </c>
      <c r="M3356" s="35" t="s">
        <v>11</v>
      </c>
      <c r="N3356" s="38"/>
      <c r="O3356" s="35" t="s">
        <v>12</v>
      </c>
    </row>
    <row r="3357" spans="1:15" x14ac:dyDescent="0.25">
      <c r="A3357" s="35">
        <v>1100426398</v>
      </c>
      <c r="B3357" s="35" t="s">
        <v>3761</v>
      </c>
      <c r="C3357" s="35">
        <v>2023</v>
      </c>
      <c r="D3357" s="36">
        <v>44941.503599537027</v>
      </c>
      <c r="E3357" s="37" t="s">
        <v>3233</v>
      </c>
      <c r="F3357" s="37" t="s">
        <v>6117</v>
      </c>
      <c r="G3357" s="37" t="s">
        <v>4024</v>
      </c>
      <c r="H3357" s="35" t="s">
        <v>3419</v>
      </c>
      <c r="I3357" s="35" t="s">
        <v>3931</v>
      </c>
      <c r="J3357" s="38">
        <v>9.59</v>
      </c>
      <c r="K3357" s="35">
        <v>1</v>
      </c>
      <c r="L3357" s="38">
        <f t="shared" si="52"/>
        <v>9.59</v>
      </c>
      <c r="M3357" s="35" t="s">
        <v>11</v>
      </c>
      <c r="N3357" s="38"/>
      <c r="O3357" s="35" t="s">
        <v>12</v>
      </c>
    </row>
    <row r="3358" spans="1:15" x14ac:dyDescent="0.25">
      <c r="A3358" s="35">
        <v>1100382249</v>
      </c>
      <c r="B3358" s="35" t="s">
        <v>3761</v>
      </c>
      <c r="C3358" s="35">
        <v>2023</v>
      </c>
      <c r="D3358" s="36">
        <v>44940.903749999998</v>
      </c>
      <c r="E3358" s="37" t="s">
        <v>3235</v>
      </c>
      <c r="F3358" s="37" t="s">
        <v>6118</v>
      </c>
      <c r="G3358" s="37" t="s">
        <v>4753</v>
      </c>
      <c r="H3358" s="35" t="s">
        <v>3419</v>
      </c>
      <c r="I3358" s="35" t="s">
        <v>3931</v>
      </c>
      <c r="J3358" s="38">
        <v>1.264</v>
      </c>
      <c r="K3358" s="35">
        <v>3</v>
      </c>
      <c r="L3358" s="38">
        <f t="shared" si="52"/>
        <v>3.7919999999999998</v>
      </c>
      <c r="M3358" s="35" t="s">
        <v>11</v>
      </c>
      <c r="N3358" s="38"/>
      <c r="O3358" s="35" t="s">
        <v>12</v>
      </c>
    </row>
    <row r="3359" spans="1:15" x14ac:dyDescent="0.25">
      <c r="A3359" s="35">
        <v>1100382249</v>
      </c>
      <c r="B3359" s="35" t="s">
        <v>3761</v>
      </c>
      <c r="C3359" s="35">
        <v>2023</v>
      </c>
      <c r="D3359" s="36">
        <v>44940.903749999998</v>
      </c>
      <c r="E3359" s="37" t="s">
        <v>3235</v>
      </c>
      <c r="F3359" s="37" t="s">
        <v>5077</v>
      </c>
      <c r="G3359" s="37" t="s">
        <v>3658</v>
      </c>
      <c r="H3359" s="35" t="s">
        <v>3419</v>
      </c>
      <c r="I3359" s="35" t="s">
        <v>3416</v>
      </c>
      <c r="J3359" s="38">
        <v>10.744</v>
      </c>
      <c r="K3359" s="35">
        <v>2</v>
      </c>
      <c r="L3359" s="38">
        <f t="shared" si="52"/>
        <v>21.488</v>
      </c>
      <c r="M3359" s="35" t="s">
        <v>11</v>
      </c>
      <c r="N3359" s="38"/>
      <c r="O3359" s="35" t="s">
        <v>12</v>
      </c>
    </row>
    <row r="3360" spans="1:15" x14ac:dyDescent="0.25">
      <c r="A3360" s="35">
        <v>1100375970</v>
      </c>
      <c r="B3360" s="35" t="s">
        <v>3761</v>
      </c>
      <c r="C3360" s="35">
        <v>2023</v>
      </c>
      <c r="D3360" s="36">
        <v>44940.903749999998</v>
      </c>
      <c r="E3360" s="37" t="s">
        <v>3238</v>
      </c>
      <c r="F3360" s="37" t="s">
        <v>6119</v>
      </c>
      <c r="G3360" s="37" t="s">
        <v>3792</v>
      </c>
      <c r="H3360" s="35" t="s">
        <v>3419</v>
      </c>
      <c r="I3360" s="35" t="s">
        <v>3416</v>
      </c>
      <c r="J3360" s="38">
        <v>51.28</v>
      </c>
      <c r="K3360" s="35">
        <v>1</v>
      </c>
      <c r="L3360" s="38">
        <f t="shared" si="52"/>
        <v>51.28</v>
      </c>
      <c r="M3360" s="35" t="s">
        <v>11</v>
      </c>
      <c r="N3360" s="38"/>
      <c r="O3360" s="35" t="s">
        <v>12</v>
      </c>
    </row>
    <row r="3361" spans="1:15" x14ac:dyDescent="0.25">
      <c r="A3361" s="35">
        <v>1100375384</v>
      </c>
      <c r="B3361" s="35" t="s">
        <v>3761</v>
      </c>
      <c r="C3361" s="35">
        <v>2023</v>
      </c>
      <c r="D3361" s="36">
        <v>44940.903749999998</v>
      </c>
      <c r="E3361" s="37" t="s">
        <v>3240</v>
      </c>
      <c r="F3361" s="37" t="s">
        <v>6120</v>
      </c>
      <c r="G3361" s="37" t="s">
        <v>3757</v>
      </c>
      <c r="H3361" s="35" t="s">
        <v>3419</v>
      </c>
      <c r="I3361" s="35" t="s">
        <v>3416</v>
      </c>
      <c r="J3361" s="38">
        <v>1.0513043478260871</v>
      </c>
      <c r="K3361" s="35">
        <v>1</v>
      </c>
      <c r="L3361" s="38">
        <f t="shared" si="52"/>
        <v>1.0513043478260871</v>
      </c>
      <c r="M3361" s="35" t="s">
        <v>11</v>
      </c>
      <c r="N3361" s="38"/>
      <c r="O3361" s="35" t="s">
        <v>12</v>
      </c>
    </row>
    <row r="3362" spans="1:15" x14ac:dyDescent="0.25">
      <c r="A3362" s="35">
        <v>1100375384</v>
      </c>
      <c r="B3362" s="35" t="s">
        <v>3761</v>
      </c>
      <c r="C3362" s="35">
        <v>2023</v>
      </c>
      <c r="D3362" s="36">
        <v>44940.903749999998</v>
      </c>
      <c r="E3362" s="37" t="s">
        <v>3240</v>
      </c>
      <c r="F3362" s="37" t="s">
        <v>6121</v>
      </c>
      <c r="G3362" s="37" t="s">
        <v>3867</v>
      </c>
      <c r="H3362" s="35" t="s">
        <v>3419</v>
      </c>
      <c r="I3362" s="35" t="s">
        <v>3416</v>
      </c>
      <c r="J3362" s="38">
        <v>12.615652173913039</v>
      </c>
      <c r="K3362" s="35">
        <v>1</v>
      </c>
      <c r="L3362" s="38">
        <f t="shared" si="52"/>
        <v>12.615652173913039</v>
      </c>
      <c r="M3362" s="35" t="s">
        <v>11</v>
      </c>
      <c r="N3362" s="38"/>
      <c r="O3362" s="35" t="s">
        <v>12</v>
      </c>
    </row>
    <row r="3363" spans="1:15" x14ac:dyDescent="0.25">
      <c r="A3363" s="35">
        <v>1100375384</v>
      </c>
      <c r="B3363" s="35" t="s">
        <v>3761</v>
      </c>
      <c r="C3363" s="35">
        <v>2023</v>
      </c>
      <c r="D3363" s="36">
        <v>44940.903749999998</v>
      </c>
      <c r="E3363" s="37" t="s">
        <v>3240</v>
      </c>
      <c r="F3363" s="37" t="s">
        <v>6122</v>
      </c>
      <c r="G3363" s="37" t="s">
        <v>4561</v>
      </c>
      <c r="H3363" s="35" t="s">
        <v>3419</v>
      </c>
      <c r="I3363" s="35" t="s">
        <v>3416</v>
      </c>
      <c r="J3363" s="38">
        <v>4.2052173913043482</v>
      </c>
      <c r="K3363" s="35">
        <v>1</v>
      </c>
      <c r="L3363" s="38">
        <f t="shared" si="52"/>
        <v>4.2052173913043482</v>
      </c>
      <c r="M3363" s="35" t="s">
        <v>11</v>
      </c>
      <c r="N3363" s="38"/>
      <c r="O3363" s="35" t="s">
        <v>12</v>
      </c>
    </row>
    <row r="3364" spans="1:15" x14ac:dyDescent="0.25">
      <c r="A3364" s="35">
        <v>1100375384</v>
      </c>
      <c r="B3364" s="35" t="s">
        <v>3761</v>
      </c>
      <c r="C3364" s="35">
        <v>2023</v>
      </c>
      <c r="D3364" s="36">
        <v>44940.903749999998</v>
      </c>
      <c r="E3364" s="37" t="s">
        <v>3240</v>
      </c>
      <c r="F3364" s="37" t="s">
        <v>6123</v>
      </c>
      <c r="G3364" s="37" t="s">
        <v>3619</v>
      </c>
      <c r="H3364" s="35" t="s">
        <v>3419</v>
      </c>
      <c r="I3364" s="35" t="s">
        <v>3416</v>
      </c>
      <c r="J3364" s="38">
        <v>6.3078260869565206</v>
      </c>
      <c r="K3364" s="35">
        <v>1</v>
      </c>
      <c r="L3364" s="38">
        <f t="shared" si="52"/>
        <v>6.3078260869565206</v>
      </c>
      <c r="M3364" s="35" t="s">
        <v>11</v>
      </c>
      <c r="N3364" s="38"/>
      <c r="O3364" s="35" t="s">
        <v>12</v>
      </c>
    </row>
    <row r="3365" spans="1:15" x14ac:dyDescent="0.25">
      <c r="A3365" s="35">
        <v>1100375218</v>
      </c>
      <c r="B3365" s="35" t="s">
        <v>3761</v>
      </c>
      <c r="C3365" s="35">
        <v>2023</v>
      </c>
      <c r="D3365" s="36">
        <v>44940.903749999998</v>
      </c>
      <c r="E3365" s="37" t="s">
        <v>1105</v>
      </c>
      <c r="F3365" s="37" t="s">
        <v>6124</v>
      </c>
      <c r="G3365" s="37" t="s">
        <v>3867</v>
      </c>
      <c r="H3365" s="35" t="s">
        <v>3415</v>
      </c>
      <c r="I3365" s="35" t="s">
        <v>3416</v>
      </c>
      <c r="J3365" s="38">
        <v>2.5350000000000001</v>
      </c>
      <c r="K3365" s="35">
        <v>4</v>
      </c>
      <c r="L3365" s="38">
        <f t="shared" si="52"/>
        <v>10.14</v>
      </c>
      <c r="M3365" s="35" t="s">
        <v>11</v>
      </c>
      <c r="N3365" s="38"/>
      <c r="O3365" s="35" t="s">
        <v>12</v>
      </c>
    </row>
    <row r="3366" spans="1:15" x14ac:dyDescent="0.25">
      <c r="A3366" s="35">
        <v>1100374850</v>
      </c>
      <c r="B3366" s="35" t="s">
        <v>3761</v>
      </c>
      <c r="C3366" s="35">
        <v>2023</v>
      </c>
      <c r="D3366" s="36">
        <v>44940.903749999998</v>
      </c>
      <c r="E3366" s="37" t="s">
        <v>294</v>
      </c>
      <c r="F3366" s="37" t="s">
        <v>6125</v>
      </c>
      <c r="G3366" s="37" t="s">
        <v>3718</v>
      </c>
      <c r="H3366" s="35" t="s">
        <v>3415</v>
      </c>
      <c r="I3366" s="35" t="s">
        <v>3416</v>
      </c>
      <c r="J3366" s="38">
        <v>0.58605026929982051</v>
      </c>
      <c r="K3366" s="35">
        <v>4</v>
      </c>
      <c r="L3366" s="38">
        <f t="shared" si="52"/>
        <v>2.3442010771992821</v>
      </c>
      <c r="M3366" s="35" t="s">
        <v>11</v>
      </c>
      <c r="N3366" s="38"/>
      <c r="O3366" s="35" t="s">
        <v>12</v>
      </c>
    </row>
    <row r="3367" spans="1:15" x14ac:dyDescent="0.25">
      <c r="A3367" s="35">
        <v>1100374850</v>
      </c>
      <c r="B3367" s="35" t="s">
        <v>3761</v>
      </c>
      <c r="C3367" s="35">
        <v>2023</v>
      </c>
      <c r="D3367" s="36">
        <v>44940.903749999998</v>
      </c>
      <c r="E3367" s="37" t="s">
        <v>294</v>
      </c>
      <c r="F3367" s="37" t="s">
        <v>6126</v>
      </c>
      <c r="G3367" s="37" t="s">
        <v>4409</v>
      </c>
      <c r="H3367" s="35" t="s">
        <v>3419</v>
      </c>
      <c r="I3367" s="35" t="s">
        <v>3416</v>
      </c>
      <c r="J3367" s="38">
        <v>0.54263913824057453</v>
      </c>
      <c r="K3367" s="35">
        <v>3</v>
      </c>
      <c r="L3367" s="38">
        <f t="shared" si="52"/>
        <v>1.6279174147217237</v>
      </c>
      <c r="M3367" s="35" t="s">
        <v>11</v>
      </c>
      <c r="N3367" s="38"/>
      <c r="O3367" s="35" t="s">
        <v>12</v>
      </c>
    </row>
    <row r="3368" spans="1:15" x14ac:dyDescent="0.25">
      <c r="A3368" s="35">
        <v>1100374850</v>
      </c>
      <c r="B3368" s="35" t="s">
        <v>3761</v>
      </c>
      <c r="C3368" s="35">
        <v>2023</v>
      </c>
      <c r="D3368" s="36">
        <v>44940.903749999998</v>
      </c>
      <c r="E3368" s="37" t="s">
        <v>294</v>
      </c>
      <c r="F3368" s="37" t="s">
        <v>6127</v>
      </c>
      <c r="G3368" s="37" t="s">
        <v>3682</v>
      </c>
      <c r="H3368" s="35" t="s">
        <v>3419</v>
      </c>
      <c r="I3368" s="35" t="s">
        <v>3416</v>
      </c>
      <c r="J3368" s="38">
        <v>5.3612746858168769</v>
      </c>
      <c r="K3368" s="35">
        <v>1</v>
      </c>
      <c r="L3368" s="38">
        <f t="shared" si="52"/>
        <v>5.3612746858168769</v>
      </c>
      <c r="M3368" s="35" t="s">
        <v>11</v>
      </c>
      <c r="N3368" s="38"/>
      <c r="O3368" s="35" t="s">
        <v>12</v>
      </c>
    </row>
    <row r="3369" spans="1:15" x14ac:dyDescent="0.25">
      <c r="A3369" s="35">
        <v>1100374850</v>
      </c>
      <c r="B3369" s="35" t="s">
        <v>3761</v>
      </c>
      <c r="C3369" s="35">
        <v>2023</v>
      </c>
      <c r="D3369" s="36">
        <v>44940.903749999998</v>
      </c>
      <c r="E3369" s="37" t="s">
        <v>294</v>
      </c>
      <c r="F3369" s="37" t="s">
        <v>6128</v>
      </c>
      <c r="G3369" s="37" t="s">
        <v>3945</v>
      </c>
      <c r="H3369" s="35" t="s">
        <v>3419</v>
      </c>
      <c r="I3369" s="35" t="s">
        <v>3416</v>
      </c>
      <c r="J3369" s="38">
        <v>2.1162926391382411</v>
      </c>
      <c r="K3369" s="35">
        <v>2</v>
      </c>
      <c r="L3369" s="38">
        <f t="shared" si="52"/>
        <v>4.2325852782764821</v>
      </c>
      <c r="M3369" s="35" t="s">
        <v>11</v>
      </c>
      <c r="N3369" s="38"/>
      <c r="O3369" s="35" t="s">
        <v>12</v>
      </c>
    </row>
    <row r="3370" spans="1:15" x14ac:dyDescent="0.25">
      <c r="A3370" s="35">
        <v>1100374850</v>
      </c>
      <c r="B3370" s="35" t="s">
        <v>3761</v>
      </c>
      <c r="C3370" s="35">
        <v>2023</v>
      </c>
      <c r="D3370" s="36">
        <v>44940.903749999998</v>
      </c>
      <c r="E3370" s="37" t="s">
        <v>294</v>
      </c>
      <c r="F3370" s="37" t="s">
        <v>4403</v>
      </c>
      <c r="G3370" s="37" t="s">
        <v>3529</v>
      </c>
      <c r="H3370" s="35" t="s">
        <v>3415</v>
      </c>
      <c r="I3370" s="35" t="s">
        <v>3416</v>
      </c>
      <c r="J3370" s="38">
        <v>0.13023339317773791</v>
      </c>
      <c r="K3370" s="35">
        <v>4</v>
      </c>
      <c r="L3370" s="38">
        <f t="shared" si="52"/>
        <v>0.52093357271095164</v>
      </c>
      <c r="M3370" s="35" t="s">
        <v>11</v>
      </c>
      <c r="N3370" s="38"/>
      <c r="O3370" s="35" t="s">
        <v>12</v>
      </c>
    </row>
    <row r="3371" spans="1:15" x14ac:dyDescent="0.25">
      <c r="A3371" s="35">
        <v>1100374850</v>
      </c>
      <c r="B3371" s="35" t="s">
        <v>3761</v>
      </c>
      <c r="C3371" s="35">
        <v>2023</v>
      </c>
      <c r="D3371" s="36">
        <v>44940.903749999998</v>
      </c>
      <c r="E3371" s="37" t="s">
        <v>294</v>
      </c>
      <c r="F3371" s="37" t="s">
        <v>6129</v>
      </c>
      <c r="G3371" s="37" t="s">
        <v>3457</v>
      </c>
      <c r="H3371" s="35" t="s">
        <v>3415</v>
      </c>
      <c r="I3371" s="35" t="s">
        <v>3416</v>
      </c>
      <c r="J3371" s="38">
        <v>0.66201974865350088</v>
      </c>
      <c r="K3371" s="35">
        <v>4</v>
      </c>
      <c r="L3371" s="38">
        <f t="shared" si="52"/>
        <v>2.6480789946140035</v>
      </c>
      <c r="M3371" s="35" t="s">
        <v>11</v>
      </c>
      <c r="N3371" s="38"/>
      <c r="O3371" s="35" t="s">
        <v>12</v>
      </c>
    </row>
    <row r="3372" spans="1:15" x14ac:dyDescent="0.25">
      <c r="A3372" s="35">
        <v>1100374850</v>
      </c>
      <c r="B3372" s="35" t="s">
        <v>3761</v>
      </c>
      <c r="C3372" s="35">
        <v>2023</v>
      </c>
      <c r="D3372" s="36">
        <v>44940.903749999998</v>
      </c>
      <c r="E3372" s="37" t="s">
        <v>294</v>
      </c>
      <c r="F3372" s="37" t="s">
        <v>6130</v>
      </c>
      <c r="G3372" s="37" t="s">
        <v>3726</v>
      </c>
      <c r="H3372" s="35" t="s">
        <v>3419</v>
      </c>
      <c r="I3372" s="35" t="s">
        <v>3416</v>
      </c>
      <c r="J3372" s="38">
        <v>0.81395870736086173</v>
      </c>
      <c r="K3372" s="35">
        <v>2</v>
      </c>
      <c r="L3372" s="38">
        <f t="shared" si="52"/>
        <v>1.6279174147217235</v>
      </c>
      <c r="M3372" s="35" t="s">
        <v>11</v>
      </c>
      <c r="N3372" s="38"/>
      <c r="O3372" s="35" t="s">
        <v>12</v>
      </c>
    </row>
    <row r="3373" spans="1:15" x14ac:dyDescent="0.25">
      <c r="A3373" s="35">
        <v>1100374850</v>
      </c>
      <c r="B3373" s="35" t="s">
        <v>3761</v>
      </c>
      <c r="C3373" s="35">
        <v>2023</v>
      </c>
      <c r="D3373" s="36">
        <v>44940.903749999998</v>
      </c>
      <c r="E3373" s="37" t="s">
        <v>294</v>
      </c>
      <c r="F3373" s="37" t="s">
        <v>6131</v>
      </c>
      <c r="G3373" s="37" t="s">
        <v>3825</v>
      </c>
      <c r="H3373" s="35" t="s">
        <v>3415</v>
      </c>
      <c r="I3373" s="35" t="s">
        <v>3416</v>
      </c>
      <c r="J3373" s="38">
        <v>0.20620287253141831</v>
      </c>
      <c r="K3373" s="35">
        <v>4</v>
      </c>
      <c r="L3373" s="38">
        <f t="shared" si="52"/>
        <v>0.82481149012567323</v>
      </c>
      <c r="M3373" s="35" t="s">
        <v>11</v>
      </c>
      <c r="N3373" s="38"/>
      <c r="O3373" s="35" t="s">
        <v>12</v>
      </c>
    </row>
    <row r="3374" spans="1:15" x14ac:dyDescent="0.25">
      <c r="A3374" s="35">
        <v>1100374850</v>
      </c>
      <c r="B3374" s="35" t="s">
        <v>3761</v>
      </c>
      <c r="C3374" s="35">
        <v>2023</v>
      </c>
      <c r="D3374" s="36">
        <v>44940.903749999998</v>
      </c>
      <c r="E3374" s="37" t="s">
        <v>294</v>
      </c>
      <c r="F3374" s="37" t="s">
        <v>4454</v>
      </c>
      <c r="G3374" s="37" t="s">
        <v>3674</v>
      </c>
      <c r="H3374" s="35" t="s">
        <v>3419</v>
      </c>
      <c r="I3374" s="35" t="s">
        <v>3416</v>
      </c>
      <c r="J3374" s="38">
        <v>0.37984739676840212</v>
      </c>
      <c r="K3374" s="35">
        <v>8</v>
      </c>
      <c r="L3374" s="38">
        <f t="shared" si="52"/>
        <v>3.038779174147217</v>
      </c>
      <c r="M3374" s="35" t="s">
        <v>11</v>
      </c>
      <c r="N3374" s="38"/>
      <c r="O3374" s="35" t="s">
        <v>12</v>
      </c>
    </row>
    <row r="3375" spans="1:15" x14ac:dyDescent="0.25">
      <c r="A3375" s="35">
        <v>1100374850</v>
      </c>
      <c r="B3375" s="35" t="s">
        <v>3761</v>
      </c>
      <c r="C3375" s="35">
        <v>2023</v>
      </c>
      <c r="D3375" s="36">
        <v>44940.903749999998</v>
      </c>
      <c r="E3375" s="37" t="s">
        <v>294</v>
      </c>
      <c r="F3375" s="37" t="s">
        <v>4293</v>
      </c>
      <c r="G3375" s="37" t="s">
        <v>4392</v>
      </c>
      <c r="H3375" s="35" t="s">
        <v>3415</v>
      </c>
      <c r="I3375" s="35" t="s">
        <v>3416</v>
      </c>
      <c r="J3375" s="38">
        <v>0.48837522441651698</v>
      </c>
      <c r="K3375" s="35">
        <v>4</v>
      </c>
      <c r="L3375" s="38">
        <f t="shared" si="52"/>
        <v>1.9535008976660679</v>
      </c>
      <c r="M3375" s="35" t="s">
        <v>11</v>
      </c>
      <c r="N3375" s="38"/>
      <c r="O3375" s="35" t="s">
        <v>12</v>
      </c>
    </row>
    <row r="3376" spans="1:15" x14ac:dyDescent="0.25">
      <c r="A3376" s="35">
        <v>1099980474</v>
      </c>
      <c r="B3376" s="35" t="s">
        <v>3761</v>
      </c>
      <c r="C3376" s="35">
        <v>2023</v>
      </c>
      <c r="D3376" s="36">
        <v>44936.773842592593</v>
      </c>
      <c r="E3376" s="37" t="s">
        <v>3242</v>
      </c>
      <c r="F3376" s="37" t="s">
        <v>6132</v>
      </c>
      <c r="G3376" s="37" t="s">
        <v>4766</v>
      </c>
      <c r="H3376" s="35" t="s">
        <v>3419</v>
      </c>
      <c r="I3376" s="35" t="s">
        <v>3530</v>
      </c>
      <c r="J3376" s="38">
        <v>11.18</v>
      </c>
      <c r="K3376" s="35">
        <v>1</v>
      </c>
      <c r="L3376" s="38">
        <f t="shared" si="52"/>
        <v>11.18</v>
      </c>
      <c r="M3376" s="35" t="s">
        <v>11</v>
      </c>
      <c r="N3376" s="38"/>
      <c r="O3376" s="35" t="s">
        <v>12</v>
      </c>
    </row>
    <row r="3377" spans="1:15" x14ac:dyDescent="0.25">
      <c r="A3377" s="35">
        <v>1099979167</v>
      </c>
      <c r="B3377" s="35" t="s">
        <v>3761</v>
      </c>
      <c r="C3377" s="35">
        <v>2023</v>
      </c>
      <c r="D3377" s="36">
        <v>44936.773842592593</v>
      </c>
      <c r="E3377" s="37" t="s">
        <v>3245</v>
      </c>
      <c r="F3377" s="37" t="s">
        <v>5096</v>
      </c>
      <c r="G3377" s="37" t="s">
        <v>3726</v>
      </c>
      <c r="H3377" s="35" t="s">
        <v>3419</v>
      </c>
      <c r="I3377" s="35" t="s">
        <v>3416</v>
      </c>
      <c r="J3377" s="38">
        <v>11.18</v>
      </c>
      <c r="K3377" s="35">
        <v>1</v>
      </c>
      <c r="L3377" s="38">
        <f t="shared" si="52"/>
        <v>11.18</v>
      </c>
      <c r="M3377" s="35" t="s">
        <v>11</v>
      </c>
      <c r="N3377" s="38"/>
      <c r="O3377" s="35" t="s">
        <v>12</v>
      </c>
    </row>
    <row r="3378" spans="1:15" x14ac:dyDescent="0.25">
      <c r="A3378" s="35">
        <v>1099772885</v>
      </c>
      <c r="B3378" s="35" t="s">
        <v>3761</v>
      </c>
      <c r="C3378" s="35">
        <v>2023</v>
      </c>
      <c r="D3378" s="36">
        <v>44936.534224537027</v>
      </c>
      <c r="E3378" s="37" t="s">
        <v>3247</v>
      </c>
      <c r="F3378" s="37" t="s">
        <v>4293</v>
      </c>
      <c r="G3378" s="37" t="s">
        <v>4392</v>
      </c>
      <c r="H3378" s="35" t="s">
        <v>3419</v>
      </c>
      <c r="I3378" s="35" t="s">
        <v>3416</v>
      </c>
      <c r="J3378" s="38">
        <v>0.15901639344262289</v>
      </c>
      <c r="K3378" s="35">
        <v>1</v>
      </c>
      <c r="L3378" s="38">
        <f t="shared" si="52"/>
        <v>0.15901639344262289</v>
      </c>
      <c r="M3378" s="35" t="s">
        <v>11</v>
      </c>
      <c r="N3378" s="38"/>
      <c r="O3378" s="35" t="s">
        <v>12</v>
      </c>
    </row>
    <row r="3379" spans="1:15" x14ac:dyDescent="0.25">
      <c r="A3379" s="35">
        <v>1099772885</v>
      </c>
      <c r="B3379" s="35" t="s">
        <v>3761</v>
      </c>
      <c r="C3379" s="35">
        <v>2023</v>
      </c>
      <c r="D3379" s="36">
        <v>44936.534224537027</v>
      </c>
      <c r="E3379" s="37" t="s">
        <v>3247</v>
      </c>
      <c r="F3379" s="37" t="s">
        <v>6133</v>
      </c>
      <c r="G3379" s="37" t="s">
        <v>3740</v>
      </c>
      <c r="H3379" s="35" t="s">
        <v>3419</v>
      </c>
      <c r="I3379" s="35" t="s">
        <v>3416</v>
      </c>
      <c r="J3379" s="38">
        <v>21.19158469945355</v>
      </c>
      <c r="K3379" s="35">
        <v>1</v>
      </c>
      <c r="L3379" s="38">
        <f t="shared" si="52"/>
        <v>21.19158469945355</v>
      </c>
      <c r="M3379" s="35" t="s">
        <v>11</v>
      </c>
      <c r="N3379" s="38"/>
      <c r="O3379" s="35" t="s">
        <v>12</v>
      </c>
    </row>
    <row r="3380" spans="1:15" x14ac:dyDescent="0.25">
      <c r="A3380" s="35">
        <v>1099772885</v>
      </c>
      <c r="B3380" s="35" t="s">
        <v>3761</v>
      </c>
      <c r="C3380" s="35">
        <v>2023</v>
      </c>
      <c r="D3380" s="36">
        <v>44936.534224537027</v>
      </c>
      <c r="E3380" s="37" t="s">
        <v>3247</v>
      </c>
      <c r="F3380" s="37" t="s">
        <v>6134</v>
      </c>
      <c r="G3380" s="37" t="s">
        <v>3876</v>
      </c>
      <c r="H3380" s="35" t="s">
        <v>3419</v>
      </c>
      <c r="I3380" s="35" t="s">
        <v>3530</v>
      </c>
      <c r="J3380" s="38">
        <v>3.180327868852459</v>
      </c>
      <c r="K3380" s="35">
        <v>1</v>
      </c>
      <c r="L3380" s="38">
        <f t="shared" si="52"/>
        <v>3.180327868852459</v>
      </c>
      <c r="M3380" s="35" t="s">
        <v>11</v>
      </c>
      <c r="N3380" s="38"/>
      <c r="O3380" s="35" t="s">
        <v>12</v>
      </c>
    </row>
    <row r="3381" spans="1:15" x14ac:dyDescent="0.25">
      <c r="A3381" s="35">
        <v>1099772885</v>
      </c>
      <c r="B3381" s="35" t="s">
        <v>3761</v>
      </c>
      <c r="C3381" s="35">
        <v>2023</v>
      </c>
      <c r="D3381" s="36">
        <v>44936.534224537027</v>
      </c>
      <c r="E3381" s="37" t="s">
        <v>3247</v>
      </c>
      <c r="F3381" s="37" t="s">
        <v>5281</v>
      </c>
      <c r="G3381" s="37" t="s">
        <v>1210</v>
      </c>
      <c r="H3381" s="35" t="s">
        <v>3419</v>
      </c>
      <c r="I3381" s="35" t="s">
        <v>3828</v>
      </c>
      <c r="J3381" s="38">
        <v>0.5300546448087432</v>
      </c>
      <c r="K3381" s="35">
        <v>2</v>
      </c>
      <c r="L3381" s="38">
        <f t="shared" si="52"/>
        <v>1.0601092896174864</v>
      </c>
      <c r="M3381" s="35" t="s">
        <v>11</v>
      </c>
      <c r="N3381" s="38"/>
      <c r="O3381" s="35" t="s">
        <v>12</v>
      </c>
    </row>
    <row r="3382" spans="1:15" x14ac:dyDescent="0.25">
      <c r="A3382" s="35">
        <v>1099772885</v>
      </c>
      <c r="B3382" s="35" t="s">
        <v>3761</v>
      </c>
      <c r="C3382" s="35">
        <v>2023</v>
      </c>
      <c r="D3382" s="36">
        <v>44936.534224537027</v>
      </c>
      <c r="E3382" s="37" t="s">
        <v>3247</v>
      </c>
      <c r="F3382" s="37" t="s">
        <v>6135</v>
      </c>
      <c r="G3382" s="37" t="s">
        <v>4927</v>
      </c>
      <c r="H3382" s="35" t="s">
        <v>3419</v>
      </c>
      <c r="I3382" s="35" t="s">
        <v>3530</v>
      </c>
      <c r="J3382" s="38">
        <v>1.5901639344262291</v>
      </c>
      <c r="K3382" s="35">
        <v>1</v>
      </c>
      <c r="L3382" s="38">
        <f t="shared" si="52"/>
        <v>1.5901639344262291</v>
      </c>
      <c r="M3382" s="35" t="s">
        <v>11</v>
      </c>
      <c r="N3382" s="38"/>
      <c r="O3382" s="35" t="s">
        <v>12</v>
      </c>
    </row>
    <row r="3383" spans="1:15" x14ac:dyDescent="0.25">
      <c r="A3383" s="35">
        <v>1099772885</v>
      </c>
      <c r="B3383" s="35" t="s">
        <v>3761</v>
      </c>
      <c r="C3383" s="35">
        <v>2023</v>
      </c>
      <c r="D3383" s="36">
        <v>44936.534224537027</v>
      </c>
      <c r="E3383" s="37" t="s">
        <v>3247</v>
      </c>
      <c r="F3383" s="37" t="s">
        <v>6133</v>
      </c>
      <c r="G3383" s="37" t="s">
        <v>3720</v>
      </c>
      <c r="H3383" s="35" t="s">
        <v>3419</v>
      </c>
      <c r="I3383" s="35" t="s">
        <v>3416</v>
      </c>
      <c r="J3383" s="38">
        <v>20.672131147540981</v>
      </c>
      <c r="K3383" s="35">
        <v>1</v>
      </c>
      <c r="L3383" s="38">
        <f t="shared" si="52"/>
        <v>20.672131147540981</v>
      </c>
      <c r="M3383" s="35" t="s">
        <v>11</v>
      </c>
      <c r="N3383" s="38"/>
      <c r="O3383" s="35" t="s">
        <v>12</v>
      </c>
    </row>
    <row r="3384" spans="1:15" x14ac:dyDescent="0.25">
      <c r="A3384" s="35">
        <v>1099772885</v>
      </c>
      <c r="B3384" s="35" t="s">
        <v>3761</v>
      </c>
      <c r="C3384" s="35">
        <v>2023</v>
      </c>
      <c r="D3384" s="36">
        <v>44936.534224537027</v>
      </c>
      <c r="E3384" s="37" t="s">
        <v>3247</v>
      </c>
      <c r="F3384" s="37" t="s">
        <v>5978</v>
      </c>
      <c r="G3384" s="37" t="s">
        <v>4154</v>
      </c>
      <c r="H3384" s="35" t="s">
        <v>3419</v>
      </c>
      <c r="I3384" s="35" t="s">
        <v>3453</v>
      </c>
      <c r="J3384" s="38">
        <v>42.404371584699447</v>
      </c>
      <c r="K3384" s="35">
        <v>1</v>
      </c>
      <c r="L3384" s="38">
        <f t="shared" si="52"/>
        <v>42.404371584699447</v>
      </c>
      <c r="M3384" s="35" t="s">
        <v>11</v>
      </c>
      <c r="N3384" s="38"/>
      <c r="O3384" s="35" t="s">
        <v>12</v>
      </c>
    </row>
    <row r="3385" spans="1:15" x14ac:dyDescent="0.25">
      <c r="A3385" s="35">
        <v>1099772885</v>
      </c>
      <c r="B3385" s="35" t="s">
        <v>3761</v>
      </c>
      <c r="C3385" s="35">
        <v>2023</v>
      </c>
      <c r="D3385" s="36">
        <v>44936.534224537027</v>
      </c>
      <c r="E3385" s="37" t="s">
        <v>3247</v>
      </c>
      <c r="F3385" s="37" t="s">
        <v>4217</v>
      </c>
      <c r="G3385" s="37" t="s">
        <v>4154</v>
      </c>
      <c r="H3385" s="35" t="s">
        <v>3419</v>
      </c>
      <c r="I3385" s="35" t="s">
        <v>3530</v>
      </c>
      <c r="J3385" s="38">
        <v>2.8622950819672131</v>
      </c>
      <c r="K3385" s="35">
        <v>1</v>
      </c>
      <c r="L3385" s="38">
        <f t="shared" si="52"/>
        <v>2.8622950819672131</v>
      </c>
      <c r="M3385" s="35" t="s">
        <v>11</v>
      </c>
      <c r="N3385" s="38"/>
      <c r="O3385" s="35" t="s">
        <v>12</v>
      </c>
    </row>
    <row r="3386" spans="1:15" x14ac:dyDescent="0.25">
      <c r="A3386" s="35">
        <v>1099635627</v>
      </c>
      <c r="B3386" s="35" t="s">
        <v>3761</v>
      </c>
      <c r="C3386" s="35">
        <v>2023</v>
      </c>
      <c r="D3386" s="36">
        <v>44935.771562499998</v>
      </c>
      <c r="E3386" s="37" t="s">
        <v>2203</v>
      </c>
      <c r="F3386" s="37" t="s">
        <v>6136</v>
      </c>
      <c r="G3386" s="37" t="s">
        <v>3738</v>
      </c>
      <c r="H3386" s="35" t="s">
        <v>3419</v>
      </c>
      <c r="I3386" s="35" t="s">
        <v>3530</v>
      </c>
      <c r="J3386" s="38">
        <v>16.416698337292161</v>
      </c>
      <c r="K3386" s="35">
        <v>1</v>
      </c>
      <c r="L3386" s="38">
        <f t="shared" si="52"/>
        <v>16.416698337292161</v>
      </c>
      <c r="M3386" s="35" t="s">
        <v>11</v>
      </c>
      <c r="N3386" s="38"/>
      <c r="O3386" s="35" t="s">
        <v>12</v>
      </c>
    </row>
    <row r="3387" spans="1:15" x14ac:dyDescent="0.25">
      <c r="A3387" s="35">
        <v>1099635627</v>
      </c>
      <c r="B3387" s="35" t="s">
        <v>3761</v>
      </c>
      <c r="C3387" s="35">
        <v>2023</v>
      </c>
      <c r="D3387" s="36">
        <v>44935.771562499998</v>
      </c>
      <c r="E3387" s="37" t="s">
        <v>2203</v>
      </c>
      <c r="F3387" s="37" t="s">
        <v>6133</v>
      </c>
      <c r="G3387" s="37" t="s">
        <v>3682</v>
      </c>
      <c r="H3387" s="35" t="s">
        <v>3419</v>
      </c>
      <c r="I3387" s="35" t="s">
        <v>3416</v>
      </c>
      <c r="J3387" s="38">
        <v>20.588598574821852</v>
      </c>
      <c r="K3387" s="35">
        <v>2</v>
      </c>
      <c r="L3387" s="38">
        <f t="shared" si="52"/>
        <v>41.177197149643703</v>
      </c>
      <c r="M3387" s="35" t="s">
        <v>11</v>
      </c>
      <c r="N3387" s="38"/>
      <c r="O3387" s="35" t="s">
        <v>12</v>
      </c>
    </row>
    <row r="3388" spans="1:15" x14ac:dyDescent="0.25">
      <c r="A3388" s="35">
        <v>1099635627</v>
      </c>
      <c r="B3388" s="35" t="s">
        <v>3761</v>
      </c>
      <c r="C3388" s="35">
        <v>2023</v>
      </c>
      <c r="D3388" s="36">
        <v>44935.771562499998</v>
      </c>
      <c r="E3388" s="37" t="s">
        <v>2203</v>
      </c>
      <c r="F3388" s="37" t="s">
        <v>6137</v>
      </c>
      <c r="G3388" s="37" t="s">
        <v>4409</v>
      </c>
      <c r="H3388" s="35" t="s">
        <v>3415</v>
      </c>
      <c r="I3388" s="35" t="s">
        <v>3530</v>
      </c>
      <c r="J3388" s="38">
        <v>2.7090261282660331</v>
      </c>
      <c r="K3388" s="35">
        <v>4</v>
      </c>
      <c r="L3388" s="38">
        <f t="shared" si="52"/>
        <v>10.836104513064132</v>
      </c>
      <c r="M3388" s="35" t="s">
        <v>11</v>
      </c>
      <c r="N3388" s="38"/>
      <c r="O3388" s="35" t="s">
        <v>12</v>
      </c>
    </row>
    <row r="3389" spans="1:15" x14ac:dyDescent="0.25">
      <c r="A3389" s="35">
        <v>1099635323</v>
      </c>
      <c r="B3389" s="35" t="s">
        <v>3761</v>
      </c>
      <c r="C3389" s="35">
        <v>2023</v>
      </c>
      <c r="D3389" s="36">
        <v>44935.736446759263</v>
      </c>
      <c r="E3389" s="37" t="s">
        <v>21</v>
      </c>
      <c r="F3389" s="37" t="s">
        <v>6138</v>
      </c>
      <c r="G3389" s="37" t="s">
        <v>4686</v>
      </c>
      <c r="H3389" s="35" t="s">
        <v>3419</v>
      </c>
      <c r="I3389" s="35" t="s">
        <v>3530</v>
      </c>
      <c r="J3389" s="38">
        <v>3.198412698412699</v>
      </c>
      <c r="K3389" s="35">
        <v>2</v>
      </c>
      <c r="L3389" s="38">
        <f t="shared" si="52"/>
        <v>6.3968253968253981</v>
      </c>
      <c r="M3389" s="35" t="s">
        <v>11</v>
      </c>
      <c r="N3389" s="38"/>
      <c r="O3389" s="35" t="s">
        <v>12</v>
      </c>
    </row>
    <row r="3390" spans="1:15" x14ac:dyDescent="0.25">
      <c r="A3390" s="35">
        <v>1099635323</v>
      </c>
      <c r="B3390" s="35" t="s">
        <v>3761</v>
      </c>
      <c r="C3390" s="35">
        <v>2023</v>
      </c>
      <c r="D3390" s="36">
        <v>44935.736446759263</v>
      </c>
      <c r="E3390" s="37" t="s">
        <v>21</v>
      </c>
      <c r="F3390" s="37" t="s">
        <v>6139</v>
      </c>
      <c r="G3390" s="37" t="s">
        <v>4856</v>
      </c>
      <c r="H3390" s="35" t="s">
        <v>3419</v>
      </c>
      <c r="I3390" s="35" t="s">
        <v>3530</v>
      </c>
      <c r="J3390" s="38">
        <v>16.567777777777781</v>
      </c>
      <c r="K3390" s="35">
        <v>1</v>
      </c>
      <c r="L3390" s="38">
        <f t="shared" si="52"/>
        <v>16.567777777777781</v>
      </c>
      <c r="M3390" s="35" t="s">
        <v>11</v>
      </c>
      <c r="N3390" s="38"/>
      <c r="O3390" s="35" t="s">
        <v>12</v>
      </c>
    </row>
    <row r="3391" spans="1:15" x14ac:dyDescent="0.25">
      <c r="A3391" s="35">
        <v>1099635323</v>
      </c>
      <c r="B3391" s="35" t="s">
        <v>3761</v>
      </c>
      <c r="C3391" s="35">
        <v>2023</v>
      </c>
      <c r="D3391" s="36">
        <v>44935.736446759263</v>
      </c>
      <c r="E3391" s="37" t="s">
        <v>21</v>
      </c>
      <c r="F3391" s="37" t="s">
        <v>4341</v>
      </c>
      <c r="G3391" s="37" t="s">
        <v>3676</v>
      </c>
      <c r="H3391" s="35" t="s">
        <v>3419</v>
      </c>
      <c r="I3391" s="35" t="s">
        <v>3530</v>
      </c>
      <c r="J3391" s="38">
        <v>1.215396825396825</v>
      </c>
      <c r="K3391" s="35">
        <v>1</v>
      </c>
      <c r="L3391" s="38">
        <f t="shared" si="52"/>
        <v>1.215396825396825</v>
      </c>
      <c r="M3391" s="35" t="s">
        <v>11</v>
      </c>
      <c r="N3391" s="38"/>
      <c r="O3391" s="35" t="s">
        <v>12</v>
      </c>
    </row>
    <row r="3392" spans="1:15" x14ac:dyDescent="0.25">
      <c r="A3392" s="35">
        <v>1099624602</v>
      </c>
      <c r="B3392" s="35" t="s">
        <v>3761</v>
      </c>
      <c r="C3392" s="35">
        <v>2023</v>
      </c>
      <c r="D3392" s="36">
        <v>44933.066099537027</v>
      </c>
      <c r="E3392" s="37" t="s">
        <v>237</v>
      </c>
      <c r="F3392" s="37" t="s">
        <v>6056</v>
      </c>
      <c r="G3392" s="37" t="s">
        <v>6057</v>
      </c>
      <c r="H3392" s="35" t="s">
        <v>3419</v>
      </c>
      <c r="I3392" s="35" t="s">
        <v>3416</v>
      </c>
      <c r="J3392" s="38">
        <v>4.5832106038291611</v>
      </c>
      <c r="K3392" s="35">
        <v>3</v>
      </c>
      <c r="L3392" s="38">
        <f t="shared" si="52"/>
        <v>13.749631811487482</v>
      </c>
      <c r="M3392" s="35" t="s">
        <v>11</v>
      </c>
      <c r="N3392" s="38"/>
      <c r="O3392" s="35" t="s">
        <v>12</v>
      </c>
    </row>
    <row r="3393" spans="1:15" x14ac:dyDescent="0.25">
      <c r="A3393" s="35">
        <v>1099624602</v>
      </c>
      <c r="B3393" s="35" t="s">
        <v>3761</v>
      </c>
      <c r="C3393" s="35">
        <v>2023</v>
      </c>
      <c r="D3393" s="36">
        <v>44933.066099537027</v>
      </c>
      <c r="E3393" s="37" t="s">
        <v>237</v>
      </c>
      <c r="F3393" s="37" t="s">
        <v>4988</v>
      </c>
      <c r="G3393" s="37" t="s">
        <v>4989</v>
      </c>
      <c r="H3393" s="35" t="s">
        <v>3419</v>
      </c>
      <c r="I3393" s="35" t="s">
        <v>3416</v>
      </c>
      <c r="J3393" s="38">
        <v>25.15036818851252</v>
      </c>
      <c r="K3393" s="35">
        <v>1</v>
      </c>
      <c r="L3393" s="38">
        <f t="shared" si="52"/>
        <v>25.15036818851252</v>
      </c>
      <c r="M3393" s="35" t="s">
        <v>11</v>
      </c>
      <c r="N3393" s="38"/>
      <c r="O3393" s="35" t="s">
        <v>12</v>
      </c>
    </row>
    <row r="3394" spans="1:15" x14ac:dyDescent="0.25">
      <c r="A3394" s="35">
        <v>1099623764</v>
      </c>
      <c r="B3394" s="35" t="s">
        <v>3761</v>
      </c>
      <c r="C3394" s="35">
        <v>2023</v>
      </c>
      <c r="D3394" s="36">
        <v>44933.066099537027</v>
      </c>
      <c r="E3394" s="37" t="s">
        <v>3253</v>
      </c>
      <c r="F3394" s="37" t="s">
        <v>6140</v>
      </c>
      <c r="G3394" s="37" t="s">
        <v>3945</v>
      </c>
      <c r="H3394" s="35" t="s">
        <v>3419</v>
      </c>
      <c r="I3394" s="35" t="s">
        <v>3530</v>
      </c>
      <c r="J3394" s="38">
        <v>6.0449504950495054</v>
      </c>
      <c r="K3394" s="35">
        <v>1</v>
      </c>
      <c r="L3394" s="38">
        <f t="shared" ref="L3394:L3457" si="53">J3394*K3394</f>
        <v>6.0449504950495054</v>
      </c>
      <c r="M3394" s="35" t="s">
        <v>11</v>
      </c>
      <c r="N3394" s="38"/>
      <c r="O3394" s="35" t="s">
        <v>12</v>
      </c>
    </row>
    <row r="3395" spans="1:15" x14ac:dyDescent="0.25">
      <c r="A3395" s="35">
        <v>1099623764</v>
      </c>
      <c r="B3395" s="35" t="s">
        <v>3761</v>
      </c>
      <c r="C3395" s="35">
        <v>2023</v>
      </c>
      <c r="D3395" s="36">
        <v>44933.066099537027</v>
      </c>
      <c r="E3395" s="37" t="s">
        <v>3253</v>
      </c>
      <c r="F3395" s="37" t="s">
        <v>6066</v>
      </c>
      <c r="G3395" s="37" t="s">
        <v>3619</v>
      </c>
      <c r="H3395" s="35" t="s">
        <v>3419</v>
      </c>
      <c r="I3395" s="35" t="s">
        <v>3530</v>
      </c>
      <c r="J3395" s="38">
        <v>6.1683168316831689E-2</v>
      </c>
      <c r="K3395" s="35">
        <v>3</v>
      </c>
      <c r="L3395" s="38">
        <f t="shared" si="53"/>
        <v>0.18504950495049508</v>
      </c>
      <c r="M3395" s="35" t="s">
        <v>11</v>
      </c>
      <c r="N3395" s="38"/>
      <c r="O3395" s="35" t="s">
        <v>12</v>
      </c>
    </row>
    <row r="3396" spans="1:15" x14ac:dyDescent="0.25">
      <c r="A3396" s="35">
        <v>1099619167</v>
      </c>
      <c r="B3396" s="35" t="s">
        <v>3761</v>
      </c>
      <c r="C3396" s="35">
        <v>2023</v>
      </c>
      <c r="D3396" s="36">
        <v>44933.066099537027</v>
      </c>
      <c r="E3396" s="37" t="s">
        <v>35</v>
      </c>
      <c r="F3396" s="37" t="s">
        <v>6141</v>
      </c>
      <c r="G3396" s="37" t="s">
        <v>3726</v>
      </c>
      <c r="H3396" s="35" t="s">
        <v>3415</v>
      </c>
      <c r="I3396" s="35" t="s">
        <v>3530</v>
      </c>
      <c r="J3396" s="38">
        <v>1.709730485634376</v>
      </c>
      <c r="K3396" s="35">
        <v>4</v>
      </c>
      <c r="L3396" s="38">
        <f t="shared" si="53"/>
        <v>6.8389219425375041</v>
      </c>
      <c r="M3396" s="35" t="s">
        <v>11</v>
      </c>
      <c r="N3396" s="38"/>
      <c r="O3396" s="35" t="s">
        <v>12</v>
      </c>
    </row>
    <row r="3397" spans="1:15" x14ac:dyDescent="0.25">
      <c r="A3397" s="35">
        <v>1099619167</v>
      </c>
      <c r="B3397" s="35" t="s">
        <v>3761</v>
      </c>
      <c r="C3397" s="35">
        <v>2023</v>
      </c>
      <c r="D3397" s="36">
        <v>44933.066099537027</v>
      </c>
      <c r="E3397" s="37" t="s">
        <v>35</v>
      </c>
      <c r="F3397" s="37" t="s">
        <v>4887</v>
      </c>
      <c r="G3397" s="37" t="s">
        <v>3726</v>
      </c>
      <c r="H3397" s="35" t="s">
        <v>3419</v>
      </c>
      <c r="I3397" s="35" t="s">
        <v>3416</v>
      </c>
      <c r="J3397" s="38">
        <v>3.1440681413679128</v>
      </c>
      <c r="K3397" s="35">
        <v>1</v>
      </c>
      <c r="L3397" s="38">
        <f t="shared" si="53"/>
        <v>3.1440681413679128</v>
      </c>
      <c r="M3397" s="35" t="s">
        <v>11</v>
      </c>
      <c r="N3397" s="38"/>
      <c r="O3397" s="35" t="s">
        <v>12</v>
      </c>
    </row>
    <row r="3398" spans="1:15" x14ac:dyDescent="0.25">
      <c r="A3398" s="35">
        <v>1099619167</v>
      </c>
      <c r="B3398" s="35" t="s">
        <v>3761</v>
      </c>
      <c r="C3398" s="35">
        <v>2023</v>
      </c>
      <c r="D3398" s="36">
        <v>44933.066099537027</v>
      </c>
      <c r="E3398" s="37" t="s">
        <v>35</v>
      </c>
      <c r="F3398" s="37" t="s">
        <v>6142</v>
      </c>
      <c r="G3398" s="37" t="s">
        <v>3720</v>
      </c>
      <c r="H3398" s="35" t="s">
        <v>3419</v>
      </c>
      <c r="I3398" s="35" t="s">
        <v>3416</v>
      </c>
      <c r="J3398" s="38">
        <v>14.859738113399439</v>
      </c>
      <c r="K3398" s="35">
        <v>1</v>
      </c>
      <c r="L3398" s="38">
        <f t="shared" si="53"/>
        <v>14.859738113399439</v>
      </c>
      <c r="M3398" s="35" t="s">
        <v>11</v>
      </c>
      <c r="N3398" s="38"/>
      <c r="O3398" s="35" t="s">
        <v>12</v>
      </c>
    </row>
    <row r="3399" spans="1:15" x14ac:dyDescent="0.25">
      <c r="A3399" s="35">
        <v>1099619167</v>
      </c>
      <c r="B3399" s="35" t="s">
        <v>3761</v>
      </c>
      <c r="C3399" s="35">
        <v>2023</v>
      </c>
      <c r="D3399" s="36">
        <v>44933.066099537027</v>
      </c>
      <c r="E3399" s="37" t="s">
        <v>35</v>
      </c>
      <c r="F3399" s="37" t="s">
        <v>6143</v>
      </c>
      <c r="G3399" s="37" t="s">
        <v>4409</v>
      </c>
      <c r="H3399" s="35" t="s">
        <v>3415</v>
      </c>
      <c r="I3399" s="35" t="s">
        <v>3530</v>
      </c>
      <c r="J3399" s="38">
        <v>0.21801932367149759</v>
      </c>
      <c r="K3399" s="35">
        <v>4</v>
      </c>
      <c r="L3399" s="38">
        <f t="shared" si="53"/>
        <v>0.87207729468599038</v>
      </c>
      <c r="M3399" s="35" t="s">
        <v>11</v>
      </c>
      <c r="N3399" s="38"/>
      <c r="O3399" s="35" t="s">
        <v>12</v>
      </c>
    </row>
    <row r="3400" spans="1:15" x14ac:dyDescent="0.25">
      <c r="A3400" s="35">
        <v>1099619167</v>
      </c>
      <c r="B3400" s="35" t="s">
        <v>3761</v>
      </c>
      <c r="C3400" s="35">
        <v>2023</v>
      </c>
      <c r="D3400" s="36">
        <v>44933.066099537027</v>
      </c>
      <c r="E3400" s="37" t="s">
        <v>35</v>
      </c>
      <c r="F3400" s="37" t="s">
        <v>3868</v>
      </c>
      <c r="G3400" s="37" t="s">
        <v>3648</v>
      </c>
      <c r="H3400" s="35" t="s">
        <v>3419</v>
      </c>
      <c r="I3400" s="35" t="s">
        <v>3416</v>
      </c>
      <c r="J3400" s="38">
        <v>0.55078565980167804</v>
      </c>
      <c r="K3400" s="35">
        <v>2</v>
      </c>
      <c r="L3400" s="38">
        <f t="shared" si="53"/>
        <v>1.1015713196033561</v>
      </c>
      <c r="M3400" s="35" t="s">
        <v>11</v>
      </c>
      <c r="N3400" s="38"/>
      <c r="O3400" s="35" t="s">
        <v>12</v>
      </c>
    </row>
    <row r="3401" spans="1:15" x14ac:dyDescent="0.25">
      <c r="A3401" s="35">
        <v>1099619167</v>
      </c>
      <c r="B3401" s="35" t="s">
        <v>3761</v>
      </c>
      <c r="C3401" s="35">
        <v>2023</v>
      </c>
      <c r="D3401" s="36">
        <v>44933.066099537027</v>
      </c>
      <c r="E3401" s="37" t="s">
        <v>35</v>
      </c>
      <c r="F3401" s="37" t="s">
        <v>3847</v>
      </c>
      <c r="G3401" s="37" t="s">
        <v>3720</v>
      </c>
      <c r="H3401" s="35" t="s">
        <v>3415</v>
      </c>
      <c r="I3401" s="35" t="s">
        <v>3416</v>
      </c>
      <c r="J3401" s="38">
        <v>0.86060259344012202</v>
      </c>
      <c r="K3401" s="35">
        <v>4</v>
      </c>
      <c r="L3401" s="38">
        <f t="shared" si="53"/>
        <v>3.4424103737604881</v>
      </c>
      <c r="M3401" s="35" t="s">
        <v>11</v>
      </c>
      <c r="N3401" s="38"/>
      <c r="O3401" s="35" t="s">
        <v>12</v>
      </c>
    </row>
    <row r="3402" spans="1:15" x14ac:dyDescent="0.25">
      <c r="A3402" s="35">
        <v>1099619167</v>
      </c>
      <c r="B3402" s="35" t="s">
        <v>3761</v>
      </c>
      <c r="C3402" s="35">
        <v>2023</v>
      </c>
      <c r="D3402" s="36">
        <v>44933.066099537027</v>
      </c>
      <c r="E3402" s="37" t="s">
        <v>35</v>
      </c>
      <c r="F3402" s="37" t="s">
        <v>3848</v>
      </c>
      <c r="G3402" s="37" t="s">
        <v>3720</v>
      </c>
      <c r="H3402" s="35" t="s">
        <v>3415</v>
      </c>
      <c r="I3402" s="35" t="s">
        <v>3416</v>
      </c>
      <c r="J3402" s="38">
        <v>0.86060259344012202</v>
      </c>
      <c r="K3402" s="35">
        <v>4</v>
      </c>
      <c r="L3402" s="38">
        <f t="shared" si="53"/>
        <v>3.4424103737604881</v>
      </c>
      <c r="M3402" s="35" t="s">
        <v>11</v>
      </c>
      <c r="N3402" s="38"/>
      <c r="O3402" s="35" t="s">
        <v>12</v>
      </c>
    </row>
    <row r="3403" spans="1:15" x14ac:dyDescent="0.25">
      <c r="A3403" s="35">
        <v>1099619167</v>
      </c>
      <c r="B3403" s="35" t="s">
        <v>3761</v>
      </c>
      <c r="C3403" s="35">
        <v>2023</v>
      </c>
      <c r="D3403" s="36">
        <v>44933.066099537027</v>
      </c>
      <c r="E3403" s="37" t="s">
        <v>35</v>
      </c>
      <c r="F3403" s="37" t="s">
        <v>3849</v>
      </c>
      <c r="G3403" s="37" t="s">
        <v>3720</v>
      </c>
      <c r="H3403" s="35" t="s">
        <v>3415</v>
      </c>
      <c r="I3403" s="35" t="s">
        <v>3416</v>
      </c>
      <c r="J3403" s="38">
        <v>0.86060259344012202</v>
      </c>
      <c r="K3403" s="35">
        <v>4</v>
      </c>
      <c r="L3403" s="38">
        <f t="shared" si="53"/>
        <v>3.4424103737604881</v>
      </c>
      <c r="M3403" s="35" t="s">
        <v>11</v>
      </c>
      <c r="N3403" s="38"/>
      <c r="O3403" s="35" t="s">
        <v>12</v>
      </c>
    </row>
    <row r="3404" spans="1:15" x14ac:dyDescent="0.25">
      <c r="A3404" s="35">
        <v>1099619167</v>
      </c>
      <c r="B3404" s="35" t="s">
        <v>3761</v>
      </c>
      <c r="C3404" s="35">
        <v>2023</v>
      </c>
      <c r="D3404" s="36">
        <v>44933.066099537027</v>
      </c>
      <c r="E3404" s="37" t="s">
        <v>35</v>
      </c>
      <c r="F3404" s="37" t="s">
        <v>4208</v>
      </c>
      <c r="G3404" s="37" t="s">
        <v>3682</v>
      </c>
      <c r="H3404" s="35" t="s">
        <v>3415</v>
      </c>
      <c r="I3404" s="35" t="s">
        <v>3416</v>
      </c>
      <c r="J3404" s="38">
        <v>1.9965980167810831</v>
      </c>
      <c r="K3404" s="35">
        <v>4</v>
      </c>
      <c r="L3404" s="38">
        <f t="shared" si="53"/>
        <v>7.9863920671243323</v>
      </c>
      <c r="M3404" s="35" t="s">
        <v>11</v>
      </c>
      <c r="N3404" s="38"/>
      <c r="O3404" s="35" t="s">
        <v>12</v>
      </c>
    </row>
    <row r="3405" spans="1:15" x14ac:dyDescent="0.25">
      <c r="A3405" s="35">
        <v>1099616997</v>
      </c>
      <c r="B3405" s="35" t="s">
        <v>3761</v>
      </c>
      <c r="C3405" s="35">
        <v>2023</v>
      </c>
      <c r="D3405" s="36">
        <v>44933.066099537027</v>
      </c>
      <c r="E3405" s="37" t="s">
        <v>3256</v>
      </c>
      <c r="F3405" s="37" t="s">
        <v>6144</v>
      </c>
      <c r="G3405" s="37" t="s">
        <v>3666</v>
      </c>
      <c r="H3405" s="35" t="s">
        <v>3419</v>
      </c>
      <c r="I3405" s="35" t="s">
        <v>3530</v>
      </c>
      <c r="J3405" s="38">
        <v>65.28</v>
      </c>
      <c r="K3405" s="35">
        <v>1</v>
      </c>
      <c r="L3405" s="38">
        <f t="shared" si="53"/>
        <v>65.28</v>
      </c>
      <c r="M3405" s="35" t="s">
        <v>11</v>
      </c>
      <c r="N3405" s="38"/>
      <c r="O3405" s="35" t="s">
        <v>12</v>
      </c>
    </row>
    <row r="3406" spans="1:15" x14ac:dyDescent="0.25">
      <c r="A3406" s="35">
        <v>1098788924</v>
      </c>
      <c r="B3406" s="35" t="s">
        <v>3890</v>
      </c>
      <c r="C3406" s="35">
        <v>2022</v>
      </c>
      <c r="D3406" s="36">
        <v>44924.477164351847</v>
      </c>
      <c r="E3406" s="37" t="s">
        <v>35</v>
      </c>
      <c r="F3406" s="37" t="s">
        <v>6145</v>
      </c>
      <c r="G3406" s="37" t="s">
        <v>4057</v>
      </c>
      <c r="H3406" s="35" t="s">
        <v>3419</v>
      </c>
      <c r="I3406" s="35" t="s">
        <v>3416</v>
      </c>
      <c r="J3406" s="38">
        <v>31.9</v>
      </c>
      <c r="K3406" s="35">
        <v>1</v>
      </c>
      <c r="L3406" s="38">
        <f t="shared" si="53"/>
        <v>31.9</v>
      </c>
      <c r="M3406" s="35" t="s">
        <v>11</v>
      </c>
      <c r="N3406" s="38"/>
      <c r="O3406" s="35" t="s">
        <v>12</v>
      </c>
    </row>
    <row r="3407" spans="1:15" x14ac:dyDescent="0.25">
      <c r="A3407" s="35">
        <v>1098527767</v>
      </c>
      <c r="B3407" s="35" t="s">
        <v>3890</v>
      </c>
      <c r="C3407" s="35">
        <v>2022</v>
      </c>
      <c r="D3407" s="36">
        <v>44921.596134259264</v>
      </c>
      <c r="E3407" s="37" t="s">
        <v>755</v>
      </c>
      <c r="F3407" s="37" t="s">
        <v>6146</v>
      </c>
      <c r="G3407" s="37" t="s">
        <v>3945</v>
      </c>
      <c r="H3407" s="35" t="s">
        <v>3419</v>
      </c>
      <c r="I3407" s="35" t="s">
        <v>3530</v>
      </c>
      <c r="J3407" s="38">
        <v>17.149999999999999</v>
      </c>
      <c r="K3407" s="35">
        <v>1</v>
      </c>
      <c r="L3407" s="38">
        <f t="shared" si="53"/>
        <v>17.149999999999999</v>
      </c>
      <c r="M3407" s="35" t="s">
        <v>11</v>
      </c>
      <c r="N3407" s="38"/>
      <c r="O3407" s="35" t="s">
        <v>12</v>
      </c>
    </row>
    <row r="3408" spans="1:15" x14ac:dyDescent="0.25">
      <c r="A3408" s="35">
        <v>1098527766</v>
      </c>
      <c r="B3408" s="35" t="s">
        <v>3890</v>
      </c>
      <c r="C3408" s="35">
        <v>2022</v>
      </c>
      <c r="D3408" s="36">
        <v>44921.596134259264</v>
      </c>
      <c r="E3408" s="37" t="s">
        <v>3262</v>
      </c>
      <c r="F3408" s="37" t="s">
        <v>6147</v>
      </c>
      <c r="G3408" s="37" t="s">
        <v>5185</v>
      </c>
      <c r="H3408" s="35" t="s">
        <v>3419</v>
      </c>
      <c r="I3408" s="35" t="s">
        <v>3530</v>
      </c>
      <c r="J3408" s="38">
        <v>18.04</v>
      </c>
      <c r="K3408" s="35">
        <v>1</v>
      </c>
      <c r="L3408" s="38">
        <f t="shared" si="53"/>
        <v>18.04</v>
      </c>
      <c r="M3408" s="35" t="s">
        <v>11</v>
      </c>
      <c r="N3408" s="38"/>
      <c r="O3408" s="35" t="s">
        <v>12</v>
      </c>
    </row>
    <row r="3409" spans="1:15" x14ac:dyDescent="0.25">
      <c r="A3409" s="35">
        <v>1098527765</v>
      </c>
      <c r="B3409" s="35" t="s">
        <v>3890</v>
      </c>
      <c r="C3409" s="35">
        <v>2022</v>
      </c>
      <c r="D3409" s="36">
        <v>44921.596134259264</v>
      </c>
      <c r="E3409" s="37" t="s">
        <v>3264</v>
      </c>
      <c r="F3409" s="37" t="s">
        <v>6147</v>
      </c>
      <c r="G3409" s="37" t="s">
        <v>5185</v>
      </c>
      <c r="H3409" s="35" t="s">
        <v>3419</v>
      </c>
      <c r="I3409" s="35" t="s">
        <v>3530</v>
      </c>
      <c r="J3409" s="38">
        <v>17.14</v>
      </c>
      <c r="K3409" s="35">
        <v>1</v>
      </c>
      <c r="L3409" s="38">
        <f t="shared" si="53"/>
        <v>17.14</v>
      </c>
      <c r="M3409" s="35" t="s">
        <v>11</v>
      </c>
      <c r="N3409" s="38"/>
      <c r="O3409" s="35" t="s">
        <v>12</v>
      </c>
    </row>
    <row r="3410" spans="1:15" x14ac:dyDescent="0.25">
      <c r="A3410" s="35">
        <v>1098450491</v>
      </c>
      <c r="B3410" s="35" t="s">
        <v>3890</v>
      </c>
      <c r="C3410" s="35">
        <v>2022</v>
      </c>
      <c r="D3410" s="36">
        <v>44920.585740740738</v>
      </c>
      <c r="E3410" s="37" t="s">
        <v>3266</v>
      </c>
      <c r="F3410" s="37" t="s">
        <v>6148</v>
      </c>
      <c r="G3410" s="37" t="s">
        <v>4057</v>
      </c>
      <c r="H3410" s="35" t="s">
        <v>3419</v>
      </c>
      <c r="I3410" s="35" t="s">
        <v>3416</v>
      </c>
      <c r="J3410" s="38">
        <v>4.3999999999999986</v>
      </c>
      <c r="K3410" s="35">
        <v>1</v>
      </c>
      <c r="L3410" s="38">
        <f t="shared" si="53"/>
        <v>4.3999999999999986</v>
      </c>
      <c r="M3410" s="35" t="s">
        <v>11</v>
      </c>
      <c r="N3410" s="38"/>
      <c r="O3410" s="35" t="s">
        <v>12</v>
      </c>
    </row>
    <row r="3411" spans="1:15" x14ac:dyDescent="0.25">
      <c r="A3411" s="35">
        <v>1098442875</v>
      </c>
      <c r="B3411" s="35" t="s">
        <v>3890</v>
      </c>
      <c r="C3411" s="35">
        <v>2022</v>
      </c>
      <c r="D3411" s="36">
        <v>44920.51394675926</v>
      </c>
      <c r="E3411" s="37" t="s">
        <v>1766</v>
      </c>
      <c r="F3411" s="37" t="s">
        <v>6149</v>
      </c>
      <c r="G3411" s="37" t="s">
        <v>4057</v>
      </c>
      <c r="H3411" s="35" t="s">
        <v>3419</v>
      </c>
      <c r="I3411" s="35" t="s">
        <v>3416</v>
      </c>
      <c r="J3411" s="38">
        <v>18.649999999999999</v>
      </c>
      <c r="K3411" s="35">
        <v>1</v>
      </c>
      <c r="L3411" s="38">
        <f t="shared" si="53"/>
        <v>18.649999999999999</v>
      </c>
      <c r="M3411" s="35" t="s">
        <v>11</v>
      </c>
      <c r="N3411" s="38"/>
      <c r="O3411" s="35" t="s">
        <v>12</v>
      </c>
    </row>
    <row r="3412" spans="1:15" x14ac:dyDescent="0.25">
      <c r="A3412" s="35">
        <v>1098439072</v>
      </c>
      <c r="B3412" s="35" t="s">
        <v>3890</v>
      </c>
      <c r="C3412" s="35">
        <v>2022</v>
      </c>
      <c r="D3412" s="36">
        <v>44920.463090277779</v>
      </c>
      <c r="E3412" s="37" t="s">
        <v>3270</v>
      </c>
      <c r="F3412" s="37" t="s">
        <v>5058</v>
      </c>
      <c r="G3412" s="37" t="s">
        <v>3682</v>
      </c>
      <c r="H3412" s="35" t="s">
        <v>3419</v>
      </c>
      <c r="I3412" s="35" t="s">
        <v>3416</v>
      </c>
      <c r="J3412" s="38">
        <v>5.5032124352331611</v>
      </c>
      <c r="K3412" s="35">
        <v>1</v>
      </c>
      <c r="L3412" s="38">
        <f t="shared" si="53"/>
        <v>5.5032124352331611</v>
      </c>
      <c r="M3412" s="35" t="s">
        <v>11</v>
      </c>
      <c r="N3412" s="38"/>
      <c r="O3412" s="35" t="s">
        <v>12</v>
      </c>
    </row>
    <row r="3413" spans="1:15" x14ac:dyDescent="0.25">
      <c r="A3413" s="35">
        <v>1098439072</v>
      </c>
      <c r="B3413" s="35" t="s">
        <v>3890</v>
      </c>
      <c r="C3413" s="35">
        <v>2022</v>
      </c>
      <c r="D3413" s="36">
        <v>44920.463090277779</v>
      </c>
      <c r="E3413" s="37" t="s">
        <v>3270</v>
      </c>
      <c r="F3413" s="37" t="s">
        <v>5058</v>
      </c>
      <c r="G3413" s="37" t="s">
        <v>3551</v>
      </c>
      <c r="H3413" s="35" t="s">
        <v>3419</v>
      </c>
      <c r="I3413" s="35" t="s">
        <v>3416</v>
      </c>
      <c r="J3413" s="38">
        <v>4.5167875647668394</v>
      </c>
      <c r="K3413" s="35">
        <v>1</v>
      </c>
      <c r="L3413" s="38">
        <f t="shared" si="53"/>
        <v>4.5167875647668394</v>
      </c>
      <c r="M3413" s="35" t="s">
        <v>11</v>
      </c>
      <c r="N3413" s="38"/>
      <c r="O3413" s="35" t="s">
        <v>12</v>
      </c>
    </row>
    <row r="3414" spans="1:15" x14ac:dyDescent="0.25">
      <c r="A3414" s="35">
        <v>1098438292</v>
      </c>
      <c r="B3414" s="35" t="s">
        <v>3890</v>
      </c>
      <c r="C3414" s="35">
        <v>2022</v>
      </c>
      <c r="D3414" s="36">
        <v>44920.463090277779</v>
      </c>
      <c r="E3414" s="37" t="s">
        <v>303</v>
      </c>
      <c r="F3414" s="37" t="s">
        <v>5058</v>
      </c>
      <c r="G3414" s="37" t="s">
        <v>3682</v>
      </c>
      <c r="H3414" s="35" t="s">
        <v>3419</v>
      </c>
      <c r="I3414" s="35" t="s">
        <v>3416</v>
      </c>
      <c r="J3414" s="38">
        <v>4.5650000000000004</v>
      </c>
      <c r="K3414" s="35">
        <v>2</v>
      </c>
      <c r="L3414" s="38">
        <f t="shared" si="53"/>
        <v>9.1300000000000008</v>
      </c>
      <c r="M3414" s="35" t="s">
        <v>11</v>
      </c>
      <c r="N3414" s="38"/>
      <c r="O3414" s="35" t="s">
        <v>12</v>
      </c>
    </row>
    <row r="3415" spans="1:15" x14ac:dyDescent="0.25">
      <c r="A3415" s="35">
        <v>1098297896</v>
      </c>
      <c r="B3415" s="35" t="s">
        <v>3890</v>
      </c>
      <c r="C3415" s="35">
        <v>2022</v>
      </c>
      <c r="D3415" s="36">
        <v>44918.393993055557</v>
      </c>
      <c r="E3415" s="37" t="s">
        <v>294</v>
      </c>
      <c r="F3415" s="37" t="s">
        <v>6150</v>
      </c>
      <c r="G3415" s="37" t="s">
        <v>3718</v>
      </c>
      <c r="H3415" s="35" t="s">
        <v>3415</v>
      </c>
      <c r="I3415" s="35" t="s">
        <v>3416</v>
      </c>
      <c r="J3415" s="38">
        <v>0.1707481125600549</v>
      </c>
      <c r="K3415" s="35">
        <v>4</v>
      </c>
      <c r="L3415" s="38">
        <f t="shared" si="53"/>
        <v>0.6829924502402196</v>
      </c>
      <c r="M3415" s="35" t="s">
        <v>11</v>
      </c>
      <c r="N3415" s="38"/>
      <c r="O3415" s="35" t="s">
        <v>12</v>
      </c>
    </row>
    <row r="3416" spans="1:15" x14ac:dyDescent="0.25">
      <c r="A3416" s="35">
        <v>1098297896</v>
      </c>
      <c r="B3416" s="35" t="s">
        <v>3890</v>
      </c>
      <c r="C3416" s="35">
        <v>2022</v>
      </c>
      <c r="D3416" s="36">
        <v>44918.393993055557</v>
      </c>
      <c r="E3416" s="37" t="s">
        <v>294</v>
      </c>
      <c r="F3416" s="37" t="s">
        <v>4523</v>
      </c>
      <c r="G3416" s="37" t="s">
        <v>4867</v>
      </c>
      <c r="H3416" s="35" t="s">
        <v>3415</v>
      </c>
      <c r="I3416" s="35" t="s">
        <v>3416</v>
      </c>
      <c r="J3416" s="38">
        <v>0.30490734385724089</v>
      </c>
      <c r="K3416" s="35">
        <v>4</v>
      </c>
      <c r="L3416" s="38">
        <f t="shared" si="53"/>
        <v>1.2196293754289635</v>
      </c>
      <c r="M3416" s="35" t="s">
        <v>11</v>
      </c>
      <c r="N3416" s="38"/>
      <c r="O3416" s="35" t="s">
        <v>12</v>
      </c>
    </row>
    <row r="3417" spans="1:15" x14ac:dyDescent="0.25">
      <c r="A3417" s="35">
        <v>1098297896</v>
      </c>
      <c r="B3417" s="35" t="s">
        <v>3890</v>
      </c>
      <c r="C3417" s="35">
        <v>2022</v>
      </c>
      <c r="D3417" s="36">
        <v>44918.393993055557</v>
      </c>
      <c r="E3417" s="37" t="s">
        <v>294</v>
      </c>
      <c r="F3417" s="37" t="s">
        <v>6151</v>
      </c>
      <c r="G3417" s="37" t="s">
        <v>3551</v>
      </c>
      <c r="H3417" s="35" t="s">
        <v>3415</v>
      </c>
      <c r="I3417" s="35" t="s">
        <v>3416</v>
      </c>
      <c r="J3417" s="38">
        <v>0.42687028140013722</v>
      </c>
      <c r="K3417" s="35">
        <v>4</v>
      </c>
      <c r="L3417" s="38">
        <f t="shared" si="53"/>
        <v>1.7074811256005489</v>
      </c>
      <c r="M3417" s="35" t="s">
        <v>11</v>
      </c>
      <c r="N3417" s="38"/>
      <c r="O3417" s="35" t="s">
        <v>12</v>
      </c>
    </row>
    <row r="3418" spans="1:15" x14ac:dyDescent="0.25">
      <c r="A3418" s="35">
        <v>1098297896</v>
      </c>
      <c r="B3418" s="35" t="s">
        <v>3890</v>
      </c>
      <c r="C3418" s="35">
        <v>2022</v>
      </c>
      <c r="D3418" s="36">
        <v>44918.393993055557</v>
      </c>
      <c r="E3418" s="37" t="s">
        <v>294</v>
      </c>
      <c r="F3418" s="37" t="s">
        <v>6152</v>
      </c>
      <c r="G3418" s="37" t="s">
        <v>4066</v>
      </c>
      <c r="H3418" s="35" t="s">
        <v>3419</v>
      </c>
      <c r="I3418" s="35" t="s">
        <v>3416</v>
      </c>
      <c r="J3418" s="38">
        <v>0.1219629375428964</v>
      </c>
      <c r="K3418" s="35">
        <v>5</v>
      </c>
      <c r="L3418" s="38">
        <f t="shared" si="53"/>
        <v>0.609814687714482</v>
      </c>
      <c r="M3418" s="35" t="s">
        <v>11</v>
      </c>
      <c r="N3418" s="38"/>
      <c r="O3418" s="35" t="s">
        <v>12</v>
      </c>
    </row>
    <row r="3419" spans="1:15" x14ac:dyDescent="0.25">
      <c r="A3419" s="35">
        <v>1098297896</v>
      </c>
      <c r="B3419" s="35" t="s">
        <v>3890</v>
      </c>
      <c r="C3419" s="35">
        <v>2022</v>
      </c>
      <c r="D3419" s="36">
        <v>44918.393993055557</v>
      </c>
      <c r="E3419" s="37" t="s">
        <v>294</v>
      </c>
      <c r="F3419" s="37" t="s">
        <v>6153</v>
      </c>
      <c r="G3419" s="37" t="s">
        <v>4529</v>
      </c>
      <c r="H3419" s="35" t="s">
        <v>3415</v>
      </c>
      <c r="I3419" s="35" t="s">
        <v>3416</v>
      </c>
      <c r="J3419" s="38">
        <v>0.1219629375428964</v>
      </c>
      <c r="K3419" s="35">
        <v>4</v>
      </c>
      <c r="L3419" s="38">
        <f t="shared" si="53"/>
        <v>0.48785175017158561</v>
      </c>
      <c r="M3419" s="35" t="s">
        <v>11</v>
      </c>
      <c r="N3419" s="38"/>
      <c r="O3419" s="35" t="s">
        <v>12</v>
      </c>
    </row>
    <row r="3420" spans="1:15" x14ac:dyDescent="0.25">
      <c r="A3420" s="35">
        <v>1098297896</v>
      </c>
      <c r="B3420" s="35" t="s">
        <v>3890</v>
      </c>
      <c r="C3420" s="35">
        <v>2022</v>
      </c>
      <c r="D3420" s="36">
        <v>44918.393993055557</v>
      </c>
      <c r="E3420" s="37" t="s">
        <v>294</v>
      </c>
      <c r="F3420" s="37" t="s">
        <v>6154</v>
      </c>
      <c r="G3420" s="37" t="s">
        <v>4814</v>
      </c>
      <c r="H3420" s="35" t="s">
        <v>3419</v>
      </c>
      <c r="I3420" s="35" t="s">
        <v>3416</v>
      </c>
      <c r="J3420" s="38">
        <v>0.1219629375428964</v>
      </c>
      <c r="K3420" s="35">
        <v>2</v>
      </c>
      <c r="L3420" s="38">
        <f t="shared" si="53"/>
        <v>0.2439258750857928</v>
      </c>
      <c r="M3420" s="35" t="s">
        <v>11</v>
      </c>
      <c r="N3420" s="38"/>
      <c r="O3420" s="35" t="s">
        <v>12</v>
      </c>
    </row>
    <row r="3421" spans="1:15" x14ac:dyDescent="0.25">
      <c r="A3421" s="35">
        <v>1098297896</v>
      </c>
      <c r="B3421" s="35" t="s">
        <v>3890</v>
      </c>
      <c r="C3421" s="35">
        <v>2022</v>
      </c>
      <c r="D3421" s="36">
        <v>44918.393993055557</v>
      </c>
      <c r="E3421" s="37" t="s">
        <v>294</v>
      </c>
      <c r="F3421" s="37" t="s">
        <v>5139</v>
      </c>
      <c r="G3421" s="37" t="s">
        <v>4264</v>
      </c>
      <c r="H3421" s="35" t="s">
        <v>3415</v>
      </c>
      <c r="I3421" s="35" t="s">
        <v>3416</v>
      </c>
      <c r="J3421" s="38">
        <v>0.14635552505147559</v>
      </c>
      <c r="K3421" s="35">
        <v>4</v>
      </c>
      <c r="L3421" s="38">
        <f t="shared" si="53"/>
        <v>0.58542210020590235</v>
      </c>
      <c r="M3421" s="35" t="s">
        <v>11</v>
      </c>
      <c r="N3421" s="38"/>
      <c r="O3421" s="35" t="s">
        <v>12</v>
      </c>
    </row>
    <row r="3422" spans="1:15" x14ac:dyDescent="0.25">
      <c r="A3422" s="35">
        <v>1098297896</v>
      </c>
      <c r="B3422" s="35" t="s">
        <v>3890</v>
      </c>
      <c r="C3422" s="35">
        <v>2022</v>
      </c>
      <c r="D3422" s="36">
        <v>44918.393993055557</v>
      </c>
      <c r="E3422" s="37" t="s">
        <v>294</v>
      </c>
      <c r="F3422" s="37" t="s">
        <v>4536</v>
      </c>
      <c r="G3422" s="37" t="s">
        <v>3792</v>
      </c>
      <c r="H3422" s="35" t="s">
        <v>3415</v>
      </c>
      <c r="I3422" s="35" t="s">
        <v>3416</v>
      </c>
      <c r="J3422" s="38">
        <v>0.1219629375428964</v>
      </c>
      <c r="K3422" s="35">
        <v>4</v>
      </c>
      <c r="L3422" s="38">
        <f t="shared" si="53"/>
        <v>0.48785175017158561</v>
      </c>
      <c r="M3422" s="35" t="s">
        <v>11</v>
      </c>
      <c r="N3422" s="38"/>
      <c r="O3422" s="35" t="s">
        <v>12</v>
      </c>
    </row>
    <row r="3423" spans="1:15" x14ac:dyDescent="0.25">
      <c r="A3423" s="35">
        <v>1098297896</v>
      </c>
      <c r="B3423" s="35" t="s">
        <v>3890</v>
      </c>
      <c r="C3423" s="35">
        <v>2022</v>
      </c>
      <c r="D3423" s="36">
        <v>44918.393993055557</v>
      </c>
      <c r="E3423" s="37" t="s">
        <v>294</v>
      </c>
      <c r="F3423" s="37" t="s">
        <v>4739</v>
      </c>
      <c r="G3423" s="37" t="s">
        <v>3666</v>
      </c>
      <c r="H3423" s="35" t="s">
        <v>3415</v>
      </c>
      <c r="I3423" s="35" t="s">
        <v>3416</v>
      </c>
      <c r="J3423" s="38">
        <v>0.24392587508579269</v>
      </c>
      <c r="K3423" s="35">
        <v>4</v>
      </c>
      <c r="L3423" s="38">
        <f t="shared" si="53"/>
        <v>0.97570350034317077</v>
      </c>
      <c r="M3423" s="35" t="s">
        <v>11</v>
      </c>
      <c r="N3423" s="38"/>
      <c r="O3423" s="35" t="s">
        <v>12</v>
      </c>
    </row>
    <row r="3424" spans="1:15" x14ac:dyDescent="0.25">
      <c r="A3424" s="35">
        <v>1098297896</v>
      </c>
      <c r="B3424" s="35" t="s">
        <v>3890</v>
      </c>
      <c r="C3424" s="35">
        <v>2022</v>
      </c>
      <c r="D3424" s="36">
        <v>44918.393993055557</v>
      </c>
      <c r="E3424" s="37" t="s">
        <v>294</v>
      </c>
      <c r="F3424" s="37" t="s">
        <v>4537</v>
      </c>
      <c r="G3424" s="37" t="s">
        <v>3792</v>
      </c>
      <c r="H3424" s="35" t="s">
        <v>3415</v>
      </c>
      <c r="I3424" s="35" t="s">
        <v>3416</v>
      </c>
      <c r="J3424" s="38">
        <v>0.1219629375428964</v>
      </c>
      <c r="K3424" s="35">
        <v>4</v>
      </c>
      <c r="L3424" s="38">
        <f t="shared" si="53"/>
        <v>0.48785175017158561</v>
      </c>
      <c r="M3424" s="35" t="s">
        <v>11</v>
      </c>
      <c r="N3424" s="38"/>
      <c r="O3424" s="35" t="s">
        <v>12</v>
      </c>
    </row>
    <row r="3425" spans="1:15" x14ac:dyDescent="0.25">
      <c r="A3425" s="35">
        <v>1098297896</v>
      </c>
      <c r="B3425" s="35" t="s">
        <v>3890</v>
      </c>
      <c r="C3425" s="35">
        <v>2022</v>
      </c>
      <c r="D3425" s="36">
        <v>44918.393993055557</v>
      </c>
      <c r="E3425" s="37" t="s">
        <v>294</v>
      </c>
      <c r="F3425" s="37" t="s">
        <v>4535</v>
      </c>
      <c r="G3425" s="37" t="s">
        <v>3823</v>
      </c>
      <c r="H3425" s="35" t="s">
        <v>3419</v>
      </c>
      <c r="I3425" s="35" t="s">
        <v>3416</v>
      </c>
      <c r="J3425" s="38">
        <v>0.1219629375428964</v>
      </c>
      <c r="K3425" s="35">
        <v>3</v>
      </c>
      <c r="L3425" s="38">
        <f t="shared" si="53"/>
        <v>0.36588881262868922</v>
      </c>
      <c r="M3425" s="35" t="s">
        <v>11</v>
      </c>
      <c r="N3425" s="38"/>
      <c r="O3425" s="35" t="s">
        <v>12</v>
      </c>
    </row>
    <row r="3426" spans="1:15" x14ac:dyDescent="0.25">
      <c r="A3426" s="35">
        <v>1098297896</v>
      </c>
      <c r="B3426" s="35" t="s">
        <v>3890</v>
      </c>
      <c r="C3426" s="35">
        <v>2022</v>
      </c>
      <c r="D3426" s="36">
        <v>44918.393993055557</v>
      </c>
      <c r="E3426" s="37" t="s">
        <v>294</v>
      </c>
      <c r="F3426" s="37" t="s">
        <v>4656</v>
      </c>
      <c r="G3426" s="37" t="s">
        <v>4642</v>
      </c>
      <c r="H3426" s="35" t="s">
        <v>3419</v>
      </c>
      <c r="I3426" s="35" t="s">
        <v>3416</v>
      </c>
      <c r="J3426" s="38">
        <v>0.24392587508579269</v>
      </c>
      <c r="K3426" s="35">
        <v>2</v>
      </c>
      <c r="L3426" s="38">
        <f t="shared" si="53"/>
        <v>0.48785175017158539</v>
      </c>
      <c r="M3426" s="35" t="s">
        <v>11</v>
      </c>
      <c r="N3426" s="38"/>
      <c r="O3426" s="35" t="s">
        <v>12</v>
      </c>
    </row>
    <row r="3427" spans="1:15" ht="30" x14ac:dyDescent="0.25">
      <c r="A3427" s="35">
        <v>1098297896</v>
      </c>
      <c r="B3427" s="35" t="s">
        <v>3890</v>
      </c>
      <c r="C3427" s="35">
        <v>2022</v>
      </c>
      <c r="D3427" s="36">
        <v>44918.393993055557</v>
      </c>
      <c r="E3427" s="37" t="s">
        <v>294</v>
      </c>
      <c r="F3427" s="37" t="s">
        <v>4465</v>
      </c>
      <c r="G3427" s="37" t="s">
        <v>3765</v>
      </c>
      <c r="H3427" s="35" t="s">
        <v>3419</v>
      </c>
      <c r="I3427" s="35" t="s">
        <v>3416</v>
      </c>
      <c r="J3427" s="38">
        <v>1.158647906657515</v>
      </c>
      <c r="K3427" s="35">
        <v>1</v>
      </c>
      <c r="L3427" s="38">
        <f t="shared" si="53"/>
        <v>1.158647906657515</v>
      </c>
      <c r="M3427" s="35" t="s">
        <v>11</v>
      </c>
      <c r="N3427" s="38"/>
      <c r="O3427" s="35" t="s">
        <v>12</v>
      </c>
    </row>
    <row r="3428" spans="1:15" x14ac:dyDescent="0.25">
      <c r="A3428" s="35">
        <v>1098297896</v>
      </c>
      <c r="B3428" s="35" t="s">
        <v>3890</v>
      </c>
      <c r="C3428" s="35">
        <v>2022</v>
      </c>
      <c r="D3428" s="36">
        <v>44918.393993055557</v>
      </c>
      <c r="E3428" s="37" t="s">
        <v>294</v>
      </c>
      <c r="F3428" s="37" t="s">
        <v>6155</v>
      </c>
      <c r="G3428" s="37" t="s">
        <v>6156</v>
      </c>
      <c r="H3428" s="35" t="s">
        <v>3419</v>
      </c>
      <c r="I3428" s="35" t="s">
        <v>3416</v>
      </c>
      <c r="J3428" s="38">
        <v>0.14635552505147559</v>
      </c>
      <c r="K3428" s="35">
        <v>1</v>
      </c>
      <c r="L3428" s="38">
        <f t="shared" si="53"/>
        <v>0.14635552505147559</v>
      </c>
      <c r="M3428" s="35" t="s">
        <v>11</v>
      </c>
      <c r="N3428" s="38"/>
      <c r="O3428" s="35" t="s">
        <v>12</v>
      </c>
    </row>
    <row r="3429" spans="1:15" x14ac:dyDescent="0.25">
      <c r="A3429" s="35">
        <v>1098297896</v>
      </c>
      <c r="B3429" s="35" t="s">
        <v>3890</v>
      </c>
      <c r="C3429" s="35">
        <v>2022</v>
      </c>
      <c r="D3429" s="36">
        <v>44918.393993055557</v>
      </c>
      <c r="E3429" s="37" t="s">
        <v>294</v>
      </c>
      <c r="F3429" s="37" t="s">
        <v>4538</v>
      </c>
      <c r="G3429" s="37" t="s">
        <v>3792</v>
      </c>
      <c r="H3429" s="35" t="s">
        <v>3415</v>
      </c>
      <c r="I3429" s="35" t="s">
        <v>3416</v>
      </c>
      <c r="J3429" s="38">
        <v>0.1219629375428964</v>
      </c>
      <c r="K3429" s="35">
        <v>4</v>
      </c>
      <c r="L3429" s="38">
        <f t="shared" si="53"/>
        <v>0.48785175017158561</v>
      </c>
      <c r="M3429" s="35" t="s">
        <v>11</v>
      </c>
      <c r="N3429" s="38"/>
      <c r="O3429" s="35" t="s">
        <v>12</v>
      </c>
    </row>
    <row r="3430" spans="1:15" x14ac:dyDescent="0.25">
      <c r="A3430" s="35">
        <v>1098297896</v>
      </c>
      <c r="B3430" s="35" t="s">
        <v>3890</v>
      </c>
      <c r="C3430" s="35">
        <v>2022</v>
      </c>
      <c r="D3430" s="36">
        <v>44918.393993055557</v>
      </c>
      <c r="E3430" s="37" t="s">
        <v>294</v>
      </c>
      <c r="F3430" s="37" t="s">
        <v>6157</v>
      </c>
      <c r="G3430" s="37" t="s">
        <v>4268</v>
      </c>
      <c r="H3430" s="35" t="s">
        <v>3419</v>
      </c>
      <c r="I3430" s="35" t="s">
        <v>3416</v>
      </c>
      <c r="J3430" s="38">
        <v>0.47565545641729579</v>
      </c>
      <c r="K3430" s="35">
        <v>2</v>
      </c>
      <c r="L3430" s="38">
        <f t="shared" si="53"/>
        <v>0.95131091283459157</v>
      </c>
      <c r="M3430" s="35" t="s">
        <v>11</v>
      </c>
      <c r="N3430" s="38"/>
      <c r="O3430" s="35" t="s">
        <v>12</v>
      </c>
    </row>
    <row r="3431" spans="1:15" x14ac:dyDescent="0.25">
      <c r="A3431" s="35">
        <v>1098297896</v>
      </c>
      <c r="B3431" s="35" t="s">
        <v>3890</v>
      </c>
      <c r="C3431" s="35">
        <v>2022</v>
      </c>
      <c r="D3431" s="36">
        <v>44918.393993055557</v>
      </c>
      <c r="E3431" s="37" t="s">
        <v>294</v>
      </c>
      <c r="F3431" s="37" t="s">
        <v>6158</v>
      </c>
      <c r="G3431" s="37" t="s">
        <v>3718</v>
      </c>
      <c r="H3431" s="35" t="s">
        <v>3419</v>
      </c>
      <c r="I3431" s="35" t="s">
        <v>3416</v>
      </c>
      <c r="J3431" s="38">
        <v>0.90252573781743306</v>
      </c>
      <c r="K3431" s="35">
        <v>2</v>
      </c>
      <c r="L3431" s="38">
        <f t="shared" si="53"/>
        <v>1.8050514756348661</v>
      </c>
      <c r="M3431" s="35" t="s">
        <v>11</v>
      </c>
      <c r="N3431" s="38"/>
      <c r="O3431" s="35" t="s">
        <v>12</v>
      </c>
    </row>
    <row r="3432" spans="1:15" x14ac:dyDescent="0.25">
      <c r="A3432" s="35">
        <v>1098297896</v>
      </c>
      <c r="B3432" s="35" t="s">
        <v>3890</v>
      </c>
      <c r="C3432" s="35">
        <v>2022</v>
      </c>
      <c r="D3432" s="36">
        <v>44918.393993055557</v>
      </c>
      <c r="E3432" s="37" t="s">
        <v>294</v>
      </c>
      <c r="F3432" s="37" t="s">
        <v>6159</v>
      </c>
      <c r="G3432" s="37" t="s">
        <v>3987</v>
      </c>
      <c r="H3432" s="35" t="s">
        <v>3415</v>
      </c>
      <c r="I3432" s="35" t="s">
        <v>3416</v>
      </c>
      <c r="J3432" s="38">
        <v>0.79275909402882638</v>
      </c>
      <c r="K3432" s="35">
        <v>4</v>
      </c>
      <c r="L3432" s="38">
        <f t="shared" si="53"/>
        <v>3.1710363761153055</v>
      </c>
      <c r="M3432" s="35" t="s">
        <v>11</v>
      </c>
      <c r="N3432" s="38"/>
      <c r="O3432" s="35" t="s">
        <v>12</v>
      </c>
    </row>
    <row r="3433" spans="1:15" x14ac:dyDescent="0.25">
      <c r="A3433" s="35">
        <v>1098297896</v>
      </c>
      <c r="B3433" s="35" t="s">
        <v>3890</v>
      </c>
      <c r="C3433" s="35">
        <v>2022</v>
      </c>
      <c r="D3433" s="36">
        <v>44918.393993055557</v>
      </c>
      <c r="E3433" s="37" t="s">
        <v>294</v>
      </c>
      <c r="F3433" s="37" t="s">
        <v>3976</v>
      </c>
      <c r="G3433" s="37" t="s">
        <v>3551</v>
      </c>
      <c r="H3433" s="35" t="s">
        <v>3415</v>
      </c>
      <c r="I3433" s="35" t="s">
        <v>3416</v>
      </c>
      <c r="J3433" s="38">
        <v>0.42687028140013722</v>
      </c>
      <c r="K3433" s="35">
        <v>4</v>
      </c>
      <c r="L3433" s="38">
        <f t="shared" si="53"/>
        <v>1.7074811256005489</v>
      </c>
      <c r="M3433" s="35" t="s">
        <v>11</v>
      </c>
      <c r="N3433" s="38"/>
      <c r="O3433" s="35" t="s">
        <v>12</v>
      </c>
    </row>
    <row r="3434" spans="1:15" ht="30" x14ac:dyDescent="0.25">
      <c r="A3434" s="35">
        <v>1098221549</v>
      </c>
      <c r="B3434" s="35" t="s">
        <v>3890</v>
      </c>
      <c r="C3434" s="35">
        <v>2022</v>
      </c>
      <c r="D3434" s="36">
        <v>44917.37809027778</v>
      </c>
      <c r="E3434" s="37" t="s">
        <v>442</v>
      </c>
      <c r="F3434" s="37" t="s">
        <v>6160</v>
      </c>
      <c r="G3434" s="37" t="s">
        <v>4103</v>
      </c>
      <c r="H3434" s="35" t="s">
        <v>3419</v>
      </c>
      <c r="I3434" s="35" t="s">
        <v>3416</v>
      </c>
      <c r="J3434" s="38">
        <v>5.5650000000000004</v>
      </c>
      <c r="K3434" s="35">
        <v>2</v>
      </c>
      <c r="L3434" s="38">
        <f t="shared" si="53"/>
        <v>11.13</v>
      </c>
      <c r="M3434" s="35" t="s">
        <v>11</v>
      </c>
      <c r="N3434" s="38"/>
      <c r="O3434" s="35" t="s">
        <v>12</v>
      </c>
    </row>
    <row r="3435" spans="1:15" x14ac:dyDescent="0.25">
      <c r="A3435" s="35">
        <v>1098220638</v>
      </c>
      <c r="B3435" s="35" t="s">
        <v>3890</v>
      </c>
      <c r="C3435" s="35">
        <v>2022</v>
      </c>
      <c r="D3435" s="36">
        <v>44917.37809027778</v>
      </c>
      <c r="E3435" s="37" t="s">
        <v>3277</v>
      </c>
      <c r="F3435" s="37" t="s">
        <v>6161</v>
      </c>
      <c r="G3435" s="37" t="s">
        <v>6162</v>
      </c>
      <c r="H3435" s="35" t="s">
        <v>3415</v>
      </c>
      <c r="I3435" s="35" t="s">
        <v>3416</v>
      </c>
      <c r="J3435" s="38">
        <v>0.29491725768321508</v>
      </c>
      <c r="K3435" s="35">
        <v>4</v>
      </c>
      <c r="L3435" s="38">
        <f t="shared" si="53"/>
        <v>1.1796690307328603</v>
      </c>
      <c r="M3435" s="35" t="s">
        <v>11</v>
      </c>
      <c r="N3435" s="38"/>
      <c r="O3435" s="35" t="s">
        <v>12</v>
      </c>
    </row>
    <row r="3436" spans="1:15" x14ac:dyDescent="0.25">
      <c r="A3436" s="35">
        <v>1098220638</v>
      </c>
      <c r="B3436" s="35" t="s">
        <v>3890</v>
      </c>
      <c r="C3436" s="35">
        <v>2022</v>
      </c>
      <c r="D3436" s="36">
        <v>44917.37809027778</v>
      </c>
      <c r="E3436" s="37" t="s">
        <v>3277</v>
      </c>
      <c r="F3436" s="37" t="s">
        <v>4809</v>
      </c>
      <c r="G3436" s="37" t="s">
        <v>4154</v>
      </c>
      <c r="H3436" s="35" t="s">
        <v>3419</v>
      </c>
      <c r="I3436" s="35" t="s">
        <v>3416</v>
      </c>
      <c r="J3436" s="38">
        <v>0.29491725768321508</v>
      </c>
      <c r="K3436" s="35">
        <v>1</v>
      </c>
      <c r="L3436" s="38">
        <f t="shared" si="53"/>
        <v>0.29491725768321508</v>
      </c>
      <c r="M3436" s="35" t="s">
        <v>11</v>
      </c>
      <c r="N3436" s="38"/>
      <c r="O3436" s="35" t="s">
        <v>12</v>
      </c>
    </row>
    <row r="3437" spans="1:15" x14ac:dyDescent="0.25">
      <c r="A3437" s="35">
        <v>1098220638</v>
      </c>
      <c r="B3437" s="35" t="s">
        <v>3890</v>
      </c>
      <c r="C3437" s="35">
        <v>2022</v>
      </c>
      <c r="D3437" s="36">
        <v>44917.37809027778</v>
      </c>
      <c r="E3437" s="37" t="s">
        <v>3277</v>
      </c>
      <c r="F3437" s="37" t="s">
        <v>5071</v>
      </c>
      <c r="G3437" s="37" t="s">
        <v>4156</v>
      </c>
      <c r="H3437" s="35" t="s">
        <v>3419</v>
      </c>
      <c r="I3437" s="35" t="s">
        <v>3416</v>
      </c>
      <c r="J3437" s="38">
        <v>11.737706855791959</v>
      </c>
      <c r="K3437" s="35">
        <v>2</v>
      </c>
      <c r="L3437" s="38">
        <f t="shared" si="53"/>
        <v>23.475413711583919</v>
      </c>
      <c r="M3437" s="35" t="s">
        <v>11</v>
      </c>
      <c r="N3437" s="38"/>
      <c r="O3437" s="35" t="s">
        <v>12</v>
      </c>
    </row>
    <row r="3438" spans="1:15" x14ac:dyDescent="0.25">
      <c r="A3438" s="35">
        <v>1098102519</v>
      </c>
      <c r="B3438" s="35" t="s">
        <v>3890</v>
      </c>
      <c r="C3438" s="35">
        <v>2022</v>
      </c>
      <c r="D3438" s="36">
        <v>44915.76190972222</v>
      </c>
      <c r="E3438" s="37" t="s">
        <v>3279</v>
      </c>
      <c r="F3438" s="37" t="s">
        <v>5002</v>
      </c>
      <c r="G3438" s="37" t="s">
        <v>4867</v>
      </c>
      <c r="H3438" s="35" t="s">
        <v>3419</v>
      </c>
      <c r="I3438" s="35" t="s">
        <v>3416</v>
      </c>
      <c r="J3438" s="38">
        <v>3.717567567567567</v>
      </c>
      <c r="K3438" s="35">
        <v>1</v>
      </c>
      <c r="L3438" s="38">
        <f t="shared" si="53"/>
        <v>3.717567567567567</v>
      </c>
      <c r="M3438" s="35" t="s">
        <v>11</v>
      </c>
      <c r="N3438" s="38"/>
      <c r="O3438" s="35" t="s">
        <v>12</v>
      </c>
    </row>
    <row r="3439" spans="1:15" x14ac:dyDescent="0.25">
      <c r="A3439" s="35">
        <v>1098102519</v>
      </c>
      <c r="B3439" s="35" t="s">
        <v>3890</v>
      </c>
      <c r="C3439" s="35">
        <v>2022</v>
      </c>
      <c r="D3439" s="36">
        <v>44915.76190972222</v>
      </c>
      <c r="E3439" s="37" t="s">
        <v>3279</v>
      </c>
      <c r="F3439" s="37" t="s">
        <v>4171</v>
      </c>
      <c r="G3439" s="37" t="s">
        <v>3619</v>
      </c>
      <c r="H3439" s="35" t="s">
        <v>3419</v>
      </c>
      <c r="I3439" s="35" t="s">
        <v>3530</v>
      </c>
      <c r="J3439" s="38">
        <v>15.93243243243243</v>
      </c>
      <c r="K3439" s="35">
        <v>1</v>
      </c>
      <c r="L3439" s="38">
        <f t="shared" si="53"/>
        <v>15.93243243243243</v>
      </c>
      <c r="M3439" s="35" t="s">
        <v>11</v>
      </c>
      <c r="N3439" s="38"/>
      <c r="O3439" s="35" t="s">
        <v>12</v>
      </c>
    </row>
    <row r="3440" spans="1:15" x14ac:dyDescent="0.25">
      <c r="A3440" s="35">
        <v>1098084023</v>
      </c>
      <c r="B3440" s="35" t="s">
        <v>3890</v>
      </c>
      <c r="C3440" s="35">
        <v>2022</v>
      </c>
      <c r="D3440" s="36">
        <v>44915.610972222217</v>
      </c>
      <c r="E3440" s="37" t="s">
        <v>3283</v>
      </c>
      <c r="F3440" s="37" t="s">
        <v>4403</v>
      </c>
      <c r="G3440" s="37" t="s">
        <v>3987</v>
      </c>
      <c r="H3440" s="35" t="s">
        <v>3419</v>
      </c>
      <c r="I3440" s="35" t="s">
        <v>3416</v>
      </c>
      <c r="J3440" s="38">
        <v>0.58214285714285718</v>
      </c>
      <c r="K3440" s="35">
        <v>1</v>
      </c>
      <c r="L3440" s="38">
        <f t="shared" si="53"/>
        <v>0.58214285714285718</v>
      </c>
      <c r="M3440" s="35" t="s">
        <v>11</v>
      </c>
      <c r="N3440" s="38"/>
      <c r="O3440" s="35" t="s">
        <v>12</v>
      </c>
    </row>
    <row r="3441" spans="1:15" x14ac:dyDescent="0.25">
      <c r="A3441" s="35">
        <v>1098084023</v>
      </c>
      <c r="B3441" s="35" t="s">
        <v>3890</v>
      </c>
      <c r="C3441" s="35">
        <v>2022</v>
      </c>
      <c r="D3441" s="36">
        <v>44915.610972222217</v>
      </c>
      <c r="E3441" s="37" t="s">
        <v>3283</v>
      </c>
      <c r="F3441" s="37" t="s">
        <v>5140</v>
      </c>
      <c r="G3441" s="37" t="s">
        <v>5141</v>
      </c>
      <c r="H3441" s="35" t="s">
        <v>3419</v>
      </c>
      <c r="I3441" s="35" t="s">
        <v>3530</v>
      </c>
      <c r="J3441" s="38">
        <v>7.5678571428571431</v>
      </c>
      <c r="K3441" s="35">
        <v>1</v>
      </c>
      <c r="L3441" s="38">
        <f t="shared" si="53"/>
        <v>7.5678571428571431</v>
      </c>
      <c r="M3441" s="35" t="s">
        <v>11</v>
      </c>
      <c r="N3441" s="38"/>
      <c r="O3441" s="35" t="s">
        <v>12</v>
      </c>
    </row>
    <row r="3442" spans="1:15" x14ac:dyDescent="0.25">
      <c r="A3442" s="35">
        <v>1098083917</v>
      </c>
      <c r="B3442" s="35" t="s">
        <v>3890</v>
      </c>
      <c r="C3442" s="35">
        <v>2022</v>
      </c>
      <c r="D3442" s="36">
        <v>44915.610972222217</v>
      </c>
      <c r="E3442" s="37" t="s">
        <v>3285</v>
      </c>
      <c r="F3442" s="37" t="s">
        <v>6163</v>
      </c>
      <c r="G3442" s="37" t="s">
        <v>3905</v>
      </c>
      <c r="H3442" s="35" t="s">
        <v>3419</v>
      </c>
      <c r="I3442" s="35" t="s">
        <v>3530</v>
      </c>
      <c r="J3442" s="38">
        <v>2.2445606229143489</v>
      </c>
      <c r="K3442" s="35">
        <v>1</v>
      </c>
      <c r="L3442" s="38">
        <f t="shared" si="53"/>
        <v>2.2445606229143489</v>
      </c>
      <c r="M3442" s="35" t="s">
        <v>11</v>
      </c>
      <c r="N3442" s="38"/>
      <c r="O3442" s="35" t="s">
        <v>12</v>
      </c>
    </row>
    <row r="3443" spans="1:15" x14ac:dyDescent="0.25">
      <c r="A3443" s="35">
        <v>1098083917</v>
      </c>
      <c r="B3443" s="35" t="s">
        <v>3890</v>
      </c>
      <c r="C3443" s="35">
        <v>2022</v>
      </c>
      <c r="D3443" s="36">
        <v>44915.610972222217</v>
      </c>
      <c r="E3443" s="37" t="s">
        <v>3285</v>
      </c>
      <c r="F3443" s="37" t="s">
        <v>6164</v>
      </c>
      <c r="G3443" s="37" t="s">
        <v>4142</v>
      </c>
      <c r="H3443" s="35" t="s">
        <v>3419</v>
      </c>
      <c r="I3443" s="35" t="s">
        <v>3530</v>
      </c>
      <c r="J3443" s="38">
        <v>3.9477196885428252</v>
      </c>
      <c r="K3443" s="35">
        <v>2</v>
      </c>
      <c r="L3443" s="38">
        <f t="shared" si="53"/>
        <v>7.8954393770856504</v>
      </c>
      <c r="M3443" s="35" t="s">
        <v>11</v>
      </c>
      <c r="N3443" s="38"/>
      <c r="O3443" s="35" t="s">
        <v>12</v>
      </c>
    </row>
    <row r="3444" spans="1:15" x14ac:dyDescent="0.25">
      <c r="A3444" s="35">
        <v>1097956980</v>
      </c>
      <c r="B3444" s="35" t="s">
        <v>3890</v>
      </c>
      <c r="C3444" s="35">
        <v>2022</v>
      </c>
      <c r="D3444" s="36">
        <v>44913.930150462962</v>
      </c>
      <c r="E3444" s="37" t="s">
        <v>1947</v>
      </c>
      <c r="F3444" s="37" t="s">
        <v>6165</v>
      </c>
      <c r="G3444" s="37" t="s">
        <v>5679</v>
      </c>
      <c r="H3444" s="35" t="s">
        <v>3419</v>
      </c>
      <c r="I3444" s="35" t="s">
        <v>3416</v>
      </c>
      <c r="J3444" s="38">
        <v>13.65</v>
      </c>
      <c r="K3444" s="35">
        <v>1</v>
      </c>
      <c r="L3444" s="38">
        <f t="shared" si="53"/>
        <v>13.65</v>
      </c>
      <c r="M3444" s="35" t="s">
        <v>11</v>
      </c>
      <c r="N3444" s="38"/>
      <c r="O3444" s="35" t="s">
        <v>12</v>
      </c>
    </row>
    <row r="3445" spans="1:15" x14ac:dyDescent="0.25">
      <c r="A3445" s="35">
        <v>1097956624</v>
      </c>
      <c r="B3445" s="35" t="s">
        <v>3890</v>
      </c>
      <c r="C3445" s="35">
        <v>2022</v>
      </c>
      <c r="D3445" s="36">
        <v>44913.930150462962</v>
      </c>
      <c r="E3445" s="37" t="s">
        <v>2158</v>
      </c>
      <c r="F3445" s="37" t="s">
        <v>6166</v>
      </c>
      <c r="G3445" s="37" t="s">
        <v>3718</v>
      </c>
      <c r="H3445" s="35" t="s">
        <v>3419</v>
      </c>
      <c r="I3445" s="35" t="s">
        <v>3416</v>
      </c>
      <c r="J3445" s="38">
        <v>3.0750000000000002</v>
      </c>
      <c r="K3445" s="35">
        <v>2</v>
      </c>
      <c r="L3445" s="38">
        <f t="shared" si="53"/>
        <v>6.15</v>
      </c>
      <c r="M3445" s="35" t="s">
        <v>11</v>
      </c>
      <c r="N3445" s="38"/>
      <c r="O3445" s="35" t="s">
        <v>12</v>
      </c>
    </row>
    <row r="3446" spans="1:15" x14ac:dyDescent="0.25">
      <c r="A3446" s="35">
        <v>1097748382</v>
      </c>
      <c r="B3446" s="35" t="s">
        <v>3890</v>
      </c>
      <c r="C3446" s="35">
        <v>2022</v>
      </c>
      <c r="D3446" s="36">
        <v>44911.369432870371</v>
      </c>
      <c r="E3446" s="37" t="s">
        <v>892</v>
      </c>
      <c r="F3446" s="37" t="s">
        <v>6168</v>
      </c>
      <c r="G3446" s="37" t="s">
        <v>3676</v>
      </c>
      <c r="H3446" s="35" t="s">
        <v>3419</v>
      </c>
      <c r="I3446" s="35" t="s">
        <v>3530</v>
      </c>
      <c r="J3446" s="38">
        <v>30.04</v>
      </c>
      <c r="K3446" s="35">
        <v>2</v>
      </c>
      <c r="L3446" s="38">
        <f t="shared" si="53"/>
        <v>60.08</v>
      </c>
      <c r="M3446" s="35" t="s">
        <v>11</v>
      </c>
      <c r="N3446" s="38"/>
      <c r="O3446" s="35" t="s">
        <v>12</v>
      </c>
    </row>
    <row r="3447" spans="1:15" x14ac:dyDescent="0.25">
      <c r="A3447" s="35">
        <v>1097746345</v>
      </c>
      <c r="B3447" s="35" t="s">
        <v>3890</v>
      </c>
      <c r="C3447" s="35">
        <v>2022</v>
      </c>
      <c r="D3447" s="36">
        <v>44911.369432870371</v>
      </c>
      <c r="E3447" s="37" t="s">
        <v>3292</v>
      </c>
      <c r="F3447" s="37" t="s">
        <v>6169</v>
      </c>
      <c r="G3447" s="37" t="s">
        <v>4147</v>
      </c>
      <c r="H3447" s="35" t="s">
        <v>3419</v>
      </c>
      <c r="I3447" s="35" t="s">
        <v>3530</v>
      </c>
      <c r="J3447" s="38">
        <v>50.09</v>
      </c>
      <c r="K3447" s="35">
        <v>1</v>
      </c>
      <c r="L3447" s="38">
        <f t="shared" si="53"/>
        <v>50.09</v>
      </c>
      <c r="M3447" s="35" t="s">
        <v>11</v>
      </c>
      <c r="N3447" s="38"/>
      <c r="O3447" s="35" t="s">
        <v>12</v>
      </c>
    </row>
    <row r="3448" spans="1:15" x14ac:dyDescent="0.25">
      <c r="A3448" s="35">
        <v>1097642096</v>
      </c>
      <c r="B3448" s="35" t="s">
        <v>3890</v>
      </c>
      <c r="C3448" s="35">
        <v>2022</v>
      </c>
      <c r="D3448" s="36">
        <v>44909.871979166674</v>
      </c>
      <c r="E3448" s="37" t="s">
        <v>3294</v>
      </c>
      <c r="F3448" s="37" t="s">
        <v>6170</v>
      </c>
      <c r="G3448" s="37" t="s">
        <v>4057</v>
      </c>
      <c r="H3448" s="35" t="s">
        <v>3419</v>
      </c>
      <c r="I3448" s="35" t="s">
        <v>3416</v>
      </c>
      <c r="J3448" s="38">
        <v>11.15</v>
      </c>
      <c r="K3448" s="35">
        <v>1</v>
      </c>
      <c r="L3448" s="38">
        <f t="shared" si="53"/>
        <v>11.15</v>
      </c>
      <c r="M3448" s="35" t="s">
        <v>11</v>
      </c>
      <c r="N3448" s="38"/>
      <c r="O3448" s="35" t="s">
        <v>12</v>
      </c>
    </row>
    <row r="3449" spans="1:15" x14ac:dyDescent="0.25">
      <c r="A3449" s="35">
        <v>1097640163</v>
      </c>
      <c r="B3449" s="35" t="s">
        <v>3890</v>
      </c>
      <c r="C3449" s="35">
        <v>2022</v>
      </c>
      <c r="D3449" s="36">
        <v>44909.871979166674</v>
      </c>
      <c r="E3449" s="37" t="s">
        <v>3297</v>
      </c>
      <c r="F3449" s="37" t="s">
        <v>6171</v>
      </c>
      <c r="G3449" s="37" t="s">
        <v>4134</v>
      </c>
      <c r="H3449" s="35" t="s">
        <v>3419</v>
      </c>
      <c r="I3449" s="35" t="s">
        <v>3530</v>
      </c>
      <c r="J3449" s="38">
        <v>0.85407506702412861</v>
      </c>
      <c r="K3449" s="35">
        <v>2</v>
      </c>
      <c r="L3449" s="38">
        <f t="shared" si="53"/>
        <v>1.7081501340482572</v>
      </c>
      <c r="M3449" s="35" t="s">
        <v>11</v>
      </c>
      <c r="N3449" s="38"/>
      <c r="O3449" s="35" t="s">
        <v>12</v>
      </c>
    </row>
    <row r="3450" spans="1:15" x14ac:dyDescent="0.25">
      <c r="A3450" s="35">
        <v>1097640163</v>
      </c>
      <c r="B3450" s="35" t="s">
        <v>3890</v>
      </c>
      <c r="C3450" s="35">
        <v>2022</v>
      </c>
      <c r="D3450" s="36">
        <v>44909.871979166674</v>
      </c>
      <c r="E3450" s="37" t="s">
        <v>3297</v>
      </c>
      <c r="F3450" s="37" t="s">
        <v>4958</v>
      </c>
      <c r="G3450" s="37" t="s">
        <v>4108</v>
      </c>
      <c r="H3450" s="35" t="s">
        <v>3419</v>
      </c>
      <c r="I3450" s="35" t="s">
        <v>3416</v>
      </c>
      <c r="J3450" s="38">
        <v>3.4509249329758709</v>
      </c>
      <c r="K3450" s="35">
        <v>2</v>
      </c>
      <c r="L3450" s="38">
        <f t="shared" si="53"/>
        <v>6.9018498659517418</v>
      </c>
      <c r="M3450" s="35" t="s">
        <v>11</v>
      </c>
      <c r="N3450" s="38"/>
      <c r="O3450" s="35" t="s">
        <v>12</v>
      </c>
    </row>
    <row r="3451" spans="1:15" x14ac:dyDescent="0.25">
      <c r="A3451" s="35">
        <v>1097638400</v>
      </c>
      <c r="B3451" s="35" t="s">
        <v>3890</v>
      </c>
      <c r="C3451" s="35">
        <v>2022</v>
      </c>
      <c r="D3451" s="36">
        <v>44909.871979166674</v>
      </c>
      <c r="E3451" s="37" t="s">
        <v>3299</v>
      </c>
      <c r="F3451" s="37" t="s">
        <v>6172</v>
      </c>
      <c r="G3451" s="37" t="s">
        <v>3792</v>
      </c>
      <c r="H3451" s="35" t="s">
        <v>3419</v>
      </c>
      <c r="I3451" s="35" t="s">
        <v>3416</v>
      </c>
      <c r="J3451" s="38">
        <v>1.1513157894736841</v>
      </c>
      <c r="K3451" s="35">
        <v>1</v>
      </c>
      <c r="L3451" s="38">
        <f t="shared" si="53"/>
        <v>1.1513157894736841</v>
      </c>
      <c r="M3451" s="35" t="s">
        <v>11</v>
      </c>
      <c r="N3451" s="38"/>
      <c r="O3451" s="35" t="s">
        <v>12</v>
      </c>
    </row>
    <row r="3452" spans="1:15" x14ac:dyDescent="0.25">
      <c r="A3452" s="35">
        <v>1097638400</v>
      </c>
      <c r="B3452" s="35" t="s">
        <v>3890</v>
      </c>
      <c r="C3452" s="35">
        <v>2022</v>
      </c>
      <c r="D3452" s="36">
        <v>44909.871979166674</v>
      </c>
      <c r="E3452" s="37" t="s">
        <v>3299</v>
      </c>
      <c r="F3452" s="37" t="s">
        <v>6173</v>
      </c>
      <c r="G3452" s="37" t="s">
        <v>3792</v>
      </c>
      <c r="H3452" s="35" t="s">
        <v>3419</v>
      </c>
      <c r="I3452" s="35" t="s">
        <v>3416</v>
      </c>
      <c r="J3452" s="38">
        <v>1.1513157894736841</v>
      </c>
      <c r="K3452" s="35">
        <v>1</v>
      </c>
      <c r="L3452" s="38">
        <f t="shared" si="53"/>
        <v>1.1513157894736841</v>
      </c>
      <c r="M3452" s="35" t="s">
        <v>11</v>
      </c>
      <c r="N3452" s="38"/>
      <c r="O3452" s="35" t="s">
        <v>12</v>
      </c>
    </row>
    <row r="3453" spans="1:15" x14ac:dyDescent="0.25">
      <c r="A3453" s="35">
        <v>1097638400</v>
      </c>
      <c r="B3453" s="35" t="s">
        <v>3890</v>
      </c>
      <c r="C3453" s="35">
        <v>2022</v>
      </c>
      <c r="D3453" s="36">
        <v>44909.871979166674</v>
      </c>
      <c r="E3453" s="37" t="s">
        <v>3299</v>
      </c>
      <c r="F3453" s="37" t="s">
        <v>6174</v>
      </c>
      <c r="G3453" s="37" t="s">
        <v>3813</v>
      </c>
      <c r="H3453" s="35" t="s">
        <v>3419</v>
      </c>
      <c r="I3453" s="35" t="s">
        <v>3416</v>
      </c>
      <c r="J3453" s="38">
        <v>5.7565789473684212</v>
      </c>
      <c r="K3453" s="35">
        <v>1</v>
      </c>
      <c r="L3453" s="38">
        <f t="shared" si="53"/>
        <v>5.7565789473684212</v>
      </c>
      <c r="M3453" s="35" t="s">
        <v>11</v>
      </c>
      <c r="N3453" s="38"/>
      <c r="O3453" s="35" t="s">
        <v>12</v>
      </c>
    </row>
    <row r="3454" spans="1:15" x14ac:dyDescent="0.25">
      <c r="A3454" s="35">
        <v>1097638400</v>
      </c>
      <c r="B3454" s="35" t="s">
        <v>3890</v>
      </c>
      <c r="C3454" s="35">
        <v>2022</v>
      </c>
      <c r="D3454" s="36">
        <v>44909.871979166674</v>
      </c>
      <c r="E3454" s="37" t="s">
        <v>3299</v>
      </c>
      <c r="F3454" s="37" t="s">
        <v>6175</v>
      </c>
      <c r="G3454" s="37" t="s">
        <v>3865</v>
      </c>
      <c r="H3454" s="35" t="s">
        <v>3415</v>
      </c>
      <c r="I3454" s="35" t="s">
        <v>3416</v>
      </c>
      <c r="J3454" s="38">
        <v>0.1726973684210526</v>
      </c>
      <c r="K3454" s="35">
        <v>4</v>
      </c>
      <c r="L3454" s="38">
        <f t="shared" si="53"/>
        <v>0.6907894736842104</v>
      </c>
      <c r="M3454" s="35" t="s">
        <v>11</v>
      </c>
      <c r="N3454" s="38"/>
      <c r="O3454" s="35" t="s">
        <v>12</v>
      </c>
    </row>
    <row r="3455" spans="1:15" x14ac:dyDescent="0.25">
      <c r="A3455" s="35">
        <v>1097630041</v>
      </c>
      <c r="B3455" s="35" t="s">
        <v>3890</v>
      </c>
      <c r="C3455" s="35">
        <v>2022</v>
      </c>
      <c r="D3455" s="36">
        <v>44909.871979166674</v>
      </c>
      <c r="E3455" s="37" t="s">
        <v>3301</v>
      </c>
      <c r="F3455" s="37" t="s">
        <v>6176</v>
      </c>
      <c r="G3455" s="37" t="s">
        <v>3658</v>
      </c>
      <c r="H3455" s="35" t="s">
        <v>3419</v>
      </c>
      <c r="I3455" s="35" t="s">
        <v>3530</v>
      </c>
      <c r="J3455" s="38">
        <v>2.197222222222222</v>
      </c>
      <c r="K3455" s="35">
        <v>1</v>
      </c>
      <c r="L3455" s="38">
        <f t="shared" si="53"/>
        <v>2.197222222222222</v>
      </c>
      <c r="M3455" s="35" t="s">
        <v>11</v>
      </c>
      <c r="N3455" s="38"/>
      <c r="O3455" s="35" t="s">
        <v>12</v>
      </c>
    </row>
    <row r="3456" spans="1:15" x14ac:dyDescent="0.25">
      <c r="A3456" s="35">
        <v>1097630041</v>
      </c>
      <c r="B3456" s="35" t="s">
        <v>3890</v>
      </c>
      <c r="C3456" s="35">
        <v>2022</v>
      </c>
      <c r="D3456" s="36">
        <v>44909.871979166674</v>
      </c>
      <c r="E3456" s="37" t="s">
        <v>3301</v>
      </c>
      <c r="F3456" s="37" t="s">
        <v>4267</v>
      </c>
      <c r="G3456" s="37" t="s">
        <v>4268</v>
      </c>
      <c r="H3456" s="35" t="s">
        <v>3419</v>
      </c>
      <c r="I3456" s="35" t="s">
        <v>3416</v>
      </c>
      <c r="J3456" s="38">
        <v>3.4527777777777779</v>
      </c>
      <c r="K3456" s="35">
        <v>1</v>
      </c>
      <c r="L3456" s="38">
        <f t="shared" si="53"/>
        <v>3.4527777777777779</v>
      </c>
      <c r="M3456" s="35" t="s">
        <v>11</v>
      </c>
      <c r="N3456" s="38"/>
      <c r="O3456" s="35" t="s">
        <v>12</v>
      </c>
    </row>
    <row r="3457" spans="1:15" x14ac:dyDescent="0.25">
      <c r="A3457" s="35">
        <v>1097110444</v>
      </c>
      <c r="B3457" s="35" t="s">
        <v>3890</v>
      </c>
      <c r="C3457" s="35">
        <v>2022</v>
      </c>
      <c r="D3457" s="36">
        <v>44908.414953703701</v>
      </c>
      <c r="E3457" s="37" t="s">
        <v>294</v>
      </c>
      <c r="F3457" s="37" t="s">
        <v>6176</v>
      </c>
      <c r="G3457" s="37" t="s">
        <v>3658</v>
      </c>
      <c r="H3457" s="35" t="s">
        <v>3419</v>
      </c>
      <c r="I3457" s="35" t="s">
        <v>3416</v>
      </c>
      <c r="J3457" s="38">
        <v>4.3611524163568776</v>
      </c>
      <c r="K3457" s="35">
        <v>1</v>
      </c>
      <c r="L3457" s="38">
        <f t="shared" si="53"/>
        <v>4.3611524163568776</v>
      </c>
      <c r="M3457" s="35" t="s">
        <v>11</v>
      </c>
      <c r="N3457" s="38"/>
      <c r="O3457" s="35" t="s">
        <v>12</v>
      </c>
    </row>
    <row r="3458" spans="1:15" x14ac:dyDescent="0.25">
      <c r="A3458" s="35">
        <v>1097110444</v>
      </c>
      <c r="B3458" s="35" t="s">
        <v>3890</v>
      </c>
      <c r="C3458" s="35">
        <v>2022</v>
      </c>
      <c r="D3458" s="36">
        <v>44908.414953703701</v>
      </c>
      <c r="E3458" s="37" t="s">
        <v>294</v>
      </c>
      <c r="F3458" s="37" t="s">
        <v>6177</v>
      </c>
      <c r="G3458" s="37" t="s">
        <v>3726</v>
      </c>
      <c r="H3458" s="35" t="s">
        <v>3415</v>
      </c>
      <c r="I3458" s="35" t="s">
        <v>3416</v>
      </c>
      <c r="J3458" s="38">
        <v>0.66245353159851295</v>
      </c>
      <c r="K3458" s="35">
        <v>4</v>
      </c>
      <c r="L3458" s="38">
        <f t="shared" ref="L3458:L3521" si="54">J3458*K3458</f>
        <v>2.6498141263940518</v>
      </c>
      <c r="M3458" s="35" t="s">
        <v>11</v>
      </c>
      <c r="N3458" s="38"/>
      <c r="O3458" s="35" t="s">
        <v>12</v>
      </c>
    </row>
    <row r="3459" spans="1:15" x14ac:dyDescent="0.25">
      <c r="A3459" s="35">
        <v>1097110444</v>
      </c>
      <c r="B3459" s="35" t="s">
        <v>3890</v>
      </c>
      <c r="C3459" s="35">
        <v>2022</v>
      </c>
      <c r="D3459" s="36">
        <v>44908.414953703701</v>
      </c>
      <c r="E3459" s="37" t="s">
        <v>294</v>
      </c>
      <c r="F3459" s="37" t="s">
        <v>4807</v>
      </c>
      <c r="G3459" s="37" t="s">
        <v>6178</v>
      </c>
      <c r="H3459" s="35" t="s">
        <v>3415</v>
      </c>
      <c r="I3459" s="35" t="s">
        <v>3416</v>
      </c>
      <c r="J3459" s="38">
        <v>2.9258364312267662</v>
      </c>
      <c r="K3459" s="35">
        <v>4</v>
      </c>
      <c r="L3459" s="38">
        <f t="shared" si="54"/>
        <v>11.703345724907065</v>
      </c>
      <c r="M3459" s="35" t="s">
        <v>11</v>
      </c>
      <c r="N3459" s="38"/>
      <c r="O3459" s="35" t="s">
        <v>12</v>
      </c>
    </row>
    <row r="3460" spans="1:15" x14ac:dyDescent="0.25">
      <c r="A3460" s="35">
        <v>1097110444</v>
      </c>
      <c r="B3460" s="35" t="s">
        <v>3890</v>
      </c>
      <c r="C3460" s="35">
        <v>2022</v>
      </c>
      <c r="D3460" s="36">
        <v>44908.414953703701</v>
      </c>
      <c r="E3460" s="37" t="s">
        <v>294</v>
      </c>
      <c r="F3460" s="37" t="s">
        <v>4793</v>
      </c>
      <c r="G3460" s="37" t="s">
        <v>6178</v>
      </c>
      <c r="H3460" s="35" t="s">
        <v>3415</v>
      </c>
      <c r="I3460" s="35" t="s">
        <v>3416</v>
      </c>
      <c r="J3460" s="38">
        <v>2.0977695167286239</v>
      </c>
      <c r="K3460" s="35">
        <v>4</v>
      </c>
      <c r="L3460" s="38">
        <f t="shared" si="54"/>
        <v>8.3910780669144955</v>
      </c>
      <c r="M3460" s="35" t="s">
        <v>11</v>
      </c>
      <c r="N3460" s="38"/>
      <c r="O3460" s="35" t="s">
        <v>12</v>
      </c>
    </row>
    <row r="3461" spans="1:15" x14ac:dyDescent="0.25">
      <c r="A3461" s="35">
        <v>1097110444</v>
      </c>
      <c r="B3461" s="35" t="s">
        <v>3890</v>
      </c>
      <c r="C3461" s="35">
        <v>2022</v>
      </c>
      <c r="D3461" s="36">
        <v>44908.414953703701</v>
      </c>
      <c r="E3461" s="37" t="s">
        <v>294</v>
      </c>
      <c r="F3461" s="37" t="s">
        <v>5459</v>
      </c>
      <c r="G3461" s="37" t="s">
        <v>3876</v>
      </c>
      <c r="H3461" s="35" t="s">
        <v>3419</v>
      </c>
      <c r="I3461" s="35" t="s">
        <v>3416</v>
      </c>
      <c r="J3461" s="38">
        <v>0.1104089219330855</v>
      </c>
      <c r="K3461" s="35">
        <v>2</v>
      </c>
      <c r="L3461" s="38">
        <f t="shared" si="54"/>
        <v>0.22081784386617101</v>
      </c>
      <c r="M3461" s="35" t="s">
        <v>11</v>
      </c>
      <c r="N3461" s="38"/>
      <c r="O3461" s="35" t="s">
        <v>12</v>
      </c>
    </row>
    <row r="3462" spans="1:15" x14ac:dyDescent="0.25">
      <c r="A3462" s="35">
        <v>1097110444</v>
      </c>
      <c r="B3462" s="35" t="s">
        <v>3890</v>
      </c>
      <c r="C3462" s="35">
        <v>2022</v>
      </c>
      <c r="D3462" s="36">
        <v>44908.414953703701</v>
      </c>
      <c r="E3462" s="37" t="s">
        <v>294</v>
      </c>
      <c r="F3462" s="37" t="s">
        <v>6179</v>
      </c>
      <c r="G3462" s="37" t="s">
        <v>3674</v>
      </c>
      <c r="H3462" s="35" t="s">
        <v>3419</v>
      </c>
      <c r="I3462" s="35" t="s">
        <v>3416</v>
      </c>
      <c r="J3462" s="38">
        <v>0.27602230483271373</v>
      </c>
      <c r="K3462" s="35">
        <v>1</v>
      </c>
      <c r="L3462" s="38">
        <f t="shared" si="54"/>
        <v>0.27602230483271373</v>
      </c>
      <c r="M3462" s="35" t="s">
        <v>11</v>
      </c>
      <c r="N3462" s="38"/>
      <c r="O3462" s="35" t="s">
        <v>12</v>
      </c>
    </row>
    <row r="3463" spans="1:15" x14ac:dyDescent="0.25">
      <c r="A3463" s="35">
        <v>1097110444</v>
      </c>
      <c r="B3463" s="35" t="s">
        <v>3890</v>
      </c>
      <c r="C3463" s="35">
        <v>2022</v>
      </c>
      <c r="D3463" s="36">
        <v>44908.414953703701</v>
      </c>
      <c r="E3463" s="37" t="s">
        <v>294</v>
      </c>
      <c r="F3463" s="37" t="s">
        <v>4781</v>
      </c>
      <c r="G3463" s="37" t="s">
        <v>6178</v>
      </c>
      <c r="H3463" s="35" t="s">
        <v>3415</v>
      </c>
      <c r="I3463" s="35" t="s">
        <v>3416</v>
      </c>
      <c r="J3463" s="38">
        <v>2.3737918215613378</v>
      </c>
      <c r="K3463" s="35">
        <v>4</v>
      </c>
      <c r="L3463" s="38">
        <f t="shared" si="54"/>
        <v>9.4951672862453513</v>
      </c>
      <c r="M3463" s="35" t="s">
        <v>11</v>
      </c>
      <c r="N3463" s="38"/>
      <c r="O3463" s="35" t="s">
        <v>12</v>
      </c>
    </row>
    <row r="3464" spans="1:15" x14ac:dyDescent="0.25">
      <c r="A3464" s="35">
        <v>1097110444</v>
      </c>
      <c r="B3464" s="35" t="s">
        <v>3890</v>
      </c>
      <c r="C3464" s="35">
        <v>2022</v>
      </c>
      <c r="D3464" s="36">
        <v>44908.414953703701</v>
      </c>
      <c r="E3464" s="37" t="s">
        <v>294</v>
      </c>
      <c r="F3464" s="37" t="s">
        <v>4797</v>
      </c>
      <c r="G3464" s="37" t="s">
        <v>6178</v>
      </c>
      <c r="H3464" s="35" t="s">
        <v>3415</v>
      </c>
      <c r="I3464" s="35" t="s">
        <v>3416</v>
      </c>
      <c r="J3464" s="38">
        <v>2.9258364312267662</v>
      </c>
      <c r="K3464" s="35">
        <v>4</v>
      </c>
      <c r="L3464" s="38">
        <f t="shared" si="54"/>
        <v>11.703345724907065</v>
      </c>
      <c r="M3464" s="35" t="s">
        <v>11</v>
      </c>
      <c r="N3464" s="38"/>
      <c r="O3464" s="35" t="s">
        <v>12</v>
      </c>
    </row>
    <row r="3465" spans="1:15" x14ac:dyDescent="0.25">
      <c r="A3465" s="35">
        <v>1097110444</v>
      </c>
      <c r="B3465" s="35" t="s">
        <v>3890</v>
      </c>
      <c r="C3465" s="35">
        <v>2022</v>
      </c>
      <c r="D3465" s="36">
        <v>44908.414953703701</v>
      </c>
      <c r="E3465" s="37" t="s">
        <v>294</v>
      </c>
      <c r="F3465" s="37" t="s">
        <v>4801</v>
      </c>
      <c r="G3465" s="37" t="s">
        <v>6178</v>
      </c>
      <c r="H3465" s="35" t="s">
        <v>3415</v>
      </c>
      <c r="I3465" s="35" t="s">
        <v>3416</v>
      </c>
      <c r="J3465" s="38">
        <v>2.6498141263940518</v>
      </c>
      <c r="K3465" s="35">
        <v>4</v>
      </c>
      <c r="L3465" s="38">
        <f t="shared" si="54"/>
        <v>10.599256505576207</v>
      </c>
      <c r="M3465" s="35" t="s">
        <v>11</v>
      </c>
      <c r="N3465" s="38"/>
      <c r="O3465" s="35" t="s">
        <v>12</v>
      </c>
    </row>
    <row r="3466" spans="1:15" x14ac:dyDescent="0.25">
      <c r="A3466" s="35">
        <v>1097429604</v>
      </c>
      <c r="B3466" s="35" t="s">
        <v>3890</v>
      </c>
      <c r="C3466" s="35">
        <v>2022</v>
      </c>
      <c r="D3466" s="36">
        <v>44907.618668981479</v>
      </c>
      <c r="E3466" s="37" t="s">
        <v>2387</v>
      </c>
      <c r="F3466" s="37" t="s">
        <v>6180</v>
      </c>
      <c r="G3466" s="37" t="s">
        <v>4326</v>
      </c>
      <c r="H3466" s="35" t="s">
        <v>3419</v>
      </c>
      <c r="I3466" s="35" t="s">
        <v>3416</v>
      </c>
      <c r="J3466" s="38">
        <v>6.3724137931034477</v>
      </c>
      <c r="K3466" s="35">
        <v>1</v>
      </c>
      <c r="L3466" s="38">
        <f t="shared" si="54"/>
        <v>6.3724137931034477</v>
      </c>
      <c r="M3466" s="35" t="s">
        <v>11</v>
      </c>
      <c r="N3466" s="38"/>
      <c r="O3466" s="35" t="s">
        <v>12</v>
      </c>
    </row>
    <row r="3467" spans="1:15" x14ac:dyDescent="0.25">
      <c r="A3467" s="35">
        <v>1097429604</v>
      </c>
      <c r="B3467" s="35" t="s">
        <v>3890</v>
      </c>
      <c r="C3467" s="35">
        <v>2022</v>
      </c>
      <c r="D3467" s="36">
        <v>44907.618668981479</v>
      </c>
      <c r="E3467" s="37" t="s">
        <v>2387</v>
      </c>
      <c r="F3467" s="37" t="s">
        <v>6181</v>
      </c>
      <c r="G3467" s="37" t="s">
        <v>4326</v>
      </c>
      <c r="H3467" s="35" t="s">
        <v>3419</v>
      </c>
      <c r="I3467" s="35" t="s">
        <v>3416</v>
      </c>
      <c r="J3467" s="38">
        <v>2.0275862068965518</v>
      </c>
      <c r="K3467" s="35">
        <v>1</v>
      </c>
      <c r="L3467" s="38">
        <f t="shared" si="54"/>
        <v>2.0275862068965518</v>
      </c>
      <c r="M3467" s="35" t="s">
        <v>11</v>
      </c>
      <c r="N3467" s="38"/>
      <c r="O3467" s="35" t="s">
        <v>12</v>
      </c>
    </row>
    <row r="3468" spans="1:15" x14ac:dyDescent="0.25">
      <c r="A3468" s="35">
        <v>1097114568</v>
      </c>
      <c r="B3468" s="35" t="s">
        <v>3890</v>
      </c>
      <c r="C3468" s="35">
        <v>2022</v>
      </c>
      <c r="D3468" s="36">
        <v>44907.496724537043</v>
      </c>
      <c r="E3468" s="37" t="s">
        <v>1032</v>
      </c>
      <c r="F3468" s="37" t="s">
        <v>6182</v>
      </c>
      <c r="G3468" s="37" t="s">
        <v>5189</v>
      </c>
      <c r="H3468" s="35" t="s">
        <v>3415</v>
      </c>
      <c r="I3468" s="35" t="s">
        <v>3530</v>
      </c>
      <c r="J3468" s="38">
        <v>1.1375</v>
      </c>
      <c r="K3468" s="35">
        <v>4</v>
      </c>
      <c r="L3468" s="38">
        <f t="shared" si="54"/>
        <v>4.55</v>
      </c>
      <c r="M3468" s="35" t="s">
        <v>11</v>
      </c>
      <c r="N3468" s="38"/>
      <c r="O3468" s="35" t="s">
        <v>12</v>
      </c>
    </row>
    <row r="3469" spans="1:15" x14ac:dyDescent="0.25">
      <c r="A3469" s="35">
        <v>1097325133</v>
      </c>
      <c r="B3469" s="35" t="s">
        <v>3890</v>
      </c>
      <c r="C3469" s="35">
        <v>2022</v>
      </c>
      <c r="D3469" s="36">
        <v>44906.571064814823</v>
      </c>
      <c r="E3469" s="37" t="s">
        <v>3308</v>
      </c>
      <c r="F3469" s="37" t="s">
        <v>3875</v>
      </c>
      <c r="G3469" s="37" t="s">
        <v>3876</v>
      </c>
      <c r="H3469" s="35" t="s">
        <v>3419</v>
      </c>
      <c r="I3469" s="35" t="s">
        <v>3416</v>
      </c>
      <c r="J3469" s="38">
        <v>1.574271844660194</v>
      </c>
      <c r="K3469" s="35">
        <v>2</v>
      </c>
      <c r="L3469" s="38">
        <f t="shared" si="54"/>
        <v>3.148543689320388</v>
      </c>
      <c r="M3469" s="35" t="s">
        <v>11</v>
      </c>
      <c r="N3469" s="38"/>
      <c r="O3469" s="35" t="s">
        <v>12</v>
      </c>
    </row>
    <row r="3470" spans="1:15" x14ac:dyDescent="0.25">
      <c r="A3470" s="35">
        <v>1097325133</v>
      </c>
      <c r="B3470" s="35" t="s">
        <v>3890</v>
      </c>
      <c r="C3470" s="35">
        <v>2022</v>
      </c>
      <c r="D3470" s="36">
        <v>44906.571064814823</v>
      </c>
      <c r="E3470" s="37" t="s">
        <v>3308</v>
      </c>
      <c r="F3470" s="37" t="s">
        <v>5001</v>
      </c>
      <c r="G3470" s="37" t="s">
        <v>3676</v>
      </c>
      <c r="H3470" s="35" t="s">
        <v>3419</v>
      </c>
      <c r="I3470" s="35" t="s">
        <v>3530</v>
      </c>
      <c r="J3470" s="38">
        <v>26.237864077669901</v>
      </c>
      <c r="K3470" s="35">
        <v>2</v>
      </c>
      <c r="L3470" s="38">
        <f t="shared" si="54"/>
        <v>52.475728155339802</v>
      </c>
      <c r="M3470" s="35" t="s">
        <v>11</v>
      </c>
      <c r="N3470" s="38"/>
      <c r="O3470" s="35" t="s">
        <v>12</v>
      </c>
    </row>
    <row r="3471" spans="1:15" x14ac:dyDescent="0.25">
      <c r="A3471" s="35">
        <v>1097325133</v>
      </c>
      <c r="B3471" s="35" t="s">
        <v>3890</v>
      </c>
      <c r="C3471" s="35">
        <v>2022</v>
      </c>
      <c r="D3471" s="36">
        <v>44906.571064814823</v>
      </c>
      <c r="E3471" s="37" t="s">
        <v>3308</v>
      </c>
      <c r="F3471" s="37" t="s">
        <v>5079</v>
      </c>
      <c r="G3471" s="37" t="s">
        <v>3676</v>
      </c>
      <c r="H3471" s="35" t="s">
        <v>3419</v>
      </c>
      <c r="I3471" s="35" t="s">
        <v>3530</v>
      </c>
      <c r="J3471" s="38">
        <v>26.237864077669901</v>
      </c>
      <c r="K3471" s="35">
        <v>2</v>
      </c>
      <c r="L3471" s="38">
        <f t="shared" si="54"/>
        <v>52.475728155339802</v>
      </c>
      <c r="M3471" s="35" t="s">
        <v>11</v>
      </c>
      <c r="N3471" s="38"/>
      <c r="O3471" s="35" t="s">
        <v>12</v>
      </c>
    </row>
    <row r="3472" spans="1:15" x14ac:dyDescent="0.25">
      <c r="A3472" s="35">
        <v>1097268072</v>
      </c>
      <c r="B3472" s="35" t="s">
        <v>3890</v>
      </c>
      <c r="C3472" s="35">
        <v>2022</v>
      </c>
      <c r="D3472" s="36">
        <v>44905.799976851849</v>
      </c>
      <c r="E3472" s="37" t="s">
        <v>3311</v>
      </c>
      <c r="F3472" s="37" t="s">
        <v>6185</v>
      </c>
      <c r="G3472" s="37" t="s">
        <v>3867</v>
      </c>
      <c r="H3472" s="35" t="s">
        <v>3415</v>
      </c>
      <c r="I3472" s="35" t="s">
        <v>3453</v>
      </c>
      <c r="J3472" s="38">
        <v>2.7374999999999998</v>
      </c>
      <c r="K3472" s="35">
        <v>4</v>
      </c>
      <c r="L3472" s="38">
        <f t="shared" si="54"/>
        <v>10.95</v>
      </c>
      <c r="M3472" s="35" t="s">
        <v>11</v>
      </c>
      <c r="N3472" s="38"/>
      <c r="O3472" s="35" t="s">
        <v>12</v>
      </c>
    </row>
    <row r="3473" spans="1:15" x14ac:dyDescent="0.25">
      <c r="A3473" s="35">
        <v>1097214161</v>
      </c>
      <c r="B3473" s="35" t="s">
        <v>3890</v>
      </c>
      <c r="C3473" s="35">
        <v>2022</v>
      </c>
      <c r="D3473" s="36">
        <v>44905.08258101852</v>
      </c>
      <c r="E3473" s="37" t="s">
        <v>3314</v>
      </c>
      <c r="F3473" s="37" t="s">
        <v>6186</v>
      </c>
      <c r="G3473" s="37" t="s">
        <v>3726</v>
      </c>
      <c r="H3473" s="35" t="s">
        <v>3419</v>
      </c>
      <c r="I3473" s="35" t="s">
        <v>3416</v>
      </c>
      <c r="J3473" s="38">
        <v>1.6233333333333331</v>
      </c>
      <c r="K3473" s="35">
        <v>3</v>
      </c>
      <c r="L3473" s="38">
        <f t="shared" si="54"/>
        <v>4.8699999999999992</v>
      </c>
      <c r="M3473" s="35" t="s">
        <v>11</v>
      </c>
      <c r="N3473" s="38"/>
      <c r="O3473" s="35" t="s">
        <v>12</v>
      </c>
    </row>
    <row r="3474" spans="1:15" x14ac:dyDescent="0.25">
      <c r="A3474" s="35">
        <v>1097214139</v>
      </c>
      <c r="B3474" s="35" t="s">
        <v>3890</v>
      </c>
      <c r="C3474" s="35">
        <v>2022</v>
      </c>
      <c r="D3474" s="36">
        <v>44905.08258101852</v>
      </c>
      <c r="E3474" s="37" t="s">
        <v>3316</v>
      </c>
      <c r="F3474" s="37" t="s">
        <v>6187</v>
      </c>
      <c r="G3474" s="37" t="s">
        <v>4989</v>
      </c>
      <c r="H3474" s="35" t="s">
        <v>3419</v>
      </c>
      <c r="I3474" s="35" t="s">
        <v>3416</v>
      </c>
      <c r="J3474" s="38">
        <v>2.2186311787072241E-2</v>
      </c>
      <c r="K3474" s="35">
        <v>1</v>
      </c>
      <c r="L3474" s="38">
        <f t="shared" si="54"/>
        <v>2.2186311787072241E-2</v>
      </c>
      <c r="M3474" s="35" t="s">
        <v>11</v>
      </c>
      <c r="N3474" s="38"/>
      <c r="O3474" s="35" t="s">
        <v>12</v>
      </c>
    </row>
    <row r="3475" spans="1:15" x14ac:dyDescent="0.25">
      <c r="A3475" s="35">
        <v>1097214139</v>
      </c>
      <c r="B3475" s="35" t="s">
        <v>3890</v>
      </c>
      <c r="C3475" s="35">
        <v>2022</v>
      </c>
      <c r="D3475" s="36">
        <v>44905.08258101852</v>
      </c>
      <c r="E3475" s="37" t="s">
        <v>3316</v>
      </c>
      <c r="F3475" s="37" t="s">
        <v>6188</v>
      </c>
      <c r="G3475" s="37" t="s">
        <v>3664</v>
      </c>
      <c r="H3475" s="35" t="s">
        <v>3419</v>
      </c>
      <c r="I3475" s="35" t="s">
        <v>3416</v>
      </c>
      <c r="J3475" s="38">
        <v>0.55465779467680609</v>
      </c>
      <c r="K3475" s="35">
        <v>1</v>
      </c>
      <c r="L3475" s="38">
        <f t="shared" si="54"/>
        <v>0.55465779467680609</v>
      </c>
      <c r="M3475" s="35" t="s">
        <v>11</v>
      </c>
      <c r="N3475" s="38"/>
      <c r="O3475" s="35" t="s">
        <v>12</v>
      </c>
    </row>
    <row r="3476" spans="1:15" x14ac:dyDescent="0.25">
      <c r="A3476" s="35">
        <v>1097214139</v>
      </c>
      <c r="B3476" s="35" t="s">
        <v>3890</v>
      </c>
      <c r="C3476" s="35">
        <v>2022</v>
      </c>
      <c r="D3476" s="36">
        <v>44905.08258101852</v>
      </c>
      <c r="E3476" s="37" t="s">
        <v>3316</v>
      </c>
      <c r="F3476" s="37" t="s">
        <v>6189</v>
      </c>
      <c r="G3476" s="37" t="s">
        <v>3772</v>
      </c>
      <c r="H3476" s="35" t="s">
        <v>3419</v>
      </c>
      <c r="I3476" s="35" t="s">
        <v>3530</v>
      </c>
      <c r="J3476" s="38">
        <v>11.093155893536119</v>
      </c>
      <c r="K3476" s="35">
        <v>1</v>
      </c>
      <c r="L3476" s="38">
        <f t="shared" si="54"/>
        <v>11.093155893536119</v>
      </c>
      <c r="M3476" s="35" t="s">
        <v>11</v>
      </c>
      <c r="N3476" s="38"/>
      <c r="O3476" s="35" t="s">
        <v>12</v>
      </c>
    </row>
    <row r="3477" spans="1:15" x14ac:dyDescent="0.25">
      <c r="A3477" s="35">
        <v>1097214102</v>
      </c>
      <c r="B3477" s="35" t="s">
        <v>3890</v>
      </c>
      <c r="C3477" s="35">
        <v>2022</v>
      </c>
      <c r="D3477" s="36">
        <v>44905.08258101852</v>
      </c>
      <c r="E3477" s="37" t="s">
        <v>3318</v>
      </c>
      <c r="F3477" s="37" t="s">
        <v>6190</v>
      </c>
      <c r="G3477" s="37" t="s">
        <v>6191</v>
      </c>
      <c r="H3477" s="35" t="s">
        <v>3419</v>
      </c>
      <c r="I3477" s="35" t="s">
        <v>3416</v>
      </c>
      <c r="J3477" s="38">
        <v>4.0650000000000004</v>
      </c>
      <c r="K3477" s="35">
        <v>2</v>
      </c>
      <c r="L3477" s="38">
        <f t="shared" si="54"/>
        <v>8.1300000000000008</v>
      </c>
      <c r="M3477" s="35" t="s">
        <v>11</v>
      </c>
      <c r="N3477" s="38"/>
      <c r="O3477" s="35" t="s">
        <v>12</v>
      </c>
    </row>
    <row r="3478" spans="1:15" x14ac:dyDescent="0.25">
      <c r="A3478" s="35">
        <v>1097214098</v>
      </c>
      <c r="B3478" s="35" t="s">
        <v>3890</v>
      </c>
      <c r="C3478" s="35">
        <v>2022</v>
      </c>
      <c r="D3478" s="36">
        <v>44905.08258101852</v>
      </c>
      <c r="E3478" s="37" t="s">
        <v>3320</v>
      </c>
      <c r="F3478" s="37" t="s">
        <v>6192</v>
      </c>
      <c r="G3478" s="37" t="s">
        <v>6193</v>
      </c>
      <c r="H3478" s="35" t="s">
        <v>3419</v>
      </c>
      <c r="I3478" s="35" t="s">
        <v>3831</v>
      </c>
      <c r="J3478" s="38">
        <v>0.56666666666666665</v>
      </c>
      <c r="K3478" s="35">
        <v>1</v>
      </c>
      <c r="L3478" s="38">
        <f t="shared" si="54"/>
        <v>0.56666666666666665</v>
      </c>
      <c r="M3478" s="35" t="s">
        <v>11</v>
      </c>
      <c r="N3478" s="38"/>
      <c r="O3478" s="35" t="s">
        <v>12</v>
      </c>
    </row>
    <row r="3479" spans="1:15" x14ac:dyDescent="0.25">
      <c r="A3479" s="35">
        <v>1097214098</v>
      </c>
      <c r="B3479" s="35" t="s">
        <v>3890</v>
      </c>
      <c r="C3479" s="35">
        <v>2022</v>
      </c>
      <c r="D3479" s="36">
        <v>44905.08258101852</v>
      </c>
      <c r="E3479" s="37" t="s">
        <v>3320</v>
      </c>
      <c r="F3479" s="37" t="s">
        <v>6194</v>
      </c>
      <c r="G3479" s="37" t="s">
        <v>3825</v>
      </c>
      <c r="H3479" s="35" t="s">
        <v>3419</v>
      </c>
      <c r="I3479" s="35" t="s">
        <v>3831</v>
      </c>
      <c r="J3479" s="38">
        <v>0.48571428571428571</v>
      </c>
      <c r="K3479" s="35">
        <v>1</v>
      </c>
      <c r="L3479" s="38">
        <f t="shared" si="54"/>
        <v>0.48571428571428571</v>
      </c>
      <c r="M3479" s="35" t="s">
        <v>11</v>
      </c>
      <c r="N3479" s="38"/>
      <c r="O3479" s="35" t="s">
        <v>12</v>
      </c>
    </row>
    <row r="3480" spans="1:15" x14ac:dyDescent="0.25">
      <c r="A3480" s="35">
        <v>1097214098</v>
      </c>
      <c r="B3480" s="35" t="s">
        <v>3890</v>
      </c>
      <c r="C3480" s="35">
        <v>2022</v>
      </c>
      <c r="D3480" s="36">
        <v>44905.08258101852</v>
      </c>
      <c r="E3480" s="37" t="s">
        <v>3320</v>
      </c>
      <c r="F3480" s="37" t="s">
        <v>4958</v>
      </c>
      <c r="G3480" s="37" t="s">
        <v>4108</v>
      </c>
      <c r="H3480" s="35" t="s">
        <v>3419</v>
      </c>
      <c r="I3480" s="35" t="s">
        <v>3831</v>
      </c>
      <c r="J3480" s="38">
        <v>4.0476190476190466</v>
      </c>
      <c r="K3480" s="35">
        <v>1</v>
      </c>
      <c r="L3480" s="38">
        <f t="shared" si="54"/>
        <v>4.0476190476190466</v>
      </c>
      <c r="M3480" s="35" t="s">
        <v>11</v>
      </c>
      <c r="N3480" s="38"/>
      <c r="O3480" s="35" t="s">
        <v>12</v>
      </c>
    </row>
    <row r="3481" spans="1:15" x14ac:dyDescent="0.25">
      <c r="A3481" s="35">
        <v>1097106732</v>
      </c>
      <c r="B3481" s="35" t="s">
        <v>3890</v>
      </c>
      <c r="C3481" s="35">
        <v>2022</v>
      </c>
      <c r="D3481" s="36">
        <v>44903.849398148152</v>
      </c>
      <c r="E3481" s="37" t="s">
        <v>3322</v>
      </c>
      <c r="F3481" s="37" t="s">
        <v>4685</v>
      </c>
      <c r="G3481" s="37" t="s">
        <v>4686</v>
      </c>
      <c r="H3481" s="35" t="s">
        <v>3419</v>
      </c>
      <c r="I3481" s="35" t="s">
        <v>3530</v>
      </c>
      <c r="J3481" s="38">
        <v>8.5749999999999993</v>
      </c>
      <c r="K3481" s="35">
        <v>1</v>
      </c>
      <c r="L3481" s="38">
        <f t="shared" si="54"/>
        <v>8.5749999999999993</v>
      </c>
      <c r="M3481" s="35" t="s">
        <v>11</v>
      </c>
      <c r="N3481" s="38"/>
      <c r="O3481" s="35" t="s">
        <v>12</v>
      </c>
    </row>
    <row r="3482" spans="1:15" x14ac:dyDescent="0.25">
      <c r="A3482" s="35">
        <v>1097106732</v>
      </c>
      <c r="B3482" s="35" t="s">
        <v>3890</v>
      </c>
      <c r="C3482" s="35">
        <v>2022</v>
      </c>
      <c r="D3482" s="36">
        <v>44903.849398148152</v>
      </c>
      <c r="E3482" s="37" t="s">
        <v>3322</v>
      </c>
      <c r="F3482" s="37" t="s">
        <v>4833</v>
      </c>
      <c r="G3482" s="37" t="s">
        <v>3674</v>
      </c>
      <c r="H3482" s="35" t="s">
        <v>3419</v>
      </c>
      <c r="I3482" s="35" t="s">
        <v>3530</v>
      </c>
      <c r="J3482" s="38">
        <v>6.125</v>
      </c>
      <c r="K3482" s="35">
        <v>1</v>
      </c>
      <c r="L3482" s="38">
        <f t="shared" si="54"/>
        <v>6.125</v>
      </c>
      <c r="M3482" s="35" t="s">
        <v>11</v>
      </c>
      <c r="N3482" s="38"/>
      <c r="O3482" s="35" t="s">
        <v>12</v>
      </c>
    </row>
    <row r="3483" spans="1:15" x14ac:dyDescent="0.25">
      <c r="A3483" s="35">
        <v>1096981292</v>
      </c>
      <c r="B3483" s="35" t="s">
        <v>3890</v>
      </c>
      <c r="C3483" s="35">
        <v>2022</v>
      </c>
      <c r="D3483" s="36">
        <v>44902.563703703701</v>
      </c>
      <c r="E3483" s="37" t="s">
        <v>3062</v>
      </c>
      <c r="F3483" s="37" t="s">
        <v>6195</v>
      </c>
      <c r="G3483" s="37" t="s">
        <v>6196</v>
      </c>
      <c r="H3483" s="35" t="s">
        <v>3419</v>
      </c>
      <c r="I3483" s="35" t="s">
        <v>3416</v>
      </c>
      <c r="J3483" s="38">
        <v>6.243243243243243</v>
      </c>
      <c r="K3483" s="35">
        <v>1</v>
      </c>
      <c r="L3483" s="38">
        <f t="shared" si="54"/>
        <v>6.243243243243243</v>
      </c>
      <c r="M3483" s="35" t="s">
        <v>11</v>
      </c>
      <c r="N3483" s="38"/>
      <c r="O3483" s="35" t="s">
        <v>12</v>
      </c>
    </row>
    <row r="3484" spans="1:15" x14ac:dyDescent="0.25">
      <c r="A3484" s="35">
        <v>1096981292</v>
      </c>
      <c r="B3484" s="35" t="s">
        <v>3890</v>
      </c>
      <c r="C3484" s="35">
        <v>2022</v>
      </c>
      <c r="D3484" s="36">
        <v>44902.563703703701</v>
      </c>
      <c r="E3484" s="37" t="s">
        <v>3062</v>
      </c>
      <c r="F3484" s="37" t="s">
        <v>6195</v>
      </c>
      <c r="G3484" s="37" t="s">
        <v>6197</v>
      </c>
      <c r="H3484" s="35" t="s">
        <v>3419</v>
      </c>
      <c r="I3484" s="35" t="s">
        <v>3416</v>
      </c>
      <c r="J3484" s="38">
        <v>7.2648648648648653</v>
      </c>
      <c r="K3484" s="35">
        <v>1</v>
      </c>
      <c r="L3484" s="38">
        <f t="shared" si="54"/>
        <v>7.2648648648648653</v>
      </c>
      <c r="M3484" s="35" t="s">
        <v>11</v>
      </c>
      <c r="N3484" s="38"/>
      <c r="O3484" s="35" t="s">
        <v>12</v>
      </c>
    </row>
    <row r="3485" spans="1:15" x14ac:dyDescent="0.25">
      <c r="A3485" s="35">
        <v>1096981292</v>
      </c>
      <c r="B3485" s="35" t="s">
        <v>3890</v>
      </c>
      <c r="C3485" s="35">
        <v>2022</v>
      </c>
      <c r="D3485" s="36">
        <v>44902.563703703701</v>
      </c>
      <c r="E3485" s="37" t="s">
        <v>3062</v>
      </c>
      <c r="F3485" s="37" t="s">
        <v>6195</v>
      </c>
      <c r="G3485" s="37" t="s">
        <v>5973</v>
      </c>
      <c r="H3485" s="35" t="s">
        <v>3419</v>
      </c>
      <c r="I3485" s="35" t="s">
        <v>3416</v>
      </c>
      <c r="J3485" s="38">
        <v>6.5270270270270272</v>
      </c>
      <c r="K3485" s="35">
        <v>1</v>
      </c>
      <c r="L3485" s="38">
        <f t="shared" si="54"/>
        <v>6.5270270270270272</v>
      </c>
      <c r="M3485" s="35" t="s">
        <v>11</v>
      </c>
      <c r="N3485" s="38"/>
      <c r="O3485" s="35" t="s">
        <v>12</v>
      </c>
    </row>
    <row r="3486" spans="1:15" x14ac:dyDescent="0.25">
      <c r="A3486" s="35">
        <v>1096981292</v>
      </c>
      <c r="B3486" s="35" t="s">
        <v>3890</v>
      </c>
      <c r="C3486" s="35">
        <v>2022</v>
      </c>
      <c r="D3486" s="36">
        <v>44902.563703703701</v>
      </c>
      <c r="E3486" s="37" t="s">
        <v>3062</v>
      </c>
      <c r="F3486" s="37" t="s">
        <v>6195</v>
      </c>
      <c r="G3486" s="37" t="s">
        <v>6198</v>
      </c>
      <c r="H3486" s="35" t="s">
        <v>3419</v>
      </c>
      <c r="I3486" s="35" t="s">
        <v>3416</v>
      </c>
      <c r="J3486" s="38">
        <v>7.2648648648648653</v>
      </c>
      <c r="K3486" s="35">
        <v>1</v>
      </c>
      <c r="L3486" s="38">
        <f t="shared" si="54"/>
        <v>7.2648648648648653</v>
      </c>
      <c r="M3486" s="35" t="s">
        <v>11</v>
      </c>
      <c r="N3486" s="38"/>
      <c r="O3486" s="35" t="s">
        <v>12</v>
      </c>
    </row>
    <row r="3487" spans="1:15" x14ac:dyDescent="0.25">
      <c r="A3487" s="35">
        <v>1096980618</v>
      </c>
      <c r="B3487" s="35" t="s">
        <v>3890</v>
      </c>
      <c r="C3487" s="35">
        <v>2022</v>
      </c>
      <c r="D3487" s="36">
        <v>44902.563703703701</v>
      </c>
      <c r="E3487" s="37" t="s">
        <v>2838</v>
      </c>
      <c r="F3487" s="37" t="s">
        <v>5512</v>
      </c>
      <c r="G3487" s="37" t="s">
        <v>4432</v>
      </c>
      <c r="H3487" s="35" t="s">
        <v>3419</v>
      </c>
      <c r="I3487" s="35" t="s">
        <v>3416</v>
      </c>
      <c r="J3487" s="38">
        <v>7.0569075144508666</v>
      </c>
      <c r="K3487" s="35">
        <v>1</v>
      </c>
      <c r="L3487" s="38">
        <f t="shared" si="54"/>
        <v>7.0569075144508666</v>
      </c>
      <c r="M3487" s="35" t="s">
        <v>11</v>
      </c>
      <c r="N3487" s="38"/>
      <c r="O3487" s="35" t="s">
        <v>12</v>
      </c>
    </row>
    <row r="3488" spans="1:15" x14ac:dyDescent="0.25">
      <c r="A3488" s="35">
        <v>1096980618</v>
      </c>
      <c r="B3488" s="35" t="s">
        <v>3890</v>
      </c>
      <c r="C3488" s="35">
        <v>2022</v>
      </c>
      <c r="D3488" s="36">
        <v>44902.563703703701</v>
      </c>
      <c r="E3488" s="37" t="s">
        <v>2838</v>
      </c>
      <c r="F3488" s="37" t="s">
        <v>5512</v>
      </c>
      <c r="G3488" s="37" t="s">
        <v>4432</v>
      </c>
      <c r="H3488" s="35" t="s">
        <v>3419</v>
      </c>
      <c r="I3488" s="35" t="s">
        <v>3416</v>
      </c>
      <c r="J3488" s="38">
        <v>9.8840879897238274</v>
      </c>
      <c r="K3488" s="35">
        <v>1</v>
      </c>
      <c r="L3488" s="38">
        <f t="shared" si="54"/>
        <v>9.8840879897238274</v>
      </c>
      <c r="M3488" s="35" t="s">
        <v>11</v>
      </c>
      <c r="N3488" s="38"/>
      <c r="O3488" s="35" t="s">
        <v>12</v>
      </c>
    </row>
    <row r="3489" spans="1:15" x14ac:dyDescent="0.25">
      <c r="A3489" s="35">
        <v>1096980618</v>
      </c>
      <c r="B3489" s="35" t="s">
        <v>3890</v>
      </c>
      <c r="C3489" s="35">
        <v>2022</v>
      </c>
      <c r="D3489" s="36">
        <v>44902.563703703701</v>
      </c>
      <c r="E3489" s="37" t="s">
        <v>2838</v>
      </c>
      <c r="F3489" s="37" t="s">
        <v>5512</v>
      </c>
      <c r="G3489" s="37" t="s">
        <v>4432</v>
      </c>
      <c r="H3489" s="35" t="s">
        <v>3419</v>
      </c>
      <c r="I3489" s="35" t="s">
        <v>3416</v>
      </c>
      <c r="J3489" s="38">
        <v>8.7245022479126533</v>
      </c>
      <c r="K3489" s="35">
        <v>1</v>
      </c>
      <c r="L3489" s="38">
        <f t="shared" si="54"/>
        <v>8.7245022479126533</v>
      </c>
      <c r="M3489" s="35" t="s">
        <v>11</v>
      </c>
      <c r="N3489" s="38"/>
      <c r="O3489" s="35" t="s">
        <v>12</v>
      </c>
    </row>
    <row r="3490" spans="1:15" x14ac:dyDescent="0.25">
      <c r="A3490" s="35">
        <v>1096980618</v>
      </c>
      <c r="B3490" s="35" t="s">
        <v>3890</v>
      </c>
      <c r="C3490" s="35">
        <v>2022</v>
      </c>
      <c r="D3490" s="36">
        <v>44902.563703703701</v>
      </c>
      <c r="E3490" s="37" t="s">
        <v>2838</v>
      </c>
      <c r="F3490" s="37" t="s">
        <v>5512</v>
      </c>
      <c r="G3490" s="37" t="s">
        <v>4432</v>
      </c>
      <c r="H3490" s="35" t="s">
        <v>3419</v>
      </c>
      <c r="I3490" s="35" t="s">
        <v>3416</v>
      </c>
      <c r="J3490" s="38">
        <v>8.7245022479126533</v>
      </c>
      <c r="K3490" s="35">
        <v>1</v>
      </c>
      <c r="L3490" s="38">
        <f t="shared" si="54"/>
        <v>8.7245022479126533</v>
      </c>
      <c r="M3490" s="35" t="s">
        <v>11</v>
      </c>
      <c r="N3490" s="38"/>
      <c r="O3490" s="35" t="s">
        <v>12</v>
      </c>
    </row>
    <row r="3491" spans="1:15" x14ac:dyDescent="0.25">
      <c r="A3491" s="35">
        <v>1096963707</v>
      </c>
      <c r="B3491" s="35" t="s">
        <v>3890</v>
      </c>
      <c r="C3491" s="35">
        <v>2022</v>
      </c>
      <c r="D3491" s="36">
        <v>44902.454409722217</v>
      </c>
      <c r="E3491" s="37" t="s">
        <v>3327</v>
      </c>
      <c r="F3491" s="37" t="s">
        <v>6201</v>
      </c>
      <c r="G3491" s="37" t="s">
        <v>4867</v>
      </c>
      <c r="H3491" s="35" t="s">
        <v>3419</v>
      </c>
      <c r="I3491" s="35" t="s">
        <v>3416</v>
      </c>
      <c r="J3491" s="38">
        <v>32.590000000000003</v>
      </c>
      <c r="K3491" s="35">
        <v>1</v>
      </c>
      <c r="L3491" s="38">
        <f t="shared" si="54"/>
        <v>32.590000000000003</v>
      </c>
      <c r="M3491" s="35" t="s">
        <v>11</v>
      </c>
      <c r="N3491" s="38"/>
      <c r="O3491" s="35" t="s">
        <v>12</v>
      </c>
    </row>
    <row r="3492" spans="1:15" x14ac:dyDescent="0.25">
      <c r="A3492" s="35">
        <v>1096959898</v>
      </c>
      <c r="B3492" s="35" t="s">
        <v>3890</v>
      </c>
      <c r="C3492" s="35">
        <v>2022</v>
      </c>
      <c r="D3492" s="36">
        <v>44902.454409722217</v>
      </c>
      <c r="E3492" s="37" t="s">
        <v>414</v>
      </c>
      <c r="F3492" s="37" t="s">
        <v>6202</v>
      </c>
      <c r="G3492" s="37" t="s">
        <v>3658</v>
      </c>
      <c r="H3492" s="35" t="s">
        <v>3419</v>
      </c>
      <c r="I3492" s="35" t="s">
        <v>3416</v>
      </c>
      <c r="J3492" s="38">
        <v>14.603790164762319</v>
      </c>
      <c r="K3492" s="35">
        <v>3</v>
      </c>
      <c r="L3492" s="38">
        <f t="shared" si="54"/>
        <v>43.811370494286962</v>
      </c>
      <c r="M3492" s="35" t="s">
        <v>11</v>
      </c>
      <c r="N3492" s="38"/>
      <c r="O3492" s="35" t="s">
        <v>12</v>
      </c>
    </row>
    <row r="3493" spans="1:15" x14ac:dyDescent="0.25">
      <c r="A3493" s="35">
        <v>1096959898</v>
      </c>
      <c r="B3493" s="35" t="s">
        <v>3890</v>
      </c>
      <c r="C3493" s="35">
        <v>2022</v>
      </c>
      <c r="D3493" s="36">
        <v>44902.454409722217</v>
      </c>
      <c r="E3493" s="37" t="s">
        <v>414</v>
      </c>
      <c r="F3493" s="37" t="s">
        <v>6203</v>
      </c>
      <c r="G3493" s="37" t="s">
        <v>3871</v>
      </c>
      <c r="H3493" s="35" t="s">
        <v>3419</v>
      </c>
      <c r="I3493" s="35" t="s">
        <v>3416</v>
      </c>
      <c r="J3493" s="38">
        <v>10.428296193422129</v>
      </c>
      <c r="K3493" s="35">
        <v>2</v>
      </c>
      <c r="L3493" s="38">
        <f t="shared" si="54"/>
        <v>20.856592386844259</v>
      </c>
      <c r="M3493" s="35" t="s">
        <v>11</v>
      </c>
      <c r="N3493" s="38"/>
      <c r="O3493" s="35" t="s">
        <v>12</v>
      </c>
    </row>
    <row r="3494" spans="1:15" x14ac:dyDescent="0.25">
      <c r="A3494" s="35">
        <v>1096959898</v>
      </c>
      <c r="B3494" s="35" t="s">
        <v>3890</v>
      </c>
      <c r="C3494" s="35">
        <v>2022</v>
      </c>
      <c r="D3494" s="36">
        <v>44902.454409722217</v>
      </c>
      <c r="E3494" s="37" t="s">
        <v>414</v>
      </c>
      <c r="F3494" s="37" t="s">
        <v>6056</v>
      </c>
      <c r="G3494" s="37" t="s">
        <v>6057</v>
      </c>
      <c r="H3494" s="35" t="s">
        <v>3419</v>
      </c>
      <c r="I3494" s="35" t="s">
        <v>3416</v>
      </c>
      <c r="J3494" s="38">
        <v>6.2528022220819386</v>
      </c>
      <c r="K3494" s="35">
        <v>3</v>
      </c>
      <c r="L3494" s="38">
        <f t="shared" si="54"/>
        <v>18.758406666245815</v>
      </c>
      <c r="M3494" s="35" t="s">
        <v>11</v>
      </c>
      <c r="N3494" s="38"/>
      <c r="O3494" s="35" t="s">
        <v>12</v>
      </c>
    </row>
    <row r="3495" spans="1:15" x14ac:dyDescent="0.25">
      <c r="A3495" s="35">
        <v>1096959898</v>
      </c>
      <c r="B3495" s="35" t="s">
        <v>3890</v>
      </c>
      <c r="C3495" s="35">
        <v>2022</v>
      </c>
      <c r="D3495" s="36">
        <v>44902.454409722217</v>
      </c>
      <c r="E3495" s="37" t="s">
        <v>414</v>
      </c>
      <c r="F3495" s="37" t="s">
        <v>6204</v>
      </c>
      <c r="G3495" s="37" t="s">
        <v>5010</v>
      </c>
      <c r="H3495" s="35" t="s">
        <v>3415</v>
      </c>
      <c r="I3495" s="35" t="s">
        <v>3416</v>
      </c>
      <c r="J3495" s="38">
        <v>3.1211817435767948</v>
      </c>
      <c r="K3495" s="35">
        <v>4</v>
      </c>
      <c r="L3495" s="38">
        <f t="shared" si="54"/>
        <v>12.484726974307179</v>
      </c>
      <c r="M3495" s="35" t="s">
        <v>11</v>
      </c>
      <c r="N3495" s="38"/>
      <c r="O3495" s="35" t="s">
        <v>12</v>
      </c>
    </row>
    <row r="3496" spans="1:15" ht="30" x14ac:dyDescent="0.25">
      <c r="A3496" s="35">
        <v>1096959898</v>
      </c>
      <c r="B3496" s="35" t="s">
        <v>3890</v>
      </c>
      <c r="C3496" s="35">
        <v>2022</v>
      </c>
      <c r="D3496" s="36">
        <v>44902.454409722217</v>
      </c>
      <c r="E3496" s="37" t="s">
        <v>414</v>
      </c>
      <c r="F3496" s="37" t="s">
        <v>6205</v>
      </c>
      <c r="G3496" s="37" t="s">
        <v>3765</v>
      </c>
      <c r="H3496" s="35" t="s">
        <v>3415</v>
      </c>
      <c r="I3496" s="35" t="s">
        <v>3416</v>
      </c>
      <c r="J3496" s="38">
        <v>0.26096837320876209</v>
      </c>
      <c r="K3496" s="35">
        <v>4</v>
      </c>
      <c r="L3496" s="38">
        <f t="shared" si="54"/>
        <v>1.0438734928350484</v>
      </c>
      <c r="M3496" s="35" t="s">
        <v>11</v>
      </c>
      <c r="N3496" s="38"/>
      <c r="O3496" s="35" t="s">
        <v>12</v>
      </c>
    </row>
    <row r="3497" spans="1:15" x14ac:dyDescent="0.25">
      <c r="A3497" s="35">
        <v>1096959898</v>
      </c>
      <c r="B3497" s="35" t="s">
        <v>3890</v>
      </c>
      <c r="C3497" s="35">
        <v>2022</v>
      </c>
      <c r="D3497" s="36">
        <v>44902.454409722217</v>
      </c>
      <c r="E3497" s="37" t="s">
        <v>414</v>
      </c>
      <c r="F3497" s="37" t="s">
        <v>6206</v>
      </c>
      <c r="G3497" s="37" t="s">
        <v>3830</v>
      </c>
      <c r="H3497" s="35" t="s">
        <v>3415</v>
      </c>
      <c r="I3497" s="35" t="s">
        <v>3416</v>
      </c>
      <c r="J3497" s="38">
        <v>0.51149801148917362</v>
      </c>
      <c r="K3497" s="35">
        <v>4</v>
      </c>
      <c r="L3497" s="38">
        <f t="shared" si="54"/>
        <v>2.0459920459566945</v>
      </c>
      <c r="M3497" s="35" t="s">
        <v>11</v>
      </c>
      <c r="N3497" s="38"/>
      <c r="O3497" s="35" t="s">
        <v>12</v>
      </c>
    </row>
    <row r="3498" spans="1:15" ht="30" x14ac:dyDescent="0.25">
      <c r="A3498" s="35">
        <v>1096959898</v>
      </c>
      <c r="B3498" s="35" t="s">
        <v>3890</v>
      </c>
      <c r="C3498" s="35">
        <v>2022</v>
      </c>
      <c r="D3498" s="36">
        <v>44902.454409722217</v>
      </c>
      <c r="E3498" s="37" t="s">
        <v>414</v>
      </c>
      <c r="F3498" s="37" t="s">
        <v>6207</v>
      </c>
      <c r="G3498" s="37" t="s">
        <v>3765</v>
      </c>
      <c r="H3498" s="35" t="s">
        <v>3415</v>
      </c>
      <c r="I3498" s="35" t="s">
        <v>3416</v>
      </c>
      <c r="J3498" s="38">
        <v>1.3048418660438099</v>
      </c>
      <c r="K3498" s="35">
        <v>4</v>
      </c>
      <c r="L3498" s="38">
        <f t="shared" si="54"/>
        <v>5.2193674641752397</v>
      </c>
      <c r="M3498" s="35" t="s">
        <v>11</v>
      </c>
      <c r="N3498" s="38"/>
      <c r="O3498" s="35" t="s">
        <v>12</v>
      </c>
    </row>
    <row r="3499" spans="1:15" x14ac:dyDescent="0.25">
      <c r="A3499" s="35">
        <v>1096959898</v>
      </c>
      <c r="B3499" s="35" t="s">
        <v>3890</v>
      </c>
      <c r="C3499" s="35">
        <v>2022</v>
      </c>
      <c r="D3499" s="36">
        <v>44902.454409722217</v>
      </c>
      <c r="E3499" s="37" t="s">
        <v>414</v>
      </c>
      <c r="F3499" s="37" t="s">
        <v>6208</v>
      </c>
      <c r="G3499" s="37" t="s">
        <v>3740</v>
      </c>
      <c r="H3499" s="35" t="s">
        <v>3419</v>
      </c>
      <c r="I3499" s="35" t="s">
        <v>3416</v>
      </c>
      <c r="J3499" s="38">
        <v>0.78290511962628617</v>
      </c>
      <c r="K3499" s="35">
        <v>2</v>
      </c>
      <c r="L3499" s="38">
        <f t="shared" si="54"/>
        <v>1.5658102392525723</v>
      </c>
      <c r="M3499" s="35" t="s">
        <v>11</v>
      </c>
      <c r="N3499" s="38"/>
      <c r="O3499" s="35" t="s">
        <v>12</v>
      </c>
    </row>
    <row r="3500" spans="1:15" x14ac:dyDescent="0.25">
      <c r="A3500" s="35">
        <v>1096959898</v>
      </c>
      <c r="B3500" s="35" t="s">
        <v>3890</v>
      </c>
      <c r="C3500" s="35">
        <v>2022</v>
      </c>
      <c r="D3500" s="36">
        <v>44902.454409722217</v>
      </c>
      <c r="E3500" s="37" t="s">
        <v>414</v>
      </c>
      <c r="F3500" s="37" t="s">
        <v>6209</v>
      </c>
      <c r="G3500" s="37" t="s">
        <v>3700</v>
      </c>
      <c r="H3500" s="35" t="s">
        <v>3419</v>
      </c>
      <c r="I3500" s="35" t="s">
        <v>3530</v>
      </c>
      <c r="J3500" s="38">
        <v>0.26096837320876209</v>
      </c>
      <c r="K3500" s="35">
        <v>2</v>
      </c>
      <c r="L3500" s="38">
        <f t="shared" si="54"/>
        <v>0.52193674641752419</v>
      </c>
      <c r="M3500" s="35" t="s">
        <v>11</v>
      </c>
      <c r="N3500" s="38"/>
      <c r="O3500" s="35" t="s">
        <v>12</v>
      </c>
    </row>
    <row r="3501" spans="1:15" x14ac:dyDescent="0.25">
      <c r="A3501" s="35">
        <v>1096959898</v>
      </c>
      <c r="B3501" s="35" t="s">
        <v>3890</v>
      </c>
      <c r="C3501" s="35">
        <v>2022</v>
      </c>
      <c r="D3501" s="36">
        <v>44902.454409722217</v>
      </c>
      <c r="E3501" s="37" t="s">
        <v>414</v>
      </c>
      <c r="F3501" s="37" t="s">
        <v>6210</v>
      </c>
      <c r="G3501" s="37" t="s">
        <v>3682</v>
      </c>
      <c r="H3501" s="35" t="s">
        <v>3419</v>
      </c>
      <c r="I3501" s="35" t="s">
        <v>3416</v>
      </c>
      <c r="J3501" s="38">
        <v>10.428296193422129</v>
      </c>
      <c r="K3501" s="35">
        <v>2</v>
      </c>
      <c r="L3501" s="38">
        <f t="shared" si="54"/>
        <v>20.856592386844259</v>
      </c>
      <c r="M3501" s="35" t="s">
        <v>11</v>
      </c>
      <c r="N3501" s="38"/>
      <c r="O3501" s="35" t="s">
        <v>12</v>
      </c>
    </row>
    <row r="3502" spans="1:15" x14ac:dyDescent="0.25">
      <c r="A3502" s="35">
        <v>1096959898</v>
      </c>
      <c r="B3502" s="35" t="s">
        <v>3890</v>
      </c>
      <c r="C3502" s="35">
        <v>2022</v>
      </c>
      <c r="D3502" s="36">
        <v>44902.454409722217</v>
      </c>
      <c r="E3502" s="37" t="s">
        <v>414</v>
      </c>
      <c r="F3502" s="37" t="s">
        <v>6211</v>
      </c>
      <c r="G3502" s="37" t="s">
        <v>4009</v>
      </c>
      <c r="H3502" s="35" t="s">
        <v>3419</v>
      </c>
      <c r="I3502" s="35" t="s">
        <v>3640</v>
      </c>
      <c r="J3502" s="38">
        <v>0.78290511962628617</v>
      </c>
      <c r="K3502" s="35">
        <v>1</v>
      </c>
      <c r="L3502" s="38">
        <f t="shared" si="54"/>
        <v>0.78290511962628617</v>
      </c>
      <c r="M3502" s="35" t="s">
        <v>11</v>
      </c>
      <c r="N3502" s="38"/>
      <c r="O3502" s="35" t="s">
        <v>12</v>
      </c>
    </row>
    <row r="3503" spans="1:15" x14ac:dyDescent="0.25">
      <c r="A3503" s="35">
        <v>1096959898</v>
      </c>
      <c r="B3503" s="35" t="s">
        <v>3890</v>
      </c>
      <c r="C3503" s="35">
        <v>2022</v>
      </c>
      <c r="D3503" s="36">
        <v>44902.454409722217</v>
      </c>
      <c r="E3503" s="37" t="s">
        <v>414</v>
      </c>
      <c r="F3503" s="37" t="s">
        <v>3875</v>
      </c>
      <c r="G3503" s="37" t="s">
        <v>3876</v>
      </c>
      <c r="H3503" s="35" t="s">
        <v>3419</v>
      </c>
      <c r="I3503" s="35" t="s">
        <v>3416</v>
      </c>
      <c r="J3503" s="38">
        <v>3.1211817435767948</v>
      </c>
      <c r="K3503" s="35">
        <v>2</v>
      </c>
      <c r="L3503" s="38">
        <f t="shared" si="54"/>
        <v>6.2423634871535896</v>
      </c>
      <c r="M3503" s="35" t="s">
        <v>11</v>
      </c>
      <c r="N3503" s="38"/>
      <c r="O3503" s="35" t="s">
        <v>12</v>
      </c>
    </row>
    <row r="3504" spans="1:15" ht="30" x14ac:dyDescent="0.25">
      <c r="A3504" s="35">
        <v>1096959898</v>
      </c>
      <c r="B3504" s="35" t="s">
        <v>3890</v>
      </c>
      <c r="C3504" s="35">
        <v>2022</v>
      </c>
      <c r="D3504" s="36">
        <v>44902.454409722217</v>
      </c>
      <c r="E3504" s="37" t="s">
        <v>414</v>
      </c>
      <c r="F3504" s="37" t="s">
        <v>6212</v>
      </c>
      <c r="G3504" s="37" t="s">
        <v>3765</v>
      </c>
      <c r="H3504" s="35" t="s">
        <v>3419</v>
      </c>
      <c r="I3504" s="35" t="s">
        <v>3416</v>
      </c>
      <c r="J3504" s="38">
        <v>1.555371504324222</v>
      </c>
      <c r="K3504" s="35">
        <v>1</v>
      </c>
      <c r="L3504" s="38">
        <f t="shared" si="54"/>
        <v>1.555371504324222</v>
      </c>
      <c r="M3504" s="35" t="s">
        <v>11</v>
      </c>
      <c r="N3504" s="38"/>
      <c r="O3504" s="35" t="s">
        <v>12</v>
      </c>
    </row>
    <row r="3505" spans="1:15" x14ac:dyDescent="0.25">
      <c r="A3505" s="35">
        <v>1096959898</v>
      </c>
      <c r="B3505" s="35" t="s">
        <v>3890</v>
      </c>
      <c r="C3505" s="35">
        <v>2022</v>
      </c>
      <c r="D3505" s="36">
        <v>44902.454409722217</v>
      </c>
      <c r="E3505" s="37" t="s">
        <v>414</v>
      </c>
      <c r="F3505" s="37" t="s">
        <v>5499</v>
      </c>
      <c r="G3505" s="37" t="s">
        <v>4309</v>
      </c>
      <c r="H3505" s="35" t="s">
        <v>3419</v>
      </c>
      <c r="I3505" s="35" t="s">
        <v>3416</v>
      </c>
      <c r="J3505" s="38">
        <v>4.1650552364118427</v>
      </c>
      <c r="K3505" s="35">
        <v>1</v>
      </c>
      <c r="L3505" s="38">
        <f t="shared" si="54"/>
        <v>4.1650552364118427</v>
      </c>
      <c r="M3505" s="35" t="s">
        <v>11</v>
      </c>
      <c r="N3505" s="38"/>
      <c r="O3505" s="35" t="s">
        <v>12</v>
      </c>
    </row>
    <row r="3506" spans="1:15" x14ac:dyDescent="0.25">
      <c r="A3506" s="35">
        <v>1096959898</v>
      </c>
      <c r="B3506" s="35" t="s">
        <v>3890</v>
      </c>
      <c r="C3506" s="35">
        <v>2022</v>
      </c>
      <c r="D3506" s="36">
        <v>44902.454409722217</v>
      </c>
      <c r="E3506" s="37" t="s">
        <v>414</v>
      </c>
      <c r="F3506" s="37" t="s">
        <v>6213</v>
      </c>
      <c r="G3506" s="37" t="s">
        <v>4814</v>
      </c>
      <c r="H3506" s="35" t="s">
        <v>3415</v>
      </c>
      <c r="I3506" s="35" t="s">
        <v>3416</v>
      </c>
      <c r="J3506" s="38">
        <v>1.033434757906698</v>
      </c>
      <c r="K3506" s="35">
        <v>4</v>
      </c>
      <c r="L3506" s="38">
        <f t="shared" si="54"/>
        <v>4.1337390316267921</v>
      </c>
      <c r="M3506" s="35" t="s">
        <v>11</v>
      </c>
      <c r="N3506" s="38"/>
      <c r="O3506" s="35" t="s">
        <v>12</v>
      </c>
    </row>
    <row r="3507" spans="1:15" ht="30" x14ac:dyDescent="0.25">
      <c r="A3507" s="35">
        <v>1096959898</v>
      </c>
      <c r="B3507" s="35" t="s">
        <v>3890</v>
      </c>
      <c r="C3507" s="35">
        <v>2022</v>
      </c>
      <c r="D3507" s="36">
        <v>44902.454409722217</v>
      </c>
      <c r="E3507" s="37" t="s">
        <v>414</v>
      </c>
      <c r="F3507" s="37" t="s">
        <v>6214</v>
      </c>
      <c r="G3507" s="37" t="s">
        <v>3765</v>
      </c>
      <c r="H3507" s="35" t="s">
        <v>3419</v>
      </c>
      <c r="I3507" s="35" t="s">
        <v>3416</v>
      </c>
      <c r="J3507" s="38">
        <v>0.51149801148917362</v>
      </c>
      <c r="K3507" s="35">
        <v>1</v>
      </c>
      <c r="L3507" s="38">
        <f t="shared" si="54"/>
        <v>0.51149801148917362</v>
      </c>
      <c r="M3507" s="35" t="s">
        <v>11</v>
      </c>
      <c r="N3507" s="38"/>
      <c r="O3507" s="35" t="s">
        <v>12</v>
      </c>
    </row>
    <row r="3508" spans="1:15" x14ac:dyDescent="0.25">
      <c r="A3508" s="35">
        <v>1096959898</v>
      </c>
      <c r="B3508" s="35" t="s">
        <v>3890</v>
      </c>
      <c r="C3508" s="35">
        <v>2022</v>
      </c>
      <c r="D3508" s="36">
        <v>44902.454409722217</v>
      </c>
      <c r="E3508" s="37" t="s">
        <v>414</v>
      </c>
      <c r="F3508" s="37" t="s">
        <v>3636</v>
      </c>
      <c r="G3508" s="37" t="s">
        <v>3637</v>
      </c>
      <c r="H3508" s="35" t="s">
        <v>3419</v>
      </c>
      <c r="I3508" s="35" t="s">
        <v>3416</v>
      </c>
      <c r="J3508" s="38">
        <v>2.077308250741746</v>
      </c>
      <c r="K3508" s="35">
        <v>2</v>
      </c>
      <c r="L3508" s="38">
        <f t="shared" si="54"/>
        <v>4.1546165014834919</v>
      </c>
      <c r="M3508" s="35" t="s">
        <v>11</v>
      </c>
      <c r="N3508" s="38"/>
      <c r="O3508" s="35" t="s">
        <v>12</v>
      </c>
    </row>
    <row r="3509" spans="1:15" x14ac:dyDescent="0.25">
      <c r="A3509" s="35">
        <v>1096959898</v>
      </c>
      <c r="B3509" s="35" t="s">
        <v>3890</v>
      </c>
      <c r="C3509" s="35">
        <v>2022</v>
      </c>
      <c r="D3509" s="36">
        <v>44902.454409722217</v>
      </c>
      <c r="E3509" s="37" t="s">
        <v>414</v>
      </c>
      <c r="F3509" s="37" t="s">
        <v>3860</v>
      </c>
      <c r="G3509" s="37" t="s">
        <v>3551</v>
      </c>
      <c r="H3509" s="35" t="s">
        <v>3419</v>
      </c>
      <c r="I3509" s="35" t="s">
        <v>3416</v>
      </c>
      <c r="J3509" s="38">
        <v>4.1650552364118427</v>
      </c>
      <c r="K3509" s="35">
        <v>1</v>
      </c>
      <c r="L3509" s="38">
        <f t="shared" si="54"/>
        <v>4.1650552364118427</v>
      </c>
      <c r="M3509" s="35" t="s">
        <v>11</v>
      </c>
      <c r="N3509" s="38"/>
      <c r="O3509" s="35" t="s">
        <v>12</v>
      </c>
    </row>
    <row r="3510" spans="1:15" x14ac:dyDescent="0.25">
      <c r="A3510" s="35">
        <v>1096959898</v>
      </c>
      <c r="B3510" s="35" t="s">
        <v>3890</v>
      </c>
      <c r="C3510" s="35">
        <v>2022</v>
      </c>
      <c r="D3510" s="36">
        <v>44902.454409722217</v>
      </c>
      <c r="E3510" s="37" t="s">
        <v>414</v>
      </c>
      <c r="F3510" s="37" t="s">
        <v>6200</v>
      </c>
      <c r="G3510" s="37" t="s">
        <v>3619</v>
      </c>
      <c r="H3510" s="35" t="s">
        <v>3419</v>
      </c>
      <c r="I3510" s="35" t="s">
        <v>3416</v>
      </c>
      <c r="J3510" s="38">
        <v>3.1211817435767948</v>
      </c>
      <c r="K3510" s="35">
        <v>2</v>
      </c>
      <c r="L3510" s="38">
        <f t="shared" si="54"/>
        <v>6.2423634871535896</v>
      </c>
      <c r="M3510" s="35" t="s">
        <v>11</v>
      </c>
      <c r="N3510" s="38"/>
      <c r="O3510" s="35" t="s">
        <v>12</v>
      </c>
    </row>
    <row r="3511" spans="1:15" x14ac:dyDescent="0.25">
      <c r="A3511" s="35">
        <v>1096959898</v>
      </c>
      <c r="B3511" s="35" t="s">
        <v>3890</v>
      </c>
      <c r="C3511" s="35">
        <v>2022</v>
      </c>
      <c r="D3511" s="36">
        <v>44902.454409722217</v>
      </c>
      <c r="E3511" s="37" t="s">
        <v>414</v>
      </c>
      <c r="F3511" s="37" t="s">
        <v>5067</v>
      </c>
      <c r="G3511" s="37" t="s">
        <v>4063</v>
      </c>
      <c r="H3511" s="35" t="s">
        <v>3419</v>
      </c>
      <c r="I3511" s="35" t="s">
        <v>3416</v>
      </c>
      <c r="J3511" s="38">
        <v>3.1211817435767948</v>
      </c>
      <c r="K3511" s="35">
        <v>2</v>
      </c>
      <c r="L3511" s="38">
        <f t="shared" si="54"/>
        <v>6.2423634871535896</v>
      </c>
      <c r="M3511" s="35" t="s">
        <v>11</v>
      </c>
      <c r="N3511" s="38"/>
      <c r="O3511" s="35" t="s">
        <v>12</v>
      </c>
    </row>
    <row r="3512" spans="1:15" x14ac:dyDescent="0.25">
      <c r="A3512" s="35">
        <v>1096470220</v>
      </c>
      <c r="B3512" s="35" t="s">
        <v>3890</v>
      </c>
      <c r="C3512" s="35">
        <v>2022</v>
      </c>
      <c r="D3512" s="36">
        <v>44897.357627314806</v>
      </c>
      <c r="E3512" s="37" t="s">
        <v>3330</v>
      </c>
      <c r="F3512" s="37" t="s">
        <v>6215</v>
      </c>
      <c r="G3512" s="37" t="s">
        <v>3768</v>
      </c>
      <c r="H3512" s="35" t="s">
        <v>3419</v>
      </c>
      <c r="I3512" s="35" t="s">
        <v>3530</v>
      </c>
      <c r="J3512" s="38">
        <v>8.949251412429378</v>
      </c>
      <c r="K3512" s="35">
        <v>1</v>
      </c>
      <c r="L3512" s="38">
        <f t="shared" si="54"/>
        <v>8.949251412429378</v>
      </c>
      <c r="M3512" s="35" t="s">
        <v>11</v>
      </c>
      <c r="N3512" s="38"/>
      <c r="O3512" s="35" t="s">
        <v>12</v>
      </c>
    </row>
    <row r="3513" spans="1:15" x14ac:dyDescent="0.25">
      <c r="A3513" s="35">
        <v>1096470220</v>
      </c>
      <c r="B3513" s="35" t="s">
        <v>3890</v>
      </c>
      <c r="C3513" s="35">
        <v>2022</v>
      </c>
      <c r="D3513" s="36">
        <v>44897.357627314806</v>
      </c>
      <c r="E3513" s="37" t="s">
        <v>3330</v>
      </c>
      <c r="F3513" s="37" t="s">
        <v>6216</v>
      </c>
      <c r="G3513" s="37" t="s">
        <v>4642</v>
      </c>
      <c r="H3513" s="35" t="s">
        <v>3419</v>
      </c>
      <c r="I3513" s="35" t="s">
        <v>3530</v>
      </c>
      <c r="J3513" s="38">
        <v>0.1008050847457627</v>
      </c>
      <c r="K3513" s="35">
        <v>2</v>
      </c>
      <c r="L3513" s="38">
        <f t="shared" si="54"/>
        <v>0.20161016949152541</v>
      </c>
      <c r="M3513" s="35" t="s">
        <v>11</v>
      </c>
      <c r="N3513" s="38"/>
      <c r="O3513" s="35" t="s">
        <v>12</v>
      </c>
    </row>
    <row r="3514" spans="1:15" x14ac:dyDescent="0.25">
      <c r="A3514" s="35">
        <v>1096470220</v>
      </c>
      <c r="B3514" s="35" t="s">
        <v>3890</v>
      </c>
      <c r="C3514" s="35">
        <v>2022</v>
      </c>
      <c r="D3514" s="36">
        <v>44897.357627314806</v>
      </c>
      <c r="E3514" s="37" t="s">
        <v>3330</v>
      </c>
      <c r="F3514" s="37" t="s">
        <v>6217</v>
      </c>
      <c r="G3514" s="37" t="s">
        <v>4017</v>
      </c>
      <c r="H3514" s="35" t="s">
        <v>3419</v>
      </c>
      <c r="I3514" s="35" t="s">
        <v>3416</v>
      </c>
      <c r="J3514" s="38">
        <v>1.66888418079096</v>
      </c>
      <c r="K3514" s="35">
        <v>1</v>
      </c>
      <c r="L3514" s="38">
        <f t="shared" si="54"/>
        <v>1.66888418079096</v>
      </c>
      <c r="M3514" s="35" t="s">
        <v>11</v>
      </c>
      <c r="N3514" s="38"/>
      <c r="O3514" s="35" t="s">
        <v>12</v>
      </c>
    </row>
    <row r="3515" spans="1:15" x14ac:dyDescent="0.25">
      <c r="A3515" s="35">
        <v>1096470220</v>
      </c>
      <c r="B3515" s="35" t="s">
        <v>3890</v>
      </c>
      <c r="C3515" s="35">
        <v>2022</v>
      </c>
      <c r="D3515" s="36">
        <v>44897.357627314806</v>
      </c>
      <c r="E3515" s="37" t="s">
        <v>3330</v>
      </c>
      <c r="F3515" s="37" t="s">
        <v>6218</v>
      </c>
      <c r="G3515" s="37" t="s">
        <v>3551</v>
      </c>
      <c r="H3515" s="35" t="s">
        <v>3419</v>
      </c>
      <c r="I3515" s="35" t="s">
        <v>3416</v>
      </c>
      <c r="J3515" s="38">
        <v>33.545692090395477</v>
      </c>
      <c r="K3515" s="35">
        <v>1</v>
      </c>
      <c r="L3515" s="38">
        <f t="shared" si="54"/>
        <v>33.545692090395477</v>
      </c>
      <c r="M3515" s="35" t="s">
        <v>11</v>
      </c>
      <c r="N3515" s="38"/>
      <c r="O3515" s="35" t="s">
        <v>12</v>
      </c>
    </row>
    <row r="3516" spans="1:15" x14ac:dyDescent="0.25">
      <c r="A3516" s="35">
        <v>1096470220</v>
      </c>
      <c r="B3516" s="35" t="s">
        <v>3890</v>
      </c>
      <c r="C3516" s="35">
        <v>2022</v>
      </c>
      <c r="D3516" s="36">
        <v>44897.357627314806</v>
      </c>
      <c r="E3516" s="37" t="s">
        <v>3330</v>
      </c>
      <c r="F3516" s="37" t="s">
        <v>3649</v>
      </c>
      <c r="G3516" s="37" t="s">
        <v>6219</v>
      </c>
      <c r="H3516" s="35" t="s">
        <v>3419</v>
      </c>
      <c r="I3516" s="35" t="s">
        <v>3416</v>
      </c>
      <c r="J3516" s="38">
        <v>1.052853107344633</v>
      </c>
      <c r="K3516" s="35">
        <v>2</v>
      </c>
      <c r="L3516" s="38">
        <f t="shared" si="54"/>
        <v>2.105706214689266</v>
      </c>
      <c r="M3516" s="35" t="s">
        <v>11</v>
      </c>
      <c r="N3516" s="38"/>
      <c r="O3516" s="35" t="s">
        <v>12</v>
      </c>
    </row>
    <row r="3517" spans="1:15" x14ac:dyDescent="0.25">
      <c r="A3517" s="35">
        <v>1096470220</v>
      </c>
      <c r="B3517" s="35" t="s">
        <v>3890</v>
      </c>
      <c r="C3517" s="35">
        <v>2022</v>
      </c>
      <c r="D3517" s="36">
        <v>44897.357627314806</v>
      </c>
      <c r="E3517" s="37" t="s">
        <v>3330</v>
      </c>
      <c r="F3517" s="37" t="s">
        <v>6214</v>
      </c>
      <c r="G3517" s="37" t="s">
        <v>3757</v>
      </c>
      <c r="H3517" s="35" t="s">
        <v>3419</v>
      </c>
      <c r="I3517" s="35" t="s">
        <v>3416</v>
      </c>
      <c r="J3517" s="38">
        <v>1.052853107344633</v>
      </c>
      <c r="K3517" s="35">
        <v>1</v>
      </c>
      <c r="L3517" s="38">
        <f t="shared" si="54"/>
        <v>1.052853107344633</v>
      </c>
      <c r="M3517" s="35" t="s">
        <v>11</v>
      </c>
      <c r="N3517" s="38"/>
      <c r="O3517" s="35" t="s">
        <v>12</v>
      </c>
    </row>
    <row r="3518" spans="1:15" x14ac:dyDescent="0.25">
      <c r="A3518" s="35">
        <v>1096470220</v>
      </c>
      <c r="B3518" s="35" t="s">
        <v>3890</v>
      </c>
      <c r="C3518" s="35">
        <v>2022</v>
      </c>
      <c r="D3518" s="36">
        <v>44897.357627314806</v>
      </c>
      <c r="E3518" s="35" t="s">
        <v>3330</v>
      </c>
      <c r="F3518" s="43" t="s">
        <v>5278</v>
      </c>
      <c r="G3518" s="43" t="s">
        <v>3551</v>
      </c>
      <c r="H3518" s="35" t="s">
        <v>3419</v>
      </c>
      <c r="I3518" s="35" t="s">
        <v>3416</v>
      </c>
      <c r="J3518" s="38">
        <v>5.6002824858757072E-2</v>
      </c>
      <c r="K3518" s="35">
        <v>1</v>
      </c>
      <c r="L3518" s="38">
        <f t="shared" si="54"/>
        <v>5.6002824858757072E-2</v>
      </c>
      <c r="M3518" s="35" t="s">
        <v>11</v>
      </c>
      <c r="N3518" s="38"/>
      <c r="O3518" s="35" t="s">
        <v>12</v>
      </c>
    </row>
    <row r="3519" spans="1:15" x14ac:dyDescent="0.25">
      <c r="A3519" s="35">
        <v>1096386596</v>
      </c>
      <c r="B3519" s="35" t="s">
        <v>3890</v>
      </c>
      <c r="C3519" s="35">
        <v>2022</v>
      </c>
      <c r="D3519" s="36">
        <v>44896.545127314806</v>
      </c>
      <c r="E3519" s="35" t="s">
        <v>2353</v>
      </c>
      <c r="F3519" s="43" t="s">
        <v>6220</v>
      </c>
      <c r="G3519" s="43" t="s">
        <v>3871</v>
      </c>
      <c r="H3519" s="35" t="s">
        <v>3419</v>
      </c>
      <c r="I3519" s="35" t="s">
        <v>3530</v>
      </c>
      <c r="J3519" s="38">
        <v>1.325892857142857</v>
      </c>
      <c r="K3519" s="35">
        <v>2</v>
      </c>
      <c r="L3519" s="38">
        <f t="shared" si="54"/>
        <v>2.651785714285714</v>
      </c>
      <c r="M3519" s="35" t="s">
        <v>11</v>
      </c>
      <c r="N3519" s="38"/>
      <c r="O3519" s="35" t="s">
        <v>12</v>
      </c>
    </row>
    <row r="3520" spans="1:15" x14ac:dyDescent="0.25">
      <c r="A3520" s="35">
        <v>1096386596</v>
      </c>
      <c r="B3520" s="35" t="s">
        <v>3890</v>
      </c>
      <c r="C3520" s="35">
        <v>2022</v>
      </c>
      <c r="D3520" s="36">
        <v>44896.545127314806</v>
      </c>
      <c r="E3520" s="35" t="s">
        <v>2353</v>
      </c>
      <c r="F3520" s="43" t="s">
        <v>6221</v>
      </c>
      <c r="G3520" s="43" t="s">
        <v>3551</v>
      </c>
      <c r="H3520" s="35" t="s">
        <v>3419</v>
      </c>
      <c r="I3520" s="35" t="s">
        <v>3416</v>
      </c>
      <c r="J3520" s="38">
        <v>1.0607142857142859</v>
      </c>
      <c r="K3520" s="35">
        <v>1</v>
      </c>
      <c r="L3520" s="38">
        <f t="shared" si="54"/>
        <v>1.0607142857142859</v>
      </c>
      <c r="M3520" s="35" t="s">
        <v>11</v>
      </c>
      <c r="N3520" s="38"/>
      <c r="O3520" s="35" t="s">
        <v>12</v>
      </c>
    </row>
    <row r="3521" spans="1:15" x14ac:dyDescent="0.25">
      <c r="A3521" s="35">
        <v>1096386596</v>
      </c>
      <c r="B3521" s="35" t="s">
        <v>3890</v>
      </c>
      <c r="C3521" s="35">
        <v>2022</v>
      </c>
      <c r="D3521" s="36">
        <v>44896.545127314806</v>
      </c>
      <c r="E3521" s="35" t="s">
        <v>2353</v>
      </c>
      <c r="F3521" s="43" t="s">
        <v>6222</v>
      </c>
      <c r="G3521" s="43" t="s">
        <v>3658</v>
      </c>
      <c r="H3521" s="35" t="s">
        <v>3415</v>
      </c>
      <c r="I3521" s="35" t="s">
        <v>3530</v>
      </c>
      <c r="J3521" s="38">
        <v>14.31964285714286</v>
      </c>
      <c r="K3521" s="35">
        <v>4</v>
      </c>
      <c r="L3521" s="38">
        <f t="shared" si="54"/>
        <v>57.278571428571439</v>
      </c>
      <c r="M3521" s="35" t="s">
        <v>11</v>
      </c>
      <c r="N3521" s="38"/>
      <c r="O3521" s="35" t="s">
        <v>12</v>
      </c>
    </row>
    <row r="3522" spans="1:15" x14ac:dyDescent="0.25">
      <c r="A3522" s="35">
        <v>1096386596</v>
      </c>
      <c r="B3522" s="35" t="s">
        <v>3890</v>
      </c>
      <c r="C3522" s="35">
        <v>2022</v>
      </c>
      <c r="D3522" s="36">
        <v>44896.545127314806</v>
      </c>
      <c r="E3522" s="35" t="s">
        <v>2353</v>
      </c>
      <c r="F3522" s="43" t="s">
        <v>6223</v>
      </c>
      <c r="G3522" s="43" t="s">
        <v>4053</v>
      </c>
      <c r="H3522" s="35" t="s">
        <v>3419</v>
      </c>
      <c r="I3522" s="35" t="s">
        <v>3530</v>
      </c>
      <c r="J3522" s="38">
        <v>3.7124999999999999</v>
      </c>
      <c r="K3522" s="35">
        <v>1</v>
      </c>
      <c r="L3522" s="38">
        <f t="shared" ref="L3522:L3585" si="55">J3522*K3522</f>
        <v>3.7124999999999999</v>
      </c>
      <c r="M3522" s="35" t="s">
        <v>11</v>
      </c>
      <c r="N3522" s="38"/>
      <c r="O3522" s="35" t="s">
        <v>12</v>
      </c>
    </row>
    <row r="3523" spans="1:15" x14ac:dyDescent="0.25">
      <c r="A3523" s="35">
        <v>1096386596</v>
      </c>
      <c r="B3523" s="35" t="s">
        <v>3890</v>
      </c>
      <c r="C3523" s="35">
        <v>2022</v>
      </c>
      <c r="D3523" s="36">
        <v>44896.545127314806</v>
      </c>
      <c r="E3523" s="35" t="s">
        <v>2353</v>
      </c>
      <c r="F3523" s="43" t="s">
        <v>3663</v>
      </c>
      <c r="G3523" s="43" t="s">
        <v>3664</v>
      </c>
      <c r="H3523" s="35" t="s">
        <v>3419</v>
      </c>
      <c r="I3523" s="35" t="s">
        <v>3416</v>
      </c>
      <c r="J3523" s="38">
        <v>12.19821428571429</v>
      </c>
      <c r="K3523" s="35">
        <v>2</v>
      </c>
      <c r="L3523" s="38">
        <f t="shared" si="55"/>
        <v>24.396428571428579</v>
      </c>
      <c r="M3523" s="35" t="s">
        <v>11</v>
      </c>
      <c r="N3523" s="38"/>
      <c r="O3523" s="35" t="s">
        <v>12</v>
      </c>
    </row>
    <row r="3524" spans="1:15" x14ac:dyDescent="0.25">
      <c r="A3524" s="35">
        <v>1096386453</v>
      </c>
      <c r="B3524" s="35" t="s">
        <v>3890</v>
      </c>
      <c r="C3524" s="35">
        <v>2022</v>
      </c>
      <c r="D3524" s="36">
        <v>44896.545127314806</v>
      </c>
      <c r="E3524" s="35" t="s">
        <v>3335</v>
      </c>
      <c r="F3524" s="43" t="s">
        <v>6224</v>
      </c>
      <c r="G3524" s="43" t="s">
        <v>3710</v>
      </c>
      <c r="H3524" s="35" t="s">
        <v>3419</v>
      </c>
      <c r="I3524" s="35" t="s">
        <v>3416</v>
      </c>
      <c r="J3524" s="38">
        <v>192.2265625</v>
      </c>
      <c r="K3524" s="35">
        <v>1</v>
      </c>
      <c r="L3524" s="38">
        <f t="shared" si="55"/>
        <v>192.2265625</v>
      </c>
      <c r="M3524" s="35" t="s">
        <v>11</v>
      </c>
      <c r="N3524" s="38"/>
      <c r="O3524" s="35" t="s">
        <v>12</v>
      </c>
    </row>
    <row r="3525" spans="1:15" x14ac:dyDescent="0.25">
      <c r="A3525" s="35">
        <v>1096386453</v>
      </c>
      <c r="B3525" s="35" t="s">
        <v>3890</v>
      </c>
      <c r="C3525" s="35">
        <v>2022</v>
      </c>
      <c r="D3525" s="36">
        <v>44896.545127314806</v>
      </c>
      <c r="E3525" s="35" t="s">
        <v>3335</v>
      </c>
      <c r="F3525" s="43" t="s">
        <v>6225</v>
      </c>
      <c r="G3525" s="43" t="s">
        <v>3666</v>
      </c>
      <c r="H3525" s="35" t="s">
        <v>3415</v>
      </c>
      <c r="I3525" s="35" t="s">
        <v>3416</v>
      </c>
      <c r="J3525" s="38">
        <v>1.55859375</v>
      </c>
      <c r="K3525" s="35">
        <v>4</v>
      </c>
      <c r="L3525" s="38">
        <f t="shared" si="55"/>
        <v>6.234375</v>
      </c>
      <c r="M3525" s="35" t="s">
        <v>11</v>
      </c>
      <c r="N3525" s="38"/>
      <c r="O3525" s="35" t="s">
        <v>12</v>
      </c>
    </row>
    <row r="3526" spans="1:15" x14ac:dyDescent="0.25">
      <c r="A3526" s="35">
        <v>1096386453</v>
      </c>
      <c r="B3526" s="35" t="s">
        <v>3890</v>
      </c>
      <c r="C3526" s="35">
        <v>2022</v>
      </c>
      <c r="D3526" s="36">
        <v>44896.545127314806</v>
      </c>
      <c r="E3526" s="35" t="s">
        <v>3335</v>
      </c>
      <c r="F3526" s="43" t="s">
        <v>6226</v>
      </c>
      <c r="G3526" s="43" t="s">
        <v>3551</v>
      </c>
      <c r="H3526" s="35" t="s">
        <v>3419</v>
      </c>
      <c r="I3526" s="35" t="s">
        <v>3416</v>
      </c>
      <c r="J3526" s="38">
        <v>0.51953125</v>
      </c>
      <c r="K3526" s="35">
        <v>2</v>
      </c>
      <c r="L3526" s="38">
        <f t="shared" si="55"/>
        <v>1.0390625</v>
      </c>
      <c r="M3526" s="35" t="s">
        <v>11</v>
      </c>
      <c r="N3526" s="38"/>
      <c r="O3526" s="35" t="s">
        <v>12</v>
      </c>
    </row>
    <row r="3527" spans="1:15" x14ac:dyDescent="0.25">
      <c r="A3527" s="35">
        <v>1096000000</v>
      </c>
      <c r="B3527" s="35" t="s">
        <v>3968</v>
      </c>
      <c r="C3527" s="35">
        <v>2022</v>
      </c>
      <c r="D3527" s="36">
        <v>44892.707928240743</v>
      </c>
      <c r="E3527" s="35" t="s">
        <v>3337</v>
      </c>
      <c r="F3527" s="43" t="s">
        <v>6228</v>
      </c>
      <c r="G3527" s="43" t="s">
        <v>3619</v>
      </c>
      <c r="H3527" s="35" t="s">
        <v>3419</v>
      </c>
      <c r="I3527" s="35" t="s">
        <v>3530</v>
      </c>
      <c r="J3527" s="38">
        <v>0.32936507936507942</v>
      </c>
      <c r="K3527" s="35">
        <v>3</v>
      </c>
      <c r="L3527" s="38">
        <f t="shared" si="55"/>
        <v>0.98809523809523825</v>
      </c>
      <c r="M3527" s="35" t="s">
        <v>11</v>
      </c>
      <c r="N3527" s="38"/>
      <c r="O3527" s="35" t="s">
        <v>12</v>
      </c>
    </row>
    <row r="3528" spans="1:15" x14ac:dyDescent="0.25">
      <c r="A3528" s="35">
        <v>1096000000</v>
      </c>
      <c r="B3528" s="35" t="s">
        <v>3968</v>
      </c>
      <c r="C3528" s="35">
        <v>2022</v>
      </c>
      <c r="D3528" s="36">
        <v>44892.707928240743</v>
      </c>
      <c r="E3528" s="35" t="s">
        <v>3337</v>
      </c>
      <c r="F3528" s="43" t="s">
        <v>6229</v>
      </c>
      <c r="G3528" s="43" t="s">
        <v>4017</v>
      </c>
      <c r="H3528" s="35" t="s">
        <v>3415</v>
      </c>
      <c r="I3528" s="35" t="s">
        <v>3530</v>
      </c>
      <c r="J3528" s="38">
        <v>1.0978835978835979</v>
      </c>
      <c r="K3528" s="35">
        <v>4</v>
      </c>
      <c r="L3528" s="38">
        <f t="shared" si="55"/>
        <v>4.3915343915343916</v>
      </c>
      <c r="M3528" s="35" t="s">
        <v>11</v>
      </c>
      <c r="N3528" s="38"/>
      <c r="O3528" s="35" t="s">
        <v>12</v>
      </c>
    </row>
    <row r="3529" spans="1:15" x14ac:dyDescent="0.25">
      <c r="A3529" s="35">
        <v>1096000000</v>
      </c>
      <c r="B3529" s="35" t="s">
        <v>3968</v>
      </c>
      <c r="C3529" s="35">
        <v>2022</v>
      </c>
      <c r="D3529" s="36">
        <v>44892.707928240743</v>
      </c>
      <c r="E3529" s="35" t="s">
        <v>3337</v>
      </c>
      <c r="F3529" s="43" t="s">
        <v>4151</v>
      </c>
      <c r="G3529" s="43" t="s">
        <v>4867</v>
      </c>
      <c r="H3529" s="35" t="s">
        <v>3415</v>
      </c>
      <c r="I3529" s="35" t="s">
        <v>3416</v>
      </c>
      <c r="J3529" s="38">
        <v>0.32936507936507942</v>
      </c>
      <c r="K3529" s="35">
        <v>4</v>
      </c>
      <c r="L3529" s="38">
        <f t="shared" si="55"/>
        <v>1.3174603174603177</v>
      </c>
      <c r="M3529" s="35" t="s">
        <v>11</v>
      </c>
      <c r="N3529" s="38"/>
      <c r="O3529" s="35" t="s">
        <v>12</v>
      </c>
    </row>
    <row r="3530" spans="1:15" x14ac:dyDescent="0.25">
      <c r="A3530" s="35">
        <v>1096000000</v>
      </c>
      <c r="B3530" s="35" t="s">
        <v>3968</v>
      </c>
      <c r="C3530" s="35">
        <v>2022</v>
      </c>
      <c r="D3530" s="36">
        <v>44892.707928240743</v>
      </c>
      <c r="E3530" s="35" t="s">
        <v>3337</v>
      </c>
      <c r="F3530" s="43" t="s">
        <v>6230</v>
      </c>
      <c r="G3530" s="43" t="s">
        <v>4867</v>
      </c>
      <c r="H3530" s="35" t="s">
        <v>3415</v>
      </c>
      <c r="I3530" s="35" t="s">
        <v>3416</v>
      </c>
      <c r="J3530" s="38">
        <v>0.21957671957671959</v>
      </c>
      <c r="K3530" s="35">
        <v>4</v>
      </c>
      <c r="L3530" s="38">
        <f t="shared" si="55"/>
        <v>0.87830687830687837</v>
      </c>
      <c r="M3530" s="35" t="s">
        <v>11</v>
      </c>
      <c r="N3530" s="38"/>
      <c r="O3530" s="35" t="s">
        <v>12</v>
      </c>
    </row>
    <row r="3531" spans="1:15" x14ac:dyDescent="0.25">
      <c r="A3531" s="35">
        <v>1096000000</v>
      </c>
      <c r="B3531" s="35" t="s">
        <v>3968</v>
      </c>
      <c r="C3531" s="35">
        <v>2022</v>
      </c>
      <c r="D3531" s="36">
        <v>44892.707928240743</v>
      </c>
      <c r="E3531" s="35" t="s">
        <v>3337</v>
      </c>
      <c r="F3531" s="43" t="s">
        <v>6231</v>
      </c>
      <c r="G3531" s="43" t="s">
        <v>4867</v>
      </c>
      <c r="H3531" s="35" t="s">
        <v>3415</v>
      </c>
      <c r="I3531" s="35" t="s">
        <v>3416</v>
      </c>
      <c r="J3531" s="38">
        <v>1.0978835978835979</v>
      </c>
      <c r="K3531" s="35">
        <v>4</v>
      </c>
      <c r="L3531" s="38">
        <f t="shared" si="55"/>
        <v>4.3915343915343916</v>
      </c>
      <c r="M3531" s="35" t="s">
        <v>11</v>
      </c>
      <c r="N3531" s="38"/>
      <c r="O3531" s="35" t="s">
        <v>12</v>
      </c>
    </row>
    <row r="3532" spans="1:15" x14ac:dyDescent="0.25">
      <c r="A3532" s="35">
        <v>1096000000</v>
      </c>
      <c r="B3532" s="35" t="s">
        <v>3968</v>
      </c>
      <c r="C3532" s="35">
        <v>2022</v>
      </c>
      <c r="D3532" s="36">
        <v>44892.707928240743</v>
      </c>
      <c r="E3532" s="35" t="s">
        <v>3337</v>
      </c>
      <c r="F3532" s="43" t="s">
        <v>6232</v>
      </c>
      <c r="G3532" s="43" t="s">
        <v>3792</v>
      </c>
      <c r="H3532" s="35" t="s">
        <v>3415</v>
      </c>
      <c r="I3532" s="35" t="s">
        <v>3416</v>
      </c>
      <c r="J3532" s="38">
        <v>0.54894179894179895</v>
      </c>
      <c r="K3532" s="35">
        <v>4</v>
      </c>
      <c r="L3532" s="38">
        <f t="shared" si="55"/>
        <v>2.1957671957671958</v>
      </c>
      <c r="M3532" s="35" t="s">
        <v>11</v>
      </c>
      <c r="N3532" s="38"/>
      <c r="O3532" s="35" t="s">
        <v>12</v>
      </c>
    </row>
    <row r="3533" spans="1:15" x14ac:dyDescent="0.25">
      <c r="A3533" s="35">
        <v>1096000000</v>
      </c>
      <c r="B3533" s="35" t="s">
        <v>3968</v>
      </c>
      <c r="C3533" s="35">
        <v>2022</v>
      </c>
      <c r="D3533" s="36">
        <v>44892.707928240743</v>
      </c>
      <c r="E3533" s="35" t="s">
        <v>3337</v>
      </c>
      <c r="F3533" s="43" t="s">
        <v>4871</v>
      </c>
      <c r="G3533" s="43" t="s">
        <v>3720</v>
      </c>
      <c r="H3533" s="35" t="s">
        <v>3415</v>
      </c>
      <c r="I3533" s="35" t="s">
        <v>3416</v>
      </c>
      <c r="J3533" s="38">
        <v>0.16468253968253971</v>
      </c>
      <c r="K3533" s="35">
        <v>4</v>
      </c>
      <c r="L3533" s="38">
        <f t="shared" si="55"/>
        <v>0.65873015873015883</v>
      </c>
      <c r="M3533" s="35" t="s">
        <v>11</v>
      </c>
      <c r="N3533" s="38"/>
      <c r="O3533" s="35" t="s">
        <v>12</v>
      </c>
    </row>
    <row r="3534" spans="1:15" x14ac:dyDescent="0.25">
      <c r="A3534" s="35">
        <v>1096000000</v>
      </c>
      <c r="B3534" s="35" t="s">
        <v>3968</v>
      </c>
      <c r="C3534" s="35">
        <v>2022</v>
      </c>
      <c r="D3534" s="36">
        <v>44892.707928240743</v>
      </c>
      <c r="E3534" s="35" t="s">
        <v>3337</v>
      </c>
      <c r="F3534" s="43" t="s">
        <v>6233</v>
      </c>
      <c r="G3534" s="43" t="s">
        <v>4529</v>
      </c>
      <c r="H3534" s="35" t="s">
        <v>3419</v>
      </c>
      <c r="I3534" s="35" t="s">
        <v>3416</v>
      </c>
      <c r="J3534" s="38">
        <v>0.16468253968253971</v>
      </c>
      <c r="K3534" s="35">
        <v>1</v>
      </c>
      <c r="L3534" s="38">
        <f t="shared" si="55"/>
        <v>0.16468253968253971</v>
      </c>
      <c r="M3534" s="35" t="s">
        <v>11</v>
      </c>
      <c r="N3534" s="38"/>
      <c r="O3534" s="35" t="s">
        <v>12</v>
      </c>
    </row>
    <row r="3535" spans="1:15" x14ac:dyDescent="0.25">
      <c r="A3535" s="35">
        <v>1096000000</v>
      </c>
      <c r="B3535" s="35" t="s">
        <v>3968</v>
      </c>
      <c r="C3535" s="35">
        <v>2022</v>
      </c>
      <c r="D3535" s="36">
        <v>44892.707928240743</v>
      </c>
      <c r="E3535" s="35" t="s">
        <v>3337</v>
      </c>
      <c r="F3535" s="43" t="s">
        <v>6234</v>
      </c>
      <c r="G3535" s="43" t="s">
        <v>3710</v>
      </c>
      <c r="H3535" s="35" t="s">
        <v>3419</v>
      </c>
      <c r="I3535" s="35" t="s">
        <v>3416</v>
      </c>
      <c r="J3535" s="38">
        <v>0.27447089947089948</v>
      </c>
      <c r="K3535" s="35">
        <v>1</v>
      </c>
      <c r="L3535" s="38">
        <f t="shared" si="55"/>
        <v>0.27447089947089948</v>
      </c>
      <c r="M3535" s="35" t="s">
        <v>11</v>
      </c>
      <c r="N3535" s="38"/>
      <c r="O3535" s="35" t="s">
        <v>12</v>
      </c>
    </row>
    <row r="3536" spans="1:15" x14ac:dyDescent="0.25">
      <c r="A3536" s="35">
        <v>1096000000</v>
      </c>
      <c r="B3536" s="35" t="s">
        <v>3968</v>
      </c>
      <c r="C3536" s="35">
        <v>2022</v>
      </c>
      <c r="D3536" s="36">
        <v>44892.707928240743</v>
      </c>
      <c r="E3536" s="35" t="s">
        <v>3337</v>
      </c>
      <c r="F3536" s="43" t="s">
        <v>5132</v>
      </c>
      <c r="G3536" s="43" t="s">
        <v>3740</v>
      </c>
      <c r="H3536" s="35" t="s">
        <v>3419</v>
      </c>
      <c r="I3536" s="35" t="s">
        <v>3530</v>
      </c>
      <c r="J3536" s="38">
        <v>2.7447089947089949</v>
      </c>
      <c r="K3536" s="35">
        <v>2</v>
      </c>
      <c r="L3536" s="38">
        <f t="shared" si="55"/>
        <v>5.4894179894179898</v>
      </c>
      <c r="M3536" s="35" t="s">
        <v>11</v>
      </c>
      <c r="N3536" s="38"/>
      <c r="O3536" s="35" t="s">
        <v>12</v>
      </c>
    </row>
    <row r="3537" spans="1:15" x14ac:dyDescent="0.25">
      <c r="A3537" s="35">
        <v>1095985772</v>
      </c>
      <c r="B3537" s="35" t="s">
        <v>3968</v>
      </c>
      <c r="C3537" s="35">
        <v>2022</v>
      </c>
      <c r="D3537" s="36">
        <v>44892.540798611109</v>
      </c>
      <c r="E3537" s="35" t="s">
        <v>3285</v>
      </c>
      <c r="F3537" s="43" t="s">
        <v>6235</v>
      </c>
      <c r="G3537" s="43" t="s">
        <v>4651</v>
      </c>
      <c r="H3537" s="35" t="s">
        <v>3419</v>
      </c>
      <c r="I3537" s="35" t="s">
        <v>3416</v>
      </c>
      <c r="J3537" s="38">
        <v>63.591942547680723</v>
      </c>
      <c r="K3537" s="35">
        <v>1</v>
      </c>
      <c r="L3537" s="38">
        <f t="shared" si="55"/>
        <v>63.591942547680723</v>
      </c>
      <c r="M3537" s="35" t="s">
        <v>11</v>
      </c>
      <c r="N3537" s="38"/>
      <c r="O3537" s="35" t="s">
        <v>12</v>
      </c>
    </row>
    <row r="3538" spans="1:15" x14ac:dyDescent="0.25">
      <c r="A3538" s="35">
        <v>1095985772</v>
      </c>
      <c r="B3538" s="35" t="s">
        <v>3968</v>
      </c>
      <c r="C3538" s="35">
        <v>2022</v>
      </c>
      <c r="D3538" s="36">
        <v>44892.540798611109</v>
      </c>
      <c r="E3538" s="35" t="s">
        <v>3285</v>
      </c>
      <c r="F3538" s="43" t="s">
        <v>6236</v>
      </c>
      <c r="G3538" s="43" t="s">
        <v>3772</v>
      </c>
      <c r="H3538" s="35" t="s">
        <v>3419</v>
      </c>
      <c r="I3538" s="35" t="s">
        <v>3416</v>
      </c>
      <c r="J3538" s="38">
        <v>5.2896114904638569</v>
      </c>
      <c r="K3538" s="35">
        <v>1</v>
      </c>
      <c r="L3538" s="38">
        <f t="shared" si="55"/>
        <v>5.2896114904638569</v>
      </c>
      <c r="M3538" s="35" t="s">
        <v>11</v>
      </c>
      <c r="N3538" s="38"/>
      <c r="O3538" s="35" t="s">
        <v>12</v>
      </c>
    </row>
    <row r="3539" spans="1:15" x14ac:dyDescent="0.25">
      <c r="A3539" s="35">
        <v>1095985772</v>
      </c>
      <c r="B3539" s="35" t="s">
        <v>3968</v>
      </c>
      <c r="C3539" s="35">
        <v>2022</v>
      </c>
      <c r="D3539" s="36">
        <v>44892.540798611109</v>
      </c>
      <c r="E3539" s="35" t="s">
        <v>3285</v>
      </c>
      <c r="F3539" s="43" t="s">
        <v>4705</v>
      </c>
      <c r="G3539" s="43" t="s">
        <v>4108</v>
      </c>
      <c r="H3539" s="35" t="s">
        <v>3415</v>
      </c>
      <c r="I3539" s="35" t="s">
        <v>3416</v>
      </c>
      <c r="J3539" s="38">
        <v>5.2896114904638569</v>
      </c>
      <c r="K3539" s="35">
        <v>4</v>
      </c>
      <c r="L3539" s="38">
        <f t="shared" si="55"/>
        <v>21.158445961855428</v>
      </c>
      <c r="M3539" s="35" t="s">
        <v>11</v>
      </c>
      <c r="N3539" s="38"/>
      <c r="O3539" s="35" t="s">
        <v>12</v>
      </c>
    </row>
    <row r="3540" spans="1:15" x14ac:dyDescent="0.25">
      <c r="A3540" s="35">
        <v>1095959451</v>
      </c>
      <c r="B3540" s="35" t="s">
        <v>3968</v>
      </c>
      <c r="C3540" s="35">
        <v>2022</v>
      </c>
      <c r="D3540" s="36">
        <v>44892.503078703703</v>
      </c>
      <c r="E3540" s="35" t="s">
        <v>294</v>
      </c>
      <c r="F3540" s="43" t="s">
        <v>6237</v>
      </c>
      <c r="G3540" s="43" t="s">
        <v>4108</v>
      </c>
      <c r="H3540" s="35" t="s">
        <v>3415</v>
      </c>
      <c r="I3540" s="35" t="s">
        <v>3453</v>
      </c>
      <c r="J3540" s="38">
        <v>0.33506857855361588</v>
      </c>
      <c r="K3540" s="35">
        <v>4</v>
      </c>
      <c r="L3540" s="38">
        <f t="shared" si="55"/>
        <v>1.3402743142144635</v>
      </c>
      <c r="M3540" s="35" t="s">
        <v>11</v>
      </c>
      <c r="N3540" s="38"/>
      <c r="O3540" s="35" t="s">
        <v>12</v>
      </c>
    </row>
    <row r="3541" spans="1:15" x14ac:dyDescent="0.25">
      <c r="A3541" s="35">
        <v>1095959451</v>
      </c>
      <c r="B3541" s="35" t="s">
        <v>3968</v>
      </c>
      <c r="C3541" s="35">
        <v>2022</v>
      </c>
      <c r="D3541" s="36">
        <v>44892.503078703703</v>
      </c>
      <c r="E3541" s="35" t="s">
        <v>294</v>
      </c>
      <c r="F3541" s="43" t="s">
        <v>6238</v>
      </c>
      <c r="G3541" s="43" t="s">
        <v>3718</v>
      </c>
      <c r="H3541" s="35" t="s">
        <v>3415</v>
      </c>
      <c r="I3541" s="35" t="s">
        <v>3416</v>
      </c>
      <c r="J3541" s="38">
        <v>0.21221009975062341</v>
      </c>
      <c r="K3541" s="35">
        <v>4</v>
      </c>
      <c r="L3541" s="38">
        <f t="shared" si="55"/>
        <v>0.84884039900249364</v>
      </c>
      <c r="M3541" s="35" t="s">
        <v>11</v>
      </c>
      <c r="N3541" s="38"/>
      <c r="O3541" s="35" t="s">
        <v>12</v>
      </c>
    </row>
    <row r="3542" spans="1:15" x14ac:dyDescent="0.25">
      <c r="A3542" s="35">
        <v>1095959451</v>
      </c>
      <c r="B3542" s="35" t="s">
        <v>3968</v>
      </c>
      <c r="C3542" s="35">
        <v>2022</v>
      </c>
      <c r="D3542" s="36">
        <v>44892.503078703703</v>
      </c>
      <c r="E3542" s="35" t="s">
        <v>294</v>
      </c>
      <c r="F3542" s="43" t="s">
        <v>3919</v>
      </c>
      <c r="G3542" s="43" t="s">
        <v>3551</v>
      </c>
      <c r="H3542" s="35" t="s">
        <v>3419</v>
      </c>
      <c r="I3542" s="35" t="s">
        <v>3416</v>
      </c>
      <c r="J3542" s="38">
        <v>1.3849501246882789</v>
      </c>
      <c r="K3542" s="35">
        <v>2</v>
      </c>
      <c r="L3542" s="38">
        <f t="shared" si="55"/>
        <v>2.7699002493765579</v>
      </c>
      <c r="M3542" s="35" t="s">
        <v>11</v>
      </c>
      <c r="N3542" s="38"/>
      <c r="O3542" s="35" t="s">
        <v>12</v>
      </c>
    </row>
    <row r="3543" spans="1:15" x14ac:dyDescent="0.25">
      <c r="A3543" s="35">
        <v>1095959451</v>
      </c>
      <c r="B3543" s="35" t="s">
        <v>3968</v>
      </c>
      <c r="C3543" s="35">
        <v>2022</v>
      </c>
      <c r="D3543" s="36">
        <v>44892.503078703703</v>
      </c>
      <c r="E3543" s="35" t="s">
        <v>294</v>
      </c>
      <c r="F3543" s="43" t="s">
        <v>6239</v>
      </c>
      <c r="G3543" s="43" t="s">
        <v>3551</v>
      </c>
      <c r="H3543" s="35" t="s">
        <v>3419</v>
      </c>
      <c r="I3543" s="35" t="s">
        <v>3416</v>
      </c>
      <c r="J3543" s="38">
        <v>0.1898721945137157</v>
      </c>
      <c r="K3543" s="35">
        <v>2</v>
      </c>
      <c r="L3543" s="38">
        <f t="shared" si="55"/>
        <v>0.37974438902743141</v>
      </c>
      <c r="M3543" s="35" t="s">
        <v>11</v>
      </c>
      <c r="N3543" s="38"/>
      <c r="O3543" s="35" t="s">
        <v>12</v>
      </c>
    </row>
    <row r="3544" spans="1:15" x14ac:dyDescent="0.25">
      <c r="A3544" s="35">
        <v>1095959451</v>
      </c>
      <c r="B3544" s="35" t="s">
        <v>3968</v>
      </c>
      <c r="C3544" s="35">
        <v>2022</v>
      </c>
      <c r="D3544" s="36">
        <v>44892.503078703703</v>
      </c>
      <c r="E3544" s="35" t="s">
        <v>294</v>
      </c>
      <c r="F3544" s="43" t="s">
        <v>6240</v>
      </c>
      <c r="G3544" s="43" t="s">
        <v>3658</v>
      </c>
      <c r="H3544" s="35" t="s">
        <v>3415</v>
      </c>
      <c r="I3544" s="35" t="s">
        <v>3416</v>
      </c>
      <c r="J3544" s="38">
        <v>1.228584788029925</v>
      </c>
      <c r="K3544" s="35">
        <v>4</v>
      </c>
      <c r="L3544" s="38">
        <f t="shared" si="55"/>
        <v>4.9143391521197</v>
      </c>
      <c r="M3544" s="35" t="s">
        <v>11</v>
      </c>
      <c r="N3544" s="38"/>
      <c r="O3544" s="35" t="s">
        <v>12</v>
      </c>
    </row>
    <row r="3545" spans="1:15" x14ac:dyDescent="0.25">
      <c r="A3545" s="35">
        <v>1095959451</v>
      </c>
      <c r="B3545" s="35" t="s">
        <v>3968</v>
      </c>
      <c r="C3545" s="35">
        <v>2022</v>
      </c>
      <c r="D3545" s="36">
        <v>44892.503078703703</v>
      </c>
      <c r="E3545" s="35" t="s">
        <v>294</v>
      </c>
      <c r="F3545" s="43" t="s">
        <v>6241</v>
      </c>
      <c r="G3545" s="43" t="s">
        <v>4309</v>
      </c>
      <c r="H3545" s="35" t="s">
        <v>3419</v>
      </c>
      <c r="I3545" s="35" t="s">
        <v>3416</v>
      </c>
      <c r="J3545" s="38">
        <v>0.8376714463840399</v>
      </c>
      <c r="K3545" s="35">
        <v>1</v>
      </c>
      <c r="L3545" s="38">
        <f t="shared" si="55"/>
        <v>0.8376714463840399</v>
      </c>
      <c r="M3545" s="35" t="s">
        <v>11</v>
      </c>
      <c r="N3545" s="38"/>
      <c r="O3545" s="35" t="s">
        <v>12</v>
      </c>
    </row>
    <row r="3546" spans="1:15" x14ac:dyDescent="0.25">
      <c r="A3546" s="35">
        <v>1095959451</v>
      </c>
      <c r="B3546" s="35" t="s">
        <v>3968</v>
      </c>
      <c r="C3546" s="35">
        <v>2022</v>
      </c>
      <c r="D3546" s="36">
        <v>44892.503078703703</v>
      </c>
      <c r="E3546" s="35" t="s">
        <v>294</v>
      </c>
      <c r="F3546" s="43" t="s">
        <v>6242</v>
      </c>
      <c r="G3546" s="43" t="s">
        <v>3650</v>
      </c>
      <c r="H3546" s="35" t="s">
        <v>3419</v>
      </c>
      <c r="I3546" s="35" t="s">
        <v>3416</v>
      </c>
      <c r="J3546" s="38">
        <v>2.1221009975062342</v>
      </c>
      <c r="K3546" s="35">
        <v>2</v>
      </c>
      <c r="L3546" s="38">
        <f t="shared" si="55"/>
        <v>4.2442019950124683</v>
      </c>
      <c r="M3546" s="35" t="s">
        <v>11</v>
      </c>
      <c r="N3546" s="38"/>
      <c r="O3546" s="35" t="s">
        <v>12</v>
      </c>
    </row>
    <row r="3547" spans="1:15" x14ac:dyDescent="0.25">
      <c r="A3547" s="35">
        <v>1095959451</v>
      </c>
      <c r="B3547" s="35" t="s">
        <v>3968</v>
      </c>
      <c r="C3547" s="35">
        <v>2022</v>
      </c>
      <c r="D3547" s="36">
        <v>44892.503078703703</v>
      </c>
      <c r="E3547" s="35" t="s">
        <v>294</v>
      </c>
      <c r="F3547" s="43" t="s">
        <v>6223</v>
      </c>
      <c r="G3547" s="43" t="s">
        <v>4053</v>
      </c>
      <c r="H3547" s="35" t="s">
        <v>3419</v>
      </c>
      <c r="I3547" s="35" t="s">
        <v>3416</v>
      </c>
      <c r="J3547" s="38">
        <v>7.7624220698254369</v>
      </c>
      <c r="K3547" s="35">
        <v>2</v>
      </c>
      <c r="L3547" s="38">
        <f t="shared" si="55"/>
        <v>15.524844139650874</v>
      </c>
      <c r="M3547" s="35" t="s">
        <v>11</v>
      </c>
      <c r="N3547" s="38"/>
      <c r="O3547" s="35" t="s">
        <v>12</v>
      </c>
    </row>
    <row r="3548" spans="1:15" x14ac:dyDescent="0.25">
      <c r="A3548" s="35">
        <v>1095959451</v>
      </c>
      <c r="B3548" s="35" t="s">
        <v>3968</v>
      </c>
      <c r="C3548" s="35">
        <v>2022</v>
      </c>
      <c r="D3548" s="36">
        <v>44892.503078703703</v>
      </c>
      <c r="E3548" s="35" t="s">
        <v>294</v>
      </c>
      <c r="F3548" s="43" t="s">
        <v>3985</v>
      </c>
      <c r="G3548" s="43" t="s">
        <v>3551</v>
      </c>
      <c r="H3548" s="35" t="s">
        <v>3419</v>
      </c>
      <c r="I3548" s="35" t="s">
        <v>3416</v>
      </c>
      <c r="J3548" s="38">
        <v>2.7252244389027429</v>
      </c>
      <c r="K3548" s="35">
        <v>2</v>
      </c>
      <c r="L3548" s="38">
        <f t="shared" si="55"/>
        <v>5.4504488778054858</v>
      </c>
      <c r="M3548" s="35" t="s">
        <v>11</v>
      </c>
      <c r="N3548" s="38"/>
      <c r="O3548" s="35" t="s">
        <v>12</v>
      </c>
    </row>
    <row r="3549" spans="1:15" x14ac:dyDescent="0.25">
      <c r="A3549" s="35">
        <v>1095959451</v>
      </c>
      <c r="B3549" s="35" t="s">
        <v>3968</v>
      </c>
      <c r="C3549" s="35">
        <v>2022</v>
      </c>
      <c r="D3549" s="36">
        <v>44892.503078703703</v>
      </c>
      <c r="E3549" s="35" t="s">
        <v>294</v>
      </c>
      <c r="F3549" s="43" t="s">
        <v>6243</v>
      </c>
      <c r="G3549" s="43" t="s">
        <v>3648</v>
      </c>
      <c r="H3549" s="35" t="s">
        <v>3415</v>
      </c>
      <c r="I3549" s="35" t="s">
        <v>3416</v>
      </c>
      <c r="J3549" s="38">
        <v>0.21221009975062341</v>
      </c>
      <c r="K3549" s="35">
        <v>4</v>
      </c>
      <c r="L3549" s="38">
        <f t="shared" si="55"/>
        <v>0.84884039900249364</v>
      </c>
      <c r="M3549" s="35" t="s">
        <v>11</v>
      </c>
      <c r="N3549" s="38"/>
      <c r="O3549" s="35" t="s">
        <v>12</v>
      </c>
    </row>
    <row r="3550" spans="1:15" x14ac:dyDescent="0.25">
      <c r="A3550" s="35">
        <v>1095959451</v>
      </c>
      <c r="B3550" s="35" t="s">
        <v>3968</v>
      </c>
      <c r="C3550" s="35">
        <v>2022</v>
      </c>
      <c r="D3550" s="36">
        <v>44892.503078703703</v>
      </c>
      <c r="E3550" s="35" t="s">
        <v>294</v>
      </c>
      <c r="F3550" s="43" t="s">
        <v>6244</v>
      </c>
      <c r="G3550" s="43" t="s">
        <v>6245</v>
      </c>
      <c r="H3550" s="35" t="s">
        <v>3415</v>
      </c>
      <c r="I3550" s="35" t="s">
        <v>3416</v>
      </c>
      <c r="J3550" s="38">
        <v>0.13402743142144641</v>
      </c>
      <c r="K3550" s="35">
        <v>4</v>
      </c>
      <c r="L3550" s="38">
        <f t="shared" si="55"/>
        <v>0.53610972568578563</v>
      </c>
      <c r="M3550" s="35" t="s">
        <v>11</v>
      </c>
      <c r="N3550" s="38"/>
      <c r="O3550" s="35" t="s">
        <v>12</v>
      </c>
    </row>
    <row r="3551" spans="1:15" x14ac:dyDescent="0.25">
      <c r="A3551" s="35">
        <v>1095959451</v>
      </c>
      <c r="B3551" s="35" t="s">
        <v>3968</v>
      </c>
      <c r="C3551" s="35">
        <v>2022</v>
      </c>
      <c r="D3551" s="36">
        <v>44892.503078703703</v>
      </c>
      <c r="E3551" s="35" t="s">
        <v>294</v>
      </c>
      <c r="F3551" s="43" t="s">
        <v>6246</v>
      </c>
      <c r="G3551" s="43" t="s">
        <v>3551</v>
      </c>
      <c r="H3551" s="35" t="s">
        <v>3415</v>
      </c>
      <c r="I3551" s="35" t="s">
        <v>3416</v>
      </c>
      <c r="J3551" s="38">
        <v>0.13402743142144641</v>
      </c>
      <c r="K3551" s="35">
        <v>4</v>
      </c>
      <c r="L3551" s="38">
        <f t="shared" si="55"/>
        <v>0.53610972568578563</v>
      </c>
      <c r="M3551" s="35" t="s">
        <v>11</v>
      </c>
      <c r="N3551" s="38"/>
      <c r="O3551" s="35" t="s">
        <v>12</v>
      </c>
    </row>
    <row r="3552" spans="1:15" x14ac:dyDescent="0.25">
      <c r="A3552" s="35">
        <v>1095959451</v>
      </c>
      <c r="B3552" s="35" t="s">
        <v>3968</v>
      </c>
      <c r="C3552" s="35">
        <v>2022</v>
      </c>
      <c r="D3552" s="36">
        <v>44892.503078703703</v>
      </c>
      <c r="E3552" s="35" t="s">
        <v>294</v>
      </c>
      <c r="F3552" s="43" t="s">
        <v>6247</v>
      </c>
      <c r="G3552" s="43" t="s">
        <v>4105</v>
      </c>
      <c r="H3552" s="35" t="s">
        <v>3415</v>
      </c>
      <c r="I3552" s="35" t="s">
        <v>3416</v>
      </c>
      <c r="J3552" s="38">
        <v>1.0610504987531171</v>
      </c>
      <c r="K3552" s="35">
        <v>4</v>
      </c>
      <c r="L3552" s="38">
        <f t="shared" si="55"/>
        <v>4.2442019950124683</v>
      </c>
      <c r="M3552" s="35" t="s">
        <v>11</v>
      </c>
      <c r="N3552" s="38"/>
      <c r="O3552" s="35" t="s">
        <v>12</v>
      </c>
    </row>
    <row r="3553" spans="1:15" x14ac:dyDescent="0.25">
      <c r="A3553" s="35">
        <v>1095959451</v>
      </c>
      <c r="B3553" s="35" t="s">
        <v>3968</v>
      </c>
      <c r="C3553" s="35">
        <v>2022</v>
      </c>
      <c r="D3553" s="36">
        <v>44892.503078703703</v>
      </c>
      <c r="E3553" s="35" t="s">
        <v>294</v>
      </c>
      <c r="F3553" s="43" t="s">
        <v>6248</v>
      </c>
      <c r="G3553" s="43" t="s">
        <v>3551</v>
      </c>
      <c r="H3553" s="35" t="s">
        <v>3415</v>
      </c>
      <c r="I3553" s="35" t="s">
        <v>3416</v>
      </c>
      <c r="J3553" s="38">
        <v>1.8540461346633419</v>
      </c>
      <c r="K3553" s="35">
        <v>4</v>
      </c>
      <c r="L3553" s="38">
        <f t="shared" si="55"/>
        <v>7.4161845386533676</v>
      </c>
      <c r="M3553" s="35" t="s">
        <v>11</v>
      </c>
      <c r="N3553" s="38"/>
      <c r="O3553" s="35" t="s">
        <v>12</v>
      </c>
    </row>
    <row r="3554" spans="1:15" x14ac:dyDescent="0.25">
      <c r="A3554" s="35">
        <v>1095959451</v>
      </c>
      <c r="B3554" s="35" t="s">
        <v>3968</v>
      </c>
      <c r="C3554" s="35">
        <v>2022</v>
      </c>
      <c r="D3554" s="36">
        <v>44892.503078703703</v>
      </c>
      <c r="E3554" s="35" t="s">
        <v>294</v>
      </c>
      <c r="F3554" s="43" t="s">
        <v>3935</v>
      </c>
      <c r="G3554" s="43" t="s">
        <v>3551</v>
      </c>
      <c r="H3554" s="35" t="s">
        <v>3415</v>
      </c>
      <c r="I3554" s="35" t="s">
        <v>3416</v>
      </c>
      <c r="J3554" s="38">
        <v>0.167534289276808</v>
      </c>
      <c r="K3554" s="35">
        <v>4</v>
      </c>
      <c r="L3554" s="38">
        <f t="shared" si="55"/>
        <v>0.67013715710723198</v>
      </c>
      <c r="M3554" s="35" t="s">
        <v>11</v>
      </c>
      <c r="N3554" s="38"/>
      <c r="O3554" s="35" t="s">
        <v>12</v>
      </c>
    </row>
    <row r="3555" spans="1:15" x14ac:dyDescent="0.25">
      <c r="A3555" s="35">
        <v>1095959451</v>
      </c>
      <c r="B3555" s="35" t="s">
        <v>3968</v>
      </c>
      <c r="C3555" s="35">
        <v>2022</v>
      </c>
      <c r="D3555" s="36">
        <v>44892.503078703703</v>
      </c>
      <c r="E3555" s="35" t="s">
        <v>294</v>
      </c>
      <c r="F3555" s="43" t="s">
        <v>6249</v>
      </c>
      <c r="G3555" s="43" t="s">
        <v>3551</v>
      </c>
      <c r="H3555" s="35" t="s">
        <v>3415</v>
      </c>
      <c r="I3555" s="35" t="s">
        <v>3416</v>
      </c>
      <c r="J3555" s="38">
        <v>0.1116895261845387</v>
      </c>
      <c r="K3555" s="35">
        <v>4</v>
      </c>
      <c r="L3555" s="38">
        <f t="shared" si="55"/>
        <v>0.4467581047381548</v>
      </c>
      <c r="M3555" s="35" t="s">
        <v>11</v>
      </c>
      <c r="N3555" s="38"/>
      <c r="O3555" s="35" t="s">
        <v>12</v>
      </c>
    </row>
    <row r="3556" spans="1:15" x14ac:dyDescent="0.25">
      <c r="A3556" s="35">
        <v>1095959451</v>
      </c>
      <c r="B3556" s="35" t="s">
        <v>3968</v>
      </c>
      <c r="C3556" s="35">
        <v>2022</v>
      </c>
      <c r="D3556" s="36">
        <v>44892.503078703703</v>
      </c>
      <c r="E3556" s="35" t="s">
        <v>294</v>
      </c>
      <c r="F3556" s="43" t="s">
        <v>5972</v>
      </c>
      <c r="G3556" s="43" t="s">
        <v>6250</v>
      </c>
      <c r="H3556" s="35" t="s">
        <v>3419</v>
      </c>
      <c r="I3556" s="35" t="s">
        <v>3416</v>
      </c>
      <c r="J3556" s="38">
        <v>7.751253117206983</v>
      </c>
      <c r="K3556" s="35">
        <v>1</v>
      </c>
      <c r="L3556" s="38">
        <f t="shared" si="55"/>
        <v>7.751253117206983</v>
      </c>
      <c r="M3556" s="35" t="s">
        <v>11</v>
      </c>
      <c r="N3556" s="38"/>
      <c r="O3556" s="35" t="s">
        <v>12</v>
      </c>
    </row>
    <row r="3557" spans="1:15" x14ac:dyDescent="0.25">
      <c r="A3557" s="35">
        <v>1095959451</v>
      </c>
      <c r="B3557" s="35" t="s">
        <v>3968</v>
      </c>
      <c r="C3557" s="35">
        <v>2022</v>
      </c>
      <c r="D3557" s="36">
        <v>44892.503078703703</v>
      </c>
      <c r="E3557" s="35" t="s">
        <v>294</v>
      </c>
      <c r="F3557" s="43" t="s">
        <v>5512</v>
      </c>
      <c r="G3557" s="43" t="s">
        <v>4432</v>
      </c>
      <c r="H3557" s="35" t="s">
        <v>3419</v>
      </c>
      <c r="I3557" s="35" t="s">
        <v>3416</v>
      </c>
      <c r="J3557" s="38">
        <v>9.9962125935162085</v>
      </c>
      <c r="K3557" s="35">
        <v>1</v>
      </c>
      <c r="L3557" s="38">
        <f t="shared" si="55"/>
        <v>9.9962125935162085</v>
      </c>
      <c r="M3557" s="35" t="s">
        <v>11</v>
      </c>
      <c r="N3557" s="38"/>
      <c r="O3557" s="35" t="s">
        <v>12</v>
      </c>
    </row>
    <row r="3558" spans="1:15" x14ac:dyDescent="0.25">
      <c r="A3558" s="35">
        <v>1095959451</v>
      </c>
      <c r="B3558" s="35" t="s">
        <v>3968</v>
      </c>
      <c r="C3558" s="35">
        <v>2022</v>
      </c>
      <c r="D3558" s="36">
        <v>44892.503078703703</v>
      </c>
      <c r="E3558" s="35" t="s">
        <v>294</v>
      </c>
      <c r="F3558" s="43" t="s">
        <v>3719</v>
      </c>
      <c r="G3558" s="43" t="s">
        <v>3720</v>
      </c>
      <c r="H3558" s="35" t="s">
        <v>3415</v>
      </c>
      <c r="I3558" s="35" t="s">
        <v>3416</v>
      </c>
      <c r="J3558" s="38">
        <v>0.72598192019950125</v>
      </c>
      <c r="K3558" s="35">
        <v>4</v>
      </c>
      <c r="L3558" s="38">
        <f t="shared" si="55"/>
        <v>2.903927680798005</v>
      </c>
      <c r="M3558" s="35" t="s">
        <v>11</v>
      </c>
      <c r="N3558" s="38"/>
      <c r="O3558" s="35" t="s">
        <v>12</v>
      </c>
    </row>
    <row r="3559" spans="1:15" x14ac:dyDescent="0.25">
      <c r="A3559" s="35">
        <v>1095908969</v>
      </c>
      <c r="B3559" s="35" t="s">
        <v>3968</v>
      </c>
      <c r="C3559" s="35">
        <v>2022</v>
      </c>
      <c r="D3559" s="36">
        <v>44891.706388888888</v>
      </c>
      <c r="E3559" s="35" t="s">
        <v>2568</v>
      </c>
      <c r="F3559" s="43" t="s">
        <v>6251</v>
      </c>
      <c r="G3559" s="43" t="s">
        <v>4053</v>
      </c>
      <c r="H3559" s="35" t="s">
        <v>3415</v>
      </c>
      <c r="I3559" s="35" t="s">
        <v>3416</v>
      </c>
      <c r="J3559" s="38">
        <v>0.21441176470588241</v>
      </c>
      <c r="K3559" s="35">
        <v>4</v>
      </c>
      <c r="L3559" s="38">
        <f t="shared" si="55"/>
        <v>0.85764705882352965</v>
      </c>
      <c r="M3559" s="35" t="s">
        <v>11</v>
      </c>
      <c r="N3559" s="38"/>
      <c r="O3559" s="35" t="s">
        <v>12</v>
      </c>
    </row>
    <row r="3560" spans="1:15" x14ac:dyDescent="0.25">
      <c r="A3560" s="35">
        <v>1095908969</v>
      </c>
      <c r="B3560" s="35" t="s">
        <v>3968</v>
      </c>
      <c r="C3560" s="35">
        <v>2022</v>
      </c>
      <c r="D3560" s="36">
        <v>44891.706388888888</v>
      </c>
      <c r="E3560" s="35" t="s">
        <v>2568</v>
      </c>
      <c r="F3560" s="43" t="s">
        <v>6252</v>
      </c>
      <c r="G3560" s="43" t="s">
        <v>4636</v>
      </c>
      <c r="H3560" s="35" t="s">
        <v>3419</v>
      </c>
      <c r="I3560" s="35" t="s">
        <v>3530</v>
      </c>
      <c r="J3560" s="38">
        <v>32.108161764705883</v>
      </c>
      <c r="K3560" s="35">
        <v>1</v>
      </c>
      <c r="L3560" s="38">
        <f t="shared" si="55"/>
        <v>32.108161764705883</v>
      </c>
      <c r="M3560" s="35" t="s">
        <v>11</v>
      </c>
      <c r="N3560" s="38"/>
      <c r="O3560" s="35" t="s">
        <v>12</v>
      </c>
    </row>
    <row r="3561" spans="1:15" x14ac:dyDescent="0.25">
      <c r="A3561" s="35">
        <v>1095908969</v>
      </c>
      <c r="B3561" s="35" t="s">
        <v>3968</v>
      </c>
      <c r="C3561" s="35">
        <v>2022</v>
      </c>
      <c r="D3561" s="36">
        <v>44891.706388888888</v>
      </c>
      <c r="E3561" s="35" t="s">
        <v>2568</v>
      </c>
      <c r="F3561" s="43" t="s">
        <v>5012</v>
      </c>
      <c r="G3561" s="43" t="s">
        <v>3551</v>
      </c>
      <c r="H3561" s="35" t="s">
        <v>3415</v>
      </c>
      <c r="I3561" s="35" t="s">
        <v>3530</v>
      </c>
      <c r="J3561" s="38">
        <v>2.0905147058823532</v>
      </c>
      <c r="K3561" s="35">
        <v>4</v>
      </c>
      <c r="L3561" s="38">
        <f t="shared" si="55"/>
        <v>8.3620588235294129</v>
      </c>
      <c r="M3561" s="35" t="s">
        <v>11</v>
      </c>
      <c r="N3561" s="38"/>
      <c r="O3561" s="35" t="s">
        <v>12</v>
      </c>
    </row>
    <row r="3562" spans="1:15" x14ac:dyDescent="0.25">
      <c r="A3562" s="35">
        <v>1095908969</v>
      </c>
      <c r="B3562" s="35" t="s">
        <v>3968</v>
      </c>
      <c r="C3562" s="35">
        <v>2022</v>
      </c>
      <c r="D3562" s="36">
        <v>44891.706388888888</v>
      </c>
      <c r="E3562" s="35" t="s">
        <v>2568</v>
      </c>
      <c r="F3562" s="43" t="s">
        <v>6253</v>
      </c>
      <c r="G3562" s="43" t="s">
        <v>4154</v>
      </c>
      <c r="H3562" s="35" t="s">
        <v>3419</v>
      </c>
      <c r="I3562" s="35" t="s">
        <v>3416</v>
      </c>
      <c r="J3562" s="38">
        <v>1.1792647058823531</v>
      </c>
      <c r="K3562" s="35">
        <v>1</v>
      </c>
      <c r="L3562" s="38">
        <f t="shared" si="55"/>
        <v>1.1792647058823531</v>
      </c>
      <c r="M3562" s="35" t="s">
        <v>11</v>
      </c>
      <c r="N3562" s="38"/>
      <c r="O3562" s="35" t="s">
        <v>12</v>
      </c>
    </row>
    <row r="3563" spans="1:15" x14ac:dyDescent="0.25">
      <c r="A3563" s="35">
        <v>1095908969</v>
      </c>
      <c r="B3563" s="35" t="s">
        <v>3968</v>
      </c>
      <c r="C3563" s="35">
        <v>2022</v>
      </c>
      <c r="D3563" s="36">
        <v>44891.706388888888</v>
      </c>
      <c r="E3563" s="35" t="s">
        <v>2568</v>
      </c>
      <c r="F3563" s="43" t="s">
        <v>6233</v>
      </c>
      <c r="G3563" s="43" t="s">
        <v>4055</v>
      </c>
      <c r="H3563" s="35" t="s">
        <v>3419</v>
      </c>
      <c r="I3563" s="35" t="s">
        <v>3416</v>
      </c>
      <c r="J3563" s="38">
        <v>0.26801470588235288</v>
      </c>
      <c r="K3563" s="35">
        <v>1</v>
      </c>
      <c r="L3563" s="38">
        <f t="shared" si="55"/>
        <v>0.26801470588235288</v>
      </c>
      <c r="M3563" s="35" t="s">
        <v>11</v>
      </c>
      <c r="N3563" s="38"/>
      <c r="O3563" s="35" t="s">
        <v>12</v>
      </c>
    </row>
    <row r="3564" spans="1:15" x14ac:dyDescent="0.25">
      <c r="A3564" s="35">
        <v>1095908969</v>
      </c>
      <c r="B3564" s="35" t="s">
        <v>3968</v>
      </c>
      <c r="C3564" s="35">
        <v>2022</v>
      </c>
      <c r="D3564" s="36">
        <v>44891.706388888888</v>
      </c>
      <c r="E3564" s="35" t="s">
        <v>2568</v>
      </c>
      <c r="F3564" s="43" t="s">
        <v>4396</v>
      </c>
      <c r="G3564" s="43" t="s">
        <v>3619</v>
      </c>
      <c r="H3564" s="35" t="s">
        <v>3419</v>
      </c>
      <c r="I3564" s="35" t="s">
        <v>3416</v>
      </c>
      <c r="J3564" s="38">
        <v>8.0404411764705888</v>
      </c>
      <c r="K3564" s="35">
        <v>1</v>
      </c>
      <c r="L3564" s="38">
        <f t="shared" si="55"/>
        <v>8.0404411764705888</v>
      </c>
      <c r="M3564" s="35" t="s">
        <v>11</v>
      </c>
      <c r="N3564" s="38"/>
      <c r="O3564" s="35" t="s">
        <v>12</v>
      </c>
    </row>
    <row r="3565" spans="1:15" x14ac:dyDescent="0.25">
      <c r="A3565" s="35">
        <v>1095908969</v>
      </c>
      <c r="B3565" s="35" t="s">
        <v>3968</v>
      </c>
      <c r="C3565" s="35">
        <v>2022</v>
      </c>
      <c r="D3565" s="36">
        <v>44891.706388888888</v>
      </c>
      <c r="E3565" s="35" t="s">
        <v>2568</v>
      </c>
      <c r="F3565" s="43" t="s">
        <v>6241</v>
      </c>
      <c r="G3565" s="43" t="s">
        <v>4309</v>
      </c>
      <c r="H3565" s="35" t="s">
        <v>3419</v>
      </c>
      <c r="I3565" s="35" t="s">
        <v>3416</v>
      </c>
      <c r="J3565" s="38">
        <v>0.21441176470588241</v>
      </c>
      <c r="K3565" s="35">
        <v>1</v>
      </c>
      <c r="L3565" s="38">
        <f t="shared" si="55"/>
        <v>0.21441176470588241</v>
      </c>
      <c r="M3565" s="35" t="s">
        <v>11</v>
      </c>
      <c r="N3565" s="38"/>
      <c r="O3565" s="35" t="s">
        <v>12</v>
      </c>
    </row>
    <row r="3566" spans="1:15" x14ac:dyDescent="0.25">
      <c r="A3566" s="35">
        <v>1095908969</v>
      </c>
      <c r="B3566" s="35" t="s">
        <v>3968</v>
      </c>
      <c r="C3566" s="35">
        <v>2022</v>
      </c>
      <c r="D3566" s="36">
        <v>44891.706388888888</v>
      </c>
      <c r="E3566" s="35" t="s">
        <v>2568</v>
      </c>
      <c r="F3566" s="43" t="s">
        <v>6241</v>
      </c>
      <c r="G3566" s="43" t="s">
        <v>4309</v>
      </c>
      <c r="H3566" s="35" t="s">
        <v>3419</v>
      </c>
      <c r="I3566" s="35" t="s">
        <v>3530</v>
      </c>
      <c r="J3566" s="38">
        <v>0.21441176470588241</v>
      </c>
      <c r="K3566" s="35">
        <v>2</v>
      </c>
      <c r="L3566" s="38">
        <f t="shared" si="55"/>
        <v>0.42882352941176483</v>
      </c>
      <c r="M3566" s="35" t="s">
        <v>11</v>
      </c>
      <c r="N3566" s="38"/>
      <c r="O3566" s="35" t="s">
        <v>12</v>
      </c>
    </row>
    <row r="3567" spans="1:15" x14ac:dyDescent="0.25">
      <c r="A3567" s="35">
        <v>1095908969</v>
      </c>
      <c r="B3567" s="35" t="s">
        <v>3968</v>
      </c>
      <c r="C3567" s="35">
        <v>2022</v>
      </c>
      <c r="D3567" s="36">
        <v>44891.706388888888</v>
      </c>
      <c r="E3567" s="35" t="s">
        <v>2568</v>
      </c>
      <c r="F3567" s="43" t="s">
        <v>6239</v>
      </c>
      <c r="G3567" s="43" t="s">
        <v>3551</v>
      </c>
      <c r="H3567" s="35" t="s">
        <v>3419</v>
      </c>
      <c r="I3567" s="35" t="s">
        <v>3530</v>
      </c>
      <c r="J3567" s="38">
        <v>0.53602941176470587</v>
      </c>
      <c r="K3567" s="35">
        <v>2</v>
      </c>
      <c r="L3567" s="38">
        <f t="shared" si="55"/>
        <v>1.0720588235294117</v>
      </c>
      <c r="M3567" s="35" t="s">
        <v>11</v>
      </c>
      <c r="N3567" s="38"/>
      <c r="O3567" s="35" t="s">
        <v>12</v>
      </c>
    </row>
    <row r="3568" spans="1:15" x14ac:dyDescent="0.25">
      <c r="A3568" s="35">
        <v>1095908969</v>
      </c>
      <c r="B3568" s="35" t="s">
        <v>3968</v>
      </c>
      <c r="C3568" s="35">
        <v>2022</v>
      </c>
      <c r="D3568" s="36">
        <v>44891.706388888888</v>
      </c>
      <c r="E3568" s="35" t="s">
        <v>2568</v>
      </c>
      <c r="F3568" s="43" t="s">
        <v>6254</v>
      </c>
      <c r="G3568" s="43" t="s">
        <v>6255</v>
      </c>
      <c r="H3568" s="35" t="s">
        <v>3419</v>
      </c>
      <c r="I3568" s="35" t="s">
        <v>3530</v>
      </c>
      <c r="J3568" s="38">
        <v>0.37522058823529408</v>
      </c>
      <c r="K3568" s="35">
        <v>3</v>
      </c>
      <c r="L3568" s="38">
        <f t="shared" si="55"/>
        <v>1.1256617647058822</v>
      </c>
      <c r="M3568" s="35" t="s">
        <v>11</v>
      </c>
      <c r="N3568" s="38"/>
      <c r="O3568" s="35" t="s">
        <v>12</v>
      </c>
    </row>
    <row r="3569" spans="1:15" x14ac:dyDescent="0.25">
      <c r="A3569" s="35">
        <v>1095908969</v>
      </c>
      <c r="B3569" s="35" t="s">
        <v>3968</v>
      </c>
      <c r="C3569" s="35">
        <v>2022</v>
      </c>
      <c r="D3569" s="36">
        <v>44891.706388888888</v>
      </c>
      <c r="E3569" s="35" t="s">
        <v>2568</v>
      </c>
      <c r="F3569" s="43" t="s">
        <v>4396</v>
      </c>
      <c r="G3569" s="43" t="s">
        <v>3619</v>
      </c>
      <c r="H3569" s="35" t="s">
        <v>3419</v>
      </c>
      <c r="I3569" s="35" t="s">
        <v>3530</v>
      </c>
      <c r="J3569" s="38">
        <v>8.0404411764705888</v>
      </c>
      <c r="K3569" s="35">
        <v>1</v>
      </c>
      <c r="L3569" s="38">
        <f t="shared" si="55"/>
        <v>8.0404411764705888</v>
      </c>
      <c r="M3569" s="35" t="s">
        <v>11</v>
      </c>
      <c r="N3569" s="38"/>
      <c r="O3569" s="35" t="s">
        <v>12</v>
      </c>
    </row>
    <row r="3570" spans="1:15" x14ac:dyDescent="0.25">
      <c r="A3570" s="35">
        <v>1095908969</v>
      </c>
      <c r="B3570" s="35" t="s">
        <v>3968</v>
      </c>
      <c r="C3570" s="35">
        <v>2022</v>
      </c>
      <c r="D3570" s="36">
        <v>44891.706388888888</v>
      </c>
      <c r="E3570" s="35" t="s">
        <v>2568</v>
      </c>
      <c r="F3570" s="43" t="s">
        <v>6256</v>
      </c>
      <c r="G3570" s="43" t="s">
        <v>3457</v>
      </c>
      <c r="H3570" s="35" t="s">
        <v>3415</v>
      </c>
      <c r="I3570" s="35" t="s">
        <v>3530</v>
      </c>
      <c r="J3570" s="38">
        <v>0.10720588235294121</v>
      </c>
      <c r="K3570" s="35">
        <v>4</v>
      </c>
      <c r="L3570" s="38">
        <f t="shared" si="55"/>
        <v>0.42882352941176483</v>
      </c>
      <c r="M3570" s="35" t="s">
        <v>11</v>
      </c>
      <c r="N3570" s="38"/>
      <c r="O3570" s="35" t="s">
        <v>12</v>
      </c>
    </row>
    <row r="3571" spans="1:15" x14ac:dyDescent="0.25">
      <c r="A3571" s="35">
        <v>1095908969</v>
      </c>
      <c r="B3571" s="35" t="s">
        <v>3968</v>
      </c>
      <c r="C3571" s="35">
        <v>2022</v>
      </c>
      <c r="D3571" s="36">
        <v>44891.706388888888</v>
      </c>
      <c r="E3571" s="35" t="s">
        <v>2568</v>
      </c>
      <c r="F3571" s="43" t="s">
        <v>6257</v>
      </c>
      <c r="G3571" s="43" t="s">
        <v>3867</v>
      </c>
      <c r="H3571" s="35" t="s">
        <v>3419</v>
      </c>
      <c r="I3571" s="35" t="s">
        <v>3530</v>
      </c>
      <c r="J3571" s="38">
        <v>1.018455882352941</v>
      </c>
      <c r="K3571" s="35">
        <v>2</v>
      </c>
      <c r="L3571" s="38">
        <f t="shared" si="55"/>
        <v>2.0369117647058821</v>
      </c>
      <c r="M3571" s="35" t="s">
        <v>11</v>
      </c>
      <c r="N3571" s="38"/>
      <c r="O3571" s="35" t="s">
        <v>12</v>
      </c>
    </row>
    <row r="3572" spans="1:15" x14ac:dyDescent="0.25">
      <c r="A3572" s="35">
        <v>1095908969</v>
      </c>
      <c r="B3572" s="35" t="s">
        <v>3968</v>
      </c>
      <c r="C3572" s="35">
        <v>2022</v>
      </c>
      <c r="D3572" s="36">
        <v>44891.706388888888</v>
      </c>
      <c r="E3572" s="35" t="s">
        <v>2568</v>
      </c>
      <c r="F3572" s="43" t="s">
        <v>6258</v>
      </c>
      <c r="G3572" s="43" t="s">
        <v>3529</v>
      </c>
      <c r="H3572" s="35" t="s">
        <v>3419</v>
      </c>
      <c r="I3572" s="35" t="s">
        <v>3530</v>
      </c>
      <c r="J3572" s="38">
        <v>0.64323529411764702</v>
      </c>
      <c r="K3572" s="35">
        <v>2</v>
      </c>
      <c r="L3572" s="38">
        <f t="shared" si="55"/>
        <v>1.286470588235294</v>
      </c>
      <c r="M3572" s="35" t="s">
        <v>11</v>
      </c>
      <c r="N3572" s="38"/>
      <c r="O3572" s="35" t="s">
        <v>12</v>
      </c>
    </row>
    <row r="3573" spans="1:15" x14ac:dyDescent="0.25">
      <c r="A3573" s="35">
        <v>1095908969</v>
      </c>
      <c r="B3573" s="35" t="s">
        <v>3968</v>
      </c>
      <c r="C3573" s="35">
        <v>2022</v>
      </c>
      <c r="D3573" s="36">
        <v>44891.706388888888</v>
      </c>
      <c r="E3573" s="35" t="s">
        <v>2568</v>
      </c>
      <c r="F3573" s="43" t="s">
        <v>4776</v>
      </c>
      <c r="G3573" s="43" t="s">
        <v>3551</v>
      </c>
      <c r="H3573" s="35" t="s">
        <v>3419</v>
      </c>
      <c r="I3573" s="35" t="s">
        <v>3530</v>
      </c>
      <c r="J3573" s="38">
        <v>7.4508088235294121</v>
      </c>
      <c r="K3573" s="35">
        <v>1</v>
      </c>
      <c r="L3573" s="38">
        <f t="shared" si="55"/>
        <v>7.4508088235294121</v>
      </c>
      <c r="M3573" s="35" t="s">
        <v>11</v>
      </c>
      <c r="N3573" s="38"/>
      <c r="O3573" s="35" t="s">
        <v>12</v>
      </c>
    </row>
    <row r="3574" spans="1:15" x14ac:dyDescent="0.25">
      <c r="A3574" s="35">
        <v>1095635319</v>
      </c>
      <c r="B3574" s="35" t="s">
        <v>3968</v>
      </c>
      <c r="C3574" s="35">
        <v>2022</v>
      </c>
      <c r="D3574" s="36">
        <v>44888.811469907407</v>
      </c>
      <c r="E3574" s="35" t="s">
        <v>3343</v>
      </c>
      <c r="F3574" s="43" t="s">
        <v>6259</v>
      </c>
      <c r="G3574" s="43" t="s">
        <v>3720</v>
      </c>
      <c r="H3574" s="35" t="s">
        <v>3419</v>
      </c>
      <c r="I3574" s="35" t="s">
        <v>3416</v>
      </c>
      <c r="J3574" s="38">
        <v>2.0766917293233078</v>
      </c>
      <c r="K3574" s="35">
        <v>1</v>
      </c>
      <c r="L3574" s="38">
        <f t="shared" si="55"/>
        <v>2.0766917293233078</v>
      </c>
      <c r="M3574" s="35" t="s">
        <v>11</v>
      </c>
      <c r="N3574" s="38"/>
      <c r="O3574" s="35" t="s">
        <v>12</v>
      </c>
    </row>
    <row r="3575" spans="1:15" x14ac:dyDescent="0.25">
      <c r="A3575" s="35">
        <v>1095635319</v>
      </c>
      <c r="B3575" s="35" t="s">
        <v>3968</v>
      </c>
      <c r="C3575" s="35">
        <v>2022</v>
      </c>
      <c r="D3575" s="36">
        <v>44888.811469907407</v>
      </c>
      <c r="E3575" s="35" t="s">
        <v>3343</v>
      </c>
      <c r="F3575" s="43" t="s">
        <v>6260</v>
      </c>
      <c r="G3575" s="43" t="s">
        <v>3757</v>
      </c>
      <c r="H3575" s="35" t="s">
        <v>3419</v>
      </c>
      <c r="I3575" s="35" t="s">
        <v>3416</v>
      </c>
      <c r="J3575" s="38">
        <v>132.9082706766917</v>
      </c>
      <c r="K3575" s="35">
        <v>1</v>
      </c>
      <c r="L3575" s="38">
        <f t="shared" si="55"/>
        <v>132.9082706766917</v>
      </c>
      <c r="M3575" s="35" t="s">
        <v>11</v>
      </c>
      <c r="N3575" s="38"/>
      <c r="O3575" s="35" t="s">
        <v>12</v>
      </c>
    </row>
    <row r="3576" spans="1:15" x14ac:dyDescent="0.25">
      <c r="A3576" s="35">
        <v>1095635319</v>
      </c>
      <c r="B3576" s="35" t="s">
        <v>3968</v>
      </c>
      <c r="C3576" s="35">
        <v>2022</v>
      </c>
      <c r="D3576" s="36">
        <v>44888.811469907407</v>
      </c>
      <c r="E3576" s="35" t="s">
        <v>3343</v>
      </c>
      <c r="F3576" s="43" t="s">
        <v>5068</v>
      </c>
      <c r="G3576" s="43" t="s">
        <v>3529</v>
      </c>
      <c r="H3576" s="35" t="s">
        <v>3419</v>
      </c>
      <c r="I3576" s="35" t="s">
        <v>3416</v>
      </c>
      <c r="J3576" s="38">
        <v>1.5575187969924811</v>
      </c>
      <c r="K3576" s="35">
        <v>2</v>
      </c>
      <c r="L3576" s="38">
        <f t="shared" si="55"/>
        <v>3.1150375939849622</v>
      </c>
      <c r="M3576" s="35" t="s">
        <v>11</v>
      </c>
      <c r="N3576" s="38"/>
      <c r="O3576" s="35" t="s">
        <v>12</v>
      </c>
    </row>
    <row r="3577" spans="1:15" x14ac:dyDescent="0.25">
      <c r="A3577" s="35">
        <v>1094468405</v>
      </c>
      <c r="B3577" s="35" t="s">
        <v>3968</v>
      </c>
      <c r="C3577" s="35">
        <v>2022</v>
      </c>
      <c r="D3577" s="36">
        <v>44877.804097222222</v>
      </c>
      <c r="E3577" s="35" t="s">
        <v>2838</v>
      </c>
      <c r="F3577" s="43" t="s">
        <v>6261</v>
      </c>
      <c r="G3577" s="43" t="s">
        <v>6262</v>
      </c>
      <c r="H3577" s="35" t="s">
        <v>3419</v>
      </c>
      <c r="I3577" s="35" t="s">
        <v>3416</v>
      </c>
      <c r="J3577" s="38">
        <v>3.791535150645625</v>
      </c>
      <c r="K3577" s="35">
        <v>2</v>
      </c>
      <c r="L3577" s="38">
        <f t="shared" si="55"/>
        <v>7.5830703012912499</v>
      </c>
      <c r="M3577" s="35" t="s">
        <v>11</v>
      </c>
      <c r="N3577" s="38"/>
      <c r="O3577" s="35" t="s">
        <v>12</v>
      </c>
    </row>
    <row r="3578" spans="1:15" x14ac:dyDescent="0.25">
      <c r="A3578" s="35">
        <v>1094468405</v>
      </c>
      <c r="B3578" s="35" t="s">
        <v>3968</v>
      </c>
      <c r="C3578" s="35">
        <v>2022</v>
      </c>
      <c r="D3578" s="36">
        <v>44877.804097222222</v>
      </c>
      <c r="E3578" s="35" t="s">
        <v>2838</v>
      </c>
      <c r="F3578" s="43" t="s">
        <v>6056</v>
      </c>
      <c r="G3578" s="43" t="s">
        <v>6263</v>
      </c>
      <c r="H3578" s="35" t="s">
        <v>3419</v>
      </c>
      <c r="I3578" s="35" t="s">
        <v>3416</v>
      </c>
      <c r="J3578" s="38">
        <v>5.3740889526542324</v>
      </c>
      <c r="K3578" s="35">
        <v>5</v>
      </c>
      <c r="L3578" s="38">
        <f t="shared" si="55"/>
        <v>26.870444763271163</v>
      </c>
      <c r="M3578" s="35" t="s">
        <v>11</v>
      </c>
      <c r="N3578" s="38"/>
      <c r="O3578" s="35" t="s">
        <v>12</v>
      </c>
    </row>
    <row r="3579" spans="1:15" x14ac:dyDescent="0.25">
      <c r="A3579" s="35">
        <v>1094468405</v>
      </c>
      <c r="B3579" s="35" t="s">
        <v>3968</v>
      </c>
      <c r="C3579" s="35">
        <v>2022</v>
      </c>
      <c r="D3579" s="36">
        <v>44877.804097222222</v>
      </c>
      <c r="E3579" s="35" t="s">
        <v>2838</v>
      </c>
      <c r="F3579" s="43" t="s">
        <v>6264</v>
      </c>
      <c r="G3579" s="43" t="s">
        <v>4432</v>
      </c>
      <c r="H3579" s="35" t="s">
        <v>3419</v>
      </c>
      <c r="I3579" s="35" t="s">
        <v>3416</v>
      </c>
      <c r="J3579" s="38">
        <v>2.1430416068866571</v>
      </c>
      <c r="K3579" s="35">
        <v>1</v>
      </c>
      <c r="L3579" s="38">
        <f t="shared" si="55"/>
        <v>2.1430416068866571</v>
      </c>
      <c r="M3579" s="35" t="s">
        <v>11</v>
      </c>
      <c r="N3579" s="38"/>
      <c r="O3579" s="35" t="s">
        <v>12</v>
      </c>
    </row>
    <row r="3580" spans="1:15" x14ac:dyDescent="0.25">
      <c r="A3580" s="35">
        <v>1094468405</v>
      </c>
      <c r="B3580" s="35" t="s">
        <v>3968</v>
      </c>
      <c r="C3580" s="35">
        <v>2022</v>
      </c>
      <c r="D3580" s="36">
        <v>44877.804097222222</v>
      </c>
      <c r="E3580" s="35" t="s">
        <v>2838</v>
      </c>
      <c r="F3580" s="43" t="s">
        <v>6265</v>
      </c>
      <c r="G3580" s="43" t="s">
        <v>4432</v>
      </c>
      <c r="H3580" s="35" t="s">
        <v>3419</v>
      </c>
      <c r="I3580" s="35" t="s">
        <v>3416</v>
      </c>
      <c r="J3580" s="38">
        <v>1.7034433285509329</v>
      </c>
      <c r="K3580" s="35">
        <v>1</v>
      </c>
      <c r="L3580" s="38">
        <f t="shared" si="55"/>
        <v>1.7034433285509329</v>
      </c>
      <c r="M3580" s="35" t="s">
        <v>11</v>
      </c>
      <c r="N3580" s="38"/>
      <c r="O3580" s="35" t="s">
        <v>12</v>
      </c>
    </row>
    <row r="3581" spans="1:15" x14ac:dyDescent="0.25">
      <c r="A3581" s="35">
        <v>1094260376</v>
      </c>
      <c r="B3581" s="35" t="s">
        <v>3968</v>
      </c>
      <c r="C3581" s="35">
        <v>2022</v>
      </c>
      <c r="D3581" s="36">
        <v>44875.718090277784</v>
      </c>
      <c r="E3581" s="35" t="s">
        <v>3348</v>
      </c>
      <c r="F3581" s="43" t="s">
        <v>6266</v>
      </c>
      <c r="G3581" s="43" t="s">
        <v>3551</v>
      </c>
      <c r="H3581" s="35" t="s">
        <v>3419</v>
      </c>
      <c r="I3581" s="35" t="s">
        <v>3416</v>
      </c>
      <c r="J3581" s="38">
        <v>133.1</v>
      </c>
      <c r="K3581" s="35">
        <v>1</v>
      </c>
      <c r="L3581" s="38">
        <f t="shared" si="55"/>
        <v>133.1</v>
      </c>
      <c r="M3581" s="35" t="s">
        <v>11</v>
      </c>
      <c r="N3581" s="38"/>
      <c r="O3581" s="35" t="s">
        <v>12</v>
      </c>
    </row>
    <row r="3582" spans="1:15" x14ac:dyDescent="0.25">
      <c r="A3582" s="35">
        <v>1094144113</v>
      </c>
      <c r="B3582" s="35" t="s">
        <v>3968</v>
      </c>
      <c r="C3582" s="35">
        <v>2022</v>
      </c>
      <c r="D3582" s="36">
        <v>44874.628680555557</v>
      </c>
      <c r="E3582" s="35" t="s">
        <v>2353</v>
      </c>
      <c r="F3582" s="43" t="s">
        <v>6259</v>
      </c>
      <c r="G3582" s="43" t="s">
        <v>3668</v>
      </c>
      <c r="H3582" s="35" t="s">
        <v>3419</v>
      </c>
      <c r="I3582" s="35" t="s">
        <v>3416</v>
      </c>
      <c r="J3582" s="38">
        <v>3.7445205479452048</v>
      </c>
      <c r="K3582" s="35">
        <v>2</v>
      </c>
      <c r="L3582" s="38">
        <f t="shared" si="55"/>
        <v>7.4890410958904097</v>
      </c>
      <c r="M3582" s="35" t="s">
        <v>11</v>
      </c>
      <c r="N3582" s="38"/>
      <c r="O3582" s="35" t="s">
        <v>12</v>
      </c>
    </row>
    <row r="3583" spans="1:15" x14ac:dyDescent="0.25">
      <c r="A3583" s="35">
        <v>1094144113</v>
      </c>
      <c r="B3583" s="35" t="s">
        <v>3968</v>
      </c>
      <c r="C3583" s="35">
        <v>2022</v>
      </c>
      <c r="D3583" s="36">
        <v>44874.628680555557</v>
      </c>
      <c r="E3583" s="35" t="s">
        <v>2353</v>
      </c>
      <c r="F3583" s="43" t="s">
        <v>6267</v>
      </c>
      <c r="G3583" s="43" t="s">
        <v>3776</v>
      </c>
      <c r="H3583" s="35" t="s">
        <v>3419</v>
      </c>
      <c r="I3583" s="35" t="s">
        <v>3416</v>
      </c>
      <c r="J3583" s="38">
        <v>9.3613013698630141</v>
      </c>
      <c r="K3583" s="35">
        <v>2</v>
      </c>
      <c r="L3583" s="38">
        <f t="shared" si="55"/>
        <v>18.722602739726028</v>
      </c>
      <c r="M3583" s="35" t="s">
        <v>11</v>
      </c>
      <c r="N3583" s="38"/>
      <c r="O3583" s="35" t="s">
        <v>12</v>
      </c>
    </row>
    <row r="3584" spans="1:15" x14ac:dyDescent="0.25">
      <c r="A3584" s="35">
        <v>1094144113</v>
      </c>
      <c r="B3584" s="35" t="s">
        <v>3968</v>
      </c>
      <c r="C3584" s="35">
        <v>2022</v>
      </c>
      <c r="D3584" s="36">
        <v>44874.628680555557</v>
      </c>
      <c r="E3584" s="35" t="s">
        <v>2353</v>
      </c>
      <c r="F3584" s="43" t="s">
        <v>3697</v>
      </c>
      <c r="G3584" s="43" t="s">
        <v>3689</v>
      </c>
      <c r="H3584" s="35" t="s">
        <v>3419</v>
      </c>
      <c r="I3584" s="35" t="s">
        <v>3530</v>
      </c>
      <c r="J3584" s="38">
        <v>3.7445205479452048</v>
      </c>
      <c r="K3584" s="35">
        <v>1</v>
      </c>
      <c r="L3584" s="38">
        <f t="shared" si="55"/>
        <v>3.7445205479452048</v>
      </c>
      <c r="M3584" s="35" t="s">
        <v>11</v>
      </c>
      <c r="N3584" s="38"/>
      <c r="O3584" s="35" t="s">
        <v>12</v>
      </c>
    </row>
    <row r="3585" spans="1:15" x14ac:dyDescent="0.25">
      <c r="A3585" s="35">
        <v>1094144113</v>
      </c>
      <c r="B3585" s="35" t="s">
        <v>3968</v>
      </c>
      <c r="C3585" s="35">
        <v>2022</v>
      </c>
      <c r="D3585" s="36">
        <v>44874.628680555557</v>
      </c>
      <c r="E3585" s="35" t="s">
        <v>2353</v>
      </c>
      <c r="F3585" s="43" t="s">
        <v>3758</v>
      </c>
      <c r="G3585" s="43" t="s">
        <v>3723</v>
      </c>
      <c r="H3585" s="35" t="s">
        <v>3415</v>
      </c>
      <c r="I3585" s="35" t="s">
        <v>3530</v>
      </c>
      <c r="J3585" s="38">
        <v>0.53493150684931501</v>
      </c>
      <c r="K3585" s="35">
        <v>4</v>
      </c>
      <c r="L3585" s="38">
        <f t="shared" si="55"/>
        <v>2.13972602739726</v>
      </c>
      <c r="M3585" s="35" t="s">
        <v>11</v>
      </c>
      <c r="N3585" s="38"/>
      <c r="O3585" s="35" t="s">
        <v>12</v>
      </c>
    </row>
    <row r="3586" spans="1:15" x14ac:dyDescent="0.25">
      <c r="A3586" s="35">
        <v>1094144113</v>
      </c>
      <c r="B3586" s="35" t="s">
        <v>3968</v>
      </c>
      <c r="C3586" s="35">
        <v>2022</v>
      </c>
      <c r="D3586" s="36">
        <v>44874.628680555557</v>
      </c>
      <c r="E3586" s="35" t="s">
        <v>2353</v>
      </c>
      <c r="F3586" s="43" t="s">
        <v>4973</v>
      </c>
      <c r="G3586" s="43" t="s">
        <v>4974</v>
      </c>
      <c r="H3586" s="35" t="s">
        <v>3419</v>
      </c>
      <c r="I3586" s="35" t="s">
        <v>3416</v>
      </c>
      <c r="J3586" s="38">
        <v>1.06986301369863</v>
      </c>
      <c r="K3586" s="35">
        <v>3</v>
      </c>
      <c r="L3586" s="38">
        <f t="shared" ref="L3586:L3649" si="56">J3586*K3586</f>
        <v>3.20958904109589</v>
      </c>
      <c r="M3586" s="35" t="s">
        <v>11</v>
      </c>
      <c r="N3586" s="38"/>
      <c r="O3586" s="35" t="s">
        <v>12</v>
      </c>
    </row>
    <row r="3587" spans="1:15" x14ac:dyDescent="0.25">
      <c r="A3587" s="35">
        <v>1094144113</v>
      </c>
      <c r="B3587" s="35" t="s">
        <v>3968</v>
      </c>
      <c r="C3587" s="35">
        <v>2022</v>
      </c>
      <c r="D3587" s="36">
        <v>44874.628680555557</v>
      </c>
      <c r="E3587" s="35" t="s">
        <v>2353</v>
      </c>
      <c r="F3587" s="43" t="s">
        <v>4515</v>
      </c>
      <c r="G3587" s="43" t="s">
        <v>3666</v>
      </c>
      <c r="H3587" s="35" t="s">
        <v>3419</v>
      </c>
      <c r="I3587" s="35" t="s">
        <v>3416</v>
      </c>
      <c r="J3587" s="38">
        <v>21.397260273972599</v>
      </c>
      <c r="K3587" s="35">
        <v>2</v>
      </c>
      <c r="L3587" s="38">
        <f t="shared" si="56"/>
        <v>42.794520547945197</v>
      </c>
      <c r="M3587" s="35" t="s">
        <v>11</v>
      </c>
      <c r="N3587" s="38"/>
      <c r="O3587" s="35" t="s">
        <v>12</v>
      </c>
    </row>
    <row r="3588" spans="1:15" x14ac:dyDescent="0.25">
      <c r="A3588" s="35">
        <v>1094021888</v>
      </c>
      <c r="B3588" s="35" t="s">
        <v>3968</v>
      </c>
      <c r="C3588" s="35">
        <v>2022</v>
      </c>
      <c r="D3588" s="36">
        <v>44873.61215277778</v>
      </c>
      <c r="E3588" s="35" t="s">
        <v>3193</v>
      </c>
      <c r="F3588" s="43" t="s">
        <v>6269</v>
      </c>
      <c r="G3588" s="43" t="s">
        <v>4128</v>
      </c>
      <c r="H3588" s="35" t="s">
        <v>3419</v>
      </c>
      <c r="I3588" s="35" t="s">
        <v>3530</v>
      </c>
      <c r="J3588" s="38">
        <v>6.9056403201600798</v>
      </c>
      <c r="K3588" s="35">
        <v>1</v>
      </c>
      <c r="L3588" s="38">
        <f t="shared" si="56"/>
        <v>6.9056403201600798</v>
      </c>
      <c r="M3588" s="35" t="s">
        <v>11</v>
      </c>
      <c r="N3588" s="38"/>
      <c r="O3588" s="35" t="s">
        <v>12</v>
      </c>
    </row>
    <row r="3589" spans="1:15" x14ac:dyDescent="0.25">
      <c r="A3589" s="35">
        <v>1094021888</v>
      </c>
      <c r="B3589" s="35" t="s">
        <v>3968</v>
      </c>
      <c r="C3589" s="35">
        <v>2022</v>
      </c>
      <c r="D3589" s="36">
        <v>44873.61215277778</v>
      </c>
      <c r="E3589" s="35" t="s">
        <v>3193</v>
      </c>
      <c r="F3589" s="43" t="s">
        <v>6270</v>
      </c>
      <c r="G3589" s="43" t="s">
        <v>3776</v>
      </c>
      <c r="H3589" s="35" t="s">
        <v>3419</v>
      </c>
      <c r="I3589" s="35" t="s">
        <v>3931</v>
      </c>
      <c r="J3589" s="38">
        <v>6.3638131565782894</v>
      </c>
      <c r="K3589" s="35">
        <v>1</v>
      </c>
      <c r="L3589" s="38">
        <f t="shared" si="56"/>
        <v>6.3638131565782894</v>
      </c>
      <c r="M3589" s="35" t="s">
        <v>11</v>
      </c>
      <c r="N3589" s="38"/>
      <c r="O3589" s="35" t="s">
        <v>12</v>
      </c>
    </row>
    <row r="3590" spans="1:15" x14ac:dyDescent="0.25">
      <c r="A3590" s="35">
        <v>1094021888</v>
      </c>
      <c r="B3590" s="35" t="s">
        <v>3968</v>
      </c>
      <c r="C3590" s="35">
        <v>2022</v>
      </c>
      <c r="D3590" s="36">
        <v>44873.61215277778</v>
      </c>
      <c r="E3590" s="35" t="s">
        <v>3193</v>
      </c>
      <c r="F3590" s="43" t="s">
        <v>6271</v>
      </c>
      <c r="G3590" s="43" t="s">
        <v>6272</v>
      </c>
      <c r="H3590" s="35" t="s">
        <v>3415</v>
      </c>
      <c r="I3590" s="35" t="s">
        <v>3416</v>
      </c>
      <c r="J3590" s="38">
        <v>0.1062406203101551</v>
      </c>
      <c r="K3590" s="35">
        <v>4</v>
      </c>
      <c r="L3590" s="38">
        <f t="shared" si="56"/>
        <v>0.42496248124062042</v>
      </c>
      <c r="M3590" s="35" t="s">
        <v>11</v>
      </c>
      <c r="N3590" s="38"/>
      <c r="O3590" s="35" t="s">
        <v>12</v>
      </c>
    </row>
    <row r="3591" spans="1:15" x14ac:dyDescent="0.25">
      <c r="A3591" s="35">
        <v>1094021888</v>
      </c>
      <c r="B3591" s="35" t="s">
        <v>3968</v>
      </c>
      <c r="C3591" s="35">
        <v>2022</v>
      </c>
      <c r="D3591" s="36">
        <v>44873.61215277778</v>
      </c>
      <c r="E3591" s="35" t="s">
        <v>3193</v>
      </c>
      <c r="F3591" s="43" t="s">
        <v>6273</v>
      </c>
      <c r="G3591" s="43" t="s">
        <v>4268</v>
      </c>
      <c r="H3591" s="35" t="s">
        <v>3419</v>
      </c>
      <c r="I3591" s="35" t="s">
        <v>3416</v>
      </c>
      <c r="J3591" s="38">
        <v>0.1062406203101551</v>
      </c>
      <c r="K3591" s="35">
        <v>2</v>
      </c>
      <c r="L3591" s="38">
        <f t="shared" si="56"/>
        <v>0.21248124062031021</v>
      </c>
      <c r="M3591" s="35" t="s">
        <v>11</v>
      </c>
      <c r="N3591" s="38"/>
      <c r="O3591" s="35" t="s">
        <v>12</v>
      </c>
    </row>
    <row r="3592" spans="1:15" x14ac:dyDescent="0.25">
      <c r="A3592" s="35">
        <v>1094021888</v>
      </c>
      <c r="B3592" s="35" t="s">
        <v>3968</v>
      </c>
      <c r="C3592" s="35">
        <v>2022</v>
      </c>
      <c r="D3592" s="36">
        <v>44873.61215277778</v>
      </c>
      <c r="E3592" s="35" t="s">
        <v>3193</v>
      </c>
      <c r="F3592" s="43" t="s">
        <v>6274</v>
      </c>
      <c r="G3592" s="43" t="s">
        <v>4636</v>
      </c>
      <c r="H3592" s="35" t="s">
        <v>3415</v>
      </c>
      <c r="I3592" s="35" t="s">
        <v>3416</v>
      </c>
      <c r="J3592" s="38">
        <v>0.79680465232616304</v>
      </c>
      <c r="K3592" s="35">
        <v>4</v>
      </c>
      <c r="L3592" s="38">
        <f t="shared" si="56"/>
        <v>3.1872186093046522</v>
      </c>
      <c r="M3592" s="35" t="s">
        <v>11</v>
      </c>
      <c r="N3592" s="38"/>
      <c r="O3592" s="35" t="s">
        <v>12</v>
      </c>
    </row>
    <row r="3593" spans="1:15" x14ac:dyDescent="0.25">
      <c r="A3593" s="35">
        <v>1094021888</v>
      </c>
      <c r="B3593" s="35" t="s">
        <v>3968</v>
      </c>
      <c r="C3593" s="35">
        <v>2022</v>
      </c>
      <c r="D3593" s="36">
        <v>44873.61215277778</v>
      </c>
      <c r="E3593" s="35" t="s">
        <v>3193</v>
      </c>
      <c r="F3593" s="43" t="s">
        <v>6270</v>
      </c>
      <c r="G3593" s="43" t="s">
        <v>3959</v>
      </c>
      <c r="H3593" s="35" t="s">
        <v>3419</v>
      </c>
      <c r="I3593" s="35" t="s">
        <v>3416</v>
      </c>
      <c r="J3593" s="38">
        <v>7.9680465232616307</v>
      </c>
      <c r="K3593" s="35">
        <v>3</v>
      </c>
      <c r="L3593" s="38">
        <f t="shared" si="56"/>
        <v>23.904139569784892</v>
      </c>
      <c r="M3593" s="35" t="s">
        <v>11</v>
      </c>
      <c r="N3593" s="38"/>
      <c r="O3593" s="35" t="s">
        <v>12</v>
      </c>
    </row>
    <row r="3594" spans="1:15" x14ac:dyDescent="0.25">
      <c r="A3594" s="35">
        <v>1094021888</v>
      </c>
      <c r="B3594" s="35" t="s">
        <v>3968</v>
      </c>
      <c r="C3594" s="35">
        <v>2022</v>
      </c>
      <c r="D3594" s="36">
        <v>44873.61215277778</v>
      </c>
      <c r="E3594" s="35" t="s">
        <v>3193</v>
      </c>
      <c r="F3594" s="43" t="s">
        <v>6275</v>
      </c>
      <c r="G3594" s="43" t="s">
        <v>4103</v>
      </c>
      <c r="H3594" s="35" t="s">
        <v>3415</v>
      </c>
      <c r="I3594" s="35" t="s">
        <v>3416</v>
      </c>
      <c r="J3594" s="38">
        <v>0.15936093046523259</v>
      </c>
      <c r="K3594" s="35">
        <v>4</v>
      </c>
      <c r="L3594" s="38">
        <f t="shared" si="56"/>
        <v>0.63744372186093035</v>
      </c>
      <c r="M3594" s="35" t="s">
        <v>11</v>
      </c>
      <c r="N3594" s="38"/>
      <c r="O3594" s="35" t="s">
        <v>12</v>
      </c>
    </row>
    <row r="3595" spans="1:15" x14ac:dyDescent="0.25">
      <c r="A3595" s="35">
        <v>1094021888</v>
      </c>
      <c r="B3595" s="35" t="s">
        <v>3968</v>
      </c>
      <c r="C3595" s="35">
        <v>2022</v>
      </c>
      <c r="D3595" s="36">
        <v>44873.61215277778</v>
      </c>
      <c r="E3595" s="35" t="s">
        <v>3193</v>
      </c>
      <c r="F3595" s="43" t="s">
        <v>6276</v>
      </c>
      <c r="G3595" s="43" t="s">
        <v>3658</v>
      </c>
      <c r="H3595" s="35" t="s">
        <v>3415</v>
      </c>
      <c r="I3595" s="35" t="s">
        <v>3416</v>
      </c>
      <c r="J3595" s="38">
        <v>0.37184217108554268</v>
      </c>
      <c r="K3595" s="35">
        <v>4</v>
      </c>
      <c r="L3595" s="38">
        <f t="shared" si="56"/>
        <v>1.4873686843421707</v>
      </c>
      <c r="M3595" s="35" t="s">
        <v>11</v>
      </c>
      <c r="N3595" s="38"/>
      <c r="O3595" s="35" t="s">
        <v>12</v>
      </c>
    </row>
    <row r="3596" spans="1:15" x14ac:dyDescent="0.25">
      <c r="A3596" s="35">
        <v>1094021888</v>
      </c>
      <c r="B3596" s="35" t="s">
        <v>3968</v>
      </c>
      <c r="C3596" s="35">
        <v>2022</v>
      </c>
      <c r="D3596" s="36">
        <v>44873.61215277778</v>
      </c>
      <c r="E3596" s="35" t="s">
        <v>3193</v>
      </c>
      <c r="F3596" s="43" t="s">
        <v>6277</v>
      </c>
      <c r="G3596" s="43" t="s">
        <v>3810</v>
      </c>
      <c r="H3596" s="35" t="s">
        <v>3415</v>
      </c>
      <c r="I3596" s="35" t="s">
        <v>3416</v>
      </c>
      <c r="J3596" s="38">
        <v>0.1062406203101551</v>
      </c>
      <c r="K3596" s="35">
        <v>4</v>
      </c>
      <c r="L3596" s="38">
        <f t="shared" si="56"/>
        <v>0.42496248124062042</v>
      </c>
      <c r="M3596" s="35" t="s">
        <v>11</v>
      </c>
      <c r="N3596" s="38"/>
      <c r="O3596" s="35" t="s">
        <v>12</v>
      </c>
    </row>
    <row r="3597" spans="1:15" x14ac:dyDescent="0.25">
      <c r="A3597" s="35">
        <v>1094021888</v>
      </c>
      <c r="B3597" s="35" t="s">
        <v>3968</v>
      </c>
      <c r="C3597" s="35">
        <v>2022</v>
      </c>
      <c r="D3597" s="36">
        <v>44873.61215277778</v>
      </c>
      <c r="E3597" s="35" t="s">
        <v>3193</v>
      </c>
      <c r="F3597" s="43" t="s">
        <v>6269</v>
      </c>
      <c r="G3597" s="43" t="s">
        <v>4128</v>
      </c>
      <c r="H3597" s="35" t="s">
        <v>3419</v>
      </c>
      <c r="I3597" s="35" t="s">
        <v>3416</v>
      </c>
      <c r="J3597" s="38">
        <v>7.9680465232616307</v>
      </c>
      <c r="K3597" s="35">
        <v>2</v>
      </c>
      <c r="L3597" s="38">
        <f t="shared" si="56"/>
        <v>15.936093046523261</v>
      </c>
      <c r="M3597" s="35" t="s">
        <v>11</v>
      </c>
      <c r="N3597" s="38"/>
      <c r="O3597" s="35" t="s">
        <v>12</v>
      </c>
    </row>
    <row r="3598" spans="1:15" x14ac:dyDescent="0.25">
      <c r="A3598" s="35">
        <v>1094021888</v>
      </c>
      <c r="B3598" s="35" t="s">
        <v>3968</v>
      </c>
      <c r="C3598" s="35">
        <v>2022</v>
      </c>
      <c r="D3598" s="36">
        <v>44873.61215277778</v>
      </c>
      <c r="E3598" s="35" t="s">
        <v>3193</v>
      </c>
      <c r="F3598" s="43" t="s">
        <v>6278</v>
      </c>
      <c r="G3598" s="43" t="s">
        <v>3720</v>
      </c>
      <c r="H3598" s="35" t="s">
        <v>3419</v>
      </c>
      <c r="I3598" s="35" t="s">
        <v>3416</v>
      </c>
      <c r="J3598" s="38">
        <v>0.1062406203101551</v>
      </c>
      <c r="K3598" s="35">
        <v>3</v>
      </c>
      <c r="L3598" s="38">
        <f t="shared" si="56"/>
        <v>0.31872186093046528</v>
      </c>
      <c r="M3598" s="35" t="s">
        <v>11</v>
      </c>
      <c r="N3598" s="38"/>
      <c r="O3598" s="35" t="s">
        <v>12</v>
      </c>
    </row>
    <row r="3599" spans="1:15" x14ac:dyDescent="0.25">
      <c r="A3599" s="35">
        <v>1094021888</v>
      </c>
      <c r="B3599" s="35" t="s">
        <v>3968</v>
      </c>
      <c r="C3599" s="35">
        <v>2022</v>
      </c>
      <c r="D3599" s="36">
        <v>44873.61215277778</v>
      </c>
      <c r="E3599" s="35" t="s">
        <v>3193</v>
      </c>
      <c r="F3599" s="43" t="s">
        <v>4064</v>
      </c>
      <c r="G3599" s="43" t="s">
        <v>4156</v>
      </c>
      <c r="H3599" s="35" t="s">
        <v>3419</v>
      </c>
      <c r="I3599" s="35" t="s">
        <v>3416</v>
      </c>
      <c r="J3599" s="38">
        <v>0.1062406203101551</v>
      </c>
      <c r="K3599" s="35">
        <v>3</v>
      </c>
      <c r="L3599" s="38">
        <f t="shared" si="56"/>
        <v>0.31872186093046528</v>
      </c>
      <c r="M3599" s="35" t="s">
        <v>11</v>
      </c>
      <c r="N3599" s="38"/>
      <c r="O3599" s="35" t="s">
        <v>12</v>
      </c>
    </row>
    <row r="3600" spans="1:15" x14ac:dyDescent="0.25">
      <c r="A3600" s="35">
        <v>1094021888</v>
      </c>
      <c r="B3600" s="35" t="s">
        <v>3968</v>
      </c>
      <c r="C3600" s="35">
        <v>2022</v>
      </c>
      <c r="D3600" s="36">
        <v>44873.61215277778</v>
      </c>
      <c r="E3600" s="35" t="s">
        <v>3193</v>
      </c>
      <c r="F3600" s="43" t="s">
        <v>5099</v>
      </c>
      <c r="G3600" s="43" t="s">
        <v>6279</v>
      </c>
      <c r="H3600" s="35" t="s">
        <v>3415</v>
      </c>
      <c r="I3600" s="35" t="s">
        <v>3416</v>
      </c>
      <c r="J3600" s="38">
        <v>0.79680465232616304</v>
      </c>
      <c r="K3600" s="35">
        <v>4</v>
      </c>
      <c r="L3600" s="38">
        <f t="shared" si="56"/>
        <v>3.1872186093046522</v>
      </c>
      <c r="M3600" s="35" t="s">
        <v>11</v>
      </c>
      <c r="N3600" s="38"/>
      <c r="O3600" s="35" t="s">
        <v>12</v>
      </c>
    </row>
    <row r="3601" spans="1:15" x14ac:dyDescent="0.25">
      <c r="A3601" s="35">
        <v>1094021888</v>
      </c>
      <c r="B3601" s="35" t="s">
        <v>3968</v>
      </c>
      <c r="C3601" s="35">
        <v>2022</v>
      </c>
      <c r="D3601" s="36">
        <v>44873.61215277778</v>
      </c>
      <c r="E3601" s="35" t="s">
        <v>3193</v>
      </c>
      <c r="F3601" s="43" t="s">
        <v>4979</v>
      </c>
      <c r="G3601" s="43" t="s">
        <v>3916</v>
      </c>
      <c r="H3601" s="35" t="s">
        <v>3415</v>
      </c>
      <c r="I3601" s="35" t="s">
        <v>3416</v>
      </c>
      <c r="J3601" s="38">
        <v>0.79680465232616304</v>
      </c>
      <c r="K3601" s="35">
        <v>4</v>
      </c>
      <c r="L3601" s="38">
        <f t="shared" si="56"/>
        <v>3.1872186093046522</v>
      </c>
      <c r="M3601" s="35" t="s">
        <v>11</v>
      </c>
      <c r="N3601" s="38"/>
      <c r="O3601" s="35" t="s">
        <v>12</v>
      </c>
    </row>
    <row r="3602" spans="1:15" x14ac:dyDescent="0.25">
      <c r="A3602" s="35">
        <v>1094021888</v>
      </c>
      <c r="B3602" s="35" t="s">
        <v>3968</v>
      </c>
      <c r="C3602" s="35">
        <v>2022</v>
      </c>
      <c r="D3602" s="36">
        <v>44873.61215277778</v>
      </c>
      <c r="E3602" s="35" t="s">
        <v>3193</v>
      </c>
      <c r="F3602" s="43" t="s">
        <v>6280</v>
      </c>
      <c r="G3602" s="43" t="s">
        <v>3772</v>
      </c>
      <c r="H3602" s="35" t="s">
        <v>3419</v>
      </c>
      <c r="I3602" s="35" t="s">
        <v>3416</v>
      </c>
      <c r="J3602" s="38">
        <v>0.37184217108554268</v>
      </c>
      <c r="K3602" s="35">
        <v>1</v>
      </c>
      <c r="L3602" s="38">
        <f t="shared" si="56"/>
        <v>0.37184217108554268</v>
      </c>
      <c r="M3602" s="35" t="s">
        <v>11</v>
      </c>
      <c r="N3602" s="38"/>
      <c r="O3602" s="35" t="s">
        <v>12</v>
      </c>
    </row>
    <row r="3603" spans="1:15" x14ac:dyDescent="0.25">
      <c r="A3603" s="35">
        <v>1094021888</v>
      </c>
      <c r="B3603" s="35" t="s">
        <v>3968</v>
      </c>
      <c r="C3603" s="35">
        <v>2022</v>
      </c>
      <c r="D3603" s="36">
        <v>44873.61215277778</v>
      </c>
      <c r="E3603" s="35" t="s">
        <v>3193</v>
      </c>
      <c r="F3603" s="43" t="s">
        <v>6281</v>
      </c>
      <c r="G3603" s="43" t="s">
        <v>3939</v>
      </c>
      <c r="H3603" s="35" t="s">
        <v>3415</v>
      </c>
      <c r="I3603" s="35" t="s">
        <v>3416</v>
      </c>
      <c r="J3603" s="38">
        <v>0.15936093046523259</v>
      </c>
      <c r="K3603" s="35">
        <v>4</v>
      </c>
      <c r="L3603" s="38">
        <f t="shared" si="56"/>
        <v>0.63744372186093035</v>
      </c>
      <c r="M3603" s="35" t="s">
        <v>11</v>
      </c>
      <c r="N3603" s="38"/>
      <c r="O3603" s="35" t="s">
        <v>12</v>
      </c>
    </row>
    <row r="3604" spans="1:15" x14ac:dyDescent="0.25">
      <c r="A3604" s="35">
        <v>1094021888</v>
      </c>
      <c r="B3604" s="35" t="s">
        <v>3968</v>
      </c>
      <c r="C3604" s="35">
        <v>2022</v>
      </c>
      <c r="D3604" s="36">
        <v>44873.61215277778</v>
      </c>
      <c r="E3604" s="35" t="s">
        <v>3193</v>
      </c>
      <c r="F3604" s="43" t="s">
        <v>6282</v>
      </c>
      <c r="G3604" s="43" t="s">
        <v>6156</v>
      </c>
      <c r="H3604" s="35" t="s">
        <v>3415</v>
      </c>
      <c r="I3604" s="35" t="s">
        <v>3416</v>
      </c>
      <c r="J3604" s="38">
        <v>0.1062406203101551</v>
      </c>
      <c r="K3604" s="35">
        <v>4</v>
      </c>
      <c r="L3604" s="38">
        <f t="shared" si="56"/>
        <v>0.42496248124062042</v>
      </c>
      <c r="M3604" s="35" t="s">
        <v>11</v>
      </c>
      <c r="N3604" s="38"/>
      <c r="O3604" s="35" t="s">
        <v>12</v>
      </c>
    </row>
    <row r="3605" spans="1:15" x14ac:dyDescent="0.25">
      <c r="A3605" s="35">
        <v>1094021888</v>
      </c>
      <c r="B3605" s="35" t="s">
        <v>3968</v>
      </c>
      <c r="C3605" s="35">
        <v>2022</v>
      </c>
      <c r="D3605" s="36">
        <v>44873.61215277778</v>
      </c>
      <c r="E3605" s="35" t="s">
        <v>3193</v>
      </c>
      <c r="F3605" s="43" t="s">
        <v>4797</v>
      </c>
      <c r="G3605" s="43" t="s">
        <v>3867</v>
      </c>
      <c r="H3605" s="35" t="s">
        <v>3415</v>
      </c>
      <c r="I3605" s="35" t="s">
        <v>3416</v>
      </c>
      <c r="J3605" s="38">
        <v>0.15936093046523259</v>
      </c>
      <c r="K3605" s="35">
        <v>4</v>
      </c>
      <c r="L3605" s="38">
        <f t="shared" si="56"/>
        <v>0.63744372186093035</v>
      </c>
      <c r="M3605" s="35" t="s">
        <v>11</v>
      </c>
      <c r="N3605" s="38"/>
      <c r="O3605" s="35" t="s">
        <v>12</v>
      </c>
    </row>
    <row r="3606" spans="1:15" x14ac:dyDescent="0.25">
      <c r="A3606" s="35">
        <v>1094021888</v>
      </c>
      <c r="B3606" s="35" t="s">
        <v>3968</v>
      </c>
      <c r="C3606" s="35">
        <v>2022</v>
      </c>
      <c r="D3606" s="36">
        <v>44873.61215277778</v>
      </c>
      <c r="E3606" s="35" t="s">
        <v>3193</v>
      </c>
      <c r="F3606" s="43" t="s">
        <v>4798</v>
      </c>
      <c r="G3606" s="43" t="s">
        <v>3867</v>
      </c>
      <c r="H3606" s="35" t="s">
        <v>3415</v>
      </c>
      <c r="I3606" s="35" t="s">
        <v>3416</v>
      </c>
      <c r="J3606" s="38">
        <v>0.21248124062031021</v>
      </c>
      <c r="K3606" s="35">
        <v>4</v>
      </c>
      <c r="L3606" s="38">
        <f t="shared" si="56"/>
        <v>0.84992496248124083</v>
      </c>
      <c r="M3606" s="35" t="s">
        <v>11</v>
      </c>
      <c r="N3606" s="38"/>
      <c r="O3606" s="35" t="s">
        <v>12</v>
      </c>
    </row>
    <row r="3607" spans="1:15" x14ac:dyDescent="0.25">
      <c r="A3607" s="35">
        <v>1094021888</v>
      </c>
      <c r="B3607" s="35" t="s">
        <v>3968</v>
      </c>
      <c r="C3607" s="35">
        <v>2022</v>
      </c>
      <c r="D3607" s="36">
        <v>44873.61215277778</v>
      </c>
      <c r="E3607" s="35" t="s">
        <v>3193</v>
      </c>
      <c r="F3607" s="43" t="s">
        <v>4798</v>
      </c>
      <c r="G3607" s="43" t="s">
        <v>4154</v>
      </c>
      <c r="H3607" s="35" t="s">
        <v>3415</v>
      </c>
      <c r="I3607" s="35" t="s">
        <v>3416</v>
      </c>
      <c r="J3607" s="38">
        <v>0.26560155077538772</v>
      </c>
      <c r="K3607" s="35">
        <v>4</v>
      </c>
      <c r="L3607" s="38">
        <f t="shared" si="56"/>
        <v>1.0624062031015509</v>
      </c>
      <c r="M3607" s="35" t="s">
        <v>11</v>
      </c>
      <c r="N3607" s="38"/>
      <c r="O3607" s="35" t="s">
        <v>12</v>
      </c>
    </row>
    <row r="3608" spans="1:15" x14ac:dyDescent="0.25">
      <c r="A3608" s="35">
        <v>1094021888</v>
      </c>
      <c r="B3608" s="35" t="s">
        <v>3968</v>
      </c>
      <c r="C3608" s="35">
        <v>2022</v>
      </c>
      <c r="D3608" s="36">
        <v>44873.61215277778</v>
      </c>
      <c r="E3608" s="35" t="s">
        <v>3193</v>
      </c>
      <c r="F3608" s="43" t="s">
        <v>6283</v>
      </c>
      <c r="G3608" s="43" t="s">
        <v>4154</v>
      </c>
      <c r="H3608" s="35" t="s">
        <v>3415</v>
      </c>
      <c r="I3608" s="35" t="s">
        <v>3416</v>
      </c>
      <c r="J3608" s="38">
        <v>0.26560155077538772</v>
      </c>
      <c r="K3608" s="35">
        <v>4</v>
      </c>
      <c r="L3608" s="38">
        <f t="shared" si="56"/>
        <v>1.0624062031015509</v>
      </c>
      <c r="M3608" s="35" t="s">
        <v>11</v>
      </c>
      <c r="N3608" s="38"/>
      <c r="O3608" s="35" t="s">
        <v>12</v>
      </c>
    </row>
    <row r="3609" spans="1:15" x14ac:dyDescent="0.25">
      <c r="A3609" s="35">
        <v>1094021888</v>
      </c>
      <c r="B3609" s="35" t="s">
        <v>3968</v>
      </c>
      <c r="C3609" s="35">
        <v>2022</v>
      </c>
      <c r="D3609" s="36">
        <v>44873.61215277778</v>
      </c>
      <c r="E3609" s="35" t="s">
        <v>3193</v>
      </c>
      <c r="F3609" s="43" t="s">
        <v>6284</v>
      </c>
      <c r="G3609" s="43" t="s">
        <v>3720</v>
      </c>
      <c r="H3609" s="35" t="s">
        <v>3415</v>
      </c>
      <c r="I3609" s="35" t="s">
        <v>3416</v>
      </c>
      <c r="J3609" s="38">
        <v>0.79680465232616304</v>
      </c>
      <c r="K3609" s="35">
        <v>4</v>
      </c>
      <c r="L3609" s="38">
        <f t="shared" si="56"/>
        <v>3.1872186093046522</v>
      </c>
      <c r="M3609" s="35" t="s">
        <v>11</v>
      </c>
      <c r="N3609" s="38"/>
      <c r="O3609" s="35" t="s">
        <v>12</v>
      </c>
    </row>
    <row r="3610" spans="1:15" x14ac:dyDescent="0.25">
      <c r="A3610" s="35">
        <v>1094021888</v>
      </c>
      <c r="B3610" s="35" t="s">
        <v>3968</v>
      </c>
      <c r="C3610" s="35">
        <v>2022</v>
      </c>
      <c r="D3610" s="36">
        <v>44873.61215277778</v>
      </c>
      <c r="E3610" s="35" t="s">
        <v>3193</v>
      </c>
      <c r="F3610" s="43" t="s">
        <v>6285</v>
      </c>
      <c r="G3610" s="43" t="s">
        <v>3666</v>
      </c>
      <c r="H3610" s="35" t="s">
        <v>3415</v>
      </c>
      <c r="I3610" s="35" t="s">
        <v>3416</v>
      </c>
      <c r="J3610" s="38">
        <v>0.21248124062031021</v>
      </c>
      <c r="K3610" s="35">
        <v>4</v>
      </c>
      <c r="L3610" s="38">
        <f t="shared" si="56"/>
        <v>0.84992496248124083</v>
      </c>
      <c r="M3610" s="35" t="s">
        <v>11</v>
      </c>
      <c r="N3610" s="38"/>
      <c r="O3610" s="35" t="s">
        <v>12</v>
      </c>
    </row>
    <row r="3611" spans="1:15" x14ac:dyDescent="0.25">
      <c r="A3611" s="35">
        <v>1094021888</v>
      </c>
      <c r="B3611" s="35" t="s">
        <v>3968</v>
      </c>
      <c r="C3611" s="35">
        <v>2022</v>
      </c>
      <c r="D3611" s="36">
        <v>44873.61215277778</v>
      </c>
      <c r="E3611" s="35" t="s">
        <v>3193</v>
      </c>
      <c r="F3611" s="43" t="s">
        <v>6286</v>
      </c>
      <c r="G3611" s="43" t="s">
        <v>3945</v>
      </c>
      <c r="H3611" s="35" t="s">
        <v>3415</v>
      </c>
      <c r="I3611" s="35" t="s">
        <v>3416</v>
      </c>
      <c r="J3611" s="38">
        <v>0.53120310155077544</v>
      </c>
      <c r="K3611" s="35">
        <v>4</v>
      </c>
      <c r="L3611" s="38">
        <f t="shared" si="56"/>
        <v>2.1248124062031017</v>
      </c>
      <c r="M3611" s="35" t="s">
        <v>11</v>
      </c>
      <c r="N3611" s="38"/>
      <c r="O3611" s="35" t="s">
        <v>12</v>
      </c>
    </row>
    <row r="3612" spans="1:15" x14ac:dyDescent="0.25">
      <c r="A3612" s="35">
        <v>1094021888</v>
      </c>
      <c r="B3612" s="35" t="s">
        <v>3968</v>
      </c>
      <c r="C3612" s="35">
        <v>2022</v>
      </c>
      <c r="D3612" s="36">
        <v>44873.61215277778</v>
      </c>
      <c r="E3612" s="35" t="s">
        <v>3193</v>
      </c>
      <c r="F3612" s="43" t="s">
        <v>6287</v>
      </c>
      <c r="G3612" s="43" t="s">
        <v>3619</v>
      </c>
      <c r="H3612" s="35" t="s">
        <v>3415</v>
      </c>
      <c r="I3612" s="35" t="s">
        <v>3416</v>
      </c>
      <c r="J3612" s="38">
        <v>0.1062406203101551</v>
      </c>
      <c r="K3612" s="35">
        <v>4</v>
      </c>
      <c r="L3612" s="38">
        <f t="shared" si="56"/>
        <v>0.42496248124062042</v>
      </c>
      <c r="M3612" s="35" t="s">
        <v>11</v>
      </c>
      <c r="N3612" s="38"/>
      <c r="O3612" s="35" t="s">
        <v>12</v>
      </c>
    </row>
    <row r="3613" spans="1:15" x14ac:dyDescent="0.25">
      <c r="A3613" s="35">
        <v>1094021888</v>
      </c>
      <c r="B3613" s="35" t="s">
        <v>3968</v>
      </c>
      <c r="C3613" s="35">
        <v>2022</v>
      </c>
      <c r="D3613" s="36">
        <v>44873.61215277778</v>
      </c>
      <c r="E3613" s="35" t="s">
        <v>3193</v>
      </c>
      <c r="F3613" s="43" t="s">
        <v>6288</v>
      </c>
      <c r="G3613" s="43" t="s">
        <v>3945</v>
      </c>
      <c r="H3613" s="35" t="s">
        <v>3415</v>
      </c>
      <c r="I3613" s="35" t="s">
        <v>3416</v>
      </c>
      <c r="J3613" s="38">
        <v>0.1062406203101551</v>
      </c>
      <c r="K3613" s="35">
        <v>4</v>
      </c>
      <c r="L3613" s="38">
        <f t="shared" si="56"/>
        <v>0.42496248124062042</v>
      </c>
      <c r="M3613" s="35" t="s">
        <v>11</v>
      </c>
      <c r="N3613" s="38"/>
      <c r="O3613" s="35" t="s">
        <v>12</v>
      </c>
    </row>
    <row r="3614" spans="1:15" x14ac:dyDescent="0.25">
      <c r="A3614" s="35">
        <v>1094021888</v>
      </c>
      <c r="B3614" s="35" t="s">
        <v>3968</v>
      </c>
      <c r="C3614" s="35">
        <v>2022</v>
      </c>
      <c r="D3614" s="36">
        <v>44873.61215277778</v>
      </c>
      <c r="E3614" s="35" t="s">
        <v>3193</v>
      </c>
      <c r="F3614" s="43" t="s">
        <v>6289</v>
      </c>
      <c r="G3614" s="43" t="s">
        <v>3825</v>
      </c>
      <c r="H3614" s="35" t="s">
        <v>3415</v>
      </c>
      <c r="I3614" s="35" t="s">
        <v>3416</v>
      </c>
      <c r="J3614" s="38">
        <v>0.15936093046523259</v>
      </c>
      <c r="K3614" s="35">
        <v>4</v>
      </c>
      <c r="L3614" s="38">
        <f t="shared" si="56"/>
        <v>0.63744372186093035</v>
      </c>
      <c r="M3614" s="35" t="s">
        <v>11</v>
      </c>
      <c r="N3614" s="38"/>
      <c r="O3614" s="35" t="s">
        <v>12</v>
      </c>
    </row>
    <row r="3615" spans="1:15" x14ac:dyDescent="0.25">
      <c r="A3615" s="35">
        <v>1094021888</v>
      </c>
      <c r="B3615" s="35" t="s">
        <v>3968</v>
      </c>
      <c r="C3615" s="35">
        <v>2022</v>
      </c>
      <c r="D3615" s="36">
        <v>44873.61215277778</v>
      </c>
      <c r="E3615" s="35" t="s">
        <v>3193</v>
      </c>
      <c r="F3615" s="43" t="s">
        <v>5088</v>
      </c>
      <c r="G3615" s="43" t="s">
        <v>3718</v>
      </c>
      <c r="H3615" s="35" t="s">
        <v>3415</v>
      </c>
      <c r="I3615" s="35" t="s">
        <v>3416</v>
      </c>
      <c r="J3615" s="38">
        <v>0.1062406203101551</v>
      </c>
      <c r="K3615" s="35">
        <v>4</v>
      </c>
      <c r="L3615" s="38">
        <f t="shared" si="56"/>
        <v>0.42496248124062042</v>
      </c>
      <c r="M3615" s="35" t="s">
        <v>11</v>
      </c>
      <c r="N3615" s="38"/>
      <c r="O3615" s="35" t="s">
        <v>12</v>
      </c>
    </row>
    <row r="3616" spans="1:15" x14ac:dyDescent="0.25">
      <c r="A3616" s="35">
        <v>1094021888</v>
      </c>
      <c r="B3616" s="35" t="s">
        <v>3968</v>
      </c>
      <c r="C3616" s="35">
        <v>2022</v>
      </c>
      <c r="D3616" s="36">
        <v>44873.61215277778</v>
      </c>
      <c r="E3616" s="35" t="s">
        <v>3193</v>
      </c>
      <c r="F3616" s="43" t="s">
        <v>6290</v>
      </c>
      <c r="G3616" s="43" t="s">
        <v>3551</v>
      </c>
      <c r="H3616" s="35" t="s">
        <v>3419</v>
      </c>
      <c r="I3616" s="35" t="s">
        <v>3416</v>
      </c>
      <c r="J3616" s="38">
        <v>0.1062406203101551</v>
      </c>
      <c r="K3616" s="35">
        <v>3</v>
      </c>
      <c r="L3616" s="38">
        <f t="shared" si="56"/>
        <v>0.31872186093046528</v>
      </c>
      <c r="M3616" s="35" t="s">
        <v>11</v>
      </c>
      <c r="N3616" s="38"/>
      <c r="O3616" s="35" t="s">
        <v>12</v>
      </c>
    </row>
    <row r="3617" spans="1:15" x14ac:dyDescent="0.25">
      <c r="A3617" s="35">
        <v>1094021888</v>
      </c>
      <c r="B3617" s="35" t="s">
        <v>3968</v>
      </c>
      <c r="C3617" s="35">
        <v>2022</v>
      </c>
      <c r="D3617" s="36">
        <v>44873.61215277778</v>
      </c>
      <c r="E3617" s="35" t="s">
        <v>3193</v>
      </c>
      <c r="F3617" s="43" t="s">
        <v>3844</v>
      </c>
      <c r="G3617" s="43" t="s">
        <v>3560</v>
      </c>
      <c r="H3617" s="35" t="s">
        <v>3419</v>
      </c>
      <c r="I3617" s="35" t="s">
        <v>3530</v>
      </c>
      <c r="J3617" s="38">
        <v>1.051782141070535</v>
      </c>
      <c r="K3617" s="35">
        <v>3</v>
      </c>
      <c r="L3617" s="38">
        <f t="shared" si="56"/>
        <v>3.1553464232116051</v>
      </c>
      <c r="M3617" s="35" t="s">
        <v>11</v>
      </c>
      <c r="N3617" s="38"/>
      <c r="O3617" s="35" t="s">
        <v>12</v>
      </c>
    </row>
    <row r="3618" spans="1:15" x14ac:dyDescent="0.25">
      <c r="A3618" s="35">
        <v>1094021888</v>
      </c>
      <c r="B3618" s="35" t="s">
        <v>3968</v>
      </c>
      <c r="C3618" s="35">
        <v>2022</v>
      </c>
      <c r="D3618" s="36">
        <v>44873.61215277778</v>
      </c>
      <c r="E3618" s="35" t="s">
        <v>3193</v>
      </c>
      <c r="F3618" s="43" t="s">
        <v>3844</v>
      </c>
      <c r="G3618" s="43" t="s">
        <v>3560</v>
      </c>
      <c r="H3618" s="35" t="s">
        <v>3419</v>
      </c>
      <c r="I3618" s="35" t="s">
        <v>3416</v>
      </c>
      <c r="J3618" s="38">
        <v>1.859210855427714</v>
      </c>
      <c r="K3618" s="35">
        <v>1</v>
      </c>
      <c r="L3618" s="38">
        <f t="shared" si="56"/>
        <v>1.859210855427714</v>
      </c>
      <c r="M3618" s="35" t="s">
        <v>11</v>
      </c>
      <c r="N3618" s="38"/>
      <c r="O3618" s="35" t="s">
        <v>12</v>
      </c>
    </row>
    <row r="3619" spans="1:15" x14ac:dyDescent="0.25">
      <c r="A3619" s="35">
        <v>1093646709</v>
      </c>
      <c r="B3619" s="35" t="s">
        <v>3968</v>
      </c>
      <c r="C3619" s="35">
        <v>2022</v>
      </c>
      <c r="D3619" s="36">
        <v>44870</v>
      </c>
      <c r="E3619" s="35" t="s">
        <v>1032</v>
      </c>
      <c r="F3619" s="43" t="s">
        <v>5622</v>
      </c>
      <c r="G3619" s="43" t="s">
        <v>3905</v>
      </c>
      <c r="H3619" s="35" t="s">
        <v>3419</v>
      </c>
      <c r="I3619" s="35" t="s">
        <v>3530</v>
      </c>
      <c r="J3619" s="38">
        <v>16.5</v>
      </c>
      <c r="K3619" s="35">
        <v>2</v>
      </c>
      <c r="L3619" s="38">
        <f t="shared" si="56"/>
        <v>33</v>
      </c>
      <c r="M3619" s="35" t="s">
        <v>11</v>
      </c>
      <c r="N3619" s="38"/>
      <c r="O3619" s="35" t="s">
        <v>12</v>
      </c>
    </row>
    <row r="3620" spans="1:15" x14ac:dyDescent="0.25">
      <c r="A3620" s="35">
        <v>1093646709</v>
      </c>
      <c r="B3620" s="35" t="s">
        <v>3968</v>
      </c>
      <c r="C3620" s="35">
        <v>2022</v>
      </c>
      <c r="D3620" s="36">
        <v>44870</v>
      </c>
      <c r="E3620" s="35" t="s">
        <v>1032</v>
      </c>
      <c r="F3620" s="43" t="s">
        <v>4954</v>
      </c>
      <c r="G3620" s="43" t="s">
        <v>3676</v>
      </c>
      <c r="H3620" s="35" t="s">
        <v>3419</v>
      </c>
      <c r="I3620" s="35" t="s">
        <v>3530</v>
      </c>
      <c r="J3620" s="38">
        <v>26.5</v>
      </c>
      <c r="K3620" s="35">
        <v>2</v>
      </c>
      <c r="L3620" s="38">
        <f t="shared" si="56"/>
        <v>53</v>
      </c>
      <c r="M3620" s="35" t="s">
        <v>11</v>
      </c>
      <c r="N3620" s="38"/>
      <c r="O3620" s="35" t="s">
        <v>12</v>
      </c>
    </row>
    <row r="3621" spans="1:15" x14ac:dyDescent="0.25">
      <c r="A3621" s="35">
        <v>1093444404</v>
      </c>
      <c r="B3621" s="35" t="s">
        <v>3968</v>
      </c>
      <c r="C3621" s="35">
        <v>2022</v>
      </c>
      <c r="D3621" s="36">
        <v>44868.505613425928</v>
      </c>
      <c r="E3621" s="35" t="s">
        <v>882</v>
      </c>
      <c r="F3621" s="43" t="s">
        <v>4528</v>
      </c>
      <c r="G3621" s="43" t="s">
        <v>3720</v>
      </c>
      <c r="H3621" s="35" t="s">
        <v>3419</v>
      </c>
      <c r="I3621" s="35" t="s">
        <v>3416</v>
      </c>
      <c r="J3621" s="38">
        <v>14.307310901001109</v>
      </c>
      <c r="K3621" s="35">
        <v>2</v>
      </c>
      <c r="L3621" s="38">
        <f t="shared" si="56"/>
        <v>28.614621802002219</v>
      </c>
      <c r="M3621" s="35" t="s">
        <v>11</v>
      </c>
      <c r="N3621" s="38"/>
      <c r="O3621" s="35" t="s">
        <v>12</v>
      </c>
    </row>
    <row r="3622" spans="1:15" x14ac:dyDescent="0.25">
      <c r="A3622" s="35">
        <v>1093444404</v>
      </c>
      <c r="B3622" s="35" t="s">
        <v>3968</v>
      </c>
      <c r="C3622" s="35">
        <v>2022</v>
      </c>
      <c r="D3622" s="36">
        <v>44868.505613425928</v>
      </c>
      <c r="E3622" s="35" t="s">
        <v>882</v>
      </c>
      <c r="F3622" s="43" t="s">
        <v>6291</v>
      </c>
      <c r="G3622" s="43" t="s">
        <v>4432</v>
      </c>
      <c r="H3622" s="35" t="s">
        <v>3419</v>
      </c>
      <c r="I3622" s="35" t="s">
        <v>3416</v>
      </c>
      <c r="J3622" s="38">
        <v>7.1476890989988879</v>
      </c>
      <c r="K3622" s="35">
        <v>2</v>
      </c>
      <c r="L3622" s="38">
        <f t="shared" si="56"/>
        <v>14.295378197997776</v>
      </c>
      <c r="M3622" s="35" t="s">
        <v>11</v>
      </c>
      <c r="N3622" s="38"/>
      <c r="O3622" s="35" t="s">
        <v>12</v>
      </c>
    </row>
    <row r="3623" spans="1:15" x14ac:dyDescent="0.25">
      <c r="A3623" s="35">
        <v>1093441105</v>
      </c>
      <c r="B3623" s="35" t="s">
        <v>3968</v>
      </c>
      <c r="C3623" s="35">
        <v>2022</v>
      </c>
      <c r="D3623" s="36">
        <v>44868.494467592587</v>
      </c>
      <c r="E3623" s="35" t="s">
        <v>3356</v>
      </c>
      <c r="F3623" s="43" t="s">
        <v>4114</v>
      </c>
      <c r="G3623" s="43" t="s">
        <v>4103</v>
      </c>
      <c r="H3623" s="35" t="s">
        <v>3419</v>
      </c>
      <c r="I3623" s="35" t="s">
        <v>3416</v>
      </c>
      <c r="J3623" s="38">
        <v>41.539726027397258</v>
      </c>
      <c r="K3623" s="35">
        <v>1</v>
      </c>
      <c r="L3623" s="38">
        <f t="shared" si="56"/>
        <v>41.539726027397258</v>
      </c>
      <c r="M3623" s="35" t="s">
        <v>11</v>
      </c>
      <c r="N3623" s="38"/>
      <c r="O3623" s="35" t="s">
        <v>12</v>
      </c>
    </row>
    <row r="3624" spans="1:15" x14ac:dyDescent="0.25">
      <c r="A3624" s="35">
        <v>1093441105</v>
      </c>
      <c r="B3624" s="35" t="s">
        <v>3968</v>
      </c>
      <c r="C3624" s="35">
        <v>2022</v>
      </c>
      <c r="D3624" s="36">
        <v>44868.494467592587</v>
      </c>
      <c r="E3624" s="35" t="s">
        <v>3356</v>
      </c>
      <c r="F3624" s="43" t="s">
        <v>6146</v>
      </c>
      <c r="G3624" s="43" t="s">
        <v>3945</v>
      </c>
      <c r="H3624" s="35" t="s">
        <v>3419</v>
      </c>
      <c r="I3624" s="35" t="s">
        <v>3530</v>
      </c>
      <c r="J3624" s="38">
        <v>18.31027397260274</v>
      </c>
      <c r="K3624" s="35">
        <v>1</v>
      </c>
      <c r="L3624" s="38">
        <f t="shared" si="56"/>
        <v>18.31027397260274</v>
      </c>
      <c r="M3624" s="35" t="s">
        <v>11</v>
      </c>
      <c r="N3624" s="38"/>
      <c r="O3624" s="35" t="s">
        <v>12</v>
      </c>
    </row>
    <row r="3625" spans="1:15" x14ac:dyDescent="0.25">
      <c r="A3625" s="35">
        <v>1093432462</v>
      </c>
      <c r="B3625" s="35" t="s">
        <v>3968</v>
      </c>
      <c r="C3625" s="35">
        <v>2022</v>
      </c>
      <c r="D3625" s="36">
        <v>44868.428043981483</v>
      </c>
      <c r="E3625" s="35" t="s">
        <v>3358</v>
      </c>
      <c r="F3625" s="43" t="s">
        <v>3657</v>
      </c>
      <c r="G3625" s="43" t="s">
        <v>3658</v>
      </c>
      <c r="H3625" s="35" t="s">
        <v>3419</v>
      </c>
      <c r="I3625" s="35" t="s">
        <v>3530</v>
      </c>
      <c r="J3625" s="38">
        <v>11.05263157894737</v>
      </c>
      <c r="K3625" s="35">
        <v>1</v>
      </c>
      <c r="L3625" s="38">
        <f t="shared" si="56"/>
        <v>11.05263157894737</v>
      </c>
      <c r="M3625" s="35" t="s">
        <v>11</v>
      </c>
      <c r="N3625" s="38"/>
      <c r="O3625" s="35" t="s">
        <v>12</v>
      </c>
    </row>
    <row r="3626" spans="1:15" x14ac:dyDescent="0.25">
      <c r="A3626" s="35">
        <v>1093432462</v>
      </c>
      <c r="B3626" s="35" t="s">
        <v>3968</v>
      </c>
      <c r="C3626" s="35">
        <v>2022</v>
      </c>
      <c r="D3626" s="36">
        <v>44868.428043981483</v>
      </c>
      <c r="E3626" s="35" t="s">
        <v>3358</v>
      </c>
      <c r="F3626" s="43" t="s">
        <v>6294</v>
      </c>
      <c r="G3626" s="43" t="s">
        <v>3650</v>
      </c>
      <c r="H3626" s="35" t="s">
        <v>3419</v>
      </c>
      <c r="I3626" s="35" t="s">
        <v>3416</v>
      </c>
      <c r="J3626" s="38">
        <v>1.271052631578947</v>
      </c>
      <c r="K3626" s="35">
        <v>3</v>
      </c>
      <c r="L3626" s="38">
        <f t="shared" si="56"/>
        <v>3.813157894736841</v>
      </c>
      <c r="M3626" s="35" t="s">
        <v>11</v>
      </c>
      <c r="N3626" s="38"/>
      <c r="O3626" s="35" t="s">
        <v>12</v>
      </c>
    </row>
    <row r="3627" spans="1:15" x14ac:dyDescent="0.25">
      <c r="A3627" s="35">
        <v>1093432462</v>
      </c>
      <c r="B3627" s="35" t="s">
        <v>3968</v>
      </c>
      <c r="C3627" s="35">
        <v>2022</v>
      </c>
      <c r="D3627" s="36">
        <v>44868.428043981483</v>
      </c>
      <c r="E3627" s="35" t="s">
        <v>3358</v>
      </c>
      <c r="F3627" s="43" t="s">
        <v>6257</v>
      </c>
      <c r="G3627" s="43" t="s">
        <v>5000</v>
      </c>
      <c r="H3627" s="35" t="s">
        <v>3419</v>
      </c>
      <c r="I3627" s="35" t="s">
        <v>3416</v>
      </c>
      <c r="J3627" s="38">
        <v>1.6578947368421051</v>
      </c>
      <c r="K3627" s="35">
        <v>2</v>
      </c>
      <c r="L3627" s="38">
        <f t="shared" si="56"/>
        <v>3.3157894736842102</v>
      </c>
      <c r="M3627" s="35" t="s">
        <v>11</v>
      </c>
      <c r="N3627" s="38"/>
      <c r="O3627" s="35" t="s">
        <v>12</v>
      </c>
    </row>
    <row r="3628" spans="1:15" x14ac:dyDescent="0.25">
      <c r="A3628" s="35">
        <v>1093432462</v>
      </c>
      <c r="B3628" s="35" t="s">
        <v>3968</v>
      </c>
      <c r="C3628" s="35">
        <v>2022</v>
      </c>
      <c r="D3628" s="36">
        <v>44868.428043981483</v>
      </c>
      <c r="E3628" s="35" t="s">
        <v>3358</v>
      </c>
      <c r="F3628" s="43" t="s">
        <v>4936</v>
      </c>
      <c r="G3628" s="43" t="s">
        <v>3755</v>
      </c>
      <c r="H3628" s="35" t="s">
        <v>3419</v>
      </c>
      <c r="I3628" s="35" t="s">
        <v>3416</v>
      </c>
      <c r="J3628" s="38">
        <v>8.8421052631578938</v>
      </c>
      <c r="K3628" s="35">
        <v>1</v>
      </c>
      <c r="L3628" s="38">
        <f t="shared" si="56"/>
        <v>8.8421052631578938</v>
      </c>
      <c r="M3628" s="35" t="s">
        <v>11</v>
      </c>
      <c r="N3628" s="38"/>
      <c r="O3628" s="35" t="s">
        <v>12</v>
      </c>
    </row>
    <row r="3629" spans="1:15" x14ac:dyDescent="0.25">
      <c r="A3629" s="35">
        <v>1093432462</v>
      </c>
      <c r="B3629" s="35" t="s">
        <v>3968</v>
      </c>
      <c r="C3629" s="35">
        <v>2022</v>
      </c>
      <c r="D3629" s="36">
        <v>44868.428043981483</v>
      </c>
      <c r="E3629" s="35" t="s">
        <v>3358</v>
      </c>
      <c r="F3629" s="43" t="s">
        <v>4936</v>
      </c>
      <c r="G3629" s="43" t="s">
        <v>4268</v>
      </c>
      <c r="H3629" s="35" t="s">
        <v>3419</v>
      </c>
      <c r="I3629" s="35" t="s">
        <v>3530</v>
      </c>
      <c r="J3629" s="38">
        <v>8.8421052631578956</v>
      </c>
      <c r="K3629" s="35">
        <v>3</v>
      </c>
      <c r="L3629" s="38">
        <f t="shared" si="56"/>
        <v>26.526315789473685</v>
      </c>
      <c r="M3629" s="35" t="s">
        <v>11</v>
      </c>
      <c r="N3629" s="38"/>
      <c r="O3629" s="35" t="s">
        <v>12</v>
      </c>
    </row>
    <row r="3630" spans="1:15" x14ac:dyDescent="0.25">
      <c r="A3630" s="35">
        <v>1093426179</v>
      </c>
      <c r="B3630" s="35" t="s">
        <v>3968</v>
      </c>
      <c r="C3630" s="35">
        <v>2022</v>
      </c>
      <c r="D3630" s="36">
        <v>44868.391111111108</v>
      </c>
      <c r="E3630" s="35" t="s">
        <v>3360</v>
      </c>
      <c r="F3630" s="43" t="s">
        <v>4920</v>
      </c>
      <c r="G3630" s="43" t="s">
        <v>3871</v>
      </c>
      <c r="H3630" s="35" t="s">
        <v>3419</v>
      </c>
      <c r="I3630" s="35" t="s">
        <v>3530</v>
      </c>
      <c r="J3630" s="38">
        <v>37.1</v>
      </c>
      <c r="K3630" s="35">
        <v>1</v>
      </c>
      <c r="L3630" s="38">
        <f t="shared" si="56"/>
        <v>37.1</v>
      </c>
      <c r="M3630" s="35" t="s">
        <v>11</v>
      </c>
      <c r="N3630" s="38"/>
      <c r="O3630" s="35" t="s">
        <v>12</v>
      </c>
    </row>
    <row r="3631" spans="1:15" x14ac:dyDescent="0.25">
      <c r="A3631" s="35">
        <v>1093422778</v>
      </c>
      <c r="B3631" s="35" t="s">
        <v>3968</v>
      </c>
      <c r="C3631" s="35">
        <v>2022</v>
      </c>
      <c r="D3631" s="36">
        <v>44868.391111111108</v>
      </c>
      <c r="E3631" s="35" t="s">
        <v>294</v>
      </c>
      <c r="F3631" s="43" t="s">
        <v>6299</v>
      </c>
      <c r="G3631" s="43" t="s">
        <v>3674</v>
      </c>
      <c r="H3631" s="35" t="s">
        <v>3415</v>
      </c>
      <c r="I3631" s="35" t="s">
        <v>3416</v>
      </c>
      <c r="J3631" s="38">
        <v>4.1909712054660808</v>
      </c>
      <c r="K3631" s="35">
        <v>4</v>
      </c>
      <c r="L3631" s="38">
        <f t="shared" si="56"/>
        <v>16.763884821864323</v>
      </c>
      <c r="M3631" s="35" t="s">
        <v>11</v>
      </c>
      <c r="N3631" s="38"/>
      <c r="O3631" s="35" t="s">
        <v>12</v>
      </c>
    </row>
    <row r="3632" spans="1:15" x14ac:dyDescent="0.25">
      <c r="A3632" s="35">
        <v>1093422778</v>
      </c>
      <c r="B3632" s="35" t="s">
        <v>3968</v>
      </c>
      <c r="C3632" s="35">
        <v>2022</v>
      </c>
      <c r="D3632" s="36">
        <v>44868.391111111108</v>
      </c>
      <c r="E3632" s="35" t="s">
        <v>294</v>
      </c>
      <c r="F3632" s="43" t="s">
        <v>6300</v>
      </c>
      <c r="G3632" s="43" t="s">
        <v>3619</v>
      </c>
      <c r="H3632" s="35" t="s">
        <v>3415</v>
      </c>
      <c r="I3632" s="35" t="s">
        <v>3416</v>
      </c>
      <c r="J3632" s="38">
        <v>0.12732064421669109</v>
      </c>
      <c r="K3632" s="35">
        <v>4</v>
      </c>
      <c r="L3632" s="38">
        <f t="shared" si="56"/>
        <v>0.50928257686676437</v>
      </c>
      <c r="M3632" s="35" t="s">
        <v>11</v>
      </c>
      <c r="N3632" s="38"/>
      <c r="O3632" s="35" t="s">
        <v>12</v>
      </c>
    </row>
    <row r="3633" spans="1:15" x14ac:dyDescent="0.25">
      <c r="A3633" s="35">
        <v>1093422778</v>
      </c>
      <c r="B3633" s="35" t="s">
        <v>3968</v>
      </c>
      <c r="C3633" s="35">
        <v>2022</v>
      </c>
      <c r="D3633" s="36">
        <v>44868.391111111108</v>
      </c>
      <c r="E3633" s="35" t="s">
        <v>294</v>
      </c>
      <c r="F3633" s="43" t="s">
        <v>6301</v>
      </c>
      <c r="G3633" s="43" t="s">
        <v>3551</v>
      </c>
      <c r="H3633" s="35" t="s">
        <v>3415</v>
      </c>
      <c r="I3633" s="35" t="s">
        <v>3416</v>
      </c>
      <c r="J3633" s="38">
        <v>0.15915080527086381</v>
      </c>
      <c r="K3633" s="35">
        <v>4</v>
      </c>
      <c r="L3633" s="38">
        <f t="shared" si="56"/>
        <v>0.63660322108345524</v>
      </c>
      <c r="M3633" s="35" t="s">
        <v>11</v>
      </c>
      <c r="N3633" s="38"/>
      <c r="O3633" s="35" t="s">
        <v>12</v>
      </c>
    </row>
    <row r="3634" spans="1:15" x14ac:dyDescent="0.25">
      <c r="A3634" s="35">
        <v>1093422778</v>
      </c>
      <c r="B3634" s="35" t="s">
        <v>3968</v>
      </c>
      <c r="C3634" s="35">
        <v>2022</v>
      </c>
      <c r="D3634" s="36">
        <v>44868.391111111108</v>
      </c>
      <c r="E3634" s="35" t="s">
        <v>294</v>
      </c>
      <c r="F3634" s="43" t="s">
        <v>6302</v>
      </c>
      <c r="G3634" s="43" t="s">
        <v>3650</v>
      </c>
      <c r="H3634" s="35" t="s">
        <v>3415</v>
      </c>
      <c r="I3634" s="35" t="s">
        <v>3416</v>
      </c>
      <c r="J3634" s="38">
        <v>1.432357247437775</v>
      </c>
      <c r="K3634" s="35">
        <v>4</v>
      </c>
      <c r="L3634" s="38">
        <f t="shared" si="56"/>
        <v>5.7294289897511002</v>
      </c>
      <c r="M3634" s="35" t="s">
        <v>11</v>
      </c>
      <c r="N3634" s="38"/>
      <c r="O3634" s="35" t="s">
        <v>12</v>
      </c>
    </row>
    <row r="3635" spans="1:15" x14ac:dyDescent="0.25">
      <c r="A3635" s="35">
        <v>1093422778</v>
      </c>
      <c r="B3635" s="35" t="s">
        <v>3968</v>
      </c>
      <c r="C3635" s="35">
        <v>2022</v>
      </c>
      <c r="D3635" s="36">
        <v>44868.391111111108</v>
      </c>
      <c r="E3635" s="35" t="s">
        <v>294</v>
      </c>
      <c r="F3635" s="43" t="s">
        <v>3853</v>
      </c>
      <c r="G3635" s="43" t="s">
        <v>3658</v>
      </c>
      <c r="H3635" s="35" t="s">
        <v>3419</v>
      </c>
      <c r="I3635" s="35" t="s">
        <v>3416</v>
      </c>
      <c r="J3635" s="38">
        <v>1.0079551000488041</v>
      </c>
      <c r="K3635" s="35">
        <v>6</v>
      </c>
      <c r="L3635" s="38">
        <f t="shared" si="56"/>
        <v>6.0477306002928248</v>
      </c>
      <c r="M3635" s="35" t="s">
        <v>11</v>
      </c>
      <c r="N3635" s="38"/>
      <c r="O3635" s="35" t="s">
        <v>12</v>
      </c>
    </row>
    <row r="3636" spans="1:15" x14ac:dyDescent="0.25">
      <c r="A3636" s="35">
        <v>1093422778</v>
      </c>
      <c r="B3636" s="35" t="s">
        <v>3968</v>
      </c>
      <c r="C3636" s="35">
        <v>2022</v>
      </c>
      <c r="D3636" s="36">
        <v>44868.391111111108</v>
      </c>
      <c r="E3636" s="35" t="s">
        <v>294</v>
      </c>
      <c r="F3636" s="43" t="s">
        <v>6303</v>
      </c>
      <c r="G3636" s="43" t="s">
        <v>3658</v>
      </c>
      <c r="H3636" s="35" t="s">
        <v>3419</v>
      </c>
      <c r="I3636" s="35" t="s">
        <v>3416</v>
      </c>
      <c r="J3636" s="38">
        <v>0.47745241581259151</v>
      </c>
      <c r="K3636" s="35">
        <v>6</v>
      </c>
      <c r="L3636" s="38">
        <f t="shared" si="56"/>
        <v>2.8647144948755492</v>
      </c>
      <c r="M3636" s="35" t="s">
        <v>11</v>
      </c>
      <c r="N3636" s="38"/>
      <c r="O3636" s="35" t="s">
        <v>12</v>
      </c>
    </row>
    <row r="3637" spans="1:15" x14ac:dyDescent="0.25">
      <c r="A3637" s="35">
        <v>1093422778</v>
      </c>
      <c r="B3637" s="35" t="s">
        <v>3968</v>
      </c>
      <c r="C3637" s="35">
        <v>2022</v>
      </c>
      <c r="D3637" s="36">
        <v>44868.391111111108</v>
      </c>
      <c r="E3637" s="35" t="s">
        <v>294</v>
      </c>
      <c r="F3637" s="43" t="s">
        <v>6304</v>
      </c>
      <c r="G3637" s="43" t="s">
        <v>3551</v>
      </c>
      <c r="H3637" s="35" t="s">
        <v>3415</v>
      </c>
      <c r="I3637" s="35" t="s">
        <v>3416</v>
      </c>
      <c r="J3637" s="38">
        <v>0.1061005368472426</v>
      </c>
      <c r="K3637" s="35">
        <v>4</v>
      </c>
      <c r="L3637" s="38">
        <f t="shared" si="56"/>
        <v>0.42440214738897042</v>
      </c>
      <c r="M3637" s="35" t="s">
        <v>11</v>
      </c>
      <c r="N3637" s="38"/>
      <c r="O3637" s="35" t="s">
        <v>12</v>
      </c>
    </row>
    <row r="3638" spans="1:15" x14ac:dyDescent="0.25">
      <c r="A3638" s="35">
        <v>1093422778</v>
      </c>
      <c r="B3638" s="35" t="s">
        <v>3968</v>
      </c>
      <c r="C3638" s="35">
        <v>2022</v>
      </c>
      <c r="D3638" s="36">
        <v>44868.391111111108</v>
      </c>
      <c r="E3638" s="35" t="s">
        <v>294</v>
      </c>
      <c r="F3638" s="43" t="s">
        <v>5512</v>
      </c>
      <c r="G3638" s="43" t="s">
        <v>4432</v>
      </c>
      <c r="H3638" s="35" t="s">
        <v>3419</v>
      </c>
      <c r="I3638" s="35" t="s">
        <v>3416</v>
      </c>
      <c r="J3638" s="38">
        <v>9.4959980478282091</v>
      </c>
      <c r="K3638" s="35">
        <v>1</v>
      </c>
      <c r="L3638" s="38">
        <f t="shared" si="56"/>
        <v>9.4959980478282091</v>
      </c>
      <c r="M3638" s="35" t="s">
        <v>11</v>
      </c>
      <c r="N3638" s="38"/>
      <c r="O3638" s="35" t="s">
        <v>12</v>
      </c>
    </row>
    <row r="3639" spans="1:15" x14ac:dyDescent="0.25">
      <c r="A3639" s="35">
        <v>1093422778</v>
      </c>
      <c r="B3639" s="35" t="s">
        <v>3968</v>
      </c>
      <c r="C3639" s="35">
        <v>2022</v>
      </c>
      <c r="D3639" s="36">
        <v>44868.391111111108</v>
      </c>
      <c r="E3639" s="35" t="s">
        <v>294</v>
      </c>
      <c r="F3639" s="43" t="s">
        <v>5972</v>
      </c>
      <c r="G3639" s="43" t="s">
        <v>6305</v>
      </c>
      <c r="H3639" s="35" t="s">
        <v>3419</v>
      </c>
      <c r="I3639" s="35" t="s">
        <v>3416</v>
      </c>
      <c r="J3639" s="38">
        <v>7.3527672035139089</v>
      </c>
      <c r="K3639" s="35">
        <v>1</v>
      </c>
      <c r="L3639" s="38">
        <f t="shared" si="56"/>
        <v>7.3527672035139089</v>
      </c>
      <c r="M3639" s="35" t="s">
        <v>11</v>
      </c>
      <c r="N3639" s="38"/>
      <c r="O3639" s="35" t="s">
        <v>12</v>
      </c>
    </row>
    <row r="3640" spans="1:15" x14ac:dyDescent="0.25">
      <c r="A3640" s="35">
        <v>1093422778</v>
      </c>
      <c r="B3640" s="35" t="s">
        <v>3968</v>
      </c>
      <c r="C3640" s="35">
        <v>2022</v>
      </c>
      <c r="D3640" s="36">
        <v>44868.391111111108</v>
      </c>
      <c r="E3640" s="35" t="s">
        <v>294</v>
      </c>
      <c r="F3640" s="43" t="s">
        <v>6306</v>
      </c>
      <c r="G3640" s="43" t="s">
        <v>4053</v>
      </c>
      <c r="H3640" s="35" t="s">
        <v>3419</v>
      </c>
      <c r="I3640" s="35" t="s">
        <v>3416</v>
      </c>
      <c r="J3640" s="38">
        <v>2.0689604685212299</v>
      </c>
      <c r="K3640" s="35">
        <v>2</v>
      </c>
      <c r="L3640" s="38">
        <f t="shared" si="56"/>
        <v>4.1379209370424599</v>
      </c>
      <c r="M3640" s="35" t="s">
        <v>11</v>
      </c>
      <c r="N3640" s="38"/>
      <c r="O3640" s="35" t="s">
        <v>12</v>
      </c>
    </row>
    <row r="3641" spans="1:15" x14ac:dyDescent="0.25">
      <c r="A3641" s="35">
        <v>1093422778</v>
      </c>
      <c r="B3641" s="35" t="s">
        <v>3968</v>
      </c>
      <c r="C3641" s="35">
        <v>2022</v>
      </c>
      <c r="D3641" s="36">
        <v>44868.391111111108</v>
      </c>
      <c r="E3641" s="35" t="s">
        <v>294</v>
      </c>
      <c r="F3641" s="43" t="s">
        <v>4303</v>
      </c>
      <c r="G3641" s="43" t="s">
        <v>3658</v>
      </c>
      <c r="H3641" s="35" t="s">
        <v>3415</v>
      </c>
      <c r="I3641" s="35" t="s">
        <v>3416</v>
      </c>
      <c r="J3641" s="38">
        <v>5.2519765739385056</v>
      </c>
      <c r="K3641" s="35">
        <v>4</v>
      </c>
      <c r="L3641" s="38">
        <f t="shared" si="56"/>
        <v>21.007906295754022</v>
      </c>
      <c r="M3641" s="35" t="s">
        <v>11</v>
      </c>
      <c r="N3641" s="38"/>
      <c r="O3641" s="35" t="s">
        <v>12</v>
      </c>
    </row>
    <row r="3642" spans="1:15" x14ac:dyDescent="0.25">
      <c r="A3642" s="35">
        <v>1093422778</v>
      </c>
      <c r="B3642" s="35" t="s">
        <v>3968</v>
      </c>
      <c r="C3642" s="35">
        <v>2022</v>
      </c>
      <c r="D3642" s="36">
        <v>44868.391111111108</v>
      </c>
      <c r="E3642" s="35" t="s">
        <v>294</v>
      </c>
      <c r="F3642" s="43" t="s">
        <v>3891</v>
      </c>
      <c r="G3642" s="43" t="s">
        <v>3551</v>
      </c>
      <c r="H3642" s="35" t="s">
        <v>3415</v>
      </c>
      <c r="I3642" s="35" t="s">
        <v>3416</v>
      </c>
      <c r="J3642" s="38">
        <v>1.835539287457296</v>
      </c>
      <c r="K3642" s="35">
        <v>4</v>
      </c>
      <c r="L3642" s="38">
        <f t="shared" si="56"/>
        <v>7.342157149829184</v>
      </c>
      <c r="M3642" s="35" t="s">
        <v>11</v>
      </c>
      <c r="N3642" s="38"/>
      <c r="O3642" s="35" t="s">
        <v>12</v>
      </c>
    </row>
    <row r="3643" spans="1:15" x14ac:dyDescent="0.25">
      <c r="A3643" s="35">
        <v>1093422778</v>
      </c>
      <c r="B3643" s="35" t="s">
        <v>3968</v>
      </c>
      <c r="C3643" s="35">
        <v>2022</v>
      </c>
      <c r="D3643" s="36">
        <v>44868.391111111108</v>
      </c>
      <c r="E3643" s="35" t="s">
        <v>294</v>
      </c>
      <c r="F3643" s="43" t="s">
        <v>6298</v>
      </c>
      <c r="G3643" s="43" t="s">
        <v>3551</v>
      </c>
      <c r="H3643" s="35" t="s">
        <v>3415</v>
      </c>
      <c r="I3643" s="35" t="s">
        <v>3416</v>
      </c>
      <c r="J3643" s="38">
        <v>1.241376281112738</v>
      </c>
      <c r="K3643" s="35">
        <v>4</v>
      </c>
      <c r="L3643" s="38">
        <f t="shared" si="56"/>
        <v>4.965505124450952</v>
      </c>
      <c r="M3643" s="35" t="s">
        <v>11</v>
      </c>
      <c r="N3643" s="38"/>
      <c r="O3643" s="35" t="s">
        <v>12</v>
      </c>
    </row>
    <row r="3644" spans="1:15" x14ac:dyDescent="0.25">
      <c r="A3644" s="35">
        <v>1093422778</v>
      </c>
      <c r="B3644" s="35" t="s">
        <v>3968</v>
      </c>
      <c r="C3644" s="35">
        <v>2022</v>
      </c>
      <c r="D3644" s="36">
        <v>44868.391111111108</v>
      </c>
      <c r="E3644" s="35" t="s">
        <v>294</v>
      </c>
      <c r="F3644" s="43" t="s">
        <v>6296</v>
      </c>
      <c r="G3644" s="43" t="s">
        <v>3551</v>
      </c>
      <c r="H3644" s="35" t="s">
        <v>3415</v>
      </c>
      <c r="I3644" s="35" t="s">
        <v>3416</v>
      </c>
      <c r="J3644" s="38">
        <v>0.30769155685700339</v>
      </c>
      <c r="K3644" s="35">
        <v>4</v>
      </c>
      <c r="L3644" s="38">
        <f t="shared" si="56"/>
        <v>1.2307662274280136</v>
      </c>
      <c r="M3644" s="35" t="s">
        <v>11</v>
      </c>
      <c r="N3644" s="38"/>
      <c r="O3644" s="35" t="s">
        <v>12</v>
      </c>
    </row>
    <row r="3645" spans="1:15" x14ac:dyDescent="0.25">
      <c r="A3645" s="35">
        <v>1093422778</v>
      </c>
      <c r="B3645" s="35" t="s">
        <v>3968</v>
      </c>
      <c r="C3645" s="35">
        <v>2022</v>
      </c>
      <c r="D3645" s="36">
        <v>44868.391111111108</v>
      </c>
      <c r="E3645" s="35" t="s">
        <v>294</v>
      </c>
      <c r="F3645" s="43" t="s">
        <v>4649</v>
      </c>
      <c r="G3645" s="43" t="s">
        <v>3551</v>
      </c>
      <c r="H3645" s="35" t="s">
        <v>3415</v>
      </c>
      <c r="I3645" s="35" t="s">
        <v>3416</v>
      </c>
      <c r="J3645" s="38">
        <v>0.98673499267935583</v>
      </c>
      <c r="K3645" s="35">
        <v>4</v>
      </c>
      <c r="L3645" s="38">
        <f t="shared" si="56"/>
        <v>3.9469399707174233</v>
      </c>
      <c r="M3645" s="35" t="s">
        <v>11</v>
      </c>
      <c r="N3645" s="38"/>
      <c r="O3645" s="35" t="s">
        <v>12</v>
      </c>
    </row>
    <row r="3646" spans="1:15" ht="30" x14ac:dyDescent="0.25">
      <c r="A3646" s="35">
        <v>1093422778</v>
      </c>
      <c r="B3646" s="35" t="s">
        <v>3968</v>
      </c>
      <c r="C3646" s="35">
        <v>2022</v>
      </c>
      <c r="D3646" s="36">
        <v>44868.391111111108</v>
      </c>
      <c r="E3646" s="35" t="s">
        <v>294</v>
      </c>
      <c r="F3646" s="43" t="s">
        <v>3743</v>
      </c>
      <c r="G3646" s="43" t="s">
        <v>3744</v>
      </c>
      <c r="H3646" s="35" t="s">
        <v>3415</v>
      </c>
      <c r="I3646" s="35" t="s">
        <v>3416</v>
      </c>
      <c r="J3646" s="38">
        <v>9.4959980478282091</v>
      </c>
      <c r="K3646" s="35">
        <v>4</v>
      </c>
      <c r="L3646" s="38">
        <f t="shared" si="56"/>
        <v>37.983992191312836</v>
      </c>
      <c r="M3646" s="35" t="s">
        <v>11</v>
      </c>
      <c r="N3646" s="38"/>
      <c r="O3646" s="35" t="s">
        <v>12</v>
      </c>
    </row>
    <row r="3647" spans="1:15" x14ac:dyDescent="0.25">
      <c r="A3647" s="35">
        <v>1093455927</v>
      </c>
      <c r="B3647" s="35" t="s">
        <v>3968</v>
      </c>
      <c r="C3647" s="35">
        <v>2022</v>
      </c>
      <c r="D3647" s="36">
        <v>44868</v>
      </c>
      <c r="E3647" s="35" t="s">
        <v>469</v>
      </c>
      <c r="F3647" s="43" t="s">
        <v>6307</v>
      </c>
      <c r="G3647" s="43" t="s">
        <v>3923</v>
      </c>
      <c r="H3647" s="35" t="s">
        <v>3419</v>
      </c>
      <c r="I3647" s="35" t="s">
        <v>3530</v>
      </c>
      <c r="J3647" s="38">
        <v>0.35</v>
      </c>
      <c r="K3647" s="35">
        <v>3</v>
      </c>
      <c r="L3647" s="38">
        <f t="shared" si="56"/>
        <v>1.0499999999999998</v>
      </c>
      <c r="M3647" s="35" t="s">
        <v>11</v>
      </c>
      <c r="N3647" s="38"/>
      <c r="O3647" s="35" t="s">
        <v>12</v>
      </c>
    </row>
    <row r="3648" spans="1:15" x14ac:dyDescent="0.25">
      <c r="A3648" s="35">
        <v>1093455927</v>
      </c>
      <c r="B3648" s="35" t="s">
        <v>3968</v>
      </c>
      <c r="C3648" s="35">
        <v>2022</v>
      </c>
      <c r="D3648" s="36">
        <v>44868</v>
      </c>
      <c r="E3648" s="35" t="s">
        <v>469</v>
      </c>
      <c r="F3648" s="43" t="s">
        <v>3821</v>
      </c>
      <c r="G3648" s="43" t="s">
        <v>3658</v>
      </c>
      <c r="H3648" s="35" t="s">
        <v>3419</v>
      </c>
      <c r="I3648" s="35" t="s">
        <v>3530</v>
      </c>
      <c r="J3648" s="38">
        <v>5.95</v>
      </c>
      <c r="K3648" s="35">
        <v>1</v>
      </c>
      <c r="L3648" s="38">
        <f t="shared" si="56"/>
        <v>5.95</v>
      </c>
      <c r="M3648" s="35" t="s">
        <v>11</v>
      </c>
      <c r="N3648" s="38"/>
      <c r="O3648" s="35" t="s">
        <v>12</v>
      </c>
    </row>
    <row r="3649" spans="1:15" x14ac:dyDescent="0.25">
      <c r="A3649" s="35">
        <v>1092990396</v>
      </c>
      <c r="B3649" s="35" t="s">
        <v>4070</v>
      </c>
      <c r="C3649" s="35">
        <v>2022</v>
      </c>
      <c r="D3649" s="36">
        <v>44863.970462962963</v>
      </c>
      <c r="E3649" s="35" t="s">
        <v>3363</v>
      </c>
      <c r="F3649" s="43" t="s">
        <v>6308</v>
      </c>
      <c r="G3649" s="43" t="s">
        <v>3792</v>
      </c>
      <c r="H3649" s="35" t="s">
        <v>3419</v>
      </c>
      <c r="I3649" s="35" t="s">
        <v>3416</v>
      </c>
      <c r="J3649" s="38">
        <v>40.1</v>
      </c>
      <c r="K3649" s="35">
        <v>1</v>
      </c>
      <c r="L3649" s="38">
        <f t="shared" si="56"/>
        <v>40.1</v>
      </c>
      <c r="M3649" s="35" t="s">
        <v>11</v>
      </c>
      <c r="N3649" s="38"/>
      <c r="O3649" s="35" t="s">
        <v>12</v>
      </c>
    </row>
    <row r="3650" spans="1:15" x14ac:dyDescent="0.25">
      <c r="A3650" s="35">
        <v>1092930379</v>
      </c>
      <c r="B3650" s="35" t="s">
        <v>4070</v>
      </c>
      <c r="C3650" s="35">
        <v>2022</v>
      </c>
      <c r="D3650" s="36">
        <v>44863.605231481481</v>
      </c>
      <c r="E3650" s="35" t="s">
        <v>3159</v>
      </c>
      <c r="F3650" s="43" t="s">
        <v>4954</v>
      </c>
      <c r="G3650" s="43" t="s">
        <v>3676</v>
      </c>
      <c r="H3650" s="35" t="s">
        <v>3419</v>
      </c>
      <c r="I3650" s="35" t="s">
        <v>3530</v>
      </c>
      <c r="J3650" s="38">
        <v>28.21889920542808</v>
      </c>
      <c r="K3650" s="35">
        <v>2</v>
      </c>
      <c r="L3650" s="38">
        <f t="shared" ref="L3650:L3713" si="57">J3650*K3650</f>
        <v>56.437798410856161</v>
      </c>
      <c r="M3650" s="35" t="s">
        <v>11</v>
      </c>
      <c r="N3650" s="38"/>
      <c r="O3650" s="35" t="s">
        <v>12</v>
      </c>
    </row>
    <row r="3651" spans="1:15" x14ac:dyDescent="0.25">
      <c r="A3651" s="35">
        <v>1092930379</v>
      </c>
      <c r="B3651" s="35" t="s">
        <v>4070</v>
      </c>
      <c r="C3651" s="35">
        <v>2022</v>
      </c>
      <c r="D3651" s="36">
        <v>44863.605231481481</v>
      </c>
      <c r="E3651" s="35" t="s">
        <v>3159</v>
      </c>
      <c r="F3651" s="43" t="s">
        <v>6309</v>
      </c>
      <c r="G3651" s="43" t="s">
        <v>3674</v>
      </c>
      <c r="H3651" s="35" t="s">
        <v>3419</v>
      </c>
      <c r="I3651" s="35" t="s">
        <v>3416</v>
      </c>
      <c r="J3651" s="38">
        <v>20.858356396750288</v>
      </c>
      <c r="K3651" s="35">
        <v>1</v>
      </c>
      <c r="L3651" s="38">
        <f t="shared" si="57"/>
        <v>20.858356396750288</v>
      </c>
      <c r="M3651" s="35" t="s">
        <v>11</v>
      </c>
      <c r="N3651" s="38"/>
      <c r="O3651" s="35" t="s">
        <v>12</v>
      </c>
    </row>
    <row r="3652" spans="1:15" x14ac:dyDescent="0.25">
      <c r="A3652" s="35">
        <v>1092930379</v>
      </c>
      <c r="B3652" s="35" t="s">
        <v>4070</v>
      </c>
      <c r="C3652" s="35">
        <v>2022</v>
      </c>
      <c r="D3652" s="36">
        <v>44863.605231481481</v>
      </c>
      <c r="E3652" s="35" t="s">
        <v>3159</v>
      </c>
      <c r="F3652" s="43" t="s">
        <v>4832</v>
      </c>
      <c r="G3652" s="43" t="s">
        <v>3905</v>
      </c>
      <c r="H3652" s="35" t="s">
        <v>3419</v>
      </c>
      <c r="I3652" s="35" t="s">
        <v>3640</v>
      </c>
      <c r="J3652" s="38">
        <v>0.7736934202303366</v>
      </c>
      <c r="K3652" s="35">
        <v>1</v>
      </c>
      <c r="L3652" s="38">
        <f t="shared" si="57"/>
        <v>0.7736934202303366</v>
      </c>
      <c r="M3652" s="35" t="s">
        <v>11</v>
      </c>
      <c r="N3652" s="38"/>
      <c r="O3652" s="35" t="s">
        <v>12</v>
      </c>
    </row>
    <row r="3653" spans="1:15" x14ac:dyDescent="0.25">
      <c r="A3653" s="35">
        <v>1092930379</v>
      </c>
      <c r="B3653" s="35" t="s">
        <v>4070</v>
      </c>
      <c r="C3653" s="35">
        <v>2022</v>
      </c>
      <c r="D3653" s="36">
        <v>44863.605231481481</v>
      </c>
      <c r="E3653" s="35" t="s">
        <v>3159</v>
      </c>
      <c r="F3653" s="43" t="s">
        <v>4953</v>
      </c>
      <c r="G3653" s="43" t="s">
        <v>3676</v>
      </c>
      <c r="H3653" s="35" t="s">
        <v>3419</v>
      </c>
      <c r="I3653" s="35" t="s">
        <v>3416</v>
      </c>
      <c r="J3653" s="38">
        <v>19.279603606820821</v>
      </c>
      <c r="K3653" s="35">
        <v>1</v>
      </c>
      <c r="L3653" s="38">
        <f t="shared" si="57"/>
        <v>19.279603606820821</v>
      </c>
      <c r="M3653" s="35" t="s">
        <v>11</v>
      </c>
      <c r="N3653" s="38"/>
      <c r="O3653" s="35" t="s">
        <v>12</v>
      </c>
    </row>
    <row r="3654" spans="1:15" x14ac:dyDescent="0.25">
      <c r="A3654" s="35">
        <v>1092930379</v>
      </c>
      <c r="B3654" s="35" t="s">
        <v>4070</v>
      </c>
      <c r="C3654" s="35">
        <v>2022</v>
      </c>
      <c r="D3654" s="36">
        <v>44863.605231481481</v>
      </c>
      <c r="E3654" s="35" t="s">
        <v>3159</v>
      </c>
      <c r="F3654" s="43" t="s">
        <v>4953</v>
      </c>
      <c r="G3654" s="43" t="s">
        <v>3676</v>
      </c>
      <c r="H3654" s="35" t="s">
        <v>3419</v>
      </c>
      <c r="I3654" s="35" t="s">
        <v>3416</v>
      </c>
      <c r="J3654" s="38">
        <v>19.760548165342382</v>
      </c>
      <c r="K3654" s="35">
        <v>1</v>
      </c>
      <c r="L3654" s="38">
        <f t="shared" si="57"/>
        <v>19.760548165342382</v>
      </c>
      <c r="M3654" s="35" t="s">
        <v>11</v>
      </c>
      <c r="N3654" s="38"/>
      <c r="O3654" s="35" t="s">
        <v>12</v>
      </c>
    </row>
    <row r="3655" spans="1:15" x14ac:dyDescent="0.25">
      <c r="A3655" s="35">
        <v>1092855087</v>
      </c>
      <c r="B3655" s="35" t="s">
        <v>4070</v>
      </c>
      <c r="C3655" s="35">
        <v>2022</v>
      </c>
      <c r="D3655" s="36">
        <v>44862.63548611111</v>
      </c>
      <c r="E3655" s="35" t="s">
        <v>294</v>
      </c>
      <c r="F3655" s="43" t="s">
        <v>6310</v>
      </c>
      <c r="G3655" s="43" t="s">
        <v>6311</v>
      </c>
      <c r="H3655" s="35" t="s">
        <v>3415</v>
      </c>
      <c r="I3655" s="35" t="s">
        <v>3416</v>
      </c>
      <c r="J3655" s="38">
        <v>1.357969595761833</v>
      </c>
      <c r="K3655" s="35">
        <v>4</v>
      </c>
      <c r="L3655" s="38">
        <f t="shared" si="57"/>
        <v>5.4318783830473318</v>
      </c>
      <c r="M3655" s="35" t="s">
        <v>11</v>
      </c>
      <c r="N3655" s="38"/>
      <c r="O3655" s="35" t="s">
        <v>12</v>
      </c>
    </row>
    <row r="3656" spans="1:15" x14ac:dyDescent="0.25">
      <c r="A3656" s="35">
        <v>1092855087</v>
      </c>
      <c r="B3656" s="35" t="s">
        <v>4070</v>
      </c>
      <c r="C3656" s="35">
        <v>2022</v>
      </c>
      <c r="D3656" s="36">
        <v>44862.63548611111</v>
      </c>
      <c r="E3656" s="35" t="s">
        <v>294</v>
      </c>
      <c r="F3656" s="43" t="s">
        <v>6312</v>
      </c>
      <c r="G3656" s="43" t="s">
        <v>5509</v>
      </c>
      <c r="H3656" s="35" t="s">
        <v>3419</v>
      </c>
      <c r="I3656" s="35" t="s">
        <v>3416</v>
      </c>
      <c r="J3656" s="38">
        <v>2.281388920879881</v>
      </c>
      <c r="K3656" s="35">
        <v>2</v>
      </c>
      <c r="L3656" s="38">
        <f t="shared" si="57"/>
        <v>4.562777841759762</v>
      </c>
      <c r="M3656" s="35" t="s">
        <v>11</v>
      </c>
      <c r="N3656" s="38"/>
      <c r="O3656" s="35" t="s">
        <v>12</v>
      </c>
    </row>
    <row r="3657" spans="1:15" x14ac:dyDescent="0.25">
      <c r="A3657" s="35">
        <v>1092855087</v>
      </c>
      <c r="B3657" s="35" t="s">
        <v>4070</v>
      </c>
      <c r="C3657" s="35">
        <v>2022</v>
      </c>
      <c r="D3657" s="36">
        <v>44862.63548611111</v>
      </c>
      <c r="E3657" s="35" t="s">
        <v>294</v>
      </c>
      <c r="F3657" s="43" t="s">
        <v>5512</v>
      </c>
      <c r="G3657" s="43" t="s">
        <v>4432</v>
      </c>
      <c r="H3657" s="35" t="s">
        <v>3419</v>
      </c>
      <c r="I3657" s="35" t="s">
        <v>3416</v>
      </c>
      <c r="J3657" s="38">
        <v>9.723062305654727</v>
      </c>
      <c r="K3657" s="35">
        <v>1</v>
      </c>
      <c r="L3657" s="38">
        <f t="shared" si="57"/>
        <v>9.723062305654727</v>
      </c>
      <c r="M3657" s="35" t="s">
        <v>11</v>
      </c>
      <c r="N3657" s="38"/>
      <c r="O3657" s="35" t="s">
        <v>12</v>
      </c>
    </row>
    <row r="3658" spans="1:15" x14ac:dyDescent="0.25">
      <c r="A3658" s="35">
        <v>1092855087</v>
      </c>
      <c r="B3658" s="35" t="s">
        <v>4070</v>
      </c>
      <c r="C3658" s="35">
        <v>2022</v>
      </c>
      <c r="D3658" s="36">
        <v>44862.63548611111</v>
      </c>
      <c r="E3658" s="35" t="s">
        <v>294</v>
      </c>
      <c r="F3658" s="43" t="s">
        <v>6123</v>
      </c>
      <c r="G3658" s="43" t="s">
        <v>3619</v>
      </c>
      <c r="H3658" s="35" t="s">
        <v>3419</v>
      </c>
      <c r="I3658" s="35" t="s">
        <v>3416</v>
      </c>
      <c r="J3658" s="38">
        <v>9.723062305654727</v>
      </c>
      <c r="K3658" s="35">
        <v>1</v>
      </c>
      <c r="L3658" s="38">
        <f t="shared" si="57"/>
        <v>9.723062305654727</v>
      </c>
      <c r="M3658" s="35" t="s">
        <v>11</v>
      </c>
      <c r="N3658" s="38"/>
      <c r="O3658" s="35" t="s">
        <v>12</v>
      </c>
    </row>
    <row r="3659" spans="1:15" ht="30" x14ac:dyDescent="0.25">
      <c r="A3659" s="35">
        <v>1092855087</v>
      </c>
      <c r="B3659" s="35" t="s">
        <v>4070</v>
      </c>
      <c r="C3659" s="35">
        <v>2022</v>
      </c>
      <c r="D3659" s="36">
        <v>44862.63548611111</v>
      </c>
      <c r="E3659" s="35" t="s">
        <v>294</v>
      </c>
      <c r="F3659" s="43" t="s">
        <v>6313</v>
      </c>
      <c r="G3659" s="43" t="s">
        <v>4097</v>
      </c>
      <c r="H3659" s="35" t="s">
        <v>3419</v>
      </c>
      <c r="I3659" s="35" t="s">
        <v>3416</v>
      </c>
      <c r="J3659" s="38">
        <v>3.747996084302661</v>
      </c>
      <c r="K3659" s="35">
        <v>2</v>
      </c>
      <c r="L3659" s="38">
        <f t="shared" si="57"/>
        <v>7.4959921686053219</v>
      </c>
      <c r="M3659" s="35" t="s">
        <v>11</v>
      </c>
      <c r="N3659" s="38"/>
      <c r="O3659" s="35" t="s">
        <v>12</v>
      </c>
    </row>
    <row r="3660" spans="1:15" ht="30" x14ac:dyDescent="0.25">
      <c r="A3660" s="35">
        <v>1092855087</v>
      </c>
      <c r="B3660" s="35" t="s">
        <v>4070</v>
      </c>
      <c r="C3660" s="35">
        <v>2022</v>
      </c>
      <c r="D3660" s="36">
        <v>44862.63548611111</v>
      </c>
      <c r="E3660" s="35" t="s">
        <v>294</v>
      </c>
      <c r="F3660" s="43" t="s">
        <v>6313</v>
      </c>
      <c r="G3660" s="43" t="s">
        <v>4097</v>
      </c>
      <c r="H3660" s="35" t="s">
        <v>3419</v>
      </c>
      <c r="I3660" s="35" t="s">
        <v>3416</v>
      </c>
      <c r="J3660" s="38">
        <v>4.2911839226073942</v>
      </c>
      <c r="K3660" s="35">
        <v>1</v>
      </c>
      <c r="L3660" s="38">
        <f t="shared" si="57"/>
        <v>4.2911839226073942</v>
      </c>
      <c r="M3660" s="35" t="s">
        <v>11</v>
      </c>
      <c r="N3660" s="38"/>
      <c r="O3660" s="35" t="s">
        <v>12</v>
      </c>
    </row>
    <row r="3661" spans="1:15" x14ac:dyDescent="0.25">
      <c r="A3661" s="35">
        <v>1092855087</v>
      </c>
      <c r="B3661" s="35" t="s">
        <v>4070</v>
      </c>
      <c r="C3661" s="35">
        <v>2022</v>
      </c>
      <c r="D3661" s="36">
        <v>44862.63548611111</v>
      </c>
      <c r="E3661" s="35" t="s">
        <v>294</v>
      </c>
      <c r="F3661" s="43" t="s">
        <v>6312</v>
      </c>
      <c r="G3661" s="43" t="s">
        <v>5509</v>
      </c>
      <c r="H3661" s="35" t="s">
        <v>3419</v>
      </c>
      <c r="I3661" s="35" t="s">
        <v>3416</v>
      </c>
      <c r="J3661" s="38">
        <v>2.1184325693884598</v>
      </c>
      <c r="K3661" s="35">
        <v>1</v>
      </c>
      <c r="L3661" s="38">
        <f t="shared" si="57"/>
        <v>2.1184325693884598</v>
      </c>
      <c r="M3661" s="35" t="s">
        <v>11</v>
      </c>
      <c r="N3661" s="38"/>
      <c r="O3661" s="35" t="s">
        <v>12</v>
      </c>
    </row>
    <row r="3662" spans="1:15" x14ac:dyDescent="0.25">
      <c r="A3662" s="35">
        <v>1092855087</v>
      </c>
      <c r="B3662" s="35" t="s">
        <v>4070</v>
      </c>
      <c r="C3662" s="35">
        <v>2022</v>
      </c>
      <c r="D3662" s="36">
        <v>44862.63548611111</v>
      </c>
      <c r="E3662" s="35" t="s">
        <v>294</v>
      </c>
      <c r="F3662" s="43" t="s">
        <v>6314</v>
      </c>
      <c r="G3662" s="43" t="s">
        <v>4480</v>
      </c>
      <c r="H3662" s="35" t="s">
        <v>3419</v>
      </c>
      <c r="I3662" s="35" t="s">
        <v>3416</v>
      </c>
      <c r="J3662" s="38">
        <v>1.357969595761833</v>
      </c>
      <c r="K3662" s="35">
        <v>3</v>
      </c>
      <c r="L3662" s="38">
        <f t="shared" si="57"/>
        <v>4.0739087872854984</v>
      </c>
      <c r="M3662" s="35" t="s">
        <v>11</v>
      </c>
      <c r="N3662" s="38"/>
      <c r="O3662" s="35" t="s">
        <v>12</v>
      </c>
    </row>
    <row r="3663" spans="1:15" x14ac:dyDescent="0.25">
      <c r="A3663" s="35">
        <v>1092855087</v>
      </c>
      <c r="B3663" s="35" t="s">
        <v>4070</v>
      </c>
      <c r="C3663" s="35">
        <v>2022</v>
      </c>
      <c r="D3663" s="36">
        <v>44862.63548611111</v>
      </c>
      <c r="E3663" s="35" t="s">
        <v>294</v>
      </c>
      <c r="F3663" s="43" t="s">
        <v>6315</v>
      </c>
      <c r="G3663" s="43" t="s">
        <v>3619</v>
      </c>
      <c r="H3663" s="35" t="s">
        <v>3419</v>
      </c>
      <c r="I3663" s="35" t="s">
        <v>3416</v>
      </c>
      <c r="J3663" s="38">
        <v>1.032056892778993</v>
      </c>
      <c r="K3663" s="35">
        <v>3</v>
      </c>
      <c r="L3663" s="38">
        <f t="shared" si="57"/>
        <v>3.0961706783369793</v>
      </c>
      <c r="M3663" s="35" t="s">
        <v>11</v>
      </c>
      <c r="N3663" s="38"/>
      <c r="O3663" s="35" t="s">
        <v>12</v>
      </c>
    </row>
    <row r="3664" spans="1:15" x14ac:dyDescent="0.25">
      <c r="A3664" s="35">
        <v>1092855087</v>
      </c>
      <c r="B3664" s="35" t="s">
        <v>4070</v>
      </c>
      <c r="C3664" s="35">
        <v>2022</v>
      </c>
      <c r="D3664" s="36">
        <v>44862.63548611111</v>
      </c>
      <c r="E3664" s="35" t="s">
        <v>294</v>
      </c>
      <c r="F3664" s="43" t="s">
        <v>6316</v>
      </c>
      <c r="G3664" s="43" t="s">
        <v>4480</v>
      </c>
      <c r="H3664" s="35" t="s">
        <v>3419</v>
      </c>
      <c r="I3664" s="35" t="s">
        <v>3416</v>
      </c>
      <c r="J3664" s="38">
        <v>1.032056892778993</v>
      </c>
      <c r="K3664" s="35">
        <v>1</v>
      </c>
      <c r="L3664" s="38">
        <f t="shared" si="57"/>
        <v>1.032056892778993</v>
      </c>
      <c r="M3664" s="35" t="s">
        <v>11</v>
      </c>
      <c r="N3664" s="38"/>
      <c r="O3664" s="35" t="s">
        <v>12</v>
      </c>
    </row>
    <row r="3665" spans="1:15" x14ac:dyDescent="0.25">
      <c r="A3665" s="35">
        <v>1092855087</v>
      </c>
      <c r="B3665" s="35" t="s">
        <v>4070</v>
      </c>
      <c r="C3665" s="35">
        <v>2022</v>
      </c>
      <c r="D3665" s="36">
        <v>44862.63548611111</v>
      </c>
      <c r="E3665" s="35" t="s">
        <v>294</v>
      </c>
      <c r="F3665" s="43" t="s">
        <v>6317</v>
      </c>
      <c r="G3665" s="43" t="s">
        <v>3457</v>
      </c>
      <c r="H3665" s="35" t="s">
        <v>3419</v>
      </c>
      <c r="I3665" s="35" t="s">
        <v>3416</v>
      </c>
      <c r="J3665" s="38">
        <v>1.032056892778993</v>
      </c>
      <c r="K3665" s="35">
        <v>2</v>
      </c>
      <c r="L3665" s="38">
        <f t="shared" si="57"/>
        <v>2.0641137855579861</v>
      </c>
      <c r="M3665" s="35" t="s">
        <v>11</v>
      </c>
      <c r="N3665" s="38"/>
      <c r="O3665" s="35" t="s">
        <v>12</v>
      </c>
    </row>
    <row r="3666" spans="1:15" x14ac:dyDescent="0.25">
      <c r="A3666" s="35">
        <v>1092855087</v>
      </c>
      <c r="B3666" s="35" t="s">
        <v>4070</v>
      </c>
      <c r="C3666" s="35">
        <v>2022</v>
      </c>
      <c r="D3666" s="36">
        <v>44862.63548611111</v>
      </c>
      <c r="E3666" s="35" t="s">
        <v>294</v>
      </c>
      <c r="F3666" s="43" t="s">
        <v>6314</v>
      </c>
      <c r="G3666" s="43" t="s">
        <v>4480</v>
      </c>
      <c r="H3666" s="35" t="s">
        <v>3419</v>
      </c>
      <c r="I3666" s="35" t="s">
        <v>3416</v>
      </c>
      <c r="J3666" s="38">
        <v>2.1184325693884598</v>
      </c>
      <c r="K3666" s="35">
        <v>1</v>
      </c>
      <c r="L3666" s="38">
        <f t="shared" si="57"/>
        <v>2.1184325693884598</v>
      </c>
      <c r="M3666" s="35" t="s">
        <v>11</v>
      </c>
      <c r="N3666" s="38"/>
      <c r="O3666" s="35" t="s">
        <v>12</v>
      </c>
    </row>
    <row r="3667" spans="1:15" x14ac:dyDescent="0.25">
      <c r="A3667" s="35">
        <v>1092855087</v>
      </c>
      <c r="B3667" s="35" t="s">
        <v>4070</v>
      </c>
      <c r="C3667" s="35">
        <v>2022</v>
      </c>
      <c r="D3667" s="36">
        <v>44862.63548611111</v>
      </c>
      <c r="E3667" s="35" t="s">
        <v>294</v>
      </c>
      <c r="F3667" s="43" t="s">
        <v>6318</v>
      </c>
      <c r="G3667" s="43" t="s">
        <v>3945</v>
      </c>
      <c r="H3667" s="35" t="s">
        <v>3415</v>
      </c>
      <c r="I3667" s="35" t="s">
        <v>3416</v>
      </c>
      <c r="J3667" s="38">
        <v>0.1086375676609467</v>
      </c>
      <c r="K3667" s="35">
        <v>4</v>
      </c>
      <c r="L3667" s="38">
        <f t="shared" si="57"/>
        <v>0.43455027064378682</v>
      </c>
      <c r="M3667" s="35" t="s">
        <v>11</v>
      </c>
      <c r="N3667" s="38"/>
      <c r="O3667" s="35" t="s">
        <v>12</v>
      </c>
    </row>
    <row r="3668" spans="1:15" x14ac:dyDescent="0.25">
      <c r="A3668" s="35">
        <v>1092855087</v>
      </c>
      <c r="B3668" s="35" t="s">
        <v>4070</v>
      </c>
      <c r="C3668" s="35">
        <v>2022</v>
      </c>
      <c r="D3668" s="36">
        <v>44862.63548611111</v>
      </c>
      <c r="E3668" s="35" t="s">
        <v>294</v>
      </c>
      <c r="F3668" s="43" t="s">
        <v>6319</v>
      </c>
      <c r="G3668" s="43" t="s">
        <v>4103</v>
      </c>
      <c r="H3668" s="35" t="s">
        <v>3415</v>
      </c>
      <c r="I3668" s="35" t="s">
        <v>3416</v>
      </c>
      <c r="J3668" s="38">
        <v>0.16295635149141999</v>
      </c>
      <c r="K3668" s="35">
        <v>4</v>
      </c>
      <c r="L3668" s="38">
        <f t="shared" si="57"/>
        <v>0.65182540596567995</v>
      </c>
      <c r="M3668" s="35" t="s">
        <v>11</v>
      </c>
      <c r="N3668" s="38"/>
      <c r="O3668" s="35" t="s">
        <v>12</v>
      </c>
    </row>
    <row r="3669" spans="1:15" x14ac:dyDescent="0.25">
      <c r="A3669" s="35">
        <v>1092855087</v>
      </c>
      <c r="B3669" s="35" t="s">
        <v>4070</v>
      </c>
      <c r="C3669" s="35">
        <v>2022</v>
      </c>
      <c r="D3669" s="36">
        <v>44862.63548611111</v>
      </c>
      <c r="E3669" s="35" t="s">
        <v>294</v>
      </c>
      <c r="F3669" s="43" t="s">
        <v>6320</v>
      </c>
      <c r="G3669" s="43" t="s">
        <v>4480</v>
      </c>
      <c r="H3669" s="35" t="s">
        <v>3415</v>
      </c>
      <c r="I3669" s="35" t="s">
        <v>3416</v>
      </c>
      <c r="J3669" s="38">
        <v>0.35850397328112399</v>
      </c>
      <c r="K3669" s="35">
        <v>4</v>
      </c>
      <c r="L3669" s="38">
        <f t="shared" si="57"/>
        <v>1.434015893124496</v>
      </c>
      <c r="M3669" s="35" t="s">
        <v>11</v>
      </c>
      <c r="N3669" s="38"/>
      <c r="O3669" s="35" t="s">
        <v>12</v>
      </c>
    </row>
    <row r="3670" spans="1:15" x14ac:dyDescent="0.25">
      <c r="A3670" s="35">
        <v>1092855087</v>
      </c>
      <c r="B3670" s="35" t="s">
        <v>4070</v>
      </c>
      <c r="C3670" s="35">
        <v>2022</v>
      </c>
      <c r="D3670" s="36">
        <v>44862.63548611111</v>
      </c>
      <c r="E3670" s="35" t="s">
        <v>294</v>
      </c>
      <c r="F3670" s="43" t="s">
        <v>6050</v>
      </c>
      <c r="G3670" s="43" t="s">
        <v>3945</v>
      </c>
      <c r="H3670" s="35" t="s">
        <v>3419</v>
      </c>
      <c r="I3670" s="35" t="s">
        <v>3416</v>
      </c>
      <c r="J3670" s="38">
        <v>0.1086375676609467</v>
      </c>
      <c r="K3670" s="35">
        <v>2</v>
      </c>
      <c r="L3670" s="38">
        <f t="shared" si="57"/>
        <v>0.21727513532189341</v>
      </c>
      <c r="M3670" s="35" t="s">
        <v>11</v>
      </c>
      <c r="N3670" s="38"/>
      <c r="O3670" s="35" t="s">
        <v>12</v>
      </c>
    </row>
    <row r="3671" spans="1:15" x14ac:dyDescent="0.25">
      <c r="A3671" s="35">
        <v>1092855087</v>
      </c>
      <c r="B3671" s="35" t="s">
        <v>4070</v>
      </c>
      <c r="C3671" s="35">
        <v>2022</v>
      </c>
      <c r="D3671" s="36">
        <v>44862.63548611111</v>
      </c>
      <c r="E3671" s="35" t="s">
        <v>294</v>
      </c>
      <c r="F3671" s="43" t="s">
        <v>6321</v>
      </c>
      <c r="G3671" s="43" t="s">
        <v>3619</v>
      </c>
      <c r="H3671" s="35" t="s">
        <v>3415</v>
      </c>
      <c r="I3671" s="35" t="s">
        <v>3416</v>
      </c>
      <c r="J3671" s="38">
        <v>0.1086375676609467</v>
      </c>
      <c r="K3671" s="35">
        <v>4</v>
      </c>
      <c r="L3671" s="38">
        <f t="shared" si="57"/>
        <v>0.43455027064378682</v>
      </c>
      <c r="M3671" s="35" t="s">
        <v>11</v>
      </c>
      <c r="N3671" s="38"/>
      <c r="O3671" s="35" t="s">
        <v>12</v>
      </c>
    </row>
    <row r="3672" spans="1:15" x14ac:dyDescent="0.25">
      <c r="A3672" s="35">
        <v>1092855087</v>
      </c>
      <c r="B3672" s="35" t="s">
        <v>4070</v>
      </c>
      <c r="C3672" s="35">
        <v>2022</v>
      </c>
      <c r="D3672" s="36">
        <v>44862.63548611111</v>
      </c>
      <c r="E3672" s="35" t="s">
        <v>294</v>
      </c>
      <c r="F3672" s="43" t="s">
        <v>6322</v>
      </c>
      <c r="G3672" s="43" t="s">
        <v>3619</v>
      </c>
      <c r="H3672" s="35" t="s">
        <v>3419</v>
      </c>
      <c r="I3672" s="35" t="s">
        <v>3416</v>
      </c>
      <c r="J3672" s="38">
        <v>4.2911839226073942</v>
      </c>
      <c r="K3672" s="35">
        <v>1</v>
      </c>
      <c r="L3672" s="38">
        <f t="shared" si="57"/>
        <v>4.2911839226073942</v>
      </c>
      <c r="M3672" s="35" t="s">
        <v>11</v>
      </c>
      <c r="N3672" s="38"/>
      <c r="O3672" s="35" t="s">
        <v>12</v>
      </c>
    </row>
    <row r="3673" spans="1:15" x14ac:dyDescent="0.25">
      <c r="A3673" s="35">
        <v>1092855087</v>
      </c>
      <c r="B3673" s="35" t="s">
        <v>4070</v>
      </c>
      <c r="C3673" s="35">
        <v>2022</v>
      </c>
      <c r="D3673" s="36">
        <v>44862.63548611111</v>
      </c>
      <c r="E3673" s="35" t="s">
        <v>294</v>
      </c>
      <c r="F3673" s="43" t="s">
        <v>6323</v>
      </c>
      <c r="G3673" s="43" t="s">
        <v>3945</v>
      </c>
      <c r="H3673" s="35" t="s">
        <v>3415</v>
      </c>
      <c r="I3673" s="35" t="s">
        <v>3416</v>
      </c>
      <c r="J3673" s="38">
        <v>0.32591270298283997</v>
      </c>
      <c r="K3673" s="35">
        <v>4</v>
      </c>
      <c r="L3673" s="38">
        <f t="shared" si="57"/>
        <v>1.3036508119313599</v>
      </c>
      <c r="M3673" s="35" t="s">
        <v>11</v>
      </c>
      <c r="N3673" s="38"/>
      <c r="O3673" s="35" t="s">
        <v>12</v>
      </c>
    </row>
    <row r="3674" spans="1:15" x14ac:dyDescent="0.25">
      <c r="A3674" s="35">
        <v>1092855087</v>
      </c>
      <c r="B3674" s="35" t="s">
        <v>4070</v>
      </c>
      <c r="C3674" s="35">
        <v>2022</v>
      </c>
      <c r="D3674" s="36">
        <v>44862.63548611111</v>
      </c>
      <c r="E3674" s="35" t="s">
        <v>294</v>
      </c>
      <c r="F3674" s="43" t="s">
        <v>6324</v>
      </c>
      <c r="G3674" s="43" t="s">
        <v>3738</v>
      </c>
      <c r="H3674" s="35" t="s">
        <v>3415</v>
      </c>
      <c r="I3674" s="35" t="s">
        <v>3416</v>
      </c>
      <c r="J3674" s="38">
        <v>0.1086375676609467</v>
      </c>
      <c r="K3674" s="35">
        <v>4</v>
      </c>
      <c r="L3674" s="38">
        <f t="shared" si="57"/>
        <v>0.43455027064378682</v>
      </c>
      <c r="M3674" s="35" t="s">
        <v>11</v>
      </c>
      <c r="N3674" s="38"/>
      <c r="O3674" s="35" t="s">
        <v>12</v>
      </c>
    </row>
    <row r="3675" spans="1:15" x14ac:dyDescent="0.25">
      <c r="A3675" s="35">
        <v>1092855087</v>
      </c>
      <c r="B3675" s="35" t="s">
        <v>4070</v>
      </c>
      <c r="C3675" s="35">
        <v>2022</v>
      </c>
      <c r="D3675" s="36">
        <v>44862.63548611111</v>
      </c>
      <c r="E3675" s="35" t="s">
        <v>294</v>
      </c>
      <c r="F3675" s="43" t="s">
        <v>6325</v>
      </c>
      <c r="G3675" s="43" t="s">
        <v>5509</v>
      </c>
      <c r="H3675" s="35" t="s">
        <v>3419</v>
      </c>
      <c r="I3675" s="35" t="s">
        <v>3416</v>
      </c>
      <c r="J3675" s="38">
        <v>0.21727513532189341</v>
      </c>
      <c r="K3675" s="35">
        <v>2</v>
      </c>
      <c r="L3675" s="38">
        <f t="shared" si="57"/>
        <v>0.43455027064378682</v>
      </c>
      <c r="M3675" s="35" t="s">
        <v>11</v>
      </c>
      <c r="N3675" s="38"/>
      <c r="O3675" s="35" t="s">
        <v>12</v>
      </c>
    </row>
    <row r="3676" spans="1:15" x14ac:dyDescent="0.25">
      <c r="A3676" s="35">
        <v>1092855087</v>
      </c>
      <c r="B3676" s="35" t="s">
        <v>4070</v>
      </c>
      <c r="C3676" s="35">
        <v>2022</v>
      </c>
      <c r="D3676" s="36">
        <v>44862.63548611111</v>
      </c>
      <c r="E3676" s="35" t="s">
        <v>294</v>
      </c>
      <c r="F3676" s="43" t="s">
        <v>6326</v>
      </c>
      <c r="G3676" s="43" t="s">
        <v>3619</v>
      </c>
      <c r="H3676" s="35" t="s">
        <v>3419</v>
      </c>
      <c r="I3676" s="35" t="s">
        <v>3416</v>
      </c>
      <c r="J3676" s="38">
        <v>0.1086375676609467</v>
      </c>
      <c r="K3676" s="35">
        <v>2</v>
      </c>
      <c r="L3676" s="38">
        <f t="shared" si="57"/>
        <v>0.21727513532189341</v>
      </c>
      <c r="M3676" s="35" t="s">
        <v>11</v>
      </c>
      <c r="N3676" s="38"/>
      <c r="O3676" s="35" t="s">
        <v>12</v>
      </c>
    </row>
    <row r="3677" spans="1:15" x14ac:dyDescent="0.25">
      <c r="A3677" s="35">
        <v>1092855087</v>
      </c>
      <c r="B3677" s="35" t="s">
        <v>4070</v>
      </c>
      <c r="C3677" s="35">
        <v>2022</v>
      </c>
      <c r="D3677" s="36">
        <v>44862.63548611111</v>
      </c>
      <c r="E3677" s="35" t="s">
        <v>294</v>
      </c>
      <c r="F3677" s="43" t="s">
        <v>6327</v>
      </c>
      <c r="G3677" s="43" t="s">
        <v>3619</v>
      </c>
      <c r="H3677" s="35" t="s">
        <v>3419</v>
      </c>
      <c r="I3677" s="35" t="s">
        <v>3416</v>
      </c>
      <c r="J3677" s="38">
        <v>0.70614418979615345</v>
      </c>
      <c r="K3677" s="35">
        <v>3</v>
      </c>
      <c r="L3677" s="38">
        <f t="shared" si="57"/>
        <v>2.1184325693884603</v>
      </c>
      <c r="M3677" s="35" t="s">
        <v>11</v>
      </c>
      <c r="N3677" s="38"/>
      <c r="O3677" s="35" t="s">
        <v>12</v>
      </c>
    </row>
    <row r="3678" spans="1:15" x14ac:dyDescent="0.25">
      <c r="A3678" s="35">
        <v>1092855087</v>
      </c>
      <c r="B3678" s="35" t="s">
        <v>4070</v>
      </c>
      <c r="C3678" s="35">
        <v>2022</v>
      </c>
      <c r="D3678" s="36">
        <v>44862.63548611111</v>
      </c>
      <c r="E3678" s="35" t="s">
        <v>294</v>
      </c>
      <c r="F3678" s="43" t="s">
        <v>6328</v>
      </c>
      <c r="G3678" s="43" t="s">
        <v>6329</v>
      </c>
      <c r="H3678" s="35" t="s">
        <v>3419</v>
      </c>
      <c r="I3678" s="35" t="s">
        <v>3416</v>
      </c>
      <c r="J3678" s="38">
        <v>0.16295635149141999</v>
      </c>
      <c r="K3678" s="35">
        <v>3</v>
      </c>
      <c r="L3678" s="38">
        <f t="shared" si="57"/>
        <v>0.48886905447425999</v>
      </c>
      <c r="M3678" s="35" t="s">
        <v>11</v>
      </c>
      <c r="N3678" s="38"/>
      <c r="O3678" s="35" t="s">
        <v>12</v>
      </c>
    </row>
    <row r="3679" spans="1:15" x14ac:dyDescent="0.25">
      <c r="A3679" s="35">
        <v>1092855087</v>
      </c>
      <c r="B3679" s="35" t="s">
        <v>4070</v>
      </c>
      <c r="C3679" s="35">
        <v>2022</v>
      </c>
      <c r="D3679" s="36">
        <v>44862.63548611111</v>
      </c>
      <c r="E3679" s="35" t="s">
        <v>294</v>
      </c>
      <c r="F3679" s="43" t="s">
        <v>6330</v>
      </c>
      <c r="G3679" s="43" t="s">
        <v>4097</v>
      </c>
      <c r="H3679" s="35" t="s">
        <v>3415</v>
      </c>
      <c r="I3679" s="35" t="s">
        <v>3416</v>
      </c>
      <c r="J3679" s="38">
        <v>0.260730162386272</v>
      </c>
      <c r="K3679" s="35">
        <v>4</v>
      </c>
      <c r="L3679" s="38">
        <f t="shared" si="57"/>
        <v>1.042920649545088</v>
      </c>
      <c r="M3679" s="35" t="s">
        <v>11</v>
      </c>
      <c r="N3679" s="38"/>
      <c r="O3679" s="35" t="s">
        <v>12</v>
      </c>
    </row>
    <row r="3680" spans="1:15" x14ac:dyDescent="0.25">
      <c r="A3680" s="35">
        <v>1092855087</v>
      </c>
      <c r="B3680" s="35" t="s">
        <v>4070</v>
      </c>
      <c r="C3680" s="35">
        <v>2022</v>
      </c>
      <c r="D3680" s="36">
        <v>44862.63548611111</v>
      </c>
      <c r="E3680" s="35" t="s">
        <v>294</v>
      </c>
      <c r="F3680" s="43" t="s">
        <v>4801</v>
      </c>
      <c r="G3680" s="43" t="s">
        <v>3457</v>
      </c>
      <c r="H3680" s="35" t="s">
        <v>3415</v>
      </c>
      <c r="I3680" s="35" t="s">
        <v>3416</v>
      </c>
      <c r="J3680" s="38">
        <v>0.16295635149141999</v>
      </c>
      <c r="K3680" s="35">
        <v>4</v>
      </c>
      <c r="L3680" s="38">
        <f t="shared" si="57"/>
        <v>0.65182540596567995</v>
      </c>
      <c r="M3680" s="35" t="s">
        <v>11</v>
      </c>
      <c r="N3680" s="38"/>
      <c r="O3680" s="35" t="s">
        <v>12</v>
      </c>
    </row>
    <row r="3681" spans="1:15" x14ac:dyDescent="0.25">
      <c r="A3681" s="35">
        <v>1092855087</v>
      </c>
      <c r="B3681" s="35" t="s">
        <v>4070</v>
      </c>
      <c r="C3681" s="35">
        <v>2022</v>
      </c>
      <c r="D3681" s="36">
        <v>44862.63548611111</v>
      </c>
      <c r="E3681" s="35" t="s">
        <v>294</v>
      </c>
      <c r="F3681" s="43" t="s">
        <v>4800</v>
      </c>
      <c r="G3681" s="43" t="s">
        <v>3529</v>
      </c>
      <c r="H3681" s="35" t="s">
        <v>3415</v>
      </c>
      <c r="I3681" s="35" t="s">
        <v>3416</v>
      </c>
      <c r="J3681" s="38">
        <v>0.15209259472532541</v>
      </c>
      <c r="K3681" s="35">
        <v>4</v>
      </c>
      <c r="L3681" s="38">
        <f t="shared" si="57"/>
        <v>0.60837037890130163</v>
      </c>
      <c r="M3681" s="35" t="s">
        <v>11</v>
      </c>
      <c r="N3681" s="38"/>
      <c r="O3681" s="35" t="s">
        <v>12</v>
      </c>
    </row>
    <row r="3682" spans="1:15" x14ac:dyDescent="0.25">
      <c r="A3682" s="35">
        <v>1092855087</v>
      </c>
      <c r="B3682" s="35" t="s">
        <v>4070</v>
      </c>
      <c r="C3682" s="35">
        <v>2022</v>
      </c>
      <c r="D3682" s="36">
        <v>44862.63548611111</v>
      </c>
      <c r="E3682" s="35" t="s">
        <v>294</v>
      </c>
      <c r="F3682" s="43" t="s">
        <v>4804</v>
      </c>
      <c r="G3682" s="43" t="s">
        <v>3457</v>
      </c>
      <c r="H3682" s="35" t="s">
        <v>3415</v>
      </c>
      <c r="I3682" s="35" t="s">
        <v>3416</v>
      </c>
      <c r="J3682" s="38">
        <v>0.16295635149141999</v>
      </c>
      <c r="K3682" s="35">
        <v>4</v>
      </c>
      <c r="L3682" s="38">
        <f t="shared" si="57"/>
        <v>0.65182540596567995</v>
      </c>
      <c r="M3682" s="35" t="s">
        <v>11</v>
      </c>
      <c r="N3682" s="38"/>
      <c r="O3682" s="35" t="s">
        <v>12</v>
      </c>
    </row>
    <row r="3683" spans="1:15" x14ac:dyDescent="0.25">
      <c r="A3683" s="35">
        <v>1092855087</v>
      </c>
      <c r="B3683" s="35" t="s">
        <v>4070</v>
      </c>
      <c r="C3683" s="35">
        <v>2022</v>
      </c>
      <c r="D3683" s="36">
        <v>44862.63548611111</v>
      </c>
      <c r="E3683" s="35" t="s">
        <v>294</v>
      </c>
      <c r="F3683" s="43" t="s">
        <v>4804</v>
      </c>
      <c r="G3683" s="43" t="s">
        <v>3529</v>
      </c>
      <c r="H3683" s="35" t="s">
        <v>3415</v>
      </c>
      <c r="I3683" s="35" t="s">
        <v>3416</v>
      </c>
      <c r="J3683" s="38">
        <v>0.15209259472532541</v>
      </c>
      <c r="K3683" s="35">
        <v>4</v>
      </c>
      <c r="L3683" s="38">
        <f t="shared" si="57"/>
        <v>0.60837037890130163</v>
      </c>
      <c r="M3683" s="35" t="s">
        <v>11</v>
      </c>
      <c r="N3683" s="38"/>
      <c r="O3683" s="35" t="s">
        <v>12</v>
      </c>
    </row>
    <row r="3684" spans="1:15" x14ac:dyDescent="0.25">
      <c r="A3684" s="35">
        <v>1092855087</v>
      </c>
      <c r="B3684" s="35" t="s">
        <v>4070</v>
      </c>
      <c r="C3684" s="35">
        <v>2022</v>
      </c>
      <c r="D3684" s="36">
        <v>44862.63548611111</v>
      </c>
      <c r="E3684" s="35" t="s">
        <v>294</v>
      </c>
      <c r="F3684" s="43" t="s">
        <v>6025</v>
      </c>
      <c r="G3684" s="43" t="s">
        <v>3772</v>
      </c>
      <c r="H3684" s="35" t="s">
        <v>3419</v>
      </c>
      <c r="I3684" s="35" t="s">
        <v>3416</v>
      </c>
      <c r="J3684" s="38">
        <v>3.2048082459979281</v>
      </c>
      <c r="K3684" s="35">
        <v>3</v>
      </c>
      <c r="L3684" s="38">
        <f t="shared" si="57"/>
        <v>9.6144247379937848</v>
      </c>
      <c r="M3684" s="35" t="s">
        <v>11</v>
      </c>
      <c r="N3684" s="38"/>
      <c r="O3684" s="35" t="s">
        <v>12</v>
      </c>
    </row>
    <row r="3685" spans="1:15" x14ac:dyDescent="0.25">
      <c r="A3685" s="35">
        <v>1092855087</v>
      </c>
      <c r="B3685" s="35" t="s">
        <v>4070</v>
      </c>
      <c r="C3685" s="35">
        <v>2022</v>
      </c>
      <c r="D3685" s="36">
        <v>44862.63548611111</v>
      </c>
      <c r="E3685" s="35" t="s">
        <v>294</v>
      </c>
      <c r="F3685" s="43" t="s">
        <v>6195</v>
      </c>
      <c r="G3685" s="43" t="s">
        <v>6331</v>
      </c>
      <c r="H3685" s="35" t="s">
        <v>3419</v>
      </c>
      <c r="I3685" s="35" t="s">
        <v>3416</v>
      </c>
      <c r="J3685" s="38">
        <v>6.4965265461246116</v>
      </c>
      <c r="K3685" s="35">
        <v>1</v>
      </c>
      <c r="L3685" s="38">
        <f t="shared" si="57"/>
        <v>6.4965265461246116</v>
      </c>
      <c r="M3685" s="35" t="s">
        <v>11</v>
      </c>
      <c r="N3685" s="38"/>
      <c r="O3685" s="35" t="s">
        <v>12</v>
      </c>
    </row>
    <row r="3686" spans="1:15" x14ac:dyDescent="0.25">
      <c r="A3686" s="35">
        <v>1092855087</v>
      </c>
      <c r="B3686" s="35" t="s">
        <v>4070</v>
      </c>
      <c r="C3686" s="35">
        <v>2022</v>
      </c>
      <c r="D3686" s="36">
        <v>44862.63548611111</v>
      </c>
      <c r="E3686" s="35" t="s">
        <v>294</v>
      </c>
      <c r="F3686" s="43" t="s">
        <v>6195</v>
      </c>
      <c r="G3686" s="43" t="s">
        <v>6332</v>
      </c>
      <c r="H3686" s="35" t="s">
        <v>3419</v>
      </c>
      <c r="I3686" s="35" t="s">
        <v>3416</v>
      </c>
      <c r="J3686" s="38">
        <v>6.4639352758263273</v>
      </c>
      <c r="K3686" s="35">
        <v>1</v>
      </c>
      <c r="L3686" s="38">
        <f t="shared" si="57"/>
        <v>6.4639352758263273</v>
      </c>
      <c r="M3686" s="35" t="s">
        <v>11</v>
      </c>
      <c r="N3686" s="38"/>
      <c r="O3686" s="35" t="s">
        <v>12</v>
      </c>
    </row>
    <row r="3687" spans="1:15" x14ac:dyDescent="0.25">
      <c r="A3687" s="35">
        <v>1092761535</v>
      </c>
      <c r="B3687" s="35" t="s">
        <v>4070</v>
      </c>
      <c r="C3687" s="35">
        <v>2022</v>
      </c>
      <c r="D3687" s="36">
        <v>44861.673171296286</v>
      </c>
      <c r="E3687" s="35" t="s">
        <v>35</v>
      </c>
      <c r="F3687" s="43" t="s">
        <v>4804</v>
      </c>
      <c r="G3687" s="43" t="s">
        <v>3619</v>
      </c>
      <c r="H3687" s="35" t="s">
        <v>3415</v>
      </c>
      <c r="I3687" s="35" t="s">
        <v>3453</v>
      </c>
      <c r="J3687" s="38">
        <v>0.99882352941176478</v>
      </c>
      <c r="K3687" s="35">
        <v>4</v>
      </c>
      <c r="L3687" s="38">
        <f t="shared" si="57"/>
        <v>3.9952941176470591</v>
      </c>
      <c r="M3687" s="35" t="s">
        <v>11</v>
      </c>
      <c r="N3687" s="38"/>
      <c r="O3687" s="35" t="s">
        <v>12</v>
      </c>
    </row>
    <row r="3688" spans="1:15" x14ac:dyDescent="0.25">
      <c r="A3688" s="35">
        <v>1092761535</v>
      </c>
      <c r="B3688" s="35" t="s">
        <v>4070</v>
      </c>
      <c r="C3688" s="35">
        <v>2022</v>
      </c>
      <c r="D3688" s="36">
        <v>44861.673171296286</v>
      </c>
      <c r="E3688" s="35" t="s">
        <v>35</v>
      </c>
      <c r="F3688" s="43" t="s">
        <v>4781</v>
      </c>
      <c r="G3688" s="43" t="s">
        <v>3619</v>
      </c>
      <c r="H3688" s="35" t="s">
        <v>3415</v>
      </c>
      <c r="I3688" s="35" t="s">
        <v>3453</v>
      </c>
      <c r="J3688" s="38">
        <v>1.054313725490196</v>
      </c>
      <c r="K3688" s="35">
        <v>4</v>
      </c>
      <c r="L3688" s="38">
        <f t="shared" si="57"/>
        <v>4.2172549019607839</v>
      </c>
      <c r="M3688" s="35" t="s">
        <v>11</v>
      </c>
      <c r="N3688" s="38"/>
      <c r="O3688" s="35" t="s">
        <v>12</v>
      </c>
    </row>
    <row r="3689" spans="1:15" x14ac:dyDescent="0.25">
      <c r="A3689" s="35">
        <v>1092761535</v>
      </c>
      <c r="B3689" s="35" t="s">
        <v>4070</v>
      </c>
      <c r="C3689" s="35">
        <v>2022</v>
      </c>
      <c r="D3689" s="36">
        <v>44861.673171296286</v>
      </c>
      <c r="E3689" s="35" t="s">
        <v>35</v>
      </c>
      <c r="F3689" s="43" t="s">
        <v>4796</v>
      </c>
      <c r="G3689" s="43" t="s">
        <v>3619</v>
      </c>
      <c r="H3689" s="35" t="s">
        <v>3415</v>
      </c>
      <c r="I3689" s="35" t="s">
        <v>3453</v>
      </c>
      <c r="J3689" s="38">
        <v>1.387254901960784</v>
      </c>
      <c r="K3689" s="35">
        <v>4</v>
      </c>
      <c r="L3689" s="38">
        <f t="shared" si="57"/>
        <v>5.5490196078431362</v>
      </c>
      <c r="M3689" s="35" t="s">
        <v>11</v>
      </c>
      <c r="N3689" s="38"/>
      <c r="O3689" s="35" t="s">
        <v>12</v>
      </c>
    </row>
    <row r="3690" spans="1:15" x14ac:dyDescent="0.25">
      <c r="A3690" s="35">
        <v>1092761535</v>
      </c>
      <c r="B3690" s="35" t="s">
        <v>4070</v>
      </c>
      <c r="C3690" s="35">
        <v>2022</v>
      </c>
      <c r="D3690" s="36">
        <v>44861.673171296286</v>
      </c>
      <c r="E3690" s="35" t="s">
        <v>35</v>
      </c>
      <c r="F3690" s="43" t="s">
        <v>4797</v>
      </c>
      <c r="G3690" s="43" t="s">
        <v>3619</v>
      </c>
      <c r="H3690" s="35" t="s">
        <v>3415</v>
      </c>
      <c r="I3690" s="35" t="s">
        <v>3453</v>
      </c>
      <c r="J3690" s="38">
        <v>1.942156862745098</v>
      </c>
      <c r="K3690" s="35">
        <v>4</v>
      </c>
      <c r="L3690" s="38">
        <f t="shared" si="57"/>
        <v>7.7686274509803921</v>
      </c>
      <c r="M3690" s="35" t="s">
        <v>11</v>
      </c>
      <c r="N3690" s="38"/>
      <c r="O3690" s="35" t="s">
        <v>12</v>
      </c>
    </row>
    <row r="3691" spans="1:15" x14ac:dyDescent="0.25">
      <c r="A3691" s="35">
        <v>1092761535</v>
      </c>
      <c r="B3691" s="35" t="s">
        <v>4070</v>
      </c>
      <c r="C3691" s="35">
        <v>2022</v>
      </c>
      <c r="D3691" s="36">
        <v>44861.673171296286</v>
      </c>
      <c r="E3691" s="35" t="s">
        <v>35</v>
      </c>
      <c r="F3691" s="43" t="s">
        <v>4792</v>
      </c>
      <c r="G3691" s="43" t="s">
        <v>3619</v>
      </c>
      <c r="H3691" s="35" t="s">
        <v>3415</v>
      </c>
      <c r="I3691" s="35" t="s">
        <v>3453</v>
      </c>
      <c r="J3691" s="38">
        <v>1.4982352941176471</v>
      </c>
      <c r="K3691" s="35">
        <v>4</v>
      </c>
      <c r="L3691" s="38">
        <f t="shared" si="57"/>
        <v>5.9929411764705884</v>
      </c>
      <c r="M3691" s="35" t="s">
        <v>11</v>
      </c>
      <c r="N3691" s="38"/>
      <c r="O3691" s="35" t="s">
        <v>12</v>
      </c>
    </row>
    <row r="3692" spans="1:15" x14ac:dyDescent="0.25">
      <c r="A3692" s="35">
        <v>1092761535</v>
      </c>
      <c r="B3692" s="35" t="s">
        <v>4070</v>
      </c>
      <c r="C3692" s="35">
        <v>2022</v>
      </c>
      <c r="D3692" s="36">
        <v>44861.673171296286</v>
      </c>
      <c r="E3692" s="35" t="s">
        <v>35</v>
      </c>
      <c r="F3692" s="43" t="s">
        <v>4793</v>
      </c>
      <c r="G3692" s="43" t="s">
        <v>3619</v>
      </c>
      <c r="H3692" s="35" t="s">
        <v>3415</v>
      </c>
      <c r="I3692" s="35" t="s">
        <v>3453</v>
      </c>
      <c r="J3692" s="38">
        <v>1.054313725490196</v>
      </c>
      <c r="K3692" s="35">
        <v>4</v>
      </c>
      <c r="L3692" s="38">
        <f t="shared" si="57"/>
        <v>4.2172549019607839</v>
      </c>
      <c r="M3692" s="35" t="s">
        <v>11</v>
      </c>
      <c r="N3692" s="38"/>
      <c r="O3692" s="35" t="s">
        <v>12</v>
      </c>
    </row>
    <row r="3693" spans="1:15" x14ac:dyDescent="0.25">
      <c r="A3693" s="35">
        <v>1092761535</v>
      </c>
      <c r="B3693" s="35" t="s">
        <v>4070</v>
      </c>
      <c r="C3693" s="35">
        <v>2022</v>
      </c>
      <c r="D3693" s="36">
        <v>44861.673171296286</v>
      </c>
      <c r="E3693" s="35" t="s">
        <v>35</v>
      </c>
      <c r="F3693" s="43" t="s">
        <v>4800</v>
      </c>
      <c r="G3693" s="43" t="s">
        <v>3619</v>
      </c>
      <c r="H3693" s="35" t="s">
        <v>3415</v>
      </c>
      <c r="I3693" s="35" t="s">
        <v>3453</v>
      </c>
      <c r="J3693" s="38">
        <v>1.331764705882353</v>
      </c>
      <c r="K3693" s="35">
        <v>4</v>
      </c>
      <c r="L3693" s="38">
        <f t="shared" si="57"/>
        <v>5.3270588235294118</v>
      </c>
      <c r="M3693" s="35" t="s">
        <v>11</v>
      </c>
      <c r="N3693" s="38"/>
      <c r="O3693" s="35" t="s">
        <v>12</v>
      </c>
    </row>
    <row r="3694" spans="1:15" x14ac:dyDescent="0.25">
      <c r="A3694" s="35">
        <v>1092761535</v>
      </c>
      <c r="B3694" s="35" t="s">
        <v>4070</v>
      </c>
      <c r="C3694" s="35">
        <v>2022</v>
      </c>
      <c r="D3694" s="36">
        <v>44861.673171296286</v>
      </c>
      <c r="E3694" s="35" t="s">
        <v>35</v>
      </c>
      <c r="F3694" s="43" t="s">
        <v>4801</v>
      </c>
      <c r="G3694" s="43" t="s">
        <v>3619</v>
      </c>
      <c r="H3694" s="35" t="s">
        <v>3415</v>
      </c>
      <c r="I3694" s="35" t="s">
        <v>3453</v>
      </c>
      <c r="J3694" s="38">
        <v>0.99882352941176478</v>
      </c>
      <c r="K3694" s="35">
        <v>4</v>
      </c>
      <c r="L3694" s="38">
        <f t="shared" si="57"/>
        <v>3.9952941176470591</v>
      </c>
      <c r="M3694" s="35" t="s">
        <v>11</v>
      </c>
      <c r="N3694" s="38"/>
      <c r="O3694" s="35" t="s">
        <v>12</v>
      </c>
    </row>
    <row r="3695" spans="1:15" x14ac:dyDescent="0.25">
      <c r="A3695" s="35">
        <v>1092761535</v>
      </c>
      <c r="B3695" s="35" t="s">
        <v>4070</v>
      </c>
      <c r="C3695" s="35">
        <v>2022</v>
      </c>
      <c r="D3695" s="36">
        <v>44861.673171296286</v>
      </c>
      <c r="E3695" s="35" t="s">
        <v>35</v>
      </c>
      <c r="F3695" s="43" t="s">
        <v>4808</v>
      </c>
      <c r="G3695" s="43" t="s">
        <v>3619</v>
      </c>
      <c r="H3695" s="35" t="s">
        <v>3415</v>
      </c>
      <c r="I3695" s="35" t="s">
        <v>3453</v>
      </c>
      <c r="J3695" s="38">
        <v>1.942156862745098</v>
      </c>
      <c r="K3695" s="35">
        <v>4</v>
      </c>
      <c r="L3695" s="38">
        <f t="shared" si="57"/>
        <v>7.7686274509803921</v>
      </c>
      <c r="M3695" s="35" t="s">
        <v>11</v>
      </c>
      <c r="N3695" s="38"/>
      <c r="O3695" s="35" t="s">
        <v>12</v>
      </c>
    </row>
    <row r="3696" spans="1:15" x14ac:dyDescent="0.25">
      <c r="A3696" s="35">
        <v>1092761535</v>
      </c>
      <c r="B3696" s="35" t="s">
        <v>4070</v>
      </c>
      <c r="C3696" s="35">
        <v>2022</v>
      </c>
      <c r="D3696" s="36">
        <v>44861.673171296286</v>
      </c>
      <c r="E3696" s="35" t="s">
        <v>35</v>
      </c>
      <c r="F3696" s="43" t="s">
        <v>4807</v>
      </c>
      <c r="G3696" s="43" t="s">
        <v>3619</v>
      </c>
      <c r="H3696" s="35" t="s">
        <v>3415</v>
      </c>
      <c r="I3696" s="35" t="s">
        <v>3453</v>
      </c>
      <c r="J3696" s="38">
        <v>1.942156862745098</v>
      </c>
      <c r="K3696" s="35">
        <v>4</v>
      </c>
      <c r="L3696" s="38">
        <f t="shared" si="57"/>
        <v>7.7686274509803921</v>
      </c>
      <c r="M3696" s="35" t="s">
        <v>11</v>
      </c>
      <c r="N3696" s="38"/>
      <c r="O3696" s="35" t="s">
        <v>12</v>
      </c>
    </row>
    <row r="3697" spans="1:15" x14ac:dyDescent="0.25">
      <c r="A3697" s="35">
        <v>1092677225</v>
      </c>
      <c r="B3697" s="35" t="s">
        <v>4070</v>
      </c>
      <c r="C3697" s="35">
        <v>2022</v>
      </c>
      <c r="D3697" s="36">
        <v>44860.799166666657</v>
      </c>
      <c r="E3697" s="35" t="s">
        <v>318</v>
      </c>
      <c r="F3697" s="43" t="s">
        <v>6310</v>
      </c>
      <c r="G3697" s="43" t="s">
        <v>3905</v>
      </c>
      <c r="H3697" s="35" t="s">
        <v>3419</v>
      </c>
      <c r="I3697" s="35" t="s">
        <v>3530</v>
      </c>
      <c r="J3697" s="38">
        <v>0.33112766326000342</v>
      </c>
      <c r="K3697" s="35">
        <v>2</v>
      </c>
      <c r="L3697" s="38">
        <f t="shared" si="57"/>
        <v>0.66225532652000685</v>
      </c>
      <c r="M3697" s="35" t="s">
        <v>11</v>
      </c>
      <c r="N3697" s="38"/>
      <c r="O3697" s="35" t="s">
        <v>12</v>
      </c>
    </row>
    <row r="3698" spans="1:15" x14ac:dyDescent="0.25">
      <c r="A3698" s="35">
        <v>1092677225</v>
      </c>
      <c r="B3698" s="35" t="s">
        <v>4070</v>
      </c>
      <c r="C3698" s="35">
        <v>2022</v>
      </c>
      <c r="D3698" s="36">
        <v>44860.799166666657</v>
      </c>
      <c r="E3698" s="35" t="s">
        <v>318</v>
      </c>
      <c r="F3698" s="43" t="s">
        <v>6335</v>
      </c>
      <c r="G3698" s="43" t="s">
        <v>3776</v>
      </c>
      <c r="H3698" s="35" t="s">
        <v>3419</v>
      </c>
      <c r="I3698" s="35" t="s">
        <v>3530</v>
      </c>
      <c r="J3698" s="38">
        <v>2.196480166291356</v>
      </c>
      <c r="K3698" s="35">
        <v>1</v>
      </c>
      <c r="L3698" s="38">
        <f t="shared" si="57"/>
        <v>2.196480166291356</v>
      </c>
      <c r="M3698" s="35" t="s">
        <v>11</v>
      </c>
      <c r="N3698" s="38"/>
      <c r="O3698" s="35" t="s">
        <v>12</v>
      </c>
    </row>
    <row r="3699" spans="1:15" x14ac:dyDescent="0.25">
      <c r="A3699" s="35">
        <v>1092677225</v>
      </c>
      <c r="B3699" s="35" t="s">
        <v>4070</v>
      </c>
      <c r="C3699" s="35">
        <v>2022</v>
      </c>
      <c r="D3699" s="36">
        <v>44860.799166666657</v>
      </c>
      <c r="E3699" s="35" t="s">
        <v>318</v>
      </c>
      <c r="F3699" s="43" t="s">
        <v>6336</v>
      </c>
      <c r="G3699" s="43" t="s">
        <v>3700</v>
      </c>
      <c r="H3699" s="35" t="s">
        <v>3415</v>
      </c>
      <c r="I3699" s="35" t="s">
        <v>3530</v>
      </c>
      <c r="J3699" s="38">
        <v>1.0927212887580109</v>
      </c>
      <c r="K3699" s="35">
        <v>4</v>
      </c>
      <c r="L3699" s="38">
        <f t="shared" si="57"/>
        <v>4.3708851550320436</v>
      </c>
      <c r="M3699" s="35" t="s">
        <v>11</v>
      </c>
      <c r="N3699" s="38"/>
      <c r="O3699" s="35" t="s">
        <v>12</v>
      </c>
    </row>
    <row r="3700" spans="1:15" x14ac:dyDescent="0.25">
      <c r="A3700" s="35">
        <v>1092677225</v>
      </c>
      <c r="B3700" s="35" t="s">
        <v>4070</v>
      </c>
      <c r="C3700" s="35">
        <v>2022</v>
      </c>
      <c r="D3700" s="36">
        <v>44860.799166666657</v>
      </c>
      <c r="E3700" s="35" t="s">
        <v>318</v>
      </c>
      <c r="F3700" s="43" t="s">
        <v>6337</v>
      </c>
      <c r="G3700" s="43" t="s">
        <v>4105</v>
      </c>
      <c r="H3700" s="35" t="s">
        <v>3415</v>
      </c>
      <c r="I3700" s="35" t="s">
        <v>3530</v>
      </c>
      <c r="J3700" s="38">
        <v>0.82781915815000862</v>
      </c>
      <c r="K3700" s="35">
        <v>4</v>
      </c>
      <c r="L3700" s="38">
        <f t="shared" si="57"/>
        <v>3.3112766326000345</v>
      </c>
      <c r="M3700" s="35" t="s">
        <v>11</v>
      </c>
      <c r="N3700" s="38"/>
      <c r="O3700" s="35" t="s">
        <v>12</v>
      </c>
    </row>
    <row r="3701" spans="1:15" x14ac:dyDescent="0.25">
      <c r="A3701" s="35">
        <v>1092677225</v>
      </c>
      <c r="B3701" s="35" t="s">
        <v>4070</v>
      </c>
      <c r="C3701" s="35">
        <v>2022</v>
      </c>
      <c r="D3701" s="36">
        <v>44860.799166666657</v>
      </c>
      <c r="E3701" s="35" t="s">
        <v>318</v>
      </c>
      <c r="F3701" s="43" t="s">
        <v>6338</v>
      </c>
      <c r="G3701" s="43" t="s">
        <v>4309</v>
      </c>
      <c r="H3701" s="35" t="s">
        <v>3415</v>
      </c>
      <c r="I3701" s="35" t="s">
        <v>3416</v>
      </c>
      <c r="J3701" s="38">
        <v>2.196480166291356</v>
      </c>
      <c r="K3701" s="35">
        <v>4</v>
      </c>
      <c r="L3701" s="38">
        <f t="shared" si="57"/>
        <v>8.785920665165424</v>
      </c>
      <c r="M3701" s="35" t="s">
        <v>11</v>
      </c>
      <c r="N3701" s="38"/>
      <c r="O3701" s="35" t="s">
        <v>12</v>
      </c>
    </row>
    <row r="3702" spans="1:15" x14ac:dyDescent="0.25">
      <c r="A3702" s="35">
        <v>1092677225</v>
      </c>
      <c r="B3702" s="35" t="s">
        <v>4070</v>
      </c>
      <c r="C3702" s="35">
        <v>2022</v>
      </c>
      <c r="D3702" s="36">
        <v>44860.799166666657</v>
      </c>
      <c r="E3702" s="35" t="s">
        <v>318</v>
      </c>
      <c r="F3702" s="43" t="s">
        <v>6339</v>
      </c>
      <c r="G3702" s="43" t="s">
        <v>3905</v>
      </c>
      <c r="H3702" s="35" t="s">
        <v>3415</v>
      </c>
      <c r="I3702" s="35" t="s">
        <v>3416</v>
      </c>
      <c r="J3702" s="38">
        <v>0.20971418673133549</v>
      </c>
      <c r="K3702" s="35">
        <v>4</v>
      </c>
      <c r="L3702" s="38">
        <f t="shared" si="57"/>
        <v>0.83885674692534196</v>
      </c>
      <c r="M3702" s="35" t="s">
        <v>11</v>
      </c>
      <c r="N3702" s="38"/>
      <c r="O3702" s="35" t="s">
        <v>12</v>
      </c>
    </row>
    <row r="3703" spans="1:15" x14ac:dyDescent="0.25">
      <c r="A3703" s="35">
        <v>1092677225</v>
      </c>
      <c r="B3703" s="35" t="s">
        <v>4070</v>
      </c>
      <c r="C3703" s="35">
        <v>2022</v>
      </c>
      <c r="D3703" s="36">
        <v>44860.799166666657</v>
      </c>
      <c r="E3703" s="35" t="s">
        <v>318</v>
      </c>
      <c r="F3703" s="43" t="s">
        <v>6340</v>
      </c>
      <c r="G3703" s="43" t="s">
        <v>3551</v>
      </c>
      <c r="H3703" s="35" t="s">
        <v>3415</v>
      </c>
      <c r="I3703" s="35" t="s">
        <v>3416</v>
      </c>
      <c r="J3703" s="38">
        <v>9.9338298978001033E-2</v>
      </c>
      <c r="K3703" s="35">
        <v>4</v>
      </c>
      <c r="L3703" s="38">
        <f t="shared" si="57"/>
        <v>0.39735319591200413</v>
      </c>
      <c r="M3703" s="35" t="s">
        <v>11</v>
      </c>
      <c r="N3703" s="38"/>
      <c r="O3703" s="35" t="s">
        <v>12</v>
      </c>
    </row>
    <row r="3704" spans="1:15" x14ac:dyDescent="0.25">
      <c r="A3704" s="35">
        <v>1092677225</v>
      </c>
      <c r="B3704" s="35" t="s">
        <v>4070</v>
      </c>
      <c r="C3704" s="35">
        <v>2022</v>
      </c>
      <c r="D3704" s="36">
        <v>44860.799166666657</v>
      </c>
      <c r="E3704" s="35" t="s">
        <v>318</v>
      </c>
      <c r="F3704" s="43" t="s">
        <v>6341</v>
      </c>
      <c r="G3704" s="43" t="s">
        <v>3551</v>
      </c>
      <c r="H3704" s="35" t="s">
        <v>3419</v>
      </c>
      <c r="I3704" s="35" t="s">
        <v>3416</v>
      </c>
      <c r="J3704" s="38">
        <v>6.6115156764247356</v>
      </c>
      <c r="K3704" s="35">
        <v>1</v>
      </c>
      <c r="L3704" s="38">
        <f t="shared" si="57"/>
        <v>6.6115156764247356</v>
      </c>
      <c r="M3704" s="35" t="s">
        <v>11</v>
      </c>
      <c r="N3704" s="38"/>
      <c r="O3704" s="35" t="s">
        <v>12</v>
      </c>
    </row>
    <row r="3705" spans="1:15" x14ac:dyDescent="0.25">
      <c r="A3705" s="35">
        <v>1092677225</v>
      </c>
      <c r="B3705" s="35" t="s">
        <v>4070</v>
      </c>
      <c r="C3705" s="35">
        <v>2022</v>
      </c>
      <c r="D3705" s="36">
        <v>44860.799166666657</v>
      </c>
      <c r="E3705" s="35" t="s">
        <v>318</v>
      </c>
      <c r="F3705" s="43" t="s">
        <v>6342</v>
      </c>
      <c r="G3705" s="43" t="s">
        <v>6343</v>
      </c>
      <c r="H3705" s="35" t="s">
        <v>3419</v>
      </c>
      <c r="I3705" s="35" t="s">
        <v>3416</v>
      </c>
      <c r="J3705" s="38">
        <v>2.196480166291356</v>
      </c>
      <c r="K3705" s="35">
        <v>1</v>
      </c>
      <c r="L3705" s="38">
        <f t="shared" si="57"/>
        <v>2.196480166291356</v>
      </c>
      <c r="M3705" s="35" t="s">
        <v>11</v>
      </c>
      <c r="N3705" s="38"/>
      <c r="O3705" s="35" t="s">
        <v>12</v>
      </c>
    </row>
    <row r="3706" spans="1:15" x14ac:dyDescent="0.25">
      <c r="A3706" s="35">
        <v>1092677225</v>
      </c>
      <c r="B3706" s="35" t="s">
        <v>4070</v>
      </c>
      <c r="C3706" s="35">
        <v>2022</v>
      </c>
      <c r="D3706" s="36">
        <v>44860.799166666657</v>
      </c>
      <c r="E3706" s="35" t="s">
        <v>318</v>
      </c>
      <c r="F3706" s="43" t="s">
        <v>6344</v>
      </c>
      <c r="G3706" s="43" t="s">
        <v>6343</v>
      </c>
      <c r="H3706" s="35" t="s">
        <v>3419</v>
      </c>
      <c r="I3706" s="35" t="s">
        <v>3416</v>
      </c>
      <c r="J3706" s="38">
        <v>2.196480166291356</v>
      </c>
      <c r="K3706" s="35">
        <v>1</v>
      </c>
      <c r="L3706" s="38">
        <f t="shared" si="57"/>
        <v>2.196480166291356</v>
      </c>
      <c r="M3706" s="35" t="s">
        <v>11</v>
      </c>
      <c r="N3706" s="38"/>
      <c r="O3706" s="35" t="s">
        <v>12</v>
      </c>
    </row>
    <row r="3707" spans="1:15" x14ac:dyDescent="0.25">
      <c r="A3707" s="35">
        <v>1092677225</v>
      </c>
      <c r="B3707" s="35" t="s">
        <v>4070</v>
      </c>
      <c r="C3707" s="35">
        <v>2022</v>
      </c>
      <c r="D3707" s="36">
        <v>44860.799166666657</v>
      </c>
      <c r="E3707" s="35" t="s">
        <v>318</v>
      </c>
      <c r="F3707" s="43" t="s">
        <v>6345</v>
      </c>
      <c r="G3707" s="43" t="s">
        <v>3772</v>
      </c>
      <c r="H3707" s="35" t="s">
        <v>3419</v>
      </c>
      <c r="I3707" s="35" t="s">
        <v>3416</v>
      </c>
      <c r="J3707" s="38">
        <v>1.3686610081413479</v>
      </c>
      <c r="K3707" s="35">
        <v>3</v>
      </c>
      <c r="L3707" s="38">
        <f t="shared" si="57"/>
        <v>4.1059830244240434</v>
      </c>
      <c r="M3707" s="35" t="s">
        <v>11</v>
      </c>
      <c r="N3707" s="38"/>
      <c r="O3707" s="35" t="s">
        <v>12</v>
      </c>
    </row>
    <row r="3708" spans="1:15" x14ac:dyDescent="0.25">
      <c r="A3708" s="35">
        <v>1092677225</v>
      </c>
      <c r="B3708" s="35" t="s">
        <v>4070</v>
      </c>
      <c r="C3708" s="35">
        <v>2022</v>
      </c>
      <c r="D3708" s="36">
        <v>44860.799166666657</v>
      </c>
      <c r="E3708" s="35" t="s">
        <v>318</v>
      </c>
      <c r="F3708" s="43" t="s">
        <v>4614</v>
      </c>
      <c r="G3708" s="43" t="s">
        <v>3551</v>
      </c>
      <c r="H3708" s="35" t="s">
        <v>3419</v>
      </c>
      <c r="I3708" s="35" t="s">
        <v>3416</v>
      </c>
      <c r="J3708" s="38">
        <v>2.7483596050580288</v>
      </c>
      <c r="K3708" s="35">
        <v>3</v>
      </c>
      <c r="L3708" s="38">
        <f t="shared" si="57"/>
        <v>8.2450788151740859</v>
      </c>
      <c r="M3708" s="35" t="s">
        <v>11</v>
      </c>
      <c r="N3708" s="38"/>
      <c r="O3708" s="35" t="s">
        <v>12</v>
      </c>
    </row>
    <row r="3709" spans="1:15" x14ac:dyDescent="0.25">
      <c r="A3709" s="35">
        <v>1092677225</v>
      </c>
      <c r="B3709" s="35" t="s">
        <v>4070</v>
      </c>
      <c r="C3709" s="35">
        <v>2022</v>
      </c>
      <c r="D3709" s="36">
        <v>44860.799166666657</v>
      </c>
      <c r="E3709" s="35" t="s">
        <v>318</v>
      </c>
      <c r="F3709" s="43" t="s">
        <v>4961</v>
      </c>
      <c r="G3709" s="43" t="s">
        <v>3551</v>
      </c>
      <c r="H3709" s="35" t="s">
        <v>3415</v>
      </c>
      <c r="I3709" s="35" t="s">
        <v>3416</v>
      </c>
      <c r="J3709" s="38">
        <v>1.6446007275246839</v>
      </c>
      <c r="K3709" s="35">
        <v>4</v>
      </c>
      <c r="L3709" s="38">
        <f t="shared" si="57"/>
        <v>6.5784029100987356</v>
      </c>
      <c r="M3709" s="35" t="s">
        <v>11</v>
      </c>
      <c r="N3709" s="38"/>
      <c r="O3709" s="35" t="s">
        <v>12</v>
      </c>
    </row>
    <row r="3710" spans="1:15" x14ac:dyDescent="0.25">
      <c r="A3710" s="35">
        <v>1092677225</v>
      </c>
      <c r="B3710" s="35" t="s">
        <v>4070</v>
      </c>
      <c r="C3710" s="35">
        <v>2022</v>
      </c>
      <c r="D3710" s="36">
        <v>44860.799166666657</v>
      </c>
      <c r="E3710" s="35" t="s">
        <v>318</v>
      </c>
      <c r="F3710" s="43" t="s">
        <v>5078</v>
      </c>
      <c r="G3710" s="43" t="s">
        <v>4103</v>
      </c>
      <c r="H3710" s="35" t="s">
        <v>3419</v>
      </c>
      <c r="I3710" s="35" t="s">
        <v>3416</v>
      </c>
      <c r="J3710" s="38">
        <v>6.6115156764247356</v>
      </c>
      <c r="K3710" s="35">
        <v>2</v>
      </c>
      <c r="L3710" s="38">
        <f t="shared" si="57"/>
        <v>13.223031352849471</v>
      </c>
      <c r="M3710" s="35" t="s">
        <v>11</v>
      </c>
      <c r="N3710" s="38"/>
      <c r="O3710" s="35" t="s">
        <v>12</v>
      </c>
    </row>
    <row r="3711" spans="1:15" x14ac:dyDescent="0.25">
      <c r="A3711" s="35">
        <v>1092676783</v>
      </c>
      <c r="B3711" s="35" t="s">
        <v>4070</v>
      </c>
      <c r="C3711" s="35">
        <v>2022</v>
      </c>
      <c r="D3711" s="36">
        <v>44860.799166666657</v>
      </c>
      <c r="E3711" s="35" t="s">
        <v>1766</v>
      </c>
      <c r="F3711" s="43" t="s">
        <v>6346</v>
      </c>
      <c r="G3711" s="43" t="s">
        <v>4636</v>
      </c>
      <c r="H3711" s="35" t="s">
        <v>3419</v>
      </c>
      <c r="I3711" s="35" t="s">
        <v>3416</v>
      </c>
      <c r="J3711" s="38">
        <v>17.12087912087912</v>
      </c>
      <c r="K3711" s="35">
        <v>1</v>
      </c>
      <c r="L3711" s="38">
        <f t="shared" si="57"/>
        <v>17.12087912087912</v>
      </c>
      <c r="M3711" s="35" t="s">
        <v>11</v>
      </c>
      <c r="N3711" s="38"/>
      <c r="O3711" s="35" t="s">
        <v>12</v>
      </c>
    </row>
    <row r="3712" spans="1:15" x14ac:dyDescent="0.25">
      <c r="A3712" s="35">
        <v>1092676783</v>
      </c>
      <c r="B3712" s="35" t="s">
        <v>4070</v>
      </c>
      <c r="C3712" s="35">
        <v>2022</v>
      </c>
      <c r="D3712" s="36">
        <v>44860.799166666657</v>
      </c>
      <c r="E3712" s="35" t="s">
        <v>1766</v>
      </c>
      <c r="F3712" s="43" t="s">
        <v>6347</v>
      </c>
      <c r="G3712" s="43" t="s">
        <v>3619</v>
      </c>
      <c r="H3712" s="35" t="s">
        <v>3419</v>
      </c>
      <c r="I3712" s="35" t="s">
        <v>3530</v>
      </c>
      <c r="J3712" s="38">
        <v>1.1413919413919409</v>
      </c>
      <c r="K3712" s="35">
        <v>1</v>
      </c>
      <c r="L3712" s="38">
        <f t="shared" si="57"/>
        <v>1.1413919413919409</v>
      </c>
      <c r="M3712" s="35" t="s">
        <v>11</v>
      </c>
      <c r="N3712" s="38"/>
      <c r="O3712" s="35" t="s">
        <v>12</v>
      </c>
    </row>
    <row r="3713" spans="1:15" x14ac:dyDescent="0.25">
      <c r="A3713" s="35">
        <v>1092676783</v>
      </c>
      <c r="B3713" s="35" t="s">
        <v>4070</v>
      </c>
      <c r="C3713" s="35">
        <v>2022</v>
      </c>
      <c r="D3713" s="36">
        <v>44860.799166666657</v>
      </c>
      <c r="E3713" s="35" t="s">
        <v>1766</v>
      </c>
      <c r="F3713" s="43" t="s">
        <v>6348</v>
      </c>
      <c r="G3713" s="43" t="s">
        <v>3710</v>
      </c>
      <c r="H3713" s="35" t="s">
        <v>3419</v>
      </c>
      <c r="I3713" s="35" t="s">
        <v>3530</v>
      </c>
      <c r="J3713" s="38">
        <v>2.2827838827838831</v>
      </c>
      <c r="K3713" s="35">
        <v>1</v>
      </c>
      <c r="L3713" s="38">
        <f t="shared" si="57"/>
        <v>2.2827838827838831</v>
      </c>
      <c r="M3713" s="35" t="s">
        <v>11</v>
      </c>
      <c r="N3713" s="38"/>
      <c r="O3713" s="35" t="s">
        <v>12</v>
      </c>
    </row>
    <row r="3714" spans="1:15" x14ac:dyDescent="0.25">
      <c r="A3714" s="35">
        <v>1092676783</v>
      </c>
      <c r="B3714" s="35" t="s">
        <v>4070</v>
      </c>
      <c r="C3714" s="35">
        <v>2022</v>
      </c>
      <c r="D3714" s="36">
        <v>44860.799166666657</v>
      </c>
      <c r="E3714" s="35" t="s">
        <v>1766</v>
      </c>
      <c r="F3714" s="43" t="s">
        <v>6349</v>
      </c>
      <c r="G3714" s="43" t="s">
        <v>4860</v>
      </c>
      <c r="H3714" s="35" t="s">
        <v>3419</v>
      </c>
      <c r="I3714" s="35" t="s">
        <v>3530</v>
      </c>
      <c r="J3714" s="38">
        <v>0.57069597069597067</v>
      </c>
      <c r="K3714" s="35">
        <v>3</v>
      </c>
      <c r="L3714" s="38">
        <f t="shared" ref="L3714:L3777" si="58">J3714*K3714</f>
        <v>1.712087912087912</v>
      </c>
      <c r="M3714" s="35" t="s">
        <v>11</v>
      </c>
      <c r="N3714" s="38"/>
      <c r="O3714" s="35" t="s">
        <v>12</v>
      </c>
    </row>
    <row r="3715" spans="1:15" x14ac:dyDescent="0.25">
      <c r="A3715" s="35">
        <v>1092676783</v>
      </c>
      <c r="B3715" s="35" t="s">
        <v>4070</v>
      </c>
      <c r="C3715" s="35">
        <v>2022</v>
      </c>
      <c r="D3715" s="36">
        <v>44860.799166666657</v>
      </c>
      <c r="E3715" s="35" t="s">
        <v>1766</v>
      </c>
      <c r="F3715" s="43" t="s">
        <v>5077</v>
      </c>
      <c r="G3715" s="43" t="s">
        <v>3658</v>
      </c>
      <c r="H3715" s="35" t="s">
        <v>3419</v>
      </c>
      <c r="I3715" s="35" t="s">
        <v>3530</v>
      </c>
      <c r="J3715" s="38">
        <v>9.7018315018315011</v>
      </c>
      <c r="K3715" s="35">
        <v>2</v>
      </c>
      <c r="L3715" s="38">
        <f t="shared" si="58"/>
        <v>19.403663003663002</v>
      </c>
      <c r="M3715" s="35" t="s">
        <v>11</v>
      </c>
      <c r="N3715" s="38"/>
      <c r="O3715" s="35" t="s">
        <v>12</v>
      </c>
    </row>
    <row r="3716" spans="1:15" x14ac:dyDescent="0.25">
      <c r="A3716" s="35">
        <v>1092676783</v>
      </c>
      <c r="B3716" s="35" t="s">
        <v>4070</v>
      </c>
      <c r="C3716" s="35">
        <v>2022</v>
      </c>
      <c r="D3716" s="36">
        <v>44860.799166666657</v>
      </c>
      <c r="E3716" s="35" t="s">
        <v>1766</v>
      </c>
      <c r="F3716" s="43" t="s">
        <v>6350</v>
      </c>
      <c r="G3716" s="43" t="s">
        <v>3551</v>
      </c>
      <c r="H3716" s="35" t="s">
        <v>3419</v>
      </c>
      <c r="I3716" s="35" t="s">
        <v>3453</v>
      </c>
      <c r="J3716" s="38">
        <v>75.331868131868134</v>
      </c>
      <c r="K3716" s="35">
        <v>1</v>
      </c>
      <c r="L3716" s="38">
        <f t="shared" si="58"/>
        <v>75.331868131868134</v>
      </c>
      <c r="M3716" s="35" t="s">
        <v>11</v>
      </c>
      <c r="N3716" s="38"/>
      <c r="O3716" s="35" t="s">
        <v>12</v>
      </c>
    </row>
    <row r="3717" spans="1:15" x14ac:dyDescent="0.25">
      <c r="A3717" s="35">
        <v>1092676783</v>
      </c>
      <c r="B3717" s="35" t="s">
        <v>4070</v>
      </c>
      <c r="C3717" s="35">
        <v>2022</v>
      </c>
      <c r="D3717" s="36">
        <v>44860.799166666657</v>
      </c>
      <c r="E3717" s="35" t="s">
        <v>1766</v>
      </c>
      <c r="F3717" s="43" t="s">
        <v>6351</v>
      </c>
      <c r="G3717" s="43" t="s">
        <v>3702</v>
      </c>
      <c r="H3717" s="35" t="s">
        <v>3419</v>
      </c>
      <c r="I3717" s="35" t="s">
        <v>3640</v>
      </c>
      <c r="J3717" s="38">
        <v>38.807326007325997</v>
      </c>
      <c r="K3717" s="35">
        <v>1</v>
      </c>
      <c r="L3717" s="38">
        <f t="shared" si="58"/>
        <v>38.807326007325997</v>
      </c>
      <c r="M3717" s="35" t="s">
        <v>11</v>
      </c>
      <c r="N3717" s="38"/>
      <c r="O3717" s="35" t="s">
        <v>12</v>
      </c>
    </row>
    <row r="3718" spans="1:15" x14ac:dyDescent="0.25">
      <c r="A3718" s="35">
        <v>1092676783</v>
      </c>
      <c r="B3718" s="35" t="s">
        <v>4070</v>
      </c>
      <c r="C3718" s="35">
        <v>2022</v>
      </c>
      <c r="D3718" s="36">
        <v>44860.799166666657</v>
      </c>
      <c r="E3718" s="35" t="s">
        <v>1766</v>
      </c>
      <c r="F3718" s="43" t="s">
        <v>6352</v>
      </c>
      <c r="G3718" s="43" t="s">
        <v>3740</v>
      </c>
      <c r="H3718" s="35" t="s">
        <v>3419</v>
      </c>
      <c r="I3718" s="35" t="s">
        <v>3640</v>
      </c>
      <c r="J3718" s="38">
        <v>36.524542124542123</v>
      </c>
      <c r="K3718" s="35">
        <v>1</v>
      </c>
      <c r="L3718" s="38">
        <f t="shared" si="58"/>
        <v>36.524542124542123</v>
      </c>
      <c r="M3718" s="35" t="s">
        <v>11</v>
      </c>
      <c r="N3718" s="38"/>
      <c r="O3718" s="35" t="s">
        <v>12</v>
      </c>
    </row>
    <row r="3719" spans="1:15" x14ac:dyDescent="0.25">
      <c r="A3719" s="35">
        <v>1092676783</v>
      </c>
      <c r="B3719" s="35" t="s">
        <v>4070</v>
      </c>
      <c r="C3719" s="35">
        <v>2022</v>
      </c>
      <c r="D3719" s="36">
        <v>44860.799166666657</v>
      </c>
      <c r="E3719" s="35" t="s">
        <v>1766</v>
      </c>
      <c r="F3719" s="43" t="s">
        <v>6353</v>
      </c>
      <c r="G3719" s="43" t="s">
        <v>3810</v>
      </c>
      <c r="H3719" s="35" t="s">
        <v>3419</v>
      </c>
      <c r="I3719" s="35" t="s">
        <v>3416</v>
      </c>
      <c r="J3719" s="38">
        <v>8.8457875457875463</v>
      </c>
      <c r="K3719" s="35">
        <v>1</v>
      </c>
      <c r="L3719" s="38">
        <f t="shared" si="58"/>
        <v>8.8457875457875463</v>
      </c>
      <c r="M3719" s="35" t="s">
        <v>11</v>
      </c>
      <c r="N3719" s="38"/>
      <c r="O3719" s="35" t="s">
        <v>12</v>
      </c>
    </row>
    <row r="3720" spans="1:15" x14ac:dyDescent="0.25">
      <c r="A3720" s="35">
        <v>1092676783</v>
      </c>
      <c r="B3720" s="35" t="s">
        <v>4070</v>
      </c>
      <c r="C3720" s="35">
        <v>2022</v>
      </c>
      <c r="D3720" s="36">
        <v>44860.799166666657</v>
      </c>
      <c r="E3720" s="35" t="s">
        <v>1766</v>
      </c>
      <c r="F3720" s="43" t="s">
        <v>4618</v>
      </c>
      <c r="G3720" s="43" t="s">
        <v>6334</v>
      </c>
      <c r="H3720" s="35" t="s">
        <v>3419</v>
      </c>
      <c r="I3720" s="35" t="s">
        <v>3416</v>
      </c>
      <c r="J3720" s="38">
        <v>10.84322344322344</v>
      </c>
      <c r="K3720" s="35">
        <v>3</v>
      </c>
      <c r="L3720" s="38">
        <f t="shared" si="58"/>
        <v>32.529670329670324</v>
      </c>
      <c r="M3720" s="35" t="s">
        <v>11</v>
      </c>
      <c r="N3720" s="38"/>
      <c r="O3720" s="35" t="s">
        <v>12</v>
      </c>
    </row>
    <row r="3721" spans="1:15" x14ac:dyDescent="0.25">
      <c r="A3721" s="35">
        <v>1091618411</v>
      </c>
      <c r="B3721" s="35" t="s">
        <v>4070</v>
      </c>
      <c r="C3721" s="35">
        <v>2022</v>
      </c>
      <c r="D3721" s="36">
        <v>44850.65898148148</v>
      </c>
      <c r="E3721" s="35" t="s">
        <v>760</v>
      </c>
      <c r="F3721" s="43" t="s">
        <v>3861</v>
      </c>
      <c r="G3721" s="43" t="s">
        <v>3790</v>
      </c>
      <c r="H3721" s="35" t="s">
        <v>3419</v>
      </c>
      <c r="I3721" s="35" t="s">
        <v>3530</v>
      </c>
      <c r="J3721" s="38">
        <v>0.83083140877598149</v>
      </c>
      <c r="K3721" s="35">
        <v>1</v>
      </c>
      <c r="L3721" s="38">
        <f t="shared" si="58"/>
        <v>0.83083140877598149</v>
      </c>
      <c r="M3721" s="35" t="s">
        <v>11</v>
      </c>
      <c r="N3721" s="38"/>
      <c r="O3721" s="35" t="s">
        <v>12</v>
      </c>
    </row>
    <row r="3722" spans="1:15" x14ac:dyDescent="0.25">
      <c r="A3722" s="35">
        <v>1091618411</v>
      </c>
      <c r="B3722" s="35" t="s">
        <v>4070</v>
      </c>
      <c r="C3722" s="35">
        <v>2022</v>
      </c>
      <c r="D3722" s="36">
        <v>44850.65898148148</v>
      </c>
      <c r="E3722" s="35" t="s">
        <v>760</v>
      </c>
      <c r="F3722" s="43" t="s">
        <v>6354</v>
      </c>
      <c r="G3722" s="43" t="s">
        <v>6355</v>
      </c>
      <c r="H3722" s="35" t="s">
        <v>3419</v>
      </c>
      <c r="I3722" s="35" t="s">
        <v>3416</v>
      </c>
      <c r="J3722" s="38">
        <v>7.2226943802925323</v>
      </c>
      <c r="K3722" s="35">
        <v>2</v>
      </c>
      <c r="L3722" s="38">
        <f t="shared" si="58"/>
        <v>14.445388760585065</v>
      </c>
      <c r="M3722" s="35" t="s">
        <v>11</v>
      </c>
      <c r="N3722" s="38"/>
      <c r="O3722" s="35" t="s">
        <v>12</v>
      </c>
    </row>
    <row r="3723" spans="1:15" x14ac:dyDescent="0.25">
      <c r="A3723" s="35">
        <v>1091618411</v>
      </c>
      <c r="B3723" s="35" t="s">
        <v>4070</v>
      </c>
      <c r="C3723" s="35">
        <v>2022</v>
      </c>
      <c r="D3723" s="36">
        <v>44850.65898148148</v>
      </c>
      <c r="E3723" s="35" t="s">
        <v>760</v>
      </c>
      <c r="F3723" s="43" t="s">
        <v>3861</v>
      </c>
      <c r="G3723" s="43" t="s">
        <v>3790</v>
      </c>
      <c r="H3723" s="35" t="s">
        <v>3419</v>
      </c>
      <c r="I3723" s="35" t="s">
        <v>3530</v>
      </c>
      <c r="J3723" s="38">
        <v>0.81975365665896838</v>
      </c>
      <c r="K3723" s="35">
        <v>3</v>
      </c>
      <c r="L3723" s="38">
        <f t="shared" si="58"/>
        <v>2.459260969976905</v>
      </c>
      <c r="M3723" s="35" t="s">
        <v>11</v>
      </c>
      <c r="N3723" s="38"/>
      <c r="O3723" s="35" t="s">
        <v>12</v>
      </c>
    </row>
    <row r="3724" spans="1:15" x14ac:dyDescent="0.25">
      <c r="A3724" s="35">
        <v>1091618411</v>
      </c>
      <c r="B3724" s="35" t="s">
        <v>4070</v>
      </c>
      <c r="C3724" s="35">
        <v>2022</v>
      </c>
      <c r="D3724" s="36">
        <v>44850.65898148148</v>
      </c>
      <c r="E3724" s="35" t="s">
        <v>760</v>
      </c>
      <c r="F3724" s="43" t="s">
        <v>6356</v>
      </c>
      <c r="G3724" s="43" t="s">
        <v>3865</v>
      </c>
      <c r="H3724" s="35" t="s">
        <v>3415</v>
      </c>
      <c r="I3724" s="35" t="s">
        <v>3416</v>
      </c>
      <c r="J3724" s="38">
        <v>0.44311008468052349</v>
      </c>
      <c r="K3724" s="35">
        <v>4</v>
      </c>
      <c r="L3724" s="38">
        <f t="shared" si="58"/>
        <v>1.7724403387220939</v>
      </c>
      <c r="M3724" s="35" t="s">
        <v>11</v>
      </c>
      <c r="N3724" s="38"/>
      <c r="O3724" s="35" t="s">
        <v>12</v>
      </c>
    </row>
    <row r="3725" spans="1:15" x14ac:dyDescent="0.25">
      <c r="A3725" s="35">
        <v>1091618411</v>
      </c>
      <c r="B3725" s="35" t="s">
        <v>4070</v>
      </c>
      <c r="C3725" s="35">
        <v>2022</v>
      </c>
      <c r="D3725" s="36">
        <v>44850.65898148148</v>
      </c>
      <c r="E3725" s="35" t="s">
        <v>760</v>
      </c>
      <c r="F3725" s="43" t="s">
        <v>6357</v>
      </c>
      <c r="G3725" s="43" t="s">
        <v>4642</v>
      </c>
      <c r="H3725" s="35" t="s">
        <v>3415</v>
      </c>
      <c r="I3725" s="35" t="s">
        <v>3530</v>
      </c>
      <c r="J3725" s="38">
        <v>0.50957659738260197</v>
      </c>
      <c r="K3725" s="35">
        <v>4</v>
      </c>
      <c r="L3725" s="38">
        <f t="shared" si="58"/>
        <v>2.0383063895304079</v>
      </c>
      <c r="M3725" s="35" t="s">
        <v>11</v>
      </c>
      <c r="N3725" s="38"/>
      <c r="O3725" s="35" t="s">
        <v>12</v>
      </c>
    </row>
    <row r="3726" spans="1:15" x14ac:dyDescent="0.25">
      <c r="A3726" s="35">
        <v>1091618411</v>
      </c>
      <c r="B3726" s="35" t="s">
        <v>4070</v>
      </c>
      <c r="C3726" s="35">
        <v>2022</v>
      </c>
      <c r="D3726" s="36">
        <v>44850.65898148148</v>
      </c>
      <c r="E3726" s="35" t="s">
        <v>760</v>
      </c>
      <c r="F3726" s="43" t="s">
        <v>5133</v>
      </c>
      <c r="G3726" s="43" t="s">
        <v>3790</v>
      </c>
      <c r="H3726" s="35" t="s">
        <v>3415</v>
      </c>
      <c r="I3726" s="35" t="s">
        <v>3530</v>
      </c>
      <c r="J3726" s="38">
        <v>0.81975365665896849</v>
      </c>
      <c r="K3726" s="35">
        <v>4</v>
      </c>
      <c r="L3726" s="38">
        <f t="shared" si="58"/>
        <v>3.279014626635874</v>
      </c>
      <c r="M3726" s="35" t="s">
        <v>11</v>
      </c>
      <c r="N3726" s="38"/>
      <c r="O3726" s="35" t="s">
        <v>12</v>
      </c>
    </row>
    <row r="3727" spans="1:15" x14ac:dyDescent="0.25">
      <c r="A3727" s="35">
        <v>1091618411</v>
      </c>
      <c r="B3727" s="35" t="s">
        <v>4070</v>
      </c>
      <c r="C3727" s="35">
        <v>2022</v>
      </c>
      <c r="D3727" s="36">
        <v>44850.65898148148</v>
      </c>
      <c r="E3727" s="35" t="s">
        <v>760</v>
      </c>
      <c r="F3727" s="43" t="s">
        <v>6358</v>
      </c>
      <c r="G3727" s="43" t="s">
        <v>3823</v>
      </c>
      <c r="H3727" s="35" t="s">
        <v>3419</v>
      </c>
      <c r="I3727" s="35" t="s">
        <v>3416</v>
      </c>
      <c r="J3727" s="38">
        <v>0.44311008468052349</v>
      </c>
      <c r="K3727" s="35">
        <v>2</v>
      </c>
      <c r="L3727" s="38">
        <f t="shared" si="58"/>
        <v>0.88622016936104697</v>
      </c>
      <c r="M3727" s="35" t="s">
        <v>11</v>
      </c>
      <c r="N3727" s="38"/>
      <c r="O3727" s="35" t="s">
        <v>12</v>
      </c>
    </row>
    <row r="3728" spans="1:15" x14ac:dyDescent="0.25">
      <c r="A3728" s="35">
        <v>1091618411</v>
      </c>
      <c r="B3728" s="35" t="s">
        <v>4070</v>
      </c>
      <c r="C3728" s="35">
        <v>2022</v>
      </c>
      <c r="D3728" s="36">
        <v>44850.65898148148</v>
      </c>
      <c r="E3728" s="35" t="s">
        <v>760</v>
      </c>
      <c r="F3728" s="43" t="s">
        <v>4866</v>
      </c>
      <c r="G3728" s="43" t="s">
        <v>4918</v>
      </c>
      <c r="H3728" s="35" t="s">
        <v>3419</v>
      </c>
      <c r="I3728" s="35" t="s">
        <v>3530</v>
      </c>
      <c r="J3728" s="38">
        <v>26.57552732871439</v>
      </c>
      <c r="K3728" s="35">
        <v>1</v>
      </c>
      <c r="L3728" s="38">
        <f t="shared" si="58"/>
        <v>26.57552732871439</v>
      </c>
      <c r="M3728" s="35" t="s">
        <v>11</v>
      </c>
      <c r="N3728" s="38"/>
      <c r="O3728" s="35" t="s">
        <v>12</v>
      </c>
    </row>
    <row r="3729" spans="1:15" x14ac:dyDescent="0.25">
      <c r="A3729" s="35">
        <v>1091618411</v>
      </c>
      <c r="B3729" s="35" t="s">
        <v>4070</v>
      </c>
      <c r="C3729" s="35">
        <v>2022</v>
      </c>
      <c r="D3729" s="36">
        <v>44850.65898148148</v>
      </c>
      <c r="E3729" s="35" t="s">
        <v>760</v>
      </c>
      <c r="F3729" s="43" t="s">
        <v>3800</v>
      </c>
      <c r="G3729" s="43" t="s">
        <v>3720</v>
      </c>
      <c r="H3729" s="35" t="s">
        <v>3415</v>
      </c>
      <c r="I3729" s="35" t="s">
        <v>3416</v>
      </c>
      <c r="J3729" s="38">
        <v>0.49849884526558891</v>
      </c>
      <c r="K3729" s="35">
        <v>4</v>
      </c>
      <c r="L3729" s="38">
        <f t="shared" si="58"/>
        <v>1.9939953810623556</v>
      </c>
      <c r="M3729" s="35" t="s">
        <v>11</v>
      </c>
      <c r="N3729" s="38"/>
      <c r="O3729" s="35" t="s">
        <v>12</v>
      </c>
    </row>
    <row r="3730" spans="1:15" x14ac:dyDescent="0.25">
      <c r="A3730" s="35">
        <v>1091618411</v>
      </c>
      <c r="B3730" s="35" t="s">
        <v>4070</v>
      </c>
      <c r="C3730" s="35">
        <v>2022</v>
      </c>
      <c r="D3730" s="36">
        <v>44850.65898148148</v>
      </c>
      <c r="E3730" s="35" t="s">
        <v>760</v>
      </c>
      <c r="F3730" s="43" t="s">
        <v>3824</v>
      </c>
      <c r="G3730" s="43" t="s">
        <v>3825</v>
      </c>
      <c r="H3730" s="35" t="s">
        <v>3415</v>
      </c>
      <c r="I3730" s="35" t="s">
        <v>3416</v>
      </c>
      <c r="J3730" s="38">
        <v>0.81975365665896849</v>
      </c>
      <c r="K3730" s="35">
        <v>4</v>
      </c>
      <c r="L3730" s="38">
        <f t="shared" si="58"/>
        <v>3.279014626635874</v>
      </c>
      <c r="M3730" s="35" t="s">
        <v>11</v>
      </c>
      <c r="N3730" s="38"/>
      <c r="O3730" s="35" t="s">
        <v>12</v>
      </c>
    </row>
    <row r="3731" spans="1:15" x14ac:dyDescent="0.25">
      <c r="A3731" s="35">
        <v>1091408288</v>
      </c>
      <c r="B3731" s="35" t="s">
        <v>4070</v>
      </c>
      <c r="C3731" s="35">
        <v>2022</v>
      </c>
      <c r="D3731" s="36">
        <v>44848.551793981482</v>
      </c>
      <c r="E3731" s="35" t="s">
        <v>237</v>
      </c>
      <c r="F3731" s="43" t="s">
        <v>6359</v>
      </c>
      <c r="G3731" s="43" t="s">
        <v>5189</v>
      </c>
      <c r="H3731" s="35" t="s">
        <v>3415</v>
      </c>
      <c r="I3731" s="35" t="s">
        <v>3416</v>
      </c>
      <c r="J3731" s="38">
        <v>3.5827954898911361</v>
      </c>
      <c r="K3731" s="35">
        <v>4</v>
      </c>
      <c r="L3731" s="38">
        <f t="shared" si="58"/>
        <v>14.331181959564544</v>
      </c>
      <c r="M3731" s="35" t="s">
        <v>11</v>
      </c>
      <c r="N3731" s="38"/>
      <c r="O3731" s="35" t="s">
        <v>12</v>
      </c>
    </row>
    <row r="3732" spans="1:15" x14ac:dyDescent="0.25">
      <c r="A3732" s="35">
        <v>1091408288</v>
      </c>
      <c r="B3732" s="35" t="s">
        <v>4070</v>
      </c>
      <c r="C3732" s="35">
        <v>2022</v>
      </c>
      <c r="D3732" s="36">
        <v>44848.551793981482</v>
      </c>
      <c r="E3732" s="35" t="s">
        <v>237</v>
      </c>
      <c r="F3732" s="43" t="s">
        <v>6130</v>
      </c>
      <c r="G3732" s="43" t="s">
        <v>3630</v>
      </c>
      <c r="H3732" s="35" t="s">
        <v>3419</v>
      </c>
      <c r="I3732" s="35" t="s">
        <v>3416</v>
      </c>
      <c r="J3732" s="38">
        <v>5.1405326594090202</v>
      </c>
      <c r="K3732" s="35">
        <v>1</v>
      </c>
      <c r="L3732" s="38">
        <f t="shared" si="58"/>
        <v>5.1405326594090202</v>
      </c>
      <c r="M3732" s="35" t="s">
        <v>11</v>
      </c>
      <c r="N3732" s="38"/>
      <c r="O3732" s="35" t="s">
        <v>12</v>
      </c>
    </row>
    <row r="3733" spans="1:15" x14ac:dyDescent="0.25">
      <c r="A3733" s="35">
        <v>1091408288</v>
      </c>
      <c r="B3733" s="35" t="s">
        <v>4070</v>
      </c>
      <c r="C3733" s="35">
        <v>2022</v>
      </c>
      <c r="D3733" s="36">
        <v>44848.551793981482</v>
      </c>
      <c r="E3733" s="35" t="s">
        <v>237</v>
      </c>
      <c r="F3733" s="43" t="s">
        <v>6360</v>
      </c>
      <c r="G3733" s="43" t="s">
        <v>4268</v>
      </c>
      <c r="H3733" s="35" t="s">
        <v>3415</v>
      </c>
      <c r="I3733" s="35" t="s">
        <v>3530</v>
      </c>
      <c r="J3733" s="38">
        <v>0.77886858475894249</v>
      </c>
      <c r="K3733" s="35">
        <v>4</v>
      </c>
      <c r="L3733" s="38">
        <f t="shared" si="58"/>
        <v>3.11547433903577</v>
      </c>
      <c r="M3733" s="35" t="s">
        <v>11</v>
      </c>
      <c r="N3733" s="38"/>
      <c r="O3733" s="35" t="s">
        <v>12</v>
      </c>
    </row>
    <row r="3734" spans="1:15" x14ac:dyDescent="0.25">
      <c r="A3734" s="35">
        <v>1091408288</v>
      </c>
      <c r="B3734" s="35" t="s">
        <v>4070</v>
      </c>
      <c r="C3734" s="35">
        <v>2022</v>
      </c>
      <c r="D3734" s="36">
        <v>44848.551793981482</v>
      </c>
      <c r="E3734" s="35" t="s">
        <v>237</v>
      </c>
      <c r="F3734" s="43" t="s">
        <v>6035</v>
      </c>
      <c r="G3734" s="43" t="s">
        <v>3551</v>
      </c>
      <c r="H3734" s="35" t="s">
        <v>3419</v>
      </c>
      <c r="I3734" s="35" t="s">
        <v>3416</v>
      </c>
      <c r="J3734" s="38">
        <v>0.46732115085536552</v>
      </c>
      <c r="K3734" s="35">
        <v>2</v>
      </c>
      <c r="L3734" s="38">
        <f t="shared" si="58"/>
        <v>0.93464230171073104</v>
      </c>
      <c r="M3734" s="35" t="s">
        <v>11</v>
      </c>
      <c r="N3734" s="38"/>
      <c r="O3734" s="35" t="s">
        <v>12</v>
      </c>
    </row>
    <row r="3735" spans="1:15" x14ac:dyDescent="0.25">
      <c r="A3735" s="35">
        <v>1091408288</v>
      </c>
      <c r="B3735" s="35" t="s">
        <v>4070</v>
      </c>
      <c r="C3735" s="35">
        <v>2022</v>
      </c>
      <c r="D3735" s="36">
        <v>44848.551793981482</v>
      </c>
      <c r="E3735" s="35" t="s">
        <v>237</v>
      </c>
      <c r="F3735" s="43" t="s">
        <v>6361</v>
      </c>
      <c r="G3735" s="43" t="s">
        <v>3945</v>
      </c>
      <c r="H3735" s="35" t="s">
        <v>3415</v>
      </c>
      <c r="I3735" s="35" t="s">
        <v>3416</v>
      </c>
      <c r="J3735" s="38">
        <v>0.20769828926905129</v>
      </c>
      <c r="K3735" s="35">
        <v>4</v>
      </c>
      <c r="L3735" s="38">
        <f t="shared" si="58"/>
        <v>0.83079315707620516</v>
      </c>
      <c r="M3735" s="35" t="s">
        <v>11</v>
      </c>
      <c r="N3735" s="38"/>
      <c r="O3735" s="35" t="s">
        <v>12</v>
      </c>
    </row>
    <row r="3736" spans="1:15" x14ac:dyDescent="0.25">
      <c r="A3736" s="35">
        <v>1091408288</v>
      </c>
      <c r="B3736" s="35" t="s">
        <v>4070</v>
      </c>
      <c r="C3736" s="35">
        <v>2022</v>
      </c>
      <c r="D3736" s="36">
        <v>44848.551793981482</v>
      </c>
      <c r="E3736" s="35" t="s">
        <v>237</v>
      </c>
      <c r="F3736" s="43" t="s">
        <v>6362</v>
      </c>
      <c r="G3736" s="43" t="s">
        <v>5229</v>
      </c>
      <c r="H3736" s="35" t="s">
        <v>3419</v>
      </c>
      <c r="I3736" s="35" t="s">
        <v>3530</v>
      </c>
      <c r="J3736" s="38">
        <v>0.15577371695178849</v>
      </c>
      <c r="K3736" s="35">
        <v>2</v>
      </c>
      <c r="L3736" s="38">
        <f t="shared" si="58"/>
        <v>0.31154743390357698</v>
      </c>
      <c r="M3736" s="35" t="s">
        <v>11</v>
      </c>
      <c r="N3736" s="38"/>
      <c r="O3736" s="35" t="s">
        <v>12</v>
      </c>
    </row>
    <row r="3737" spans="1:15" x14ac:dyDescent="0.25">
      <c r="A3737" s="35">
        <v>1091408288</v>
      </c>
      <c r="B3737" s="35" t="s">
        <v>4070</v>
      </c>
      <c r="C3737" s="35">
        <v>2022</v>
      </c>
      <c r="D3737" s="36">
        <v>44848.551793981482</v>
      </c>
      <c r="E3737" s="35" t="s">
        <v>237</v>
      </c>
      <c r="F3737" s="43" t="s">
        <v>5512</v>
      </c>
      <c r="G3737" s="43" t="s">
        <v>4432</v>
      </c>
      <c r="H3737" s="35" t="s">
        <v>3419</v>
      </c>
      <c r="I3737" s="35" t="s">
        <v>3416</v>
      </c>
      <c r="J3737" s="38">
        <v>9.3464230171073091</v>
      </c>
      <c r="K3737" s="35">
        <v>1</v>
      </c>
      <c r="L3737" s="38">
        <f t="shared" si="58"/>
        <v>9.3464230171073091</v>
      </c>
      <c r="M3737" s="35" t="s">
        <v>11</v>
      </c>
      <c r="N3737" s="38"/>
      <c r="O3737" s="35" t="s">
        <v>12</v>
      </c>
    </row>
    <row r="3738" spans="1:15" x14ac:dyDescent="0.25">
      <c r="A3738" s="35">
        <v>1091408288</v>
      </c>
      <c r="B3738" s="35" t="s">
        <v>4070</v>
      </c>
      <c r="C3738" s="35">
        <v>2022</v>
      </c>
      <c r="D3738" s="36">
        <v>44848.551793981482</v>
      </c>
      <c r="E3738" s="35" t="s">
        <v>237</v>
      </c>
      <c r="F3738" s="43" t="s">
        <v>5512</v>
      </c>
      <c r="G3738" s="43" t="s">
        <v>4432</v>
      </c>
      <c r="H3738" s="35" t="s">
        <v>3419</v>
      </c>
      <c r="I3738" s="35" t="s">
        <v>3416</v>
      </c>
      <c r="J3738" s="38">
        <v>9.3464230171073091</v>
      </c>
      <c r="K3738" s="35">
        <v>1</v>
      </c>
      <c r="L3738" s="38">
        <f t="shared" si="58"/>
        <v>9.3464230171073091</v>
      </c>
      <c r="M3738" s="35" t="s">
        <v>11</v>
      </c>
      <c r="N3738" s="38"/>
      <c r="O3738" s="35" t="s">
        <v>12</v>
      </c>
    </row>
    <row r="3739" spans="1:15" x14ac:dyDescent="0.25">
      <c r="A3739" s="35">
        <v>1091408288</v>
      </c>
      <c r="B3739" s="35" t="s">
        <v>4070</v>
      </c>
      <c r="C3739" s="35">
        <v>2022</v>
      </c>
      <c r="D3739" s="36">
        <v>44848.551793981482</v>
      </c>
      <c r="E3739" s="35" t="s">
        <v>237</v>
      </c>
      <c r="F3739" s="43" t="s">
        <v>6363</v>
      </c>
      <c r="G3739" s="43" t="s">
        <v>4432</v>
      </c>
      <c r="H3739" s="35" t="s">
        <v>3419</v>
      </c>
      <c r="I3739" s="35" t="s">
        <v>3416</v>
      </c>
      <c r="J3739" s="38">
        <v>2.0769828926905132</v>
      </c>
      <c r="K3739" s="35">
        <v>1</v>
      </c>
      <c r="L3739" s="38">
        <f t="shared" si="58"/>
        <v>2.0769828926905132</v>
      </c>
      <c r="M3739" s="35" t="s">
        <v>11</v>
      </c>
      <c r="N3739" s="38"/>
      <c r="O3739" s="35" t="s">
        <v>12</v>
      </c>
    </row>
    <row r="3740" spans="1:15" x14ac:dyDescent="0.25">
      <c r="A3740" s="35">
        <v>1091408288</v>
      </c>
      <c r="B3740" s="35" t="s">
        <v>4070</v>
      </c>
      <c r="C3740" s="35">
        <v>2022</v>
      </c>
      <c r="D3740" s="36">
        <v>44848.551793981482</v>
      </c>
      <c r="E3740" s="35" t="s">
        <v>237</v>
      </c>
      <c r="F3740" s="43" t="s">
        <v>6364</v>
      </c>
      <c r="G3740" s="43" t="s">
        <v>4432</v>
      </c>
      <c r="H3740" s="35" t="s">
        <v>3419</v>
      </c>
      <c r="I3740" s="35" t="s">
        <v>3416</v>
      </c>
      <c r="J3740" s="38">
        <v>2.0769828926905132</v>
      </c>
      <c r="K3740" s="35">
        <v>1</v>
      </c>
      <c r="L3740" s="38">
        <f t="shared" si="58"/>
        <v>2.0769828926905132</v>
      </c>
      <c r="M3740" s="35" t="s">
        <v>11</v>
      </c>
      <c r="N3740" s="38"/>
      <c r="O3740" s="35" t="s">
        <v>12</v>
      </c>
    </row>
    <row r="3741" spans="1:15" x14ac:dyDescent="0.25">
      <c r="A3741" s="35">
        <v>1091408288</v>
      </c>
      <c r="B3741" s="35" t="s">
        <v>4070</v>
      </c>
      <c r="C3741" s="35">
        <v>2022</v>
      </c>
      <c r="D3741" s="36">
        <v>44848.551793981482</v>
      </c>
      <c r="E3741" s="35" t="s">
        <v>237</v>
      </c>
      <c r="F3741" s="43" t="s">
        <v>6365</v>
      </c>
      <c r="G3741" s="43" t="s">
        <v>6366</v>
      </c>
      <c r="H3741" s="35" t="s">
        <v>3419</v>
      </c>
      <c r="I3741" s="35" t="s">
        <v>3416</v>
      </c>
      <c r="J3741" s="38">
        <v>41.487733281493007</v>
      </c>
      <c r="K3741" s="35">
        <v>1</v>
      </c>
      <c r="L3741" s="38">
        <f t="shared" si="58"/>
        <v>41.487733281493007</v>
      </c>
      <c r="M3741" s="35" t="s">
        <v>11</v>
      </c>
      <c r="N3741" s="38"/>
      <c r="O3741" s="35" t="s">
        <v>12</v>
      </c>
    </row>
    <row r="3742" spans="1:15" x14ac:dyDescent="0.25">
      <c r="A3742" s="35">
        <v>1091408288</v>
      </c>
      <c r="B3742" s="35" t="s">
        <v>4070</v>
      </c>
      <c r="C3742" s="35">
        <v>2022</v>
      </c>
      <c r="D3742" s="36">
        <v>44848.551793981482</v>
      </c>
      <c r="E3742" s="35" t="s">
        <v>237</v>
      </c>
      <c r="F3742" s="43" t="s">
        <v>4297</v>
      </c>
      <c r="G3742" s="43" t="s">
        <v>3768</v>
      </c>
      <c r="H3742" s="35" t="s">
        <v>3419</v>
      </c>
      <c r="I3742" s="35" t="s">
        <v>3416</v>
      </c>
      <c r="J3742" s="38">
        <v>19.679412908242611</v>
      </c>
      <c r="K3742" s="35">
        <v>2</v>
      </c>
      <c r="L3742" s="38">
        <f t="shared" si="58"/>
        <v>39.358825816485222</v>
      </c>
      <c r="M3742" s="35" t="s">
        <v>11</v>
      </c>
      <c r="N3742" s="38"/>
      <c r="O3742" s="35" t="s">
        <v>12</v>
      </c>
    </row>
    <row r="3743" spans="1:15" x14ac:dyDescent="0.25">
      <c r="A3743" s="35">
        <v>1091408288</v>
      </c>
      <c r="B3743" s="35" t="s">
        <v>4070</v>
      </c>
      <c r="C3743" s="35">
        <v>2022</v>
      </c>
      <c r="D3743" s="36">
        <v>44848.551793981482</v>
      </c>
      <c r="E3743" s="35" t="s">
        <v>237</v>
      </c>
      <c r="F3743" s="43" t="s">
        <v>4328</v>
      </c>
      <c r="G3743" s="43" t="s">
        <v>3551</v>
      </c>
      <c r="H3743" s="35" t="s">
        <v>3415</v>
      </c>
      <c r="I3743" s="35" t="s">
        <v>3416</v>
      </c>
      <c r="J3743" s="38">
        <v>1.2981143079315709</v>
      </c>
      <c r="K3743" s="35">
        <v>4</v>
      </c>
      <c r="L3743" s="38">
        <f t="shared" si="58"/>
        <v>5.1924572317262836</v>
      </c>
      <c r="M3743" s="35" t="s">
        <v>11</v>
      </c>
      <c r="N3743" s="38"/>
      <c r="O3743" s="35" t="s">
        <v>12</v>
      </c>
    </row>
    <row r="3744" spans="1:15" x14ac:dyDescent="0.25">
      <c r="A3744" s="35">
        <v>1091327068</v>
      </c>
      <c r="B3744" s="35" t="s">
        <v>4070</v>
      </c>
      <c r="C3744" s="35">
        <v>2022</v>
      </c>
      <c r="D3744" s="36">
        <v>44847.662719907406</v>
      </c>
      <c r="E3744" s="35" t="s">
        <v>1206</v>
      </c>
      <c r="F3744" s="43" t="s">
        <v>6367</v>
      </c>
      <c r="G3744" s="43" t="s">
        <v>3755</v>
      </c>
      <c r="H3744" s="35" t="s">
        <v>3419</v>
      </c>
      <c r="I3744" s="35" t="s">
        <v>3530</v>
      </c>
      <c r="J3744" s="38">
        <v>0.94927536231884058</v>
      </c>
      <c r="K3744" s="35">
        <v>1</v>
      </c>
      <c r="L3744" s="38">
        <f t="shared" si="58"/>
        <v>0.94927536231884058</v>
      </c>
      <c r="M3744" s="35" t="s">
        <v>11</v>
      </c>
      <c r="N3744" s="38"/>
      <c r="O3744" s="35" t="s">
        <v>12</v>
      </c>
    </row>
    <row r="3745" spans="1:15" x14ac:dyDescent="0.25">
      <c r="A3745" s="35">
        <v>1091327068</v>
      </c>
      <c r="B3745" s="35" t="s">
        <v>4070</v>
      </c>
      <c r="C3745" s="35">
        <v>2022</v>
      </c>
      <c r="D3745" s="36">
        <v>44847.662719907406</v>
      </c>
      <c r="E3745" s="35" t="s">
        <v>1206</v>
      </c>
      <c r="F3745" s="43" t="s">
        <v>6368</v>
      </c>
      <c r="G3745" s="43" t="s">
        <v>3959</v>
      </c>
      <c r="H3745" s="35" t="s">
        <v>3419</v>
      </c>
      <c r="I3745" s="35" t="s">
        <v>3416</v>
      </c>
      <c r="J3745" s="38">
        <v>0.79106280193236711</v>
      </c>
      <c r="K3745" s="35">
        <v>1</v>
      </c>
      <c r="L3745" s="38">
        <f t="shared" si="58"/>
        <v>0.79106280193236711</v>
      </c>
      <c r="M3745" s="35" t="s">
        <v>11</v>
      </c>
      <c r="N3745" s="38"/>
      <c r="O3745" s="35" t="s">
        <v>12</v>
      </c>
    </row>
    <row r="3746" spans="1:15" x14ac:dyDescent="0.25">
      <c r="A3746" s="35">
        <v>1091327068</v>
      </c>
      <c r="B3746" s="35" t="s">
        <v>4070</v>
      </c>
      <c r="C3746" s="35">
        <v>2022</v>
      </c>
      <c r="D3746" s="36">
        <v>44847.662719907406</v>
      </c>
      <c r="E3746" s="35" t="s">
        <v>1206</v>
      </c>
      <c r="F3746" s="43" t="s">
        <v>5070</v>
      </c>
      <c r="G3746" s="43" t="s">
        <v>4049</v>
      </c>
      <c r="H3746" s="35" t="s">
        <v>3419</v>
      </c>
      <c r="I3746" s="35" t="s">
        <v>3416</v>
      </c>
      <c r="J3746" s="38">
        <v>3.164251207729468</v>
      </c>
      <c r="K3746" s="35">
        <v>1</v>
      </c>
      <c r="L3746" s="38">
        <f t="shared" si="58"/>
        <v>3.164251207729468</v>
      </c>
      <c r="M3746" s="35" t="s">
        <v>11</v>
      </c>
      <c r="N3746" s="38"/>
      <c r="O3746" s="35" t="s">
        <v>12</v>
      </c>
    </row>
    <row r="3747" spans="1:15" x14ac:dyDescent="0.25">
      <c r="A3747" s="35">
        <v>1091327068</v>
      </c>
      <c r="B3747" s="35" t="s">
        <v>4070</v>
      </c>
      <c r="C3747" s="35">
        <v>2022</v>
      </c>
      <c r="D3747" s="36">
        <v>44847.662719907406</v>
      </c>
      <c r="E3747" s="35" t="s">
        <v>1206</v>
      </c>
      <c r="F3747" s="43" t="s">
        <v>5674</v>
      </c>
      <c r="G3747" s="43" t="s">
        <v>3551</v>
      </c>
      <c r="H3747" s="35" t="s">
        <v>3419</v>
      </c>
      <c r="I3747" s="35" t="s">
        <v>3416</v>
      </c>
      <c r="J3747" s="38">
        <v>93.345410628019323</v>
      </c>
      <c r="K3747" s="35">
        <v>1</v>
      </c>
      <c r="L3747" s="38">
        <f t="shared" si="58"/>
        <v>93.345410628019323</v>
      </c>
      <c r="M3747" s="35" t="s">
        <v>11</v>
      </c>
      <c r="N3747" s="38"/>
      <c r="O3747" s="35" t="s">
        <v>12</v>
      </c>
    </row>
    <row r="3748" spans="1:15" x14ac:dyDescent="0.25">
      <c r="A3748" s="35">
        <v>1090971436</v>
      </c>
      <c r="B3748" s="35" t="s">
        <v>4070</v>
      </c>
      <c r="C3748" s="35">
        <v>2022</v>
      </c>
      <c r="D3748" s="36">
        <v>44844.425810185188</v>
      </c>
      <c r="E3748" s="35" t="s">
        <v>294</v>
      </c>
      <c r="F3748" s="43" t="s">
        <v>6369</v>
      </c>
      <c r="G3748" s="43" t="s">
        <v>3825</v>
      </c>
      <c r="H3748" s="35" t="s">
        <v>3415</v>
      </c>
      <c r="I3748" s="35" t="s">
        <v>3416</v>
      </c>
      <c r="J3748" s="38">
        <v>0.33075796411570851</v>
      </c>
      <c r="K3748" s="35">
        <v>4</v>
      </c>
      <c r="L3748" s="38">
        <f t="shared" si="58"/>
        <v>1.3230318564628341</v>
      </c>
      <c r="M3748" s="35" t="s">
        <v>11</v>
      </c>
      <c r="N3748" s="38"/>
      <c r="O3748" s="35" t="s">
        <v>12</v>
      </c>
    </row>
    <row r="3749" spans="1:15" ht="30" x14ac:dyDescent="0.25">
      <c r="A3749" s="35">
        <v>1090971436</v>
      </c>
      <c r="B3749" s="35" t="s">
        <v>4070</v>
      </c>
      <c r="C3749" s="35">
        <v>2022</v>
      </c>
      <c r="D3749" s="36">
        <v>44844.425810185188</v>
      </c>
      <c r="E3749" s="35" t="s">
        <v>294</v>
      </c>
      <c r="F3749" s="43" t="s">
        <v>6370</v>
      </c>
      <c r="G3749" s="43" t="s">
        <v>3744</v>
      </c>
      <c r="H3749" s="35" t="s">
        <v>3415</v>
      </c>
      <c r="I3749" s="35" t="s">
        <v>3416</v>
      </c>
      <c r="J3749" s="38">
        <v>0.4961369461735628</v>
      </c>
      <c r="K3749" s="35">
        <v>4</v>
      </c>
      <c r="L3749" s="38">
        <f t="shared" si="58"/>
        <v>1.9845477846942512</v>
      </c>
      <c r="M3749" s="35" t="s">
        <v>11</v>
      </c>
      <c r="N3749" s="38"/>
      <c r="O3749" s="35" t="s">
        <v>12</v>
      </c>
    </row>
    <row r="3750" spans="1:15" x14ac:dyDescent="0.25">
      <c r="A3750" s="35">
        <v>1090971436</v>
      </c>
      <c r="B3750" s="35" t="s">
        <v>4070</v>
      </c>
      <c r="C3750" s="35">
        <v>2022</v>
      </c>
      <c r="D3750" s="36">
        <v>44844.425810185188</v>
      </c>
      <c r="E3750" s="35" t="s">
        <v>294</v>
      </c>
      <c r="F3750" s="43" t="s">
        <v>6371</v>
      </c>
      <c r="G3750" s="43" t="s">
        <v>4668</v>
      </c>
      <c r="H3750" s="35" t="s">
        <v>3415</v>
      </c>
      <c r="I3750" s="35" t="s">
        <v>3416</v>
      </c>
      <c r="J3750" s="38">
        <v>0.38588429146832659</v>
      </c>
      <c r="K3750" s="35">
        <v>4</v>
      </c>
      <c r="L3750" s="38">
        <f t="shared" si="58"/>
        <v>1.5435371658733064</v>
      </c>
      <c r="M3750" s="35" t="s">
        <v>11</v>
      </c>
      <c r="N3750" s="38"/>
      <c r="O3750" s="35" t="s">
        <v>12</v>
      </c>
    </row>
    <row r="3751" spans="1:15" x14ac:dyDescent="0.25">
      <c r="A3751" s="35">
        <v>1090971436</v>
      </c>
      <c r="B3751" s="35" t="s">
        <v>4070</v>
      </c>
      <c r="C3751" s="35">
        <v>2022</v>
      </c>
      <c r="D3751" s="36">
        <v>44844.425810185188</v>
      </c>
      <c r="E3751" s="35" t="s">
        <v>294</v>
      </c>
      <c r="F3751" s="43" t="s">
        <v>6372</v>
      </c>
      <c r="G3751" s="43" t="s">
        <v>3619</v>
      </c>
      <c r="H3751" s="35" t="s">
        <v>3415</v>
      </c>
      <c r="I3751" s="35" t="s">
        <v>3416</v>
      </c>
      <c r="J3751" s="38">
        <v>0.26460637129256681</v>
      </c>
      <c r="K3751" s="35">
        <v>4</v>
      </c>
      <c r="L3751" s="38">
        <f t="shared" si="58"/>
        <v>1.0584254851702672</v>
      </c>
      <c r="M3751" s="35" t="s">
        <v>11</v>
      </c>
      <c r="N3751" s="38"/>
      <c r="O3751" s="35" t="s">
        <v>12</v>
      </c>
    </row>
    <row r="3752" spans="1:15" ht="30" x14ac:dyDescent="0.25">
      <c r="A3752" s="35">
        <v>1090971436</v>
      </c>
      <c r="B3752" s="35" t="s">
        <v>4070</v>
      </c>
      <c r="C3752" s="35">
        <v>2022</v>
      </c>
      <c r="D3752" s="36">
        <v>44844.425810185188</v>
      </c>
      <c r="E3752" s="35" t="s">
        <v>294</v>
      </c>
      <c r="F3752" s="43" t="s">
        <v>6373</v>
      </c>
      <c r="G3752" s="43" t="s">
        <v>3744</v>
      </c>
      <c r="H3752" s="35" t="s">
        <v>3415</v>
      </c>
      <c r="I3752" s="35" t="s">
        <v>3416</v>
      </c>
      <c r="J3752" s="38">
        <v>0.13230318564628341</v>
      </c>
      <c r="K3752" s="35">
        <v>4</v>
      </c>
      <c r="L3752" s="38">
        <f t="shared" si="58"/>
        <v>0.52921274258513362</v>
      </c>
      <c r="M3752" s="35" t="s">
        <v>11</v>
      </c>
      <c r="N3752" s="38"/>
      <c r="O3752" s="35" t="s">
        <v>12</v>
      </c>
    </row>
    <row r="3753" spans="1:15" x14ac:dyDescent="0.25">
      <c r="A3753" s="35">
        <v>1090971436</v>
      </c>
      <c r="B3753" s="35" t="s">
        <v>4070</v>
      </c>
      <c r="C3753" s="35">
        <v>2022</v>
      </c>
      <c r="D3753" s="36">
        <v>44844.425810185188</v>
      </c>
      <c r="E3753" s="35" t="s">
        <v>294</v>
      </c>
      <c r="F3753" s="43" t="s">
        <v>5491</v>
      </c>
      <c r="G3753" s="43" t="s">
        <v>3551</v>
      </c>
      <c r="H3753" s="35" t="s">
        <v>3419</v>
      </c>
      <c r="I3753" s="35" t="s">
        <v>3416</v>
      </c>
      <c r="J3753" s="38">
        <v>24.134306114976201</v>
      </c>
      <c r="K3753" s="35">
        <v>2</v>
      </c>
      <c r="L3753" s="38">
        <f t="shared" si="58"/>
        <v>48.268612229952403</v>
      </c>
      <c r="M3753" s="35" t="s">
        <v>11</v>
      </c>
      <c r="N3753" s="38"/>
      <c r="O3753" s="35" t="s">
        <v>12</v>
      </c>
    </row>
    <row r="3754" spans="1:15" x14ac:dyDescent="0.25">
      <c r="A3754" s="35">
        <v>1090971436</v>
      </c>
      <c r="B3754" s="35" t="s">
        <v>4070</v>
      </c>
      <c r="C3754" s="35">
        <v>2022</v>
      </c>
      <c r="D3754" s="36">
        <v>44844.425810185188</v>
      </c>
      <c r="E3754" s="35" t="s">
        <v>294</v>
      </c>
      <c r="F3754" s="43" t="s">
        <v>6374</v>
      </c>
      <c r="G3754" s="43" t="s">
        <v>3700</v>
      </c>
      <c r="H3754" s="35" t="s">
        <v>3415</v>
      </c>
      <c r="I3754" s="35" t="s">
        <v>3416</v>
      </c>
      <c r="J3754" s="38">
        <v>1.0474002196997441</v>
      </c>
      <c r="K3754" s="35">
        <v>4</v>
      </c>
      <c r="L3754" s="38">
        <f t="shared" si="58"/>
        <v>4.1896008787989762</v>
      </c>
      <c r="M3754" s="35" t="s">
        <v>11</v>
      </c>
      <c r="N3754" s="38"/>
      <c r="O3754" s="35" t="s">
        <v>12</v>
      </c>
    </row>
    <row r="3755" spans="1:15" x14ac:dyDescent="0.25">
      <c r="A3755" s="35">
        <v>1090971436</v>
      </c>
      <c r="B3755" s="35" t="s">
        <v>4070</v>
      </c>
      <c r="C3755" s="35">
        <v>2022</v>
      </c>
      <c r="D3755" s="36">
        <v>44844.425810185188</v>
      </c>
      <c r="E3755" s="35" t="s">
        <v>294</v>
      </c>
      <c r="F3755" s="43" t="s">
        <v>3550</v>
      </c>
      <c r="G3755" s="43" t="s">
        <v>3551</v>
      </c>
      <c r="H3755" s="35" t="s">
        <v>3415</v>
      </c>
      <c r="I3755" s="35" t="s">
        <v>3416</v>
      </c>
      <c r="J3755" s="38">
        <v>0.33075796411570851</v>
      </c>
      <c r="K3755" s="35">
        <v>4</v>
      </c>
      <c r="L3755" s="38">
        <f t="shared" si="58"/>
        <v>1.3230318564628341</v>
      </c>
      <c r="M3755" s="35" t="s">
        <v>11</v>
      </c>
      <c r="N3755" s="38"/>
      <c r="O3755" s="35" t="s">
        <v>12</v>
      </c>
    </row>
    <row r="3756" spans="1:15" x14ac:dyDescent="0.25">
      <c r="A3756" s="35">
        <v>1090683868</v>
      </c>
      <c r="B3756" s="35" t="s">
        <v>4070</v>
      </c>
      <c r="C3756" s="35">
        <v>2022</v>
      </c>
      <c r="D3756" s="36">
        <v>44841.512719907398</v>
      </c>
      <c r="E3756" s="35" t="s">
        <v>3378</v>
      </c>
      <c r="F3756" s="43" t="s">
        <v>5621</v>
      </c>
      <c r="G3756" s="43" t="s">
        <v>4974</v>
      </c>
      <c r="H3756" s="35" t="s">
        <v>3419</v>
      </c>
      <c r="I3756" s="35" t="s">
        <v>3416</v>
      </c>
      <c r="J3756" s="38">
        <v>15.035532994923861</v>
      </c>
      <c r="K3756" s="35">
        <v>2</v>
      </c>
      <c r="L3756" s="38">
        <f t="shared" si="58"/>
        <v>30.071065989847721</v>
      </c>
      <c r="M3756" s="35" t="s">
        <v>11</v>
      </c>
      <c r="N3756" s="38"/>
      <c r="O3756" s="35" t="s">
        <v>12</v>
      </c>
    </row>
    <row r="3757" spans="1:15" x14ac:dyDescent="0.25">
      <c r="A3757" s="35">
        <v>1090683868</v>
      </c>
      <c r="B3757" s="35" t="s">
        <v>4070</v>
      </c>
      <c r="C3757" s="35">
        <v>2022</v>
      </c>
      <c r="D3757" s="36">
        <v>44841.512719907398</v>
      </c>
      <c r="E3757" s="35" t="s">
        <v>3378</v>
      </c>
      <c r="F3757" s="43" t="s">
        <v>6375</v>
      </c>
      <c r="G3757" s="43" t="s">
        <v>4083</v>
      </c>
      <c r="H3757" s="35" t="s">
        <v>3419</v>
      </c>
      <c r="I3757" s="35" t="s">
        <v>3640</v>
      </c>
      <c r="J3757" s="38">
        <v>0.48328498912255258</v>
      </c>
      <c r="K3757" s="35">
        <v>1</v>
      </c>
      <c r="L3757" s="38">
        <f t="shared" si="58"/>
        <v>0.48328498912255258</v>
      </c>
      <c r="M3757" s="35" t="s">
        <v>11</v>
      </c>
      <c r="N3757" s="38"/>
      <c r="O3757" s="35" t="s">
        <v>12</v>
      </c>
    </row>
    <row r="3758" spans="1:15" x14ac:dyDescent="0.25">
      <c r="A3758" s="35">
        <v>1090683868</v>
      </c>
      <c r="B3758" s="35" t="s">
        <v>4070</v>
      </c>
      <c r="C3758" s="35">
        <v>2022</v>
      </c>
      <c r="D3758" s="36">
        <v>44841.512719907398</v>
      </c>
      <c r="E3758" s="35" t="s">
        <v>3378</v>
      </c>
      <c r="F3758" s="43" t="s">
        <v>6376</v>
      </c>
      <c r="G3758" s="43" t="s">
        <v>6377</v>
      </c>
      <c r="H3758" s="35" t="s">
        <v>3419</v>
      </c>
      <c r="I3758" s="35" t="s">
        <v>3416</v>
      </c>
      <c r="J3758" s="38">
        <v>42.421682378535174</v>
      </c>
      <c r="K3758" s="35">
        <v>1</v>
      </c>
      <c r="L3758" s="38">
        <f t="shared" si="58"/>
        <v>42.421682378535174</v>
      </c>
      <c r="M3758" s="35" t="s">
        <v>11</v>
      </c>
      <c r="N3758" s="38"/>
      <c r="O3758" s="35" t="s">
        <v>12</v>
      </c>
    </row>
    <row r="3759" spans="1:15" x14ac:dyDescent="0.25">
      <c r="A3759" s="35">
        <v>1090683868</v>
      </c>
      <c r="B3759" s="35" t="s">
        <v>4070</v>
      </c>
      <c r="C3759" s="35">
        <v>2022</v>
      </c>
      <c r="D3759" s="36">
        <v>44841.512719907398</v>
      </c>
      <c r="E3759" s="35" t="s">
        <v>3378</v>
      </c>
      <c r="F3759" s="43" t="s">
        <v>4560</v>
      </c>
      <c r="G3759" s="43" t="s">
        <v>4561</v>
      </c>
      <c r="H3759" s="35" t="s">
        <v>3419</v>
      </c>
      <c r="I3759" s="35" t="s">
        <v>3530</v>
      </c>
      <c r="J3759" s="38">
        <v>0.53698332124728065</v>
      </c>
      <c r="K3759" s="35">
        <v>2</v>
      </c>
      <c r="L3759" s="38">
        <f t="shared" si="58"/>
        <v>1.0739666424945613</v>
      </c>
      <c r="M3759" s="35" t="s">
        <v>11</v>
      </c>
      <c r="N3759" s="38"/>
      <c r="O3759" s="35" t="s">
        <v>12</v>
      </c>
    </row>
    <row r="3760" spans="1:15" x14ac:dyDescent="0.25">
      <c r="A3760" s="35">
        <v>1090451525</v>
      </c>
      <c r="B3760" s="35" t="s">
        <v>4070</v>
      </c>
      <c r="C3760" s="35">
        <v>2022</v>
      </c>
      <c r="D3760" s="36">
        <v>44839.597442129627</v>
      </c>
      <c r="E3760" s="35" t="s">
        <v>2129</v>
      </c>
      <c r="F3760" s="43" t="s">
        <v>6378</v>
      </c>
      <c r="G3760" s="43" t="s">
        <v>3668</v>
      </c>
      <c r="H3760" s="35" t="s">
        <v>3419</v>
      </c>
      <c r="I3760" s="35" t="s">
        <v>3416</v>
      </c>
      <c r="J3760" s="38">
        <v>90.088028169014081</v>
      </c>
      <c r="K3760" s="35">
        <v>1</v>
      </c>
      <c r="L3760" s="38">
        <f t="shared" si="58"/>
        <v>90.088028169014081</v>
      </c>
      <c r="M3760" s="35" t="s">
        <v>11</v>
      </c>
      <c r="N3760" s="38"/>
      <c r="O3760" s="35" t="s">
        <v>12</v>
      </c>
    </row>
    <row r="3761" spans="1:15" x14ac:dyDescent="0.25">
      <c r="A3761" s="35">
        <v>1090451525</v>
      </c>
      <c r="B3761" s="35" t="s">
        <v>4070</v>
      </c>
      <c r="C3761" s="35">
        <v>2022</v>
      </c>
      <c r="D3761" s="36">
        <v>44839.597442129627</v>
      </c>
      <c r="E3761" s="35" t="s">
        <v>2129</v>
      </c>
      <c r="F3761" s="43" t="s">
        <v>6379</v>
      </c>
      <c r="G3761" s="43" t="s">
        <v>6380</v>
      </c>
      <c r="H3761" s="35" t="s">
        <v>3419</v>
      </c>
      <c r="I3761" s="35" t="s">
        <v>3530</v>
      </c>
      <c r="J3761" s="38">
        <v>0.21197183098591549</v>
      </c>
      <c r="K3761" s="35">
        <v>1</v>
      </c>
      <c r="L3761" s="38">
        <f t="shared" si="58"/>
        <v>0.21197183098591549</v>
      </c>
      <c r="M3761" s="35" t="s">
        <v>11</v>
      </c>
      <c r="N3761" s="38"/>
      <c r="O3761" s="35" t="s">
        <v>12</v>
      </c>
    </row>
    <row r="3762" spans="1:15" x14ac:dyDescent="0.25">
      <c r="A3762" s="35">
        <v>1089777804</v>
      </c>
      <c r="B3762" s="35" t="s">
        <v>4132</v>
      </c>
      <c r="C3762" s="35">
        <v>2022</v>
      </c>
      <c r="D3762" s="36">
        <v>44833.314652777779</v>
      </c>
      <c r="E3762" s="35" t="s">
        <v>294</v>
      </c>
      <c r="F3762" s="43" t="s">
        <v>5620</v>
      </c>
      <c r="G3762" s="43" t="s">
        <v>3551</v>
      </c>
      <c r="H3762" s="35" t="s">
        <v>3419</v>
      </c>
      <c r="I3762" s="35" t="s">
        <v>3416</v>
      </c>
      <c r="J3762" s="38">
        <v>16.356734317343172</v>
      </c>
      <c r="K3762" s="35">
        <v>2</v>
      </c>
      <c r="L3762" s="38">
        <f t="shared" si="58"/>
        <v>32.713468634686343</v>
      </c>
      <c r="M3762" s="35" t="s">
        <v>11</v>
      </c>
      <c r="N3762" s="38"/>
      <c r="O3762" s="35" t="s">
        <v>12</v>
      </c>
    </row>
    <row r="3763" spans="1:15" x14ac:dyDescent="0.25">
      <c r="A3763" s="35">
        <v>1089777804</v>
      </c>
      <c r="B3763" s="35" t="s">
        <v>4132</v>
      </c>
      <c r="C3763" s="35">
        <v>2022</v>
      </c>
      <c r="D3763" s="36">
        <v>44833.314652777779</v>
      </c>
      <c r="E3763" s="35" t="s">
        <v>294</v>
      </c>
      <c r="F3763" s="43" t="s">
        <v>6098</v>
      </c>
      <c r="G3763" s="43" t="s">
        <v>3664</v>
      </c>
      <c r="H3763" s="35" t="s">
        <v>3419</v>
      </c>
      <c r="I3763" s="35" t="s">
        <v>3416</v>
      </c>
      <c r="J3763" s="38">
        <v>4.1028597785977858</v>
      </c>
      <c r="K3763" s="35">
        <v>2</v>
      </c>
      <c r="L3763" s="38">
        <f t="shared" si="58"/>
        <v>8.2057195571955717</v>
      </c>
      <c r="M3763" s="35" t="s">
        <v>11</v>
      </c>
      <c r="N3763" s="38"/>
      <c r="O3763" s="35" t="s">
        <v>12</v>
      </c>
    </row>
    <row r="3764" spans="1:15" x14ac:dyDescent="0.25">
      <c r="A3764" s="35">
        <v>1089777804</v>
      </c>
      <c r="B3764" s="35" t="s">
        <v>4132</v>
      </c>
      <c r="C3764" s="35">
        <v>2022</v>
      </c>
      <c r="D3764" s="36">
        <v>44833.314652777779</v>
      </c>
      <c r="E3764" s="35" t="s">
        <v>294</v>
      </c>
      <c r="F3764" s="43" t="s">
        <v>6159</v>
      </c>
      <c r="G3764" s="43" t="s">
        <v>3718</v>
      </c>
      <c r="H3764" s="35" t="s">
        <v>3415</v>
      </c>
      <c r="I3764" s="35" t="s">
        <v>3416</v>
      </c>
      <c r="J3764" s="38">
        <v>0.32822878228782287</v>
      </c>
      <c r="K3764" s="35">
        <v>4</v>
      </c>
      <c r="L3764" s="38">
        <f t="shared" si="58"/>
        <v>1.3129151291512915</v>
      </c>
      <c r="M3764" s="35" t="s">
        <v>11</v>
      </c>
      <c r="N3764" s="38"/>
      <c r="O3764" s="35" t="s">
        <v>12</v>
      </c>
    </row>
    <row r="3765" spans="1:15" x14ac:dyDescent="0.25">
      <c r="A3765" s="35">
        <v>1089777804</v>
      </c>
      <c r="B3765" s="35" t="s">
        <v>4132</v>
      </c>
      <c r="C3765" s="35">
        <v>2022</v>
      </c>
      <c r="D3765" s="36">
        <v>44833.314652777779</v>
      </c>
      <c r="E3765" s="35" t="s">
        <v>294</v>
      </c>
      <c r="F3765" s="43" t="s">
        <v>5059</v>
      </c>
      <c r="G3765" s="43" t="s">
        <v>3718</v>
      </c>
      <c r="H3765" s="35" t="s">
        <v>3415</v>
      </c>
      <c r="I3765" s="35" t="s">
        <v>3416</v>
      </c>
      <c r="J3765" s="38">
        <v>0.16411439114391141</v>
      </c>
      <c r="K3765" s="35">
        <v>4</v>
      </c>
      <c r="L3765" s="38">
        <f t="shared" si="58"/>
        <v>0.65645756457564564</v>
      </c>
      <c r="M3765" s="35" t="s">
        <v>11</v>
      </c>
      <c r="N3765" s="38"/>
      <c r="O3765" s="35" t="s">
        <v>12</v>
      </c>
    </row>
    <row r="3766" spans="1:15" x14ac:dyDescent="0.25">
      <c r="A3766" s="35">
        <v>1089777804</v>
      </c>
      <c r="B3766" s="35" t="s">
        <v>4132</v>
      </c>
      <c r="C3766" s="35">
        <v>2022</v>
      </c>
      <c r="D3766" s="36">
        <v>44833.314652777779</v>
      </c>
      <c r="E3766" s="35" t="s">
        <v>294</v>
      </c>
      <c r="F3766" s="43" t="s">
        <v>6381</v>
      </c>
      <c r="G3766" s="43" t="s">
        <v>6382</v>
      </c>
      <c r="H3766" s="35" t="s">
        <v>3419</v>
      </c>
      <c r="I3766" s="35" t="s">
        <v>3416</v>
      </c>
      <c r="J3766" s="38">
        <v>4.3216789667896682</v>
      </c>
      <c r="K3766" s="35">
        <v>1</v>
      </c>
      <c r="L3766" s="38">
        <f t="shared" si="58"/>
        <v>4.3216789667896682</v>
      </c>
      <c r="M3766" s="35" t="s">
        <v>11</v>
      </c>
      <c r="N3766" s="38"/>
      <c r="O3766" s="35" t="s">
        <v>12</v>
      </c>
    </row>
    <row r="3767" spans="1:15" x14ac:dyDescent="0.25">
      <c r="A3767" s="35">
        <v>1089777804</v>
      </c>
      <c r="B3767" s="35" t="s">
        <v>4132</v>
      </c>
      <c r="C3767" s="35">
        <v>2022</v>
      </c>
      <c r="D3767" s="36">
        <v>44833.314652777779</v>
      </c>
      <c r="E3767" s="35" t="s">
        <v>294</v>
      </c>
      <c r="F3767" s="43" t="s">
        <v>4933</v>
      </c>
      <c r="G3767" s="43" t="s">
        <v>3718</v>
      </c>
      <c r="H3767" s="35" t="s">
        <v>3419</v>
      </c>
      <c r="I3767" s="35" t="s">
        <v>3416</v>
      </c>
      <c r="J3767" s="38">
        <v>5.4157749077490784</v>
      </c>
      <c r="K3767" s="35">
        <v>2</v>
      </c>
      <c r="L3767" s="38">
        <f t="shared" si="58"/>
        <v>10.831549815498157</v>
      </c>
      <c r="M3767" s="35" t="s">
        <v>11</v>
      </c>
      <c r="N3767" s="38"/>
      <c r="O3767" s="35" t="s">
        <v>12</v>
      </c>
    </row>
    <row r="3768" spans="1:15" x14ac:dyDescent="0.25">
      <c r="A3768" s="35">
        <v>1089777804</v>
      </c>
      <c r="B3768" s="35" t="s">
        <v>4132</v>
      </c>
      <c r="C3768" s="35">
        <v>2022</v>
      </c>
      <c r="D3768" s="36">
        <v>44833.314652777779</v>
      </c>
      <c r="E3768" s="35" t="s">
        <v>294</v>
      </c>
      <c r="F3768" s="43" t="s">
        <v>3665</v>
      </c>
      <c r="G3768" s="43" t="s">
        <v>3666</v>
      </c>
      <c r="H3768" s="35" t="s">
        <v>3419</v>
      </c>
      <c r="I3768" s="35" t="s">
        <v>3416</v>
      </c>
      <c r="J3768" s="38">
        <v>1.2582103321033209</v>
      </c>
      <c r="K3768" s="35">
        <v>1</v>
      </c>
      <c r="L3768" s="38">
        <f t="shared" si="58"/>
        <v>1.2582103321033209</v>
      </c>
      <c r="M3768" s="35" t="s">
        <v>11</v>
      </c>
      <c r="N3768" s="38"/>
      <c r="O3768" s="35" t="s">
        <v>12</v>
      </c>
    </row>
    <row r="3769" spans="1:15" x14ac:dyDescent="0.25">
      <c r="A3769" s="35">
        <v>1089629306</v>
      </c>
      <c r="B3769" s="35" t="s">
        <v>4132</v>
      </c>
      <c r="C3769" s="35">
        <v>2022</v>
      </c>
      <c r="D3769" s="36">
        <v>44831.864432870367</v>
      </c>
      <c r="E3769" s="35" t="s">
        <v>3316</v>
      </c>
      <c r="F3769" s="43" t="s">
        <v>6383</v>
      </c>
      <c r="G3769" s="43" t="s">
        <v>3740</v>
      </c>
      <c r="H3769" s="35" t="s">
        <v>3419</v>
      </c>
      <c r="I3769" s="35" t="s">
        <v>3530</v>
      </c>
      <c r="J3769" s="38">
        <v>1.392307692307692</v>
      </c>
      <c r="K3769" s="35">
        <v>1</v>
      </c>
      <c r="L3769" s="38">
        <f t="shared" si="58"/>
        <v>1.392307692307692</v>
      </c>
      <c r="M3769" s="35" t="s">
        <v>11</v>
      </c>
      <c r="N3769" s="38"/>
      <c r="O3769" s="35" t="s">
        <v>12</v>
      </c>
    </row>
    <row r="3770" spans="1:15" x14ac:dyDescent="0.25">
      <c r="A3770" s="35">
        <v>1089629306</v>
      </c>
      <c r="B3770" s="35" t="s">
        <v>4132</v>
      </c>
      <c r="C3770" s="35">
        <v>2022</v>
      </c>
      <c r="D3770" s="36">
        <v>44831.864432870367</v>
      </c>
      <c r="E3770" s="35" t="s">
        <v>3316</v>
      </c>
      <c r="F3770" s="43" t="s">
        <v>6384</v>
      </c>
      <c r="G3770" s="43" t="s">
        <v>3740</v>
      </c>
      <c r="H3770" s="35" t="s">
        <v>3419</v>
      </c>
      <c r="I3770" s="35" t="s">
        <v>3530</v>
      </c>
      <c r="J3770" s="38">
        <v>16.707692307692309</v>
      </c>
      <c r="K3770" s="35">
        <v>1</v>
      </c>
      <c r="L3770" s="38">
        <f t="shared" si="58"/>
        <v>16.707692307692309</v>
      </c>
      <c r="M3770" s="35" t="s">
        <v>11</v>
      </c>
      <c r="N3770" s="38"/>
      <c r="O3770" s="35" t="s">
        <v>12</v>
      </c>
    </row>
    <row r="3771" spans="1:15" x14ac:dyDescent="0.25">
      <c r="A3771" s="35">
        <v>1089600453</v>
      </c>
      <c r="B3771" s="35" t="s">
        <v>4132</v>
      </c>
      <c r="C3771" s="35">
        <v>2022</v>
      </c>
      <c r="D3771" s="36">
        <v>44831.840115740742</v>
      </c>
      <c r="E3771" s="35" t="s">
        <v>294</v>
      </c>
      <c r="F3771" s="43" t="s">
        <v>6385</v>
      </c>
      <c r="G3771" s="43" t="s">
        <v>6386</v>
      </c>
      <c r="H3771" s="35" t="s">
        <v>3415</v>
      </c>
      <c r="I3771" s="35" t="s">
        <v>3416</v>
      </c>
      <c r="J3771" s="38">
        <v>0.16081283422459891</v>
      </c>
      <c r="K3771" s="35">
        <v>4</v>
      </c>
      <c r="L3771" s="38">
        <f t="shared" si="58"/>
        <v>0.64325133689839564</v>
      </c>
      <c r="M3771" s="35" t="s">
        <v>11</v>
      </c>
      <c r="N3771" s="38"/>
      <c r="O3771" s="35" t="s">
        <v>12</v>
      </c>
    </row>
    <row r="3772" spans="1:15" x14ac:dyDescent="0.25">
      <c r="A3772" s="35">
        <v>1089600453</v>
      </c>
      <c r="B3772" s="35" t="s">
        <v>4132</v>
      </c>
      <c r="C3772" s="35">
        <v>2022</v>
      </c>
      <c r="D3772" s="36">
        <v>44831.840115740742</v>
      </c>
      <c r="E3772" s="35" t="s">
        <v>294</v>
      </c>
      <c r="F3772" s="43" t="s">
        <v>4461</v>
      </c>
      <c r="G3772" s="43" t="s">
        <v>1210</v>
      </c>
      <c r="H3772" s="35" t="s">
        <v>3419</v>
      </c>
      <c r="I3772" s="35" t="s">
        <v>3416</v>
      </c>
      <c r="J3772" s="38">
        <v>0.5168983957219252</v>
      </c>
      <c r="K3772" s="35">
        <v>3</v>
      </c>
      <c r="L3772" s="38">
        <f t="shared" si="58"/>
        <v>1.5506951871657755</v>
      </c>
      <c r="M3772" s="35" t="s">
        <v>11</v>
      </c>
      <c r="N3772" s="38"/>
      <c r="O3772" s="35" t="s">
        <v>12</v>
      </c>
    </row>
    <row r="3773" spans="1:15" x14ac:dyDescent="0.25">
      <c r="A3773" s="35">
        <v>1089600453</v>
      </c>
      <c r="B3773" s="35" t="s">
        <v>4132</v>
      </c>
      <c r="C3773" s="35">
        <v>2022</v>
      </c>
      <c r="D3773" s="36">
        <v>44831.840115740742</v>
      </c>
      <c r="E3773" s="35" t="s">
        <v>294</v>
      </c>
      <c r="F3773" s="43" t="s">
        <v>6387</v>
      </c>
      <c r="G3773" s="43" t="s">
        <v>3740</v>
      </c>
      <c r="H3773" s="35" t="s">
        <v>3419</v>
      </c>
      <c r="I3773" s="35" t="s">
        <v>3416</v>
      </c>
      <c r="J3773" s="38">
        <v>0.51689839572192509</v>
      </c>
      <c r="K3773" s="35">
        <v>1</v>
      </c>
      <c r="L3773" s="38">
        <f t="shared" si="58"/>
        <v>0.51689839572192509</v>
      </c>
      <c r="M3773" s="35" t="s">
        <v>11</v>
      </c>
      <c r="N3773" s="38"/>
      <c r="O3773" s="35" t="s">
        <v>12</v>
      </c>
    </row>
    <row r="3774" spans="1:15" x14ac:dyDescent="0.25">
      <c r="A3774" s="35">
        <v>1089600453</v>
      </c>
      <c r="B3774" s="35" t="s">
        <v>4132</v>
      </c>
      <c r="C3774" s="35">
        <v>2022</v>
      </c>
      <c r="D3774" s="36">
        <v>44831.840115740742</v>
      </c>
      <c r="E3774" s="35" t="s">
        <v>294</v>
      </c>
      <c r="F3774" s="43" t="s">
        <v>6387</v>
      </c>
      <c r="G3774" s="43" t="s">
        <v>3740</v>
      </c>
      <c r="H3774" s="35" t="s">
        <v>3419</v>
      </c>
      <c r="I3774" s="35" t="s">
        <v>3416</v>
      </c>
      <c r="J3774" s="38">
        <v>1.091229946524064</v>
      </c>
      <c r="K3774" s="35">
        <v>1</v>
      </c>
      <c r="L3774" s="38">
        <f t="shared" si="58"/>
        <v>1.091229946524064</v>
      </c>
      <c r="M3774" s="35" t="s">
        <v>11</v>
      </c>
      <c r="N3774" s="38"/>
      <c r="O3774" s="35" t="s">
        <v>12</v>
      </c>
    </row>
    <row r="3775" spans="1:15" x14ac:dyDescent="0.25">
      <c r="A3775" s="35">
        <v>1089600453</v>
      </c>
      <c r="B3775" s="35" t="s">
        <v>4132</v>
      </c>
      <c r="C3775" s="35">
        <v>2022</v>
      </c>
      <c r="D3775" s="36">
        <v>44831.840115740742</v>
      </c>
      <c r="E3775" s="35" t="s">
        <v>294</v>
      </c>
      <c r="F3775" s="43" t="s">
        <v>3986</v>
      </c>
      <c r="G3775" s="43" t="s">
        <v>3805</v>
      </c>
      <c r="H3775" s="35" t="s">
        <v>3419</v>
      </c>
      <c r="I3775" s="35" t="s">
        <v>3530</v>
      </c>
      <c r="J3775" s="38">
        <v>1.665561497326203</v>
      </c>
      <c r="K3775" s="35">
        <v>1</v>
      </c>
      <c r="L3775" s="38">
        <f t="shared" si="58"/>
        <v>1.665561497326203</v>
      </c>
      <c r="M3775" s="35" t="s">
        <v>11</v>
      </c>
      <c r="N3775" s="38"/>
      <c r="O3775" s="35" t="s">
        <v>12</v>
      </c>
    </row>
    <row r="3776" spans="1:15" x14ac:dyDescent="0.25">
      <c r="A3776" s="35">
        <v>1089600453</v>
      </c>
      <c r="B3776" s="35" t="s">
        <v>4132</v>
      </c>
      <c r="C3776" s="35">
        <v>2022</v>
      </c>
      <c r="D3776" s="36">
        <v>44831.840115740742</v>
      </c>
      <c r="E3776" s="35" t="s">
        <v>294</v>
      </c>
      <c r="F3776" s="43" t="s">
        <v>6388</v>
      </c>
      <c r="G3776" s="43" t="s">
        <v>3529</v>
      </c>
      <c r="H3776" s="35" t="s">
        <v>3415</v>
      </c>
      <c r="I3776" s="35" t="s">
        <v>3416</v>
      </c>
      <c r="J3776" s="38">
        <v>0.13783957219251339</v>
      </c>
      <c r="K3776" s="35">
        <v>4</v>
      </c>
      <c r="L3776" s="38">
        <f t="shared" si="58"/>
        <v>0.55135828877005355</v>
      </c>
      <c r="M3776" s="35" t="s">
        <v>11</v>
      </c>
      <c r="N3776" s="38"/>
      <c r="O3776" s="35" t="s">
        <v>12</v>
      </c>
    </row>
    <row r="3777" spans="1:15" x14ac:dyDescent="0.25">
      <c r="A3777" s="35">
        <v>1089600453</v>
      </c>
      <c r="B3777" s="35" t="s">
        <v>4132</v>
      </c>
      <c r="C3777" s="35">
        <v>2022</v>
      </c>
      <c r="D3777" s="36">
        <v>44831.840115740742</v>
      </c>
      <c r="E3777" s="35" t="s">
        <v>294</v>
      </c>
      <c r="F3777" s="43" t="s">
        <v>3675</v>
      </c>
      <c r="G3777" s="43" t="s">
        <v>3718</v>
      </c>
      <c r="H3777" s="35" t="s">
        <v>3415</v>
      </c>
      <c r="I3777" s="35" t="s">
        <v>3416</v>
      </c>
      <c r="J3777" s="38">
        <v>0.82703743315508016</v>
      </c>
      <c r="K3777" s="35">
        <v>4</v>
      </c>
      <c r="L3777" s="38">
        <f t="shared" si="58"/>
        <v>3.3081497326203206</v>
      </c>
      <c r="M3777" s="35" t="s">
        <v>11</v>
      </c>
      <c r="N3777" s="38"/>
      <c r="O3777" s="35" t="s">
        <v>12</v>
      </c>
    </row>
    <row r="3778" spans="1:15" x14ac:dyDescent="0.25">
      <c r="A3778" s="35">
        <v>1089600453</v>
      </c>
      <c r="B3778" s="35" t="s">
        <v>4132</v>
      </c>
      <c r="C3778" s="35">
        <v>2022</v>
      </c>
      <c r="D3778" s="36">
        <v>44831.840115740742</v>
      </c>
      <c r="E3778" s="35" t="s">
        <v>294</v>
      </c>
      <c r="F3778" s="43" t="s">
        <v>6389</v>
      </c>
      <c r="G3778" s="43" t="s">
        <v>3792</v>
      </c>
      <c r="H3778" s="35" t="s">
        <v>3415</v>
      </c>
      <c r="I3778" s="35" t="s">
        <v>3416</v>
      </c>
      <c r="J3778" s="38">
        <v>0.17229946524064171</v>
      </c>
      <c r="K3778" s="35">
        <v>4</v>
      </c>
      <c r="L3778" s="38">
        <f t="shared" ref="L3778:L3841" si="59">J3778*K3778</f>
        <v>0.68919786096256686</v>
      </c>
      <c r="M3778" s="35" t="s">
        <v>11</v>
      </c>
      <c r="N3778" s="38"/>
      <c r="O3778" s="35" t="s">
        <v>12</v>
      </c>
    </row>
    <row r="3779" spans="1:15" x14ac:dyDescent="0.25">
      <c r="A3779" s="35">
        <v>1089600453</v>
      </c>
      <c r="B3779" s="35" t="s">
        <v>4132</v>
      </c>
      <c r="C3779" s="35">
        <v>2022</v>
      </c>
      <c r="D3779" s="36">
        <v>44831.840115740742</v>
      </c>
      <c r="E3779" s="35" t="s">
        <v>294</v>
      </c>
      <c r="F3779" s="43" t="s">
        <v>6390</v>
      </c>
      <c r="G3779" s="43" t="s">
        <v>3720</v>
      </c>
      <c r="H3779" s="35" t="s">
        <v>3415</v>
      </c>
      <c r="I3779" s="35" t="s">
        <v>3416</v>
      </c>
      <c r="J3779" s="38">
        <v>0.36757219251336898</v>
      </c>
      <c r="K3779" s="35">
        <v>4</v>
      </c>
      <c r="L3779" s="38">
        <f t="shared" si="59"/>
        <v>1.4702887700534759</v>
      </c>
      <c r="M3779" s="35" t="s">
        <v>11</v>
      </c>
      <c r="N3779" s="38"/>
      <c r="O3779" s="35" t="s">
        <v>12</v>
      </c>
    </row>
    <row r="3780" spans="1:15" x14ac:dyDescent="0.25">
      <c r="A3780" s="35">
        <v>1089600453</v>
      </c>
      <c r="B3780" s="35" t="s">
        <v>4132</v>
      </c>
      <c r="C3780" s="35">
        <v>2022</v>
      </c>
      <c r="D3780" s="36">
        <v>44831.840115740742</v>
      </c>
      <c r="E3780" s="35" t="s">
        <v>294</v>
      </c>
      <c r="F3780" s="43" t="s">
        <v>4388</v>
      </c>
      <c r="G3780" s="43" t="s">
        <v>3658</v>
      </c>
      <c r="H3780" s="35" t="s">
        <v>3415</v>
      </c>
      <c r="I3780" s="35" t="s">
        <v>3416</v>
      </c>
      <c r="J3780" s="38">
        <v>0.28716577540106952</v>
      </c>
      <c r="K3780" s="35">
        <v>4</v>
      </c>
      <c r="L3780" s="38">
        <f t="shared" si="59"/>
        <v>1.1486631016042781</v>
      </c>
      <c r="M3780" s="35" t="s">
        <v>11</v>
      </c>
      <c r="N3780" s="38"/>
      <c r="O3780" s="35" t="s">
        <v>12</v>
      </c>
    </row>
    <row r="3781" spans="1:15" x14ac:dyDescent="0.25">
      <c r="A3781" s="35">
        <v>1089600453</v>
      </c>
      <c r="B3781" s="35" t="s">
        <v>4132</v>
      </c>
      <c r="C3781" s="35">
        <v>2022</v>
      </c>
      <c r="D3781" s="36">
        <v>44831.840115740742</v>
      </c>
      <c r="E3781" s="35" t="s">
        <v>294</v>
      </c>
      <c r="F3781" s="43" t="s">
        <v>6391</v>
      </c>
      <c r="G3781" s="43" t="s">
        <v>3825</v>
      </c>
      <c r="H3781" s="35" t="s">
        <v>3415</v>
      </c>
      <c r="I3781" s="35" t="s">
        <v>3530</v>
      </c>
      <c r="J3781" s="38">
        <v>0.1148663101604278</v>
      </c>
      <c r="K3781" s="35">
        <v>4</v>
      </c>
      <c r="L3781" s="38">
        <f t="shared" si="59"/>
        <v>0.45946524064171118</v>
      </c>
      <c r="M3781" s="35" t="s">
        <v>11</v>
      </c>
      <c r="N3781" s="38"/>
      <c r="O3781" s="35" t="s">
        <v>12</v>
      </c>
    </row>
    <row r="3782" spans="1:15" x14ac:dyDescent="0.25">
      <c r="A3782" s="35">
        <v>1089600453</v>
      </c>
      <c r="B3782" s="35" t="s">
        <v>4132</v>
      </c>
      <c r="C3782" s="35">
        <v>2022</v>
      </c>
      <c r="D3782" s="36">
        <v>44831.840115740742</v>
      </c>
      <c r="E3782" s="35" t="s">
        <v>294</v>
      </c>
      <c r="F3782" s="43" t="s">
        <v>4075</v>
      </c>
      <c r="G3782" s="43" t="s">
        <v>3457</v>
      </c>
      <c r="H3782" s="35" t="s">
        <v>3415</v>
      </c>
      <c r="I3782" s="35" t="s">
        <v>3416</v>
      </c>
      <c r="J3782" s="38">
        <v>1.6540748663101601</v>
      </c>
      <c r="K3782" s="35">
        <v>4</v>
      </c>
      <c r="L3782" s="38">
        <f t="shared" si="59"/>
        <v>6.6162994652406404</v>
      </c>
      <c r="M3782" s="35" t="s">
        <v>11</v>
      </c>
      <c r="N3782" s="38"/>
      <c r="O3782" s="35" t="s">
        <v>12</v>
      </c>
    </row>
    <row r="3783" spans="1:15" x14ac:dyDescent="0.25">
      <c r="A3783" s="35">
        <v>1089600453</v>
      </c>
      <c r="B3783" s="35" t="s">
        <v>4132</v>
      </c>
      <c r="C3783" s="35">
        <v>2022</v>
      </c>
      <c r="D3783" s="36">
        <v>44831.840115740742</v>
      </c>
      <c r="E3783" s="35" t="s">
        <v>294</v>
      </c>
      <c r="F3783" s="43" t="s">
        <v>6392</v>
      </c>
      <c r="G3783" s="43" t="s">
        <v>3457</v>
      </c>
      <c r="H3783" s="35" t="s">
        <v>3415</v>
      </c>
      <c r="I3783" s="35" t="s">
        <v>3416</v>
      </c>
      <c r="J3783" s="38">
        <v>0.16081283422459891</v>
      </c>
      <c r="K3783" s="35">
        <v>4</v>
      </c>
      <c r="L3783" s="38">
        <f t="shared" si="59"/>
        <v>0.64325133689839564</v>
      </c>
      <c r="M3783" s="35" t="s">
        <v>11</v>
      </c>
      <c r="N3783" s="38"/>
      <c r="O3783" s="35" t="s">
        <v>12</v>
      </c>
    </row>
    <row r="3784" spans="1:15" x14ac:dyDescent="0.25">
      <c r="A3784" s="35">
        <v>1089600453</v>
      </c>
      <c r="B3784" s="35" t="s">
        <v>4132</v>
      </c>
      <c r="C3784" s="35">
        <v>2022</v>
      </c>
      <c r="D3784" s="36">
        <v>44831.840115740742</v>
      </c>
      <c r="E3784" s="35" t="s">
        <v>294</v>
      </c>
      <c r="F3784" s="43" t="s">
        <v>4800</v>
      </c>
      <c r="G3784" s="43" t="s">
        <v>3867</v>
      </c>
      <c r="H3784" s="35" t="s">
        <v>3419</v>
      </c>
      <c r="I3784" s="35" t="s">
        <v>3416</v>
      </c>
      <c r="J3784" s="38">
        <v>0.16081283422459891</v>
      </c>
      <c r="K3784" s="35">
        <v>8</v>
      </c>
      <c r="L3784" s="38">
        <f t="shared" si="59"/>
        <v>1.2865026737967913</v>
      </c>
      <c r="M3784" s="35" t="s">
        <v>11</v>
      </c>
      <c r="N3784" s="38"/>
      <c r="O3784" s="35" t="s">
        <v>12</v>
      </c>
    </row>
    <row r="3785" spans="1:15" x14ac:dyDescent="0.25">
      <c r="A3785" s="35">
        <v>1089600453</v>
      </c>
      <c r="B3785" s="35" t="s">
        <v>4132</v>
      </c>
      <c r="C3785" s="35">
        <v>2022</v>
      </c>
      <c r="D3785" s="36">
        <v>44831.840115740742</v>
      </c>
      <c r="E3785" s="35" t="s">
        <v>294</v>
      </c>
      <c r="F3785" s="43" t="s">
        <v>4801</v>
      </c>
      <c r="G3785" s="43" t="s">
        <v>3867</v>
      </c>
      <c r="H3785" s="35" t="s">
        <v>3419</v>
      </c>
      <c r="I3785" s="35" t="s">
        <v>3416</v>
      </c>
      <c r="J3785" s="38">
        <v>0.16081283422459891</v>
      </c>
      <c r="K3785" s="35">
        <v>8</v>
      </c>
      <c r="L3785" s="38">
        <f t="shared" si="59"/>
        <v>1.2865026737967913</v>
      </c>
      <c r="M3785" s="35" t="s">
        <v>11</v>
      </c>
      <c r="N3785" s="38"/>
      <c r="O3785" s="35" t="s">
        <v>12</v>
      </c>
    </row>
    <row r="3786" spans="1:15" x14ac:dyDescent="0.25">
      <c r="A3786" s="35">
        <v>1089600453</v>
      </c>
      <c r="B3786" s="35" t="s">
        <v>4132</v>
      </c>
      <c r="C3786" s="35">
        <v>2022</v>
      </c>
      <c r="D3786" s="36">
        <v>44831.840115740742</v>
      </c>
      <c r="E3786" s="35" t="s">
        <v>294</v>
      </c>
      <c r="F3786" s="43" t="s">
        <v>4802</v>
      </c>
      <c r="G3786" s="43" t="s">
        <v>3867</v>
      </c>
      <c r="H3786" s="35" t="s">
        <v>3419</v>
      </c>
      <c r="I3786" s="35" t="s">
        <v>3416</v>
      </c>
      <c r="J3786" s="38">
        <v>0.16081283422459891</v>
      </c>
      <c r="K3786" s="35">
        <v>8</v>
      </c>
      <c r="L3786" s="38">
        <f t="shared" si="59"/>
        <v>1.2865026737967913</v>
      </c>
      <c r="M3786" s="35" t="s">
        <v>11</v>
      </c>
      <c r="N3786" s="38"/>
      <c r="O3786" s="35" t="s">
        <v>12</v>
      </c>
    </row>
    <row r="3787" spans="1:15" x14ac:dyDescent="0.25">
      <c r="A3787" s="35">
        <v>1089600453</v>
      </c>
      <c r="B3787" s="35" t="s">
        <v>4132</v>
      </c>
      <c r="C3787" s="35">
        <v>2022</v>
      </c>
      <c r="D3787" s="36">
        <v>44831.840115740742</v>
      </c>
      <c r="E3787" s="35" t="s">
        <v>294</v>
      </c>
      <c r="F3787" s="43" t="s">
        <v>4804</v>
      </c>
      <c r="G3787" s="43" t="s">
        <v>3867</v>
      </c>
      <c r="H3787" s="35" t="s">
        <v>3419</v>
      </c>
      <c r="I3787" s="35" t="s">
        <v>3416</v>
      </c>
      <c r="J3787" s="38">
        <v>0.16081283422459891</v>
      </c>
      <c r="K3787" s="35">
        <v>8</v>
      </c>
      <c r="L3787" s="38">
        <f t="shared" si="59"/>
        <v>1.2865026737967913</v>
      </c>
      <c r="M3787" s="35" t="s">
        <v>11</v>
      </c>
      <c r="N3787" s="38"/>
      <c r="O3787" s="35" t="s">
        <v>12</v>
      </c>
    </row>
    <row r="3788" spans="1:15" x14ac:dyDescent="0.25">
      <c r="A3788" s="35">
        <v>1089600453</v>
      </c>
      <c r="B3788" s="35" t="s">
        <v>4132</v>
      </c>
      <c r="C3788" s="35">
        <v>2022</v>
      </c>
      <c r="D3788" s="36">
        <v>44831.840115740742</v>
      </c>
      <c r="E3788" s="35" t="s">
        <v>294</v>
      </c>
      <c r="F3788" s="43" t="s">
        <v>6393</v>
      </c>
      <c r="G3788" s="43" t="s">
        <v>6162</v>
      </c>
      <c r="H3788" s="35" t="s">
        <v>3419</v>
      </c>
      <c r="I3788" s="35" t="s">
        <v>3416</v>
      </c>
      <c r="J3788" s="38">
        <v>0.45946524064171118</v>
      </c>
      <c r="K3788" s="35">
        <v>2</v>
      </c>
      <c r="L3788" s="38">
        <f t="shared" si="59"/>
        <v>0.91893048128342236</v>
      </c>
      <c r="M3788" s="35" t="s">
        <v>11</v>
      </c>
      <c r="N3788" s="38"/>
      <c r="O3788" s="35" t="s">
        <v>12</v>
      </c>
    </row>
    <row r="3789" spans="1:15" x14ac:dyDescent="0.25">
      <c r="A3789" s="35">
        <v>1089600453</v>
      </c>
      <c r="B3789" s="35" t="s">
        <v>4132</v>
      </c>
      <c r="C3789" s="35">
        <v>2022</v>
      </c>
      <c r="D3789" s="36">
        <v>44831.840115740742</v>
      </c>
      <c r="E3789" s="35" t="s">
        <v>294</v>
      </c>
      <c r="F3789" s="43" t="s">
        <v>6394</v>
      </c>
      <c r="G3789" s="43" t="s">
        <v>3551</v>
      </c>
      <c r="H3789" s="35" t="s">
        <v>3415</v>
      </c>
      <c r="I3789" s="35" t="s">
        <v>3416</v>
      </c>
      <c r="J3789" s="38">
        <v>2.8716577540106951</v>
      </c>
      <c r="K3789" s="35">
        <v>4</v>
      </c>
      <c r="L3789" s="38">
        <f t="shared" si="59"/>
        <v>11.48663101604278</v>
      </c>
      <c r="M3789" s="35" t="s">
        <v>11</v>
      </c>
      <c r="N3789" s="38"/>
      <c r="O3789" s="35" t="s">
        <v>12</v>
      </c>
    </row>
    <row r="3790" spans="1:15" x14ac:dyDescent="0.25">
      <c r="A3790" s="35">
        <v>1089600453</v>
      </c>
      <c r="B3790" s="35" t="s">
        <v>4132</v>
      </c>
      <c r="C3790" s="35">
        <v>2022</v>
      </c>
      <c r="D3790" s="36">
        <v>44831.840115740742</v>
      </c>
      <c r="E3790" s="35" t="s">
        <v>294</v>
      </c>
      <c r="F3790" s="43" t="s">
        <v>4645</v>
      </c>
      <c r="G3790" s="43" t="s">
        <v>4646</v>
      </c>
      <c r="H3790" s="35" t="s">
        <v>3419</v>
      </c>
      <c r="I3790" s="35" t="s">
        <v>3530</v>
      </c>
      <c r="J3790" s="38">
        <v>5.628449197860963</v>
      </c>
      <c r="K3790" s="35">
        <v>1</v>
      </c>
      <c r="L3790" s="38">
        <f t="shared" si="59"/>
        <v>5.628449197860963</v>
      </c>
      <c r="M3790" s="35" t="s">
        <v>11</v>
      </c>
      <c r="N3790" s="38"/>
      <c r="O3790" s="35" t="s">
        <v>12</v>
      </c>
    </row>
    <row r="3791" spans="1:15" x14ac:dyDescent="0.25">
      <c r="A3791" s="35">
        <v>1089600453</v>
      </c>
      <c r="B3791" s="35" t="s">
        <v>4132</v>
      </c>
      <c r="C3791" s="35">
        <v>2022</v>
      </c>
      <c r="D3791" s="36">
        <v>44831.840115740742</v>
      </c>
      <c r="E3791" s="35" t="s">
        <v>294</v>
      </c>
      <c r="F3791" s="43" t="s">
        <v>4340</v>
      </c>
      <c r="G3791" s="43" t="s">
        <v>3718</v>
      </c>
      <c r="H3791" s="35" t="s">
        <v>3415</v>
      </c>
      <c r="I3791" s="35" t="s">
        <v>3416</v>
      </c>
      <c r="J3791" s="38">
        <v>0.34459893048128343</v>
      </c>
      <c r="K3791" s="35">
        <v>4</v>
      </c>
      <c r="L3791" s="38">
        <f t="shared" si="59"/>
        <v>1.3783957219251337</v>
      </c>
      <c r="M3791" s="35" t="s">
        <v>11</v>
      </c>
      <c r="N3791" s="38"/>
      <c r="O3791" s="35" t="s">
        <v>12</v>
      </c>
    </row>
    <row r="3792" spans="1:15" x14ac:dyDescent="0.25">
      <c r="A3792" s="35">
        <v>1089600453</v>
      </c>
      <c r="B3792" s="35" t="s">
        <v>4132</v>
      </c>
      <c r="C3792" s="35">
        <v>2022</v>
      </c>
      <c r="D3792" s="36">
        <v>44831.840115740742</v>
      </c>
      <c r="E3792" s="35" t="s">
        <v>294</v>
      </c>
      <c r="F3792" s="43" t="s">
        <v>3822</v>
      </c>
      <c r="G3792" s="43" t="s">
        <v>3823</v>
      </c>
      <c r="H3792" s="35" t="s">
        <v>3415</v>
      </c>
      <c r="I3792" s="35" t="s">
        <v>3416</v>
      </c>
      <c r="J3792" s="38">
        <v>0.51689839572192509</v>
      </c>
      <c r="K3792" s="35">
        <v>4</v>
      </c>
      <c r="L3792" s="38">
        <f t="shared" si="59"/>
        <v>2.0675935828877003</v>
      </c>
      <c r="M3792" s="35" t="s">
        <v>11</v>
      </c>
      <c r="N3792" s="38"/>
      <c r="O3792" s="35" t="s">
        <v>12</v>
      </c>
    </row>
    <row r="3793" spans="1:15" x14ac:dyDescent="0.25">
      <c r="A3793" s="35">
        <v>1089600453</v>
      </c>
      <c r="B3793" s="35" t="s">
        <v>4132</v>
      </c>
      <c r="C3793" s="35">
        <v>2022</v>
      </c>
      <c r="D3793" s="36">
        <v>44831.840115740742</v>
      </c>
      <c r="E3793" s="35" t="s">
        <v>294</v>
      </c>
      <c r="F3793" s="43" t="s">
        <v>3986</v>
      </c>
      <c r="G3793" s="43" t="s">
        <v>3987</v>
      </c>
      <c r="H3793" s="35" t="s">
        <v>3419</v>
      </c>
      <c r="I3793" s="35" t="s">
        <v>3416</v>
      </c>
      <c r="J3793" s="38">
        <v>2.2398930481283421</v>
      </c>
      <c r="K3793" s="35">
        <v>3</v>
      </c>
      <c r="L3793" s="38">
        <f t="shared" si="59"/>
        <v>6.7196791443850259</v>
      </c>
      <c r="M3793" s="35" t="s">
        <v>11</v>
      </c>
      <c r="N3793" s="38"/>
      <c r="O3793" s="35" t="s">
        <v>12</v>
      </c>
    </row>
    <row r="3794" spans="1:15" x14ac:dyDescent="0.25">
      <c r="A3794" s="35">
        <v>1089437514</v>
      </c>
      <c r="B3794" s="35" t="s">
        <v>4132</v>
      </c>
      <c r="C3794" s="35">
        <v>2022</v>
      </c>
      <c r="D3794" s="36">
        <v>44830.479675925933</v>
      </c>
      <c r="E3794" s="35" t="s">
        <v>181</v>
      </c>
      <c r="F3794" s="43" t="s">
        <v>4073</v>
      </c>
      <c r="G3794" s="43" t="s">
        <v>4309</v>
      </c>
      <c r="H3794" s="35" t="s">
        <v>3419</v>
      </c>
      <c r="I3794" s="35" t="s">
        <v>3416</v>
      </c>
      <c r="J3794" s="38">
        <v>3.8067648634172468</v>
      </c>
      <c r="K3794" s="35">
        <v>3</v>
      </c>
      <c r="L3794" s="38">
        <f t="shared" si="59"/>
        <v>11.420294590251741</v>
      </c>
      <c r="M3794" s="35" t="s">
        <v>11</v>
      </c>
      <c r="N3794" s="38"/>
      <c r="O3794" s="35" t="s">
        <v>12</v>
      </c>
    </row>
    <row r="3795" spans="1:15" x14ac:dyDescent="0.25">
      <c r="A3795" s="35">
        <v>1089437514</v>
      </c>
      <c r="B3795" s="35" t="s">
        <v>4132</v>
      </c>
      <c r="C3795" s="35">
        <v>2022</v>
      </c>
      <c r="D3795" s="36">
        <v>44830.479675925933</v>
      </c>
      <c r="E3795" s="35" t="s">
        <v>181</v>
      </c>
      <c r="F3795" s="43" t="s">
        <v>6395</v>
      </c>
      <c r="G3795" s="43" t="s">
        <v>6396</v>
      </c>
      <c r="H3795" s="35" t="s">
        <v>3419</v>
      </c>
      <c r="I3795" s="35" t="s">
        <v>3416</v>
      </c>
      <c r="J3795" s="38">
        <v>6.2894376004284949</v>
      </c>
      <c r="K3795" s="35">
        <v>1</v>
      </c>
      <c r="L3795" s="38">
        <f t="shared" si="59"/>
        <v>6.2894376004284949</v>
      </c>
      <c r="M3795" s="35" t="s">
        <v>11</v>
      </c>
      <c r="N3795" s="38"/>
      <c r="O3795" s="35" t="s">
        <v>12</v>
      </c>
    </row>
    <row r="3796" spans="1:15" x14ac:dyDescent="0.25">
      <c r="A3796" s="35">
        <v>1089437514</v>
      </c>
      <c r="B3796" s="35" t="s">
        <v>4132</v>
      </c>
      <c r="C3796" s="35">
        <v>2022</v>
      </c>
      <c r="D3796" s="36">
        <v>44830.479675925933</v>
      </c>
      <c r="E3796" s="35" t="s">
        <v>181</v>
      </c>
      <c r="F3796" s="43" t="s">
        <v>6397</v>
      </c>
      <c r="G3796" s="43" t="s">
        <v>4083</v>
      </c>
      <c r="H3796" s="35" t="s">
        <v>3419</v>
      </c>
      <c r="I3796" s="35" t="s">
        <v>3416</v>
      </c>
      <c r="J3796" s="38">
        <v>1.2477021960364221</v>
      </c>
      <c r="K3796" s="35">
        <v>2</v>
      </c>
      <c r="L3796" s="38">
        <f t="shared" si="59"/>
        <v>2.4954043920728441</v>
      </c>
      <c r="M3796" s="35" t="s">
        <v>11</v>
      </c>
      <c r="N3796" s="38"/>
      <c r="O3796" s="35" t="s">
        <v>12</v>
      </c>
    </row>
    <row r="3797" spans="1:15" x14ac:dyDescent="0.25">
      <c r="A3797" s="35">
        <v>1089437514</v>
      </c>
      <c r="B3797" s="35" t="s">
        <v>4132</v>
      </c>
      <c r="C3797" s="35">
        <v>2022</v>
      </c>
      <c r="D3797" s="36">
        <v>44830.479675925933</v>
      </c>
      <c r="E3797" s="35" t="s">
        <v>181</v>
      </c>
      <c r="F3797" s="43" t="s">
        <v>6398</v>
      </c>
      <c r="G3797" s="43" t="s">
        <v>3945</v>
      </c>
      <c r="H3797" s="35" t="s">
        <v>3419</v>
      </c>
      <c r="I3797" s="35" t="s">
        <v>3416</v>
      </c>
      <c r="J3797" s="38">
        <v>0.44560792715586489</v>
      </c>
      <c r="K3797" s="35">
        <v>3</v>
      </c>
      <c r="L3797" s="38">
        <f t="shared" si="59"/>
        <v>1.3368237814675947</v>
      </c>
      <c r="M3797" s="35" t="s">
        <v>11</v>
      </c>
      <c r="N3797" s="38"/>
      <c r="O3797" s="35" t="s">
        <v>12</v>
      </c>
    </row>
    <row r="3798" spans="1:15" x14ac:dyDescent="0.25">
      <c r="A3798" s="35">
        <v>1089437514</v>
      </c>
      <c r="B3798" s="35" t="s">
        <v>4132</v>
      </c>
      <c r="C3798" s="35">
        <v>2022</v>
      </c>
      <c r="D3798" s="36">
        <v>44830.479675925933</v>
      </c>
      <c r="E3798" s="35" t="s">
        <v>181</v>
      </c>
      <c r="F3798" s="43" t="s">
        <v>6399</v>
      </c>
      <c r="G3798" s="43" t="s">
        <v>3658</v>
      </c>
      <c r="H3798" s="35" t="s">
        <v>3419</v>
      </c>
      <c r="I3798" s="35" t="s">
        <v>3416</v>
      </c>
      <c r="J3798" s="38">
        <v>2.2280396357793251</v>
      </c>
      <c r="K3798" s="35">
        <v>1</v>
      </c>
      <c r="L3798" s="38">
        <f t="shared" si="59"/>
        <v>2.2280396357793251</v>
      </c>
      <c r="M3798" s="35" t="s">
        <v>11</v>
      </c>
      <c r="N3798" s="38"/>
      <c r="O3798" s="35" t="s">
        <v>12</v>
      </c>
    </row>
    <row r="3799" spans="1:15" x14ac:dyDescent="0.25">
      <c r="A3799" s="35">
        <v>1089379499</v>
      </c>
      <c r="B3799" s="35" t="s">
        <v>4132</v>
      </c>
      <c r="C3799" s="35">
        <v>2022</v>
      </c>
      <c r="D3799" s="36">
        <v>44829.86142361111</v>
      </c>
      <c r="E3799" s="35" t="s">
        <v>318</v>
      </c>
      <c r="F3799" s="43" t="s">
        <v>6400</v>
      </c>
      <c r="G3799" s="43" t="s">
        <v>6255</v>
      </c>
      <c r="H3799" s="35" t="s">
        <v>3419</v>
      </c>
      <c r="I3799" s="35" t="s">
        <v>3530</v>
      </c>
      <c r="J3799" s="38">
        <v>1.6636063022758221</v>
      </c>
      <c r="K3799" s="35">
        <v>1</v>
      </c>
      <c r="L3799" s="38">
        <f t="shared" si="59"/>
        <v>1.6636063022758221</v>
      </c>
      <c r="M3799" s="35" t="s">
        <v>11</v>
      </c>
      <c r="N3799" s="38"/>
      <c r="O3799" s="35" t="s">
        <v>12</v>
      </c>
    </row>
    <row r="3800" spans="1:15" x14ac:dyDescent="0.25">
      <c r="A3800" s="35">
        <v>1089379499</v>
      </c>
      <c r="B3800" s="35" t="s">
        <v>4132</v>
      </c>
      <c r="C3800" s="35">
        <v>2022</v>
      </c>
      <c r="D3800" s="36">
        <v>44829.86142361111</v>
      </c>
      <c r="E3800" s="35" t="s">
        <v>318</v>
      </c>
      <c r="F3800" s="43" t="s">
        <v>3909</v>
      </c>
      <c r="G3800" s="43" t="s">
        <v>1210</v>
      </c>
      <c r="H3800" s="35" t="s">
        <v>3415</v>
      </c>
      <c r="I3800" s="35" t="s">
        <v>3530</v>
      </c>
      <c r="J3800" s="38">
        <v>0.32378914608052911</v>
      </c>
      <c r="K3800" s="35">
        <v>4</v>
      </c>
      <c r="L3800" s="38">
        <f t="shared" si="59"/>
        <v>1.2951565843221164</v>
      </c>
      <c r="M3800" s="35" t="s">
        <v>11</v>
      </c>
      <c r="N3800" s="38"/>
      <c r="O3800" s="35" t="s">
        <v>12</v>
      </c>
    </row>
    <row r="3801" spans="1:15" x14ac:dyDescent="0.25">
      <c r="A3801" s="35">
        <v>1089379499</v>
      </c>
      <c r="B3801" s="35" t="s">
        <v>4132</v>
      </c>
      <c r="C3801" s="35">
        <v>2022</v>
      </c>
      <c r="D3801" s="36">
        <v>44829.86142361111</v>
      </c>
      <c r="E3801" s="35" t="s">
        <v>318</v>
      </c>
      <c r="F3801" s="43" t="s">
        <v>6401</v>
      </c>
      <c r="G3801" s="43" t="s">
        <v>3664</v>
      </c>
      <c r="H3801" s="35" t="s">
        <v>3415</v>
      </c>
      <c r="I3801" s="35" t="s">
        <v>3416</v>
      </c>
      <c r="J3801" s="38">
        <v>0.54709200544641123</v>
      </c>
      <c r="K3801" s="35">
        <v>4</v>
      </c>
      <c r="L3801" s="38">
        <f t="shared" si="59"/>
        <v>2.1883680217856449</v>
      </c>
      <c r="M3801" s="35" t="s">
        <v>11</v>
      </c>
      <c r="N3801" s="38"/>
      <c r="O3801" s="35" t="s">
        <v>12</v>
      </c>
    </row>
    <row r="3802" spans="1:15" x14ac:dyDescent="0.25">
      <c r="A3802" s="35">
        <v>1089379499</v>
      </c>
      <c r="B3802" s="35" t="s">
        <v>4132</v>
      </c>
      <c r="C3802" s="35">
        <v>2022</v>
      </c>
      <c r="D3802" s="36">
        <v>44829.86142361111</v>
      </c>
      <c r="E3802" s="35" t="s">
        <v>318</v>
      </c>
      <c r="F3802" s="43" t="s">
        <v>5278</v>
      </c>
      <c r="G3802" s="43" t="s">
        <v>3551</v>
      </c>
      <c r="H3802" s="35" t="s">
        <v>3419</v>
      </c>
      <c r="I3802" s="35" t="s">
        <v>3416</v>
      </c>
      <c r="J3802" s="38">
        <v>0.54709200544641123</v>
      </c>
      <c r="K3802" s="35">
        <v>3</v>
      </c>
      <c r="L3802" s="38">
        <f t="shared" si="59"/>
        <v>1.6412760163392337</v>
      </c>
      <c r="M3802" s="35" t="s">
        <v>11</v>
      </c>
      <c r="N3802" s="38"/>
      <c r="O3802" s="35" t="s">
        <v>12</v>
      </c>
    </row>
    <row r="3803" spans="1:15" x14ac:dyDescent="0.25">
      <c r="A3803" s="35">
        <v>1089379499</v>
      </c>
      <c r="B3803" s="35" t="s">
        <v>4132</v>
      </c>
      <c r="C3803" s="35">
        <v>2022</v>
      </c>
      <c r="D3803" s="36">
        <v>44829.86142361111</v>
      </c>
      <c r="E3803" s="35" t="s">
        <v>318</v>
      </c>
      <c r="F3803" s="43" t="s">
        <v>6402</v>
      </c>
      <c r="G3803" s="43" t="s">
        <v>4097</v>
      </c>
      <c r="H3803" s="35" t="s">
        <v>3415</v>
      </c>
      <c r="I3803" s="35" t="s">
        <v>3416</v>
      </c>
      <c r="J3803" s="38">
        <v>0.65874343512935218</v>
      </c>
      <c r="K3803" s="35">
        <v>4</v>
      </c>
      <c r="L3803" s="38">
        <f t="shared" si="59"/>
        <v>2.6349737405174087</v>
      </c>
      <c r="M3803" s="35" t="s">
        <v>11</v>
      </c>
      <c r="N3803" s="38"/>
      <c r="O3803" s="35" t="s">
        <v>12</v>
      </c>
    </row>
    <row r="3804" spans="1:15" x14ac:dyDescent="0.25">
      <c r="A3804" s="35">
        <v>1089379499</v>
      </c>
      <c r="B3804" s="35" t="s">
        <v>4132</v>
      </c>
      <c r="C3804" s="35">
        <v>2022</v>
      </c>
      <c r="D3804" s="36">
        <v>44829.86142361111</v>
      </c>
      <c r="E3804" s="35" t="s">
        <v>318</v>
      </c>
      <c r="F3804" s="43" t="s">
        <v>6066</v>
      </c>
      <c r="G3804" s="43" t="s">
        <v>3718</v>
      </c>
      <c r="H3804" s="35" t="s">
        <v>3419</v>
      </c>
      <c r="I3804" s="35" t="s">
        <v>3416</v>
      </c>
      <c r="J3804" s="38">
        <v>0.26796343123905858</v>
      </c>
      <c r="K3804" s="35">
        <v>3</v>
      </c>
      <c r="L3804" s="38">
        <f t="shared" si="59"/>
        <v>0.80389029371717569</v>
      </c>
      <c r="M3804" s="35" t="s">
        <v>11</v>
      </c>
      <c r="N3804" s="38"/>
      <c r="O3804" s="35" t="s">
        <v>12</v>
      </c>
    </row>
    <row r="3805" spans="1:15" x14ac:dyDescent="0.25">
      <c r="A3805" s="35">
        <v>1089379499</v>
      </c>
      <c r="B3805" s="35" t="s">
        <v>4132</v>
      </c>
      <c r="C3805" s="35">
        <v>2022</v>
      </c>
      <c r="D3805" s="36">
        <v>44829.86142361111</v>
      </c>
      <c r="E3805" s="35" t="s">
        <v>318</v>
      </c>
      <c r="F3805" s="43" t="s">
        <v>6403</v>
      </c>
      <c r="G3805" s="43" t="s">
        <v>4867</v>
      </c>
      <c r="H3805" s="35" t="s">
        <v>3415</v>
      </c>
      <c r="I3805" s="35" t="s">
        <v>3416</v>
      </c>
      <c r="J3805" s="38">
        <v>0.54709200544641123</v>
      </c>
      <c r="K3805" s="35">
        <v>4</v>
      </c>
      <c r="L3805" s="38">
        <f t="shared" si="59"/>
        <v>2.1883680217856449</v>
      </c>
      <c r="M3805" s="35" t="s">
        <v>11</v>
      </c>
      <c r="N3805" s="38"/>
      <c r="O3805" s="35" t="s">
        <v>12</v>
      </c>
    </row>
    <row r="3806" spans="1:15" x14ac:dyDescent="0.25">
      <c r="A3806" s="35">
        <v>1089379499</v>
      </c>
      <c r="B3806" s="35" t="s">
        <v>4132</v>
      </c>
      <c r="C3806" s="35">
        <v>2022</v>
      </c>
      <c r="D3806" s="36">
        <v>44829.86142361111</v>
      </c>
      <c r="E3806" s="35" t="s">
        <v>318</v>
      </c>
      <c r="F3806" s="43" t="s">
        <v>6400</v>
      </c>
      <c r="G3806" s="43" t="s">
        <v>3529</v>
      </c>
      <c r="H3806" s="35" t="s">
        <v>3419</v>
      </c>
      <c r="I3806" s="35" t="s">
        <v>3416</v>
      </c>
      <c r="J3806" s="38">
        <v>2.221863450690527</v>
      </c>
      <c r="K3806" s="35">
        <v>3</v>
      </c>
      <c r="L3806" s="38">
        <f t="shared" si="59"/>
        <v>6.6655903520715807</v>
      </c>
      <c r="M3806" s="35" t="s">
        <v>11</v>
      </c>
      <c r="N3806" s="38"/>
      <c r="O3806" s="35" t="s">
        <v>12</v>
      </c>
    </row>
    <row r="3807" spans="1:15" x14ac:dyDescent="0.25">
      <c r="A3807" s="35">
        <v>1089379499</v>
      </c>
      <c r="B3807" s="35" t="s">
        <v>4132</v>
      </c>
      <c r="C3807" s="35">
        <v>2022</v>
      </c>
      <c r="D3807" s="36">
        <v>44829.86142361111</v>
      </c>
      <c r="E3807" s="35" t="s">
        <v>318</v>
      </c>
      <c r="F3807" s="43" t="s">
        <v>3767</v>
      </c>
      <c r="G3807" s="43" t="s">
        <v>3768</v>
      </c>
      <c r="H3807" s="35" t="s">
        <v>3419</v>
      </c>
      <c r="I3807" s="35" t="s">
        <v>3416</v>
      </c>
      <c r="J3807" s="38">
        <v>5.5714063411787587</v>
      </c>
      <c r="K3807" s="35">
        <v>3</v>
      </c>
      <c r="L3807" s="38">
        <f t="shared" si="59"/>
        <v>16.714219023536277</v>
      </c>
      <c r="M3807" s="35" t="s">
        <v>11</v>
      </c>
      <c r="N3807" s="38"/>
      <c r="O3807" s="35" t="s">
        <v>12</v>
      </c>
    </row>
    <row r="3808" spans="1:15" x14ac:dyDescent="0.25">
      <c r="A3808" s="35">
        <v>1089379499</v>
      </c>
      <c r="B3808" s="35" t="s">
        <v>4132</v>
      </c>
      <c r="C3808" s="35">
        <v>2022</v>
      </c>
      <c r="D3808" s="36">
        <v>44829.86142361111</v>
      </c>
      <c r="E3808" s="35" t="s">
        <v>318</v>
      </c>
      <c r="F3808" s="43" t="s">
        <v>4340</v>
      </c>
      <c r="G3808" s="43" t="s">
        <v>3718</v>
      </c>
      <c r="H3808" s="35" t="s">
        <v>3415</v>
      </c>
      <c r="I3808" s="35" t="s">
        <v>3416</v>
      </c>
      <c r="J3808" s="38">
        <v>0.93787200933670489</v>
      </c>
      <c r="K3808" s="35">
        <v>4</v>
      </c>
      <c r="L3808" s="38">
        <f t="shared" si="59"/>
        <v>3.7514880373468196</v>
      </c>
      <c r="M3808" s="35" t="s">
        <v>11</v>
      </c>
      <c r="N3808" s="38"/>
      <c r="O3808" s="35" t="s">
        <v>12</v>
      </c>
    </row>
    <row r="3809" spans="1:15" x14ac:dyDescent="0.25">
      <c r="A3809" s="35">
        <v>1089379499</v>
      </c>
      <c r="B3809" s="35" t="s">
        <v>4132</v>
      </c>
      <c r="C3809" s="35">
        <v>2022</v>
      </c>
      <c r="D3809" s="36">
        <v>44829.86142361111</v>
      </c>
      <c r="E3809" s="35" t="s">
        <v>318</v>
      </c>
      <c r="F3809" s="43" t="s">
        <v>5213</v>
      </c>
      <c r="G3809" s="43" t="s">
        <v>4147</v>
      </c>
      <c r="H3809" s="35" t="s">
        <v>3419</v>
      </c>
      <c r="I3809" s="35" t="s">
        <v>3530</v>
      </c>
      <c r="J3809" s="38">
        <v>17.853063606302271</v>
      </c>
      <c r="K3809" s="35">
        <v>1</v>
      </c>
      <c r="L3809" s="38">
        <f t="shared" si="59"/>
        <v>17.853063606302271</v>
      </c>
      <c r="M3809" s="35" t="s">
        <v>11</v>
      </c>
      <c r="N3809" s="38"/>
      <c r="O3809" s="35" t="s">
        <v>12</v>
      </c>
    </row>
    <row r="3810" spans="1:15" x14ac:dyDescent="0.25">
      <c r="A3810" s="35">
        <v>1088899357</v>
      </c>
      <c r="B3810" s="35" t="s">
        <v>4132</v>
      </c>
      <c r="C3810" s="35">
        <v>2022</v>
      </c>
      <c r="D3810" s="36">
        <v>44824.95952546296</v>
      </c>
      <c r="E3810" s="35" t="s">
        <v>318</v>
      </c>
      <c r="F3810" s="43" t="s">
        <v>4796</v>
      </c>
      <c r="G3810" s="43" t="s">
        <v>4063</v>
      </c>
      <c r="H3810" s="35" t="s">
        <v>3415</v>
      </c>
      <c r="I3810" s="35" t="s">
        <v>3416</v>
      </c>
      <c r="J3810" s="38">
        <v>0.26603404563563932</v>
      </c>
      <c r="K3810" s="35">
        <v>4</v>
      </c>
      <c r="L3810" s="38">
        <f t="shared" si="59"/>
        <v>1.0641361825425573</v>
      </c>
      <c r="M3810" s="35" t="s">
        <v>11</v>
      </c>
      <c r="N3810" s="38"/>
      <c r="O3810" s="35" t="s">
        <v>12</v>
      </c>
    </row>
    <row r="3811" spans="1:15" x14ac:dyDescent="0.25">
      <c r="A3811" s="35">
        <v>1088899357</v>
      </c>
      <c r="B3811" s="35" t="s">
        <v>4132</v>
      </c>
      <c r="C3811" s="35">
        <v>2022</v>
      </c>
      <c r="D3811" s="36">
        <v>44824.95952546296</v>
      </c>
      <c r="E3811" s="35" t="s">
        <v>318</v>
      </c>
      <c r="F3811" s="43" t="s">
        <v>4522</v>
      </c>
      <c r="G3811" s="43" t="s">
        <v>3945</v>
      </c>
      <c r="H3811" s="35" t="s">
        <v>3415</v>
      </c>
      <c r="I3811" s="35" t="s">
        <v>3416</v>
      </c>
      <c r="J3811" s="38">
        <v>1.651628033321261</v>
      </c>
      <c r="K3811" s="35">
        <v>4</v>
      </c>
      <c r="L3811" s="38">
        <f t="shared" si="59"/>
        <v>6.6065121332850438</v>
      </c>
      <c r="M3811" s="35" t="s">
        <v>11</v>
      </c>
      <c r="N3811" s="38"/>
      <c r="O3811" s="35" t="s">
        <v>12</v>
      </c>
    </row>
    <row r="3812" spans="1:15" x14ac:dyDescent="0.25">
      <c r="A3812" s="35">
        <v>1088899357</v>
      </c>
      <c r="B3812" s="35" t="s">
        <v>4132</v>
      </c>
      <c r="C3812" s="35">
        <v>2022</v>
      </c>
      <c r="D3812" s="36">
        <v>44824.95952546296</v>
      </c>
      <c r="E3812" s="35" t="s">
        <v>318</v>
      </c>
      <c r="F3812" s="43" t="s">
        <v>6404</v>
      </c>
      <c r="G3812" s="43" t="s">
        <v>3664</v>
      </c>
      <c r="H3812" s="35" t="s">
        <v>3415</v>
      </c>
      <c r="I3812" s="35" t="s">
        <v>3416</v>
      </c>
      <c r="J3812" s="38">
        <v>1.651628033321261</v>
      </c>
      <c r="K3812" s="35">
        <v>4</v>
      </c>
      <c r="L3812" s="38">
        <f t="shared" si="59"/>
        <v>6.6065121332850438</v>
      </c>
      <c r="M3812" s="35" t="s">
        <v>11</v>
      </c>
      <c r="N3812" s="38"/>
      <c r="O3812" s="35" t="s">
        <v>12</v>
      </c>
    </row>
    <row r="3813" spans="1:15" x14ac:dyDescent="0.25">
      <c r="A3813" s="35">
        <v>1088899357</v>
      </c>
      <c r="B3813" s="35" t="s">
        <v>4132</v>
      </c>
      <c r="C3813" s="35">
        <v>2022</v>
      </c>
      <c r="D3813" s="36">
        <v>44824.95952546296</v>
      </c>
      <c r="E3813" s="35" t="s">
        <v>318</v>
      </c>
      <c r="F3813" s="43" t="s">
        <v>3936</v>
      </c>
      <c r="G3813" s="43" t="s">
        <v>4927</v>
      </c>
      <c r="H3813" s="35" t="s">
        <v>3419</v>
      </c>
      <c r="I3813" s="35" t="s">
        <v>3530</v>
      </c>
      <c r="J3813" s="38">
        <v>3.314340818544006</v>
      </c>
      <c r="K3813" s="35">
        <v>2</v>
      </c>
      <c r="L3813" s="38">
        <f t="shared" si="59"/>
        <v>6.6286816370880119</v>
      </c>
      <c r="M3813" s="35" t="s">
        <v>11</v>
      </c>
      <c r="N3813" s="38"/>
      <c r="O3813" s="35" t="s">
        <v>12</v>
      </c>
    </row>
    <row r="3814" spans="1:15" x14ac:dyDescent="0.25">
      <c r="A3814" s="35">
        <v>1088899357</v>
      </c>
      <c r="B3814" s="35" t="s">
        <v>4132</v>
      </c>
      <c r="C3814" s="35">
        <v>2022</v>
      </c>
      <c r="D3814" s="36">
        <v>44824.95952546296</v>
      </c>
      <c r="E3814" s="35" t="s">
        <v>318</v>
      </c>
      <c r="F3814" s="43" t="s">
        <v>4842</v>
      </c>
      <c r="G3814" s="43" t="s">
        <v>3718</v>
      </c>
      <c r="H3814" s="35" t="s">
        <v>3415</v>
      </c>
      <c r="I3814" s="35" t="s">
        <v>3416</v>
      </c>
      <c r="J3814" s="38">
        <v>0.26603404563563932</v>
      </c>
      <c r="K3814" s="35">
        <v>4</v>
      </c>
      <c r="L3814" s="38">
        <f t="shared" si="59"/>
        <v>1.0641361825425573</v>
      </c>
      <c r="M3814" s="35" t="s">
        <v>11</v>
      </c>
      <c r="N3814" s="38"/>
      <c r="O3814" s="35" t="s">
        <v>12</v>
      </c>
    </row>
    <row r="3815" spans="1:15" x14ac:dyDescent="0.25">
      <c r="A3815" s="35">
        <v>1088899357</v>
      </c>
      <c r="B3815" s="35" t="s">
        <v>4132</v>
      </c>
      <c r="C3815" s="35">
        <v>2022</v>
      </c>
      <c r="D3815" s="36">
        <v>44824.95952546296</v>
      </c>
      <c r="E3815" s="35" t="s">
        <v>318</v>
      </c>
      <c r="F3815" s="43" t="s">
        <v>6405</v>
      </c>
      <c r="G3815" s="43" t="s">
        <v>1210</v>
      </c>
      <c r="H3815" s="35" t="s">
        <v>3419</v>
      </c>
      <c r="I3815" s="35" t="s">
        <v>3530</v>
      </c>
      <c r="J3815" s="38">
        <v>5.5312911988410001</v>
      </c>
      <c r="K3815" s="35">
        <v>3</v>
      </c>
      <c r="L3815" s="38">
        <f t="shared" si="59"/>
        <v>16.593873596523</v>
      </c>
      <c r="M3815" s="35" t="s">
        <v>11</v>
      </c>
      <c r="N3815" s="38"/>
      <c r="O3815" s="35" t="s">
        <v>12</v>
      </c>
    </row>
    <row r="3816" spans="1:15" x14ac:dyDescent="0.25">
      <c r="A3816" s="35">
        <v>1088899357</v>
      </c>
      <c r="B3816" s="35" t="s">
        <v>4132</v>
      </c>
      <c r="C3816" s="35">
        <v>2022</v>
      </c>
      <c r="D3816" s="36">
        <v>44824.95952546296</v>
      </c>
      <c r="E3816" s="35" t="s">
        <v>318</v>
      </c>
      <c r="F3816" s="43" t="s">
        <v>6406</v>
      </c>
      <c r="G3816" s="43" t="s">
        <v>3937</v>
      </c>
      <c r="H3816" s="35" t="s">
        <v>3419</v>
      </c>
      <c r="I3816" s="35" t="s">
        <v>3530</v>
      </c>
      <c r="J3816" s="38">
        <v>0.22169503802969939</v>
      </c>
      <c r="K3816" s="35">
        <v>3</v>
      </c>
      <c r="L3816" s="38">
        <f t="shared" si="59"/>
        <v>0.66508511408909821</v>
      </c>
      <c r="M3816" s="35" t="s">
        <v>11</v>
      </c>
      <c r="N3816" s="38"/>
      <c r="O3816" s="35" t="s">
        <v>12</v>
      </c>
    </row>
    <row r="3817" spans="1:15" x14ac:dyDescent="0.25">
      <c r="A3817" s="35">
        <v>1088899357</v>
      </c>
      <c r="B3817" s="35" t="s">
        <v>4132</v>
      </c>
      <c r="C3817" s="35">
        <v>2022</v>
      </c>
      <c r="D3817" s="36">
        <v>44824.95952546296</v>
      </c>
      <c r="E3817" s="35" t="s">
        <v>318</v>
      </c>
      <c r="F3817" s="43" t="s">
        <v>6407</v>
      </c>
      <c r="G3817" s="43" t="s">
        <v>3650</v>
      </c>
      <c r="H3817" s="35" t="s">
        <v>3419</v>
      </c>
      <c r="I3817" s="35" t="s">
        <v>3416</v>
      </c>
      <c r="J3817" s="38">
        <v>0.26603404563563932</v>
      </c>
      <c r="K3817" s="35">
        <v>3</v>
      </c>
      <c r="L3817" s="38">
        <f t="shared" si="59"/>
        <v>0.79810213690691789</v>
      </c>
      <c r="M3817" s="35" t="s">
        <v>11</v>
      </c>
      <c r="N3817" s="38"/>
      <c r="O3817" s="35" t="s">
        <v>12</v>
      </c>
    </row>
    <row r="3818" spans="1:15" x14ac:dyDescent="0.25">
      <c r="A3818" s="35">
        <v>1088899357</v>
      </c>
      <c r="B3818" s="35" t="s">
        <v>4132</v>
      </c>
      <c r="C3818" s="35">
        <v>2022</v>
      </c>
      <c r="D3818" s="36">
        <v>44824.95952546296</v>
      </c>
      <c r="E3818" s="35" t="s">
        <v>318</v>
      </c>
      <c r="F3818" s="43" t="s">
        <v>4797</v>
      </c>
      <c r="G3818" s="43" t="s">
        <v>4063</v>
      </c>
      <c r="H3818" s="35" t="s">
        <v>3415</v>
      </c>
      <c r="I3818" s="35" t="s">
        <v>3416</v>
      </c>
      <c r="J3818" s="38">
        <v>0.26603404563563932</v>
      </c>
      <c r="K3818" s="35">
        <v>4</v>
      </c>
      <c r="L3818" s="38">
        <f t="shared" si="59"/>
        <v>1.0641361825425573</v>
      </c>
      <c r="M3818" s="35" t="s">
        <v>11</v>
      </c>
      <c r="N3818" s="38"/>
      <c r="O3818" s="35" t="s">
        <v>12</v>
      </c>
    </row>
    <row r="3819" spans="1:15" x14ac:dyDescent="0.25">
      <c r="A3819" s="35">
        <v>1088899357</v>
      </c>
      <c r="B3819" s="35" t="s">
        <v>4132</v>
      </c>
      <c r="C3819" s="35">
        <v>2022</v>
      </c>
      <c r="D3819" s="36">
        <v>44824.95952546296</v>
      </c>
      <c r="E3819" s="35" t="s">
        <v>318</v>
      </c>
      <c r="F3819" s="43" t="s">
        <v>4800</v>
      </c>
      <c r="G3819" s="43" t="s">
        <v>4063</v>
      </c>
      <c r="H3819" s="35" t="s">
        <v>3415</v>
      </c>
      <c r="I3819" s="35" t="s">
        <v>3416</v>
      </c>
      <c r="J3819" s="38">
        <v>0.26603404563563932</v>
      </c>
      <c r="K3819" s="35">
        <v>4</v>
      </c>
      <c r="L3819" s="38">
        <f t="shared" si="59"/>
        <v>1.0641361825425573</v>
      </c>
      <c r="M3819" s="35" t="s">
        <v>11</v>
      </c>
      <c r="N3819" s="38"/>
      <c r="O3819" s="35" t="s">
        <v>12</v>
      </c>
    </row>
    <row r="3820" spans="1:15" x14ac:dyDescent="0.25">
      <c r="A3820" s="35">
        <v>1088899357</v>
      </c>
      <c r="B3820" s="35" t="s">
        <v>4132</v>
      </c>
      <c r="C3820" s="35">
        <v>2022</v>
      </c>
      <c r="D3820" s="36">
        <v>44824.95952546296</v>
      </c>
      <c r="E3820" s="35" t="s">
        <v>318</v>
      </c>
      <c r="F3820" s="43" t="s">
        <v>4800</v>
      </c>
      <c r="G3820" s="43" t="s">
        <v>3867</v>
      </c>
      <c r="H3820" s="35" t="s">
        <v>3415</v>
      </c>
      <c r="I3820" s="35" t="s">
        <v>3416</v>
      </c>
      <c r="J3820" s="38">
        <v>0.33254255704454899</v>
      </c>
      <c r="K3820" s="35">
        <v>4</v>
      </c>
      <c r="L3820" s="38">
        <f t="shared" si="59"/>
        <v>1.330170228178196</v>
      </c>
      <c r="M3820" s="35" t="s">
        <v>11</v>
      </c>
      <c r="N3820" s="38"/>
      <c r="O3820" s="35" t="s">
        <v>12</v>
      </c>
    </row>
    <row r="3821" spans="1:15" x14ac:dyDescent="0.25">
      <c r="A3821" s="35">
        <v>1088899357</v>
      </c>
      <c r="B3821" s="35" t="s">
        <v>4132</v>
      </c>
      <c r="C3821" s="35">
        <v>2022</v>
      </c>
      <c r="D3821" s="36">
        <v>44824.95952546296</v>
      </c>
      <c r="E3821" s="35" t="s">
        <v>318</v>
      </c>
      <c r="F3821" s="43" t="s">
        <v>5213</v>
      </c>
      <c r="G3821" s="43" t="s">
        <v>4147</v>
      </c>
      <c r="H3821" s="35" t="s">
        <v>3419</v>
      </c>
      <c r="I3821" s="35" t="s">
        <v>3530</v>
      </c>
      <c r="J3821" s="38">
        <v>17.724518290474471</v>
      </c>
      <c r="K3821" s="35">
        <v>1</v>
      </c>
      <c r="L3821" s="38">
        <f t="shared" si="59"/>
        <v>17.724518290474471</v>
      </c>
      <c r="M3821" s="35" t="s">
        <v>11</v>
      </c>
      <c r="N3821" s="38"/>
      <c r="O3821" s="35" t="s">
        <v>12</v>
      </c>
    </row>
    <row r="3822" spans="1:15" x14ac:dyDescent="0.25">
      <c r="A3822" s="35">
        <v>1088514779</v>
      </c>
      <c r="B3822" s="35" t="s">
        <v>4132</v>
      </c>
      <c r="C3822" s="35">
        <v>2022</v>
      </c>
      <c r="D3822" s="36">
        <v>44821.643275462957</v>
      </c>
      <c r="E3822" s="35" t="s">
        <v>318</v>
      </c>
      <c r="F3822" s="43" t="s">
        <v>6408</v>
      </c>
      <c r="G3822" s="43" t="s">
        <v>4927</v>
      </c>
      <c r="H3822" s="35" t="s">
        <v>3415</v>
      </c>
      <c r="I3822" s="35" t="s">
        <v>3416</v>
      </c>
      <c r="J3822" s="38">
        <v>1.6817251160391959</v>
      </c>
      <c r="K3822" s="35">
        <v>4</v>
      </c>
      <c r="L3822" s="38">
        <f t="shared" si="59"/>
        <v>6.7269004641567838</v>
      </c>
      <c r="M3822" s="35" t="s">
        <v>11</v>
      </c>
      <c r="N3822" s="38"/>
      <c r="O3822" s="35" t="s">
        <v>12</v>
      </c>
    </row>
    <row r="3823" spans="1:15" x14ac:dyDescent="0.25">
      <c r="A3823" s="35">
        <v>1088514779</v>
      </c>
      <c r="B3823" s="35" t="s">
        <v>4132</v>
      </c>
      <c r="C3823" s="35">
        <v>2022</v>
      </c>
      <c r="D3823" s="36">
        <v>44821.643275462957</v>
      </c>
      <c r="E3823" s="35" t="s">
        <v>318</v>
      </c>
      <c r="F3823" s="43" t="s">
        <v>6409</v>
      </c>
      <c r="G3823" s="43" t="s">
        <v>4927</v>
      </c>
      <c r="H3823" s="35" t="s">
        <v>3419</v>
      </c>
      <c r="I3823" s="35" t="s">
        <v>3416</v>
      </c>
      <c r="J3823" s="38">
        <v>1.6817251160391959</v>
      </c>
      <c r="K3823" s="35">
        <v>1</v>
      </c>
      <c r="L3823" s="38">
        <f t="shared" si="59"/>
        <v>1.6817251160391959</v>
      </c>
      <c r="M3823" s="35" t="s">
        <v>11</v>
      </c>
      <c r="N3823" s="38"/>
      <c r="O3823" s="35" t="s">
        <v>12</v>
      </c>
    </row>
    <row r="3824" spans="1:15" x14ac:dyDescent="0.25">
      <c r="A3824" s="35">
        <v>1088514779</v>
      </c>
      <c r="B3824" s="35" t="s">
        <v>4132</v>
      </c>
      <c r="C3824" s="35">
        <v>2022</v>
      </c>
      <c r="D3824" s="36">
        <v>44821.643275462957</v>
      </c>
      <c r="E3824" s="35" t="s">
        <v>318</v>
      </c>
      <c r="F3824" s="43" t="s">
        <v>4795</v>
      </c>
      <c r="G3824" s="43" t="s">
        <v>3905</v>
      </c>
      <c r="H3824" s="35" t="s">
        <v>3419</v>
      </c>
      <c r="I3824" s="35" t="s">
        <v>3530</v>
      </c>
      <c r="J3824" s="38">
        <v>0.44018308406395051</v>
      </c>
      <c r="K3824" s="35">
        <v>3</v>
      </c>
      <c r="L3824" s="38">
        <f t="shared" si="59"/>
        <v>1.3205492521918516</v>
      </c>
      <c r="M3824" s="35" t="s">
        <v>11</v>
      </c>
      <c r="N3824" s="38"/>
      <c r="O3824" s="35" t="s">
        <v>12</v>
      </c>
    </row>
    <row r="3825" spans="1:15" x14ac:dyDescent="0.25">
      <c r="A3825" s="35">
        <v>1088514779</v>
      </c>
      <c r="B3825" s="35" t="s">
        <v>4132</v>
      </c>
      <c r="C3825" s="35">
        <v>2022</v>
      </c>
      <c r="D3825" s="36">
        <v>44821.643275462957</v>
      </c>
      <c r="E3825" s="35" t="s">
        <v>318</v>
      </c>
      <c r="F3825" s="43" t="s">
        <v>6410</v>
      </c>
      <c r="G3825" s="43" t="s">
        <v>4326</v>
      </c>
      <c r="H3825" s="35" t="s">
        <v>3419</v>
      </c>
      <c r="I3825" s="35" t="s">
        <v>3530</v>
      </c>
      <c r="J3825" s="38">
        <v>0.21444816915936049</v>
      </c>
      <c r="K3825" s="35">
        <v>2</v>
      </c>
      <c r="L3825" s="38">
        <f t="shared" si="59"/>
        <v>0.42889633831872098</v>
      </c>
      <c r="M3825" s="35" t="s">
        <v>11</v>
      </c>
      <c r="N3825" s="38"/>
      <c r="O3825" s="35" t="s">
        <v>12</v>
      </c>
    </row>
    <row r="3826" spans="1:15" x14ac:dyDescent="0.25">
      <c r="A3826" s="35">
        <v>1088514779</v>
      </c>
      <c r="B3826" s="35" t="s">
        <v>4132</v>
      </c>
      <c r="C3826" s="35">
        <v>2022</v>
      </c>
      <c r="D3826" s="36">
        <v>44821.643275462957</v>
      </c>
      <c r="E3826" s="35" t="s">
        <v>318</v>
      </c>
      <c r="F3826" s="43" t="s">
        <v>4552</v>
      </c>
      <c r="G3826" s="43" t="s">
        <v>6411</v>
      </c>
      <c r="H3826" s="35" t="s">
        <v>3419</v>
      </c>
      <c r="I3826" s="35" t="s">
        <v>3416</v>
      </c>
      <c r="J3826" s="38">
        <v>1.6817251160391959</v>
      </c>
      <c r="K3826" s="35">
        <v>1</v>
      </c>
      <c r="L3826" s="38">
        <f t="shared" si="59"/>
        <v>1.6817251160391959</v>
      </c>
      <c r="M3826" s="35" t="s">
        <v>11</v>
      </c>
      <c r="N3826" s="38"/>
      <c r="O3826" s="35" t="s">
        <v>12</v>
      </c>
    </row>
    <row r="3827" spans="1:15" x14ac:dyDescent="0.25">
      <c r="A3827" s="35">
        <v>1088514779</v>
      </c>
      <c r="B3827" s="35" t="s">
        <v>4132</v>
      </c>
      <c r="C3827" s="35">
        <v>2022</v>
      </c>
      <c r="D3827" s="36">
        <v>44821.643275462957</v>
      </c>
      <c r="E3827" s="35" t="s">
        <v>318</v>
      </c>
      <c r="F3827" s="43" t="s">
        <v>6412</v>
      </c>
      <c r="G3827" s="43" t="s">
        <v>3967</v>
      </c>
      <c r="H3827" s="35" t="s">
        <v>3415</v>
      </c>
      <c r="I3827" s="35" t="s">
        <v>3416</v>
      </c>
      <c r="J3827" s="38">
        <v>0.56433728726147503</v>
      </c>
      <c r="K3827" s="35">
        <v>4</v>
      </c>
      <c r="L3827" s="38">
        <f t="shared" si="59"/>
        <v>2.2573491490459001</v>
      </c>
      <c r="M3827" s="35" t="s">
        <v>11</v>
      </c>
      <c r="N3827" s="38"/>
      <c r="O3827" s="35" t="s">
        <v>12</v>
      </c>
    </row>
    <row r="3828" spans="1:15" x14ac:dyDescent="0.25">
      <c r="A3828" s="35">
        <v>1088514779</v>
      </c>
      <c r="B3828" s="35" t="s">
        <v>4132</v>
      </c>
      <c r="C3828" s="35">
        <v>2022</v>
      </c>
      <c r="D3828" s="36">
        <v>44821.643275462957</v>
      </c>
      <c r="E3828" s="35" t="s">
        <v>318</v>
      </c>
      <c r="F3828" s="43" t="s">
        <v>6413</v>
      </c>
      <c r="G3828" s="43" t="s">
        <v>5229</v>
      </c>
      <c r="H3828" s="35" t="s">
        <v>3415</v>
      </c>
      <c r="I3828" s="35" t="s">
        <v>3530</v>
      </c>
      <c r="J3828" s="38">
        <v>0.32731562661165547</v>
      </c>
      <c r="K3828" s="35">
        <v>4</v>
      </c>
      <c r="L3828" s="38">
        <f t="shared" si="59"/>
        <v>1.3092625064466219</v>
      </c>
      <c r="M3828" s="35" t="s">
        <v>11</v>
      </c>
      <c r="N3828" s="38"/>
      <c r="O3828" s="35" t="s">
        <v>12</v>
      </c>
    </row>
    <row r="3829" spans="1:15" x14ac:dyDescent="0.25">
      <c r="A3829" s="35">
        <v>1088514779</v>
      </c>
      <c r="B3829" s="35" t="s">
        <v>4132</v>
      </c>
      <c r="C3829" s="35">
        <v>2022</v>
      </c>
      <c r="D3829" s="36">
        <v>44821.643275462957</v>
      </c>
      <c r="E3829" s="35" t="s">
        <v>318</v>
      </c>
      <c r="F3829" s="43" t="s">
        <v>4525</v>
      </c>
      <c r="G3829" s="43" t="s">
        <v>6414</v>
      </c>
      <c r="H3829" s="35" t="s">
        <v>3415</v>
      </c>
      <c r="I3829" s="35" t="s">
        <v>3530</v>
      </c>
      <c r="J3829" s="38">
        <v>0.55305054151624544</v>
      </c>
      <c r="K3829" s="35">
        <v>4</v>
      </c>
      <c r="L3829" s="38">
        <f t="shared" si="59"/>
        <v>2.2122021660649818</v>
      </c>
      <c r="M3829" s="35" t="s">
        <v>11</v>
      </c>
      <c r="N3829" s="38"/>
      <c r="O3829" s="35" t="s">
        <v>12</v>
      </c>
    </row>
    <row r="3830" spans="1:15" ht="30" x14ac:dyDescent="0.25">
      <c r="A3830" s="35">
        <v>1088514779</v>
      </c>
      <c r="B3830" s="35" t="s">
        <v>4132</v>
      </c>
      <c r="C3830" s="35">
        <v>2022</v>
      </c>
      <c r="D3830" s="36">
        <v>44821.643275462957</v>
      </c>
      <c r="E3830" s="35" t="s">
        <v>318</v>
      </c>
      <c r="F3830" s="43" t="s">
        <v>4518</v>
      </c>
      <c r="G3830" s="43" t="s">
        <v>3744</v>
      </c>
      <c r="H3830" s="35" t="s">
        <v>3415</v>
      </c>
      <c r="I3830" s="35" t="s">
        <v>3416</v>
      </c>
      <c r="J3830" s="38">
        <v>0.21444816915936049</v>
      </c>
      <c r="K3830" s="35">
        <v>4</v>
      </c>
      <c r="L3830" s="38">
        <f t="shared" si="59"/>
        <v>0.85779267663744196</v>
      </c>
      <c r="M3830" s="35" t="s">
        <v>11</v>
      </c>
      <c r="N3830" s="38"/>
      <c r="O3830" s="35" t="s">
        <v>12</v>
      </c>
    </row>
    <row r="3831" spans="1:15" x14ac:dyDescent="0.25">
      <c r="A3831" s="35">
        <v>1088514779</v>
      </c>
      <c r="B3831" s="35" t="s">
        <v>4132</v>
      </c>
      <c r="C3831" s="35">
        <v>2022</v>
      </c>
      <c r="D3831" s="36">
        <v>44821.643275462957</v>
      </c>
      <c r="E3831" s="35" t="s">
        <v>318</v>
      </c>
      <c r="F3831" s="43" t="s">
        <v>6415</v>
      </c>
      <c r="G3831" s="43" t="s">
        <v>4989</v>
      </c>
      <c r="H3831" s="35" t="s">
        <v>3415</v>
      </c>
      <c r="I3831" s="35" t="s">
        <v>3416</v>
      </c>
      <c r="J3831" s="38">
        <v>0.56433728726147503</v>
      </c>
      <c r="K3831" s="35">
        <v>4</v>
      </c>
      <c r="L3831" s="38">
        <f t="shared" si="59"/>
        <v>2.2573491490459001</v>
      </c>
      <c r="M3831" s="35" t="s">
        <v>11</v>
      </c>
      <c r="N3831" s="38"/>
      <c r="O3831" s="35" t="s">
        <v>12</v>
      </c>
    </row>
    <row r="3832" spans="1:15" x14ac:dyDescent="0.25">
      <c r="A3832" s="35">
        <v>1088514779</v>
      </c>
      <c r="B3832" s="35" t="s">
        <v>4132</v>
      </c>
      <c r="C3832" s="35">
        <v>2022</v>
      </c>
      <c r="D3832" s="36">
        <v>44821.643275462957</v>
      </c>
      <c r="E3832" s="35" t="s">
        <v>318</v>
      </c>
      <c r="F3832" s="43" t="s">
        <v>4527</v>
      </c>
      <c r="G3832" s="43" t="s">
        <v>3830</v>
      </c>
      <c r="H3832" s="35" t="s">
        <v>3415</v>
      </c>
      <c r="I3832" s="35" t="s">
        <v>3530</v>
      </c>
      <c r="J3832" s="38">
        <v>0.67720474471377001</v>
      </c>
      <c r="K3832" s="35">
        <v>4</v>
      </c>
      <c r="L3832" s="38">
        <f t="shared" si="59"/>
        <v>2.7088189788550801</v>
      </c>
      <c r="M3832" s="35" t="s">
        <v>11</v>
      </c>
      <c r="N3832" s="38"/>
      <c r="O3832" s="35" t="s">
        <v>12</v>
      </c>
    </row>
    <row r="3833" spans="1:15" x14ac:dyDescent="0.25">
      <c r="A3833" s="35">
        <v>1088514779</v>
      </c>
      <c r="B3833" s="35" t="s">
        <v>4132</v>
      </c>
      <c r="C3833" s="35">
        <v>2022</v>
      </c>
      <c r="D3833" s="36">
        <v>44821.643275462957</v>
      </c>
      <c r="E3833" s="35" t="s">
        <v>318</v>
      </c>
      <c r="F3833" s="43" t="s">
        <v>6409</v>
      </c>
      <c r="G3833" s="43" t="s">
        <v>3533</v>
      </c>
      <c r="H3833" s="35" t="s">
        <v>3419</v>
      </c>
      <c r="I3833" s="35" t="s">
        <v>3416</v>
      </c>
      <c r="J3833" s="38">
        <v>0.4514698298091801</v>
      </c>
      <c r="K3833" s="35">
        <v>3</v>
      </c>
      <c r="L3833" s="38">
        <f t="shared" si="59"/>
        <v>1.3544094894275402</v>
      </c>
      <c r="M3833" s="35" t="s">
        <v>11</v>
      </c>
      <c r="N3833" s="38"/>
      <c r="O3833" s="35" t="s">
        <v>12</v>
      </c>
    </row>
    <row r="3834" spans="1:15" x14ac:dyDescent="0.25">
      <c r="A3834" s="35">
        <v>1088514779</v>
      </c>
      <c r="B3834" s="35" t="s">
        <v>4132</v>
      </c>
      <c r="C3834" s="35">
        <v>2022</v>
      </c>
      <c r="D3834" s="36">
        <v>44821.643275462957</v>
      </c>
      <c r="E3834" s="35" t="s">
        <v>318</v>
      </c>
      <c r="F3834" s="43" t="s">
        <v>6416</v>
      </c>
      <c r="G3834" s="43" t="s">
        <v>3967</v>
      </c>
      <c r="H3834" s="35" t="s">
        <v>3415</v>
      </c>
      <c r="I3834" s="35" t="s">
        <v>3416</v>
      </c>
      <c r="J3834" s="38">
        <v>0.22573491490458999</v>
      </c>
      <c r="K3834" s="35">
        <v>4</v>
      </c>
      <c r="L3834" s="38">
        <f t="shared" si="59"/>
        <v>0.90293965961835998</v>
      </c>
      <c r="M3834" s="35" t="s">
        <v>11</v>
      </c>
      <c r="N3834" s="38"/>
      <c r="O3834" s="35" t="s">
        <v>12</v>
      </c>
    </row>
    <row r="3835" spans="1:15" x14ac:dyDescent="0.25">
      <c r="A3835" s="35">
        <v>1088514779</v>
      </c>
      <c r="B3835" s="35" t="s">
        <v>4132</v>
      </c>
      <c r="C3835" s="35">
        <v>2022</v>
      </c>
      <c r="D3835" s="36">
        <v>44821.643275462957</v>
      </c>
      <c r="E3835" s="35" t="s">
        <v>318</v>
      </c>
      <c r="F3835" s="43" t="s">
        <v>6410</v>
      </c>
      <c r="G3835" s="43" t="s">
        <v>4326</v>
      </c>
      <c r="H3835" s="35" t="s">
        <v>3419</v>
      </c>
      <c r="I3835" s="35" t="s">
        <v>3416</v>
      </c>
      <c r="J3835" s="38">
        <v>0.112867457452295</v>
      </c>
      <c r="K3835" s="35">
        <v>2</v>
      </c>
      <c r="L3835" s="38">
        <f t="shared" si="59"/>
        <v>0.22573491490458999</v>
      </c>
      <c r="M3835" s="35" t="s">
        <v>11</v>
      </c>
      <c r="N3835" s="38"/>
      <c r="O3835" s="35" t="s">
        <v>12</v>
      </c>
    </row>
    <row r="3836" spans="1:15" x14ac:dyDescent="0.25">
      <c r="A3836" s="35">
        <v>1088514779</v>
      </c>
      <c r="B3836" s="35" t="s">
        <v>4132</v>
      </c>
      <c r="C3836" s="35">
        <v>2022</v>
      </c>
      <c r="D3836" s="36">
        <v>44821.643275462957</v>
      </c>
      <c r="E3836" s="35" t="s">
        <v>318</v>
      </c>
      <c r="F3836" s="43" t="s">
        <v>6417</v>
      </c>
      <c r="G3836" s="43" t="s">
        <v>3533</v>
      </c>
      <c r="H3836" s="35" t="s">
        <v>3419</v>
      </c>
      <c r="I3836" s="35" t="s">
        <v>3530</v>
      </c>
      <c r="J3836" s="38">
        <v>0.56433728726147503</v>
      </c>
      <c r="K3836" s="35">
        <v>3</v>
      </c>
      <c r="L3836" s="38">
        <f t="shared" si="59"/>
        <v>1.693011861784425</v>
      </c>
      <c r="M3836" s="35" t="s">
        <v>11</v>
      </c>
      <c r="N3836" s="38"/>
      <c r="O3836" s="35" t="s">
        <v>12</v>
      </c>
    </row>
    <row r="3837" spans="1:15" x14ac:dyDescent="0.25">
      <c r="A3837" s="35">
        <v>1088514779</v>
      </c>
      <c r="B3837" s="35" t="s">
        <v>4132</v>
      </c>
      <c r="C3837" s="35">
        <v>2022</v>
      </c>
      <c r="D3837" s="36">
        <v>44821.643275462957</v>
      </c>
      <c r="E3837" s="35" t="s">
        <v>318</v>
      </c>
      <c r="F3837" s="43" t="s">
        <v>6418</v>
      </c>
      <c r="G3837" s="43" t="s">
        <v>5189</v>
      </c>
      <c r="H3837" s="35" t="s">
        <v>3415</v>
      </c>
      <c r="I3837" s="35" t="s">
        <v>3530</v>
      </c>
      <c r="J3837" s="38">
        <v>0.158014440433213</v>
      </c>
      <c r="K3837" s="35">
        <v>4</v>
      </c>
      <c r="L3837" s="38">
        <f t="shared" si="59"/>
        <v>0.632057761732852</v>
      </c>
      <c r="M3837" s="35" t="s">
        <v>11</v>
      </c>
      <c r="N3837" s="38"/>
      <c r="O3837" s="35" t="s">
        <v>12</v>
      </c>
    </row>
    <row r="3838" spans="1:15" x14ac:dyDescent="0.25">
      <c r="A3838" s="35">
        <v>1088514779</v>
      </c>
      <c r="B3838" s="35" t="s">
        <v>4132</v>
      </c>
      <c r="C3838" s="35">
        <v>2022</v>
      </c>
      <c r="D3838" s="36">
        <v>44821.643275462957</v>
      </c>
      <c r="E3838" s="35" t="s">
        <v>318</v>
      </c>
      <c r="F3838" s="43" t="s">
        <v>6419</v>
      </c>
      <c r="G3838" s="43" t="s">
        <v>3939</v>
      </c>
      <c r="H3838" s="35" t="s">
        <v>3415</v>
      </c>
      <c r="I3838" s="35" t="s">
        <v>3530</v>
      </c>
      <c r="J3838" s="38">
        <v>0.158014440433213</v>
      </c>
      <c r="K3838" s="35">
        <v>4</v>
      </c>
      <c r="L3838" s="38">
        <f t="shared" si="59"/>
        <v>0.632057761732852</v>
      </c>
      <c r="M3838" s="35" t="s">
        <v>11</v>
      </c>
      <c r="N3838" s="38"/>
      <c r="O3838" s="35" t="s">
        <v>12</v>
      </c>
    </row>
    <row r="3839" spans="1:15" x14ac:dyDescent="0.25">
      <c r="A3839" s="35">
        <v>1088514779</v>
      </c>
      <c r="B3839" s="35" t="s">
        <v>4132</v>
      </c>
      <c r="C3839" s="35">
        <v>2022</v>
      </c>
      <c r="D3839" s="36">
        <v>44821.643275462957</v>
      </c>
      <c r="E3839" s="35" t="s">
        <v>318</v>
      </c>
      <c r="F3839" s="43" t="s">
        <v>4792</v>
      </c>
      <c r="G3839" s="43" t="s">
        <v>3867</v>
      </c>
      <c r="H3839" s="35" t="s">
        <v>3415</v>
      </c>
      <c r="I3839" s="35" t="s">
        <v>3416</v>
      </c>
      <c r="J3839" s="38">
        <v>0.33860237235688501</v>
      </c>
      <c r="K3839" s="35">
        <v>4</v>
      </c>
      <c r="L3839" s="38">
        <f t="shared" si="59"/>
        <v>1.35440948942754</v>
      </c>
      <c r="M3839" s="35" t="s">
        <v>11</v>
      </c>
      <c r="N3839" s="38"/>
      <c r="O3839" s="35" t="s">
        <v>12</v>
      </c>
    </row>
    <row r="3840" spans="1:15" x14ac:dyDescent="0.25">
      <c r="A3840" s="35">
        <v>1088514779</v>
      </c>
      <c r="B3840" s="35" t="s">
        <v>4132</v>
      </c>
      <c r="C3840" s="35">
        <v>2022</v>
      </c>
      <c r="D3840" s="36">
        <v>44821.643275462957</v>
      </c>
      <c r="E3840" s="35" t="s">
        <v>318</v>
      </c>
      <c r="F3840" s="43" t="s">
        <v>4793</v>
      </c>
      <c r="G3840" s="43" t="s">
        <v>3867</v>
      </c>
      <c r="H3840" s="35" t="s">
        <v>3415</v>
      </c>
      <c r="I3840" s="35" t="s">
        <v>3416</v>
      </c>
      <c r="J3840" s="38">
        <v>0.33860237235688501</v>
      </c>
      <c r="K3840" s="35">
        <v>4</v>
      </c>
      <c r="L3840" s="38">
        <f t="shared" si="59"/>
        <v>1.35440948942754</v>
      </c>
      <c r="M3840" s="35" t="s">
        <v>11</v>
      </c>
      <c r="N3840" s="38"/>
      <c r="O3840" s="35" t="s">
        <v>12</v>
      </c>
    </row>
    <row r="3841" spans="1:15" x14ac:dyDescent="0.25">
      <c r="A3841" s="35">
        <v>1088514779</v>
      </c>
      <c r="B3841" s="35" t="s">
        <v>4132</v>
      </c>
      <c r="C3841" s="35">
        <v>2022</v>
      </c>
      <c r="D3841" s="36">
        <v>44821.643275462957</v>
      </c>
      <c r="E3841" s="35" t="s">
        <v>318</v>
      </c>
      <c r="F3841" s="43" t="s">
        <v>4794</v>
      </c>
      <c r="G3841" s="43" t="s">
        <v>3867</v>
      </c>
      <c r="H3841" s="35" t="s">
        <v>3415</v>
      </c>
      <c r="I3841" s="35" t="s">
        <v>3416</v>
      </c>
      <c r="J3841" s="38">
        <v>0.33860237235688501</v>
      </c>
      <c r="K3841" s="35">
        <v>4</v>
      </c>
      <c r="L3841" s="38">
        <f t="shared" si="59"/>
        <v>1.35440948942754</v>
      </c>
      <c r="M3841" s="35" t="s">
        <v>11</v>
      </c>
      <c r="N3841" s="38"/>
      <c r="O3841" s="35" t="s">
        <v>12</v>
      </c>
    </row>
    <row r="3842" spans="1:15" ht="30" x14ac:dyDescent="0.25">
      <c r="A3842" s="35">
        <v>1088514779</v>
      </c>
      <c r="B3842" s="35" t="s">
        <v>4132</v>
      </c>
      <c r="C3842" s="35">
        <v>2022</v>
      </c>
      <c r="D3842" s="36">
        <v>44821.643275462957</v>
      </c>
      <c r="E3842" s="35" t="s">
        <v>318</v>
      </c>
      <c r="F3842" s="43" t="s">
        <v>6420</v>
      </c>
      <c r="G3842" s="43" t="s">
        <v>3765</v>
      </c>
      <c r="H3842" s="35" t="s">
        <v>3419</v>
      </c>
      <c r="I3842" s="35" t="s">
        <v>3416</v>
      </c>
      <c r="J3842" s="38">
        <v>0.44018308406395051</v>
      </c>
      <c r="K3842" s="35">
        <v>2</v>
      </c>
      <c r="L3842" s="38">
        <f t="shared" ref="L3842:L3905" si="60">J3842*K3842</f>
        <v>0.88036616812790103</v>
      </c>
      <c r="M3842" s="35" t="s">
        <v>11</v>
      </c>
      <c r="N3842" s="38"/>
      <c r="O3842" s="35" t="s">
        <v>12</v>
      </c>
    </row>
    <row r="3843" spans="1:15" x14ac:dyDescent="0.25">
      <c r="A3843" s="35">
        <v>1088514779</v>
      </c>
      <c r="B3843" s="35" t="s">
        <v>4132</v>
      </c>
      <c r="C3843" s="35">
        <v>2022</v>
      </c>
      <c r="D3843" s="36">
        <v>44821.643275462957</v>
      </c>
      <c r="E3843" s="35" t="s">
        <v>318</v>
      </c>
      <c r="F3843" s="43" t="s">
        <v>6421</v>
      </c>
      <c r="G3843" s="43" t="s">
        <v>4083</v>
      </c>
      <c r="H3843" s="35" t="s">
        <v>3415</v>
      </c>
      <c r="I3843" s="35" t="s">
        <v>3530</v>
      </c>
      <c r="J3843" s="38">
        <v>0.22573491490458999</v>
      </c>
      <c r="K3843" s="35">
        <v>4</v>
      </c>
      <c r="L3843" s="38">
        <f t="shared" si="60"/>
        <v>0.90293965961835998</v>
      </c>
      <c r="M3843" s="35" t="s">
        <v>11</v>
      </c>
      <c r="N3843" s="38"/>
      <c r="O3843" s="35" t="s">
        <v>12</v>
      </c>
    </row>
    <row r="3844" spans="1:15" x14ac:dyDescent="0.25">
      <c r="A3844" s="35">
        <v>1088514779</v>
      </c>
      <c r="B3844" s="35" t="s">
        <v>4132</v>
      </c>
      <c r="C3844" s="35">
        <v>2022</v>
      </c>
      <c r="D3844" s="36">
        <v>44821.643275462957</v>
      </c>
      <c r="E3844" s="35" t="s">
        <v>318</v>
      </c>
      <c r="F3844" s="43" t="s">
        <v>6422</v>
      </c>
      <c r="G3844" s="43" t="s">
        <v>3967</v>
      </c>
      <c r="H3844" s="35" t="s">
        <v>3419</v>
      </c>
      <c r="I3844" s="35" t="s">
        <v>3416</v>
      </c>
      <c r="J3844" s="38">
        <v>0.84650593089221249</v>
      </c>
      <c r="K3844" s="35">
        <v>2</v>
      </c>
      <c r="L3844" s="38">
        <f t="shared" si="60"/>
        <v>1.693011861784425</v>
      </c>
      <c r="M3844" s="35" t="s">
        <v>11</v>
      </c>
      <c r="N3844" s="38"/>
      <c r="O3844" s="35" t="s">
        <v>12</v>
      </c>
    </row>
    <row r="3845" spans="1:15" x14ac:dyDescent="0.25">
      <c r="A3845" s="35">
        <v>1088514779</v>
      </c>
      <c r="B3845" s="35" t="s">
        <v>4132</v>
      </c>
      <c r="C3845" s="35">
        <v>2022</v>
      </c>
      <c r="D3845" s="36">
        <v>44821.643275462957</v>
      </c>
      <c r="E3845" s="35" t="s">
        <v>318</v>
      </c>
      <c r="F3845" s="43" t="s">
        <v>6423</v>
      </c>
      <c r="G3845" s="43" t="s">
        <v>4480</v>
      </c>
      <c r="H3845" s="35" t="s">
        <v>3415</v>
      </c>
      <c r="I3845" s="35" t="s">
        <v>3416</v>
      </c>
      <c r="J3845" s="38">
        <v>0.158014440433213</v>
      </c>
      <c r="K3845" s="35">
        <v>4</v>
      </c>
      <c r="L3845" s="38">
        <f t="shared" si="60"/>
        <v>0.632057761732852</v>
      </c>
      <c r="M3845" s="35" t="s">
        <v>11</v>
      </c>
      <c r="N3845" s="38"/>
      <c r="O3845" s="35" t="s">
        <v>12</v>
      </c>
    </row>
    <row r="3846" spans="1:15" x14ac:dyDescent="0.25">
      <c r="A3846" s="35">
        <v>1088514779</v>
      </c>
      <c r="B3846" s="35" t="s">
        <v>4132</v>
      </c>
      <c r="C3846" s="35">
        <v>2022</v>
      </c>
      <c r="D3846" s="36">
        <v>44821.643275462957</v>
      </c>
      <c r="E3846" s="35" t="s">
        <v>318</v>
      </c>
      <c r="F3846" s="43" t="s">
        <v>6424</v>
      </c>
      <c r="G3846" s="43" t="s">
        <v>5082</v>
      </c>
      <c r="H3846" s="35" t="s">
        <v>3415</v>
      </c>
      <c r="I3846" s="35" t="s">
        <v>3416</v>
      </c>
      <c r="J3846" s="38">
        <v>1.117387828777721</v>
      </c>
      <c r="K3846" s="35">
        <v>4</v>
      </c>
      <c r="L3846" s="38">
        <f t="shared" si="60"/>
        <v>4.4695513151108841</v>
      </c>
      <c r="M3846" s="35" t="s">
        <v>11</v>
      </c>
      <c r="N3846" s="38"/>
      <c r="O3846" s="35" t="s">
        <v>12</v>
      </c>
    </row>
    <row r="3847" spans="1:15" x14ac:dyDescent="0.25">
      <c r="A3847" s="35">
        <v>1088514779</v>
      </c>
      <c r="B3847" s="35" t="s">
        <v>4132</v>
      </c>
      <c r="C3847" s="35">
        <v>2022</v>
      </c>
      <c r="D3847" s="36">
        <v>44821.643275462957</v>
      </c>
      <c r="E3847" s="35" t="s">
        <v>318</v>
      </c>
      <c r="F3847" s="43" t="s">
        <v>4520</v>
      </c>
      <c r="G3847" s="43" t="s">
        <v>5229</v>
      </c>
      <c r="H3847" s="35" t="s">
        <v>3419</v>
      </c>
      <c r="I3847" s="35" t="s">
        <v>3530</v>
      </c>
      <c r="J3847" s="38">
        <v>2.24606240330067</v>
      </c>
      <c r="K3847" s="35">
        <v>1</v>
      </c>
      <c r="L3847" s="38">
        <f t="shared" si="60"/>
        <v>2.24606240330067</v>
      </c>
      <c r="M3847" s="35" t="s">
        <v>11</v>
      </c>
      <c r="N3847" s="38"/>
      <c r="O3847" s="35" t="s">
        <v>12</v>
      </c>
    </row>
    <row r="3848" spans="1:15" x14ac:dyDescent="0.25">
      <c r="A3848" s="35">
        <v>1088216907</v>
      </c>
      <c r="B3848" s="35" t="s">
        <v>4132</v>
      </c>
      <c r="C3848" s="35">
        <v>2022</v>
      </c>
      <c r="D3848" s="36">
        <v>44818.851747685178</v>
      </c>
      <c r="E3848" s="35" t="s">
        <v>2568</v>
      </c>
      <c r="F3848" s="43" t="s">
        <v>6291</v>
      </c>
      <c r="G3848" s="43" t="s">
        <v>4432</v>
      </c>
      <c r="H3848" s="35" t="s">
        <v>3419</v>
      </c>
      <c r="I3848" s="35" t="s">
        <v>3416</v>
      </c>
      <c r="J3848" s="38">
        <v>10.15</v>
      </c>
      <c r="K3848" s="35">
        <v>1</v>
      </c>
      <c r="L3848" s="38">
        <f t="shared" si="60"/>
        <v>10.15</v>
      </c>
      <c r="M3848" s="35" t="s">
        <v>11</v>
      </c>
      <c r="N3848" s="38"/>
      <c r="O3848" s="35" t="s">
        <v>12</v>
      </c>
    </row>
    <row r="3849" spans="1:15" x14ac:dyDescent="0.25">
      <c r="A3849" s="35">
        <v>1088204073</v>
      </c>
      <c r="B3849" s="35" t="s">
        <v>4132</v>
      </c>
      <c r="C3849" s="35">
        <v>2022</v>
      </c>
      <c r="D3849" s="36">
        <v>44818.851747685178</v>
      </c>
      <c r="E3849" s="35" t="s">
        <v>469</v>
      </c>
      <c r="F3849" s="43" t="s">
        <v>3692</v>
      </c>
      <c r="G3849" s="43" t="s">
        <v>5128</v>
      </c>
      <c r="H3849" s="35" t="s">
        <v>3419</v>
      </c>
      <c r="I3849" s="35" t="s">
        <v>3530</v>
      </c>
      <c r="J3849" s="38">
        <v>1.1236547733847639</v>
      </c>
      <c r="K3849" s="35">
        <v>2</v>
      </c>
      <c r="L3849" s="38">
        <f t="shared" si="60"/>
        <v>2.2473095467695279</v>
      </c>
      <c r="M3849" s="35" t="s">
        <v>11</v>
      </c>
      <c r="N3849" s="38"/>
      <c r="O3849" s="35" t="s">
        <v>12</v>
      </c>
    </row>
    <row r="3850" spans="1:15" x14ac:dyDescent="0.25">
      <c r="A3850" s="35">
        <v>1088204073</v>
      </c>
      <c r="B3850" s="35" t="s">
        <v>4132</v>
      </c>
      <c r="C3850" s="35">
        <v>2022</v>
      </c>
      <c r="D3850" s="36">
        <v>44818.851747685178</v>
      </c>
      <c r="E3850" s="35" t="s">
        <v>469</v>
      </c>
      <c r="F3850" s="43" t="s">
        <v>3692</v>
      </c>
      <c r="G3850" s="43" t="s">
        <v>6425</v>
      </c>
      <c r="H3850" s="35" t="s">
        <v>3419</v>
      </c>
      <c r="I3850" s="35" t="s">
        <v>3416</v>
      </c>
      <c r="J3850" s="38">
        <v>1.645756991321119</v>
      </c>
      <c r="K3850" s="35">
        <v>1</v>
      </c>
      <c r="L3850" s="38">
        <f t="shared" si="60"/>
        <v>1.645756991321119</v>
      </c>
      <c r="M3850" s="35" t="s">
        <v>11</v>
      </c>
      <c r="N3850" s="38"/>
      <c r="O3850" s="35" t="s">
        <v>12</v>
      </c>
    </row>
    <row r="3851" spans="1:15" x14ac:dyDescent="0.25">
      <c r="A3851" s="35">
        <v>1088204073</v>
      </c>
      <c r="B3851" s="35" t="s">
        <v>4132</v>
      </c>
      <c r="C3851" s="35">
        <v>2022</v>
      </c>
      <c r="D3851" s="36">
        <v>44818.851747685178</v>
      </c>
      <c r="E3851" s="35" t="s">
        <v>469</v>
      </c>
      <c r="F3851" s="43" t="s">
        <v>6426</v>
      </c>
      <c r="G3851" s="43" t="s">
        <v>3886</v>
      </c>
      <c r="H3851" s="35" t="s">
        <v>3419</v>
      </c>
      <c r="I3851" s="35" t="s">
        <v>3453</v>
      </c>
      <c r="J3851" s="38">
        <v>3.3482642237222762</v>
      </c>
      <c r="K3851" s="35">
        <v>3</v>
      </c>
      <c r="L3851" s="38">
        <f t="shared" si="60"/>
        <v>10.044792671166828</v>
      </c>
      <c r="M3851" s="35" t="s">
        <v>11</v>
      </c>
      <c r="N3851" s="38"/>
      <c r="O3851" s="35" t="s">
        <v>12</v>
      </c>
    </row>
    <row r="3852" spans="1:15" x14ac:dyDescent="0.25">
      <c r="A3852" s="35">
        <v>1088204073</v>
      </c>
      <c r="B3852" s="35" t="s">
        <v>4132</v>
      </c>
      <c r="C3852" s="35">
        <v>2022</v>
      </c>
      <c r="D3852" s="36">
        <v>44818.851747685178</v>
      </c>
      <c r="E3852" s="35" t="s">
        <v>469</v>
      </c>
      <c r="F3852" s="43" t="s">
        <v>6427</v>
      </c>
      <c r="G3852" s="43" t="s">
        <v>4053</v>
      </c>
      <c r="H3852" s="35" t="s">
        <v>3415</v>
      </c>
      <c r="I3852" s="35" t="s">
        <v>3453</v>
      </c>
      <c r="J3852" s="38">
        <v>2.213259402121504</v>
      </c>
      <c r="K3852" s="35">
        <v>4</v>
      </c>
      <c r="L3852" s="38">
        <f t="shared" si="60"/>
        <v>8.8530376084860158</v>
      </c>
      <c r="M3852" s="35" t="s">
        <v>11</v>
      </c>
      <c r="N3852" s="38"/>
      <c r="O3852" s="35" t="s">
        <v>12</v>
      </c>
    </row>
    <row r="3853" spans="1:15" x14ac:dyDescent="0.25">
      <c r="A3853" s="35">
        <v>1088204073</v>
      </c>
      <c r="B3853" s="35" t="s">
        <v>4132</v>
      </c>
      <c r="C3853" s="35">
        <v>2022</v>
      </c>
      <c r="D3853" s="36">
        <v>44818.851747685178</v>
      </c>
      <c r="E3853" s="35" t="s">
        <v>469</v>
      </c>
      <c r="F3853" s="43" t="s">
        <v>3877</v>
      </c>
      <c r="G3853" s="43" t="s">
        <v>3742</v>
      </c>
      <c r="H3853" s="35" t="s">
        <v>3419</v>
      </c>
      <c r="I3853" s="35" t="s">
        <v>3416</v>
      </c>
      <c r="J3853" s="38">
        <v>2.7807618129218898</v>
      </c>
      <c r="K3853" s="35">
        <v>1</v>
      </c>
      <c r="L3853" s="38">
        <f t="shared" si="60"/>
        <v>2.7807618129218898</v>
      </c>
      <c r="M3853" s="35" t="s">
        <v>11</v>
      </c>
      <c r="N3853" s="38"/>
      <c r="O3853" s="35" t="s">
        <v>12</v>
      </c>
    </row>
    <row r="3854" spans="1:15" x14ac:dyDescent="0.25">
      <c r="A3854" s="35">
        <v>1088204073</v>
      </c>
      <c r="B3854" s="35" t="s">
        <v>4132</v>
      </c>
      <c r="C3854" s="35">
        <v>2022</v>
      </c>
      <c r="D3854" s="36">
        <v>44818.851747685178</v>
      </c>
      <c r="E3854" s="35" t="s">
        <v>469</v>
      </c>
      <c r="F3854" s="43" t="s">
        <v>3532</v>
      </c>
      <c r="G3854" s="43" t="s">
        <v>1210</v>
      </c>
      <c r="H3854" s="35" t="s">
        <v>3415</v>
      </c>
      <c r="I3854" s="35" t="s">
        <v>3453</v>
      </c>
      <c r="J3854" s="38">
        <v>2.213259402121504</v>
      </c>
      <c r="K3854" s="35">
        <v>4</v>
      </c>
      <c r="L3854" s="38">
        <f t="shared" si="60"/>
        <v>8.8530376084860158</v>
      </c>
      <c r="M3854" s="35" t="s">
        <v>11</v>
      </c>
      <c r="N3854" s="38"/>
      <c r="O3854" s="35" t="s">
        <v>12</v>
      </c>
    </row>
    <row r="3855" spans="1:15" x14ac:dyDescent="0.25">
      <c r="A3855" s="35">
        <v>1088204073</v>
      </c>
      <c r="B3855" s="35" t="s">
        <v>4132</v>
      </c>
      <c r="C3855" s="35">
        <v>2022</v>
      </c>
      <c r="D3855" s="36">
        <v>44818.851747685178</v>
      </c>
      <c r="E3855" s="35" t="s">
        <v>469</v>
      </c>
      <c r="F3855" s="43" t="s">
        <v>3877</v>
      </c>
      <c r="G3855" s="43" t="s">
        <v>3742</v>
      </c>
      <c r="H3855" s="35" t="s">
        <v>3419</v>
      </c>
      <c r="I3855" s="35" t="s">
        <v>3453</v>
      </c>
      <c r="J3855" s="38">
        <v>2.7807618129218898</v>
      </c>
      <c r="K3855" s="35">
        <v>3</v>
      </c>
      <c r="L3855" s="38">
        <f t="shared" si="60"/>
        <v>8.3422854387656695</v>
      </c>
      <c r="M3855" s="35" t="s">
        <v>11</v>
      </c>
      <c r="N3855" s="38"/>
      <c r="O3855" s="35" t="s">
        <v>12</v>
      </c>
    </row>
    <row r="3856" spans="1:15" x14ac:dyDescent="0.25">
      <c r="A3856" s="35">
        <v>1088204073</v>
      </c>
      <c r="B3856" s="35" t="s">
        <v>4132</v>
      </c>
      <c r="C3856" s="35">
        <v>2022</v>
      </c>
      <c r="D3856" s="36">
        <v>44818.851747685178</v>
      </c>
      <c r="E3856" s="35" t="s">
        <v>469</v>
      </c>
      <c r="F3856" s="43" t="s">
        <v>3892</v>
      </c>
      <c r="G3856" s="43" t="s">
        <v>3797</v>
      </c>
      <c r="H3856" s="35" t="s">
        <v>3415</v>
      </c>
      <c r="I3856" s="35" t="s">
        <v>3416</v>
      </c>
      <c r="J3856" s="38">
        <v>1.0782545805207331</v>
      </c>
      <c r="K3856" s="35">
        <v>4</v>
      </c>
      <c r="L3856" s="38">
        <f t="shared" si="60"/>
        <v>4.3130183220829323</v>
      </c>
      <c r="M3856" s="35" t="s">
        <v>11</v>
      </c>
      <c r="N3856" s="38"/>
      <c r="O3856" s="35" t="s">
        <v>12</v>
      </c>
    </row>
    <row r="3857" spans="1:15" x14ac:dyDescent="0.25">
      <c r="A3857" s="42" t="s">
        <v>6724</v>
      </c>
      <c r="B3857" s="35" t="s">
        <v>4132</v>
      </c>
      <c r="C3857" s="35">
        <v>2022</v>
      </c>
      <c r="D3857" s="36">
        <v>44818.851747685178</v>
      </c>
      <c r="E3857" s="42" t="s">
        <v>6726</v>
      </c>
      <c r="F3857" s="42" t="s">
        <v>6727</v>
      </c>
      <c r="G3857" s="42" t="s">
        <v>6727</v>
      </c>
      <c r="H3857" s="42" t="s">
        <v>3419</v>
      </c>
      <c r="I3857" s="42" t="s">
        <v>3416</v>
      </c>
      <c r="J3857" s="38">
        <v>291.7</v>
      </c>
      <c r="K3857" s="35">
        <v>1</v>
      </c>
      <c r="L3857" s="38">
        <f t="shared" si="60"/>
        <v>291.7</v>
      </c>
      <c r="M3857" s="42" t="s">
        <v>48</v>
      </c>
      <c r="O3857" s="35" t="s">
        <v>12</v>
      </c>
    </row>
    <row r="3858" spans="1:15" ht="30" x14ac:dyDescent="0.25">
      <c r="A3858" s="42" t="s">
        <v>6724</v>
      </c>
      <c r="B3858" s="35" t="s">
        <v>3721</v>
      </c>
      <c r="C3858" s="35">
        <v>2026</v>
      </c>
      <c r="D3858" s="36">
        <v>46059.65828703704</v>
      </c>
      <c r="E3858" s="42" t="s">
        <v>6728</v>
      </c>
      <c r="F3858" s="37" t="s">
        <v>3747</v>
      </c>
      <c r="G3858" s="37" t="s">
        <v>3748</v>
      </c>
      <c r="H3858" s="35" t="s">
        <v>3419</v>
      </c>
      <c r="I3858" s="35" t="s">
        <v>3416</v>
      </c>
      <c r="J3858" s="38">
        <v>60</v>
      </c>
      <c r="K3858" s="35">
        <v>1</v>
      </c>
      <c r="L3858" s="38">
        <f t="shared" si="60"/>
        <v>60</v>
      </c>
      <c r="M3858" s="35" t="s">
        <v>11</v>
      </c>
      <c r="N3858" s="38"/>
      <c r="O3858" s="35" t="s">
        <v>12</v>
      </c>
    </row>
  </sheetData>
  <autoFilter ref="A1:O3858" xr:uid="{00000000-0001-0000-0100-000000000000}">
    <sortState xmlns:xlrd2="http://schemas.microsoft.com/office/spreadsheetml/2017/richdata2" ref="A2:O3856">
      <sortCondition descending="1" ref="N1:N3856"/>
    </sortState>
  </autoFilter>
  <conditionalFormatting sqref="N2:N3298">
    <cfRule type="dataBar" priority="3">
      <dataBar>
        <cfvo type="min"/>
        <cfvo type="max"/>
        <color rgb="FF63C384"/>
      </dataBar>
    </cfRule>
  </conditionalFormatting>
  <conditionalFormatting sqref="N3858">
    <cfRule type="dataBar" priority="1">
      <dataBar>
        <cfvo type="min"/>
        <cfvo type="max"/>
        <color rgb="FF63C384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7064-59D6-4D26-BC63-49D1E2368190}">
  <sheetPr>
    <tabColor rgb="FF92D050"/>
  </sheetPr>
  <dimension ref="A1:P54"/>
  <sheetViews>
    <sheetView workbookViewId="0">
      <selection activeCell="D10" sqref="D10"/>
    </sheetView>
  </sheetViews>
  <sheetFormatPr baseColWidth="10" defaultRowHeight="15" x14ac:dyDescent="0.25"/>
  <cols>
    <col min="1" max="1" width="17.5703125" bestFit="1" customWidth="1"/>
    <col min="2" max="2" width="13.42578125" bestFit="1" customWidth="1"/>
    <col min="3" max="3" width="12" bestFit="1" customWidth="1"/>
    <col min="4" max="4" width="17.5703125" bestFit="1" customWidth="1"/>
    <col min="5" max="5" width="13.42578125" bestFit="1" customWidth="1"/>
    <col min="6" max="6" width="12" bestFit="1" customWidth="1"/>
    <col min="7" max="7" width="48.28515625" bestFit="1" customWidth="1"/>
    <col min="8" max="8" width="13.42578125" bestFit="1" customWidth="1"/>
    <col min="9" max="9" width="16.85546875" bestFit="1" customWidth="1"/>
    <col min="12" max="12" width="61.5703125" bestFit="1" customWidth="1"/>
    <col min="13" max="13" width="13.42578125" bestFit="1" customWidth="1"/>
    <col min="14" max="14" width="16.85546875" bestFit="1" customWidth="1"/>
    <col min="15" max="15" width="19.140625" bestFit="1" customWidth="1"/>
    <col min="16" max="16" width="13.42578125" bestFit="1" customWidth="1"/>
    <col min="17" max="17" width="23" bestFit="1" customWidth="1"/>
    <col min="18" max="25" width="12" bestFit="1" customWidth="1"/>
    <col min="26" max="26" width="4" bestFit="1" customWidth="1"/>
    <col min="27" max="37" width="12" bestFit="1" customWidth="1"/>
    <col min="38" max="38" width="11" bestFit="1" customWidth="1"/>
    <col min="39" max="39" width="7" bestFit="1" customWidth="1"/>
    <col min="40" max="53" width="12" bestFit="1" customWidth="1"/>
    <col min="54" max="54" width="11" bestFit="1" customWidth="1"/>
    <col min="55" max="58" width="12" bestFit="1" customWidth="1"/>
    <col min="59" max="59" width="11" bestFit="1" customWidth="1"/>
    <col min="60" max="65" width="12" bestFit="1" customWidth="1"/>
    <col min="66" max="66" width="4" bestFit="1" customWidth="1"/>
    <col min="67" max="67" width="11" bestFit="1" customWidth="1"/>
    <col min="68" max="91" width="12" bestFit="1" customWidth="1"/>
    <col min="92" max="92" width="11" bestFit="1" customWidth="1"/>
    <col min="93" max="93" width="12" bestFit="1" customWidth="1"/>
    <col min="94" max="94" width="8" bestFit="1" customWidth="1"/>
    <col min="95" max="101" width="12" bestFit="1" customWidth="1"/>
    <col min="102" max="102" width="11" bestFit="1" customWidth="1"/>
    <col min="103" max="103" width="5" bestFit="1" customWidth="1"/>
    <col min="104" max="104" width="11" bestFit="1" customWidth="1"/>
    <col min="105" max="105" width="12" bestFit="1" customWidth="1"/>
    <col min="106" max="106" width="11" bestFit="1" customWidth="1"/>
    <col min="107" max="107" width="7" bestFit="1" customWidth="1"/>
    <col min="108" max="116" width="12" bestFit="1" customWidth="1"/>
    <col min="117" max="117" width="11" bestFit="1" customWidth="1"/>
    <col min="118" max="137" width="12" bestFit="1" customWidth="1"/>
    <col min="138" max="138" width="11" bestFit="1" customWidth="1"/>
    <col min="139" max="139" width="4" bestFit="1" customWidth="1"/>
    <col min="140" max="152" width="12" bestFit="1" customWidth="1"/>
    <col min="153" max="153" width="5" bestFit="1" customWidth="1"/>
    <col min="154" max="157" width="12" bestFit="1" customWidth="1"/>
    <col min="158" max="158" width="11" bestFit="1" customWidth="1"/>
    <col min="159" max="160" width="12" bestFit="1" customWidth="1"/>
    <col min="161" max="161" width="10" bestFit="1" customWidth="1"/>
    <col min="162" max="162" width="11" bestFit="1" customWidth="1"/>
    <col min="163" max="163" width="6" bestFit="1" customWidth="1"/>
    <col min="164" max="180" width="12" bestFit="1" customWidth="1"/>
    <col min="181" max="181" width="11" bestFit="1" customWidth="1"/>
    <col min="182" max="198" width="12" bestFit="1" customWidth="1"/>
    <col min="199" max="199" width="4" bestFit="1" customWidth="1"/>
    <col min="200" max="201" width="12" bestFit="1" customWidth="1"/>
    <col min="202" max="202" width="11" bestFit="1" customWidth="1"/>
    <col min="203" max="231" width="12" bestFit="1" customWidth="1"/>
    <col min="232" max="232" width="5" bestFit="1" customWidth="1"/>
    <col min="233" max="241" width="12" bestFit="1" customWidth="1"/>
    <col min="242" max="242" width="11" bestFit="1" customWidth="1"/>
    <col min="243" max="244" width="12" bestFit="1" customWidth="1"/>
    <col min="245" max="245" width="11" bestFit="1" customWidth="1"/>
    <col min="246" max="252" width="12" bestFit="1" customWidth="1"/>
    <col min="253" max="253" width="11" bestFit="1" customWidth="1"/>
    <col min="254" max="258" width="12" bestFit="1" customWidth="1"/>
    <col min="259" max="259" width="4" bestFit="1" customWidth="1"/>
    <col min="260" max="262" width="12" bestFit="1" customWidth="1"/>
    <col min="263" max="263" width="6" bestFit="1" customWidth="1"/>
    <col min="264" max="267" width="12" bestFit="1" customWidth="1"/>
    <col min="268" max="269" width="11" bestFit="1" customWidth="1"/>
    <col min="270" max="270" width="12" bestFit="1" customWidth="1"/>
    <col min="271" max="271" width="6" bestFit="1" customWidth="1"/>
    <col min="272" max="272" width="12" bestFit="1" customWidth="1"/>
    <col min="273" max="273" width="11" bestFit="1" customWidth="1"/>
    <col min="274" max="280" width="12" bestFit="1" customWidth="1"/>
    <col min="281" max="281" width="11" bestFit="1" customWidth="1"/>
    <col min="282" max="283" width="12" bestFit="1" customWidth="1"/>
    <col min="284" max="284" width="11" bestFit="1" customWidth="1"/>
    <col min="285" max="292" width="12" bestFit="1" customWidth="1"/>
    <col min="293" max="293" width="5" bestFit="1" customWidth="1"/>
    <col min="294" max="295" width="12" bestFit="1" customWidth="1"/>
    <col min="296" max="296" width="11" bestFit="1" customWidth="1"/>
    <col min="297" max="304" width="12" bestFit="1" customWidth="1"/>
    <col min="305" max="305" width="5" bestFit="1" customWidth="1"/>
    <col min="306" max="314" width="12" bestFit="1" customWidth="1"/>
    <col min="315" max="315" width="11" bestFit="1" customWidth="1"/>
    <col min="316" max="317" width="12" bestFit="1" customWidth="1"/>
    <col min="318" max="318" width="11" bestFit="1" customWidth="1"/>
    <col min="319" max="323" width="12" bestFit="1" customWidth="1"/>
    <col min="324" max="324" width="11" bestFit="1" customWidth="1"/>
    <col min="325" max="339" width="12" bestFit="1" customWidth="1"/>
    <col min="340" max="340" width="10" bestFit="1" customWidth="1"/>
    <col min="341" max="345" width="12" bestFit="1" customWidth="1"/>
    <col min="346" max="346" width="11" bestFit="1" customWidth="1"/>
    <col min="347" max="347" width="4" bestFit="1" customWidth="1"/>
    <col min="348" max="364" width="12" bestFit="1" customWidth="1"/>
    <col min="365" max="365" width="11" bestFit="1" customWidth="1"/>
    <col min="366" max="366" width="6" bestFit="1" customWidth="1"/>
    <col min="367" max="368" width="12" bestFit="1" customWidth="1"/>
    <col min="369" max="369" width="11" bestFit="1" customWidth="1"/>
    <col min="370" max="404" width="12" bestFit="1" customWidth="1"/>
    <col min="405" max="405" width="11" bestFit="1" customWidth="1"/>
    <col min="406" max="406" width="6" bestFit="1" customWidth="1"/>
    <col min="407" max="408" width="12" bestFit="1" customWidth="1"/>
    <col min="409" max="409" width="7" bestFit="1" customWidth="1"/>
    <col min="410" max="410" width="12" bestFit="1" customWidth="1"/>
    <col min="411" max="412" width="11" bestFit="1" customWidth="1"/>
    <col min="413" max="424" width="12" bestFit="1" customWidth="1"/>
    <col min="425" max="425" width="6" bestFit="1" customWidth="1"/>
    <col min="426" max="433" width="12" bestFit="1" customWidth="1"/>
    <col min="434" max="434" width="10" bestFit="1" customWidth="1"/>
    <col min="435" max="441" width="12" bestFit="1" customWidth="1"/>
    <col min="442" max="442" width="5" bestFit="1" customWidth="1"/>
    <col min="443" max="443" width="12" bestFit="1" customWidth="1"/>
    <col min="444" max="444" width="11" bestFit="1" customWidth="1"/>
    <col min="445" max="446" width="12" bestFit="1" customWidth="1"/>
    <col min="447" max="447" width="11" bestFit="1" customWidth="1"/>
    <col min="448" max="451" width="12" bestFit="1" customWidth="1"/>
    <col min="452" max="454" width="11" bestFit="1" customWidth="1"/>
    <col min="455" max="461" width="12" bestFit="1" customWidth="1"/>
    <col min="462" max="462" width="4" bestFit="1" customWidth="1"/>
    <col min="463" max="466" width="12" bestFit="1" customWidth="1"/>
    <col min="467" max="467" width="11" bestFit="1" customWidth="1"/>
    <col min="468" max="468" width="5" bestFit="1" customWidth="1"/>
    <col min="469" max="475" width="12" bestFit="1" customWidth="1"/>
    <col min="476" max="476" width="11" bestFit="1" customWidth="1"/>
    <col min="477" max="477" width="12" bestFit="1" customWidth="1"/>
    <col min="478" max="478" width="11" bestFit="1" customWidth="1"/>
    <col min="479" max="484" width="12" bestFit="1" customWidth="1"/>
    <col min="485" max="485" width="11" bestFit="1" customWidth="1"/>
    <col min="486" max="504" width="12" bestFit="1" customWidth="1"/>
    <col min="505" max="505" width="11" bestFit="1" customWidth="1"/>
    <col min="506" max="507" width="12" bestFit="1" customWidth="1"/>
    <col min="508" max="508" width="11" bestFit="1" customWidth="1"/>
    <col min="509" max="510" width="12" bestFit="1" customWidth="1"/>
    <col min="511" max="511" width="11" bestFit="1" customWidth="1"/>
    <col min="512" max="514" width="12" bestFit="1" customWidth="1"/>
    <col min="515" max="515" width="11" bestFit="1" customWidth="1"/>
    <col min="516" max="521" width="12" bestFit="1" customWidth="1"/>
    <col min="522" max="522" width="5" bestFit="1" customWidth="1"/>
    <col min="523" max="527" width="12" bestFit="1" customWidth="1"/>
    <col min="528" max="528" width="11" bestFit="1" customWidth="1"/>
    <col min="529" max="530" width="12" bestFit="1" customWidth="1"/>
    <col min="531" max="531" width="10" bestFit="1" customWidth="1"/>
    <col min="532" max="532" width="12" bestFit="1" customWidth="1"/>
    <col min="533" max="533" width="5" bestFit="1" customWidth="1"/>
    <col min="534" max="539" width="12" bestFit="1" customWidth="1"/>
    <col min="540" max="540" width="5" bestFit="1" customWidth="1"/>
    <col min="541" max="542" width="12" bestFit="1" customWidth="1"/>
    <col min="543" max="543" width="6" bestFit="1" customWidth="1"/>
    <col min="544" max="544" width="2" bestFit="1" customWidth="1"/>
    <col min="545" max="566" width="12" bestFit="1" customWidth="1"/>
    <col min="567" max="567" width="10" bestFit="1" customWidth="1"/>
    <col min="568" max="568" width="11" bestFit="1" customWidth="1"/>
    <col min="569" max="569" width="12" bestFit="1" customWidth="1"/>
    <col min="570" max="570" width="11" bestFit="1" customWidth="1"/>
    <col min="571" max="572" width="12" bestFit="1" customWidth="1"/>
    <col min="573" max="573" width="5" bestFit="1" customWidth="1"/>
    <col min="574" max="580" width="12" bestFit="1" customWidth="1"/>
    <col min="581" max="582" width="11" bestFit="1" customWidth="1"/>
    <col min="583" max="583" width="12" bestFit="1" customWidth="1"/>
    <col min="584" max="586" width="11" bestFit="1" customWidth="1"/>
    <col min="587" max="605" width="12" bestFit="1" customWidth="1"/>
    <col min="606" max="606" width="5" bestFit="1" customWidth="1"/>
    <col min="607" max="607" width="11" bestFit="1" customWidth="1"/>
    <col min="608" max="620" width="12" bestFit="1" customWidth="1"/>
    <col min="621" max="622" width="11" bestFit="1" customWidth="1"/>
    <col min="623" max="663" width="12" bestFit="1" customWidth="1"/>
    <col min="664" max="664" width="5" bestFit="1" customWidth="1"/>
    <col min="665" max="665" width="11" bestFit="1" customWidth="1"/>
    <col min="666" max="669" width="12" bestFit="1" customWidth="1"/>
    <col min="670" max="670" width="8" bestFit="1" customWidth="1"/>
    <col min="671" max="673" width="12" bestFit="1" customWidth="1"/>
    <col min="674" max="674" width="7" bestFit="1" customWidth="1"/>
    <col min="675" max="677" width="12" bestFit="1" customWidth="1"/>
    <col min="678" max="678" width="4" bestFit="1" customWidth="1"/>
    <col min="679" max="681" width="12" bestFit="1" customWidth="1"/>
    <col min="682" max="682" width="11" bestFit="1" customWidth="1"/>
    <col min="683" max="684" width="12" bestFit="1" customWidth="1"/>
    <col min="685" max="685" width="11" bestFit="1" customWidth="1"/>
    <col min="686" max="694" width="12" bestFit="1" customWidth="1"/>
    <col min="695" max="695" width="5" bestFit="1" customWidth="1"/>
    <col min="696" max="705" width="12" bestFit="1" customWidth="1"/>
    <col min="706" max="706" width="7" bestFit="1" customWidth="1"/>
    <col min="707" max="707" width="5" bestFit="1" customWidth="1"/>
    <col min="708" max="708" width="7" bestFit="1" customWidth="1"/>
    <col min="709" max="709" width="12" bestFit="1" customWidth="1"/>
    <col min="710" max="710" width="11" bestFit="1" customWidth="1"/>
    <col min="711" max="714" width="12" bestFit="1" customWidth="1"/>
    <col min="715" max="715" width="6" bestFit="1" customWidth="1"/>
    <col min="716" max="716" width="12" bestFit="1" customWidth="1"/>
    <col min="717" max="717" width="4" bestFit="1" customWidth="1"/>
    <col min="718" max="733" width="12" bestFit="1" customWidth="1"/>
    <col min="734" max="734" width="11" bestFit="1" customWidth="1"/>
    <col min="735" max="737" width="12" bestFit="1" customWidth="1"/>
    <col min="738" max="738" width="11" bestFit="1" customWidth="1"/>
    <col min="739" max="739" width="7" bestFit="1" customWidth="1"/>
    <col min="740" max="741" width="12" bestFit="1" customWidth="1"/>
    <col min="742" max="742" width="5" bestFit="1" customWidth="1"/>
    <col min="743" max="753" width="12" bestFit="1" customWidth="1"/>
    <col min="754" max="754" width="4" bestFit="1" customWidth="1"/>
    <col min="755" max="757" width="12" bestFit="1" customWidth="1"/>
    <col min="758" max="758" width="5" bestFit="1" customWidth="1"/>
    <col min="759" max="762" width="12" bestFit="1" customWidth="1"/>
    <col min="763" max="763" width="8" bestFit="1" customWidth="1"/>
    <col min="764" max="765" width="12" bestFit="1" customWidth="1"/>
    <col min="766" max="766" width="11" bestFit="1" customWidth="1"/>
    <col min="767" max="769" width="12" bestFit="1" customWidth="1"/>
    <col min="770" max="770" width="11" bestFit="1" customWidth="1"/>
    <col min="771" max="777" width="12" bestFit="1" customWidth="1"/>
    <col min="778" max="778" width="11" bestFit="1" customWidth="1"/>
    <col min="779" max="784" width="12" bestFit="1" customWidth="1"/>
    <col min="785" max="785" width="4" bestFit="1" customWidth="1"/>
    <col min="786" max="788" width="12" bestFit="1" customWidth="1"/>
    <col min="789" max="789" width="5" bestFit="1" customWidth="1"/>
    <col min="790" max="792" width="12" bestFit="1" customWidth="1"/>
    <col min="793" max="793" width="5" bestFit="1" customWidth="1"/>
    <col min="794" max="809" width="12" bestFit="1" customWidth="1"/>
    <col min="810" max="810" width="5" bestFit="1" customWidth="1"/>
    <col min="811" max="811" width="11" bestFit="1" customWidth="1"/>
    <col min="812" max="816" width="12" bestFit="1" customWidth="1"/>
    <col min="817" max="817" width="11" bestFit="1" customWidth="1"/>
    <col min="818" max="818" width="12" bestFit="1" customWidth="1"/>
    <col min="819" max="819" width="11" bestFit="1" customWidth="1"/>
    <col min="820" max="821" width="12" bestFit="1" customWidth="1"/>
    <col min="822" max="822" width="11" bestFit="1" customWidth="1"/>
    <col min="823" max="823" width="12" bestFit="1" customWidth="1"/>
    <col min="824" max="824" width="5" bestFit="1" customWidth="1"/>
    <col min="825" max="828" width="12" bestFit="1" customWidth="1"/>
    <col min="829" max="829" width="5" bestFit="1" customWidth="1"/>
    <col min="830" max="842" width="12" bestFit="1" customWidth="1"/>
    <col min="843" max="843" width="5" bestFit="1" customWidth="1"/>
    <col min="844" max="850" width="12" bestFit="1" customWidth="1"/>
    <col min="851" max="851" width="5" bestFit="1" customWidth="1"/>
    <col min="852" max="852" width="12" bestFit="1" customWidth="1"/>
    <col min="853" max="853" width="6" bestFit="1" customWidth="1"/>
    <col min="854" max="854" width="12" bestFit="1" customWidth="1"/>
    <col min="855" max="855" width="11" bestFit="1" customWidth="1"/>
    <col min="856" max="859" width="12" bestFit="1" customWidth="1"/>
    <col min="860" max="860" width="4" bestFit="1" customWidth="1"/>
    <col min="861" max="872" width="12" bestFit="1" customWidth="1"/>
    <col min="873" max="873" width="11" bestFit="1" customWidth="1"/>
    <col min="874" max="875" width="5" bestFit="1" customWidth="1"/>
    <col min="876" max="878" width="12" bestFit="1" customWidth="1"/>
    <col min="879" max="879" width="5" bestFit="1" customWidth="1"/>
    <col min="880" max="882" width="12" bestFit="1" customWidth="1"/>
    <col min="883" max="883" width="5" bestFit="1" customWidth="1"/>
    <col min="884" max="888" width="12" bestFit="1" customWidth="1"/>
    <col min="889" max="889" width="5" bestFit="1" customWidth="1"/>
    <col min="890" max="890" width="4" bestFit="1" customWidth="1"/>
    <col min="891" max="895" width="12" bestFit="1" customWidth="1"/>
    <col min="896" max="896" width="5" bestFit="1" customWidth="1"/>
    <col min="897" max="898" width="12" bestFit="1" customWidth="1"/>
    <col min="899" max="899" width="11" bestFit="1" customWidth="1"/>
    <col min="900" max="900" width="5" bestFit="1" customWidth="1"/>
    <col min="901" max="903" width="12" bestFit="1" customWidth="1"/>
    <col min="904" max="904" width="5" bestFit="1" customWidth="1"/>
    <col min="905" max="915" width="12" bestFit="1" customWidth="1"/>
    <col min="916" max="916" width="5" bestFit="1" customWidth="1"/>
    <col min="917" max="917" width="4" bestFit="1" customWidth="1"/>
    <col min="918" max="920" width="12" bestFit="1" customWidth="1"/>
    <col min="921" max="921" width="5" bestFit="1" customWidth="1"/>
    <col min="922" max="922" width="12" bestFit="1" customWidth="1"/>
    <col min="923" max="923" width="5" bestFit="1" customWidth="1"/>
    <col min="924" max="924" width="11" bestFit="1" customWidth="1"/>
    <col min="925" max="925" width="5" bestFit="1" customWidth="1"/>
    <col min="926" max="926" width="12" bestFit="1" customWidth="1"/>
    <col min="927" max="927" width="7" bestFit="1" customWidth="1"/>
    <col min="928" max="933" width="12" bestFit="1" customWidth="1"/>
    <col min="934" max="934" width="5" bestFit="1" customWidth="1"/>
    <col min="935" max="935" width="9" bestFit="1" customWidth="1"/>
    <col min="936" max="936" width="12" bestFit="1" customWidth="1"/>
    <col min="937" max="937" width="5" bestFit="1" customWidth="1"/>
    <col min="938" max="938" width="12" bestFit="1" customWidth="1"/>
    <col min="939" max="939" width="2" bestFit="1" customWidth="1"/>
    <col min="940" max="943" width="12" bestFit="1" customWidth="1"/>
    <col min="944" max="944" width="7" bestFit="1" customWidth="1"/>
    <col min="945" max="945" width="5" bestFit="1" customWidth="1"/>
    <col min="946" max="947" width="12" bestFit="1" customWidth="1"/>
    <col min="948" max="948" width="5" bestFit="1" customWidth="1"/>
    <col min="949" max="949" width="12" bestFit="1" customWidth="1"/>
    <col min="950" max="950" width="11" bestFit="1" customWidth="1"/>
    <col min="951" max="951" width="5" bestFit="1" customWidth="1"/>
    <col min="952" max="955" width="12" bestFit="1" customWidth="1"/>
    <col min="956" max="956" width="5" bestFit="1" customWidth="1"/>
    <col min="957" max="962" width="12" bestFit="1" customWidth="1"/>
    <col min="963" max="963" width="5" bestFit="1" customWidth="1"/>
    <col min="964" max="965" width="12" bestFit="1" customWidth="1"/>
    <col min="966" max="966" width="5" bestFit="1" customWidth="1"/>
    <col min="967" max="967" width="11" bestFit="1" customWidth="1"/>
    <col min="968" max="970" width="12" bestFit="1" customWidth="1"/>
    <col min="971" max="971" width="4" bestFit="1" customWidth="1"/>
    <col min="972" max="972" width="10" bestFit="1" customWidth="1"/>
    <col min="973" max="981" width="12" bestFit="1" customWidth="1"/>
    <col min="982" max="982" width="11" bestFit="1" customWidth="1"/>
    <col min="983" max="983" width="5" bestFit="1" customWidth="1"/>
    <col min="984" max="987" width="12" bestFit="1" customWidth="1"/>
    <col min="988" max="988" width="11" bestFit="1" customWidth="1"/>
    <col min="989" max="998" width="12" bestFit="1" customWidth="1"/>
    <col min="999" max="999" width="5" bestFit="1" customWidth="1"/>
    <col min="1000" max="1000" width="12" bestFit="1" customWidth="1"/>
    <col min="1001" max="1001" width="6" bestFit="1" customWidth="1"/>
    <col min="1002" max="1002" width="10" bestFit="1" customWidth="1"/>
    <col min="1003" max="1003" width="5" bestFit="1" customWidth="1"/>
    <col min="1004" max="1010" width="12" bestFit="1" customWidth="1"/>
    <col min="1011" max="1011" width="4" bestFit="1" customWidth="1"/>
    <col min="1012" max="1016" width="12" bestFit="1" customWidth="1"/>
    <col min="1017" max="1017" width="11" bestFit="1" customWidth="1"/>
    <col min="1018" max="1018" width="5" bestFit="1" customWidth="1"/>
    <col min="1019" max="1021" width="12" bestFit="1" customWidth="1"/>
    <col min="1022" max="1022" width="5" bestFit="1" customWidth="1"/>
    <col min="1023" max="1023" width="6" bestFit="1" customWidth="1"/>
    <col min="1024" max="1027" width="12" bestFit="1" customWidth="1"/>
    <col min="1028" max="1028" width="5" bestFit="1" customWidth="1"/>
    <col min="1029" max="1031" width="12" bestFit="1" customWidth="1"/>
    <col min="1032" max="1032" width="7" bestFit="1" customWidth="1"/>
    <col min="1033" max="1033" width="11" bestFit="1" customWidth="1"/>
    <col min="1034" max="1036" width="12" bestFit="1" customWidth="1"/>
    <col min="1037" max="1037" width="11" bestFit="1" customWidth="1"/>
    <col min="1038" max="1038" width="5" bestFit="1" customWidth="1"/>
    <col min="1039" max="1045" width="12" bestFit="1" customWidth="1"/>
    <col min="1046" max="1046" width="5" bestFit="1" customWidth="1"/>
    <col min="1047" max="1047" width="11" bestFit="1" customWidth="1"/>
    <col min="1048" max="1048" width="12" bestFit="1" customWidth="1"/>
    <col min="1049" max="1049" width="5" bestFit="1" customWidth="1"/>
    <col min="1050" max="1053" width="12" bestFit="1" customWidth="1"/>
    <col min="1054" max="1054" width="5" bestFit="1" customWidth="1"/>
    <col min="1055" max="1055" width="6" bestFit="1" customWidth="1"/>
    <col min="1056" max="1063" width="12" bestFit="1" customWidth="1"/>
    <col min="1064" max="1064" width="11" bestFit="1" customWidth="1"/>
    <col min="1065" max="1067" width="12" bestFit="1" customWidth="1"/>
    <col min="1068" max="1068" width="11" bestFit="1" customWidth="1"/>
    <col min="1069" max="1072" width="12" bestFit="1" customWidth="1"/>
    <col min="1073" max="1073" width="4" bestFit="1" customWidth="1"/>
    <col min="1074" max="1075" width="12" bestFit="1" customWidth="1"/>
    <col min="1076" max="1076" width="5" bestFit="1" customWidth="1"/>
    <col min="1077" max="1078" width="12" bestFit="1" customWidth="1"/>
    <col min="1079" max="1079" width="5" bestFit="1" customWidth="1"/>
    <col min="1080" max="1080" width="12" bestFit="1" customWidth="1"/>
    <col min="1081" max="1081" width="11" bestFit="1" customWidth="1"/>
    <col min="1082" max="1082" width="5" bestFit="1" customWidth="1"/>
    <col min="1083" max="1088" width="12" bestFit="1" customWidth="1"/>
    <col min="1089" max="1089" width="11" bestFit="1" customWidth="1"/>
    <col min="1090" max="1090" width="4" bestFit="1" customWidth="1"/>
    <col min="1091" max="1094" width="12" bestFit="1" customWidth="1"/>
    <col min="1095" max="1095" width="5" bestFit="1" customWidth="1"/>
    <col min="1096" max="1101" width="12" bestFit="1" customWidth="1"/>
    <col min="1102" max="1102" width="5" bestFit="1" customWidth="1"/>
    <col min="1103" max="1103" width="11" bestFit="1" customWidth="1"/>
    <col min="1104" max="1105" width="12" bestFit="1" customWidth="1"/>
    <col min="1106" max="1106" width="9" bestFit="1" customWidth="1"/>
    <col min="1107" max="1107" width="5" bestFit="1" customWidth="1"/>
    <col min="1108" max="1109" width="12" bestFit="1" customWidth="1"/>
    <col min="1110" max="1110" width="5" bestFit="1" customWidth="1"/>
    <col min="1111" max="1111" width="12" bestFit="1" customWidth="1"/>
    <col min="1112" max="1112" width="5" bestFit="1" customWidth="1"/>
    <col min="1113" max="1114" width="12" bestFit="1" customWidth="1"/>
    <col min="1115" max="1115" width="11" bestFit="1" customWidth="1"/>
    <col min="1116" max="1117" width="12" bestFit="1" customWidth="1"/>
    <col min="1118" max="1118" width="6" bestFit="1" customWidth="1"/>
    <col min="1119" max="1119" width="12" bestFit="1" customWidth="1"/>
    <col min="1120" max="1120" width="5" bestFit="1" customWidth="1"/>
    <col min="1121" max="1128" width="12" bestFit="1" customWidth="1"/>
    <col min="1129" max="1129" width="6" bestFit="1" customWidth="1"/>
    <col min="1130" max="1133" width="12" bestFit="1" customWidth="1"/>
    <col min="1134" max="1134" width="11" bestFit="1" customWidth="1"/>
    <col min="1135" max="1135" width="4" bestFit="1" customWidth="1"/>
    <col min="1136" max="1138" width="12" bestFit="1" customWidth="1"/>
    <col min="1139" max="1139" width="11" bestFit="1" customWidth="1"/>
    <col min="1140" max="1140" width="5" bestFit="1" customWidth="1"/>
    <col min="1141" max="1143" width="12" bestFit="1" customWidth="1"/>
    <col min="1144" max="1144" width="11" bestFit="1" customWidth="1"/>
    <col min="1145" max="1146" width="12" bestFit="1" customWidth="1"/>
    <col min="1147" max="1147" width="11" bestFit="1" customWidth="1"/>
    <col min="1148" max="1152" width="12" bestFit="1" customWidth="1"/>
    <col min="1153" max="1153" width="4" bestFit="1" customWidth="1"/>
    <col min="1154" max="1154" width="12" bestFit="1" customWidth="1"/>
    <col min="1155" max="1155" width="6" bestFit="1" customWidth="1"/>
    <col min="1156" max="1157" width="12" bestFit="1" customWidth="1"/>
    <col min="1158" max="1158" width="5" bestFit="1" customWidth="1"/>
    <col min="1159" max="1159" width="12" bestFit="1" customWidth="1"/>
    <col min="1160" max="1161" width="5" bestFit="1" customWidth="1"/>
    <col min="1162" max="1165" width="12" bestFit="1" customWidth="1"/>
    <col min="1166" max="1166" width="5" bestFit="1" customWidth="1"/>
    <col min="1167" max="1167" width="12" bestFit="1" customWidth="1"/>
    <col min="1168" max="1168" width="5" bestFit="1" customWidth="1"/>
    <col min="1169" max="1169" width="12" bestFit="1" customWidth="1"/>
    <col min="1170" max="1170" width="4" bestFit="1" customWidth="1"/>
    <col min="1171" max="1171" width="12" bestFit="1" customWidth="1"/>
    <col min="1172" max="1172" width="5" bestFit="1" customWidth="1"/>
    <col min="1173" max="1174" width="12" bestFit="1" customWidth="1"/>
    <col min="1175" max="1175" width="5" bestFit="1" customWidth="1"/>
    <col min="1176" max="1179" width="12" bestFit="1" customWidth="1"/>
    <col min="1180" max="1180" width="5" bestFit="1" customWidth="1"/>
    <col min="1181" max="1182" width="12" bestFit="1" customWidth="1"/>
    <col min="1183" max="1183" width="11" bestFit="1" customWidth="1"/>
    <col min="1184" max="1184" width="2" bestFit="1" customWidth="1"/>
    <col min="1185" max="1185" width="5" bestFit="1" customWidth="1"/>
    <col min="1186" max="1186" width="12" bestFit="1" customWidth="1"/>
    <col min="1187" max="1187" width="5" bestFit="1" customWidth="1"/>
    <col min="1188" max="1192" width="12" bestFit="1" customWidth="1"/>
    <col min="1193" max="1194" width="5" bestFit="1" customWidth="1"/>
    <col min="1195" max="1201" width="12" bestFit="1" customWidth="1"/>
    <col min="1202" max="1202" width="5" bestFit="1" customWidth="1"/>
    <col min="1203" max="1203" width="12" bestFit="1" customWidth="1"/>
    <col min="1204" max="1204" width="5" bestFit="1" customWidth="1"/>
    <col min="1205" max="1205" width="12" bestFit="1" customWidth="1"/>
    <col min="1206" max="1206" width="11" bestFit="1" customWidth="1"/>
    <col min="1207" max="1207" width="5" bestFit="1" customWidth="1"/>
    <col min="1208" max="1208" width="12" bestFit="1" customWidth="1"/>
    <col min="1209" max="1209" width="11" bestFit="1" customWidth="1"/>
    <col min="1210" max="1217" width="12" bestFit="1" customWidth="1"/>
    <col min="1218" max="1218" width="5" bestFit="1" customWidth="1"/>
    <col min="1219" max="1219" width="11" bestFit="1" customWidth="1"/>
    <col min="1220" max="1221" width="12" bestFit="1" customWidth="1"/>
    <col min="1222" max="1222" width="10" bestFit="1" customWidth="1"/>
    <col min="1223" max="1223" width="12" bestFit="1" customWidth="1"/>
    <col min="1224" max="1225" width="5" bestFit="1" customWidth="1"/>
    <col min="1226" max="1232" width="12" bestFit="1" customWidth="1"/>
    <col min="1233" max="1233" width="4" bestFit="1" customWidth="1"/>
    <col min="1234" max="1235" width="12" bestFit="1" customWidth="1"/>
    <col min="1236" max="1237" width="5" bestFit="1" customWidth="1"/>
    <col min="1238" max="1240" width="12" bestFit="1" customWidth="1"/>
    <col min="1241" max="1241" width="5" bestFit="1" customWidth="1"/>
    <col min="1242" max="1242" width="12" bestFit="1" customWidth="1"/>
    <col min="1243" max="1243" width="5" bestFit="1" customWidth="1"/>
    <col min="1244" max="1245" width="12" bestFit="1" customWidth="1"/>
    <col min="1246" max="1246" width="7" bestFit="1" customWidth="1"/>
    <col min="1247" max="1250" width="12" bestFit="1" customWidth="1"/>
    <col min="1251" max="1251" width="5" bestFit="1" customWidth="1"/>
    <col min="1252" max="1252" width="12" bestFit="1" customWidth="1"/>
    <col min="1253" max="1253" width="5" bestFit="1" customWidth="1"/>
    <col min="1254" max="1257" width="12" bestFit="1" customWidth="1"/>
    <col min="1258" max="1258" width="5" bestFit="1" customWidth="1"/>
    <col min="1259" max="1261" width="12" bestFit="1" customWidth="1"/>
    <col min="1262" max="1262" width="5" bestFit="1" customWidth="1"/>
    <col min="1263" max="1266" width="12" bestFit="1" customWidth="1"/>
    <col min="1267" max="1267" width="5" bestFit="1" customWidth="1"/>
    <col min="1268" max="1268" width="6" bestFit="1" customWidth="1"/>
    <col min="1269" max="1270" width="12" bestFit="1" customWidth="1"/>
    <col min="1271" max="1272" width="4" bestFit="1" customWidth="1"/>
    <col min="1273" max="1274" width="12" bestFit="1" customWidth="1"/>
    <col min="1275" max="1275" width="5" bestFit="1" customWidth="1"/>
    <col min="1276" max="1277" width="12" bestFit="1" customWidth="1"/>
    <col min="1278" max="1278" width="11" bestFit="1" customWidth="1"/>
    <col min="1279" max="1281" width="12" bestFit="1" customWidth="1"/>
    <col min="1282" max="1282" width="5" bestFit="1" customWidth="1"/>
    <col min="1283" max="1287" width="12" bestFit="1" customWidth="1"/>
    <col min="1288" max="1289" width="5" bestFit="1" customWidth="1"/>
    <col min="1290" max="1293" width="12" bestFit="1" customWidth="1"/>
    <col min="1294" max="1294" width="5" bestFit="1" customWidth="1"/>
    <col min="1295" max="1295" width="11" bestFit="1" customWidth="1"/>
    <col min="1296" max="1296" width="12" bestFit="1" customWidth="1"/>
    <col min="1297" max="1297" width="11" bestFit="1" customWidth="1"/>
    <col min="1298" max="1298" width="5" bestFit="1" customWidth="1"/>
    <col min="1299" max="1301" width="12" bestFit="1" customWidth="1"/>
    <col min="1302" max="1302" width="5" bestFit="1" customWidth="1"/>
    <col min="1303" max="1303" width="11" bestFit="1" customWidth="1"/>
    <col min="1304" max="1304" width="5" bestFit="1" customWidth="1"/>
    <col min="1305" max="1309" width="12" bestFit="1" customWidth="1"/>
    <col min="1310" max="1310" width="5" bestFit="1" customWidth="1"/>
    <col min="1311" max="1312" width="12" bestFit="1" customWidth="1"/>
    <col min="1313" max="1313" width="5" bestFit="1" customWidth="1"/>
    <col min="1314" max="1314" width="12" bestFit="1" customWidth="1"/>
    <col min="1315" max="1315" width="5" bestFit="1" customWidth="1"/>
    <col min="1316" max="1318" width="12" bestFit="1" customWidth="1"/>
    <col min="1319" max="1319" width="5" bestFit="1" customWidth="1"/>
    <col min="1320" max="1320" width="7" bestFit="1" customWidth="1"/>
    <col min="1321" max="1323" width="12" bestFit="1" customWidth="1"/>
    <col min="1324" max="1325" width="5" bestFit="1" customWidth="1"/>
    <col min="1326" max="1332" width="12" bestFit="1" customWidth="1"/>
    <col min="1333" max="1333" width="11" bestFit="1" customWidth="1"/>
    <col min="1334" max="1334" width="6" bestFit="1" customWidth="1"/>
    <col min="1335" max="1341" width="12" bestFit="1" customWidth="1"/>
    <col min="1342" max="1342" width="5" bestFit="1" customWidth="1"/>
    <col min="1343" max="1344" width="12" bestFit="1" customWidth="1"/>
    <col min="1345" max="1345" width="5" bestFit="1" customWidth="1"/>
    <col min="1346" max="1346" width="12" bestFit="1" customWidth="1"/>
    <col min="1347" max="1347" width="5" bestFit="1" customWidth="1"/>
    <col min="1348" max="1348" width="6" bestFit="1" customWidth="1"/>
    <col min="1349" max="1350" width="5" bestFit="1" customWidth="1"/>
    <col min="1351" max="1352" width="12" bestFit="1" customWidth="1"/>
    <col min="1353" max="1353" width="7" bestFit="1" customWidth="1"/>
    <col min="1354" max="1354" width="12" bestFit="1" customWidth="1"/>
    <col min="1355" max="1355" width="5" bestFit="1" customWidth="1"/>
    <col min="1356" max="1356" width="12" bestFit="1" customWidth="1"/>
    <col min="1357" max="1357" width="5" bestFit="1" customWidth="1"/>
    <col min="1358" max="1358" width="12" bestFit="1" customWidth="1"/>
    <col min="1359" max="1359" width="2" bestFit="1" customWidth="1"/>
    <col min="1360" max="1360" width="7" bestFit="1" customWidth="1"/>
    <col min="1361" max="1363" width="12" bestFit="1" customWidth="1"/>
    <col min="1364" max="1364" width="11" bestFit="1" customWidth="1"/>
    <col min="1365" max="1366" width="12" bestFit="1" customWidth="1"/>
    <col min="1367" max="1367" width="5" bestFit="1" customWidth="1"/>
    <col min="1368" max="1372" width="12" bestFit="1" customWidth="1"/>
    <col min="1373" max="1373" width="5" bestFit="1" customWidth="1"/>
    <col min="1374" max="1376" width="12" bestFit="1" customWidth="1"/>
    <col min="1377" max="1377" width="5" bestFit="1" customWidth="1"/>
    <col min="1378" max="1382" width="12" bestFit="1" customWidth="1"/>
    <col min="1383" max="1384" width="5" bestFit="1" customWidth="1"/>
    <col min="1385" max="1385" width="12" bestFit="1" customWidth="1"/>
    <col min="1386" max="1386" width="5" bestFit="1" customWidth="1"/>
    <col min="1387" max="1387" width="12" bestFit="1" customWidth="1"/>
    <col min="1388" max="1388" width="4" bestFit="1" customWidth="1"/>
    <col min="1389" max="1390" width="12" bestFit="1" customWidth="1"/>
    <col min="1391" max="1391" width="5" bestFit="1" customWidth="1"/>
    <col min="1392" max="1393" width="12" bestFit="1" customWidth="1"/>
    <col min="1394" max="1394" width="5" bestFit="1" customWidth="1"/>
    <col min="1395" max="1395" width="12" bestFit="1" customWidth="1"/>
    <col min="1396" max="1396" width="5" bestFit="1" customWidth="1"/>
    <col min="1397" max="1397" width="12" bestFit="1" customWidth="1"/>
    <col min="1398" max="1398" width="5" bestFit="1" customWidth="1"/>
    <col min="1399" max="1399" width="12" bestFit="1" customWidth="1"/>
    <col min="1400" max="1400" width="5" bestFit="1" customWidth="1"/>
    <col min="1401" max="1405" width="12" bestFit="1" customWidth="1"/>
    <col min="1406" max="1406" width="5" bestFit="1" customWidth="1"/>
    <col min="1407" max="1407" width="12" bestFit="1" customWidth="1"/>
    <col min="1408" max="1408" width="7" bestFit="1" customWidth="1"/>
    <col min="1409" max="1412" width="12" bestFit="1" customWidth="1"/>
    <col min="1413" max="1413" width="5" bestFit="1" customWidth="1"/>
    <col min="1414" max="1416" width="12" bestFit="1" customWidth="1"/>
    <col min="1417" max="1417" width="5" bestFit="1" customWidth="1"/>
    <col min="1418" max="1418" width="12" bestFit="1" customWidth="1"/>
    <col min="1419" max="1419" width="11" bestFit="1" customWidth="1"/>
    <col min="1420" max="1428" width="12" bestFit="1" customWidth="1"/>
    <col min="1429" max="1430" width="4" bestFit="1" customWidth="1"/>
    <col min="1431" max="1431" width="12" bestFit="1" customWidth="1"/>
    <col min="1432" max="1432" width="5" bestFit="1" customWidth="1"/>
    <col min="1433" max="1433" width="12" bestFit="1" customWidth="1"/>
    <col min="1434" max="1434" width="5" bestFit="1" customWidth="1"/>
    <col min="1435" max="1438" width="12" bestFit="1" customWidth="1"/>
    <col min="1439" max="1439" width="5" bestFit="1" customWidth="1"/>
    <col min="1440" max="1441" width="12" bestFit="1" customWidth="1"/>
    <col min="1442" max="1442" width="5" bestFit="1" customWidth="1"/>
    <col min="1443" max="1447" width="12" bestFit="1" customWidth="1"/>
    <col min="1448" max="1448" width="11" bestFit="1" customWidth="1"/>
    <col min="1449" max="1451" width="12" bestFit="1" customWidth="1"/>
    <col min="1452" max="1453" width="5" bestFit="1" customWidth="1"/>
    <col min="1454" max="1456" width="12" bestFit="1" customWidth="1"/>
    <col min="1457" max="1457" width="11" bestFit="1" customWidth="1"/>
    <col min="1458" max="1458" width="4" bestFit="1" customWidth="1"/>
    <col min="1459" max="1459" width="12" bestFit="1" customWidth="1"/>
    <col min="1460" max="1460" width="5" bestFit="1" customWidth="1"/>
    <col min="1461" max="1462" width="12" bestFit="1" customWidth="1"/>
    <col min="1463" max="1463" width="5" bestFit="1" customWidth="1"/>
    <col min="1464" max="1465" width="12" bestFit="1" customWidth="1"/>
    <col min="1466" max="1466" width="5" bestFit="1" customWidth="1"/>
    <col min="1467" max="1468" width="12" bestFit="1" customWidth="1"/>
    <col min="1469" max="1469" width="5" bestFit="1" customWidth="1"/>
    <col min="1470" max="1471" width="12" bestFit="1" customWidth="1"/>
    <col min="1472" max="1472" width="5" bestFit="1" customWidth="1"/>
    <col min="1473" max="1478" width="12" bestFit="1" customWidth="1"/>
    <col min="1479" max="1480" width="5" bestFit="1" customWidth="1"/>
    <col min="1481" max="1485" width="12" bestFit="1" customWidth="1"/>
    <col min="1486" max="1486" width="5" bestFit="1" customWidth="1"/>
    <col min="1487" max="1488" width="12" bestFit="1" customWidth="1"/>
    <col min="1489" max="1489" width="5" bestFit="1" customWidth="1"/>
    <col min="1490" max="1490" width="12" bestFit="1" customWidth="1"/>
    <col min="1491" max="1491" width="2" bestFit="1" customWidth="1"/>
    <col min="1492" max="1492" width="7" bestFit="1" customWidth="1"/>
    <col min="1493" max="1493" width="12" bestFit="1" customWidth="1"/>
    <col min="1494" max="1494" width="5" bestFit="1" customWidth="1"/>
    <col min="1495" max="1495" width="4" bestFit="1" customWidth="1"/>
    <col min="1496" max="1497" width="5" bestFit="1" customWidth="1"/>
    <col min="1498" max="1498" width="12" bestFit="1" customWidth="1"/>
    <col min="1499" max="1499" width="5" bestFit="1" customWidth="1"/>
    <col min="1500" max="1500" width="12" bestFit="1" customWidth="1"/>
    <col min="1501" max="1501" width="5" bestFit="1" customWidth="1"/>
    <col min="1502" max="1503" width="12" bestFit="1" customWidth="1"/>
    <col min="1504" max="1504" width="5" bestFit="1" customWidth="1"/>
    <col min="1505" max="1509" width="12" bestFit="1" customWidth="1"/>
    <col min="1510" max="1510" width="5" bestFit="1" customWidth="1"/>
    <col min="1511" max="1512" width="12" bestFit="1" customWidth="1"/>
    <col min="1513" max="1513" width="5" bestFit="1" customWidth="1"/>
    <col min="1514" max="1515" width="12" bestFit="1" customWidth="1"/>
    <col min="1516" max="1517" width="5" bestFit="1" customWidth="1"/>
    <col min="1518" max="1518" width="6" bestFit="1" customWidth="1"/>
    <col min="1519" max="1519" width="5" bestFit="1" customWidth="1"/>
    <col min="1520" max="1520" width="12" bestFit="1" customWidth="1"/>
    <col min="1521" max="1521" width="11" bestFit="1" customWidth="1"/>
    <col min="1522" max="1523" width="12" bestFit="1" customWidth="1"/>
    <col min="1524" max="1524" width="11" bestFit="1" customWidth="1"/>
    <col min="1525" max="1526" width="5" bestFit="1" customWidth="1"/>
    <col min="1527" max="1528" width="12" bestFit="1" customWidth="1"/>
    <col min="1529" max="1529" width="5" bestFit="1" customWidth="1"/>
    <col min="1530" max="1530" width="12" bestFit="1" customWidth="1"/>
    <col min="1531" max="1531" width="5" bestFit="1" customWidth="1"/>
    <col min="1532" max="1536" width="12" bestFit="1" customWidth="1"/>
    <col min="1537" max="1537" width="4" bestFit="1" customWidth="1"/>
    <col min="1538" max="1538" width="5" bestFit="1" customWidth="1"/>
    <col min="1539" max="1539" width="12" bestFit="1" customWidth="1"/>
    <col min="1540" max="1541" width="5" bestFit="1" customWidth="1"/>
    <col min="1542" max="1542" width="12" bestFit="1" customWidth="1"/>
    <col min="1543" max="1543" width="11" bestFit="1" customWidth="1"/>
    <col min="1544" max="1544" width="5" bestFit="1" customWidth="1"/>
    <col min="1545" max="1547" width="12" bestFit="1" customWidth="1"/>
    <col min="1548" max="1548" width="11" bestFit="1" customWidth="1"/>
    <col min="1549" max="1555" width="12" bestFit="1" customWidth="1"/>
    <col min="1556" max="1557" width="5" bestFit="1" customWidth="1"/>
    <col min="1558" max="1561" width="12" bestFit="1" customWidth="1"/>
    <col min="1562" max="1562" width="11" bestFit="1" customWidth="1"/>
    <col min="1563" max="1563" width="12" bestFit="1" customWidth="1"/>
    <col min="1564" max="1564" width="11" bestFit="1" customWidth="1"/>
    <col min="1565" max="1565" width="5" bestFit="1" customWidth="1"/>
    <col min="1566" max="1566" width="12" bestFit="1" customWidth="1"/>
    <col min="1567" max="1567" width="11" bestFit="1" customWidth="1"/>
    <col min="1568" max="1570" width="12" bestFit="1" customWidth="1"/>
    <col min="1571" max="1572" width="5" bestFit="1" customWidth="1"/>
    <col min="1573" max="1574" width="12" bestFit="1" customWidth="1"/>
    <col min="1575" max="1575" width="4" bestFit="1" customWidth="1"/>
    <col min="1576" max="1576" width="11" bestFit="1" customWidth="1"/>
    <col min="1577" max="1578" width="12" bestFit="1" customWidth="1"/>
    <col min="1579" max="1580" width="5" bestFit="1" customWidth="1"/>
    <col min="1581" max="1581" width="9" bestFit="1" customWidth="1"/>
    <col min="1582" max="1582" width="5" bestFit="1" customWidth="1"/>
    <col min="1583" max="1583" width="12" bestFit="1" customWidth="1"/>
    <col min="1584" max="1585" width="11" bestFit="1" customWidth="1"/>
    <col min="1586" max="1586" width="5" bestFit="1" customWidth="1"/>
    <col min="1587" max="1587" width="4" bestFit="1" customWidth="1"/>
    <col min="1588" max="1589" width="12" bestFit="1" customWidth="1"/>
    <col min="1590" max="1590" width="5" bestFit="1" customWidth="1"/>
    <col min="1591" max="1592" width="12" bestFit="1" customWidth="1"/>
    <col min="1593" max="1593" width="11" bestFit="1" customWidth="1"/>
    <col min="1594" max="1594" width="2" bestFit="1" customWidth="1"/>
    <col min="1595" max="1595" width="12" bestFit="1" customWidth="1"/>
    <col min="1596" max="1596" width="5" bestFit="1" customWidth="1"/>
    <col min="1597" max="1597" width="11" bestFit="1" customWidth="1"/>
    <col min="1598" max="1599" width="12" bestFit="1" customWidth="1"/>
    <col min="1600" max="1600" width="10" bestFit="1" customWidth="1"/>
    <col min="1601" max="1601" width="5" bestFit="1" customWidth="1"/>
    <col min="1602" max="1605" width="12" bestFit="1" customWidth="1"/>
    <col min="1606" max="1606" width="6" bestFit="1" customWidth="1"/>
    <col min="1607" max="1611" width="5" bestFit="1" customWidth="1"/>
    <col min="1612" max="1612" width="8" bestFit="1" customWidth="1"/>
    <col min="1613" max="1613" width="4" bestFit="1" customWidth="1"/>
    <col min="1614" max="1615" width="5" bestFit="1" customWidth="1"/>
    <col min="1616" max="1616" width="9" bestFit="1" customWidth="1"/>
    <col min="1617" max="1620" width="12" bestFit="1" customWidth="1"/>
    <col min="1621" max="1621" width="5" bestFit="1" customWidth="1"/>
    <col min="1622" max="1622" width="11" bestFit="1" customWidth="1"/>
    <col min="1623" max="1623" width="12" bestFit="1" customWidth="1"/>
    <col min="1624" max="1624" width="5" bestFit="1" customWidth="1"/>
    <col min="1625" max="1625" width="10" bestFit="1" customWidth="1"/>
    <col min="1626" max="1627" width="12" bestFit="1" customWidth="1"/>
    <col min="1628" max="1629" width="5" bestFit="1" customWidth="1"/>
    <col min="1630" max="1630" width="12" bestFit="1" customWidth="1"/>
    <col min="1631" max="1631" width="11" bestFit="1" customWidth="1"/>
    <col min="1632" max="1632" width="5" bestFit="1" customWidth="1"/>
    <col min="1633" max="1636" width="12" bestFit="1" customWidth="1"/>
    <col min="1637" max="1637" width="5" bestFit="1" customWidth="1"/>
    <col min="1638" max="1639" width="12" bestFit="1" customWidth="1"/>
    <col min="1640" max="1641" width="4" bestFit="1" customWidth="1"/>
    <col min="1642" max="1645" width="12" bestFit="1" customWidth="1"/>
    <col min="1646" max="1646" width="5" bestFit="1" customWidth="1"/>
    <col min="1647" max="1649" width="12" bestFit="1" customWidth="1"/>
    <col min="1650" max="1650" width="5" bestFit="1" customWidth="1"/>
    <col min="1651" max="1657" width="12" bestFit="1" customWidth="1"/>
    <col min="1658" max="1658" width="6" bestFit="1" customWidth="1"/>
    <col min="1659" max="1661" width="12" bestFit="1" customWidth="1"/>
    <col min="1662" max="1662" width="11" bestFit="1" customWidth="1"/>
    <col min="1663" max="1663" width="5" bestFit="1" customWidth="1"/>
    <col min="1664" max="1666" width="12" bestFit="1" customWidth="1"/>
    <col min="1667" max="1667" width="5" bestFit="1" customWidth="1"/>
    <col min="1668" max="1668" width="12" bestFit="1" customWidth="1"/>
    <col min="1669" max="1669" width="11" bestFit="1" customWidth="1"/>
    <col min="1670" max="1671" width="12" bestFit="1" customWidth="1"/>
    <col min="1672" max="1672" width="5" bestFit="1" customWidth="1"/>
    <col min="1673" max="1673" width="6" bestFit="1" customWidth="1"/>
    <col min="1674" max="1674" width="12" bestFit="1" customWidth="1"/>
    <col min="1675" max="1675" width="5" bestFit="1" customWidth="1"/>
    <col min="1676" max="1676" width="6" bestFit="1" customWidth="1"/>
    <col min="1677" max="1677" width="12" bestFit="1" customWidth="1"/>
    <col min="1678" max="1678" width="6" bestFit="1" customWidth="1"/>
    <col min="1679" max="1681" width="12" bestFit="1" customWidth="1"/>
    <col min="1682" max="1682" width="5" bestFit="1" customWidth="1"/>
    <col min="1683" max="1684" width="12" bestFit="1" customWidth="1"/>
    <col min="1685" max="1685" width="4" bestFit="1" customWidth="1"/>
    <col min="1686" max="1686" width="12" bestFit="1" customWidth="1"/>
    <col min="1687" max="1687" width="5" bestFit="1" customWidth="1"/>
    <col min="1688" max="1688" width="12" bestFit="1" customWidth="1"/>
    <col min="1689" max="1689" width="11" bestFit="1" customWidth="1"/>
    <col min="1690" max="1690" width="5" bestFit="1" customWidth="1"/>
    <col min="1691" max="1691" width="12" bestFit="1" customWidth="1"/>
    <col min="1692" max="1692" width="11" bestFit="1" customWidth="1"/>
    <col min="1693" max="1693" width="5" bestFit="1" customWidth="1"/>
    <col min="1694" max="1694" width="10" bestFit="1" customWidth="1"/>
    <col min="1695" max="1697" width="12" bestFit="1" customWidth="1"/>
    <col min="1698" max="1698" width="11" bestFit="1" customWidth="1"/>
    <col min="1699" max="1699" width="2" bestFit="1" customWidth="1"/>
    <col min="1700" max="1701" width="12" bestFit="1" customWidth="1"/>
    <col min="1702" max="1702" width="5" bestFit="1" customWidth="1"/>
    <col min="1703" max="1705" width="12" bestFit="1" customWidth="1"/>
    <col min="1706" max="1706" width="5" bestFit="1" customWidth="1"/>
    <col min="1707" max="1708" width="12" bestFit="1" customWidth="1"/>
    <col min="1709" max="1709" width="5" bestFit="1" customWidth="1"/>
    <col min="1710" max="1710" width="12" bestFit="1" customWidth="1"/>
    <col min="1711" max="1711" width="5" bestFit="1" customWidth="1"/>
    <col min="1712" max="1712" width="12" bestFit="1" customWidth="1"/>
    <col min="1713" max="1714" width="5" bestFit="1" customWidth="1"/>
    <col min="1715" max="1715" width="12" bestFit="1" customWidth="1"/>
    <col min="1716" max="1716" width="5" bestFit="1" customWidth="1"/>
    <col min="1717" max="1717" width="12" bestFit="1" customWidth="1"/>
    <col min="1718" max="1718" width="5" bestFit="1" customWidth="1"/>
    <col min="1719" max="1719" width="4" bestFit="1" customWidth="1"/>
    <col min="1720" max="1721" width="5" bestFit="1" customWidth="1"/>
    <col min="1722" max="1722" width="12" bestFit="1" customWidth="1"/>
    <col min="1723" max="1723" width="5" bestFit="1" customWidth="1"/>
    <col min="1724" max="1724" width="12" bestFit="1" customWidth="1"/>
    <col min="1725" max="1725" width="5" bestFit="1" customWidth="1"/>
    <col min="1726" max="1726" width="12" bestFit="1" customWidth="1"/>
    <col min="1727" max="1730" width="5" bestFit="1" customWidth="1"/>
    <col min="1731" max="1731" width="12" bestFit="1" customWidth="1"/>
    <col min="1732" max="1732" width="5" bestFit="1" customWidth="1"/>
    <col min="1733" max="1733" width="12" bestFit="1" customWidth="1"/>
    <col min="1734" max="1734" width="11" bestFit="1" customWidth="1"/>
    <col min="1735" max="1735" width="12" bestFit="1" customWidth="1"/>
    <col min="1736" max="1737" width="5" bestFit="1" customWidth="1"/>
    <col min="1738" max="1741" width="12" bestFit="1" customWidth="1"/>
    <col min="1742" max="1742" width="9" bestFit="1" customWidth="1"/>
    <col min="1743" max="1743" width="11" bestFit="1" customWidth="1"/>
    <col min="1744" max="1746" width="12" bestFit="1" customWidth="1"/>
    <col min="1747" max="1747" width="5" bestFit="1" customWidth="1"/>
    <col min="1748" max="1748" width="7" bestFit="1" customWidth="1"/>
    <col min="1749" max="1749" width="5" bestFit="1" customWidth="1"/>
    <col min="1750" max="1753" width="12" bestFit="1" customWidth="1"/>
    <col min="1754" max="1754" width="4" bestFit="1" customWidth="1"/>
    <col min="1755" max="1757" width="12" bestFit="1" customWidth="1"/>
    <col min="1758" max="1758" width="5" bestFit="1" customWidth="1"/>
    <col min="1759" max="1762" width="12" bestFit="1" customWidth="1"/>
    <col min="1763" max="1764" width="5" bestFit="1" customWidth="1"/>
    <col min="1765" max="1766" width="12" bestFit="1" customWidth="1"/>
    <col min="1767" max="1767" width="11" bestFit="1" customWidth="1"/>
    <col min="1768" max="1768" width="12" bestFit="1" customWidth="1"/>
    <col min="1769" max="1769" width="5" bestFit="1" customWidth="1"/>
    <col min="1770" max="1770" width="12" bestFit="1" customWidth="1"/>
    <col min="1771" max="1771" width="5" bestFit="1" customWidth="1"/>
    <col min="1772" max="1773" width="12" bestFit="1" customWidth="1"/>
    <col min="1774" max="1774" width="4" bestFit="1" customWidth="1"/>
    <col min="1775" max="1775" width="12" bestFit="1" customWidth="1"/>
    <col min="1776" max="1776" width="5" bestFit="1" customWidth="1"/>
    <col min="1777" max="1777" width="12" bestFit="1" customWidth="1"/>
    <col min="1778" max="1778" width="6" bestFit="1" customWidth="1"/>
    <col min="1779" max="1784" width="12" bestFit="1" customWidth="1"/>
    <col min="1785" max="1786" width="5" bestFit="1" customWidth="1"/>
    <col min="1787" max="1787" width="7" bestFit="1" customWidth="1"/>
    <col min="1788" max="1792" width="12" bestFit="1" customWidth="1"/>
    <col min="1793" max="1793" width="5" bestFit="1" customWidth="1"/>
    <col min="1794" max="1795" width="12" bestFit="1" customWidth="1"/>
    <col min="1796" max="1796" width="5" bestFit="1" customWidth="1"/>
    <col min="1797" max="1797" width="12" bestFit="1" customWidth="1"/>
    <col min="1798" max="1798" width="5" bestFit="1" customWidth="1"/>
    <col min="1799" max="1800" width="12" bestFit="1" customWidth="1"/>
    <col min="1801" max="1801" width="4" bestFit="1" customWidth="1"/>
    <col min="1802" max="1802" width="12" bestFit="1" customWidth="1"/>
    <col min="1803" max="1803" width="5" bestFit="1" customWidth="1"/>
    <col min="1804" max="1805" width="12" bestFit="1" customWidth="1"/>
    <col min="1806" max="1808" width="5" bestFit="1" customWidth="1"/>
    <col min="1809" max="1809" width="12" bestFit="1" customWidth="1"/>
    <col min="1810" max="1810" width="4" bestFit="1" customWidth="1"/>
    <col min="1811" max="1811" width="12" bestFit="1" customWidth="1"/>
    <col min="1812" max="1812" width="5" bestFit="1" customWidth="1"/>
    <col min="1813" max="1815" width="12" bestFit="1" customWidth="1"/>
    <col min="1816" max="1816" width="4" bestFit="1" customWidth="1"/>
    <col min="1817" max="1818" width="12" bestFit="1" customWidth="1"/>
    <col min="1819" max="1819" width="4" bestFit="1" customWidth="1"/>
    <col min="1820" max="1821" width="12" bestFit="1" customWidth="1"/>
    <col min="1822" max="1822" width="5" bestFit="1" customWidth="1"/>
    <col min="1823" max="1824" width="12" bestFit="1" customWidth="1"/>
    <col min="1825" max="1825" width="6" bestFit="1" customWidth="1"/>
    <col min="1826" max="1826" width="11" bestFit="1" customWidth="1"/>
    <col min="1827" max="1829" width="12" bestFit="1" customWidth="1"/>
    <col min="1830" max="1830" width="4" bestFit="1" customWidth="1"/>
    <col min="1831" max="1831" width="12" bestFit="1" customWidth="1"/>
    <col min="1832" max="1832" width="5" bestFit="1" customWidth="1"/>
    <col min="1833" max="1835" width="12" bestFit="1" customWidth="1"/>
    <col min="1836" max="1837" width="5" bestFit="1" customWidth="1"/>
    <col min="1838" max="1843" width="12" bestFit="1" customWidth="1"/>
    <col min="1844" max="1844" width="5" bestFit="1" customWidth="1"/>
    <col min="1845" max="1846" width="12" bestFit="1" customWidth="1"/>
    <col min="1847" max="1847" width="5" bestFit="1" customWidth="1"/>
    <col min="1848" max="1851" width="12" bestFit="1" customWidth="1"/>
    <col min="1852" max="1852" width="5" bestFit="1" customWidth="1"/>
    <col min="1853" max="1853" width="6" bestFit="1" customWidth="1"/>
    <col min="1854" max="1855" width="12" bestFit="1" customWidth="1"/>
    <col min="1856" max="1857" width="5" bestFit="1" customWidth="1"/>
    <col min="1858" max="1858" width="11" bestFit="1" customWidth="1"/>
    <col min="1859" max="1859" width="12" bestFit="1" customWidth="1"/>
    <col min="1860" max="1860" width="5" bestFit="1" customWidth="1"/>
    <col min="1861" max="1862" width="12" bestFit="1" customWidth="1"/>
    <col min="1863" max="1865" width="5" bestFit="1" customWidth="1"/>
    <col min="1866" max="1866" width="12" bestFit="1" customWidth="1"/>
    <col min="1867" max="1868" width="5" bestFit="1" customWidth="1"/>
    <col min="1869" max="1869" width="12" bestFit="1" customWidth="1"/>
    <col min="1870" max="1872" width="5" bestFit="1" customWidth="1"/>
    <col min="1873" max="1874" width="12" bestFit="1" customWidth="1"/>
    <col min="1875" max="1881" width="5" bestFit="1" customWidth="1"/>
    <col min="1882" max="1882" width="12" bestFit="1" customWidth="1"/>
    <col min="1883" max="1883" width="5" bestFit="1" customWidth="1"/>
    <col min="1884" max="1884" width="12" bestFit="1" customWidth="1"/>
    <col min="1885" max="1885" width="4" bestFit="1" customWidth="1"/>
    <col min="1886" max="1887" width="5" bestFit="1" customWidth="1"/>
    <col min="1888" max="1889" width="12" bestFit="1" customWidth="1"/>
    <col min="1890" max="1891" width="5" bestFit="1" customWidth="1"/>
    <col min="1892" max="1892" width="11" bestFit="1" customWidth="1"/>
    <col min="1893" max="1893" width="5" bestFit="1" customWidth="1"/>
    <col min="1894" max="1895" width="12" bestFit="1" customWidth="1"/>
    <col min="1896" max="1896" width="5" bestFit="1" customWidth="1"/>
    <col min="1897" max="1903" width="12" bestFit="1" customWidth="1"/>
    <col min="1904" max="1904" width="11" bestFit="1" customWidth="1"/>
    <col min="1905" max="1905" width="4" bestFit="1" customWidth="1"/>
    <col min="1906" max="1906" width="5" bestFit="1" customWidth="1"/>
    <col min="1907" max="1910" width="12" bestFit="1" customWidth="1"/>
    <col min="1911" max="1911" width="3" bestFit="1" customWidth="1"/>
    <col min="1912" max="1913" width="12" bestFit="1" customWidth="1"/>
    <col min="1914" max="1915" width="6" bestFit="1" customWidth="1"/>
    <col min="1916" max="1916" width="12" bestFit="1" customWidth="1"/>
    <col min="1917" max="1917" width="6" bestFit="1" customWidth="1"/>
    <col min="1918" max="1918" width="12" bestFit="1" customWidth="1"/>
    <col min="1919" max="1919" width="6" bestFit="1" customWidth="1"/>
    <col min="1920" max="1920" width="12" bestFit="1" customWidth="1"/>
    <col min="1921" max="1924" width="6" bestFit="1" customWidth="1"/>
    <col min="1925" max="1925" width="12" bestFit="1" customWidth="1"/>
    <col min="1926" max="1926" width="6" bestFit="1" customWidth="1"/>
    <col min="1927" max="1927" width="12" bestFit="1" customWidth="1"/>
    <col min="1928" max="1929" width="5" bestFit="1" customWidth="1"/>
    <col min="1930" max="1930" width="11" bestFit="1" customWidth="1"/>
    <col min="1931" max="1935" width="12" bestFit="1" customWidth="1"/>
    <col min="1936" max="1936" width="6" bestFit="1" customWidth="1"/>
    <col min="1937" max="1942" width="12" bestFit="1" customWidth="1"/>
    <col min="1943" max="1943" width="6" bestFit="1" customWidth="1"/>
    <col min="1944" max="1945" width="12" bestFit="1" customWidth="1"/>
    <col min="1946" max="1946" width="6" bestFit="1" customWidth="1"/>
    <col min="1947" max="1951" width="12" bestFit="1" customWidth="1"/>
    <col min="1952" max="1953" width="6" bestFit="1" customWidth="1"/>
    <col min="1954" max="1962" width="12" bestFit="1" customWidth="1"/>
    <col min="1963" max="1963" width="6" bestFit="1" customWidth="1"/>
    <col min="1964" max="1964" width="12" bestFit="1" customWidth="1"/>
    <col min="1965" max="1965" width="3" bestFit="1" customWidth="1"/>
    <col min="1966" max="1967" width="12" bestFit="1" customWidth="1"/>
    <col min="1968" max="1968" width="6" bestFit="1" customWidth="1"/>
    <col min="1969" max="1969" width="12" bestFit="1" customWidth="1"/>
    <col min="1970" max="1970" width="6" bestFit="1" customWidth="1"/>
    <col min="1971" max="1971" width="12" bestFit="1" customWidth="1"/>
    <col min="1972" max="1975" width="6" bestFit="1" customWidth="1"/>
    <col min="1976" max="1976" width="12" bestFit="1" customWidth="1"/>
    <col min="1977" max="1977" width="5" bestFit="1" customWidth="1"/>
    <col min="1978" max="1982" width="6" bestFit="1" customWidth="1"/>
    <col min="1983" max="1983" width="5" bestFit="1" customWidth="1"/>
    <col min="1984" max="1986" width="6" bestFit="1" customWidth="1"/>
    <col min="1987" max="1988" width="12" bestFit="1" customWidth="1"/>
    <col min="1989" max="1989" width="6" bestFit="1" customWidth="1"/>
    <col min="1990" max="1992" width="12" bestFit="1" customWidth="1"/>
    <col min="1993" max="1993" width="5" bestFit="1" customWidth="1"/>
    <col min="1994" max="1994" width="11" bestFit="1" customWidth="1"/>
    <col min="1995" max="1997" width="12" bestFit="1" customWidth="1"/>
    <col min="1998" max="1998" width="5" bestFit="1" customWidth="1"/>
    <col min="1999" max="2000" width="12" bestFit="1" customWidth="1"/>
    <col min="2001" max="2001" width="6" bestFit="1" customWidth="1"/>
    <col min="2002" max="2002" width="12" bestFit="1" customWidth="1"/>
    <col min="2003" max="2003" width="6" bestFit="1" customWidth="1"/>
    <col min="2004" max="2004" width="5" bestFit="1" customWidth="1"/>
    <col min="2005" max="2007" width="12" bestFit="1" customWidth="1"/>
    <col min="2008" max="2008" width="6" bestFit="1" customWidth="1"/>
    <col min="2009" max="2009" width="12" bestFit="1" customWidth="1"/>
    <col min="2010" max="2010" width="11" bestFit="1" customWidth="1"/>
    <col min="2011" max="2011" width="12" bestFit="1" customWidth="1"/>
    <col min="2012" max="2012" width="3" bestFit="1" customWidth="1"/>
    <col min="2013" max="2016" width="12" bestFit="1" customWidth="1"/>
    <col min="2017" max="2017" width="6" bestFit="1" customWidth="1"/>
    <col min="2018" max="2018" width="12" bestFit="1" customWidth="1"/>
    <col min="2019" max="2019" width="6" bestFit="1" customWidth="1"/>
    <col min="2020" max="2020" width="12" bestFit="1" customWidth="1"/>
    <col min="2021" max="2023" width="6" bestFit="1" customWidth="1"/>
    <col min="2024" max="2024" width="12" bestFit="1" customWidth="1"/>
    <col min="2025" max="2027" width="6" bestFit="1" customWidth="1"/>
    <col min="2028" max="2028" width="12" bestFit="1" customWidth="1"/>
    <col min="2029" max="2030" width="6" bestFit="1" customWidth="1"/>
    <col min="2031" max="2031" width="5" bestFit="1" customWidth="1"/>
    <col min="2032" max="2037" width="12" bestFit="1" customWidth="1"/>
    <col min="2038" max="2038" width="6" bestFit="1" customWidth="1"/>
    <col min="2039" max="2047" width="12" bestFit="1" customWidth="1"/>
    <col min="2048" max="2049" width="6" bestFit="1" customWidth="1"/>
    <col min="2050" max="2050" width="11" bestFit="1" customWidth="1"/>
    <col min="2051" max="2051" width="6" bestFit="1" customWidth="1"/>
    <col min="2052" max="2052" width="12" bestFit="1" customWidth="1"/>
    <col min="2053" max="2053" width="11" bestFit="1" customWidth="1"/>
    <col min="2054" max="2054" width="12" bestFit="1" customWidth="1"/>
    <col min="2055" max="2055" width="6" bestFit="1" customWidth="1"/>
    <col min="2056" max="2056" width="12" bestFit="1" customWidth="1"/>
    <col min="2057" max="2059" width="6" bestFit="1" customWidth="1"/>
    <col min="2060" max="2061" width="12" bestFit="1" customWidth="1"/>
    <col min="2062" max="2066" width="6" bestFit="1" customWidth="1"/>
    <col min="2067" max="2067" width="12" bestFit="1" customWidth="1"/>
    <col min="2068" max="2068" width="6" bestFit="1" customWidth="1"/>
    <col min="2069" max="2069" width="12" bestFit="1" customWidth="1"/>
    <col min="2070" max="2071" width="6" bestFit="1" customWidth="1"/>
    <col min="2072" max="2072" width="12" bestFit="1" customWidth="1"/>
    <col min="2073" max="2073" width="6" bestFit="1" customWidth="1"/>
    <col min="2074" max="2074" width="12" bestFit="1" customWidth="1"/>
    <col min="2075" max="2075" width="6" bestFit="1" customWidth="1"/>
    <col min="2076" max="2076" width="12" bestFit="1" customWidth="1"/>
    <col min="2077" max="2077" width="6" bestFit="1" customWidth="1"/>
    <col min="2078" max="2083" width="12" bestFit="1" customWidth="1"/>
    <col min="2084" max="2086" width="6" bestFit="1" customWidth="1"/>
    <col min="2087" max="2091" width="12" bestFit="1" customWidth="1"/>
    <col min="2092" max="2093" width="6" bestFit="1" customWidth="1"/>
    <col min="2094" max="2094" width="3" bestFit="1" customWidth="1"/>
    <col min="2095" max="2095" width="12" bestFit="1" customWidth="1"/>
    <col min="2096" max="2096" width="5" bestFit="1" customWidth="1"/>
    <col min="2097" max="2097" width="7" bestFit="1" customWidth="1"/>
    <col min="2098" max="2099" width="6" bestFit="1" customWidth="1"/>
    <col min="2100" max="2100" width="5" bestFit="1" customWidth="1"/>
    <col min="2101" max="2101" width="6" bestFit="1" customWidth="1"/>
    <col min="2102" max="2103" width="12" bestFit="1" customWidth="1"/>
    <col min="2104" max="2104" width="6" bestFit="1" customWidth="1"/>
    <col min="2105" max="2105" width="11" bestFit="1" customWidth="1"/>
    <col min="2106" max="2106" width="5" bestFit="1" customWidth="1"/>
    <col min="2107" max="2107" width="12" bestFit="1" customWidth="1"/>
    <col min="2108" max="2109" width="6" bestFit="1" customWidth="1"/>
    <col min="2110" max="2110" width="12" bestFit="1" customWidth="1"/>
    <col min="2111" max="2111" width="6" bestFit="1" customWidth="1"/>
    <col min="2112" max="2112" width="12" bestFit="1" customWidth="1"/>
    <col min="2113" max="2113" width="11" bestFit="1" customWidth="1"/>
    <col min="2114" max="2114" width="12" bestFit="1" customWidth="1"/>
    <col min="2115" max="2115" width="6" bestFit="1" customWidth="1"/>
    <col min="2116" max="2116" width="12" bestFit="1" customWidth="1"/>
    <col min="2117" max="2117" width="11" bestFit="1" customWidth="1"/>
    <col min="2118" max="2120" width="12" bestFit="1" customWidth="1"/>
    <col min="2121" max="2121" width="5" bestFit="1" customWidth="1"/>
    <col min="2122" max="2122" width="7" bestFit="1" customWidth="1"/>
    <col min="2123" max="2124" width="12" bestFit="1" customWidth="1"/>
    <col min="2125" max="2125" width="3" bestFit="1" customWidth="1"/>
    <col min="2126" max="2126" width="12" bestFit="1" customWidth="1"/>
    <col min="2127" max="2129" width="6" bestFit="1" customWidth="1"/>
    <col min="2130" max="2130" width="5" bestFit="1" customWidth="1"/>
    <col min="2131" max="2135" width="6" bestFit="1" customWidth="1"/>
    <col min="2136" max="2136" width="12" bestFit="1" customWidth="1"/>
    <col min="2137" max="2137" width="6" bestFit="1" customWidth="1"/>
    <col min="2138" max="2139" width="12" bestFit="1" customWidth="1"/>
    <col min="2140" max="2140" width="10" bestFit="1" customWidth="1"/>
    <col min="2141" max="2141" width="12" bestFit="1" customWidth="1"/>
    <col min="2142" max="2143" width="6" bestFit="1" customWidth="1"/>
    <col min="2144" max="2144" width="5" bestFit="1" customWidth="1"/>
    <col min="2145" max="2147" width="6" bestFit="1" customWidth="1"/>
    <col min="2148" max="2150" width="12" bestFit="1" customWidth="1"/>
    <col min="2151" max="2151" width="3" bestFit="1" customWidth="1"/>
    <col min="2152" max="2152" width="6" bestFit="1" customWidth="1"/>
    <col min="2153" max="2153" width="12" bestFit="1" customWidth="1"/>
    <col min="2154" max="2154" width="11" bestFit="1" customWidth="1"/>
    <col min="2155" max="2156" width="12" bestFit="1" customWidth="1"/>
    <col min="2157" max="2157" width="6" bestFit="1" customWidth="1"/>
    <col min="2158" max="2158" width="12" bestFit="1" customWidth="1"/>
    <col min="2159" max="2164" width="6" bestFit="1" customWidth="1"/>
    <col min="2165" max="2165" width="5" bestFit="1" customWidth="1"/>
    <col min="2166" max="2166" width="6" bestFit="1" customWidth="1"/>
    <col min="2167" max="2168" width="12" bestFit="1" customWidth="1"/>
    <col min="2169" max="2169" width="5" bestFit="1" customWidth="1"/>
    <col min="2170" max="2171" width="12" bestFit="1" customWidth="1"/>
    <col min="2172" max="2172" width="11" bestFit="1" customWidth="1"/>
    <col min="2173" max="2174" width="6" bestFit="1" customWidth="1"/>
    <col min="2175" max="2175" width="12" bestFit="1" customWidth="1"/>
    <col min="2176" max="2176" width="6" bestFit="1" customWidth="1"/>
    <col min="2177" max="2178" width="12" bestFit="1" customWidth="1"/>
    <col min="2179" max="2179" width="11" bestFit="1" customWidth="1"/>
    <col min="2180" max="2180" width="6" bestFit="1" customWidth="1"/>
    <col min="2181" max="2184" width="12" bestFit="1" customWidth="1"/>
    <col min="2185" max="2185" width="6" bestFit="1" customWidth="1"/>
    <col min="2186" max="2186" width="7" bestFit="1" customWidth="1"/>
    <col min="2187" max="2187" width="6" bestFit="1" customWidth="1"/>
    <col min="2188" max="2189" width="12" bestFit="1" customWidth="1"/>
    <col min="2190" max="2190" width="6" bestFit="1" customWidth="1"/>
    <col min="2191" max="2193" width="12" bestFit="1" customWidth="1"/>
    <col min="2194" max="2194" width="6" bestFit="1" customWidth="1"/>
    <col min="2195" max="2196" width="12" bestFit="1" customWidth="1"/>
    <col min="2197" max="2197" width="11" bestFit="1" customWidth="1"/>
    <col min="2198" max="2199" width="12" bestFit="1" customWidth="1"/>
    <col min="2200" max="2200" width="6" bestFit="1" customWidth="1"/>
    <col min="2201" max="2201" width="12" bestFit="1" customWidth="1"/>
    <col min="2202" max="2207" width="6" bestFit="1" customWidth="1"/>
    <col min="2208" max="2208" width="5" bestFit="1" customWidth="1"/>
    <col min="2209" max="2210" width="6" bestFit="1" customWidth="1"/>
    <col min="2211" max="2211" width="12" bestFit="1" customWidth="1"/>
    <col min="2212" max="2212" width="6" bestFit="1" customWidth="1"/>
    <col min="2213" max="2214" width="12" bestFit="1" customWidth="1"/>
    <col min="2215" max="2215" width="6" bestFit="1" customWidth="1"/>
    <col min="2216" max="2217" width="12" bestFit="1" customWidth="1"/>
    <col min="2218" max="2218" width="11" bestFit="1" customWidth="1"/>
    <col min="2219" max="2220" width="12" bestFit="1" customWidth="1"/>
    <col min="2221" max="2221" width="6" bestFit="1" customWidth="1"/>
    <col min="2222" max="2224" width="12" bestFit="1" customWidth="1"/>
    <col min="2225" max="2225" width="5" bestFit="1" customWidth="1"/>
    <col min="2226" max="2226" width="6" bestFit="1" customWidth="1"/>
    <col min="2227" max="2227" width="12" bestFit="1" customWidth="1"/>
    <col min="2228" max="2228" width="6" bestFit="1" customWidth="1"/>
    <col min="2229" max="2229" width="5" bestFit="1" customWidth="1"/>
    <col min="2230" max="2230" width="6" bestFit="1" customWidth="1"/>
    <col min="2231" max="2232" width="12" bestFit="1" customWidth="1"/>
    <col min="2233" max="2233" width="7" bestFit="1" customWidth="1"/>
    <col min="2234" max="2234" width="6" bestFit="1" customWidth="1"/>
    <col min="2235" max="2235" width="3" bestFit="1" customWidth="1"/>
    <col min="2236" max="2236" width="6" bestFit="1" customWidth="1"/>
    <col min="2237" max="2238" width="12" bestFit="1" customWidth="1"/>
    <col min="2239" max="2243" width="6" bestFit="1" customWidth="1"/>
    <col min="2244" max="2244" width="12" bestFit="1" customWidth="1"/>
    <col min="2245" max="2245" width="6" bestFit="1" customWidth="1"/>
    <col min="2246" max="2246" width="5" bestFit="1" customWidth="1"/>
    <col min="2247" max="2247" width="6" bestFit="1" customWidth="1"/>
    <col min="2248" max="2249" width="12" bestFit="1" customWidth="1"/>
    <col min="2250" max="2250" width="10" bestFit="1" customWidth="1"/>
    <col min="2251" max="2252" width="6" bestFit="1" customWidth="1"/>
    <col min="2253" max="2255" width="12" bestFit="1" customWidth="1"/>
    <col min="2256" max="2256" width="5" bestFit="1" customWidth="1"/>
    <col min="2257" max="2257" width="12" bestFit="1" customWidth="1"/>
    <col min="2258" max="2259" width="6" bestFit="1" customWidth="1"/>
    <col min="2260" max="2260" width="12" bestFit="1" customWidth="1"/>
    <col min="2261" max="2263" width="6" bestFit="1" customWidth="1"/>
    <col min="2264" max="2265" width="12" bestFit="1" customWidth="1"/>
    <col min="2266" max="2267" width="6" bestFit="1" customWidth="1"/>
    <col min="2268" max="2268" width="5" bestFit="1" customWidth="1"/>
    <col min="2269" max="2270" width="6" bestFit="1" customWidth="1"/>
    <col min="2271" max="2271" width="11" bestFit="1" customWidth="1"/>
    <col min="2272" max="2272" width="10" bestFit="1" customWidth="1"/>
    <col min="2273" max="2273" width="12" bestFit="1" customWidth="1"/>
    <col min="2274" max="2274" width="5" bestFit="1" customWidth="1"/>
    <col min="2275" max="2275" width="12" bestFit="1" customWidth="1"/>
    <col min="2276" max="2276" width="7" bestFit="1" customWidth="1"/>
    <col min="2277" max="2277" width="12" bestFit="1" customWidth="1"/>
    <col min="2278" max="2278" width="6" bestFit="1" customWidth="1"/>
    <col min="2279" max="2279" width="12" bestFit="1" customWidth="1"/>
    <col min="2280" max="2280" width="6" bestFit="1" customWidth="1"/>
    <col min="2281" max="2281" width="12" bestFit="1" customWidth="1"/>
    <col min="2282" max="2282" width="6" bestFit="1" customWidth="1"/>
    <col min="2283" max="2283" width="12" bestFit="1" customWidth="1"/>
    <col min="2284" max="2286" width="6" bestFit="1" customWidth="1"/>
    <col min="2287" max="2287" width="3" bestFit="1" customWidth="1"/>
    <col min="2288" max="2288" width="12" bestFit="1" customWidth="1"/>
    <col min="2289" max="2290" width="6" bestFit="1" customWidth="1"/>
    <col min="2291" max="2291" width="12" bestFit="1" customWidth="1"/>
    <col min="2292" max="2293" width="6" bestFit="1" customWidth="1"/>
    <col min="2294" max="2294" width="8" bestFit="1" customWidth="1"/>
    <col min="2295" max="2295" width="12" bestFit="1" customWidth="1"/>
    <col min="2296" max="2298" width="6" bestFit="1" customWidth="1"/>
    <col min="2299" max="2299" width="12" bestFit="1" customWidth="1"/>
    <col min="2300" max="2300" width="11" bestFit="1" customWidth="1"/>
    <col min="2301" max="2303" width="12" bestFit="1" customWidth="1"/>
    <col min="2304" max="2304" width="6" bestFit="1" customWidth="1"/>
    <col min="2305" max="2305" width="12" bestFit="1" customWidth="1"/>
    <col min="2306" max="2306" width="11" bestFit="1" customWidth="1"/>
    <col min="2307" max="2307" width="12" bestFit="1" customWidth="1"/>
    <col min="2308" max="2308" width="6" bestFit="1" customWidth="1"/>
    <col min="2309" max="2309" width="12" bestFit="1" customWidth="1"/>
    <col min="2310" max="2310" width="11" bestFit="1" customWidth="1"/>
    <col min="2311" max="2311" width="12" bestFit="1" customWidth="1"/>
    <col min="2312" max="2314" width="6" bestFit="1" customWidth="1"/>
    <col min="2315" max="2315" width="12" bestFit="1" customWidth="1"/>
    <col min="2316" max="2316" width="7" bestFit="1" customWidth="1"/>
    <col min="2317" max="2318" width="6" bestFit="1" customWidth="1"/>
    <col min="2319" max="2319" width="11" bestFit="1" customWidth="1"/>
    <col min="2320" max="2320" width="5" bestFit="1" customWidth="1"/>
    <col min="2321" max="2324" width="6" bestFit="1" customWidth="1"/>
    <col min="2325" max="2325" width="12" bestFit="1" customWidth="1"/>
    <col min="2326" max="2330" width="6" bestFit="1" customWidth="1"/>
    <col min="2331" max="2331" width="12" bestFit="1" customWidth="1"/>
    <col min="2332" max="2333" width="6" bestFit="1" customWidth="1"/>
    <col min="2334" max="2334" width="7" bestFit="1" customWidth="1"/>
    <col min="2335" max="2335" width="6" bestFit="1" customWidth="1"/>
    <col min="2336" max="2337" width="12" bestFit="1" customWidth="1"/>
    <col min="2338" max="2338" width="6" bestFit="1" customWidth="1"/>
    <col min="2339" max="2340" width="12" bestFit="1" customWidth="1"/>
    <col min="2341" max="2341" width="6" bestFit="1" customWidth="1"/>
    <col min="2342" max="2342" width="3" bestFit="1" customWidth="1"/>
    <col min="2343" max="2344" width="6" bestFit="1" customWidth="1"/>
    <col min="2345" max="2345" width="12" bestFit="1" customWidth="1"/>
    <col min="2346" max="2347" width="6" bestFit="1" customWidth="1"/>
    <col min="2348" max="2348" width="5" bestFit="1" customWidth="1"/>
    <col min="2349" max="2352" width="6" bestFit="1" customWidth="1"/>
    <col min="2353" max="2354" width="12" bestFit="1" customWidth="1"/>
    <col min="2355" max="2355" width="6" bestFit="1" customWidth="1"/>
    <col min="2356" max="2356" width="12" bestFit="1" customWidth="1"/>
    <col min="2357" max="2357" width="3" bestFit="1" customWidth="1"/>
    <col min="2358" max="2364" width="6" bestFit="1" customWidth="1"/>
    <col min="2365" max="2365" width="12" bestFit="1" customWidth="1"/>
    <col min="2366" max="2366" width="5" bestFit="1" customWidth="1"/>
    <col min="2367" max="2368" width="6" bestFit="1" customWidth="1"/>
    <col min="2369" max="2369" width="12" bestFit="1" customWidth="1"/>
    <col min="2370" max="2370" width="6" bestFit="1" customWidth="1"/>
    <col min="2371" max="2371" width="12" bestFit="1" customWidth="1"/>
    <col min="2372" max="2372" width="5" bestFit="1" customWidth="1"/>
    <col min="2373" max="2373" width="12" bestFit="1" customWidth="1"/>
    <col min="2374" max="2374" width="6" bestFit="1" customWidth="1"/>
    <col min="2375" max="2375" width="12" bestFit="1" customWidth="1"/>
    <col min="2376" max="2376" width="3" bestFit="1" customWidth="1"/>
    <col min="2377" max="2378" width="6" bestFit="1" customWidth="1"/>
    <col min="2379" max="2379" width="12" bestFit="1" customWidth="1"/>
    <col min="2380" max="2380" width="6" bestFit="1" customWidth="1"/>
    <col min="2381" max="2381" width="12" bestFit="1" customWidth="1"/>
    <col min="2382" max="2382" width="5" bestFit="1" customWidth="1"/>
    <col min="2383" max="2388" width="6" bestFit="1" customWidth="1"/>
    <col min="2389" max="2389" width="12" bestFit="1" customWidth="1"/>
    <col min="2390" max="2391" width="6" bestFit="1" customWidth="1"/>
    <col min="2392" max="2392" width="12" bestFit="1" customWidth="1"/>
    <col min="2393" max="2393" width="6" bestFit="1" customWidth="1"/>
    <col min="2394" max="2394" width="12" bestFit="1" customWidth="1"/>
    <col min="2395" max="2395" width="6" bestFit="1" customWidth="1"/>
    <col min="2396" max="2396" width="3" bestFit="1" customWidth="1"/>
    <col min="2397" max="2399" width="6" bestFit="1" customWidth="1"/>
    <col min="2400" max="2401" width="12" bestFit="1" customWidth="1"/>
    <col min="2402" max="2402" width="6" bestFit="1" customWidth="1"/>
    <col min="2403" max="2403" width="12" bestFit="1" customWidth="1"/>
    <col min="2404" max="2405" width="6" bestFit="1" customWidth="1"/>
    <col min="2406" max="2406" width="12" bestFit="1" customWidth="1"/>
    <col min="2407" max="2407" width="5" bestFit="1" customWidth="1"/>
    <col min="2408" max="2408" width="6" bestFit="1" customWidth="1"/>
    <col min="2409" max="2409" width="12" bestFit="1" customWidth="1"/>
    <col min="2410" max="2410" width="6" bestFit="1" customWidth="1"/>
    <col min="2411" max="2411" width="12" bestFit="1" customWidth="1"/>
    <col min="2412" max="2412" width="6" bestFit="1" customWidth="1"/>
    <col min="2413" max="2414" width="12" bestFit="1" customWidth="1"/>
    <col min="2415" max="2416" width="6" bestFit="1" customWidth="1"/>
    <col min="2417" max="2417" width="12" bestFit="1" customWidth="1"/>
    <col min="2418" max="2418" width="6" bestFit="1" customWidth="1"/>
    <col min="2419" max="2419" width="12" bestFit="1" customWidth="1"/>
    <col min="2420" max="2420" width="6" bestFit="1" customWidth="1"/>
    <col min="2421" max="2421" width="5" bestFit="1" customWidth="1"/>
    <col min="2422" max="2422" width="6" bestFit="1" customWidth="1"/>
    <col min="2423" max="2425" width="12" bestFit="1" customWidth="1"/>
    <col min="2426" max="2426" width="5" bestFit="1" customWidth="1"/>
    <col min="2427" max="2428" width="12" bestFit="1" customWidth="1"/>
    <col min="2429" max="2429" width="3" bestFit="1" customWidth="1"/>
    <col min="2430" max="2432" width="12" bestFit="1" customWidth="1"/>
    <col min="2433" max="2433" width="6" bestFit="1" customWidth="1"/>
    <col min="2434" max="2434" width="12" bestFit="1" customWidth="1"/>
    <col min="2435" max="2435" width="5" bestFit="1" customWidth="1"/>
    <col min="2436" max="2437" width="12" bestFit="1" customWidth="1"/>
    <col min="2438" max="2438" width="11" bestFit="1" customWidth="1"/>
    <col min="2439" max="2439" width="6" bestFit="1" customWidth="1"/>
    <col min="2440" max="2440" width="12" bestFit="1" customWidth="1"/>
    <col min="2441" max="2441" width="6" bestFit="1" customWidth="1"/>
    <col min="2442" max="2442" width="12" bestFit="1" customWidth="1"/>
    <col min="2443" max="2443" width="6" bestFit="1" customWidth="1"/>
    <col min="2444" max="2444" width="12" bestFit="1" customWidth="1"/>
    <col min="2445" max="2445" width="6" bestFit="1" customWidth="1"/>
    <col min="2446" max="2446" width="3" bestFit="1" customWidth="1"/>
    <col min="2447" max="2447" width="12" bestFit="1" customWidth="1"/>
    <col min="2448" max="2448" width="5" bestFit="1" customWidth="1"/>
    <col min="2449" max="2449" width="12" bestFit="1" customWidth="1"/>
    <col min="2450" max="2451" width="6" bestFit="1" customWidth="1"/>
    <col min="2452" max="2453" width="12" bestFit="1" customWidth="1"/>
    <col min="2454" max="2454" width="6" bestFit="1" customWidth="1"/>
    <col min="2455" max="2457" width="12" bestFit="1" customWidth="1"/>
    <col min="2458" max="2459" width="6" bestFit="1" customWidth="1"/>
    <col min="2460" max="2460" width="5" bestFit="1" customWidth="1"/>
    <col min="2461" max="2461" width="12" bestFit="1" customWidth="1"/>
    <col min="2462" max="2463" width="6" bestFit="1" customWidth="1"/>
    <col min="2464" max="2464" width="5" bestFit="1" customWidth="1"/>
    <col min="2465" max="2465" width="6" bestFit="1" customWidth="1"/>
    <col min="2466" max="2466" width="12" bestFit="1" customWidth="1"/>
    <col min="2467" max="2467" width="3" bestFit="1" customWidth="1"/>
    <col min="2468" max="2468" width="10" bestFit="1" customWidth="1"/>
    <col min="2469" max="2472" width="12" bestFit="1" customWidth="1"/>
    <col min="2473" max="2474" width="6" bestFit="1" customWidth="1"/>
    <col min="2475" max="2476" width="12" bestFit="1" customWidth="1"/>
    <col min="2477" max="2477" width="6" bestFit="1" customWidth="1"/>
    <col min="2478" max="2478" width="12" bestFit="1" customWidth="1"/>
    <col min="2479" max="2480" width="6" bestFit="1" customWidth="1"/>
    <col min="2481" max="2481" width="3" bestFit="1" customWidth="1"/>
    <col min="2482" max="2483" width="6" bestFit="1" customWidth="1"/>
    <col min="2484" max="2484" width="12" bestFit="1" customWidth="1"/>
    <col min="2485" max="2486" width="6" bestFit="1" customWidth="1"/>
    <col min="2487" max="2487" width="12" bestFit="1" customWidth="1"/>
    <col min="2488" max="2488" width="11" bestFit="1" customWidth="1"/>
    <col min="2489" max="2490" width="6" bestFit="1" customWidth="1"/>
    <col min="2491" max="2491" width="12" bestFit="1" customWidth="1"/>
    <col min="2492" max="2494" width="6" bestFit="1" customWidth="1"/>
    <col min="2495" max="2495" width="3" bestFit="1" customWidth="1"/>
    <col min="2496" max="2496" width="12" bestFit="1" customWidth="1"/>
    <col min="2497" max="2498" width="6" bestFit="1" customWidth="1"/>
    <col min="2499" max="2499" width="12" bestFit="1" customWidth="1"/>
    <col min="2500" max="2501" width="6" bestFit="1" customWidth="1"/>
    <col min="2502" max="2504" width="12" bestFit="1" customWidth="1"/>
    <col min="2505" max="2505" width="5" bestFit="1" customWidth="1"/>
    <col min="2506" max="2508" width="6" bestFit="1" customWidth="1"/>
    <col min="2509" max="2509" width="12" bestFit="1" customWidth="1"/>
    <col min="2510" max="2514" width="6" bestFit="1" customWidth="1"/>
    <col min="2515" max="2515" width="12" bestFit="1" customWidth="1"/>
    <col min="2516" max="2516" width="6" bestFit="1" customWidth="1"/>
    <col min="2517" max="2517" width="3" bestFit="1" customWidth="1"/>
    <col min="2518" max="2518" width="5" bestFit="1" customWidth="1"/>
    <col min="2519" max="2521" width="6" bestFit="1" customWidth="1"/>
    <col min="2522" max="2522" width="5" bestFit="1" customWidth="1"/>
    <col min="2523" max="2523" width="6" bestFit="1" customWidth="1"/>
    <col min="2524" max="2524" width="5" bestFit="1" customWidth="1"/>
    <col min="2525" max="2525" width="6" bestFit="1" customWidth="1"/>
    <col min="2526" max="2526" width="12" bestFit="1" customWidth="1"/>
    <col min="2527" max="2527" width="3" bestFit="1" customWidth="1"/>
    <col min="2528" max="2528" width="12" bestFit="1" customWidth="1"/>
    <col min="2529" max="2529" width="11" bestFit="1" customWidth="1"/>
    <col min="2530" max="2532" width="6" bestFit="1" customWidth="1"/>
    <col min="2533" max="2533" width="12" bestFit="1" customWidth="1"/>
    <col min="2534" max="2534" width="6" bestFit="1" customWidth="1"/>
    <col min="2535" max="2535" width="12" bestFit="1" customWidth="1"/>
    <col min="2536" max="2536" width="3" bestFit="1" customWidth="1"/>
    <col min="2537" max="2537" width="5" bestFit="1" customWidth="1"/>
    <col min="2538" max="2538" width="6" bestFit="1" customWidth="1"/>
    <col min="2539" max="2539" width="12" bestFit="1" customWidth="1"/>
    <col min="2540" max="2540" width="11" bestFit="1" customWidth="1"/>
    <col min="2541" max="2542" width="6" bestFit="1" customWidth="1"/>
    <col min="2543" max="2543" width="3" bestFit="1" customWidth="1"/>
    <col min="2544" max="2544" width="5" bestFit="1" customWidth="1"/>
    <col min="2545" max="2545" width="6" bestFit="1" customWidth="1"/>
    <col min="2546" max="2546" width="8" bestFit="1" customWidth="1"/>
    <col min="2547" max="2547" width="6" bestFit="1" customWidth="1"/>
    <col min="2548" max="2550" width="12" bestFit="1" customWidth="1"/>
    <col min="2551" max="2552" width="6" bestFit="1" customWidth="1"/>
    <col min="2553" max="2554" width="12" bestFit="1" customWidth="1"/>
    <col min="2555" max="2555" width="6" bestFit="1" customWidth="1"/>
    <col min="2556" max="2557" width="12" bestFit="1" customWidth="1"/>
    <col min="2558" max="2558" width="6" bestFit="1" customWidth="1"/>
    <col min="2559" max="2559" width="5" bestFit="1" customWidth="1"/>
    <col min="2560" max="2564" width="12" bestFit="1" customWidth="1"/>
    <col min="2565" max="2565" width="6" bestFit="1" customWidth="1"/>
    <col min="2566" max="2568" width="12" bestFit="1" customWidth="1"/>
    <col min="2569" max="2571" width="6" bestFit="1" customWidth="1"/>
    <col min="2572" max="2575" width="12" bestFit="1" customWidth="1"/>
    <col min="2576" max="2576" width="6" bestFit="1" customWidth="1"/>
    <col min="2577" max="2577" width="3" bestFit="1" customWidth="1"/>
    <col min="2578" max="2578" width="12" bestFit="1" customWidth="1"/>
    <col min="2579" max="2581" width="6" bestFit="1" customWidth="1"/>
    <col min="2582" max="2582" width="5" bestFit="1" customWidth="1"/>
    <col min="2583" max="2583" width="6" bestFit="1" customWidth="1"/>
    <col min="2584" max="2584" width="5" bestFit="1" customWidth="1"/>
    <col min="2585" max="2585" width="6" bestFit="1" customWidth="1"/>
    <col min="2586" max="2587" width="12" bestFit="1" customWidth="1"/>
    <col min="2588" max="2588" width="6" bestFit="1" customWidth="1"/>
    <col min="2589" max="2590" width="12" bestFit="1" customWidth="1"/>
    <col min="2591" max="2591" width="6" bestFit="1" customWidth="1"/>
    <col min="2592" max="2594" width="12" bestFit="1" customWidth="1"/>
    <col min="2595" max="2599" width="6" bestFit="1" customWidth="1"/>
    <col min="2600" max="2601" width="12" bestFit="1" customWidth="1"/>
    <col min="2602" max="2606" width="6" bestFit="1" customWidth="1"/>
    <col min="2607" max="2607" width="5" bestFit="1" customWidth="1"/>
    <col min="2608" max="2608" width="12" bestFit="1" customWidth="1"/>
    <col min="2609" max="2609" width="6" bestFit="1" customWidth="1"/>
    <col min="2610" max="2614" width="12" bestFit="1" customWidth="1"/>
    <col min="2615" max="2615" width="3" bestFit="1" customWidth="1"/>
    <col min="2616" max="2616" width="12" bestFit="1" customWidth="1"/>
    <col min="2617" max="2617" width="6" bestFit="1" customWidth="1"/>
    <col min="2618" max="2618" width="12" bestFit="1" customWidth="1"/>
    <col min="2619" max="2620" width="6" bestFit="1" customWidth="1"/>
    <col min="2621" max="2621" width="12" bestFit="1" customWidth="1"/>
    <col min="2622" max="2623" width="6" bestFit="1" customWidth="1"/>
    <col min="2624" max="2624" width="12" bestFit="1" customWidth="1"/>
    <col min="2625" max="2625" width="7" bestFit="1" customWidth="1"/>
    <col min="2626" max="2626" width="3" bestFit="1" customWidth="1"/>
    <col min="2627" max="2627" width="12" bestFit="1" customWidth="1"/>
    <col min="2628" max="2628" width="6" bestFit="1" customWidth="1"/>
    <col min="2629" max="2629" width="5" bestFit="1" customWidth="1"/>
    <col min="2630" max="2631" width="6" bestFit="1" customWidth="1"/>
    <col min="2632" max="2632" width="5" bestFit="1" customWidth="1"/>
    <col min="2633" max="2635" width="6" bestFit="1" customWidth="1"/>
    <col min="2636" max="2637" width="12" bestFit="1" customWidth="1"/>
    <col min="2638" max="2638" width="6" bestFit="1" customWidth="1"/>
    <col min="2639" max="2639" width="3" bestFit="1" customWidth="1"/>
    <col min="2640" max="2641" width="12" bestFit="1" customWidth="1"/>
    <col min="2642" max="2642" width="6" bestFit="1" customWidth="1"/>
    <col min="2643" max="2643" width="12" bestFit="1" customWidth="1"/>
    <col min="2644" max="2644" width="6" bestFit="1" customWidth="1"/>
    <col min="2645" max="2647" width="12" bestFit="1" customWidth="1"/>
    <col min="2648" max="2648" width="5" bestFit="1" customWidth="1"/>
    <col min="2649" max="2652" width="6" bestFit="1" customWidth="1"/>
    <col min="2653" max="2653" width="8" bestFit="1" customWidth="1"/>
    <col min="2654" max="2655" width="6" bestFit="1" customWidth="1"/>
    <col min="2656" max="2656" width="3" bestFit="1" customWidth="1"/>
    <col min="2657" max="2659" width="6" bestFit="1" customWidth="1"/>
    <col min="2660" max="2660" width="12" bestFit="1" customWidth="1"/>
    <col min="2661" max="2661" width="6" bestFit="1" customWidth="1"/>
    <col min="2662" max="2664" width="12" bestFit="1" customWidth="1"/>
    <col min="2665" max="2669" width="6" bestFit="1" customWidth="1"/>
    <col min="2670" max="2670" width="12" bestFit="1" customWidth="1"/>
    <col min="2671" max="2673" width="6" bestFit="1" customWidth="1"/>
    <col min="2674" max="2674" width="12" bestFit="1" customWidth="1"/>
    <col min="2675" max="2675" width="5" bestFit="1" customWidth="1"/>
    <col min="2676" max="2676" width="12" bestFit="1" customWidth="1"/>
    <col min="2677" max="2677" width="6" bestFit="1" customWidth="1"/>
    <col min="2678" max="2678" width="3" bestFit="1" customWidth="1"/>
    <col min="2679" max="2679" width="12" bestFit="1" customWidth="1"/>
    <col min="2680" max="2684" width="6" bestFit="1" customWidth="1"/>
    <col min="2685" max="2685" width="5" bestFit="1" customWidth="1"/>
    <col min="2686" max="2686" width="3" bestFit="1" customWidth="1"/>
    <col min="2687" max="2687" width="12" bestFit="1" customWidth="1"/>
    <col min="2688" max="2688" width="11" bestFit="1" customWidth="1"/>
    <col min="2689" max="2689" width="12" bestFit="1" customWidth="1"/>
    <col min="2690" max="2690" width="11" bestFit="1" customWidth="1"/>
    <col min="2691" max="2692" width="12" bestFit="1" customWidth="1"/>
    <col min="2693" max="2694" width="6" bestFit="1" customWidth="1"/>
    <col min="2695" max="2695" width="11" bestFit="1" customWidth="1"/>
    <col min="2696" max="2696" width="6" bestFit="1" customWidth="1"/>
    <col min="2697" max="2697" width="3" bestFit="1" customWidth="1"/>
    <col min="2698" max="2698" width="12" bestFit="1" customWidth="1"/>
    <col min="2699" max="2706" width="6" bestFit="1" customWidth="1"/>
    <col min="2707" max="2707" width="3" bestFit="1" customWidth="1"/>
    <col min="2708" max="2709" width="6" bestFit="1" customWidth="1"/>
    <col min="2710" max="2710" width="12" bestFit="1" customWidth="1"/>
    <col min="2711" max="2711" width="6" bestFit="1" customWidth="1"/>
    <col min="2712" max="2712" width="12" bestFit="1" customWidth="1"/>
    <col min="2713" max="2713" width="6" bestFit="1" customWidth="1"/>
    <col min="2714" max="2714" width="5" bestFit="1" customWidth="1"/>
    <col min="2715" max="2717" width="6" bestFit="1" customWidth="1"/>
    <col min="2718" max="2719" width="12" bestFit="1" customWidth="1"/>
    <col min="2720" max="2720" width="10" bestFit="1" customWidth="1"/>
    <col min="2721" max="2721" width="6" bestFit="1" customWidth="1"/>
    <col min="2722" max="2723" width="12" bestFit="1" customWidth="1"/>
    <col min="2724" max="2724" width="6" bestFit="1" customWidth="1"/>
    <col min="2725" max="2725" width="3" bestFit="1" customWidth="1"/>
    <col min="2726" max="2726" width="12" bestFit="1" customWidth="1"/>
    <col min="2727" max="2729" width="6" bestFit="1" customWidth="1"/>
    <col min="2730" max="2730" width="12" bestFit="1" customWidth="1"/>
    <col min="2731" max="2731" width="4" bestFit="1" customWidth="1"/>
    <col min="2732" max="2736" width="12" bestFit="1" customWidth="1"/>
    <col min="2737" max="2740" width="7" bestFit="1" customWidth="1"/>
    <col min="2741" max="2741" width="12" bestFit="1" customWidth="1"/>
    <col min="2742" max="2742" width="7" bestFit="1" customWidth="1"/>
    <col min="2743" max="2743" width="6" bestFit="1" customWidth="1"/>
    <col min="2744" max="2745" width="7" bestFit="1" customWidth="1"/>
    <col min="2746" max="2746" width="12" bestFit="1" customWidth="1"/>
    <col min="2747" max="2747" width="7" bestFit="1" customWidth="1"/>
    <col min="2748" max="2748" width="12" bestFit="1" customWidth="1"/>
    <col min="2749" max="2749" width="7" bestFit="1" customWidth="1"/>
    <col min="2750" max="2750" width="12" bestFit="1" customWidth="1"/>
    <col min="2751" max="2751" width="7" bestFit="1" customWidth="1"/>
    <col min="2752" max="2752" width="12" bestFit="1" customWidth="1"/>
    <col min="2753" max="2753" width="6" bestFit="1" customWidth="1"/>
    <col min="2754" max="2755" width="7" bestFit="1" customWidth="1"/>
    <col min="2756" max="2756" width="4" bestFit="1" customWidth="1"/>
    <col min="2757" max="2757" width="6" bestFit="1" customWidth="1"/>
    <col min="2758" max="2758" width="4" bestFit="1" customWidth="1"/>
    <col min="2759" max="2759" width="7" bestFit="1" customWidth="1"/>
    <col min="2760" max="2760" width="4" bestFit="1" customWidth="1"/>
    <col min="2761" max="2764" width="7" bestFit="1" customWidth="1"/>
    <col min="2765" max="2765" width="6" bestFit="1" customWidth="1"/>
    <col min="2766" max="2767" width="7" bestFit="1" customWidth="1"/>
    <col min="2768" max="2768" width="12" bestFit="1" customWidth="1"/>
    <col min="2769" max="2769" width="4" bestFit="1" customWidth="1"/>
    <col min="2770" max="2770" width="6" bestFit="1" customWidth="1"/>
    <col min="2771" max="2771" width="7" bestFit="1" customWidth="1"/>
    <col min="2772" max="2772" width="4" bestFit="1" customWidth="1"/>
    <col min="2773" max="2773" width="6" bestFit="1" customWidth="1"/>
    <col min="2774" max="2774" width="4" bestFit="1" customWidth="1"/>
    <col min="2775" max="2776" width="12" bestFit="1" customWidth="1"/>
    <col min="2777" max="2777" width="4" bestFit="1" customWidth="1"/>
    <col min="2778" max="2778" width="7" bestFit="1" customWidth="1"/>
    <col min="2779" max="2780" width="12" bestFit="1" customWidth="1"/>
    <col min="2781" max="2784" width="4" bestFit="1" customWidth="1"/>
    <col min="2785" max="2785" width="11" bestFit="1" customWidth="1"/>
    <col min="2786" max="2786" width="12.5703125" bestFit="1" customWidth="1"/>
  </cols>
  <sheetData>
    <row r="1" spans="1:16" x14ac:dyDescent="0.25">
      <c r="A1" s="31" t="s">
        <v>6</v>
      </c>
      <c r="B1" t="s">
        <v>11</v>
      </c>
      <c r="D1" s="31" t="s">
        <v>6716</v>
      </c>
      <c r="E1" t="s">
        <v>6434</v>
      </c>
      <c r="G1" s="31" t="s">
        <v>6</v>
      </c>
      <c r="H1" t="s">
        <v>11</v>
      </c>
      <c r="L1" s="31" t="s">
        <v>6</v>
      </c>
      <c r="M1" t="s">
        <v>11</v>
      </c>
      <c r="O1" s="31" t="s">
        <v>6</v>
      </c>
      <c r="P1" t="s">
        <v>11</v>
      </c>
    </row>
    <row r="2" spans="1:16" x14ac:dyDescent="0.25">
      <c r="D2" s="32" t="s">
        <v>11</v>
      </c>
      <c r="E2" s="34">
        <v>39622.3744673732</v>
      </c>
    </row>
    <row r="3" spans="1:16" x14ac:dyDescent="0.25">
      <c r="A3" s="31" t="s">
        <v>6716</v>
      </c>
      <c r="B3" t="s">
        <v>6434</v>
      </c>
      <c r="D3" s="32" t="s">
        <v>48</v>
      </c>
      <c r="E3" s="34">
        <v>7217.9133637925952</v>
      </c>
      <c r="G3" s="31" t="s">
        <v>6716</v>
      </c>
      <c r="H3" t="s">
        <v>6434</v>
      </c>
      <c r="I3" t="s">
        <v>6445</v>
      </c>
      <c r="L3" s="31" t="s">
        <v>6716</v>
      </c>
      <c r="M3" t="s">
        <v>6434</v>
      </c>
      <c r="O3" s="31" t="s">
        <v>6716</v>
      </c>
      <c r="P3" t="s">
        <v>6434</v>
      </c>
    </row>
    <row r="4" spans="1:16" x14ac:dyDescent="0.25">
      <c r="A4" s="32">
        <v>2022</v>
      </c>
      <c r="B4" s="33">
        <v>3852.7600000000025</v>
      </c>
      <c r="D4" s="32" t="s">
        <v>6717</v>
      </c>
      <c r="E4" s="34"/>
      <c r="G4" s="32" t="s">
        <v>3710</v>
      </c>
      <c r="H4" s="34">
        <v>2246.757684956407</v>
      </c>
      <c r="I4">
        <v>145</v>
      </c>
      <c r="L4" s="32" t="s">
        <v>3785</v>
      </c>
      <c r="M4" s="34">
        <v>1293.9699999999998</v>
      </c>
      <c r="O4" s="32" t="s">
        <v>12</v>
      </c>
      <c r="P4" s="34">
        <v>35620.340607958846</v>
      </c>
    </row>
    <row r="5" spans="1:16" x14ac:dyDescent="0.25">
      <c r="A5" s="32">
        <v>2023</v>
      </c>
      <c r="B5" s="33">
        <v>6353.433558282235</v>
      </c>
      <c r="D5" s="32" t="s">
        <v>6718</v>
      </c>
      <c r="E5" s="34">
        <v>46840.287831165799</v>
      </c>
      <c r="G5" s="32" t="s">
        <v>3421</v>
      </c>
      <c r="H5" s="34">
        <v>1759.3655064535035</v>
      </c>
      <c r="I5">
        <v>163</v>
      </c>
      <c r="L5" s="32" t="s">
        <v>3885</v>
      </c>
      <c r="M5" s="34">
        <v>1030</v>
      </c>
      <c r="O5" s="32" t="s">
        <v>2314</v>
      </c>
      <c r="P5" s="34">
        <v>334.62385941446843</v>
      </c>
    </row>
    <row r="6" spans="1:16" x14ac:dyDescent="0.25">
      <c r="A6" s="32">
        <v>2024</v>
      </c>
      <c r="B6" s="33">
        <v>10771.939999999981</v>
      </c>
      <c r="G6" s="32" t="s">
        <v>3621</v>
      </c>
      <c r="H6" s="34">
        <v>1489.2333972531139</v>
      </c>
      <c r="I6">
        <v>265</v>
      </c>
      <c r="L6" s="32" t="s">
        <v>6722</v>
      </c>
      <c r="M6" s="34">
        <v>899.9</v>
      </c>
      <c r="O6" s="32" t="s">
        <v>16</v>
      </c>
      <c r="P6" s="34">
        <v>3667.409999999998</v>
      </c>
    </row>
    <row r="7" spans="1:16" x14ac:dyDescent="0.25">
      <c r="A7" s="32">
        <v>2025</v>
      </c>
      <c r="B7" s="33">
        <v>10887.040909090882</v>
      </c>
      <c r="G7" s="32" t="s">
        <v>3786</v>
      </c>
      <c r="H7" s="34">
        <v>1327.3304545454544</v>
      </c>
      <c r="I7">
        <v>9</v>
      </c>
      <c r="L7" s="32" t="s">
        <v>3951</v>
      </c>
      <c r="M7" s="34">
        <v>600</v>
      </c>
      <c r="O7" s="32" t="s">
        <v>6718</v>
      </c>
      <c r="P7" s="34">
        <v>39622.374467373309</v>
      </c>
    </row>
    <row r="8" spans="1:16" x14ac:dyDescent="0.25">
      <c r="A8" s="32">
        <v>2026</v>
      </c>
      <c r="B8" s="33">
        <v>7757.1999999999989</v>
      </c>
      <c r="G8" s="32" t="s">
        <v>3455</v>
      </c>
      <c r="H8" s="34">
        <v>1316.4213645391437</v>
      </c>
      <c r="I8">
        <v>123</v>
      </c>
      <c r="L8" s="32" t="s">
        <v>6721</v>
      </c>
      <c r="M8" s="34">
        <v>590</v>
      </c>
    </row>
    <row r="9" spans="1:16" x14ac:dyDescent="0.25">
      <c r="A9" s="32" t="s">
        <v>6718</v>
      </c>
      <c r="B9" s="33">
        <v>39622.374467373098</v>
      </c>
      <c r="G9" s="32" t="s">
        <v>3520</v>
      </c>
      <c r="H9" s="34">
        <v>1260.9507710879286</v>
      </c>
      <c r="I9">
        <v>266</v>
      </c>
      <c r="L9" s="32" t="s">
        <v>4548</v>
      </c>
      <c r="M9" s="34">
        <v>425</v>
      </c>
    </row>
    <row r="10" spans="1:16" x14ac:dyDescent="0.25">
      <c r="G10" s="32" t="s">
        <v>3886</v>
      </c>
      <c r="H10" s="34">
        <v>1128.7761866105607</v>
      </c>
      <c r="I10">
        <v>71</v>
      </c>
      <c r="L10" s="32" t="s">
        <v>4954</v>
      </c>
      <c r="M10" s="34">
        <v>393.35597593186458</v>
      </c>
    </row>
    <row r="11" spans="1:16" x14ac:dyDescent="0.25">
      <c r="G11" s="32" t="s">
        <v>3952</v>
      </c>
      <c r="H11" s="34">
        <v>1025</v>
      </c>
      <c r="I11">
        <v>3</v>
      </c>
      <c r="L11" s="32" t="s">
        <v>4224</v>
      </c>
      <c r="M11" s="34">
        <v>324.79000000000002</v>
      </c>
    </row>
    <row r="12" spans="1:16" x14ac:dyDescent="0.25">
      <c r="G12" s="32" t="s">
        <v>3967</v>
      </c>
      <c r="H12" s="34">
        <v>1002.029082816231</v>
      </c>
      <c r="I12">
        <v>39</v>
      </c>
      <c r="L12" s="32" t="s">
        <v>5079</v>
      </c>
      <c r="M12" s="34">
        <v>323.41572815533982</v>
      </c>
    </row>
    <row r="13" spans="1:16" x14ac:dyDescent="0.25">
      <c r="G13" s="32" t="s">
        <v>3551</v>
      </c>
      <c r="H13" s="34">
        <v>994.977256829515</v>
      </c>
      <c r="I13">
        <v>173</v>
      </c>
      <c r="L13" s="32" t="s">
        <v>3974</v>
      </c>
      <c r="M13" s="34">
        <v>315.49</v>
      </c>
    </row>
    <row r="14" spans="1:16" x14ac:dyDescent="0.25">
      <c r="G14" s="32" t="s">
        <v>6723</v>
      </c>
      <c r="H14" s="34">
        <v>899.9</v>
      </c>
      <c r="I14">
        <v>2</v>
      </c>
      <c r="L14" s="32" t="s">
        <v>4390</v>
      </c>
      <c r="M14" s="34">
        <v>296.72727272727275</v>
      </c>
    </row>
    <row r="15" spans="1:16" x14ac:dyDescent="0.25">
      <c r="G15" s="32" t="s">
        <v>4398</v>
      </c>
      <c r="H15" s="34">
        <v>737.84363636363639</v>
      </c>
      <c r="I15">
        <v>103</v>
      </c>
      <c r="L15" s="32" t="s">
        <v>4820</v>
      </c>
      <c r="M15" s="34">
        <v>272.64999999999998</v>
      </c>
    </row>
    <row r="16" spans="1:16" x14ac:dyDescent="0.25">
      <c r="G16" s="32" t="s">
        <v>3435</v>
      </c>
      <c r="H16" s="34">
        <v>683.23768481422985</v>
      </c>
      <c r="I16">
        <v>135</v>
      </c>
      <c r="L16" s="32" t="s">
        <v>5001</v>
      </c>
      <c r="M16" s="34">
        <v>268.3757281553398</v>
      </c>
    </row>
    <row r="17" spans="7:13" x14ac:dyDescent="0.25">
      <c r="G17" s="32" t="s">
        <v>3418</v>
      </c>
      <c r="H17" s="34">
        <v>643.58689707992733</v>
      </c>
      <c r="I17">
        <v>121</v>
      </c>
      <c r="L17" s="32" t="s">
        <v>4219</v>
      </c>
      <c r="M17" s="34">
        <v>266.25</v>
      </c>
    </row>
    <row r="18" spans="7:13" x14ac:dyDescent="0.25">
      <c r="G18" s="32" t="s">
        <v>3788</v>
      </c>
      <c r="H18" s="34">
        <v>571.77355455712063</v>
      </c>
      <c r="I18">
        <v>113</v>
      </c>
      <c r="L18" s="32" t="s">
        <v>3447</v>
      </c>
      <c r="M18" s="34">
        <v>237.57916666666671</v>
      </c>
    </row>
    <row r="19" spans="7:13" x14ac:dyDescent="0.25">
      <c r="G19" s="32" t="s">
        <v>3448</v>
      </c>
      <c r="H19" s="34">
        <v>554.98916666666673</v>
      </c>
      <c r="I19">
        <v>6</v>
      </c>
      <c r="L19" s="32" t="s">
        <v>3449</v>
      </c>
      <c r="M19" s="34">
        <v>236</v>
      </c>
    </row>
    <row r="20" spans="7:13" x14ac:dyDescent="0.25">
      <c r="G20" s="32" t="s">
        <v>4392</v>
      </c>
      <c r="H20" s="34">
        <v>459.88809842123396</v>
      </c>
      <c r="I20">
        <v>66</v>
      </c>
      <c r="L20" s="32" t="s">
        <v>4606</v>
      </c>
      <c r="M20" s="34">
        <v>232.96278916469259</v>
      </c>
    </row>
    <row r="21" spans="7:13" x14ac:dyDescent="0.25">
      <c r="G21" s="32" t="s">
        <v>3658</v>
      </c>
      <c r="H21" s="34">
        <v>457.0867569113181</v>
      </c>
      <c r="I21">
        <v>97</v>
      </c>
      <c r="L21" s="32" t="s">
        <v>5684</v>
      </c>
      <c r="M21" s="34">
        <v>223.7</v>
      </c>
    </row>
    <row r="22" spans="7:13" x14ac:dyDescent="0.25">
      <c r="G22" s="32" t="s">
        <v>3797</v>
      </c>
      <c r="H22" s="34">
        <v>436.35600211901715</v>
      </c>
      <c r="I22">
        <v>32</v>
      </c>
      <c r="L22" s="32" t="s">
        <v>5674</v>
      </c>
      <c r="M22" s="34">
        <v>213.62541062801932</v>
      </c>
    </row>
    <row r="23" spans="7:13" x14ac:dyDescent="0.25">
      <c r="G23" s="32" t="s">
        <v>3770</v>
      </c>
      <c r="H23" s="34">
        <v>409.04852603997244</v>
      </c>
      <c r="I23">
        <v>30</v>
      </c>
      <c r="L23" s="32" t="s">
        <v>5065</v>
      </c>
      <c r="M23" s="34">
        <v>212.91</v>
      </c>
    </row>
    <row r="24" spans="7:13" x14ac:dyDescent="0.25">
      <c r="G24" s="32" t="s">
        <v>3942</v>
      </c>
      <c r="H24" s="34">
        <v>394.28772714565281</v>
      </c>
      <c r="I24">
        <v>12</v>
      </c>
      <c r="L24" s="32" t="s">
        <v>4963</v>
      </c>
      <c r="M24" s="34">
        <v>208.81</v>
      </c>
    </row>
    <row r="25" spans="7:13" x14ac:dyDescent="0.25">
      <c r="G25" s="32" t="s">
        <v>3678</v>
      </c>
      <c r="H25" s="34">
        <v>392.65864451808579</v>
      </c>
      <c r="I25">
        <v>30</v>
      </c>
      <c r="L25" s="32" t="s">
        <v>5236</v>
      </c>
      <c r="M25" s="34">
        <v>207.48</v>
      </c>
    </row>
    <row r="26" spans="7:13" x14ac:dyDescent="0.25">
      <c r="G26" s="32" t="s">
        <v>3676</v>
      </c>
      <c r="H26" s="34">
        <v>384.20204045749409</v>
      </c>
      <c r="I26">
        <v>32</v>
      </c>
      <c r="L26" s="32" t="s">
        <v>4779</v>
      </c>
      <c r="M26" s="34">
        <v>206.4</v>
      </c>
    </row>
    <row r="27" spans="7:13" x14ac:dyDescent="0.25">
      <c r="G27" s="32" t="s">
        <v>3733</v>
      </c>
      <c r="H27" s="34">
        <v>363.38988598821373</v>
      </c>
      <c r="I27">
        <v>40</v>
      </c>
      <c r="L27" s="32" t="s">
        <v>4558</v>
      </c>
      <c r="M27" s="34">
        <v>205.72</v>
      </c>
    </row>
    <row r="28" spans="7:13" x14ac:dyDescent="0.25">
      <c r="G28" s="32" t="s">
        <v>4024</v>
      </c>
      <c r="H28" s="34">
        <v>352.07018272207353</v>
      </c>
      <c r="I28">
        <v>29</v>
      </c>
      <c r="L28" s="32" t="s">
        <v>4347</v>
      </c>
      <c r="M28" s="34">
        <v>200</v>
      </c>
    </row>
    <row r="29" spans="7:13" x14ac:dyDescent="0.25">
      <c r="G29" s="32" t="s">
        <v>3757</v>
      </c>
      <c r="H29" s="34">
        <v>348.50185081396802</v>
      </c>
      <c r="I29">
        <v>22</v>
      </c>
      <c r="L29" s="32" t="s">
        <v>6224</v>
      </c>
      <c r="M29" s="34">
        <v>192.2265625</v>
      </c>
    </row>
    <row r="30" spans="7:13" x14ac:dyDescent="0.25">
      <c r="G30" s="32" t="s">
        <v>4103</v>
      </c>
      <c r="H30" s="34">
        <v>337.55238707253227</v>
      </c>
      <c r="I30">
        <v>44</v>
      </c>
      <c r="L30" s="32" t="s">
        <v>5171</v>
      </c>
      <c r="M30" s="34">
        <v>187.79000000000002</v>
      </c>
    </row>
    <row r="31" spans="7:13" x14ac:dyDescent="0.25">
      <c r="G31" s="32" t="s">
        <v>4220</v>
      </c>
      <c r="H31" s="34">
        <v>334.94645084256621</v>
      </c>
      <c r="I31">
        <v>92</v>
      </c>
      <c r="L31" s="32" t="s">
        <v>3747</v>
      </c>
      <c r="M31" s="34">
        <v>181.8191208923003</v>
      </c>
    </row>
    <row r="32" spans="7:13" x14ac:dyDescent="0.25">
      <c r="G32" s="32" t="s">
        <v>3975</v>
      </c>
      <c r="H32" s="34">
        <v>315.49</v>
      </c>
      <c r="I32">
        <v>4</v>
      </c>
      <c r="L32" s="32" t="s">
        <v>6044</v>
      </c>
      <c r="M32" s="34">
        <v>176.05</v>
      </c>
    </row>
    <row r="33" spans="7:13" x14ac:dyDescent="0.25">
      <c r="G33" s="32" t="s">
        <v>4059</v>
      </c>
      <c r="H33" s="34">
        <v>312.34568783074258</v>
      </c>
      <c r="I33">
        <v>65</v>
      </c>
      <c r="L33" s="32" t="s">
        <v>5676</v>
      </c>
      <c r="M33" s="34">
        <v>175.04</v>
      </c>
    </row>
    <row r="34" spans="7:13" x14ac:dyDescent="0.25">
      <c r="G34" s="32" t="s">
        <v>6718</v>
      </c>
      <c r="H34" s="34">
        <v>22939.996885456316</v>
      </c>
      <c r="I34">
        <v>2332</v>
      </c>
      <c r="L34" s="32" t="s">
        <v>4929</v>
      </c>
      <c r="M34" s="34">
        <v>174.108197581779</v>
      </c>
    </row>
    <row r="35" spans="7:13" x14ac:dyDescent="0.25">
      <c r="L35" s="32" t="s">
        <v>4967</v>
      </c>
      <c r="M35" s="34">
        <v>171.25564814814811</v>
      </c>
    </row>
    <row r="36" spans="7:13" x14ac:dyDescent="0.25">
      <c r="L36" s="32" t="s">
        <v>4957</v>
      </c>
      <c r="M36" s="34">
        <v>167.6</v>
      </c>
    </row>
    <row r="37" spans="7:13" x14ac:dyDescent="0.25">
      <c r="L37" s="32" t="s">
        <v>4515</v>
      </c>
      <c r="M37" s="34">
        <v>162.89943706000457</v>
      </c>
    </row>
    <row r="38" spans="7:13" x14ac:dyDescent="0.25">
      <c r="L38" s="32" t="s">
        <v>3854</v>
      </c>
      <c r="M38" s="34">
        <v>160.55000000000001</v>
      </c>
    </row>
    <row r="39" spans="7:13" x14ac:dyDescent="0.25">
      <c r="L39" s="32" t="s">
        <v>5181</v>
      </c>
      <c r="M39" s="34">
        <v>154.05000000000001</v>
      </c>
    </row>
    <row r="40" spans="7:13" x14ac:dyDescent="0.25">
      <c r="L40" s="32" t="s">
        <v>4099</v>
      </c>
      <c r="M40" s="34">
        <v>152.69</v>
      </c>
    </row>
    <row r="41" spans="7:13" x14ac:dyDescent="0.25">
      <c r="L41" s="32" t="s">
        <v>3506</v>
      </c>
      <c r="M41" s="34">
        <v>150.63475398108582</v>
      </c>
    </row>
    <row r="42" spans="7:13" x14ac:dyDescent="0.25">
      <c r="L42" s="32" t="s">
        <v>5129</v>
      </c>
      <c r="M42" s="34">
        <v>150</v>
      </c>
    </row>
    <row r="43" spans="7:13" x14ac:dyDescent="0.25">
      <c r="L43" s="32" t="s">
        <v>4774</v>
      </c>
      <c r="M43" s="34">
        <v>149.30258426966293</v>
      </c>
    </row>
    <row r="44" spans="7:13" x14ac:dyDescent="0.25">
      <c r="L44" s="32" t="s">
        <v>4391</v>
      </c>
      <c r="M44" s="34">
        <v>147.06026259098846</v>
      </c>
    </row>
    <row r="45" spans="7:13" x14ac:dyDescent="0.25">
      <c r="L45" s="32" t="s">
        <v>4280</v>
      </c>
      <c r="M45" s="34">
        <v>146.84</v>
      </c>
    </row>
    <row r="46" spans="7:13" x14ac:dyDescent="0.25">
      <c r="L46" s="32" t="s">
        <v>5080</v>
      </c>
      <c r="M46" s="34">
        <v>145.47</v>
      </c>
    </row>
    <row r="47" spans="7:13" x14ac:dyDescent="0.25">
      <c r="L47" s="32" t="s">
        <v>5131</v>
      </c>
      <c r="M47" s="34">
        <v>145</v>
      </c>
    </row>
    <row r="48" spans="7:13" x14ac:dyDescent="0.25">
      <c r="L48" s="32" t="s">
        <v>4100</v>
      </c>
      <c r="M48" s="34">
        <v>144.69999999999999</v>
      </c>
    </row>
    <row r="49" spans="12:13" x14ac:dyDescent="0.25">
      <c r="L49" s="32" t="s">
        <v>4143</v>
      </c>
      <c r="M49" s="34">
        <v>144</v>
      </c>
    </row>
    <row r="50" spans="12:13" x14ac:dyDescent="0.25">
      <c r="L50" s="32" t="s">
        <v>4221</v>
      </c>
      <c r="M50" s="34">
        <v>142.98209345794393</v>
      </c>
    </row>
    <row r="51" spans="12:13" x14ac:dyDescent="0.25">
      <c r="L51" s="32" t="s">
        <v>4790</v>
      </c>
      <c r="M51" s="34">
        <v>141.81111074160293</v>
      </c>
    </row>
    <row r="52" spans="12:13" x14ac:dyDescent="0.25">
      <c r="L52" s="32" t="s">
        <v>4775</v>
      </c>
      <c r="M52" s="34">
        <v>136.22741573033707</v>
      </c>
    </row>
    <row r="53" spans="12:13" x14ac:dyDescent="0.25">
      <c r="L53" s="32" t="s">
        <v>4138</v>
      </c>
      <c r="M53" s="34">
        <v>134.75</v>
      </c>
    </row>
    <row r="54" spans="12:13" x14ac:dyDescent="0.25">
      <c r="L54" s="32" t="s">
        <v>6718</v>
      </c>
      <c r="M54" s="34">
        <v>13619.969258383047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40"/>
  <sheetViews>
    <sheetView showGridLines="0" workbookViewId="0">
      <selection activeCell="B21" sqref="B21"/>
    </sheetView>
  </sheetViews>
  <sheetFormatPr baseColWidth="10" defaultColWidth="9.140625" defaultRowHeight="15" x14ac:dyDescent="0.25"/>
  <cols>
    <col min="1" max="1" width="36" customWidth="1"/>
    <col min="2" max="2" width="26.7109375" customWidth="1"/>
    <col min="3" max="3" width="4" customWidth="1"/>
    <col min="4" max="6" width="16" customWidth="1"/>
    <col min="7" max="7" width="15.85546875" customWidth="1"/>
    <col min="8" max="8" width="16" customWidth="1"/>
    <col min="9" max="9" width="13.28515625" customWidth="1"/>
    <col min="10" max="10" width="38" customWidth="1"/>
    <col min="11" max="16" width="16" customWidth="1"/>
    <col min="17" max="25" width="14" customWidth="1"/>
  </cols>
  <sheetData>
    <row r="1" spans="1:26" ht="21.95" customHeight="1" x14ac:dyDescent="0.25">
      <c r="A1" s="45" t="s">
        <v>6428</v>
      </c>
      <c r="B1" s="45"/>
      <c r="C1" s="45"/>
      <c r="D1" s="19"/>
      <c r="E1" s="19"/>
      <c r="F1" s="19"/>
      <c r="G1" s="19"/>
      <c r="H1" s="19"/>
      <c r="I1" s="19"/>
      <c r="J1" s="19"/>
      <c r="K1" s="19"/>
      <c r="L1" s="19"/>
      <c r="M1" s="19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 x14ac:dyDescent="0.25">
      <c r="A2" s="4"/>
      <c r="B2" s="4"/>
      <c r="C2" s="4"/>
      <c r="D2" s="4"/>
      <c r="E2" s="11"/>
      <c r="F2" s="11"/>
      <c r="G2" s="11"/>
      <c r="H2" s="11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1.95" customHeight="1" x14ac:dyDescent="0.25">
      <c r="A3" s="21" t="s">
        <v>6431</v>
      </c>
      <c r="B3" s="21"/>
      <c r="C3" s="4"/>
      <c r="D3" s="4"/>
      <c r="E3" s="11"/>
      <c r="F3" s="11"/>
      <c r="G3" s="11"/>
      <c r="H3" s="11"/>
      <c r="I3" s="4"/>
      <c r="J3" s="21" t="s">
        <v>6433</v>
      </c>
      <c r="K3" s="21"/>
      <c r="L3" s="21"/>
      <c r="M3" s="2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 x14ac:dyDescent="0.25">
      <c r="A4" s="22" t="s">
        <v>3401</v>
      </c>
      <c r="B4" s="22" t="s">
        <v>6434</v>
      </c>
      <c r="C4" s="4"/>
      <c r="D4" s="4"/>
      <c r="E4" s="19" t="s">
        <v>6429</v>
      </c>
      <c r="F4" s="26">
        <f>COUNTA(Colección!$A$2:$A$10001)</f>
        <v>3857</v>
      </c>
      <c r="I4" s="4"/>
      <c r="J4" s="22" t="s">
        <v>7</v>
      </c>
      <c r="K4" s="22" t="s">
        <v>6436</v>
      </c>
      <c r="L4" s="22" t="s">
        <v>6437</v>
      </c>
      <c r="M4" s="22" t="s">
        <v>6438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 x14ac:dyDescent="0.25">
      <c r="A5" s="6" t="str">
        <f>YEAR(DATE(2026,6,1))&amp;"-"&amp;RIGHT("0"&amp;MONTH(DATE(2026,6,1)),2)&amp;" "&amp;CHOOSE(MONTH(DATE(2026,6,1)),"enero","febrero","marzo","abril","mayo","junio","julio","agosto","septiembre","octubre","noviembre","diciembre")</f>
        <v>2026-06 junio</v>
      </c>
      <c r="B5" s="7">
        <f>SUMIFS(Colección!$L$2:$L$10001,Colección!$M$2:$M$10001,"Compra",Colección!$D$2:$D$10001,"&gt;="&amp;DATE(2026,6,1),Colección!$D$2:$D$10001,"&lt;"&amp;DATE(2026,7,1))</f>
        <v>3510.83</v>
      </c>
      <c r="C5" s="4"/>
      <c r="D5" s="4"/>
      <c r="E5" s="23" t="s">
        <v>6430</v>
      </c>
      <c r="F5" s="27">
        <f>COUNTIF(Colección!$M$2:$M$10001,"Compra")</f>
        <v>3287</v>
      </c>
      <c r="I5" s="4"/>
      <c r="J5" s="6" t="str">
        <f>"Magic The Gathering"</f>
        <v>Magic The Gathering</v>
      </c>
      <c r="K5" s="29">
        <f>IF($J5="","",SUMIFS(Colección!$K$2:$K$10001,Colección!$O$2:$O$10001,$J5,Colección!$M$2:$M$10001,"Compra"))</f>
        <v>6337</v>
      </c>
      <c r="L5" s="7">
        <f>IF($J5="","",SUMIFS(Colección!$L$2:$L$10001,Colección!$O$2:$O$10001,$J5,Colección!$M$2:$M$10001,"Compra"))</f>
        <v>35680.340607958635</v>
      </c>
      <c r="M5" s="7">
        <f>IF($J5="","",SUMIFS(Colección!$N$2:$N$10001,Colección!$O$2:$O$10001,$J5,Colección!$M$2:$M$10001,"Venta"))</f>
        <v>7222.779017998183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customHeight="1" x14ac:dyDescent="0.25">
      <c r="A6" s="6" t="str">
        <f>YEAR(DATE(2026,5,1))&amp;"-"&amp;RIGHT("0"&amp;MONTH(DATE(2026,5,1)),2)&amp;" "&amp;CHOOSE(MONTH(DATE(2026,5,1)),"enero","febrero","marzo","abril","mayo","junio","julio","agosto","septiembre","octubre","noviembre","diciembre")</f>
        <v>2026-05 mayo</v>
      </c>
      <c r="B6" s="7">
        <f>SUMIFS(Colección!$L$2:$L$10001,Colección!$M$2:$M$10001,"Compra",Colección!$D$2:$D$10001,"&gt;="&amp;DATE(2026,5,1),Colección!$D$2:$D$10001,"&lt;"&amp;DATE(2026,6,1))</f>
        <v>1230.3000000000002</v>
      </c>
      <c r="C6" s="4"/>
      <c r="D6" s="4"/>
      <c r="E6" s="23" t="s">
        <v>6432</v>
      </c>
      <c r="F6" s="27">
        <f>COUNTIF(Colección!$M$2:$M$10001,"Venta")</f>
        <v>570</v>
      </c>
      <c r="I6" s="4"/>
      <c r="J6" s="6" t="str">
        <f>"Riftbound"</f>
        <v>Riftbound</v>
      </c>
      <c r="K6" s="29">
        <f>IF($J6="","",SUMIFS(Colección!$K$2:$K$10001,Colección!$O$2:$O$10001,$J6,Colección!$M$2:$M$10001,"Compra"))</f>
        <v>429</v>
      </c>
      <c r="L6" s="7">
        <f>IF($J6="","",SUMIFS(Colección!$L$2:$L$10001,Colección!$O$2:$O$10001,$J6,Colección!$M$2:$M$10001,"Compra"))</f>
        <v>3667.409999999998</v>
      </c>
      <c r="M6" s="7">
        <f>IF($J6="","",SUMIFS(Colección!$N$2:$N$10001,Colección!$O$2:$O$10001,$J6,Colección!$M$2:$M$10001,"Venta"))</f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customHeight="1" x14ac:dyDescent="0.25">
      <c r="A7" s="6" t="str">
        <f>YEAR(DATE(2026,4,1))&amp;"-"&amp;RIGHT("0"&amp;MONTH(DATE(2026,4,1)),2)&amp;" "&amp;CHOOSE(MONTH(DATE(2026,4,1)),"enero","febrero","marzo","abril","mayo","junio","julio","agosto","septiembre","octubre","noviembre","diciembre")</f>
        <v>2026-04 abril</v>
      </c>
      <c r="B7" s="7">
        <f>SUMIFS(Colección!$L$2:$L$10001,Colección!$M$2:$M$10001,"Compra",Colección!$D$2:$D$10001,"&gt;="&amp;DATE(2026,4,1),Colección!$D$2:$D$10001,"&lt;"&amp;DATE(2026,5,1))</f>
        <v>27.76</v>
      </c>
      <c r="C7" s="4"/>
      <c r="D7" s="4"/>
      <c r="E7" s="23" t="s">
        <v>6435</v>
      </c>
      <c r="F7" s="18">
        <f>SUMIFS(Colección!$L$2:$L$10001,Colección!$M$2:$M$10001,"Compra")</f>
        <v>39682.3744673732</v>
      </c>
      <c r="I7" s="4"/>
      <c r="J7" s="6" t="str">
        <f>"One Piece"</f>
        <v>One Piece</v>
      </c>
      <c r="K7" s="29">
        <f>IF($J7="","",SUMIFS(Colección!$K$2:$K$10001,Colección!$O$2:$O$10001,$J7,Colección!$M$2:$M$10001,"Compra"))</f>
        <v>373</v>
      </c>
      <c r="L7" s="7">
        <f>IF($J7="","",SUMIFS(Colección!$L$2:$L$10001,Colección!$O$2:$O$10001,$J7,Colección!$M$2:$M$10001,"Compra"))</f>
        <v>334.62385941446843</v>
      </c>
      <c r="M7" s="7">
        <f>IF($J7="","",SUMIFS(Colección!$N$2:$N$10001,Colección!$O$2:$O$10001,$J7,Colección!$M$2:$M$10001,"Venta"))</f>
        <v>19.47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" customHeight="1" x14ac:dyDescent="0.25">
      <c r="A8" s="6" t="str">
        <f>YEAR(DATE(2026,3,1))&amp;"-"&amp;RIGHT("0"&amp;MONTH(DATE(2026,3,1)),2)&amp;" "&amp;CHOOSE(MONTH(DATE(2026,3,1)),"enero","febrero","marzo","abril","mayo","junio","julio","agosto","septiembre","octubre","noviembre","diciembre")</f>
        <v>2026-03 marzo</v>
      </c>
      <c r="B8" s="7">
        <f>SUMIFS(Colección!$L$2:$L$10001,Colección!$M$2:$M$10001,"Compra",Colección!$D$2:$D$10001,"&gt;="&amp;DATE(2026,3,1),Colección!$D$2:$D$10001,"&lt;"&amp;DATE(2026,4,1))</f>
        <v>241.54000000000002</v>
      </c>
      <c r="C8" s="4"/>
      <c r="D8" s="4"/>
      <c r="E8" s="23" t="s">
        <v>6439</v>
      </c>
      <c r="F8" s="18">
        <f>SUMIFS(Colección!$N$2:$N$10001,Colección!$M$2:$M$10001,"Venta")</f>
        <v>7242.2490179981814</v>
      </c>
      <c r="I8" s="4"/>
      <c r="J8" s="4"/>
      <c r="K8" s="4"/>
      <c r="L8" s="16"/>
      <c r="M8" s="1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" customHeight="1" x14ac:dyDescent="0.25">
      <c r="A9" s="6" t="str">
        <f>YEAR(DATE(2026,2,1))&amp;"-"&amp;RIGHT("0"&amp;MONTH(DATE(2026,2,1)),2)&amp;" "&amp;CHOOSE(MONTH(DATE(2026,2,1)),"enero","febrero","marzo","abril","mayo","junio","julio","agosto","septiembre","octubre","noviembre","diciembre")</f>
        <v>2026-02 febrero</v>
      </c>
      <c r="B9" s="7">
        <f>SUMIFS(Colección!$L$2:$L$10001,Colección!$M$2:$M$10001,"Compra",Colección!$D$2:$D$10001,"&gt;="&amp;DATE(2026,2,1),Colección!$D$2:$D$10001,"&lt;"&amp;DATE(2026,3,1))</f>
        <v>358.21</v>
      </c>
      <c r="C9" s="4"/>
      <c r="D9" s="4"/>
      <c r="E9" s="30" t="s">
        <v>6440</v>
      </c>
      <c r="F9" s="27">
        <f>COUNTIF(Colección!$M$2:$M$10001,"Cancelado")</f>
        <v>0</v>
      </c>
      <c r="I9" s="4"/>
      <c r="J9" s="4"/>
      <c r="K9" s="4"/>
      <c r="L9" s="16"/>
      <c r="M9" s="1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" customHeight="1" x14ac:dyDescent="0.25">
      <c r="A10" s="6" t="str">
        <f>YEAR(DATE(2026,1,1))&amp;"-"&amp;RIGHT("0"&amp;MONTH(DATE(2026,1,1)),2)&amp;" "&amp;CHOOSE(MONTH(DATE(2026,1,1)),"enero","febrero","marzo","abril","mayo","junio","julio","agosto","septiembre","octubre","noviembre","diciembre")</f>
        <v>2026-01 enero</v>
      </c>
      <c r="B10" s="7">
        <f>SUMIFS(Colección!$L$2:$L$10001,Colección!$M$2:$M$10001,"Compra",Colección!$D$2:$D$10001,"&gt;="&amp;DATE(2026,1,1),Colección!$D$2:$D$10001,"&lt;"&amp;DATE(2026,2,1))</f>
        <v>2448.5600000000004</v>
      </c>
      <c r="C10" s="4"/>
      <c r="D10" s="4"/>
      <c r="E10" s="11"/>
      <c r="F10" s="11"/>
      <c r="G10" s="11"/>
      <c r="H10" s="4"/>
      <c r="I10" s="4"/>
      <c r="J10" s="4"/>
      <c r="K10" s="4"/>
      <c r="L10" s="16"/>
      <c r="M10" s="1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" customHeight="1" x14ac:dyDescent="0.25">
      <c r="A11" s="6" t="str">
        <f>YEAR(DATE(2025,12,1))&amp;"-"&amp;RIGHT("0"&amp;MONTH(DATE(2025,12,1)),2)&amp;" "&amp;CHOOSE(MONTH(DATE(2025,12,1)),"enero","febrero","marzo","abril","mayo","junio","julio","agosto","septiembre","octubre","noviembre","diciembre")</f>
        <v>2025-12 diciembre</v>
      </c>
      <c r="B11" s="7">
        <f>SUMIFS(Colección!$L$2:$L$10001,Colección!$M$2:$M$10001,"Compra",Colección!$D$2:$D$10001,"&gt;="&amp;DATE(2025,12,1),Colección!$D$2:$D$10001,"&lt;"&amp;DATE(2025,13,1))</f>
        <v>1465.13</v>
      </c>
      <c r="C11" s="4"/>
      <c r="D11" s="4"/>
      <c r="E11" s="11"/>
      <c r="F11" s="11"/>
      <c r="G11" s="11"/>
      <c r="H11" s="4"/>
      <c r="I11" s="4"/>
      <c r="J11" s="4"/>
      <c r="K11" s="4"/>
      <c r="L11" s="16"/>
      <c r="M11" s="1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" customHeight="1" x14ac:dyDescent="0.25">
      <c r="A12" s="6" t="str">
        <f>YEAR(DATE(2025,11,1))&amp;"-"&amp;RIGHT("0"&amp;MONTH(DATE(2025,11,1)),2)&amp;" "&amp;CHOOSE(MONTH(DATE(2025,11,1)),"enero","febrero","marzo","abril","mayo","junio","julio","agosto","septiembre","octubre","noviembre","diciembre")</f>
        <v>2025-11 noviembre</v>
      </c>
      <c r="B12" s="7">
        <f>SUMIFS(Colección!$L$2:$L$10001,Colección!$M$2:$M$10001,"Compra",Colección!$D$2:$D$10001,"&gt;="&amp;DATE(2025,11,1),Colección!$D$2:$D$10001,"&lt;"&amp;DATE(2025,12,1))</f>
        <v>554.11000000000013</v>
      </c>
      <c r="C12" s="4"/>
      <c r="D12" s="4"/>
      <c r="E12" s="11"/>
      <c r="F12" s="11"/>
      <c r="G12" s="11"/>
      <c r="H12" s="4"/>
      <c r="I12" s="4"/>
      <c r="J12" s="4"/>
      <c r="K12" s="4"/>
      <c r="L12" s="16"/>
      <c r="M12" s="1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 customHeight="1" x14ac:dyDescent="0.25">
      <c r="A13" s="6" t="str">
        <f>YEAR(DATE(2025,10,1))&amp;"-"&amp;RIGHT("0"&amp;MONTH(DATE(2025,10,1)),2)&amp;" "&amp;CHOOSE(MONTH(DATE(2025,10,1)),"enero","febrero","marzo","abril","mayo","junio","julio","agosto","septiembre","octubre","noviembre","diciembre")</f>
        <v>2025-10 octubre</v>
      </c>
      <c r="B13" s="7">
        <f>SUMIFS(Colección!$L$2:$L$10001,Colección!$M$2:$M$10001,"Compra",Colección!$D$2:$D$10001,"&gt;="&amp;DATE(2025,10,1),Colección!$D$2:$D$10001,"&lt;"&amp;DATE(2025,11,1))</f>
        <v>456.02999999999992</v>
      </c>
      <c r="C13" s="4"/>
      <c r="D13" s="4"/>
      <c r="E13" s="11"/>
      <c r="F13" s="11"/>
      <c r="G13" s="11"/>
      <c r="H13" s="4"/>
      <c r="I13" s="4"/>
      <c r="J13" s="4"/>
      <c r="K13" s="4"/>
      <c r="L13" s="16"/>
      <c r="M13" s="1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customHeight="1" x14ac:dyDescent="0.25">
      <c r="A14" s="6" t="str">
        <f>YEAR(DATE(2025,9,1))&amp;"-"&amp;RIGHT("0"&amp;MONTH(DATE(2025,9,1)),2)&amp;" "&amp;CHOOSE(MONTH(DATE(2025,9,1)),"enero","febrero","marzo","abril","mayo","junio","julio","agosto","septiembre","octubre","noviembre","diciembre")</f>
        <v>2025-09 septiembre</v>
      </c>
      <c r="B14" s="7">
        <f>SUMIFS(Colección!$L$2:$L$10001,Colección!$M$2:$M$10001,"Compra",Colección!$D$2:$D$10001,"&gt;="&amp;DATE(2025,9,1),Colección!$D$2:$D$10001,"&lt;"&amp;DATE(2025,10,1))</f>
        <v>195.61999999999995</v>
      </c>
      <c r="C14" s="4"/>
      <c r="D14" s="4"/>
      <c r="E14" s="11"/>
      <c r="F14" s="11"/>
      <c r="G14" s="11"/>
      <c r="H14" s="4"/>
      <c r="I14" s="4"/>
      <c r="J14" s="4"/>
      <c r="K14" s="4"/>
      <c r="L14" s="16"/>
      <c r="M14" s="1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customHeight="1" x14ac:dyDescent="0.25">
      <c r="A15" s="6" t="str">
        <f>YEAR(DATE(2025,8,1))&amp;"-"&amp;RIGHT("0"&amp;MONTH(DATE(2025,8,1)),2)&amp;" "&amp;CHOOSE(MONTH(DATE(2025,8,1)),"enero","febrero","marzo","abril","mayo","junio","julio","agosto","septiembre","octubre","noviembre","diciembre")</f>
        <v>2025-08 agosto</v>
      </c>
      <c r="B15" s="7">
        <f>SUMIFS(Colección!$L$2:$L$10001,Colección!$M$2:$M$10001,"Compra",Colección!$D$2:$D$10001,"&gt;="&amp;DATE(2025,8,1),Colección!$D$2:$D$10001,"&lt;"&amp;DATE(2025,9,1))</f>
        <v>243.64</v>
      </c>
      <c r="C15" s="4"/>
      <c r="D15" s="4"/>
      <c r="E15" s="11"/>
      <c r="F15" s="11"/>
      <c r="G15" s="11"/>
      <c r="H15" s="4"/>
      <c r="I15" s="4"/>
      <c r="J15" s="4"/>
      <c r="K15" s="4"/>
      <c r="L15" s="16"/>
      <c r="M15" s="1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customHeight="1" x14ac:dyDescent="0.25">
      <c r="A16" s="6" t="str">
        <f>YEAR(DATE(2025,7,1))&amp;"-"&amp;RIGHT("0"&amp;MONTH(DATE(2025,7,1)),2)&amp;" "&amp;CHOOSE(MONTH(DATE(2025,7,1)),"enero","febrero","marzo","abril","mayo","junio","julio","agosto","septiembre","octubre","noviembre","diciembre")</f>
        <v>2025-07 julio</v>
      </c>
      <c r="B16" s="7">
        <f>SUMIFS(Colección!$L$2:$L$10001,Colección!$M$2:$M$10001,"Compra",Colección!$D$2:$D$10001,"&gt;="&amp;DATE(2025,7,1),Colección!$D$2:$D$10001,"&lt;"&amp;DATE(2025,8,1))</f>
        <v>739.23000000000013</v>
      </c>
      <c r="C16" s="4"/>
      <c r="D16" s="4"/>
      <c r="E16" s="11"/>
      <c r="F16" s="11"/>
      <c r="G16" s="11"/>
      <c r="H16" s="4"/>
      <c r="I16" s="4"/>
      <c r="J16" s="4"/>
      <c r="K16" s="4"/>
      <c r="L16" s="16"/>
      <c r="M16" s="1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.95" customHeight="1" x14ac:dyDescent="0.25">
      <c r="A17" s="6" t="str">
        <f>YEAR(DATE(2025,6,1))&amp;"-"&amp;RIGHT("0"&amp;MONTH(DATE(2025,6,1)),2)&amp;" "&amp;CHOOSE(MONTH(DATE(2025,6,1)),"enero","febrero","marzo","abril","mayo","junio","julio","agosto","septiembre","octubre","noviembre","diciembre")</f>
        <v>2025-06 junio</v>
      </c>
      <c r="B17" s="7">
        <f>SUMIFS(Colección!$L$2:$L$10001,Colección!$M$2:$M$10001,"Compra",Colección!$D$2:$D$10001,"&gt;="&amp;DATE(2025,6,1),Colección!$D$2:$D$10001,"&lt;"&amp;DATE(2025,7,1))</f>
        <v>701.6600000000002</v>
      </c>
      <c r="C17" s="4"/>
      <c r="D17" s="4"/>
      <c r="E17" s="11"/>
      <c r="F17" s="11"/>
      <c r="G17" s="11"/>
      <c r="H17" s="4"/>
      <c r="I17" s="4"/>
      <c r="J17" s="21" t="s">
        <v>6441</v>
      </c>
      <c r="K17" s="21"/>
      <c r="L17" s="24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" customHeight="1" x14ac:dyDescent="0.25">
      <c r="A18" s="6" t="str">
        <f>YEAR(DATE(2025,5,1))&amp;"-"&amp;RIGHT("0"&amp;MONTH(DATE(2025,5,1)),2)&amp;" "&amp;CHOOSE(MONTH(DATE(2025,5,1)),"enero","febrero","marzo","abril","mayo","junio","julio","agosto","septiembre","octubre","noviembre","diciembre")</f>
        <v>2025-05 mayo</v>
      </c>
      <c r="B18" s="7">
        <f>SUMIFS(Colección!$L$2:$L$10001,Colección!$M$2:$M$10001,"Compra",Colección!$D$2:$D$10001,"&gt;="&amp;DATE(2025,5,1),Colección!$D$2:$D$10001,"&lt;"&amp;DATE(2025,6,1))</f>
        <v>490.35000000000008</v>
      </c>
      <c r="C18" s="4"/>
      <c r="D18" s="4"/>
      <c r="E18" s="11"/>
      <c r="F18" s="11"/>
      <c r="G18" s="11"/>
      <c r="H18" s="4"/>
      <c r="I18" s="4"/>
      <c r="J18" s="22" t="s">
        <v>6442</v>
      </c>
      <c r="K18" s="22" t="s">
        <v>6443</v>
      </c>
      <c r="L18" s="25" t="s">
        <v>6437</v>
      </c>
      <c r="M18" s="25" t="s">
        <v>6438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" customHeight="1" x14ac:dyDescent="0.25">
      <c r="A19" s="6" t="str">
        <f>YEAR(DATE(2025,4,1))&amp;"-"&amp;RIGHT("0"&amp;MONTH(DATE(2025,4,1)),2)&amp;" "&amp;CHOOSE(MONTH(DATE(2025,4,1)),"enero","febrero","marzo","abril","mayo","junio","julio","agosto","septiembre","octubre","noviembre","diciembre")</f>
        <v>2025-04 abril</v>
      </c>
      <c r="B19" s="7">
        <f>SUMIFS(Colección!$L$2:$L$10001,Colección!$M$2:$M$10001,"Compra",Colección!$D$2:$D$10001,"&gt;="&amp;DATE(2025,4,1),Colección!$D$2:$D$10001,"&lt;"&amp;DATE(2025,5,1))</f>
        <v>2333.71</v>
      </c>
      <c r="C19" s="4"/>
      <c r="D19" s="4"/>
      <c r="E19" s="11"/>
      <c r="F19" s="11"/>
      <c r="G19" s="11"/>
      <c r="H19" s="4"/>
      <c r="I19" s="4"/>
      <c r="J19" s="6" t="str">
        <f>"Compra"</f>
        <v>Compra</v>
      </c>
      <c r="K19" s="29">
        <f>SUMIFS(Colección!$K$2:$K$10001,Colección!$M$2:$M$10001,$J19)</f>
        <v>7139</v>
      </c>
      <c r="L19" s="7">
        <f>IF($J19="Compra",SUMIFS(Colección!$L$2:$L$10001,Colección!$M$2:$M$10001,$J19),0)</f>
        <v>39682.3744673732</v>
      </c>
      <c r="M19" s="7">
        <f>IF($J19="Venta",SUMIFS(Colección!$N$2:$N$10001,Colección!$M$2:$M$10001,$J19),0)</f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" customHeight="1" x14ac:dyDescent="0.25">
      <c r="A20" s="6" t="str">
        <f>YEAR(DATE(2025,3,1))&amp;"-"&amp;RIGHT("0"&amp;MONTH(DATE(2025,3,1)),2)&amp;" "&amp;CHOOSE(MONTH(DATE(2025,3,1)),"enero","febrero","marzo","abril","mayo","junio","julio","agosto","septiembre","octubre","noviembre","diciembre")</f>
        <v>2025-03 marzo</v>
      </c>
      <c r="B20" s="7">
        <f>SUMIFS(Colección!$L$2:$L$10001,Colección!$M$2:$M$10001,"Compra",Colección!$D$2:$D$10001,"&gt;="&amp;DATE(2025,3,1),Colección!$D$2:$D$10001,"&lt;"&amp;DATE(2025,4,1))</f>
        <v>2207.0009090909098</v>
      </c>
      <c r="C20" s="4"/>
      <c r="D20" s="4"/>
      <c r="E20" s="11"/>
      <c r="F20" s="11"/>
      <c r="G20" s="11"/>
      <c r="H20" s="4"/>
      <c r="I20" s="4"/>
      <c r="J20" s="6" t="str">
        <f>"Venta"</f>
        <v>Venta</v>
      </c>
      <c r="K20" s="29">
        <f>SUMIFS(Colección!$K$2:$K$10001,Colección!$M$2:$M$10001,$J20)</f>
        <v>1073</v>
      </c>
      <c r="L20" s="7">
        <f>IF($J20="Compra",SUMIFS(Colección!$L$2:$L$10001,Colección!$M$2:$M$10001,$J20),0)</f>
        <v>0</v>
      </c>
      <c r="M20" s="7">
        <f>IF($J20="Venta",SUMIFS(Colección!$N$2:$N$10001,Colección!$M$2:$M$10001,$J20),0)</f>
        <v>7242.2490179981814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" customHeight="1" x14ac:dyDescent="0.25">
      <c r="A21" s="6" t="str">
        <f>YEAR(DATE(2025,2,1))&amp;"-"&amp;RIGHT("0"&amp;MONTH(DATE(2025,2,1)),2)&amp;" "&amp;CHOOSE(MONTH(DATE(2025,2,1)),"enero","febrero","marzo","abril","mayo","junio","julio","agosto","septiembre","octubre","noviembre","diciembre")</f>
        <v>2025-02 febrero</v>
      </c>
      <c r="B21" s="7">
        <f>SUMIFS(Colección!$L$2:$L$10001,Colección!$M$2:$M$10001,"Compra",Colección!$D$2:$D$10001,"&gt;="&amp;DATE(2025,2,1),Colección!$D$2:$D$10001,"&lt;"&amp;DATE(2025,3,1))</f>
        <v>937.97</v>
      </c>
      <c r="C21" s="4"/>
      <c r="D21" s="4"/>
      <c r="E21" s="11"/>
      <c r="F21" s="11"/>
      <c r="G21" s="11"/>
      <c r="H21" s="4"/>
      <c r="I21" s="4"/>
      <c r="J21" s="6" t="str">
        <f>"Cancelado"</f>
        <v>Cancelado</v>
      </c>
      <c r="K21" s="29">
        <f>SUMIFS(Colección!$K$2:$K$10001,Colección!$M$2:$M$10001,$J21)</f>
        <v>0</v>
      </c>
      <c r="L21" s="7">
        <f>IF($J21="Compra",SUMIFS(Colección!$L$2:$L$10001,Colección!$M$2:$M$10001,$J21),0)</f>
        <v>0</v>
      </c>
      <c r="M21" s="7">
        <f>IF($J21="Venta",SUMIFS(Colección!$N$2:$N$10001,Colección!$M$2:$M$10001,$J21),0)</f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" customHeight="1" x14ac:dyDescent="0.25">
      <c r="A22" s="6" t="str">
        <f>YEAR(DATE(2025,1,1))&amp;"-"&amp;RIGHT("0"&amp;MONTH(DATE(2025,1,1)),2)&amp;" "&amp;CHOOSE(MONTH(DATE(2025,1,1)),"enero","febrero","marzo","abril","mayo","junio","julio","agosto","septiembre","octubre","noviembre","diciembre")</f>
        <v>2025-01 enero</v>
      </c>
      <c r="B22" s="7">
        <f>SUMIFS(Colección!$L$2:$L$10001,Colección!$M$2:$M$10001,"Compra",Colección!$D$2:$D$10001,"&gt;="&amp;DATE(2025,1,1),Colección!$D$2:$D$10001,"&lt;"&amp;DATE(2025,2,1))</f>
        <v>562.58999999999992</v>
      </c>
      <c r="C22" s="4"/>
      <c r="D22" s="4"/>
      <c r="E22" s="11"/>
      <c r="F22" s="11"/>
      <c r="G22" s="11"/>
      <c r="H22" s="4"/>
      <c r="I22" s="4"/>
      <c r="J22" s="4"/>
      <c r="K22" s="4"/>
      <c r="L22" s="16"/>
      <c r="M22" s="1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" customHeight="1" x14ac:dyDescent="0.25">
      <c r="A23" s="6" t="str">
        <f>YEAR(DATE(2024,12,1))&amp;"-"&amp;RIGHT("0"&amp;MONTH(DATE(2024,12,1)),2)&amp;" "&amp;CHOOSE(MONTH(DATE(2024,12,1)),"enero","febrero","marzo","abril","mayo","junio","julio","agosto","septiembre","octubre","noviembre","diciembre")</f>
        <v>2024-12 diciembre</v>
      </c>
      <c r="B23" s="7">
        <f>SUMIFS(Colección!$L$2:$L$10001,Colección!$M$2:$M$10001,"Compra",Colección!$D$2:$D$10001,"&gt;="&amp;DATE(2024,12,1),Colección!$D$2:$D$10001,"&lt;"&amp;DATE(2024,13,1))</f>
        <v>897.1400000000001</v>
      </c>
      <c r="C23" s="4"/>
      <c r="D23" s="4"/>
      <c r="E23" s="11"/>
      <c r="F23" s="11"/>
      <c r="G23" s="11"/>
      <c r="H23" s="4"/>
      <c r="I23" s="4"/>
      <c r="J23" s="4"/>
      <c r="K23" s="4"/>
      <c r="L23" s="16"/>
      <c r="M23" s="1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customHeight="1" x14ac:dyDescent="0.25">
      <c r="A24" s="6" t="str">
        <f>YEAR(DATE(2024,11,1))&amp;"-"&amp;RIGHT("0"&amp;MONTH(DATE(2024,11,1)),2)&amp;" "&amp;CHOOSE(MONTH(DATE(2024,11,1)),"enero","febrero","marzo","abril","mayo","junio","julio","agosto","septiembre","octubre","noviembre","diciembre")</f>
        <v>2024-11 noviembre</v>
      </c>
      <c r="B24" s="7">
        <f>SUMIFS(Colección!$L$2:$L$10001,Colección!$M$2:$M$10001,"Compra",Colección!$D$2:$D$10001,"&gt;="&amp;DATE(2024,11,1),Colección!$D$2:$D$10001,"&lt;"&amp;DATE(2024,12,1))</f>
        <v>583.04999999999995</v>
      </c>
      <c r="C24" s="4"/>
      <c r="D24" s="4"/>
      <c r="E24" s="11"/>
      <c r="F24" s="11"/>
      <c r="G24" s="11"/>
      <c r="H24" s="4"/>
      <c r="I24" s="4"/>
      <c r="J24" s="4"/>
      <c r="K24" s="4"/>
      <c r="L24" s="16"/>
      <c r="M24" s="1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" customHeight="1" x14ac:dyDescent="0.25">
      <c r="A25" s="6" t="str">
        <f>YEAR(DATE(2024,10,1))&amp;"-"&amp;RIGHT("0"&amp;MONTH(DATE(2024,10,1)),2)&amp;" "&amp;CHOOSE(MONTH(DATE(2024,10,1)),"enero","febrero","marzo","abril","mayo","junio","julio","agosto","septiembre","octubre","noviembre","diciembre")</f>
        <v>2024-10 octubre</v>
      </c>
      <c r="B25" s="7">
        <f>SUMIFS(Colección!$L$2:$L$10001,Colección!$M$2:$M$10001,"Compra",Colección!$D$2:$D$10001,"&gt;="&amp;DATE(2024,10,1),Colección!$D$2:$D$10001,"&lt;"&amp;DATE(2024,11,1))</f>
        <v>800.76000000000022</v>
      </c>
      <c r="C25" s="4"/>
      <c r="D25" s="4"/>
      <c r="E25" s="11"/>
      <c r="F25" s="11"/>
      <c r="G25" s="11"/>
      <c r="H25" s="4"/>
      <c r="I25" s="4"/>
      <c r="J25" s="4"/>
      <c r="K25" s="4"/>
      <c r="L25" s="16"/>
      <c r="M25" s="1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customHeight="1" x14ac:dyDescent="0.25">
      <c r="A26" s="6" t="str">
        <f>YEAR(DATE(2024,9,1))&amp;"-"&amp;RIGHT("0"&amp;MONTH(DATE(2024,9,1)),2)&amp;" "&amp;CHOOSE(MONTH(DATE(2024,9,1)),"enero","febrero","marzo","abril","mayo","junio","julio","agosto","septiembre","octubre","noviembre","diciembre")</f>
        <v>2024-09 septiembre</v>
      </c>
      <c r="B26" s="7">
        <f>SUMIFS(Colección!$L$2:$L$10001,Colección!$M$2:$M$10001,"Compra",Colección!$D$2:$D$10001,"&gt;="&amp;DATE(2024,9,1),Colección!$D$2:$D$10001,"&lt;"&amp;DATE(2024,10,1))</f>
        <v>450.38999999999987</v>
      </c>
      <c r="C26" s="4"/>
      <c r="D26" s="4"/>
      <c r="E26" s="11"/>
      <c r="F26" s="11"/>
      <c r="G26" s="11"/>
      <c r="H26" s="4"/>
      <c r="I26" s="4"/>
      <c r="J26" s="4"/>
      <c r="K26" s="4"/>
      <c r="L26" s="16"/>
      <c r="M26" s="1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" customHeight="1" x14ac:dyDescent="0.25">
      <c r="A27" s="6" t="str">
        <f>YEAR(DATE(2024,8,1))&amp;"-"&amp;RIGHT("0"&amp;MONTH(DATE(2024,8,1)),2)&amp;" "&amp;CHOOSE(MONTH(DATE(2024,8,1)),"enero","febrero","marzo","abril","mayo","junio","julio","agosto","septiembre","octubre","noviembre","diciembre")</f>
        <v>2024-08 agosto</v>
      </c>
      <c r="B27" s="7">
        <f>SUMIFS(Colección!$L$2:$L$10001,Colección!$M$2:$M$10001,"Compra",Colección!$D$2:$D$10001,"&gt;="&amp;DATE(2024,8,1),Colección!$D$2:$D$10001,"&lt;"&amp;DATE(2024,9,1))</f>
        <v>664.06999999999994</v>
      </c>
      <c r="C27" s="4"/>
      <c r="D27" s="4"/>
      <c r="E27" s="11"/>
      <c r="F27" s="11"/>
      <c r="G27" s="11"/>
      <c r="H27" s="4"/>
      <c r="I27" s="4"/>
      <c r="J27" s="4"/>
      <c r="K27" s="4"/>
      <c r="L27" s="16"/>
      <c r="M27" s="1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customHeight="1" x14ac:dyDescent="0.25">
      <c r="A28" s="6" t="str">
        <f>YEAR(DATE(2024,7,1))&amp;"-"&amp;RIGHT("0"&amp;MONTH(DATE(2024,7,1)),2)&amp;" "&amp;CHOOSE(MONTH(DATE(2024,7,1)),"enero","febrero","marzo","abril","mayo","junio","julio","agosto","septiembre","octubre","noviembre","diciembre")</f>
        <v>2024-07 julio</v>
      </c>
      <c r="B28" s="7">
        <f>SUMIFS(Colección!$L$2:$L$10001,Colección!$M$2:$M$10001,"Compra",Colección!$D$2:$D$10001,"&gt;="&amp;DATE(2024,7,1),Colección!$D$2:$D$10001,"&lt;"&amp;DATE(2024,8,1))</f>
        <v>1260.3100000000004</v>
      </c>
      <c r="C28" s="4"/>
      <c r="D28" s="4"/>
      <c r="E28" s="11"/>
      <c r="F28" s="11"/>
      <c r="G28" s="11"/>
      <c r="H28" s="4"/>
      <c r="I28" s="4"/>
      <c r="J28" s="4"/>
      <c r="K28" s="4"/>
      <c r="L28" s="16"/>
      <c r="M28" s="1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" customHeight="1" x14ac:dyDescent="0.25">
      <c r="A29" s="6" t="str">
        <f>YEAR(DATE(2024,6,1))&amp;"-"&amp;RIGHT("0"&amp;MONTH(DATE(2024,6,1)),2)&amp;" "&amp;CHOOSE(MONTH(DATE(2024,6,1)),"enero","febrero","marzo","abril","mayo","junio","julio","agosto","septiembre","octubre","noviembre","diciembre")</f>
        <v>2024-06 junio</v>
      </c>
      <c r="B29" s="7">
        <f>SUMIFS(Colección!$L$2:$L$10001,Colección!$M$2:$M$10001,"Compra",Colección!$D$2:$D$10001,"&gt;="&amp;DATE(2024,6,1),Colección!$D$2:$D$10001,"&lt;"&amp;DATE(2024,7,1))</f>
        <v>2096.5300000000007</v>
      </c>
      <c r="C29" s="4"/>
      <c r="D29" s="4"/>
      <c r="E29" s="11"/>
      <c r="F29" s="11"/>
      <c r="G29" s="11"/>
      <c r="H29" s="4"/>
      <c r="I29" s="4"/>
      <c r="J29" s="4"/>
      <c r="K29" s="4"/>
      <c r="L29" s="16"/>
      <c r="M29" s="1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" customHeight="1" x14ac:dyDescent="0.25">
      <c r="A30" s="6" t="str">
        <f>YEAR(DATE(2024,5,1))&amp;"-"&amp;RIGHT("0"&amp;MONTH(DATE(2024,5,1)),2)&amp;" "&amp;CHOOSE(MONTH(DATE(2024,5,1)),"enero","febrero","marzo","abril","mayo","junio","julio","agosto","septiembre","octubre","noviembre","diciembre")</f>
        <v>2024-05 mayo</v>
      </c>
      <c r="B30" s="7">
        <f>SUMIFS(Colección!$L$2:$L$10001,Colección!$M$2:$M$10001,"Compra",Colección!$D$2:$D$10001,"&gt;="&amp;DATE(2024,5,1),Colección!$D$2:$D$10001,"&lt;"&amp;DATE(2024,6,1))</f>
        <v>1971.4700000000009</v>
      </c>
      <c r="C30" s="4"/>
      <c r="D30" s="4"/>
      <c r="E30" s="11"/>
      <c r="F30" s="11"/>
      <c r="G30" s="11"/>
      <c r="H30" s="4"/>
      <c r="I30" s="4"/>
      <c r="J30" s="4"/>
      <c r="K30" s="4"/>
      <c r="L30" s="16"/>
      <c r="M30" s="1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" customHeight="1" x14ac:dyDescent="0.25">
      <c r="A31" s="6" t="str">
        <f>YEAR(DATE(2024,4,1))&amp;"-"&amp;RIGHT("0"&amp;MONTH(DATE(2024,4,1)),2)&amp;" "&amp;CHOOSE(MONTH(DATE(2024,4,1)),"enero","febrero","marzo","abril","mayo","junio","julio","agosto","septiembre","octubre","noviembre","diciembre")</f>
        <v>2024-04 abril</v>
      </c>
      <c r="B31" s="7">
        <f>SUMIFS(Colección!$L$2:$L$10001,Colección!$M$2:$M$10001,"Compra",Colección!$D$2:$D$10001,"&gt;="&amp;DATE(2024,4,1),Colección!$D$2:$D$10001,"&lt;"&amp;DATE(2024,5,1))</f>
        <v>497.53999999999996</v>
      </c>
      <c r="C31" s="4"/>
      <c r="D31" s="4"/>
      <c r="E31" s="11"/>
      <c r="F31" s="11"/>
      <c r="G31" s="1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" customHeight="1" x14ac:dyDescent="0.25">
      <c r="A32" s="6" t="str">
        <f>YEAR(DATE(2024,3,1))&amp;"-"&amp;RIGHT("0"&amp;MONTH(DATE(2024,3,1)),2)&amp;" "&amp;CHOOSE(MONTH(DATE(2024,3,1)),"enero","febrero","marzo","abril","mayo","junio","julio","agosto","septiembre","octubre","noviembre","diciembre")</f>
        <v>2024-03 marzo</v>
      </c>
      <c r="B32" s="7">
        <f>SUMIFS(Colección!$L$2:$L$10001,Colección!$M$2:$M$10001,"Compra",Colección!$D$2:$D$10001,"&gt;="&amp;DATE(2024,3,1),Colección!$D$2:$D$10001,"&lt;"&amp;DATE(2024,4,1))</f>
        <v>519.02</v>
      </c>
      <c r="C32" s="4"/>
      <c r="D32" s="4"/>
      <c r="E32" s="11"/>
      <c r="F32" s="11"/>
      <c r="G32" s="1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.95" customHeight="1" x14ac:dyDescent="0.25">
      <c r="A33" s="6" t="str">
        <f>YEAR(DATE(2024,2,1))&amp;"-"&amp;RIGHT("0"&amp;MONTH(DATE(2024,2,1)),2)&amp;" "&amp;CHOOSE(MONTH(DATE(2024,2,1)),"enero","febrero","marzo","abril","mayo","junio","julio","agosto","septiembre","octubre","noviembre","diciembre")</f>
        <v>2024-02 febrero</v>
      </c>
      <c r="B33" s="7">
        <f>SUMIFS(Colección!$L$2:$L$10001,Colección!$M$2:$M$10001,"Compra",Colección!$D$2:$D$10001,"&gt;="&amp;DATE(2024,2,1),Colección!$D$2:$D$10001,"&lt;"&amp;DATE(2024,3,1))</f>
        <v>435.2399999999999</v>
      </c>
      <c r="C33" s="4"/>
      <c r="D33" s="4"/>
      <c r="E33" s="11"/>
      <c r="F33" s="11"/>
      <c r="G33" s="11"/>
      <c r="H33" s="4"/>
      <c r="I33" s="4"/>
      <c r="J33" s="21" t="s">
        <v>6444</v>
      </c>
      <c r="K33" s="21"/>
      <c r="L33" s="2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customHeight="1" x14ac:dyDescent="0.25">
      <c r="A34" s="6" t="str">
        <f>YEAR(DATE(2024,1,1))&amp;"-"&amp;RIGHT("0"&amp;MONTH(DATE(2024,1,1)),2)&amp;" "&amp;CHOOSE(MONTH(DATE(2024,1,1)),"enero","febrero","marzo","abril","mayo","junio","julio","agosto","septiembre","octubre","noviembre","diciembre")</f>
        <v>2024-01 enero</v>
      </c>
      <c r="B34" s="7">
        <f>SUMIFS(Colección!$L$2:$L$10001,Colección!$M$2:$M$10001,"Compra",Colección!$D$2:$D$10001,"&gt;="&amp;DATE(2024,1,1),Colección!$D$2:$D$10001,"&lt;"&amp;DATE(2024,2,1))</f>
        <v>596.41999999999985</v>
      </c>
      <c r="C34" s="4"/>
      <c r="D34" s="4"/>
      <c r="E34" s="11"/>
      <c r="F34" s="11"/>
      <c r="G34" s="11"/>
      <c r="H34" s="4"/>
      <c r="I34" s="4"/>
      <c r="J34" s="22" t="s">
        <v>3405</v>
      </c>
      <c r="K34" s="22" t="s">
        <v>6434</v>
      </c>
      <c r="L34" s="22" t="s">
        <v>6445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customHeight="1" x14ac:dyDescent="0.25">
      <c r="A35" s="6" t="str">
        <f>YEAR(DATE(2023,12,1))&amp;"-"&amp;RIGHT("0"&amp;MONTH(DATE(2023,12,1)),2)&amp;" "&amp;CHOOSE(MONTH(DATE(2023,12,1)),"enero","febrero","marzo","abril","mayo","junio","julio","agosto","septiembre","octubre","noviembre","diciembre")</f>
        <v>2023-12 diciembre</v>
      </c>
      <c r="B35" s="7">
        <f>SUMIFS(Colección!$L$2:$L$10001,Colección!$M$2:$M$10001,"Compra",Colección!$D$2:$D$10001,"&gt;="&amp;DATE(2023,12,1),Colección!$D$2:$D$10001,"&lt;"&amp;DATE(2023,13,1))</f>
        <v>1079.9100000000001</v>
      </c>
      <c r="C35" s="4"/>
      <c r="D35" s="4"/>
      <c r="E35" s="11"/>
      <c r="F35" s="11"/>
      <c r="G35" s="11"/>
      <c r="H35" s="4"/>
      <c r="I35" s="4"/>
      <c r="J35" s="6" t="str">
        <f>IFERROR(INDEX('Aux Graficos'!$A$2:$A$321,MATCH(1,'Aux Graficos'!$D$2:$D$321,0)),"")</f>
        <v>Modern Horizons 2: Extras</v>
      </c>
      <c r="K35" s="7">
        <f>IF($J35="","",SUMIFS(Colección!$L$2:$L$10001,Colección!$G$2:$G$10001,$J35,Colección!$M$2:$M$10001,"Compra"))</f>
        <v>2246.7576849564061</v>
      </c>
      <c r="L35" s="29">
        <f>IF($J35="","",SUMIFS(Colección!$K$2:$K$10001,Colección!$G$2:$G$10001,$J35,Colección!$M$2:$M$10001,"Compra"))</f>
        <v>145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" customHeight="1" x14ac:dyDescent="0.25">
      <c r="A36" s="6" t="str">
        <f>YEAR(DATE(2023,11,1))&amp;"-"&amp;RIGHT("0"&amp;MONTH(DATE(2023,11,1)),2)&amp;" "&amp;CHOOSE(MONTH(DATE(2023,11,1)),"enero","febrero","marzo","abril","mayo","junio","julio","agosto","septiembre","octubre","noviembre","diciembre")</f>
        <v>2023-11 noviembre</v>
      </c>
      <c r="B36" s="7">
        <f>SUMIFS(Colección!$L$2:$L$10001,Colección!$M$2:$M$10001,"Compra",Colección!$D$2:$D$10001,"&gt;="&amp;DATE(2023,11,1),Colección!$D$2:$D$10001,"&lt;"&amp;DATE(2023,12,1))</f>
        <v>361.7</v>
      </c>
      <c r="C36" s="4"/>
      <c r="D36" s="4"/>
      <c r="E36" s="11"/>
      <c r="F36" s="11"/>
      <c r="G36" s="11"/>
      <c r="H36" s="4"/>
      <c r="I36" s="4"/>
      <c r="J36" s="6" t="str">
        <f>IFERROR(INDEX('Aux Graficos'!$A$2:$A$321,MATCH(2,'Aux Graficos'!$D$2:$D$321,0)),"")</f>
        <v>Unleashed</v>
      </c>
      <c r="K36" s="7">
        <f>IF($J36="","",SUMIFS(Colección!$L$2:$L$10001,Colección!$G$2:$G$10001,$J36,Colección!$M$2:$M$10001,"Compra"))</f>
        <v>1759.3655064535035</v>
      </c>
      <c r="L36" s="29">
        <f>IF($J36="","",SUMIFS(Colección!$K$2:$K$10001,Colección!$G$2:$G$10001,$J36,Colección!$M$2:$M$10001,"Compra"))</f>
        <v>163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customHeight="1" x14ac:dyDescent="0.25">
      <c r="A37" s="6" t="str">
        <f>YEAR(DATE(2023,10,1))&amp;"-"&amp;RIGHT("0"&amp;MONTH(DATE(2023,10,1)),2)&amp;" "&amp;CHOOSE(MONTH(DATE(2023,10,1)),"enero","febrero","marzo","abril","mayo","junio","julio","agosto","septiembre","octubre","noviembre","diciembre")</f>
        <v>2023-10 octubre</v>
      </c>
      <c r="B37" s="7">
        <f>SUMIFS(Colección!$L$2:$L$10001,Colección!$M$2:$M$10001,"Compra",Colección!$D$2:$D$10001,"&gt;="&amp;DATE(2023,10,1),Colección!$D$2:$D$10001,"&lt;"&amp;DATE(2023,11,1))</f>
        <v>487.0199999999985</v>
      </c>
      <c r="C37" s="4"/>
      <c r="D37" s="4"/>
      <c r="E37" s="11"/>
      <c r="F37" s="11"/>
      <c r="G37" s="11"/>
      <c r="H37" s="4"/>
      <c r="I37" s="4"/>
      <c r="J37" s="6" t="str">
        <f>IFERROR(INDEX('Aux Graficos'!$A$2:$A$321,MATCH(3,'Aux Graficos'!$D$2:$D$321,0)),"")</f>
        <v>Modern Horizons 3</v>
      </c>
      <c r="K37" s="7">
        <f>IF($J37="","",SUMIFS(Colección!$L$2:$L$10001,Colección!$G$2:$G$10001,$J37,Colección!$M$2:$M$10001,"Compra"))</f>
        <v>1489.2333972531139</v>
      </c>
      <c r="L37" s="29">
        <f>IF($J37="","",SUMIFS(Colección!$K$2:$K$10001,Colección!$G$2:$G$10001,$J37,Colección!$M$2:$M$10001,"Compra"))</f>
        <v>265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customHeight="1" x14ac:dyDescent="0.25">
      <c r="A38" s="6" t="str">
        <f>YEAR(DATE(2023,9,1))&amp;"-"&amp;RIGHT("0"&amp;MONTH(DATE(2023,9,1)),2)&amp;" "&amp;CHOOSE(MONTH(DATE(2023,9,1)),"enero","febrero","marzo","abril","mayo","junio","julio","agosto","septiembre","octubre","noviembre","diciembre")</f>
        <v>2023-09 septiembre</v>
      </c>
      <c r="B38" s="7">
        <f>SUMIFS(Colección!$L$2:$L$10001,Colección!$M$2:$M$10001,"Compra",Colección!$D$2:$D$10001,"&gt;="&amp;DATE(2023,9,1),Colección!$D$2:$D$10001,"&lt;"&amp;DATE(2023,10,1))</f>
        <v>424.94000000000005</v>
      </c>
      <c r="C38" s="4"/>
      <c r="D38" s="4"/>
      <c r="E38" s="11"/>
      <c r="F38" s="11"/>
      <c r="G38" s="11"/>
      <c r="H38" s="4"/>
      <c r="I38" s="4"/>
      <c r="J38" s="6" t="str">
        <f>IFERROR(INDEX('Aux Graficos'!$A$2:$A$321,MATCH(4,'Aux Graficos'!$D$2:$D$321,0)),"")</f>
        <v>Exodus</v>
      </c>
      <c r="K38" s="7">
        <f>IF($J38="","",SUMIFS(Colección!$L$2:$L$10001,Colección!$G$2:$G$10001,$J38,Colección!$M$2:$M$10001,"Compra"))</f>
        <v>1327.3304545454544</v>
      </c>
      <c r="L38" s="29">
        <f>IF($J38="","",SUMIFS(Colección!$K$2:$K$10001,Colección!$G$2:$G$10001,$J38,Colección!$M$2:$M$10001,"Compra"))</f>
        <v>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" customHeight="1" x14ac:dyDescent="0.25">
      <c r="A39" s="6" t="str">
        <f>YEAR(DATE(2023,8,1))&amp;"-"&amp;RIGHT("0"&amp;MONTH(DATE(2023,8,1)),2)&amp;" "&amp;CHOOSE(MONTH(DATE(2023,8,1)),"enero","febrero","marzo","abril","mayo","junio","julio","agosto","septiembre","octubre","noviembre","diciembre")</f>
        <v>2023-08 agosto</v>
      </c>
      <c r="B39" s="7">
        <f>SUMIFS(Colección!$L$2:$L$10001,Colección!$M$2:$M$10001,"Compra",Colección!$D$2:$D$10001,"&gt;="&amp;DATE(2023,8,1),Colección!$D$2:$D$10001,"&lt;"&amp;DATE(2023,9,1))</f>
        <v>134.94999999999999</v>
      </c>
      <c r="C39" s="4"/>
      <c r="D39" s="4"/>
      <c r="E39" s="11"/>
      <c r="F39" s="11"/>
      <c r="G39" s="11"/>
      <c r="H39" s="4"/>
      <c r="I39" s="4"/>
      <c r="J39" s="6" t="str">
        <f>IFERROR(INDEX('Aux Graficos'!$A$2:$A$321,MATCH(5,'Aux Graficos'!$D$2:$D$321,0)),"")</f>
        <v>Modern Horizons 3: Extras</v>
      </c>
      <c r="K39" s="7">
        <f>IF($J39="","",SUMIFS(Colección!$L$2:$L$10001,Colección!$G$2:$G$10001,$J39,Colección!$M$2:$M$10001,"Compra"))</f>
        <v>1316.4213645391437</v>
      </c>
      <c r="L39" s="29">
        <f>IF($J39="","",SUMIFS(Colección!$K$2:$K$10001,Colección!$G$2:$G$10001,$J39,Colección!$M$2:$M$10001,"Compra"))</f>
        <v>123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" customHeight="1" x14ac:dyDescent="0.25">
      <c r="A40" s="6" t="str">
        <f>YEAR(DATE(2023,7,1))&amp;"-"&amp;RIGHT("0"&amp;MONTH(DATE(2023,7,1)),2)&amp;" "&amp;CHOOSE(MONTH(DATE(2023,7,1)),"enero","febrero","marzo","abril","mayo","junio","julio","agosto","septiembre","octubre","noviembre","diciembre")</f>
        <v>2023-07 julio</v>
      </c>
      <c r="B40" s="7">
        <f>SUMIFS(Colección!$L$2:$L$10001,Colección!$M$2:$M$10001,"Compra",Colección!$D$2:$D$10001,"&gt;="&amp;DATE(2023,7,1),Colección!$D$2:$D$10001,"&lt;"&amp;DATE(2023,8,1))</f>
        <v>1108.3935582822091</v>
      </c>
      <c r="C40" s="4"/>
      <c r="D40" s="4"/>
      <c r="E40" s="11"/>
      <c r="F40" s="11"/>
      <c r="G40" s="11"/>
      <c r="H40" s="4"/>
      <c r="I40" s="4"/>
      <c r="J40" s="6" t="str">
        <f>IFERROR(INDEX('Aux Graficos'!$A$2:$A$321,MATCH(6,'Aux Graficos'!$D$2:$D$321,0)),"")</f>
        <v>The Lord of the Rings: Tales of Middle-earth</v>
      </c>
      <c r="K40" s="7">
        <f>IF($J40="","",SUMIFS(Colección!$L$2:$L$10001,Colección!$G$2:$G$10001,$J40,Colección!$M$2:$M$10001,"Compra"))</f>
        <v>1260.9507710879286</v>
      </c>
      <c r="L40" s="29">
        <f>IF($J40="","",SUMIFS(Colección!$K$2:$K$10001,Colección!$G$2:$G$10001,$J40,Colección!$M$2:$M$10001,"Compra"))</f>
        <v>266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" customHeight="1" x14ac:dyDescent="0.25">
      <c r="A41" s="6" t="str">
        <f>YEAR(DATE(2023,6,1))&amp;"-"&amp;RIGHT("0"&amp;MONTH(DATE(2023,6,1)),2)&amp;" "&amp;CHOOSE(MONTH(DATE(2023,6,1)),"enero","febrero","marzo","abril","mayo","junio","julio","agosto","septiembre","octubre","noviembre","diciembre")</f>
        <v>2023-06 junio</v>
      </c>
      <c r="B41" s="7">
        <f>SUMIFS(Colección!$L$2:$L$10001,Colección!$M$2:$M$10001,"Compra",Colección!$D$2:$D$10001,"&gt;="&amp;DATE(2023,6,1),Colección!$D$2:$D$10001,"&lt;"&amp;DATE(2023,7,1))</f>
        <v>334.71999999999997</v>
      </c>
      <c r="C41" s="4"/>
      <c r="D41" s="4"/>
      <c r="E41" s="11"/>
      <c r="F41" s="11"/>
      <c r="G41" s="11"/>
      <c r="H41" s="4"/>
      <c r="I41" s="4"/>
      <c r="J41" s="6" t="str">
        <f>IFERROR(INDEX('Aux Graficos'!$A$2:$A$321,MATCH(7,'Aux Graficos'!$D$2:$D$321,0)),"")</f>
        <v>Urza's Saga</v>
      </c>
      <c r="K41" s="7">
        <f>IF($J41="","",SUMIFS(Colección!$L$2:$L$10001,Colección!$G$2:$G$10001,$J41,Colección!$M$2:$M$10001,"Compra"))</f>
        <v>1128.7761866105607</v>
      </c>
      <c r="L41" s="29">
        <f>IF($J41="","",SUMIFS(Colección!$K$2:$K$10001,Colección!$G$2:$G$10001,$J41,Colección!$M$2:$M$10001,"Compra"))</f>
        <v>71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" customHeight="1" x14ac:dyDescent="0.25">
      <c r="A42" s="6" t="str">
        <f>YEAR(DATE(2023,5,1))&amp;"-"&amp;RIGHT("0"&amp;MONTH(DATE(2023,5,1)),2)&amp;" "&amp;CHOOSE(MONTH(DATE(2023,5,1)),"enero","febrero","marzo","abril","mayo","junio","julio","agosto","septiembre","octubre","noviembre","diciembre")</f>
        <v>2023-05 mayo</v>
      </c>
      <c r="B42" s="7">
        <f>SUMIFS(Colección!$L$2:$L$10001,Colección!$M$2:$M$10001,"Compra",Colección!$D$2:$D$10001,"&gt;="&amp;DATE(2023,5,1),Colección!$D$2:$D$10001,"&lt;"&amp;DATE(2023,6,1))</f>
        <v>616.66</v>
      </c>
      <c r="C42" s="4"/>
      <c r="D42" s="4"/>
      <c r="E42" s="11"/>
      <c r="F42" s="11"/>
      <c r="G42" s="11"/>
      <c r="H42" s="4"/>
      <c r="I42" s="4"/>
      <c r="J42" s="6" t="str">
        <f>IFERROR(INDEX('Aux Graficos'!$A$2:$A$321,MATCH(8,'Aux Graficos'!$D$2:$D$321,0)),"")</f>
        <v>Revised</v>
      </c>
      <c r="K42" s="7">
        <f>IF($J42="","",SUMIFS(Colección!$L$2:$L$10001,Colección!$G$2:$G$10001,$J42,Colección!$M$2:$M$10001,"Compra"))</f>
        <v>1025</v>
      </c>
      <c r="L42" s="29">
        <f>IF($J42="","",SUMIFS(Colección!$K$2:$K$10001,Colección!$G$2:$G$10001,$J42,Colección!$M$2:$M$10001,"Compra"))</f>
        <v>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" customHeight="1" x14ac:dyDescent="0.25">
      <c r="A43" s="6" t="str">
        <f>YEAR(DATE(2023,4,1))&amp;"-"&amp;RIGHT("0"&amp;MONTH(DATE(2023,4,1)),2)&amp;" "&amp;CHOOSE(MONTH(DATE(2023,4,1)),"enero","febrero","marzo","abril","mayo","junio","julio","agosto","septiembre","octubre","noviembre","diciembre")</f>
        <v>2023-04 abril</v>
      </c>
      <c r="B43" s="7">
        <f>SUMIFS(Colección!$L$2:$L$10001,Colección!$M$2:$M$10001,"Compra",Colección!$D$2:$D$10001,"&gt;="&amp;DATE(2023,4,1),Colección!$D$2:$D$10001,"&lt;"&amp;DATE(2023,5,1))</f>
        <v>212.49000000000004</v>
      </c>
      <c r="C43" s="4"/>
      <c r="D43" s="4"/>
      <c r="E43" s="11"/>
      <c r="F43" s="11"/>
      <c r="G43" s="11"/>
      <c r="H43" s="4"/>
      <c r="I43" s="4"/>
      <c r="J43" s="6" t="str">
        <f>IFERROR(INDEX('Aux Graficos'!$A$2:$A$321,MATCH(9,'Aux Graficos'!$D$2:$D$321,0)),"")</f>
        <v>Onslaught</v>
      </c>
      <c r="K43" s="7">
        <f>IF($J43="","",SUMIFS(Colección!$L$2:$L$10001,Colección!$G$2:$G$10001,$J43,Colección!$M$2:$M$10001,"Compra"))</f>
        <v>1002.029082816231</v>
      </c>
      <c r="L43" s="29">
        <f>IF($J43="","",SUMIFS(Colección!$K$2:$K$10001,Colección!$G$2:$G$10001,$J43,Colección!$M$2:$M$10001,"Compra"))</f>
        <v>39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" customHeight="1" x14ac:dyDescent="0.25">
      <c r="A44" s="6" t="str">
        <f>YEAR(DATE(2023,3,1))&amp;"-"&amp;RIGHT("0"&amp;MONTH(DATE(2023,3,1)),2)&amp;" "&amp;CHOOSE(MONTH(DATE(2023,3,1)),"enero","febrero","marzo","abril","mayo","junio","julio","agosto","septiembre","octubre","noviembre","diciembre")</f>
        <v>2023-03 marzo</v>
      </c>
      <c r="B44" s="7">
        <f>SUMIFS(Colección!$L$2:$L$10001,Colección!$M$2:$M$10001,"Compra",Colección!$D$2:$D$10001,"&gt;="&amp;DATE(2023,3,1),Colección!$D$2:$D$10001,"&lt;"&amp;DATE(2023,4,1))</f>
        <v>429.28000000000003</v>
      </c>
      <c r="C44" s="4"/>
      <c r="D44" s="4"/>
      <c r="E44" s="11"/>
      <c r="F44" s="11"/>
      <c r="G44" s="11"/>
      <c r="H44" s="4"/>
      <c r="I44" s="4"/>
      <c r="J44" s="6" t="str">
        <f>IFERROR(INDEX('Aux Graficos'!$A$2:$A$321,MATCH(10,'Aux Graficos'!$D$2:$D$321,0)),"")</f>
        <v>Modern Horizons 2</v>
      </c>
      <c r="K44" s="7">
        <f>IF($J44="","",SUMIFS(Colección!$L$2:$L$10001,Colección!$G$2:$G$10001,$J44,Colección!$M$2:$M$10001,"Compra"))</f>
        <v>994.977256829515</v>
      </c>
      <c r="L44" s="29">
        <f>IF($J44="","",SUMIFS(Colección!$K$2:$K$10001,Colección!$G$2:$G$10001,$J44,Colección!$M$2:$M$10001,"Compra"))</f>
        <v>173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" customHeight="1" x14ac:dyDescent="0.25">
      <c r="A45" s="6" t="str">
        <f>YEAR(DATE(2023,2,1))&amp;"-"&amp;RIGHT("0"&amp;MONTH(DATE(2023,2,1)),2)&amp;" "&amp;CHOOSE(MONTH(DATE(2023,2,1)),"enero","febrero","marzo","abril","mayo","junio","julio","agosto","septiembre","octubre","noviembre","diciembre")</f>
        <v>2023-02 febrero</v>
      </c>
      <c r="B45" s="7">
        <f>SUMIFS(Colección!$L$2:$L$10001,Colección!$M$2:$M$10001,"Compra",Colección!$D$2:$D$10001,"&gt;="&amp;DATE(2023,2,1),Colección!$D$2:$D$10001,"&lt;"&amp;DATE(2023,3,1))</f>
        <v>296.16000000000008</v>
      </c>
      <c r="C45" s="4"/>
      <c r="D45" s="4"/>
      <c r="E45" s="11"/>
      <c r="F45" s="11"/>
      <c r="G45" s="11"/>
      <c r="H45" s="4"/>
      <c r="I45" s="4"/>
      <c r="J45" s="6" t="str">
        <f>IFERROR(INDEX('Aux Graficos'!$A$2:$A$321,MATCH(11,'Aux Graficos'!$D$2:$D$321,0)),"")</f>
        <v>Fourth Edition: Black Bordered</v>
      </c>
      <c r="K45" s="7">
        <f>IF($J45="","",SUMIFS(Colección!$L$2:$L$10001,Colección!$G$2:$G$10001,$J45,Colección!$M$2:$M$10001,"Compra"))</f>
        <v>737.84363636363639</v>
      </c>
      <c r="L45" s="29">
        <f>IF($J45="","",SUMIFS(Colección!$K$2:$K$10001,Colección!$G$2:$G$10001,$J45,Colección!$M$2:$M$10001,"Compra"))</f>
        <v>103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customHeight="1" x14ac:dyDescent="0.25">
      <c r="A46" s="6" t="str">
        <f>YEAR(DATE(2023,1,1))&amp;"-"&amp;RIGHT("0"&amp;MONTH(DATE(2023,1,1)),2)&amp;" "&amp;CHOOSE(MONTH(DATE(2023,1,1)),"enero","febrero","marzo","abril","mayo","junio","julio","agosto","septiembre","octubre","noviembre","diciembre")</f>
        <v>2023-01 enero</v>
      </c>
      <c r="B46" s="7">
        <f>SUMIFS(Colección!$L$2:$L$10001,Colección!$M$2:$M$10001,"Compra",Colección!$D$2:$D$10001,"&gt;="&amp;DATE(2023,1,1),Colección!$D$2:$D$10001,"&lt;"&amp;DATE(2023,2,1))</f>
        <v>867.2099999999997</v>
      </c>
      <c r="C46" s="4"/>
      <c r="D46" s="4"/>
      <c r="E46" s="11"/>
      <c r="F46" s="11"/>
      <c r="G46" s="11"/>
      <c r="H46" s="4"/>
      <c r="I46" s="4"/>
      <c r="J46" s="6" t="str">
        <f>IFERROR(INDEX('Aux Graficos'!$A$2:$A$321,MATCH(12,'Aux Graficos'!$D$2:$D$321,0)),"")</f>
        <v>Spiritforged</v>
      </c>
      <c r="K46" s="7">
        <f>IF($J46="","",SUMIFS(Colección!$L$2:$L$10001,Colección!$G$2:$G$10001,$J46,Colección!$M$2:$M$10001,"Compra"))</f>
        <v>683.23768481422985</v>
      </c>
      <c r="L46" s="29">
        <f>IF($J46="","",SUMIFS(Colección!$K$2:$K$10001,Colección!$G$2:$G$10001,$J46,Colección!$M$2:$M$10001,"Compra"))</f>
        <v>135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customHeight="1" x14ac:dyDescent="0.25">
      <c r="A47" s="6" t="str">
        <f>YEAR(DATE(2022,12,1))&amp;"-"&amp;RIGHT("0"&amp;MONTH(DATE(2022,12,1)),2)&amp;" "&amp;CHOOSE(MONTH(DATE(2022,12,1)),"enero","febrero","marzo","abril","mayo","junio","julio","agosto","septiembre","octubre","noviembre","diciembre")</f>
        <v>2022-12 diciembre</v>
      </c>
      <c r="B47" s="7">
        <f>SUMIFS(Colección!$L$2:$L$10001,Colección!$M$2:$M$10001,"Compra",Colección!$D$2:$D$10001,"&gt;="&amp;DATE(2022,12,1),Colección!$D$2:$D$10001,"&lt;"&amp;DATE(2022,13,1))</f>
        <v>1214.04</v>
      </c>
      <c r="C47" s="4"/>
      <c r="D47" s="4"/>
      <c r="E47" s="11"/>
      <c r="F47" s="11"/>
      <c r="G47" s="11"/>
      <c r="H47" s="4"/>
      <c r="I47" s="4"/>
      <c r="J47" s="6" t="str">
        <f>IFERROR(INDEX('Aux Graficos'!$A$2:$A$321,MATCH(13,'Aux Graficos'!$D$2:$D$321,0)),"")</f>
        <v>Origins</v>
      </c>
      <c r="K47" s="7">
        <f>IF($J47="","",SUMIFS(Colección!$L$2:$L$10001,Colección!$G$2:$G$10001,$J47,Colección!$M$2:$M$10001,"Compra"))</f>
        <v>643.58689707992733</v>
      </c>
      <c r="L47" s="29">
        <f>IF($J47="","",SUMIFS(Colección!$K$2:$K$10001,Colección!$G$2:$G$10001,$J47,Colección!$M$2:$M$10001,"Compra"))</f>
        <v>121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customHeight="1" x14ac:dyDescent="0.25">
      <c r="A48" s="6" t="str">
        <f>YEAR(DATE(2022,11,1))&amp;"-"&amp;RIGHT("0"&amp;MONTH(DATE(2022,11,1)),2)&amp;" "&amp;CHOOSE(MONTH(DATE(2022,11,1)),"enero","febrero","marzo","abril","mayo","junio","julio","agosto","septiembre","octubre","noviembre","diciembre")</f>
        <v>2022-11 noviembre</v>
      </c>
      <c r="B48" s="7">
        <f>SUMIFS(Colección!$L$2:$L$10001,Colección!$M$2:$M$10001,"Compra",Colección!$D$2:$D$10001,"&gt;="&amp;DATE(2022,11,1),Colección!$D$2:$D$10001,"&lt;"&amp;DATE(2022,12,1))</f>
        <v>1144.7500000000005</v>
      </c>
      <c r="C48" s="4"/>
      <c r="D48" s="4"/>
      <c r="E48" s="11"/>
      <c r="F48" s="11"/>
      <c r="G48" s="11"/>
      <c r="H48" s="4"/>
      <c r="I48" s="4"/>
      <c r="J48" s="6" t="str">
        <f>IFERROR(INDEX('Aux Graficos'!$A$2:$A$321,MATCH(14,'Aux Graficos'!$D$2:$D$321,0)),"")</f>
        <v>Time Spiral Remastered: Extras</v>
      </c>
      <c r="K48" s="7">
        <f>IF($J48="","",SUMIFS(Colección!$L$2:$L$10001,Colección!$G$2:$G$10001,$J48,Colección!$M$2:$M$10001,"Compra"))</f>
        <v>571.77355455712063</v>
      </c>
      <c r="L48" s="29">
        <f>IF($J48="","",SUMIFS(Colección!$K$2:$K$10001,Colección!$G$2:$G$10001,$J48,Colección!$M$2:$M$10001,"Compra"))</f>
        <v>113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customHeight="1" x14ac:dyDescent="0.25">
      <c r="A49" s="6" t="str">
        <f>YEAR(DATE(2022,10,1))&amp;"-"&amp;RIGHT("0"&amp;MONTH(DATE(2022,10,1)),2)&amp;" "&amp;CHOOSE(MONTH(DATE(2022,10,1)),"enero","febrero","marzo","abril","mayo","junio","julio","agosto","septiembre","octubre","noviembre","diciembre")</f>
        <v>2022-10 octubre</v>
      </c>
      <c r="B49" s="7">
        <f>SUMIFS(Colección!$L$2:$L$10001,Colección!$M$2:$M$10001,"Compra",Colección!$D$2:$D$10001,"&gt;="&amp;DATE(2022,10,1),Colección!$D$2:$D$10001,"&lt;"&amp;DATE(2022,11,1))</f>
        <v>1119.4899999999998</v>
      </c>
      <c r="C49" s="4"/>
      <c r="D49" s="4"/>
      <c r="E49" s="11"/>
      <c r="F49" s="11"/>
      <c r="G49" s="11"/>
      <c r="H49" s="4"/>
      <c r="I49" s="4"/>
      <c r="J49" s="6" t="str">
        <f>IFERROR(INDEX('Aux Graficos'!$A$2:$A$321,MATCH(15,'Aux Graficos'!$D$2:$D$321,0)),"")</f>
        <v>Origins: Promos</v>
      </c>
      <c r="K49" s="7">
        <f>IF($J49="","",SUMIFS(Colección!$L$2:$L$10001,Colección!$G$2:$G$10001,$J49,Colección!$M$2:$M$10001,"Compra"))</f>
        <v>554.98916666666673</v>
      </c>
      <c r="L49" s="29">
        <f>IF($J49="","",SUMIFS(Colección!$K$2:$K$10001,Colección!$G$2:$G$10001,$J49,Colección!$M$2:$M$10001,"Compra"))</f>
        <v>6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customHeight="1" x14ac:dyDescent="0.25">
      <c r="A50" s="6" t="str">
        <f>YEAR(DATE(2022,9,1))&amp;"-"&amp;RIGHT("0"&amp;MONTH(DATE(2022,9,1)),2)&amp;" "&amp;CHOOSE(MONTH(DATE(2022,9,1)),"enero","febrero","marzo","abril","mayo","junio","julio","agosto","septiembre","octubre","noviembre","diciembre")</f>
        <v>2022-09 septiembre</v>
      </c>
      <c r="B50" s="7">
        <f>SUMIFS(Colección!$L$2:$L$10001,Colección!$M$2:$M$10001,"Compra",Colección!$D$2:$D$10001,"&gt;="&amp;DATE(2022,9,1),Colección!$D$2:$D$10001,"&lt;"&amp;DATE(2022,10,1))</f>
        <v>374.48000000000008</v>
      </c>
      <c r="C50" s="4"/>
      <c r="D50" s="4"/>
      <c r="E50" s="11"/>
      <c r="F50" s="11"/>
      <c r="G50" s="11"/>
      <c r="H50" s="4"/>
      <c r="I50" s="4"/>
      <c r="J50" s="6" t="str">
        <f>IFERROR(INDEX('Aux Graficos'!$A$2:$A$321,MATCH(16,'Aux Graficos'!$D$2:$D$321,0)),"")</f>
        <v>Magic: The Gathering - FINAL FANTASY: Extras</v>
      </c>
      <c r="K50" s="7">
        <f>IF($J50="","",SUMIFS(Colección!$L$2:$L$10001,Colección!$G$2:$G$10001,$J50,Colección!$M$2:$M$10001,"Compra"))</f>
        <v>542.23262243361091</v>
      </c>
      <c r="L50" s="29">
        <f>IF($J50="","",SUMIFS(Colección!$K$2:$K$10001,Colección!$G$2:$G$10001,$J50,Colección!$M$2:$M$10001,"Compra"))</f>
        <v>15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customHeight="1" x14ac:dyDescent="0.25">
      <c r="A51" s="4"/>
      <c r="B51" s="16"/>
      <c r="C51" s="4"/>
      <c r="D51" s="4"/>
      <c r="E51" s="11"/>
      <c r="F51" s="11"/>
      <c r="G51" s="11"/>
      <c r="H51" s="4"/>
      <c r="I51" s="4"/>
      <c r="J51" s="6" t="str">
        <f>IFERROR(INDEX('Aux Graficos'!$A$2:$A$321,MATCH(17,'Aux Graficos'!$D$2:$D$321,0)),"")</f>
        <v>Double Masters 2022: Extras</v>
      </c>
      <c r="K51" s="7">
        <f>IF($J51="","",SUMIFS(Colección!$L$2:$L$10001,Colección!$G$2:$G$10001,$J51,Colección!$M$2:$M$10001,"Compra"))</f>
        <v>459.88809842123396</v>
      </c>
      <c r="L51" s="29">
        <f>IF($J51="","",SUMIFS(Colección!$K$2:$K$10001,Colección!$G$2:$G$10001,$J51,Colección!$M$2:$M$10001,"Compra"))</f>
        <v>66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customHeight="1" x14ac:dyDescent="0.25">
      <c r="A52" s="4"/>
      <c r="B52" s="16"/>
      <c r="C52" s="4"/>
      <c r="D52" s="4"/>
      <c r="E52" s="11"/>
      <c r="F52" s="11"/>
      <c r="G52" s="11"/>
      <c r="H52" s="4"/>
      <c r="I52" s="4"/>
      <c r="J52" s="6" t="str">
        <f>IFERROR(INDEX('Aux Graficos'!$A$2:$A$321,MATCH(18,'Aux Graficos'!$D$2:$D$321,0)),"")</f>
        <v>Modern Horizons</v>
      </c>
      <c r="K52" s="7">
        <f>IF($J52="","",SUMIFS(Colección!$L$2:$L$10001,Colección!$G$2:$G$10001,$J52,Colección!$M$2:$M$10001,"Compra"))</f>
        <v>457.0867569113181</v>
      </c>
      <c r="L52" s="29">
        <f>IF($J52="","",SUMIFS(Colección!$K$2:$K$10001,Colección!$G$2:$G$10001,$J52,Colección!$M$2:$M$10001,"Compra"))</f>
        <v>97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.95" customHeight="1" x14ac:dyDescent="0.25">
      <c r="A53" s="5"/>
      <c r="B53" s="16"/>
      <c r="C53" s="4"/>
      <c r="D53" s="4"/>
      <c r="E53" s="11"/>
      <c r="F53" s="11"/>
      <c r="G53" s="11"/>
      <c r="H53" s="4"/>
      <c r="I53" s="4"/>
      <c r="J53" s="6" t="str">
        <f>IFERROR(INDEX('Aux Graficos'!$A$2:$A$321,MATCH(19,'Aux Graficos'!$D$2:$D$321,0)),"")</f>
        <v>Tempest</v>
      </c>
      <c r="K53" s="7">
        <f>IF($J53="","",SUMIFS(Colección!$L$2:$L$10001,Colección!$G$2:$G$10001,$J53,Colección!$M$2:$M$10001,"Compra"))</f>
        <v>436.35600211901715</v>
      </c>
      <c r="L53" s="29">
        <f>IF($J53="","",SUMIFS(Colección!$K$2:$K$10001,Colección!$G$2:$G$10001,$J53,Colección!$M$2:$M$10001,"Compra"))</f>
        <v>32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" customHeight="1" x14ac:dyDescent="0.25">
      <c r="A54" s="46" t="s">
        <v>6446</v>
      </c>
      <c r="B54" s="47"/>
      <c r="C54" s="4"/>
      <c r="D54" s="4"/>
      <c r="E54" s="11"/>
      <c r="F54" s="11"/>
      <c r="G54" s="11"/>
      <c r="H54" s="4"/>
      <c r="I54" s="4"/>
      <c r="J54" s="6" t="str">
        <f>IFERROR(INDEX('Aux Graficos'!$A$2:$A$321,MATCH(20,'Aux Graficos'!$D$2:$D$321,0)),"")</f>
        <v>Duskmourn: House of Horror: Extras</v>
      </c>
      <c r="K54" s="7">
        <f>IF($J54="","",SUMIFS(Colección!$L$2:$L$10001,Colección!$G$2:$G$10001,$J54,Colección!$M$2:$M$10001,"Compra"))</f>
        <v>409.04852603997244</v>
      </c>
      <c r="L54" s="29">
        <f>IF($J54="","",SUMIFS(Colección!$K$2:$K$10001,Colección!$G$2:$G$10001,$J54,Colección!$M$2:$M$10001,"Compra"))</f>
        <v>30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customHeight="1" x14ac:dyDescent="0.25">
      <c r="A55" s="22" t="s">
        <v>6447</v>
      </c>
      <c r="B55" s="25" t="s">
        <v>6445</v>
      </c>
      <c r="C55" s="4"/>
      <c r="D55" s="4"/>
      <c r="E55" s="11"/>
      <c r="F55" s="11"/>
      <c r="G55" s="11"/>
      <c r="H55" s="4"/>
      <c r="I55" s="4"/>
      <c r="J55" s="6" t="str">
        <f>IFERROR(INDEX('Aux Graficos'!$A$2:$A$321,MATCH(21,'Aux Graficos'!$D$2:$D$321,0)),"")</f>
        <v>Khans of Tarkir</v>
      </c>
      <c r="K55" s="7">
        <f>IF($J55="","",SUMIFS(Colección!$L$2:$L$10001,Colección!$G$2:$G$10001,$J55,Colección!$M$2:$M$10001,"Compra"))</f>
        <v>384.20204045749404</v>
      </c>
      <c r="L55" s="29">
        <f>IF($J55="","",SUMIFS(Colección!$K$2:$K$10001,Colección!$G$2:$G$10001,$J55,Colección!$M$2:$M$10001,"Compra"))</f>
        <v>32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 x14ac:dyDescent="0.25">
      <c r="A56" s="6" t="str">
        <f>IFERROR(INDEX('Aux Graficos'!$J$2:$J$11,MATCH(1,'Aux Graficos'!$L$2:$L$11,0)),"")</f>
        <v>Inglés</v>
      </c>
      <c r="B56" s="29">
        <f>IF($A56="","",SUMIFS(Colección!$K$2:$K$10001,Colección!$I$2:$I$10001,$A56,Colección!$M$2:$M$10001,"Compra"))</f>
        <v>5499</v>
      </c>
      <c r="C56" s="4"/>
      <c r="D56" s="4"/>
      <c r="E56" s="11"/>
      <c r="F56" s="11"/>
      <c r="G56" s="11"/>
      <c r="H56" s="4"/>
      <c r="I56" s="4"/>
      <c r="J56" s="6" t="str">
        <f>IFERROR(INDEX('Aux Graficos'!$A$2:$A$321,MATCH(22,'Aux Graficos'!$D$2:$D$321,0)),"")</f>
        <v>Aetherdrift: Extras</v>
      </c>
      <c r="K56" s="7">
        <f>IF($J56="","",SUMIFS(Colección!$L$2:$L$10001,Colección!$G$2:$G$10001,$J56,Colección!$M$2:$M$10001,"Compra"))</f>
        <v>363.38988598821373</v>
      </c>
      <c r="L56" s="29">
        <f>IF($J56="","",SUMIFS(Colección!$K$2:$K$10001,Colección!$G$2:$G$10001,$J56,Colección!$M$2:$M$10001,"Compra"))</f>
        <v>40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" customHeight="1" x14ac:dyDescent="0.25">
      <c r="A57" s="6" t="str">
        <f>IFERROR(INDEX('Aux Graficos'!$J$2:$J$11,MATCH(2,'Aux Graficos'!$L$2:$L$11,0)),"")</f>
        <v>Japonés</v>
      </c>
      <c r="B57" s="29">
        <f>IF($A57="","",SUMIFS(Colección!$K$2:$K$10001,Colección!$I$2:$I$10001,$A57,Colección!$M$2:$M$10001,"Compra"))</f>
        <v>1098</v>
      </c>
      <c r="C57" s="4"/>
      <c r="D57" s="4"/>
      <c r="E57" s="11"/>
      <c r="F57" s="11"/>
      <c r="G57" s="11"/>
      <c r="H57" s="4"/>
      <c r="I57" s="4"/>
      <c r="J57" s="6" t="str">
        <f>IFERROR(INDEX('Aux Graficos'!$A$2:$A$321,MATCH(23,'Aux Graficos'!$D$2:$D$321,0)),"")</f>
        <v>Scars of Mirrodin</v>
      </c>
      <c r="K57" s="7">
        <f>IF($J57="","",SUMIFS(Colección!$L$2:$L$10001,Colección!$G$2:$G$10001,$J57,Colección!$M$2:$M$10001,"Compra"))</f>
        <v>352.07018272207353</v>
      </c>
      <c r="L57" s="29">
        <f>IF($J57="","",SUMIFS(Colección!$K$2:$K$10001,Colección!$G$2:$G$10001,$J57,Colección!$M$2:$M$10001,"Compra"))</f>
        <v>29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" customHeight="1" x14ac:dyDescent="0.25">
      <c r="A58" s="6" t="str">
        <f>IFERROR(INDEX('Aux Graficos'!$J$2:$J$11,MATCH(3,'Aux Graficos'!$L$2:$L$11,0)),"")</f>
        <v>Español</v>
      </c>
      <c r="B58" s="29">
        <f>IF($A58="","",SUMIFS(Colección!$K$2:$K$10001,Colección!$I$2:$I$10001,$A58,Colección!$M$2:$M$10001,"Compra"))</f>
        <v>451</v>
      </c>
      <c r="C58" s="4"/>
      <c r="D58" s="4"/>
      <c r="E58" s="11"/>
      <c r="F58" s="11"/>
      <c r="G58" s="11"/>
      <c r="H58" s="4"/>
      <c r="I58" s="4"/>
      <c r="J58" s="6" t="str">
        <f>IFERROR(INDEX('Aux Graficos'!$A$2:$A$321,MATCH(24,'Aux Graficos'!$D$2:$D$321,0)),"")</f>
        <v>Worldwake</v>
      </c>
      <c r="K58" s="7">
        <f>IF($J58="","",SUMIFS(Colección!$L$2:$L$10001,Colección!$G$2:$G$10001,$J58,Colección!$M$2:$M$10001,"Compra"))</f>
        <v>348.50185081396808</v>
      </c>
      <c r="L58" s="29">
        <f>IF($J58="","",SUMIFS(Colección!$K$2:$K$10001,Colección!$G$2:$G$10001,$J58,Colección!$M$2:$M$10001,"Compra"))</f>
        <v>22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 customHeight="1" x14ac:dyDescent="0.25">
      <c r="A59" s="6" t="str">
        <f>IFERROR(INDEX('Aux Graficos'!$J$2:$J$11,MATCH(4,'Aux Graficos'!$L$2:$L$11,0)),"")</f>
        <v>Chino-S</v>
      </c>
      <c r="B59" s="29">
        <f>IF($A59="","",SUMIFS(Colección!$K$2:$K$10001,Colección!$I$2:$I$10001,$A59,Colección!$M$2:$M$10001,"Compra"))</f>
        <v>64</v>
      </c>
      <c r="C59" s="4"/>
      <c r="D59" s="4"/>
      <c r="E59" s="11"/>
      <c r="F59" s="11"/>
      <c r="G59" s="11"/>
      <c r="H59" s="4"/>
      <c r="I59" s="4"/>
      <c r="J59" s="6" t="str">
        <f>IFERROR(INDEX('Aux Graficos'!$A$2:$A$321,MATCH(25,'Aux Graficos'!$D$2:$D$321,0)),"")</f>
        <v>Kamigawa: Neon Dynasty: Extras</v>
      </c>
      <c r="K59" s="7">
        <f>IF($J59="","",SUMIFS(Colección!$L$2:$L$10001,Colección!$G$2:$G$10001,$J59,Colección!$M$2:$M$10001,"Compra"))</f>
        <v>337.55238707253227</v>
      </c>
      <c r="L59" s="29">
        <f>IF($J59="","",SUMIFS(Colección!$K$2:$K$10001,Colección!$G$2:$G$10001,$J59,Colección!$M$2:$M$10001,"Compra"))</f>
        <v>44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customHeight="1" x14ac:dyDescent="0.25">
      <c r="A60" s="6" t="str">
        <f>IFERROR(INDEX('Aux Graficos'!$J$2:$J$11,MATCH(5,'Aux Graficos'!$L$2:$L$11,0)),"")</f>
        <v>Italiano</v>
      </c>
      <c r="B60" s="29">
        <f>IF($A60="","",SUMIFS(Colección!$K$2:$K$10001,Colección!$I$2:$I$10001,$A60,Colección!$M$2:$M$10001,"Compra"))</f>
        <v>8</v>
      </c>
      <c r="C60" s="4"/>
      <c r="D60" s="4"/>
      <c r="E60" s="11"/>
      <c r="F60" s="11"/>
      <c r="G60" s="11"/>
      <c r="H60" s="4"/>
      <c r="I60" s="4"/>
      <c r="J60" s="6" t="str">
        <f>IFERROR(INDEX('Aux Graficos'!$A$2:$A$321,MATCH(26,'Aux Graficos'!$D$2:$D$321,0)),"")</f>
        <v>Wilds of Eldraine</v>
      </c>
      <c r="K60" s="7">
        <f>IF($J60="","",SUMIFS(Colección!$L$2:$L$10001,Colección!$G$2:$G$10001,$J60,Colección!$M$2:$M$10001,"Compra"))</f>
        <v>334.94645084256621</v>
      </c>
      <c r="L60" s="29">
        <f>IF($J60="","",SUMIFS(Colección!$K$2:$K$10001,Colección!$G$2:$G$10001,$J60,Colección!$M$2:$M$10001,"Compra"))</f>
        <v>92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customHeight="1" x14ac:dyDescent="0.25">
      <c r="A61" s="6" t="str">
        <f>IFERROR(INDEX('Aux Graficos'!$J$2:$J$11,MATCH(6,'Aux Graficos'!$L$2:$L$11,0)),"")</f>
        <v>Chino-T</v>
      </c>
      <c r="B61" s="29">
        <f>IF($A61="","",SUMIFS(Colección!$K$2:$K$10001,Colección!$I$2:$I$10001,$A61,Colección!$M$2:$M$10001,"Compra"))</f>
        <v>6</v>
      </c>
      <c r="C61" s="4"/>
      <c r="D61" s="4"/>
      <c r="E61" s="11"/>
      <c r="F61" s="11"/>
      <c r="G61" s="11"/>
      <c r="H61" s="4"/>
      <c r="I61" s="4"/>
      <c r="J61" s="6" t="str">
        <f>IFERROR(INDEX('Aux Graficos'!$A$2:$A$321,MATCH(27,'Aux Graficos'!$D$2:$D$321,0)),"")</f>
        <v>Secret Lair Drop Series: 30th Anniversary Countdown</v>
      </c>
      <c r="K61" s="7">
        <f>IF($J61="","",SUMIFS(Colección!$L$2:$L$10001,Colección!$G$2:$G$10001,$J61,Colección!$M$2:$M$10001,"Compra"))</f>
        <v>315.49</v>
      </c>
      <c r="L61" s="29">
        <f>IF($J61="","",SUMIFS(Colección!$K$2:$K$10001,Colección!$G$2:$G$10001,$J61,Colección!$M$2:$M$10001,"Compra"))</f>
        <v>4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 x14ac:dyDescent="0.25">
      <c r="A62" s="6" t="str">
        <f>IFERROR(INDEX('Aux Graficos'!$J$2:$J$11,MATCH(7,'Aux Graficos'!$L$2:$L$11,0)),"")</f>
        <v>Chino</v>
      </c>
      <c r="B62" s="29">
        <f>IF($A62="","",SUMIFS(Colección!$K$2:$K$10001,Colección!$I$2:$I$10001,$A62,Colección!$M$2:$M$10001,"Compra"))</f>
        <v>5</v>
      </c>
      <c r="C62" s="4"/>
      <c r="D62" s="4"/>
      <c r="E62" s="11"/>
      <c r="F62" s="11"/>
      <c r="G62" s="11"/>
      <c r="H62" s="4"/>
      <c r="I62" s="4"/>
      <c r="J62" s="6" t="str">
        <f>IFERROR(INDEX('Aux Graficos'!$A$2:$A$321,MATCH(28,'Aux Graficos'!$D$2:$D$321,0)),"")</f>
        <v>Ravnica Remastered: Extras</v>
      </c>
      <c r="K62" s="7">
        <f>IF($J62="","",SUMIFS(Colección!$L$2:$L$10001,Colección!$G$2:$G$10001,$J62,Colección!$M$2:$M$10001,"Compra"))</f>
        <v>312.34568783074258</v>
      </c>
      <c r="L62" s="29">
        <f>IF($J62="","",SUMIFS(Colección!$K$2:$K$10001,Colección!$G$2:$G$10001,$J62,Colección!$M$2:$M$10001,"Compra"))</f>
        <v>65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customHeight="1" x14ac:dyDescent="0.25">
      <c r="A63" s="6" t="str">
        <f>IFERROR(INDEX('Aux Graficos'!$J$2:$J$11,MATCH(8,'Aux Graficos'!$L$2:$L$11,0)),"")</f>
        <v>Francés</v>
      </c>
      <c r="B63" s="29">
        <f>IF($A63="","",SUMIFS(Colección!$K$2:$K$10001,Colección!$I$2:$I$10001,$A63,Colección!$M$2:$M$10001,"Compra"))</f>
        <v>4</v>
      </c>
      <c r="C63" s="4"/>
      <c r="D63" s="4"/>
      <c r="E63" s="11"/>
      <c r="F63" s="11"/>
      <c r="G63" s="11"/>
      <c r="H63" s="4"/>
      <c r="I63" s="4"/>
      <c r="J63" s="6" t="str">
        <f>IFERROR(INDEX('Aux Graficos'!$A$2:$A$321,MATCH(29,'Aux Graficos'!$D$2:$D$321,0)),"")</f>
        <v>Duskmourn: House of Horror</v>
      </c>
      <c r="K63" s="7">
        <f>IF($J63="","",SUMIFS(Colección!$L$2:$L$10001,Colección!$G$2:$G$10001,$J63,Colección!$M$2:$M$10001,"Compra"))</f>
        <v>297.93951805330738</v>
      </c>
      <c r="L63" s="29">
        <f>IF($J63="","",SUMIFS(Colección!$K$2:$K$10001,Colección!$G$2:$G$10001,$J63,Colección!$M$2:$M$10001,"Compra"))</f>
        <v>118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customHeight="1" x14ac:dyDescent="0.25">
      <c r="A64" s="6" t="str">
        <f>IFERROR(INDEX('Aux Graficos'!$J$2:$J$11,MATCH(9,'Aux Graficos'!$L$2:$L$11,0)),"")</f>
        <v>Alemán</v>
      </c>
      <c r="B64" s="29">
        <f>IF($A64="","",SUMIFS(Colección!$K$2:$K$10001,Colección!$I$2:$I$10001,$A64,Colección!$M$2:$M$10001,"Compra"))</f>
        <v>3</v>
      </c>
      <c r="C64" s="4"/>
      <c r="D64" s="4"/>
      <c r="E64" s="11"/>
      <c r="F64" s="11"/>
      <c r="G64" s="11"/>
      <c r="H64" s="4"/>
      <c r="I64" s="4"/>
      <c r="J64" s="6" t="str">
        <f>IFERROR(INDEX('Aux Graficos'!$A$2:$A$321,MATCH(30,'Aux Graficos'!$D$2:$D$321,0)),"")</f>
        <v>Magic: The Gathering | Avatar: The Last Airbender</v>
      </c>
      <c r="K64" s="7">
        <f>IF($J64="","",SUMIFS(Colección!$L$2:$L$10001,Colección!$G$2:$G$10001,$J64,Colección!$M$2:$M$10001,"Compra"))</f>
        <v>283.28334314605428</v>
      </c>
      <c r="L64" s="29">
        <f>IF($J64="","",SUMIFS(Colección!$K$2:$K$10001,Colección!$G$2:$G$10001,$J64,Colección!$M$2:$M$10001,"Compra"))</f>
        <v>60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" customHeight="1" x14ac:dyDescent="0.25">
      <c r="A65" s="4" t="str">
        <f>IFERROR(INDEX('Aux Graficos'!$J$2:$J$11,MATCH(10,'Aux Graficos'!$L$2:$L$11,0)),"")</f>
        <v>Ruso</v>
      </c>
      <c r="B65" s="28">
        <f>IF($A65="","",SUMIFS(Colección!$K$2:$K$10001,Colección!$I$2:$I$10001,$A65,Colección!$M$2:$M$10001,"Compra"))</f>
        <v>1</v>
      </c>
      <c r="C65" s="4"/>
      <c r="D65" s="4"/>
      <c r="E65" s="11"/>
      <c r="F65" s="11"/>
      <c r="G65" s="11"/>
      <c r="H65" s="4"/>
      <c r="I65" s="4"/>
      <c r="J65" s="6" t="str">
        <f>IFERROR(INDEX('Aux Graficos'!$A$2:$A$321,MATCH(31,'Aux Graficos'!$D$2:$D$321,0)),"")</f>
        <v>Dominaria United</v>
      </c>
      <c r="K65" s="7">
        <f>IF($J65="","",SUMIFS(Colección!$L$2:$L$10001,Colección!$G$2:$G$10001,$J65,Colección!$M$2:$M$10001,"Compra"))</f>
        <v>274.51142804292215</v>
      </c>
      <c r="L65" s="29">
        <f>IF($J65="","",SUMIFS(Colección!$K$2:$K$10001,Colección!$G$2:$G$10001,$J65,Colección!$M$2:$M$10001,"Compra"))</f>
        <v>104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 x14ac:dyDescent="0.25">
      <c r="A66" s="4"/>
      <c r="B66" s="16"/>
      <c r="C66" s="4"/>
      <c r="D66" s="4"/>
      <c r="E66" s="11"/>
      <c r="F66" s="11"/>
      <c r="G66" s="11"/>
      <c r="H66" s="4"/>
      <c r="I66" s="4"/>
      <c r="J66" s="6" t="str">
        <f>IFERROR(INDEX('Aux Graficos'!$A$2:$A$321,MATCH(32,'Aux Graficos'!$D$2:$D$321,0)),"")</f>
        <v>Zendikar Rising</v>
      </c>
      <c r="K66" s="7">
        <f>IF($J66="","",SUMIFS(Colección!$L$2:$L$10001,Colección!$G$2:$G$10001,$J66,Colección!$M$2:$M$10001,"Compra"))</f>
        <v>261.7656815982985</v>
      </c>
      <c r="L66" s="29">
        <f>IF($J66="","",SUMIFS(Colección!$K$2:$K$10001,Colección!$G$2:$G$10001,$J66,Colección!$M$2:$M$10001,"Compra"))</f>
        <v>94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customHeight="1" x14ac:dyDescent="0.25">
      <c r="A67" s="4"/>
      <c r="B67" s="16"/>
      <c r="C67" s="4"/>
      <c r="D67" s="4"/>
      <c r="E67" s="11"/>
      <c r="F67" s="11"/>
      <c r="G67" s="11"/>
      <c r="H67" s="4"/>
      <c r="I67" s="4"/>
      <c r="J67" s="6" t="str">
        <f>IFERROR(INDEX('Aux Graficos'!$A$2:$A$321,MATCH(33,'Aux Graficos'!$D$2:$D$321,0)),"")</f>
        <v>Scourge</v>
      </c>
      <c r="K67" s="7">
        <f>IF($J67="","",SUMIFS(Colección!$L$2:$L$10001,Colección!$G$2:$G$10001,$J67,Colección!$M$2:$M$10001,"Compra"))</f>
        <v>253.42287589666651</v>
      </c>
      <c r="L67" s="29">
        <f>IF($J67="","",SUMIFS(Colección!$K$2:$K$10001,Colección!$G$2:$G$10001,$J67,Colección!$M$2:$M$10001,"Compra"))</f>
        <v>25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" customHeight="1" x14ac:dyDescent="0.25">
      <c r="A68" s="4"/>
      <c r="B68" s="16"/>
      <c r="C68" s="4"/>
      <c r="D68" s="4"/>
      <c r="E68" s="11"/>
      <c r="F68" s="11"/>
      <c r="G68" s="11"/>
      <c r="H68" s="4"/>
      <c r="I68" s="4"/>
      <c r="J68" s="6" t="str">
        <f>IFERROR(INDEX('Aux Graficos'!$A$2:$A$321,MATCH(34,'Aux Graficos'!$D$2:$D$321,0)),"")</f>
        <v>Accesorios</v>
      </c>
      <c r="K68" s="7">
        <f>IF($J68="","",SUMIFS(Colección!$L$2:$L$10001,Colección!$G$2:$G$10001,$J68,Colección!$M$2:$M$10001,"Compra"))</f>
        <v>252.8447836771563</v>
      </c>
      <c r="L68" s="29">
        <f>IF($J68="","",SUMIFS(Colección!$K$2:$K$10001,Colección!$G$2:$G$10001,$J68,Colección!$M$2:$M$10001,"Compra"))</f>
        <v>51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customHeight="1" x14ac:dyDescent="0.25">
      <c r="A69" s="4"/>
      <c r="B69" s="16"/>
      <c r="C69" s="4"/>
      <c r="D69" s="4"/>
      <c r="E69" s="11"/>
      <c r="F69" s="11"/>
      <c r="G69" s="11"/>
      <c r="H69" s="4"/>
      <c r="I69" s="4"/>
      <c r="J69" s="6" t="str">
        <f>IFERROR(INDEX('Aux Graficos'!$A$2:$A$321,MATCH(35,'Aux Graficos'!$D$2:$D$321,0)),"")</f>
        <v>Edge of Eternities</v>
      </c>
      <c r="K69" s="7">
        <f>IF($J69="","",SUMIFS(Colección!$L$2:$L$10001,Colección!$G$2:$G$10001,$J69,Colección!$M$2:$M$10001,"Compra"))</f>
        <v>252.46325736759877</v>
      </c>
      <c r="L69" s="29">
        <f>IF($J69="","",SUMIFS(Colección!$K$2:$K$10001,Colección!$G$2:$G$10001,$J69,Colección!$M$2:$M$10001,"Compra"))</f>
        <v>36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customHeight="1" x14ac:dyDescent="0.25">
      <c r="A70" s="4"/>
      <c r="B70" s="16"/>
      <c r="C70" s="4"/>
      <c r="D70" s="4"/>
      <c r="E70" s="11"/>
      <c r="F70" s="11"/>
      <c r="G70" s="11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" customHeight="1" x14ac:dyDescent="0.25">
      <c r="A71" s="4"/>
      <c r="B71" s="4"/>
      <c r="C71" s="4"/>
      <c r="D71" s="4"/>
      <c r="E71" s="11"/>
      <c r="F71" s="11"/>
      <c r="G71" s="1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customHeight="1" x14ac:dyDescent="0.25">
      <c r="A72" s="4"/>
      <c r="B72" s="4"/>
      <c r="C72" s="4"/>
      <c r="D72" s="4"/>
      <c r="E72" s="11"/>
      <c r="F72" s="11"/>
      <c r="G72" s="1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customHeight="1" x14ac:dyDescent="0.25">
      <c r="A73" s="4"/>
      <c r="B73" s="4"/>
      <c r="C73" s="4"/>
      <c r="D73" s="4"/>
      <c r="E73" s="11"/>
      <c r="F73" s="11"/>
      <c r="G73" s="1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customHeight="1" x14ac:dyDescent="0.25">
      <c r="A74" s="4"/>
      <c r="B74" s="4"/>
      <c r="C74" s="4"/>
      <c r="D74" s="4"/>
      <c r="E74" s="11"/>
      <c r="F74" s="11"/>
      <c r="G74" s="1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.95" customHeight="1" x14ac:dyDescent="0.25">
      <c r="A75" s="5"/>
      <c r="B75" s="4"/>
      <c r="C75" s="4"/>
      <c r="D75" s="4"/>
      <c r="E75" s="11"/>
      <c r="F75" s="11"/>
      <c r="G75" s="1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" customHeight="1" x14ac:dyDescent="0.25">
      <c r="A76" s="22" t="s">
        <v>6448</v>
      </c>
      <c r="B76" s="22"/>
      <c r="C76" s="4"/>
      <c r="D76" s="4"/>
      <c r="E76" s="11"/>
      <c r="F76" s="11"/>
      <c r="G76" s="1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 x14ac:dyDescent="0.25">
      <c r="A77" s="22" t="s">
        <v>3404</v>
      </c>
      <c r="B77" s="25" t="s">
        <v>3410</v>
      </c>
      <c r="C77" s="4"/>
      <c r="D77" s="4"/>
      <c r="E77" s="11"/>
      <c r="F77" s="11"/>
      <c r="G77" s="1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customHeight="1" x14ac:dyDescent="0.25">
      <c r="A78" s="6" t="str">
        <f>IFERROR(INDEX('Aux Graficos'!$F$2:$F$2353,MATCH(1,'Aux Graficos'!$H$2:$H$2353,0)),"")</f>
        <v>City of Traitors</v>
      </c>
      <c r="B78" s="7">
        <f>IF($A78="","",SUMIFS(Colección!$L$2:$L$10001,Colección!$F$2:$F$10001,$A78,Colección!$M$2:$M$10001,"Compra"))</f>
        <v>1293.9699999999998</v>
      </c>
      <c r="C78" s="4"/>
      <c r="D78" s="4"/>
      <c r="E78" s="11"/>
      <c r="F78" s="11"/>
      <c r="G78" s="1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customHeight="1" x14ac:dyDescent="0.25">
      <c r="A79" s="6" t="str">
        <f>IFERROR(INDEX('Aux Graficos'!$F$2:$F$2353,MATCH(2,'Aux Graficos'!$H$2:$H$2353,0)),"")</f>
        <v>Serra's Sanctum</v>
      </c>
      <c r="B79" s="7">
        <f>IF($A79="","",SUMIFS(Colección!$L$2:$L$10001,Colección!$F$2:$F$10001,$A79,Colección!$M$2:$M$10001,"Compra"))</f>
        <v>1030</v>
      </c>
      <c r="C79" s="4"/>
      <c r="D79" s="4"/>
      <c r="E79" s="11"/>
      <c r="F79" s="11"/>
      <c r="G79" s="1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customHeight="1" x14ac:dyDescent="0.25">
      <c r="A80" s="6" t="str">
        <f>IFERROR(INDEX('Aux Graficos'!$F$2:$F$2353,MATCH(3,'Aux Graficos'!$H$2:$H$2353,0)),"")</f>
        <v>Underground Sea</v>
      </c>
      <c r="B80" s="7">
        <f>IF($A80="","",SUMIFS(Colección!$L$2:$L$10001,Colección!$F$2:$F$10001,$A80,Colección!$M$2:$M$10001,"Compra"))</f>
        <v>600</v>
      </c>
      <c r="C80" s="4"/>
      <c r="D80" s="4"/>
      <c r="E80" s="11"/>
      <c r="F80" s="11"/>
      <c r="G80" s="1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customHeight="1" x14ac:dyDescent="0.25">
      <c r="A81" s="6" t="str">
        <f>IFERROR(INDEX('Aux Graficos'!$F$2:$F$2353,MATCH(4,'Aux Graficos'!$H$2:$H$2353,0)),"")</f>
        <v>Scrubland</v>
      </c>
      <c r="B81" s="7">
        <f>IF($A81="","",SUMIFS(Colección!$L$2:$L$10001,Colección!$F$2:$F$10001,$A81,Colección!$M$2:$M$10001,"Compra"))</f>
        <v>425</v>
      </c>
      <c r="C81" s="4"/>
      <c r="D81" s="4"/>
      <c r="E81" s="11"/>
      <c r="F81" s="11"/>
      <c r="G81" s="1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customHeight="1" x14ac:dyDescent="0.25">
      <c r="A82" s="6" t="str">
        <f>IFERROR(INDEX('Aux Graficos'!$F$2:$F$2353,MATCH(5,'Aux Graficos'!$H$2:$H$2353,0)),"")</f>
        <v>Flooded Strand</v>
      </c>
      <c r="B82" s="7">
        <f>IF($A82="","",SUMIFS(Colección!$L$2:$L$10001,Colección!$F$2:$F$10001,$A82,Colección!$M$2:$M$10001,"Compra"))</f>
        <v>393.35597593186452</v>
      </c>
      <c r="C82" s="4"/>
      <c r="D82" s="4"/>
      <c r="E82" s="11"/>
      <c r="F82" s="11"/>
      <c r="G82" s="1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customHeight="1" x14ac:dyDescent="0.25">
      <c r="A83" s="6" t="str">
        <f>IFERROR(INDEX('Aux Graficos'!$F$2:$F$2353,MATCH(6,'Aux Graficos'!$H$2:$H$2353,0)),"")</f>
        <v>Vivi Ornitier (V.1)</v>
      </c>
      <c r="B83" s="7">
        <f>IF($A83="","",SUMIFS(Colección!$L$2:$L$10001,Colección!$F$2:$F$10001,$A83,Colección!$M$2:$M$10001,"Compra"))</f>
        <v>324.79000000000002</v>
      </c>
      <c r="C83" s="4"/>
      <c r="D83" s="4"/>
      <c r="E83" s="11"/>
      <c r="F83" s="11"/>
      <c r="G83" s="1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customHeight="1" x14ac:dyDescent="0.25">
      <c r="A84" s="6" t="str">
        <f>IFERROR(INDEX('Aux Graficos'!$F$2:$F$2353,MATCH(7,'Aux Graficos'!$H$2:$H$2353,0)),"")</f>
        <v>Wooded Foothills</v>
      </c>
      <c r="B84" s="7">
        <f>IF($A84="","",SUMIFS(Colección!$L$2:$L$10001,Colección!$F$2:$F$10001,$A84,Colección!$M$2:$M$10001,"Compra"))</f>
        <v>323.41572815533982</v>
      </c>
      <c r="C84" s="4"/>
      <c r="D84" s="4"/>
      <c r="E84" s="11"/>
      <c r="F84" s="11"/>
      <c r="G84" s="1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" customHeight="1" x14ac:dyDescent="0.25">
      <c r="A85" s="6" t="str">
        <f>IFERROR(INDEX('Aux Graficos'!$F$2:$F$2353,MATCH(8,'Aux Graficos'!$H$2:$H$2353,0)),"")</f>
        <v>Chrome Mox</v>
      </c>
      <c r="B85" s="7">
        <f>IF($A85="","",SUMIFS(Colección!$L$2:$L$10001,Colección!$F$2:$F$10001,$A85,Colección!$M$2:$M$10001,"Compra"))</f>
        <v>315.49</v>
      </c>
      <c r="C85" s="4"/>
      <c r="D85" s="4"/>
      <c r="E85" s="11"/>
      <c r="F85" s="11"/>
      <c r="G85" s="1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customHeight="1" x14ac:dyDescent="0.25">
      <c r="A86" s="6" t="str">
        <f>IFERROR(INDEX('Aux Graficos'!$F$2:$F$2353,MATCH(9,'Aux Graficos'!$H$2:$H$2353,0)),"")</f>
        <v>Mox Opal</v>
      </c>
      <c r="B86" s="7">
        <f>IF($A86="","",SUMIFS(Colección!$L$2:$L$10001,Colección!$F$2:$F$10001,$A86,Colección!$M$2:$M$10001,"Compra"))</f>
        <v>296.72727272727275</v>
      </c>
      <c r="C86" s="4"/>
      <c r="D86" s="4"/>
      <c r="E86" s="11"/>
      <c r="F86" s="11"/>
      <c r="G86" s="1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" customHeight="1" x14ac:dyDescent="0.25">
      <c r="A87" s="6" t="str">
        <f>IFERROR(INDEX('Aux Graficos'!$F$2:$F$2353,MATCH(10,'Aux Graficos'!$H$2:$H$2353,0)),"")</f>
        <v>Orcish Bowmasters</v>
      </c>
      <c r="B87" s="7">
        <f>IF($A87="","",SUMIFS(Colección!$L$2:$L$10001,Colección!$F$2:$F$10001,$A87,Colección!$M$2:$M$10001,"Compra"))</f>
        <v>272.64999999999998</v>
      </c>
      <c r="C87" s="4"/>
      <c r="D87" s="4"/>
      <c r="E87" s="11"/>
      <c r="F87" s="11"/>
      <c r="G87" s="1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" customHeight="1" x14ac:dyDescent="0.25">
      <c r="A88" s="6" t="str">
        <f>IFERROR(INDEX('Aux Graficos'!$F$2:$F$2353,MATCH(11,'Aux Graficos'!$H$2:$H$2353,0)),"")</f>
        <v>Bloodstained Mire</v>
      </c>
      <c r="B88" s="7">
        <f>IF($A88="","",SUMIFS(Colección!$L$2:$L$10001,Colección!$F$2:$F$10001,$A88,Colección!$M$2:$M$10001,"Compra"))</f>
        <v>268.3757281553398</v>
      </c>
      <c r="C88" s="4"/>
      <c r="D88" s="4"/>
      <c r="E88" s="11"/>
      <c r="F88" s="11"/>
      <c r="G88" s="1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" customHeight="1" x14ac:dyDescent="0.25">
      <c r="A89" s="6" t="str">
        <f>IFERROR(INDEX('Aux Graficos'!$F$2:$F$2353,MATCH(12,'Aux Graficos'!$H$2:$H$2353,0)),"")</f>
        <v>Agatha's Soul Cauldron</v>
      </c>
      <c r="B89" s="7">
        <f>IF($A89="","",SUMIFS(Colección!$L$2:$L$10001,Colección!$F$2:$F$10001,$A89,Colección!$M$2:$M$10001,"Compra"))</f>
        <v>266.25</v>
      </c>
      <c r="C89" s="4"/>
      <c r="D89" s="4"/>
      <c r="E89" s="11"/>
      <c r="F89" s="11"/>
      <c r="G89" s="1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" customHeight="1" x14ac:dyDescent="0.25">
      <c r="A90" s="6" t="str">
        <f>IFERROR(INDEX('Aux Graficos'!$F$2:$F$2353,MATCH(13,'Aux Graficos'!$H$2:$H$2353,0)),"")</f>
        <v>Badgermole Cub</v>
      </c>
      <c r="B90" s="7">
        <f>IF($A90="","",SUMIFS(Colección!$L$2:$L$10001,Colección!$F$2:$F$10001,$A90,Colección!$M$2:$M$10001,"Compra"))</f>
        <v>241.8191208923003</v>
      </c>
      <c r="C90" s="4"/>
      <c r="D90" s="4"/>
      <c r="E90" s="11"/>
      <c r="F90" s="11"/>
      <c r="G90" s="11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customHeight="1" x14ac:dyDescent="0.25">
      <c r="A91" s="6" t="str">
        <f>IFERROR(INDEX('Aux Graficos'!$F$2:$F$2353,MATCH(14,'Aux Graficos'!$H$2:$H$2353,0)),"")</f>
        <v>Arcane Box Set</v>
      </c>
      <c r="B91" s="7">
        <f>IF($A91="","",SUMIFS(Colección!$L$2:$L$10001,Colección!$F$2:$F$10001,$A91,Colección!$M$2:$M$10001,"Compra"))</f>
        <v>237.57916666666671</v>
      </c>
      <c r="C91" s="4"/>
      <c r="D91" s="4"/>
      <c r="E91" s="11"/>
      <c r="F91" s="11"/>
      <c r="G91" s="1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customHeight="1" x14ac:dyDescent="0.25">
      <c r="A92" s="6" t="str">
        <f>IFERROR(INDEX('Aux Graficos'!$F$2:$F$2353,MATCH(15,'Aux Graficos'!$H$2:$H$2353,0)),"")</f>
        <v>Worlds Bundle 2025</v>
      </c>
      <c r="B92" s="7">
        <f>IF($A92="","",SUMIFS(Colección!$L$2:$L$10001,Colección!$F$2:$F$10001,$A92,Colección!$M$2:$M$10001,"Compra"))</f>
        <v>236</v>
      </c>
      <c r="C92" s="4"/>
      <c r="D92" s="4"/>
      <c r="E92" s="11"/>
      <c r="F92" s="11"/>
      <c r="G92" s="1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customHeight="1" x14ac:dyDescent="0.25">
      <c r="A93" s="6" t="str">
        <f>IFERROR(INDEX('Aux Graficos'!$F$2:$F$2353,MATCH(16,'Aux Graficos'!$H$2:$H$2353,0)),"")</f>
        <v>Ocelot Pride (V.1)</v>
      </c>
      <c r="B93" s="7">
        <f>IF($A93="","",SUMIFS(Colección!$L$2:$L$10001,Colección!$F$2:$F$10001,$A93,Colección!$M$2:$M$10001,"Compra"))</f>
        <v>232.96278916469259</v>
      </c>
      <c r="C93" s="4"/>
      <c r="D93" s="4"/>
      <c r="E93" s="11"/>
      <c r="F93" s="11"/>
      <c r="G93" s="11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customHeight="1" x14ac:dyDescent="0.25">
      <c r="A94" s="6" t="str">
        <f>IFERROR(INDEX('Aux Graficos'!$F$2:$F$2353,MATCH(17,'Aux Graficos'!$H$2:$H$2353,0)),"")</f>
        <v>Fury [Playset]</v>
      </c>
      <c r="B94" s="7">
        <f>IF($A94="","",SUMIFS(Colección!$L$2:$L$10001,Colección!$F$2:$F$10001,$A94,Colección!$M$2:$M$10001,"Compra"))</f>
        <v>223.7</v>
      </c>
      <c r="C94" s="4"/>
      <c r="D94" s="4"/>
      <c r="E94" s="11"/>
      <c r="F94" s="11"/>
      <c r="G94" s="11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customHeight="1" x14ac:dyDescent="0.25">
      <c r="A95" s="6" t="str">
        <f>IFERROR(INDEX('Aux Graficos'!$F$2:$F$2353,MATCH(18,'Aux Graficos'!$H$2:$H$2353,0)),"")</f>
        <v>Grief [Playset]</v>
      </c>
      <c r="B95" s="7">
        <f>IF($A95="","",SUMIFS(Colección!$L$2:$L$10001,Colección!$F$2:$F$10001,$A95,Colección!$M$2:$M$10001,"Compra"))</f>
        <v>213.62541062801932</v>
      </c>
      <c r="C95" s="4"/>
      <c r="D95" s="4"/>
      <c r="E95" s="11"/>
      <c r="F95" s="11"/>
      <c r="G95" s="11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" customHeight="1" x14ac:dyDescent="0.25">
      <c r="A96" s="6" t="str">
        <f>IFERROR(INDEX('Aux Graficos'!$F$2:$F$2353,MATCH(19,'Aux Graficos'!$H$2:$H$2353,0)),"")</f>
        <v>Force of Will</v>
      </c>
      <c r="B96" s="7">
        <f>IF($A96="","",SUMIFS(Colección!$L$2:$L$10001,Colección!$F$2:$F$10001,$A96,Colección!$M$2:$M$10001,"Compra"))</f>
        <v>212.91</v>
      </c>
      <c r="C96" s="4"/>
      <c r="D96" s="4"/>
      <c r="E96" s="11"/>
      <c r="F96" s="11"/>
      <c r="G96" s="11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" customHeight="1" x14ac:dyDescent="0.25">
      <c r="A97" s="6" t="str">
        <f>IFERROR(INDEX('Aux Graficos'!$F$2:$F$2353,MATCH(20,'Aux Graficos'!$H$2:$H$2353,0)),"")</f>
        <v>Phlage, Titan of Fire's Fury (V.1)</v>
      </c>
      <c r="B97" s="7">
        <f>IF($A97="","",SUMIFS(Colección!$L$2:$L$10001,Colección!$F$2:$F$10001,$A97,Colección!$M$2:$M$10001,"Compra"))</f>
        <v>208.81</v>
      </c>
      <c r="C97" s="4"/>
      <c r="D97" s="4"/>
      <c r="E97" s="11"/>
      <c r="F97" s="11"/>
      <c r="G97" s="11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customHeight="1" x14ac:dyDescent="0.25">
      <c r="A98" s="6" t="str">
        <f>IFERROR(INDEX('Aux Graficos'!$F$2:$F$2353,MATCH(21,'Aux Graficos'!$H$2:$H$2353,0)),"")</f>
        <v>Ragavan, Nimble Pilferer [Playset]</v>
      </c>
      <c r="B98" s="7">
        <f>IF($A98="","",SUMIFS(Colección!$L$2:$L$10001,Colección!$F$2:$F$10001,$A98,Colección!$M$2:$M$10001,"Compra"))</f>
        <v>207.48</v>
      </c>
      <c r="C98" s="4"/>
      <c r="D98" s="4"/>
      <c r="E98" s="11"/>
      <c r="F98" s="11"/>
      <c r="G98" s="11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" customHeight="1" x14ac:dyDescent="0.25">
      <c r="A99" s="6" t="str">
        <f>IFERROR(INDEX('Aux Graficos'!$F$2:$F$2353,MATCH(22,'Aux Graficos'!$H$2:$H$2353,0)),"")</f>
        <v>Swords to Plowshares</v>
      </c>
      <c r="B99" s="7">
        <f>IF($A99="","",SUMIFS(Colección!$L$2:$L$10001,Colección!$F$2:$F$10001,$A99,Colección!$M$2:$M$10001,"Compra"))</f>
        <v>205.72</v>
      </c>
      <c r="C99" s="4"/>
      <c r="D99" s="4"/>
      <c r="E99" s="11"/>
      <c r="F99" s="11"/>
      <c r="G99" s="11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" customHeight="1" x14ac:dyDescent="0.25">
      <c r="A100" s="6" t="str">
        <f>IFERROR(INDEX('Aux Graficos'!$F$2:$F$2353,MATCH(23,'Aux Graficos'!$H$2:$H$2353,0)),"")</f>
        <v>Intuition</v>
      </c>
      <c r="B100" s="7">
        <f>IF($A100="","",SUMIFS(Colección!$L$2:$L$10001,Colección!$F$2:$F$10001,$A100,Colección!$M$2:$M$10001,"Compra"))</f>
        <v>200</v>
      </c>
      <c r="C100" s="4"/>
      <c r="D100" s="4"/>
      <c r="E100" s="11"/>
      <c r="F100" s="11"/>
      <c r="G100" s="1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" customHeight="1" x14ac:dyDescent="0.25">
      <c r="A101" s="6" t="str">
        <f>IFERROR(INDEX('Aux Graficos'!$F$2:$F$2353,MATCH(24,'Aux Graficos'!$H$2:$H$2353,0)),"")</f>
        <v>Solitude [Playset]</v>
      </c>
      <c r="B101" s="7">
        <f>IF($A101="","",SUMIFS(Colección!$L$2:$L$10001,Colección!$F$2:$F$10001,$A101,Colección!$M$2:$M$10001,"Compra"))</f>
        <v>192.2265625</v>
      </c>
      <c r="C101" s="4"/>
      <c r="D101" s="4"/>
      <c r="E101" s="11"/>
      <c r="F101" s="11"/>
      <c r="G101" s="1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customHeight="1" x14ac:dyDescent="0.25">
      <c r="A102" s="6" t="str">
        <f>IFERROR(INDEX('Aux Graficos'!$F$2:$F$2353,MATCH(25,'Aux Graficos'!$H$2:$H$2353,0)),"")</f>
        <v>Endurance</v>
      </c>
      <c r="B102" s="7">
        <f>IF($A102="","",SUMIFS(Colección!$L$2:$L$10001,Colección!$F$2:$F$10001,$A102,Colección!$M$2:$M$10001,"Compra"))</f>
        <v>187.79000000000002</v>
      </c>
      <c r="C102" s="4"/>
      <c r="D102" s="4"/>
      <c r="E102" s="11"/>
      <c r="F102" s="11"/>
      <c r="G102" s="1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customHeight="1" x14ac:dyDescent="0.25">
      <c r="A103" s="6" t="str">
        <f>IFERROR(INDEX('Aux Graficos'!$F$2:$F$2353,MATCH(26,'Aux Graficos'!$H$2:$H$2353,0)),"")</f>
        <v>Force of Negation (V.1)</v>
      </c>
      <c r="B103" s="7">
        <f>IF($A103="","",SUMIFS(Colección!$L$2:$L$10001,Colección!$F$2:$F$10001,$A103,Colección!$M$2:$M$10001,"Compra"))</f>
        <v>176.05</v>
      </c>
      <c r="C103" s="4"/>
      <c r="D103" s="4"/>
      <c r="E103" s="11"/>
      <c r="F103" s="11"/>
      <c r="G103" s="1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customHeight="1" x14ac:dyDescent="0.25">
      <c r="A104" s="6" t="str">
        <f>IFERROR(INDEX('Aux Graficos'!$F$2:$F$2353,MATCH(27,'Aux Graficos'!$H$2:$H$2353,0)),"")</f>
        <v>Ragavan, Nimble Pilferer</v>
      </c>
      <c r="B104" s="7">
        <f>IF($A104="","",SUMIFS(Colección!$L$2:$L$10001,Colección!$F$2:$F$10001,$A104,Colección!$M$2:$M$10001,"Compra"))</f>
        <v>175.04</v>
      </c>
      <c r="C104" s="4"/>
      <c r="D104" s="4"/>
      <c r="E104" s="11"/>
      <c r="F104" s="11"/>
      <c r="G104" s="1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customHeight="1" x14ac:dyDescent="0.25">
      <c r="A105" s="6" t="str">
        <f>IFERROR(INDEX('Aux Graficos'!$F$2:$F$2353,MATCH(28,'Aux Graficos'!$H$2:$H$2353,0)),"")</f>
        <v>Scalding Tarn (V.1)</v>
      </c>
      <c r="B105" s="7">
        <f>IF($A105="","",SUMIFS(Colección!$L$2:$L$10001,Colección!$F$2:$F$10001,$A105,Colección!$M$2:$M$10001,"Compra"))</f>
        <v>174.108197581779</v>
      </c>
      <c r="C105" s="4"/>
      <c r="D105" s="4"/>
      <c r="E105" s="11"/>
      <c r="F105" s="11"/>
      <c r="G105" s="1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" customHeight="1" x14ac:dyDescent="0.25">
      <c r="A106" s="6" t="str">
        <f>IFERROR(INDEX('Aux Graficos'!$F$2:$F$2353,MATCH(29,'Aux Graficos'!$H$2:$H$2353,0)),"")</f>
        <v>Misty Rainforest (V.1)</v>
      </c>
      <c r="B106" s="7">
        <f>IF($A106="","",SUMIFS(Colección!$L$2:$L$10001,Colección!$F$2:$F$10001,$A106,Colección!$M$2:$M$10001,"Compra"))</f>
        <v>171.25564814814811</v>
      </c>
      <c r="C106" s="4"/>
      <c r="D106" s="4"/>
      <c r="E106" s="11"/>
      <c r="F106" s="11"/>
      <c r="G106" s="1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" customHeight="1" x14ac:dyDescent="0.25">
      <c r="A107" s="6" t="str">
        <f>IFERROR(INDEX('Aux Graficos'!$F$2:$F$2353,MATCH(30,'Aux Graficos'!$H$2:$H$2353,0)),"")</f>
        <v>Teferi, Time Raveler</v>
      </c>
      <c r="B107" s="7">
        <f>IF($A107="","",SUMIFS(Colección!$L$2:$L$10001,Colección!$F$2:$F$10001,$A107,Colección!$M$2:$M$10001,"Compra"))</f>
        <v>162.89943706000457</v>
      </c>
      <c r="C107" s="4"/>
      <c r="D107" s="4"/>
      <c r="E107" s="11"/>
      <c r="F107" s="11"/>
      <c r="G107" s="1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" customHeight="1" x14ac:dyDescent="0.25">
      <c r="A108" s="6" t="str">
        <f>IFERROR(INDEX('Aux Graficos'!$F$2:$F$2353,MATCH(31,'Aux Graficos'!$H$2:$H$2353,0)),"")</f>
        <v>Prismatic Vista (V.1)</v>
      </c>
      <c r="B108" s="7">
        <f>IF($A108="","",SUMIFS(Colección!$L$2:$L$10001,Colección!$F$2:$F$10001,$A108,Colección!$M$2:$M$10001,"Compra"))</f>
        <v>160.55000000000001</v>
      </c>
      <c r="C108" s="4"/>
      <c r="D108" s="4"/>
      <c r="E108" s="11"/>
      <c r="F108" s="11"/>
      <c r="G108" s="1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" customHeight="1" x14ac:dyDescent="0.25">
      <c r="A109" s="6" t="str">
        <f>IFERROR(INDEX('Aux Graficos'!$F$2:$F$2353,MATCH(32,'Aux Graficos'!$H$2:$H$2353,0)),"")</f>
        <v>Wrenn and Six (V.1)</v>
      </c>
      <c r="B109" s="7">
        <f>IF($A109="","",SUMIFS(Colección!$L$2:$L$10001,Colección!$F$2:$F$10001,$A109,Colección!$M$2:$M$10001,"Compra"))</f>
        <v>154.05000000000001</v>
      </c>
      <c r="C109" s="4"/>
      <c r="D109" s="4"/>
      <c r="E109" s="11"/>
      <c r="F109" s="11"/>
      <c r="G109" s="1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" customHeight="1" x14ac:dyDescent="0.25">
      <c r="A110" s="6" t="str">
        <f>IFERROR(INDEX('Aux Graficos'!$F$2:$F$2353,MATCH(33,'Aux Graficos'!$H$2:$H$2353,0)),"")</f>
        <v>Amulet of Vigor</v>
      </c>
      <c r="B110" s="7">
        <f>IF($A110="","",SUMIFS(Colección!$L$2:$L$10001,Colección!$F$2:$F$10001,$A110,Colección!$M$2:$M$10001,"Compra"))</f>
        <v>152.69</v>
      </c>
      <c r="C110" s="4"/>
      <c r="D110" s="4"/>
      <c r="E110" s="11"/>
      <c r="F110" s="11"/>
      <c r="G110" s="1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customHeight="1" x14ac:dyDescent="0.25">
      <c r="A111" s="6" t="str">
        <f>IFERROR(INDEX('Aux Graficos'!$F$2:$F$2353,MATCH(34,'Aux Graficos'!$H$2:$H$2353,0)),"")</f>
        <v>Baited Hook</v>
      </c>
      <c r="B111" s="7">
        <f>IF($A111="","",SUMIFS(Colección!$L$2:$L$10001,Colección!$F$2:$F$10001,$A111,Colección!$M$2:$M$10001,"Compra"))</f>
        <v>150.63475398108582</v>
      </c>
      <c r="C111" s="4"/>
      <c r="D111" s="4"/>
      <c r="E111" s="11"/>
      <c r="F111" s="11"/>
      <c r="G111" s="1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customHeight="1" x14ac:dyDescent="0.25">
      <c r="A112" s="4" t="str">
        <f>IFERROR(INDEX('Aux Graficos'!$F$2:$F$2353,MATCH(35,'Aux Graficos'!$H$2:$H$2353,0)),"")</f>
        <v>Stifle</v>
      </c>
      <c r="B112" s="16">
        <f>IF($A112="","",SUMIFS(Colección!$L$2:$L$10001,Colección!$F$2:$F$10001,$A112,Colección!$M$2:$M$10001,"Compra"))</f>
        <v>150</v>
      </c>
      <c r="C112" s="4"/>
      <c r="D112" s="4"/>
      <c r="E112" s="11"/>
      <c r="F112" s="11"/>
      <c r="G112" s="1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" customHeight="1" x14ac:dyDescent="0.25">
      <c r="A113" s="4"/>
      <c r="B113" s="16"/>
      <c r="C113" s="4"/>
      <c r="D113" s="4"/>
      <c r="E113" s="11"/>
      <c r="F113" s="11"/>
      <c r="G113" s="1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customHeight="1" x14ac:dyDescent="0.25">
      <c r="A114" s="4"/>
      <c r="B114" s="16"/>
      <c r="C114" s="4"/>
      <c r="D114" s="4"/>
      <c r="E114" s="11"/>
      <c r="F114" s="11"/>
      <c r="G114" s="1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" customHeight="1" x14ac:dyDescent="0.25">
      <c r="A115" s="4"/>
      <c r="B115" s="16"/>
      <c r="C115" s="4"/>
      <c r="D115" s="4"/>
      <c r="E115" s="11"/>
      <c r="F115" s="11"/>
      <c r="G115" s="1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" customHeight="1" x14ac:dyDescent="0.25">
      <c r="A116" s="4"/>
      <c r="B116" s="4"/>
      <c r="C116" s="4"/>
      <c r="D116" s="4"/>
      <c r="E116" s="11"/>
      <c r="F116" s="11"/>
      <c r="G116" s="1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" customHeight="1" x14ac:dyDescent="0.25">
      <c r="A117" s="4"/>
      <c r="B117" s="4"/>
      <c r="C117" s="4"/>
      <c r="D117" s="4"/>
      <c r="E117" s="11"/>
      <c r="F117" s="11"/>
      <c r="G117" s="1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" customHeight="1" x14ac:dyDescent="0.25">
      <c r="A118" s="4"/>
      <c r="B118" s="4"/>
      <c r="C118" s="4"/>
      <c r="D118" s="4"/>
      <c r="E118" s="11"/>
      <c r="F118" s="11"/>
      <c r="G118" s="1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" customHeight="1" x14ac:dyDescent="0.25">
      <c r="A119" s="4"/>
      <c r="B119" s="4"/>
      <c r="C119" s="4"/>
      <c r="D119" s="4"/>
      <c r="E119" s="11"/>
      <c r="F119" s="11"/>
      <c r="G119" s="1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" customHeight="1" x14ac:dyDescent="0.25">
      <c r="A120" s="4"/>
      <c r="B120" s="4"/>
      <c r="C120" s="4"/>
      <c r="D120" s="4"/>
      <c r="E120" s="11"/>
      <c r="F120" s="11"/>
      <c r="G120" s="1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" customHeight="1" x14ac:dyDescent="0.25">
      <c r="A121" s="4"/>
      <c r="B121" s="4"/>
      <c r="C121" s="4"/>
      <c r="D121" s="4"/>
      <c r="E121" s="11"/>
      <c r="F121" s="11"/>
      <c r="G121" s="1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" customHeight="1" x14ac:dyDescent="0.25">
      <c r="A122" s="4"/>
      <c r="B122" s="4"/>
      <c r="C122" s="4"/>
      <c r="D122" s="4"/>
      <c r="E122" s="11"/>
      <c r="F122" s="11"/>
      <c r="G122" s="1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" customHeight="1" x14ac:dyDescent="0.25">
      <c r="A123" s="4"/>
      <c r="B123" s="4"/>
      <c r="C123" s="4"/>
      <c r="D123" s="4"/>
      <c r="E123" s="11"/>
      <c r="F123" s="11"/>
      <c r="G123" s="1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" customHeight="1" x14ac:dyDescent="0.25">
      <c r="A124" s="4"/>
      <c r="B124" s="4"/>
      <c r="C124" s="4"/>
      <c r="D124" s="4"/>
      <c r="E124" s="11"/>
      <c r="F124" s="11"/>
      <c r="G124" s="1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" customHeight="1" x14ac:dyDescent="0.25">
      <c r="A125" s="4"/>
      <c r="B125" s="4"/>
      <c r="C125" s="4"/>
      <c r="D125" s="4"/>
      <c r="E125" s="11"/>
      <c r="F125" s="11"/>
      <c r="G125" s="1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" customHeight="1" x14ac:dyDescent="0.25">
      <c r="A126" s="4"/>
      <c r="B126" s="4"/>
      <c r="C126" s="4"/>
      <c r="D126" s="4"/>
      <c r="E126" s="11"/>
      <c r="F126" s="11"/>
      <c r="G126" s="1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" customHeight="1" x14ac:dyDescent="0.25">
      <c r="A127" s="4"/>
      <c r="B127" s="4"/>
      <c r="C127" s="4"/>
      <c r="D127" s="4"/>
      <c r="E127" s="11"/>
      <c r="F127" s="11"/>
      <c r="G127" s="1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" customHeight="1" x14ac:dyDescent="0.25">
      <c r="A128" s="4"/>
      <c r="B128" s="4"/>
      <c r="C128" s="4"/>
      <c r="D128" s="4"/>
      <c r="E128" s="11"/>
      <c r="F128" s="11"/>
      <c r="G128" s="1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" customHeight="1" x14ac:dyDescent="0.25">
      <c r="A129" s="4"/>
      <c r="B129" s="4"/>
      <c r="C129" s="4"/>
      <c r="D129" s="4"/>
      <c r="E129" s="11"/>
      <c r="F129" s="11"/>
      <c r="G129" s="1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" customHeight="1" x14ac:dyDescent="0.25">
      <c r="A130" s="4"/>
      <c r="B130" s="4"/>
      <c r="C130" s="4"/>
      <c r="D130" s="4"/>
      <c r="E130" s="11"/>
      <c r="F130" s="11"/>
      <c r="G130" s="1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" customHeight="1" x14ac:dyDescent="0.25">
      <c r="A131" s="4"/>
      <c r="B131" s="4"/>
      <c r="C131" s="4"/>
      <c r="D131" s="4"/>
      <c r="E131" s="11"/>
      <c r="F131" s="11"/>
      <c r="G131" s="1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" customHeight="1" x14ac:dyDescent="0.25">
      <c r="A132" s="4"/>
      <c r="B132" s="4"/>
      <c r="C132" s="4"/>
      <c r="D132" s="4"/>
      <c r="E132" s="11"/>
      <c r="F132" s="11"/>
      <c r="G132" s="1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" customHeight="1" x14ac:dyDescent="0.25">
      <c r="A133" s="4"/>
      <c r="B133" s="4"/>
      <c r="C133" s="4"/>
      <c r="D133" s="4"/>
      <c r="E133" s="11"/>
      <c r="F133" s="11"/>
      <c r="G133" s="1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" customHeight="1" x14ac:dyDescent="0.25">
      <c r="A134" s="4"/>
      <c r="B134" s="4"/>
      <c r="C134" s="4"/>
      <c r="D134" s="4"/>
      <c r="E134" s="11"/>
      <c r="F134" s="11"/>
      <c r="G134" s="1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" customHeight="1" x14ac:dyDescent="0.25">
      <c r="A135" s="4"/>
      <c r="B135" s="4"/>
      <c r="C135" s="4"/>
      <c r="D135" s="4"/>
      <c r="E135" s="11"/>
      <c r="F135" s="11"/>
      <c r="G135" s="1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" customHeight="1" x14ac:dyDescent="0.25">
      <c r="A136" s="4"/>
      <c r="B136" s="4"/>
      <c r="C136" s="4"/>
      <c r="D136" s="4"/>
      <c r="E136" s="11"/>
      <c r="F136" s="11"/>
      <c r="G136" s="1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" customHeight="1" x14ac:dyDescent="0.25">
      <c r="A137" s="4"/>
      <c r="B137" s="4"/>
      <c r="C137" s="4"/>
      <c r="D137" s="4"/>
      <c r="E137" s="11"/>
      <c r="F137" s="11"/>
      <c r="G137" s="1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" customHeight="1" x14ac:dyDescent="0.25">
      <c r="A138" s="4"/>
      <c r="B138" s="4"/>
      <c r="C138" s="4"/>
      <c r="D138" s="4"/>
      <c r="E138" s="11"/>
      <c r="F138" s="11"/>
      <c r="G138" s="1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" customHeight="1" x14ac:dyDescent="0.25">
      <c r="A139" s="4"/>
      <c r="B139" s="4"/>
      <c r="C139" s="4"/>
      <c r="D139" s="4"/>
      <c r="E139" s="11"/>
      <c r="F139" s="11"/>
      <c r="G139" s="1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" customHeight="1" x14ac:dyDescent="0.25">
      <c r="A140" s="4"/>
      <c r="B140" s="4"/>
      <c r="C140" s="4"/>
      <c r="D140" s="4"/>
      <c r="E140" s="11"/>
      <c r="F140" s="11"/>
      <c r="G140" s="1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</sheetData>
  <mergeCells count="2">
    <mergeCell ref="A1:C1"/>
    <mergeCell ref="A54:B5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R2353"/>
  <sheetViews>
    <sheetView workbookViewId="0">
      <selection activeCell="Q3" sqref="Q3"/>
    </sheetView>
  </sheetViews>
  <sheetFormatPr baseColWidth="10" defaultRowHeight="15" x14ac:dyDescent="0.25"/>
  <cols>
    <col min="4" max="4" width="11.85546875" bestFit="1" customWidth="1"/>
    <col min="8" max="8" width="11.85546875" bestFit="1" customWidth="1"/>
    <col min="12" max="12" width="11.85546875" bestFit="1" customWidth="1"/>
  </cols>
  <sheetData>
    <row r="1" spans="1:18" x14ac:dyDescent="0.25">
      <c r="A1" t="s">
        <v>3405</v>
      </c>
      <c r="B1" t="s">
        <v>6437</v>
      </c>
      <c r="C1" t="s">
        <v>6436</v>
      </c>
      <c r="D1" t="s">
        <v>6712</v>
      </c>
      <c r="F1" t="s">
        <v>3404</v>
      </c>
      <c r="G1" t="s">
        <v>6437</v>
      </c>
      <c r="H1" t="s">
        <v>6712</v>
      </c>
      <c r="J1" t="s">
        <v>6447</v>
      </c>
      <c r="K1" t="s">
        <v>6436</v>
      </c>
      <c r="L1" t="s">
        <v>6712</v>
      </c>
    </row>
    <row r="2" spans="1:18" x14ac:dyDescent="0.25">
      <c r="A2" t="str">
        <f>"2016 Version"</f>
        <v>2016 Version</v>
      </c>
      <c r="B2">
        <f>SUMIFS(Colección!$L$2:$L$10001,Colección!$G$2:$G$10001,$A2,Colección!$M$2:$M$10001,"Compra")</f>
        <v>7.5830703012912499</v>
      </c>
      <c r="C2">
        <f>SUMIFS(Colección!$K$2:$K$10001,Colección!$G$2:$G$10001,$A2,Colección!$M$2:$M$10001,"Compra")</f>
        <v>2</v>
      </c>
      <c r="D2">
        <f>IF($B2=0,"",_xlfn.RANK.EQ($B2,$B$2:$B$321,0)+COUNTIF($B$2:B2,$B2)-1)</f>
        <v>245</v>
      </c>
      <c r="F2" t="str">
        <f>"10 Ultimate Guard Dividers"</f>
        <v>10 Ultimate Guard Dividers</v>
      </c>
      <c r="G2">
        <f>SUMIFS(Colección!$L$2:$L$10001,Colección!$F$2:$F$10001,$F2,Colección!$M$2:$M$10001,"Compra")</f>
        <v>1.9424486803519061</v>
      </c>
      <c r="H2">
        <f>IF($G2=0,"",_xlfn.RANK.EQ($G2,$G$2:$G$2353,0)+COUNTIF($G$2:G2,$G2)-1)</f>
        <v>1382</v>
      </c>
      <c r="J2" t="str">
        <f>"Alemán"</f>
        <v>Alemán</v>
      </c>
      <c r="K2">
        <f>SUMIFS(Colección!$K$2:$K$10001,Colección!$I$2:$I$10001,$J2,Colección!$M$2:$M$10001,"Compra")</f>
        <v>3</v>
      </c>
      <c r="L2">
        <f>IF($K2=0,"",_xlfn.RANK.EQ($K2,$K$2:$K$11,0)+COUNTIF($K$2:K2,$K2)-1)</f>
        <v>9</v>
      </c>
      <c r="P2" t="s">
        <v>6713</v>
      </c>
      <c r="Q2" t="s">
        <v>6714</v>
      </c>
      <c r="R2" t="s">
        <v>6715</v>
      </c>
    </row>
    <row r="3" spans="1:18" x14ac:dyDescent="0.25">
      <c r="A3" t="str">
        <f>"30th Anniversary Celebration"</f>
        <v>30th Anniversary Celebration</v>
      </c>
      <c r="B3">
        <f>SUMIFS(Colección!$L$2:$L$10001,Colección!$G$2:$G$10001,$A3,Colección!$M$2:$M$10001,"Compra")</f>
        <v>5.5532001332001331</v>
      </c>
      <c r="C3">
        <f>SUMIFS(Colección!$K$2:$K$10001,Colección!$G$2:$G$10001,$A3,Colección!$M$2:$M$10001,"Compra")</f>
        <v>3</v>
      </c>
      <c r="D3">
        <f>IF($B3=0,"",_xlfn.RANK.EQ($B3,$B$2:$B$321,0)+COUNTIF($B$2:B3,$B3)-1)</f>
        <v>262</v>
      </c>
      <c r="F3" t="str">
        <f>"100 Dragon Shield Sleeves"</f>
        <v>100 Dragon Shield Sleeves</v>
      </c>
      <c r="G3">
        <f>SUMIFS(Colección!$L$2:$L$10001,Colección!$F$2:$F$10001,$F3,Colección!$M$2:$M$10001,"Compra")</f>
        <v>118.05667966774587</v>
      </c>
      <c r="H3">
        <f>IF($G3=0,"",_xlfn.RANK.EQ($G3,$G$2:$G$2353,0)+COUNTIF($G$2:G3,$G3)-1)</f>
        <v>59</v>
      </c>
      <c r="J3" t="str">
        <f>"Chino"</f>
        <v>Chino</v>
      </c>
      <c r="K3">
        <f>SUMIFS(Colección!$K$2:$K$10001,Colección!$I$2:$I$10001,$J3,Colección!$M$2:$M$10001,"Compra")</f>
        <v>5</v>
      </c>
      <c r="L3">
        <f>IF($K3=0,"",_xlfn.RANK.EQ($K3,$K$2:$K$11,0)+COUNTIF($K$2:K3,$K3)-1)</f>
        <v>7</v>
      </c>
    </row>
    <row r="4" spans="1:18" x14ac:dyDescent="0.25">
      <c r="A4" t="str">
        <f>"Accesorios"</f>
        <v>Accesorios</v>
      </c>
      <c r="B4">
        <f>SUMIFS(Colección!$L$2:$L$10001,Colección!$G$2:$G$10001,$A4,Colección!$M$2:$M$10001,"Compra")</f>
        <v>252.8447836771563</v>
      </c>
      <c r="C4">
        <f>SUMIFS(Colección!$K$2:$K$10001,Colección!$G$2:$G$10001,$A4,Colección!$M$2:$M$10001,"Compra")</f>
        <v>51</v>
      </c>
      <c r="D4">
        <f>IF($B4=0,"",_xlfn.RANK.EQ($B4,$B$2:$B$321,0)+COUNTIF($B$2:B4,$B4)-1)</f>
        <v>34</v>
      </c>
      <c r="F4" t="str">
        <f>"100 Gamegenic Just Sleeves Inner Sleeves"</f>
        <v>100 Gamegenic Just Sleeves Inner Sleeves</v>
      </c>
      <c r="G4">
        <f>SUMIFS(Colección!$L$2:$L$10001,Colección!$F$2:$F$10001,$F4,Colección!$M$2:$M$10001,"Compra")</f>
        <v>14.31</v>
      </c>
      <c r="H4">
        <f>IF($G4=0,"",_xlfn.RANK.EQ($G4,$G$2:$G$2353,0)+COUNTIF($G$2:G4,$G4)-1)</f>
        <v>521</v>
      </c>
      <c r="J4" t="str">
        <f>"Chino-S"</f>
        <v>Chino-S</v>
      </c>
      <c r="K4">
        <f>SUMIFS(Colección!$K$2:$K$10001,Colección!$I$2:$I$10001,$J4,Colección!$M$2:$M$10001,"Compra")</f>
        <v>64</v>
      </c>
      <c r="L4">
        <f>IF($K4=0,"",_xlfn.RANK.EQ($K4,$K$2:$K$11,0)+COUNTIF($K$2:K4,$K4)-1)</f>
        <v>4</v>
      </c>
    </row>
    <row r="5" spans="1:18" x14ac:dyDescent="0.25">
      <c r="A5" t="str">
        <f>"Adventures in the Forgotten Realms"</f>
        <v>Adventures in the Forgotten Realms</v>
      </c>
      <c r="B5">
        <f>SUMIFS(Colección!$L$2:$L$10001,Colección!$G$2:$G$10001,$A5,Colección!$M$2:$M$10001,"Compra")</f>
        <v>74.958987476642321</v>
      </c>
      <c r="C5">
        <f>SUMIFS(Colección!$K$2:$K$10001,Colección!$G$2:$G$10001,$A5,Colección!$M$2:$M$10001,"Compra")</f>
        <v>35</v>
      </c>
      <c r="D5">
        <f>IF($B5=0,"",_xlfn.RANK.EQ($B5,$B$2:$B$321,0)+COUNTIF($B$2:B5,$B5)-1)</f>
        <v>111</v>
      </c>
      <c r="F5" t="str">
        <f>"100 KMC Perfect Sized Sleeves"</f>
        <v>100 KMC Perfect Sized Sleeves</v>
      </c>
      <c r="G5">
        <f>SUMIFS(Colección!$L$2:$L$10001,Colección!$F$2:$F$10001,$F5,Colección!$M$2:$M$10001,"Compra")</f>
        <v>65.014888770958379</v>
      </c>
      <c r="H5">
        <f>IF($G5=0,"",_xlfn.RANK.EQ($G5,$G$2:$G$2353,0)+COUNTIF($G$2:G5,$G5)-1)</f>
        <v>128</v>
      </c>
      <c r="J5" t="str">
        <f>"Chino-T"</f>
        <v>Chino-T</v>
      </c>
      <c r="K5">
        <f>SUMIFS(Colección!$K$2:$K$10001,Colección!$I$2:$I$10001,$J5,Colección!$M$2:$M$10001,"Compra")</f>
        <v>6</v>
      </c>
      <c r="L5">
        <f>IF($K5=0,"",_xlfn.RANK.EQ($K5,$K$2:$K$11,0)+COUNTIF($K$2:K5,$K5)-1)</f>
        <v>6</v>
      </c>
    </row>
    <row r="6" spans="1:18" x14ac:dyDescent="0.25">
      <c r="A6" t="str">
        <f>"Adventures in the Forgotten Realms: Extras"</f>
        <v>Adventures in the Forgotten Realms: Extras</v>
      </c>
      <c r="B6">
        <f>SUMIFS(Colección!$L$2:$L$10001,Colección!$G$2:$G$10001,$A6,Colección!$M$2:$M$10001,"Compra")</f>
        <v>21.442507856693901</v>
      </c>
      <c r="C6">
        <f>SUMIFS(Colección!$K$2:$K$10001,Colección!$G$2:$G$10001,$A6,Colección!$M$2:$M$10001,"Compra")</f>
        <v>4</v>
      </c>
      <c r="D6">
        <f>IF($B6=0,"",_xlfn.RANK.EQ($B6,$B$2:$B$321,0)+COUNTIF($B$2:B6,$B6)-1)</f>
        <v>202</v>
      </c>
      <c r="F6" t="str">
        <f>"100 Ultra Pro PLATINUM Nine Pocket Pages"</f>
        <v>100 Ultra Pro PLATINUM Nine Pocket Pages</v>
      </c>
      <c r="G6">
        <f>SUMIFS(Colección!$L$2:$L$10001,Colección!$F$2:$F$10001,$F6,Colección!$M$2:$M$10001,"Compra")</f>
        <v>22.57772963604852</v>
      </c>
      <c r="H6">
        <f>IF($G6=0,"",_xlfn.RANK.EQ($G6,$G$2:$G$2353,0)+COUNTIF($G$2:G6,$G6)-1)</f>
        <v>347</v>
      </c>
      <c r="J6" t="str">
        <f>"Español"</f>
        <v>Español</v>
      </c>
      <c r="K6">
        <f>SUMIFS(Colección!$K$2:$K$10001,Colección!$I$2:$I$10001,$J6,Colección!$M$2:$M$10001,"Compra")</f>
        <v>451</v>
      </c>
      <c r="L6">
        <f>IF($K6=0,"",_xlfn.RANK.EQ($K6,$K$2:$K$11,0)+COUNTIF($K$2:K6,$K6)-1)</f>
        <v>3</v>
      </c>
    </row>
    <row r="7" spans="1:18" x14ac:dyDescent="0.25">
      <c r="A7" t="str">
        <f>"Adventures in the Forgotten Realms: Promos"</f>
        <v>Adventures in the Forgotten Realms: Promos</v>
      </c>
      <c r="B7">
        <f>SUMIFS(Colección!$L$2:$L$10001,Colección!$G$2:$G$10001,$A7,Colección!$M$2:$M$10001,"Compra")</f>
        <v>1.648439306358382</v>
      </c>
      <c r="C7">
        <f>SUMIFS(Colección!$K$2:$K$10001,Colección!$G$2:$G$10001,$A7,Colección!$M$2:$M$10001,"Compra")</f>
        <v>1</v>
      </c>
      <c r="D7">
        <f>IF($B7=0,"",_xlfn.RANK.EQ($B7,$B$2:$B$321,0)+COUNTIF($B$2:B7,$B7)-1)</f>
        <v>292</v>
      </c>
      <c r="F7" t="str">
        <f>"Abandon"</f>
        <v>Abandon</v>
      </c>
      <c r="G7">
        <f>SUMIFS(Colección!$L$2:$L$10001,Colección!$F$2:$F$10001,$F7,Colección!$M$2:$M$10001,"Compra")</f>
        <v>9.2493670886075954</v>
      </c>
      <c r="H7">
        <f>IF($G7=0,"",_xlfn.RANK.EQ($G7,$G$2:$G$2353,0)+COUNTIF($G$2:G7,$G7)-1)</f>
        <v>691</v>
      </c>
      <c r="J7" t="str">
        <f>"Francés"</f>
        <v>Francés</v>
      </c>
      <c r="K7">
        <f>SUMIFS(Colección!$K$2:$K$10001,Colección!$I$2:$I$10001,$J7,Colección!$M$2:$M$10001,"Compra")</f>
        <v>4</v>
      </c>
      <c r="L7">
        <f>IF($K7=0,"",_xlfn.RANK.EQ($K7,$K$2:$K$11,0)+COUNTIF($K$2:K7,$K7)-1)</f>
        <v>8</v>
      </c>
    </row>
    <row r="8" spans="1:18" x14ac:dyDescent="0.25">
      <c r="A8" t="str">
        <f>"Aether Revolt"</f>
        <v>Aether Revolt</v>
      </c>
      <c r="B8">
        <f>SUMIFS(Colección!$L$2:$L$10001,Colección!$G$2:$G$10001,$A8,Colección!$M$2:$M$10001,"Compra")</f>
        <v>201.79916417579025</v>
      </c>
      <c r="C8">
        <f>SUMIFS(Colección!$K$2:$K$10001,Colección!$G$2:$G$10001,$A8,Colección!$M$2:$M$10001,"Compra")</f>
        <v>24</v>
      </c>
      <c r="D8">
        <f>IF($B8=0,"",_xlfn.RANK.EQ($B8,$B$2:$B$321,0)+COUNTIF($B$2:B8,$B8)-1)</f>
        <v>48</v>
      </c>
      <c r="F8" t="str">
        <f>"Abandon Attachments"</f>
        <v>Abandon Attachments</v>
      </c>
      <c r="G8">
        <f>SUMIFS(Colección!$L$2:$L$10001,Colección!$F$2:$F$10001,$F8,Colección!$M$2:$M$10001,"Compra")</f>
        <v>1.1789473684210527</v>
      </c>
      <c r="H8">
        <f>IF($G8=0,"",_xlfn.RANK.EQ($G8,$G$2:$G$2353,0)+COUNTIF($G$2:G8,$G8)-1)</f>
        <v>1569</v>
      </c>
      <c r="J8" t="str">
        <f>"Inglés"</f>
        <v>Inglés</v>
      </c>
      <c r="K8">
        <f>SUMIFS(Colección!$K$2:$K$10001,Colección!$I$2:$I$10001,$J8,Colección!$M$2:$M$10001,"Compra")</f>
        <v>5499</v>
      </c>
      <c r="L8">
        <f>IF($K8=0,"",_xlfn.RANK.EQ($K8,$K$2:$K$11,0)+COUNTIF($K$2:K8,$K8)-1)</f>
        <v>1</v>
      </c>
    </row>
    <row r="9" spans="1:18" x14ac:dyDescent="0.25">
      <c r="A9" t="str">
        <f>"Aetherdrift"</f>
        <v>Aetherdrift</v>
      </c>
      <c r="B9">
        <f>SUMIFS(Colección!$L$2:$L$10001,Colección!$G$2:$G$10001,$A9,Colección!$M$2:$M$10001,"Compra")</f>
        <v>94.200365703757925</v>
      </c>
      <c r="C9">
        <f>SUMIFS(Colección!$K$2:$K$10001,Colección!$G$2:$G$10001,$A9,Colección!$M$2:$M$10001,"Compra")</f>
        <v>66</v>
      </c>
      <c r="D9">
        <f>IF($B9=0,"",_xlfn.RANK.EQ($B9,$B$2:$B$321,0)+COUNTIF($B$2:B9,$B9)-1)</f>
        <v>86</v>
      </c>
      <c r="F9" t="str">
        <f>"Abandoned Hall"</f>
        <v>Abandoned Hall</v>
      </c>
      <c r="G9">
        <f>SUMIFS(Colección!$L$2:$L$10001,Colección!$F$2:$F$10001,$F9,Colección!$M$2:$M$10001,"Compra")</f>
        <v>0.64365653642064646</v>
      </c>
      <c r="H9">
        <f>IF($G9=0,"",_xlfn.RANK.EQ($G9,$G$2:$G$2353,0)+COUNTIF($G$2:G9,$G9)-1)</f>
        <v>1793</v>
      </c>
      <c r="J9" t="str">
        <f>"Italiano"</f>
        <v>Italiano</v>
      </c>
      <c r="K9">
        <f>SUMIFS(Colección!$K$2:$K$10001,Colección!$I$2:$I$10001,$J9,Colección!$M$2:$M$10001,"Compra")</f>
        <v>8</v>
      </c>
      <c r="L9">
        <f>IF($K9=0,"",_xlfn.RANK.EQ($K9,$K$2:$K$11,0)+COUNTIF($K$2:K9,$K9)-1)</f>
        <v>5</v>
      </c>
    </row>
    <row r="10" spans="1:18" x14ac:dyDescent="0.25">
      <c r="A10" t="str">
        <f>"Aetherdrift: Extras"</f>
        <v>Aetherdrift: Extras</v>
      </c>
      <c r="B10">
        <f>SUMIFS(Colección!$L$2:$L$10001,Colección!$G$2:$G$10001,$A10,Colección!$M$2:$M$10001,"Compra")</f>
        <v>363.38988598821373</v>
      </c>
      <c r="C10">
        <f>SUMIFS(Colección!$K$2:$K$10001,Colección!$G$2:$G$10001,$A10,Colección!$M$2:$M$10001,"Compra")</f>
        <v>40</v>
      </c>
      <c r="D10">
        <f>IF($B10=0,"",_xlfn.RANK.EQ($B10,$B$2:$B$321,0)+COUNTIF($B$2:B10,$B10)-1)</f>
        <v>22</v>
      </c>
      <c r="F10" t="str">
        <f>"Abhorrent Oculus"</f>
        <v>Abhorrent Oculus</v>
      </c>
      <c r="G10">
        <f>SUMIFS(Colección!$L$2:$L$10001,Colección!$F$2:$F$10001,$F10,Colección!$M$2:$M$10001,"Compra")</f>
        <v>65.070000000000007</v>
      </c>
      <c r="H10">
        <f>IF($G10=0,"",_xlfn.RANK.EQ($G10,$G$2:$G$2353,0)+COUNTIF($G$2:G10,$G10)-1)</f>
        <v>126</v>
      </c>
      <c r="J10" t="str">
        <f>"Japonés"</f>
        <v>Japonés</v>
      </c>
      <c r="K10">
        <f>SUMIFS(Colección!$K$2:$K$10001,Colección!$I$2:$I$10001,$J10,Colección!$M$2:$M$10001,"Compra")</f>
        <v>1098</v>
      </c>
      <c r="L10">
        <f>IF($K10=0,"",_xlfn.RANK.EQ($K10,$K$2:$K$11,0)+COUNTIF($K$2:K10,$K10)-1)</f>
        <v>2</v>
      </c>
    </row>
    <row r="11" spans="1:18" x14ac:dyDescent="0.25">
      <c r="A11" t="str">
        <f>"Alara Reborn"</f>
        <v>Alara Reborn</v>
      </c>
      <c r="B11">
        <f>SUMIFS(Colección!$L$2:$L$10001,Colección!$G$2:$G$10001,$A11,Colección!$M$2:$M$10001,"Compra")</f>
        <v>27.5</v>
      </c>
      <c r="C11">
        <f>SUMIFS(Colección!$K$2:$K$10001,Colección!$G$2:$G$10001,$A11,Colección!$M$2:$M$10001,"Compra")</f>
        <v>9</v>
      </c>
      <c r="D11">
        <f>IF($B11=0,"",_xlfn.RANK.EQ($B11,$B$2:$B$321,0)+COUNTIF($B$2:B11,$B11)-1)</f>
        <v>181</v>
      </c>
      <c r="F11" t="str">
        <f>"Abrupt Decay"</f>
        <v>Abrupt Decay</v>
      </c>
      <c r="G11">
        <f>SUMIFS(Colección!$L$2:$L$10001,Colección!$F$2:$F$10001,$F11,Colección!$M$2:$M$10001,"Compra")</f>
        <v>12.707967479674796</v>
      </c>
      <c r="H11">
        <f>IF($G11=0,"",_xlfn.RANK.EQ($G11,$G$2:$G$2353,0)+COUNTIF($G$2:G11,$G11)-1)</f>
        <v>559</v>
      </c>
      <c r="J11" t="str">
        <f>"Ruso"</f>
        <v>Ruso</v>
      </c>
      <c r="K11">
        <f>SUMIFS(Colección!$K$2:$K$10001,Colección!$I$2:$I$10001,$J11,Colección!$M$2:$M$10001,"Compra")</f>
        <v>1</v>
      </c>
      <c r="L11">
        <f>IF($K11=0,"",_xlfn.RANK.EQ($K11,$K$2:$K$11,0)+COUNTIF($K$2:K11,$K11)-1)</f>
        <v>10</v>
      </c>
    </row>
    <row r="12" spans="1:18" x14ac:dyDescent="0.25">
      <c r="A12" t="str">
        <f>"Alliances"</f>
        <v>Alliances</v>
      </c>
      <c r="B12">
        <f>SUMIFS(Colección!$L$2:$L$10001,Colección!$G$2:$G$10001,$A12,Colección!$M$2:$M$10001,"Compra")</f>
        <v>220.3281818181818</v>
      </c>
      <c r="C12">
        <f>SUMIFS(Colección!$K$2:$K$10001,Colección!$G$2:$G$10001,$A12,Colección!$M$2:$M$10001,"Compra")</f>
        <v>6</v>
      </c>
      <c r="D12">
        <f>IF($B12=0,"",_xlfn.RANK.EQ($B12,$B$2:$B$321,0)+COUNTIF($B$2:B12,$B12)-1)</f>
        <v>44</v>
      </c>
      <c r="F12" t="str">
        <f>"Absorb"</f>
        <v>Absorb</v>
      </c>
      <c r="G12">
        <f>SUMIFS(Colección!$L$2:$L$10001,Colección!$F$2:$F$10001,$F12,Colección!$M$2:$M$10001,"Compra")</f>
        <v>1.5463705583756344</v>
      </c>
      <c r="H12">
        <f>IF($G12=0,"",_xlfn.RANK.EQ($G12,$G$2:$G$2353,0)+COUNTIF($G$2:G12,$G12)-1)</f>
        <v>1477</v>
      </c>
    </row>
    <row r="13" spans="1:18" x14ac:dyDescent="0.25">
      <c r="A13" t="str">
        <f>"Amber"</f>
        <v>Amber</v>
      </c>
      <c r="B13">
        <f>SUMIFS(Colección!$L$2:$L$10001,Colección!$G$2:$G$10001,$A13,Colección!$M$2:$M$10001,"Compra")</f>
        <v>7.2648648648648653</v>
      </c>
      <c r="C13">
        <f>SUMIFS(Colección!$K$2:$K$10001,Colección!$G$2:$G$10001,$A13,Colección!$M$2:$M$10001,"Compra")</f>
        <v>1</v>
      </c>
      <c r="D13">
        <f>IF($B13=0,"",_xlfn.RANK.EQ($B13,$B$2:$B$321,0)+COUNTIF($B$2:B13,$B13)-1)</f>
        <v>247</v>
      </c>
      <c r="F13" t="str">
        <f>"Abstergo Entertainment (V.1)"</f>
        <v>Abstergo Entertainment (V.1)</v>
      </c>
      <c r="G13">
        <f>SUMIFS(Colección!$L$2:$L$10001,Colección!$F$2:$F$10001,$F13,Colección!$M$2:$M$10001,"Compra")</f>
        <v>1.629989118607182</v>
      </c>
      <c r="H13">
        <f>IF($G13=0,"",_xlfn.RANK.EQ($G13,$G$2:$G$2353,0)+COUNTIF($G$2:G13,$G13)-1)</f>
        <v>1455</v>
      </c>
    </row>
    <row r="14" spans="1:18" x14ac:dyDescent="0.25">
      <c r="A14" t="str">
        <f>"Amethyst"</f>
        <v>Amethyst</v>
      </c>
      <c r="B14">
        <f>SUMIFS(Colección!$L$2:$L$10001,Colección!$G$2:$G$10001,$A14,Colección!$M$2:$M$10001,"Compra")</f>
        <v>7.751253117206983</v>
      </c>
      <c r="C14">
        <f>SUMIFS(Colección!$K$2:$K$10001,Colección!$G$2:$G$10001,$A14,Colección!$M$2:$M$10001,"Compra")</f>
        <v>1</v>
      </c>
      <c r="D14">
        <f>IF($B14=0,"",_xlfn.RANK.EQ($B14,$B$2:$B$321,0)+COUNTIF($B$2:B14,$B14)-1)</f>
        <v>244</v>
      </c>
      <c r="F14" t="str">
        <f>"Abundant Growth"</f>
        <v>Abundant Growth</v>
      </c>
      <c r="G14">
        <f>SUMIFS(Colección!$L$2:$L$10001,Colección!$F$2:$F$10001,$F14,Colección!$M$2:$M$10001,"Compra")</f>
        <v>5.7294289897511002</v>
      </c>
      <c r="H14">
        <f>IF($G14=0,"",_xlfn.RANK.EQ($G14,$G$2:$G$2353,0)+COUNTIF($G$2:G14,$G14)-1)</f>
        <v>910</v>
      </c>
    </row>
    <row r="15" spans="1:18" x14ac:dyDescent="0.25">
      <c r="A15" t="str">
        <f>"Amonkhet"</f>
        <v>Amonkhet</v>
      </c>
      <c r="B15">
        <f>SUMIFS(Colección!$L$2:$L$10001,Colección!$G$2:$G$10001,$A15,Colección!$M$2:$M$10001,"Compra")</f>
        <v>22.213680783978081</v>
      </c>
      <c r="C15">
        <f>SUMIFS(Colección!$K$2:$K$10001,Colección!$G$2:$G$10001,$A15,Colección!$M$2:$M$10001,"Compra")</f>
        <v>26</v>
      </c>
      <c r="D15">
        <f>IF($B15=0,"",_xlfn.RANK.EQ($B15,$B$2:$B$321,0)+COUNTIF($B$2:B15,$B15)-1)</f>
        <v>199</v>
      </c>
      <c r="F15" t="str">
        <f>"Abundant Growth (V.2)"</f>
        <v>Abundant Growth (V.2)</v>
      </c>
      <c r="G15">
        <f>SUMIFS(Colección!$L$2:$L$10001,Colección!$F$2:$F$10001,$F15,Colección!$M$2:$M$10001,"Compra")</f>
        <v>1.8881226053639848</v>
      </c>
      <c r="H15">
        <f>IF($G15=0,"",_xlfn.RANK.EQ($G15,$G$2:$G$2353,0)+COUNTIF($G$2:G15,$G15)-1)</f>
        <v>1388</v>
      </c>
    </row>
    <row r="16" spans="1:18" x14ac:dyDescent="0.25">
      <c r="A16" t="str">
        <f>"Apocalypse"</f>
        <v>Apocalypse</v>
      </c>
      <c r="B16">
        <f>SUMIFS(Colección!$L$2:$L$10001,Colección!$G$2:$G$10001,$A16,Colección!$M$2:$M$10001,"Compra")</f>
        <v>190.08715994837249</v>
      </c>
      <c r="C16">
        <f>SUMIFS(Colección!$K$2:$K$10001,Colección!$G$2:$G$10001,$A16,Colección!$M$2:$M$10001,"Compra")</f>
        <v>34</v>
      </c>
      <c r="D16">
        <f>IF($B16=0,"",_xlfn.RANK.EQ($B16,$B$2:$B$321,0)+COUNTIF($B$2:B16,$B16)-1)</f>
        <v>50</v>
      </c>
      <c r="F16" t="str">
        <f>"Abundant Harvest"</f>
        <v>Abundant Harvest</v>
      </c>
      <c r="G16">
        <f>SUMIFS(Colección!$L$2:$L$10001,Colección!$F$2:$F$10001,$F16,Colección!$M$2:$M$10001,"Compra")</f>
        <v>0.45013192612137198</v>
      </c>
      <c r="H16">
        <f>IF($G16=0,"",_xlfn.RANK.EQ($G16,$G$2:$G$2353,0)+COUNTIF($G$2:G16,$G16)-1)</f>
        <v>1915</v>
      </c>
    </row>
    <row r="17" spans="1:8" x14ac:dyDescent="0.25">
      <c r="A17" t="str">
        <f>"Avacyn Restored"</f>
        <v>Avacyn Restored</v>
      </c>
      <c r="B17">
        <f>SUMIFS(Colección!$L$2:$L$10001,Colección!$G$2:$G$10001,$A17,Colección!$M$2:$M$10001,"Compra")</f>
        <v>155.46770922555288</v>
      </c>
      <c r="C17">
        <f>SUMIFS(Colección!$K$2:$K$10001,Colección!$G$2:$G$10001,$A17,Colección!$M$2:$M$10001,"Compra")</f>
        <v>16</v>
      </c>
      <c r="D17">
        <f>IF($B17=0,"",_xlfn.RANK.EQ($B17,$B$2:$B$321,0)+COUNTIF($B$2:B17,$B17)-1)</f>
        <v>63</v>
      </c>
      <c r="F17" t="str">
        <f>"Academy Manufactor [Playset]"</f>
        <v>Academy Manufactor [Playset]</v>
      </c>
      <c r="G17">
        <f>SUMIFS(Colección!$L$2:$L$10001,Colección!$F$2:$F$10001,$F17,Colección!$M$2:$M$10001,"Compra")</f>
        <v>12.18</v>
      </c>
      <c r="H17">
        <f>IF($G17=0,"",_xlfn.RANK.EQ($G17,$G$2:$G$2353,0)+COUNTIF($G$2:G17,$G17)-1)</f>
        <v>572</v>
      </c>
    </row>
    <row r="18" spans="1:8" x14ac:dyDescent="0.25">
      <c r="A18" t="str">
        <f>"Avatar: The Last Airbender"</f>
        <v>Avatar: The Last Airbender</v>
      </c>
      <c r="B18">
        <f>SUMIFS(Colección!$L$2:$L$10001,Colección!$G$2:$G$10001,$A18,Colección!$M$2:$M$10001,"Compra")</f>
        <v>0.28942307692307689</v>
      </c>
      <c r="C18">
        <f>SUMIFS(Colección!$K$2:$K$10001,Colección!$G$2:$G$10001,$A18,Colección!$M$2:$M$10001,"Compra")</f>
        <v>1</v>
      </c>
      <c r="D18">
        <f>IF($B18=0,"",_xlfn.RANK.EQ($B18,$B$2:$B$321,0)+COUNTIF($B$2:B18,$B18)-1)</f>
        <v>310</v>
      </c>
      <c r="F18" t="str">
        <f>"Acceptable Losses"</f>
        <v>Acceptable Losses</v>
      </c>
      <c r="G18">
        <f>SUMIFS(Colección!$L$2:$L$10001,Colección!$F$2:$F$10001,$F18,Colección!$M$2:$M$10001,"Compra")</f>
        <v>3.6077507776049771</v>
      </c>
      <c r="H18">
        <f>IF($G18=0,"",_xlfn.RANK.EQ($G18,$G$2:$G$2353,0)+COUNTIF($G$2:G18,$G18)-1)</f>
        <v>1103</v>
      </c>
    </row>
    <row r="19" spans="1:8" x14ac:dyDescent="0.25">
      <c r="A19" t="str">
        <f>"Awakening of the New Era"</f>
        <v>Awakening of the New Era</v>
      </c>
      <c r="B19">
        <f>SUMIFS(Colección!$L$2:$L$10001,Colección!$G$2:$G$10001,$A19,Colección!$M$2:$M$10001,"Compra")</f>
        <v>97.457607560618641</v>
      </c>
      <c r="C19">
        <f>SUMIFS(Colección!$K$2:$K$10001,Colección!$G$2:$G$10001,$A19,Colección!$M$2:$M$10001,"Compra")</f>
        <v>120</v>
      </c>
      <c r="D19">
        <f>IF($B19=0,"",_xlfn.RANK.EQ($B19,$B$2:$B$321,0)+COUNTIF($B$2:B19,$B19)-1)</f>
        <v>84</v>
      </c>
      <c r="F19" t="str">
        <f>"Accumulate Wisdom"</f>
        <v>Accumulate Wisdom</v>
      </c>
      <c r="G19">
        <f>SUMIFS(Colección!$L$2:$L$10001,Colección!$F$2:$F$10001,$F19,Colección!$M$2:$M$10001,"Compra")</f>
        <v>4.4210526315789478</v>
      </c>
      <c r="H19">
        <f>IF($G19=0,"",_xlfn.RANK.EQ($G19,$G$2:$G$2353,0)+COUNTIF($G$2:G19,$G19)-1)</f>
        <v>1007</v>
      </c>
    </row>
    <row r="20" spans="1:8" x14ac:dyDescent="0.25">
      <c r="A20" t="str">
        <f>"Battle for Zendikar"</f>
        <v>Battle for Zendikar</v>
      </c>
      <c r="B20">
        <f>SUMIFS(Colección!$L$2:$L$10001,Colección!$G$2:$G$10001,$A20,Colección!$M$2:$M$10001,"Compra")</f>
        <v>89.314353344127625</v>
      </c>
      <c r="C20">
        <f>SUMIFS(Colección!$K$2:$K$10001,Colección!$G$2:$G$10001,$A20,Colección!$M$2:$M$10001,"Compra")</f>
        <v>18</v>
      </c>
      <c r="D20">
        <f>IF($B20=0,"",_xlfn.RANK.EQ($B20,$B$2:$B$321,0)+COUNTIF($B$2:B20,$B20)-1)</f>
        <v>93</v>
      </c>
      <c r="F20" t="str">
        <f>"Accumulated Knowledge"</f>
        <v>Accumulated Knowledge</v>
      </c>
      <c r="G20">
        <f>SUMIFS(Colección!$L$2:$L$10001,Colección!$F$2:$F$10001,$F20,Colección!$M$2:$M$10001,"Compra")</f>
        <v>7.5</v>
      </c>
      <c r="H20">
        <f>IF($G20=0,"",_xlfn.RANK.EQ($G20,$G$2:$G$2353,0)+COUNTIF($G$2:G20,$G20)-1)</f>
        <v>774</v>
      </c>
    </row>
    <row r="21" spans="1:8" x14ac:dyDescent="0.25">
      <c r="A21" t="str">
        <f>"Betrayers of Kamigawa"</f>
        <v>Betrayers of Kamigawa</v>
      </c>
      <c r="B21">
        <f>SUMIFS(Colección!$L$2:$L$10001,Colección!$G$2:$G$10001,$A21,Colección!$M$2:$M$10001,"Compra")</f>
        <v>78.789630033280574</v>
      </c>
      <c r="C21">
        <f>SUMIFS(Colección!$K$2:$K$10001,Colección!$G$2:$G$10001,$A21,Colección!$M$2:$M$10001,"Compra")</f>
        <v>13</v>
      </c>
      <c r="D21">
        <f>IF($B21=0,"",_xlfn.RANK.EQ($B21,$B$2:$B$321,0)+COUNTIF($B$2:B21,$B21)-1)</f>
        <v>105</v>
      </c>
      <c r="F21" t="str">
        <f>"Accursed Marauder (V.1)"</f>
        <v>Accursed Marauder (V.1)</v>
      </c>
      <c r="G21">
        <f>SUMIFS(Colección!$L$2:$L$10001,Colección!$F$2:$F$10001,$F21,Colección!$M$2:$M$10001,"Compra")</f>
        <v>1.8419021739130437</v>
      </c>
      <c r="H21">
        <f>IF($G21=0,"",_xlfn.RANK.EQ($G21,$G$2:$G$2353,0)+COUNTIF($G$2:G21,$G21)-1)</f>
        <v>1392</v>
      </c>
    </row>
    <row r="22" spans="1:8" x14ac:dyDescent="0.25">
      <c r="A22" t="str">
        <f>"Black"</f>
        <v>Black</v>
      </c>
      <c r="B22">
        <f>SUMIFS(Colección!$L$2:$L$10001,Colección!$G$2:$G$10001,$A22,Colección!$M$2:$M$10001,"Compra")</f>
        <v>15.892448680351904</v>
      </c>
      <c r="C22">
        <f>SUMIFS(Colección!$K$2:$K$10001,Colección!$G$2:$G$10001,$A22,Colección!$M$2:$M$10001,"Compra")</f>
        <v>2</v>
      </c>
      <c r="D22">
        <f>IF($B22=0,"",_xlfn.RANK.EQ($B22,$B$2:$B$321,0)+COUNTIF($B$2:B22,$B22)-1)</f>
        <v>218</v>
      </c>
      <c r="F22" t="str">
        <f>"Aclazotz, Deepest Betrayal // Temple of the Dead"</f>
        <v>Aclazotz, Deepest Betrayal // Temple of the Dead</v>
      </c>
      <c r="G22">
        <f>SUMIFS(Colección!$L$2:$L$10001,Colección!$F$2:$F$10001,$F22,Colección!$M$2:$M$10001,"Compra")</f>
        <v>3.74</v>
      </c>
      <c r="H22">
        <f>IF($G22=0,"",_xlfn.RANK.EQ($G22,$G$2:$G$2353,0)+COUNTIF($G$2:G22,$G22)-1)</f>
        <v>1088</v>
      </c>
    </row>
    <row r="23" spans="1:8" x14ac:dyDescent="0.25">
      <c r="A23" t="str">
        <f>"Bloomburrow"</f>
        <v>Bloomburrow</v>
      </c>
      <c r="B23">
        <f>SUMIFS(Colección!$L$2:$L$10001,Colección!$G$2:$G$10001,$A23,Colección!$M$2:$M$10001,"Compra")</f>
        <v>229.55080277958501</v>
      </c>
      <c r="C23">
        <f>SUMIFS(Colección!$K$2:$K$10001,Colección!$G$2:$G$10001,$A23,Colección!$M$2:$M$10001,"Compra")</f>
        <v>73</v>
      </c>
      <c r="D23">
        <f>IF($B23=0,"",_xlfn.RANK.EQ($B23,$B$2:$B$321,0)+COUNTIF($B$2:B23,$B23)-1)</f>
        <v>42</v>
      </c>
      <c r="F23" t="str">
        <f>"Adaptatron"</f>
        <v>Adaptatron</v>
      </c>
      <c r="G23">
        <f>SUMIFS(Colección!$L$2:$L$10001,Colección!$F$2:$F$10001,$F23,Colección!$M$2:$M$10001,"Compra")</f>
        <v>5.810245550451838</v>
      </c>
      <c r="H23">
        <f>IF($G23=0,"",_xlfn.RANK.EQ($G23,$G$2:$G$2353,0)+COUNTIF($G$2:G23,$G23)-1)</f>
        <v>901</v>
      </c>
    </row>
    <row r="24" spans="1:8" x14ac:dyDescent="0.25">
      <c r="A24" t="str">
        <f>"Bloomburrow: Extras"</f>
        <v>Bloomburrow: Extras</v>
      </c>
      <c r="B24">
        <f>SUMIFS(Colección!$L$2:$L$10001,Colección!$G$2:$G$10001,$A24,Colección!$M$2:$M$10001,"Compra")</f>
        <v>158.11100493796982</v>
      </c>
      <c r="C24">
        <f>SUMIFS(Colección!$K$2:$K$10001,Colección!$G$2:$G$10001,$A24,Colección!$M$2:$M$10001,"Compra")</f>
        <v>25</v>
      </c>
      <c r="D24">
        <f>IF($B24=0,"",_xlfn.RANK.EQ($B24,$B$2:$B$321,0)+COUNTIF($B$2:B24,$B24)-1)</f>
        <v>61</v>
      </c>
      <c r="F24" t="str">
        <f>"Adarkar Wastes"</f>
        <v>Adarkar Wastes</v>
      </c>
      <c r="G24">
        <f>SUMIFS(Colección!$L$2:$L$10001,Colección!$F$2:$F$10001,$F24,Colección!$M$2:$M$10001,"Compra")</f>
        <v>28.65454545454546</v>
      </c>
      <c r="H24">
        <f>IF($G24=0,"",_xlfn.RANK.EQ($G24,$G$2:$G$2353,0)+COUNTIF($G$2:G24,$G24)-1)</f>
        <v>286</v>
      </c>
    </row>
    <row r="25" spans="1:8" x14ac:dyDescent="0.25">
      <c r="A25" t="str">
        <f>"Bloomburrow: Tokens"</f>
        <v>Bloomburrow: Tokens</v>
      </c>
      <c r="B25">
        <f>SUMIFS(Colección!$L$2:$L$10001,Colección!$G$2:$G$10001,$A25,Colección!$M$2:$M$10001,"Compra")</f>
        <v>2.4070833333333335</v>
      </c>
      <c r="C25">
        <f>SUMIFS(Colección!$K$2:$K$10001,Colección!$G$2:$G$10001,$A25,Colección!$M$2:$M$10001,"Compra")</f>
        <v>4</v>
      </c>
      <c r="D25">
        <f>IF($B25=0,"",_xlfn.RANK.EQ($B25,$B$2:$B$321,0)+COUNTIF($B$2:B25,$B25)-1)</f>
        <v>279</v>
      </c>
      <c r="F25" t="str">
        <f>"Adio (OP03-002)"</f>
        <v>Adio (OP03-002)</v>
      </c>
      <c r="G25">
        <f>SUMIFS(Colección!$L$2:$L$10001,Colección!$F$2:$F$10001,$F25,Colección!$M$2:$M$10001,"Compra")</f>
        <v>0.2855813953488372</v>
      </c>
      <c r="H25">
        <f>IF($G25=0,"",_xlfn.RANK.EQ($G25,$G$2:$G$2353,0)+COUNTIF($G$2:G25,$G25)-1)</f>
        <v>2006</v>
      </c>
    </row>
    <row r="26" spans="1:8" x14ac:dyDescent="0.25">
      <c r="A26" t="str">
        <f>"Buy a Box Promos"</f>
        <v>Buy a Box Promos</v>
      </c>
      <c r="B26">
        <f>SUMIFS(Colección!$L$2:$L$10001,Colección!$G$2:$G$10001,$A26,Colección!$M$2:$M$10001,"Compra")</f>
        <v>30.549470936608905</v>
      </c>
      <c r="C26">
        <f>SUMIFS(Colección!$K$2:$K$10001,Colección!$G$2:$G$10001,$A26,Colección!$M$2:$M$10001,"Compra")</f>
        <v>7</v>
      </c>
      <c r="D26">
        <f>IF($B26=0,"",_xlfn.RANK.EQ($B26,$B$2:$B$321,0)+COUNTIF($B$2:B26,$B26)-1)</f>
        <v>174</v>
      </c>
      <c r="F26" t="str">
        <f>"Aether Hub"</f>
        <v>Aether Hub</v>
      </c>
      <c r="G26">
        <f>SUMIFS(Colección!$L$2:$L$10001,Colección!$F$2:$F$10001,$F26,Colección!$M$2:$M$10001,"Compra")</f>
        <v>3.3166089965397925</v>
      </c>
      <c r="H26">
        <f>IF($G26=0,"",_xlfn.RANK.EQ($G26,$G$2:$G$2353,0)+COUNTIF($G$2:G26,$G26)-1)</f>
        <v>1147</v>
      </c>
    </row>
    <row r="27" spans="1:8" x14ac:dyDescent="0.25">
      <c r="A27" t="str">
        <f>"Cats &amp; Cantrips Tokens"</f>
        <v>Cats &amp; Cantrips Tokens</v>
      </c>
      <c r="B27">
        <f>SUMIFS(Colección!$L$2:$L$10001,Colección!$G$2:$G$10001,$A27,Colección!$M$2:$M$10001,"Compra")</f>
        <v>42.319999999999993</v>
      </c>
      <c r="C27">
        <f>SUMIFS(Colección!$K$2:$K$10001,Colección!$G$2:$G$10001,$A27,Colección!$M$2:$M$10001,"Compra")</f>
        <v>24</v>
      </c>
      <c r="D27">
        <f>IF($B27=0,"",_xlfn.RANK.EQ($B27,$B$2:$B$321,0)+COUNTIF($B$2:B27,$B27)-1)</f>
        <v>153</v>
      </c>
      <c r="F27" t="str">
        <f>"Aether Spellbomb"</f>
        <v>Aether Spellbomb</v>
      </c>
      <c r="G27">
        <f>SUMIFS(Colección!$L$2:$L$10001,Colección!$F$2:$F$10001,$F27,Colección!$M$2:$M$10001,"Compra")</f>
        <v>0.53610972568578563</v>
      </c>
      <c r="H27">
        <f>IF($G27=0,"",_xlfn.RANK.EQ($G27,$G$2:$G$2353,0)+COUNTIF($G$2:G27,$G27)-1)</f>
        <v>1864</v>
      </c>
    </row>
    <row r="28" spans="1:8" x14ac:dyDescent="0.25">
      <c r="A28" t="str">
        <f>"Champions of Kamigawa"</f>
        <v>Champions of Kamigawa</v>
      </c>
      <c r="B28">
        <f>SUMIFS(Colección!$L$2:$L$10001,Colección!$G$2:$G$10001,$A28,Colección!$M$2:$M$10001,"Compra")</f>
        <v>59.392632490170918</v>
      </c>
      <c r="C28">
        <f>SUMIFS(Colección!$K$2:$K$10001,Colección!$G$2:$G$10001,$A28,Colección!$M$2:$M$10001,"Compra")</f>
        <v>17</v>
      </c>
      <c r="D28">
        <f>IF($B28=0,"",_xlfn.RANK.EQ($B28,$B$2:$B$321,0)+COUNTIF($B$2:B28,$B28)-1)</f>
        <v>131</v>
      </c>
      <c r="F28" t="str">
        <f>"Aether Vial (V.1)"</f>
        <v>Aether Vial (V.1)</v>
      </c>
      <c r="G28">
        <f>SUMIFS(Colección!$L$2:$L$10001,Colección!$F$2:$F$10001,$F28,Colección!$M$2:$M$10001,"Compra")</f>
        <v>45.8</v>
      </c>
      <c r="H28">
        <f>IF($G28=0,"",_xlfn.RANK.EQ($G28,$G$2:$G$2353,0)+COUNTIF($G$2:G28,$G28)-1)</f>
        <v>188</v>
      </c>
    </row>
    <row r="29" spans="1:8" x14ac:dyDescent="0.25">
      <c r="A29" t="str">
        <f>"Chronicles: Japanese"</f>
        <v>Chronicles: Japanese</v>
      </c>
      <c r="B29">
        <f>SUMIFS(Colección!$L$2:$L$10001,Colección!$G$2:$G$10001,$A29,Colección!$M$2:$M$10001,"Compra")</f>
        <v>78.11999999999999</v>
      </c>
      <c r="C29">
        <f>SUMIFS(Colección!$K$2:$K$10001,Colección!$G$2:$G$10001,$A29,Colección!$M$2:$M$10001,"Compra")</f>
        <v>12</v>
      </c>
      <c r="D29">
        <f>IF($B29=0,"",_xlfn.RANK.EQ($B29,$B$2:$B$321,0)+COUNTIF($B$2:B29,$B29)-1)</f>
        <v>106</v>
      </c>
      <c r="F29" t="str">
        <f>"Aether Vial [Playset]"</f>
        <v>Aether Vial [Playset]</v>
      </c>
      <c r="G29">
        <f>SUMIFS(Colección!$L$2:$L$10001,Colección!$F$2:$F$10001,$F29,Colección!$M$2:$M$10001,"Compra")</f>
        <v>51.28</v>
      </c>
      <c r="H29">
        <f>IF($G29=0,"",_xlfn.RANK.EQ($G29,$G$2:$G$2353,0)+COUNTIF($G$2:G29,$G29)-1)</f>
        <v>169</v>
      </c>
    </row>
    <row r="30" spans="1:8" x14ac:dyDescent="0.25">
      <c r="A30" t="str">
        <f>"Clear"</f>
        <v>Clear</v>
      </c>
      <c r="B30">
        <f>SUMIFS(Colección!$L$2:$L$10001,Colección!$G$2:$G$10001,$A30,Colección!$M$2:$M$10001,"Compra")</f>
        <v>41.448288024094474</v>
      </c>
      <c r="C30">
        <f>SUMIFS(Colección!$K$2:$K$10001,Colección!$G$2:$G$10001,$A30,Colección!$M$2:$M$10001,"Compra")</f>
        <v>5</v>
      </c>
      <c r="D30">
        <f>IF($B30=0,"",_xlfn.RANK.EQ($B30,$B$2:$B$321,0)+COUNTIF($B$2:B30,$B30)-1)</f>
        <v>156</v>
      </c>
      <c r="F30" t="str">
        <f>"Aftermath Analyst"</f>
        <v>Aftermath Analyst</v>
      </c>
      <c r="G30">
        <f>SUMIFS(Colección!$L$2:$L$10001,Colección!$F$2:$F$10001,$F30,Colección!$M$2:$M$10001,"Compra")</f>
        <v>3.9272727272727277</v>
      </c>
      <c r="H30">
        <f>IF($G30=0,"",_xlfn.RANK.EQ($G30,$G$2:$G$2353,0)+COUNTIF($G$2:G30,$G30)-1)</f>
        <v>1069</v>
      </c>
    </row>
    <row r="31" spans="1:8" x14ac:dyDescent="0.25">
      <c r="A31" t="str">
        <f>"Commander 2013"</f>
        <v>Commander 2013</v>
      </c>
      <c r="B31">
        <f>SUMIFS(Colección!$L$2:$L$10001,Colección!$G$2:$G$10001,$A31,Colección!$M$2:$M$10001,"Compra")</f>
        <v>2.7746232276481426</v>
      </c>
      <c r="C31">
        <f>SUMIFS(Colección!$K$2:$K$10001,Colección!$G$2:$G$10001,$A31,Colección!$M$2:$M$10001,"Compra")</f>
        <v>11</v>
      </c>
      <c r="D31">
        <f>IF($B31=0,"",_xlfn.RANK.EQ($B31,$B$2:$B$321,0)+COUNTIF($B$2:B31,$B31)-1)</f>
        <v>278</v>
      </c>
      <c r="F31" t="str">
        <f>"Agatha's Soul Cauldron"</f>
        <v>Agatha's Soul Cauldron</v>
      </c>
      <c r="G31">
        <f>SUMIFS(Colección!$L$2:$L$10001,Colección!$F$2:$F$10001,$F31,Colección!$M$2:$M$10001,"Compra")</f>
        <v>266.25</v>
      </c>
      <c r="H31">
        <f>IF($G31=0,"",_xlfn.RANK.EQ($G31,$G$2:$G$2353,0)+COUNTIF($G$2:G31,$G31)-1)</f>
        <v>12</v>
      </c>
    </row>
    <row r="32" spans="1:8" x14ac:dyDescent="0.25">
      <c r="A32" t="str">
        <f>"Commander 2014"</f>
        <v>Commander 2014</v>
      </c>
      <c r="B32">
        <f>SUMIFS(Colección!$L$2:$L$10001,Colección!$G$2:$G$10001,$A32,Colección!$M$2:$M$10001,"Compra")</f>
        <v>2.2122021660649818</v>
      </c>
      <c r="C32">
        <f>SUMIFS(Colección!$K$2:$K$10001,Colección!$G$2:$G$10001,$A32,Colección!$M$2:$M$10001,"Compra")</f>
        <v>4</v>
      </c>
      <c r="D32">
        <f>IF($B32=0,"",_xlfn.RANK.EQ($B32,$B$2:$B$321,0)+COUNTIF($B$2:B32,$B32)-1)</f>
        <v>282</v>
      </c>
      <c r="F32" t="str">
        <f>"Agony Warp"</f>
        <v>Agony Warp</v>
      </c>
      <c r="G32">
        <f>SUMIFS(Colección!$L$2:$L$10001,Colección!$F$2:$F$10001,$F32,Colección!$M$2:$M$10001,"Compra")</f>
        <v>0.2752941176470588</v>
      </c>
      <c r="H32">
        <f>IF($G32=0,"",_xlfn.RANK.EQ($G32,$G$2:$G$2353,0)+COUNTIF($G$2:G32,$G32)-1)</f>
        <v>2026</v>
      </c>
    </row>
    <row r="33" spans="1:8" x14ac:dyDescent="0.25">
      <c r="A33" t="str">
        <f>"Commander 2016"</f>
        <v>Commander 2016</v>
      </c>
      <c r="B33">
        <f>SUMIFS(Colección!$L$2:$L$10001,Colección!$G$2:$G$10001,$A33,Colección!$M$2:$M$10001,"Compra")</f>
        <v>2.105706214689266</v>
      </c>
      <c r="C33">
        <f>SUMIFS(Colección!$K$2:$K$10001,Colección!$G$2:$G$10001,$A33,Colección!$M$2:$M$10001,"Compra")</f>
        <v>2</v>
      </c>
      <c r="D33">
        <f>IF($B33=0,"",_xlfn.RANK.EQ($B33,$B$2:$B$321,0)+COUNTIF($B$2:B33,$B33)-1)</f>
        <v>286</v>
      </c>
      <c r="F33" t="str">
        <f>"Air Door (OP03-094)"</f>
        <v>Air Door (OP03-094)</v>
      </c>
      <c r="G33">
        <f>SUMIFS(Colección!$L$2:$L$10001,Colección!$F$2:$F$10001,$F33,Colección!$M$2:$M$10001,"Compra")</f>
        <v>0.22608527131782949</v>
      </c>
      <c r="H33">
        <f>IF($G33=0,"",_xlfn.RANK.EQ($G33,$G$2:$G$2353,0)+COUNTIF($G$2:G33,$G33)-1)</f>
        <v>2055</v>
      </c>
    </row>
    <row r="34" spans="1:8" x14ac:dyDescent="0.25">
      <c r="A34" t="str">
        <f>"Commander 2018"</f>
        <v>Commander 2018</v>
      </c>
      <c r="B34">
        <f>SUMIFS(Colección!$L$2:$L$10001,Colección!$G$2:$G$10001,$A34,Colección!$M$2:$M$10001,"Compra")</f>
        <v>6.8859982400459181</v>
      </c>
      <c r="C34">
        <f>SUMIFS(Colección!$K$2:$K$10001,Colección!$G$2:$G$10001,$A34,Colección!$M$2:$M$10001,"Compra")</f>
        <v>10</v>
      </c>
      <c r="D34">
        <f>IF($B34=0,"",_xlfn.RANK.EQ($B34,$B$2:$B$321,0)+COUNTIF($B$2:B34,$B34)-1)</f>
        <v>250</v>
      </c>
      <c r="F34" t="str">
        <f>"Ajani Vengeant"</f>
        <v>Ajani Vengeant</v>
      </c>
      <c r="G34">
        <f>SUMIFS(Colección!$L$2:$L$10001,Colección!$F$2:$F$10001,$F34,Colección!$M$2:$M$10001,"Compra")</f>
        <v>4.3216789667896682</v>
      </c>
      <c r="H34">
        <f>IF($G34=0,"",_xlfn.RANK.EQ($G34,$G$2:$G$2353,0)+COUNTIF($G$2:G34,$G34)-1)</f>
        <v>1031</v>
      </c>
    </row>
    <row r="35" spans="1:8" x14ac:dyDescent="0.25">
      <c r="A35" t="str">
        <f>"Commander 2019"</f>
        <v>Commander 2019</v>
      </c>
      <c r="B35">
        <f>SUMIFS(Colección!$L$2:$L$10001,Colección!$G$2:$G$10001,$A35,Colección!$M$2:$M$10001,"Compra")</f>
        <v>3.3197025648774368</v>
      </c>
      <c r="C35">
        <f>SUMIFS(Colección!$K$2:$K$10001,Colección!$G$2:$G$10001,$A35,Colección!$M$2:$M$10001,"Compra")</f>
        <v>9</v>
      </c>
      <c r="D35">
        <f>IF($B35=0,"",_xlfn.RANK.EQ($B35,$B$2:$B$321,0)+COUNTIF($B$2:B35,$B35)-1)</f>
        <v>274</v>
      </c>
      <c r="F35" t="str">
        <f>"Ajani, Nacatl Pariah // Ajani, Nacatl Avenger"</f>
        <v>Ajani, Nacatl Pariah // Ajani, Nacatl Avenger</v>
      </c>
      <c r="G35">
        <f>SUMIFS(Colección!$L$2:$L$10001,Colección!$F$2:$F$10001,$F35,Colección!$M$2:$M$10001,"Compra")</f>
        <v>79.27</v>
      </c>
      <c r="H35">
        <f>IF($G35=0,"",_xlfn.RANK.EQ($G35,$G$2:$G$2353,0)+COUNTIF($G$2:G35,$G35)-1)</f>
        <v>101</v>
      </c>
    </row>
    <row r="36" spans="1:8" x14ac:dyDescent="0.25">
      <c r="A36" t="str">
        <f>"Commander Anthology"</f>
        <v>Commander Anthology</v>
      </c>
      <c r="B36">
        <f>SUMIFS(Colección!$L$2:$L$10001,Colección!$G$2:$G$10001,$A36,Colección!$M$2:$M$10001,"Compra")</f>
        <v>0.42496248124062042</v>
      </c>
      <c r="C36">
        <f>SUMIFS(Colección!$K$2:$K$10001,Colección!$G$2:$G$10001,$A36,Colección!$M$2:$M$10001,"Compra")</f>
        <v>4</v>
      </c>
      <c r="D36">
        <f>IF($B36=0,"",_xlfn.RANK.EQ($B36,$B$2:$B$321,0)+COUNTIF($B$2:B36,$B36)-1)</f>
        <v>309</v>
      </c>
      <c r="F36" t="str">
        <f>"Ajani, Nacatl Pariah // Ajani, Nacatl Avenger (V.1)"</f>
        <v>Ajani, Nacatl Pariah // Ajani, Nacatl Avenger (V.1)</v>
      </c>
      <c r="G36">
        <f>SUMIFS(Colección!$L$2:$L$10001,Colección!$F$2:$F$10001,$F36,Colección!$M$2:$M$10001,"Compra")</f>
        <v>93.117210835307446</v>
      </c>
      <c r="H36">
        <f>IF($G36=0,"",_xlfn.RANK.EQ($G36,$G$2:$G$2353,0)+COUNTIF($G$2:G36,$G36)-1)</f>
        <v>83</v>
      </c>
    </row>
    <row r="37" spans="1:8" x14ac:dyDescent="0.25">
      <c r="A37" t="str">
        <f>"Commander Anthology II"</f>
        <v>Commander Anthology II</v>
      </c>
      <c r="B37">
        <f>SUMIFS(Colección!$L$2:$L$10001,Colección!$G$2:$G$10001,$A37,Colección!$M$2:$M$10001,"Compra")</f>
        <v>4.392960332582712</v>
      </c>
      <c r="C37">
        <f>SUMIFS(Colección!$K$2:$K$10001,Colección!$G$2:$G$10001,$A37,Colección!$M$2:$M$10001,"Compra")</f>
        <v>2</v>
      </c>
      <c r="D37">
        <f>IF($B37=0,"",_xlfn.RANK.EQ($B37,$B$2:$B$321,0)+COUNTIF($B$2:B37,$B37)-1)</f>
        <v>268</v>
      </c>
      <c r="F37" t="str">
        <f>"Ajani, the Greathearted"</f>
        <v>Ajani, the Greathearted</v>
      </c>
      <c r="G37">
        <f>SUMIFS(Colección!$L$2:$L$10001,Colección!$F$2:$F$10001,$F37,Colección!$M$2:$M$10001,"Compra")</f>
        <v>0.54545454545454553</v>
      </c>
      <c r="H37">
        <f>IF($G37=0,"",_xlfn.RANK.EQ($G37,$G$2:$G$2353,0)+COUNTIF($G$2:G37,$G37)-1)</f>
        <v>1857</v>
      </c>
    </row>
    <row r="38" spans="1:8" x14ac:dyDescent="0.25">
      <c r="A38" t="str">
        <f>"Commander Collectio"</f>
        <v>Commander Collectio</v>
      </c>
      <c r="B38">
        <f>SUMIFS(Colección!$L$2:$L$10001,Colección!$G$2:$G$10001,$A38,Colección!$M$2:$M$10001,"Compra")</f>
        <v>0.83820895522388061</v>
      </c>
      <c r="C38">
        <f>SUMIFS(Colección!$K$2:$K$10001,Colección!$G$2:$G$10001,$A38,Colección!$M$2:$M$10001,"Compra")</f>
        <v>2</v>
      </c>
      <c r="D38">
        <f>IF($B38=0,"",_xlfn.RANK.EQ($B38,$B$2:$B$321,0)+COUNTIF($B$2:B38,$B38)-1)</f>
        <v>302</v>
      </c>
      <c r="F38" t="str">
        <f>"Akroma's Vengeance"</f>
        <v>Akroma's Vengeance</v>
      </c>
      <c r="G38">
        <f>SUMIFS(Colección!$L$2:$L$10001,Colección!$F$2:$F$10001,$F38,Colección!$M$2:$M$10001,"Compra")</f>
        <v>1.3092625064466219</v>
      </c>
      <c r="H38">
        <f>IF($G38=0,"",_xlfn.RANK.EQ($G38,$G$2:$G$2353,0)+COUNTIF($G$2:G38,$G38)-1)</f>
        <v>1541</v>
      </c>
    </row>
    <row r="39" spans="1:8" x14ac:dyDescent="0.25">
      <c r="A39" t="str">
        <f>"Commander Legends"</f>
        <v>Commander Legends</v>
      </c>
      <c r="B39">
        <f>SUMIFS(Colección!$L$2:$L$10001,Colección!$G$2:$G$10001,$A39,Colección!$M$2:$M$10001,"Compra")</f>
        <v>10.920436585615603</v>
      </c>
      <c r="C39">
        <f>SUMIFS(Colección!$K$2:$K$10001,Colección!$G$2:$G$10001,$A39,Colección!$M$2:$M$10001,"Compra")</f>
        <v>10</v>
      </c>
      <c r="D39">
        <f>IF($B39=0,"",_xlfn.RANK.EQ($B39,$B$2:$B$321,0)+COUNTIF($B$2:B39,$B39)-1)</f>
        <v>236</v>
      </c>
      <c r="F39" t="str">
        <f>"Akroma, Angel of Wrath"</f>
        <v>Akroma, Angel of Wrath</v>
      </c>
      <c r="G39">
        <f>SUMIFS(Colección!$L$2:$L$10001,Colección!$F$2:$F$10001,$F39,Colección!$M$2:$M$10001,"Compra")</f>
        <v>8.7915169487552163</v>
      </c>
      <c r="H39">
        <f>IF($G39=0,"",_xlfn.RANK.EQ($G39,$G$2:$G$2353,0)+COUNTIF($G$2:G39,$G39)-1)</f>
        <v>714</v>
      </c>
    </row>
    <row r="40" spans="1:8" x14ac:dyDescent="0.25">
      <c r="A40" t="str">
        <f>"Commander Legends: Battle for Baldur's Gate"</f>
        <v>Commander Legends: Battle for Baldur's Gate</v>
      </c>
      <c r="B40">
        <f>SUMIFS(Colección!$L$2:$L$10001,Colección!$G$2:$G$10001,$A40,Colección!$M$2:$M$10001,"Compra")</f>
        <v>1.5781945739096306</v>
      </c>
      <c r="C40">
        <f>SUMIFS(Colección!$K$2:$K$10001,Colección!$G$2:$G$10001,$A40,Colección!$M$2:$M$10001,"Compra")</f>
        <v>4</v>
      </c>
      <c r="D40">
        <f>IF($B40=0,"",_xlfn.RANK.EQ($B40,$B$2:$B$321,0)+COUNTIF($B$2:B40,$B40)-1)</f>
        <v>294</v>
      </c>
      <c r="F40" t="str">
        <f>"All Is Dust"</f>
        <v>All Is Dust</v>
      </c>
      <c r="G40">
        <f>SUMIFS(Colección!$L$2:$L$10001,Colección!$F$2:$F$10001,$F40,Colección!$M$2:$M$10001,"Compra")</f>
        <v>22.069999999999997</v>
      </c>
      <c r="H40">
        <f>IF($G40=0,"",_xlfn.RANK.EQ($G40,$G$2:$G$2353,0)+COUNTIF($G$2:G40,$G40)-1)</f>
        <v>353</v>
      </c>
    </row>
    <row r="41" spans="1:8" x14ac:dyDescent="0.25">
      <c r="A41" t="str">
        <f>"Commander Legends: Battle for Baldur's Gate: Extras"</f>
        <v>Commander Legends: Battle for Baldur's Gate: Extras</v>
      </c>
      <c r="B41">
        <f>SUMIFS(Colección!$L$2:$L$10001,Colección!$G$2:$G$10001,$A41,Colección!$M$2:$M$10001,"Compra")</f>
        <v>15.579124547609101</v>
      </c>
      <c r="C41">
        <f>SUMIFS(Colección!$K$2:$K$10001,Colección!$G$2:$G$10001,$A41,Colección!$M$2:$M$10001,"Compra")</f>
        <v>17</v>
      </c>
      <c r="D41">
        <f>IF($B41=0,"",_xlfn.RANK.EQ($B41,$B$2:$B$321,0)+COUNTIF($B$2:B41,$B41)-1)</f>
        <v>219</v>
      </c>
      <c r="F41" t="str">
        <f>"Alpine Moon"</f>
        <v>Alpine Moon</v>
      </c>
      <c r="G41">
        <f>SUMIFS(Colección!$L$2:$L$10001,Colección!$F$2:$F$10001,$F41,Colección!$M$2:$M$10001,"Compra")</f>
        <v>7.8954393770856504</v>
      </c>
      <c r="H41">
        <f>IF($G41=0,"",_xlfn.RANK.EQ($G41,$G$2:$G$2353,0)+COUNTIF($G$2:G41,$G41)-1)</f>
        <v>755</v>
      </c>
    </row>
    <row r="42" spans="1:8" x14ac:dyDescent="0.25">
      <c r="A42" t="str">
        <f>"Commander Legends: Extras"</f>
        <v>Commander Legends: Extras</v>
      </c>
      <c r="B42">
        <f>SUMIFS(Colección!$L$2:$L$10001,Colección!$G$2:$G$10001,$A42,Colección!$M$2:$M$10001,"Compra")</f>
        <v>19.513239721297396</v>
      </c>
      <c r="C42">
        <f>SUMIFS(Colección!$K$2:$K$10001,Colección!$G$2:$G$10001,$A42,Colección!$M$2:$M$10001,"Compra")</f>
        <v>12</v>
      </c>
      <c r="D42">
        <f>IF($B42=0,"",_xlfn.RANK.EQ($B42,$B$2:$B$321,0)+COUNTIF($B$2:B42,$B42)-1)</f>
        <v>207</v>
      </c>
      <c r="F42" t="str">
        <f>"Altanak, the Thrice-Called"</f>
        <v>Altanak, the Thrice-Called</v>
      </c>
      <c r="G42">
        <f>SUMIFS(Colección!$L$2:$L$10001,Colección!$F$2:$F$10001,$F42,Colección!$M$2:$M$10001,"Compra")</f>
        <v>0.49384615384615382</v>
      </c>
      <c r="H42">
        <f>IF($G42=0,"",_xlfn.RANK.EQ($G42,$G$2:$G$2353,0)+COUNTIF($G$2:G42,$G42)-1)</f>
        <v>1885</v>
      </c>
    </row>
    <row r="43" spans="1:8" x14ac:dyDescent="0.25">
      <c r="A43" t="str">
        <f>"Commander Masters"</f>
        <v>Commander Masters</v>
      </c>
      <c r="B43">
        <f>SUMIFS(Colección!$L$2:$L$10001,Colección!$G$2:$G$10001,$A43,Colección!$M$2:$M$10001,"Compra")</f>
        <v>26.172152277312012</v>
      </c>
      <c r="C43">
        <f>SUMIFS(Colección!$K$2:$K$10001,Colección!$G$2:$G$10001,$A43,Colección!$M$2:$M$10001,"Compra")</f>
        <v>8</v>
      </c>
      <c r="D43">
        <f>IF($B43=0,"",_xlfn.RANK.EQ($B43,$B$2:$B$321,0)+COUNTIF($B$2:B43,$B43)-1)</f>
        <v>192</v>
      </c>
      <c r="F43" t="str">
        <f>"Alvida (OP03-023)"</f>
        <v>Alvida (OP03-023)</v>
      </c>
      <c r="G43">
        <f>SUMIFS(Colección!$L$2:$L$10001,Colección!$F$2:$F$10001,$F43,Colección!$M$2:$M$10001,"Compra")</f>
        <v>0.1665891472868217</v>
      </c>
      <c r="H43">
        <f>IF($G43=0,"",_xlfn.RANK.EQ($G43,$G$2:$G$2353,0)+COUNTIF($G$2:G43,$G43)-1)</f>
        <v>2099</v>
      </c>
    </row>
    <row r="44" spans="1:8" x14ac:dyDescent="0.25">
      <c r="A44" t="str">
        <f>"Commander Masters: Extras"</f>
        <v>Commander Masters: Extras</v>
      </c>
      <c r="B44">
        <f>SUMIFS(Colección!$L$2:$L$10001,Colección!$G$2:$G$10001,$A44,Colección!$M$2:$M$10001,"Compra")</f>
        <v>20.742887975334021</v>
      </c>
      <c r="C44">
        <f>SUMIFS(Colección!$K$2:$K$10001,Colección!$G$2:$G$10001,$A44,Colección!$M$2:$M$10001,"Compra")</f>
        <v>8</v>
      </c>
      <c r="D44">
        <f>IF($B44=0,"",_xlfn.RANK.EQ($B44,$B$2:$B$321,0)+COUNTIF($B$2:B44,$B44)-1)</f>
        <v>204</v>
      </c>
      <c r="F44" t="str">
        <f>"Amalia Benavides Aguirre"</f>
        <v>Amalia Benavides Aguirre</v>
      </c>
      <c r="G44">
        <f>SUMIFS(Colección!$L$2:$L$10001,Colección!$F$2:$F$10001,$F44,Colección!$M$2:$M$10001,"Compra")</f>
        <v>6.02</v>
      </c>
      <c r="H44">
        <f>IF($G44=0,"",_xlfn.RANK.EQ($G44,$G$2:$G$2353,0)+COUNTIF($G$2:G44,$G44)-1)</f>
        <v>887</v>
      </c>
    </row>
    <row r="45" spans="1:8" x14ac:dyDescent="0.25">
      <c r="A45" t="str">
        <f>"Commander: Adventures in the Forgotten Realms"</f>
        <v>Commander: Adventures in the Forgotten Realms</v>
      </c>
      <c r="B45">
        <f>SUMIFS(Colección!$L$2:$L$10001,Colección!$G$2:$G$10001,$A45,Colección!$M$2:$M$10001,"Compra")</f>
        <v>41.355545395229662</v>
      </c>
      <c r="C45">
        <f>SUMIFS(Colección!$K$2:$K$10001,Colección!$G$2:$G$10001,$A45,Colección!$M$2:$M$10001,"Compra")</f>
        <v>16</v>
      </c>
      <c r="D45">
        <f>IF($B45=0,"",_xlfn.RANK.EQ($B45,$B$2:$B$321,0)+COUNTIF($B$2:B45,$B45)-1)</f>
        <v>157</v>
      </c>
      <c r="F45" t="str">
        <f>"Amazon (OP05-099)"</f>
        <v>Amazon (OP05-099)</v>
      </c>
      <c r="G45">
        <f>SUMIFS(Colección!$L$2:$L$10001,Colección!$F$2:$F$10001,$F45,Colección!$M$2:$M$10001,"Compra")</f>
        <v>8.1185112634671888E-2</v>
      </c>
      <c r="H45">
        <f>IF($G45=0,"",_xlfn.RANK.EQ($G45,$G$2:$G$2353,0)+COUNTIF($G$2:G45,$G45)-1)</f>
        <v>2222</v>
      </c>
    </row>
    <row r="46" spans="1:8" x14ac:dyDescent="0.25">
      <c r="A46" t="str">
        <f>"Commander: Dominaria United"</f>
        <v>Commander: Dominaria United</v>
      </c>
      <c r="B46">
        <f>SUMIFS(Colección!$L$2:$L$10001,Colección!$G$2:$G$10001,$A46,Colección!$M$2:$M$10001,"Compra")</f>
        <v>16.163222289584091</v>
      </c>
      <c r="C46">
        <f>SUMIFS(Colección!$K$2:$K$10001,Colección!$G$2:$G$10001,$A46,Colección!$M$2:$M$10001,"Compra")</f>
        <v>13</v>
      </c>
      <c r="D46">
        <f>IF($B46=0,"",_xlfn.RANK.EQ($B46,$B$2:$B$321,0)+COUNTIF($B$2:B46,$B46)-1)</f>
        <v>217</v>
      </c>
      <c r="F46" t="str">
        <f>"Ambrosia Whiteheart"</f>
        <v>Ambrosia Whiteheart</v>
      </c>
      <c r="G46">
        <f>SUMIFS(Colección!$L$2:$L$10001,Colección!$F$2:$F$10001,$F46,Colección!$M$2:$M$10001,"Compra")</f>
        <v>1.0307692307692309</v>
      </c>
      <c r="H46">
        <f>IF($G46=0,"",_xlfn.RANK.EQ($G46,$G$2:$G$2353,0)+COUNTIF($G$2:G46,$G46)-1)</f>
        <v>1647</v>
      </c>
    </row>
    <row r="47" spans="1:8" x14ac:dyDescent="0.25">
      <c r="A47" t="str">
        <f>"Commander: Duskmourn: House of Horror: Extras"</f>
        <v>Commander: Duskmourn: House of Horror: Extras</v>
      </c>
      <c r="B47">
        <f>SUMIFS(Colección!$L$2:$L$10001,Colección!$G$2:$G$10001,$A47,Colección!$M$2:$M$10001,"Compra")</f>
        <v>41.880324892498798</v>
      </c>
      <c r="C47">
        <f>SUMIFS(Colección!$K$2:$K$10001,Colección!$G$2:$G$10001,$A47,Colección!$M$2:$M$10001,"Compra")</f>
        <v>4</v>
      </c>
      <c r="D47">
        <f>IF($B47=0,"",_xlfn.RANK.EQ($B47,$B$2:$B$321,0)+COUNTIF($B$2:B47,$B47)-1)</f>
        <v>154</v>
      </c>
      <c r="F47" t="str">
        <f>"Amped Raptor"</f>
        <v>Amped Raptor</v>
      </c>
      <c r="G47">
        <f>SUMIFS(Colección!$L$2:$L$10001,Colección!$F$2:$F$10001,$F47,Colección!$M$2:$M$10001,"Compra")</f>
        <v>7.8540000000000001</v>
      </c>
      <c r="H47">
        <f>IF($G47=0,"",_xlfn.RANK.EQ($G47,$G$2:$G$2353,0)+COUNTIF($G$2:G47,$G47)-1)</f>
        <v>758</v>
      </c>
    </row>
    <row r="48" spans="1:8" x14ac:dyDescent="0.25">
      <c r="A48" t="str">
        <f>"Commander: Ikoria"</f>
        <v>Commander: Ikoria</v>
      </c>
      <c r="B48">
        <f>SUMIFS(Colección!$L$2:$L$10001,Colección!$G$2:$G$10001,$A48,Colección!$M$2:$M$10001,"Compra")</f>
        <v>3.866872343650869</v>
      </c>
      <c r="C48">
        <f>SUMIFS(Colección!$K$2:$K$10001,Colección!$G$2:$G$10001,$A48,Colección!$M$2:$M$10001,"Compra")</f>
        <v>7</v>
      </c>
      <c r="D48">
        <f>IF($B48=0,"",_xlfn.RANK.EQ($B48,$B$2:$B$321,0)+COUNTIF($B$2:B48,$B48)-1)</f>
        <v>272</v>
      </c>
      <c r="F48" t="str">
        <f>"Amulet of Vigor"</f>
        <v>Amulet of Vigor</v>
      </c>
      <c r="G48">
        <f>SUMIFS(Colección!$L$2:$L$10001,Colección!$F$2:$F$10001,$F48,Colección!$M$2:$M$10001,"Compra")</f>
        <v>152.69</v>
      </c>
      <c r="H48">
        <f>IF($G48=0,"",_xlfn.RANK.EQ($G48,$G$2:$G$2353,0)+COUNTIF($G$2:G48,$G48)-1)</f>
        <v>33</v>
      </c>
    </row>
    <row r="49" spans="1:8" x14ac:dyDescent="0.25">
      <c r="A49" t="str">
        <f>"Commander: Innistrad: Crimson Vow"</f>
        <v>Commander: Innistrad: Crimson Vow</v>
      </c>
      <c r="B49">
        <f>SUMIFS(Colección!$L$2:$L$10001,Colección!$G$2:$G$10001,$A49,Colección!$M$2:$M$10001,"Compra")</f>
        <v>0.21197183098591549</v>
      </c>
      <c r="C49">
        <f>SUMIFS(Colección!$K$2:$K$10001,Colección!$G$2:$G$10001,$A49,Colección!$M$2:$M$10001,"Compra")</f>
        <v>1</v>
      </c>
      <c r="D49">
        <f>IF($B49=0,"",_xlfn.RANK.EQ($B49,$B$2:$B$321,0)+COUNTIF($B$2:B49,$B49)-1)</f>
        <v>314</v>
      </c>
      <c r="F49" t="str">
        <f>"Analyze the Pollen"</f>
        <v>Analyze the Pollen</v>
      </c>
      <c r="G49">
        <f>SUMIFS(Colección!$L$2:$L$10001,Colección!$F$2:$F$10001,$F49,Colección!$M$2:$M$10001,"Compra")</f>
        <v>2.497422680412372</v>
      </c>
      <c r="H49">
        <f>IF($G49=0,"",_xlfn.RANK.EQ($G49,$G$2:$G$2353,0)+COUNTIF($G$2:G49,$G49)-1)</f>
        <v>1259</v>
      </c>
    </row>
    <row r="50" spans="1:8" x14ac:dyDescent="0.25">
      <c r="A50" t="str">
        <f>"Commander: Kaldheim"</f>
        <v>Commander: Kaldheim</v>
      </c>
      <c r="B50">
        <f>SUMIFS(Colección!$L$2:$L$10001,Colección!$G$2:$G$10001,$A50,Colección!$M$2:$M$10001,"Compra")</f>
        <v>4.1546165014834919</v>
      </c>
      <c r="C50">
        <f>SUMIFS(Colección!$K$2:$K$10001,Colección!$G$2:$G$10001,$A50,Colección!$M$2:$M$10001,"Compra")</f>
        <v>2</v>
      </c>
      <c r="D50">
        <f>IF($B50=0,"",_xlfn.RANK.EQ($B50,$B$2:$B$321,0)+COUNTIF($B$2:B50,$B50)-1)</f>
        <v>270</v>
      </c>
      <c r="F50" t="str">
        <f>"Ancestral Anger"</f>
        <v>Ancestral Anger</v>
      </c>
      <c r="G50">
        <f>SUMIFS(Colección!$L$2:$L$10001,Colección!$F$2:$F$10001,$F50,Colección!$M$2:$M$10001,"Compra")</f>
        <v>0.64325133689839564</v>
      </c>
      <c r="H50">
        <f>IF($G50=0,"",_xlfn.RANK.EQ($G50,$G$2:$G$2353,0)+COUNTIF($G$2:G50,$G50)-1)</f>
        <v>1794</v>
      </c>
    </row>
    <row r="51" spans="1:8" x14ac:dyDescent="0.25">
      <c r="A51" t="str">
        <f>"Commander: Kamigawa: Neon Dynasty"</f>
        <v>Commander: Kamigawa: Neon Dynasty</v>
      </c>
      <c r="B51">
        <f>SUMIFS(Colección!$L$2:$L$10001,Colección!$G$2:$G$10001,$A51,Colección!$M$2:$M$10001,"Compra")</f>
        <v>1.066106442577031</v>
      </c>
      <c r="C51">
        <f>SUMIFS(Colección!$K$2:$K$10001,Colección!$G$2:$G$10001,$A51,Colección!$M$2:$M$10001,"Compra")</f>
        <v>1</v>
      </c>
      <c r="D51">
        <f>IF($B51=0,"",_xlfn.RANK.EQ($B51,$B$2:$B$321,0)+COUNTIF($B$2:B51,$B51)-1)</f>
        <v>300</v>
      </c>
      <c r="F51" t="str">
        <f>"Ancient Cornucopia (V.1)"</f>
        <v>Ancient Cornucopia (V.1)</v>
      </c>
      <c r="G51">
        <f>SUMIFS(Colección!$L$2:$L$10001,Colección!$F$2:$F$10001,$F51,Colección!$M$2:$M$10001,"Compra")</f>
        <v>5.2087338748208314</v>
      </c>
      <c r="H51">
        <f>IF($G51=0,"",_xlfn.RANK.EQ($G51,$G$2:$G$2353,0)+COUNTIF($G$2:G51,$G51)-1)</f>
        <v>957</v>
      </c>
    </row>
    <row r="52" spans="1:8" x14ac:dyDescent="0.25">
      <c r="A52" t="str">
        <f>"Commander: Modern Horizons 3"</f>
        <v>Commander: Modern Horizons 3</v>
      </c>
      <c r="B52">
        <f>SUMIFS(Colección!$L$2:$L$10001,Colección!$G$2:$G$10001,$A52,Colección!$M$2:$M$10001,"Compra")</f>
        <v>25.240000000000002</v>
      </c>
      <c r="C52">
        <f>SUMIFS(Colección!$K$2:$K$10001,Colección!$G$2:$G$10001,$A52,Colección!$M$2:$M$10001,"Compra")</f>
        <v>5</v>
      </c>
      <c r="D52">
        <f>IF($B52=0,"",_xlfn.RANK.EQ($B52,$B$2:$B$321,0)+COUNTIF($B$2:B52,$B52)-1)</f>
        <v>193</v>
      </c>
      <c r="F52" t="str">
        <f>"Ancient Den"</f>
        <v>Ancient Den</v>
      </c>
      <c r="G52">
        <f>SUMIFS(Colección!$L$2:$L$10001,Colección!$F$2:$F$10001,$F52,Colección!$M$2:$M$10001,"Compra")</f>
        <v>8.2909090909090928</v>
      </c>
      <c r="H52">
        <f>IF($G52=0,"",_xlfn.RANK.EQ($G52,$G$2:$G$2353,0)+COUNTIF($G$2:G52,$G52)-1)</f>
        <v>735</v>
      </c>
    </row>
    <row r="53" spans="1:8" x14ac:dyDescent="0.25">
      <c r="A53" t="str">
        <f>"Commander: Modern Horizons 3: Extras"</f>
        <v>Commander: Modern Horizons 3: Extras</v>
      </c>
      <c r="B53">
        <f>SUMIFS(Colección!$L$2:$L$10001,Colección!$G$2:$G$10001,$A53,Colección!$M$2:$M$10001,"Compra")</f>
        <v>77.22</v>
      </c>
      <c r="C53">
        <f>SUMIFS(Colección!$K$2:$K$10001,Colección!$G$2:$G$10001,$A53,Colección!$M$2:$M$10001,"Compra")</f>
        <v>7</v>
      </c>
      <c r="D53">
        <f>IF($B53=0,"",_xlfn.RANK.EQ($B53,$B$2:$B$321,0)+COUNTIF($B$2:B53,$B53)-1)</f>
        <v>108</v>
      </c>
      <c r="F53" t="str">
        <f>"Ancient Grudge"</f>
        <v>Ancient Grudge</v>
      </c>
      <c r="G53">
        <f>SUMIFS(Colección!$L$2:$L$10001,Colección!$F$2:$F$10001,$F53,Colección!$M$2:$M$10001,"Compra")</f>
        <v>0.66455266138165359</v>
      </c>
      <c r="H53">
        <f>IF($G53=0,"",_xlfn.RANK.EQ($G53,$G$2:$G$2353,0)+COUNTIF($G$2:G53,$G53)-1)</f>
        <v>1778</v>
      </c>
    </row>
    <row r="54" spans="1:8" x14ac:dyDescent="0.25">
      <c r="A54" t="str">
        <f>"Commander: Outlaws of Thunder Junction"</f>
        <v>Commander: Outlaws of Thunder Junction</v>
      </c>
      <c r="B54">
        <f>SUMIFS(Colección!$L$2:$L$10001,Colección!$G$2:$G$10001,$A54,Colección!$M$2:$M$10001,"Compra")</f>
        <v>1.001465364120782</v>
      </c>
      <c r="C54">
        <f>SUMIFS(Colección!$K$2:$K$10001,Colección!$G$2:$G$10001,$A54,Colección!$M$2:$M$10001,"Compra")</f>
        <v>1</v>
      </c>
      <c r="D54">
        <f>IF($B54=0,"",_xlfn.RANK.EQ($B54,$B$2:$B$321,0)+COUNTIF($B$2:B54,$B54)-1)</f>
        <v>301</v>
      </c>
      <c r="F54" t="str">
        <f>"Ancient Stirrings"</f>
        <v>Ancient Stirrings</v>
      </c>
      <c r="G54">
        <f>SUMIFS(Colección!$L$2:$L$10001,Colección!$F$2:$F$10001,$F54,Colección!$M$2:$M$10001,"Compra")</f>
        <v>11.733995381062353</v>
      </c>
      <c r="H54">
        <f>IF($G54=0,"",_xlfn.RANK.EQ($G54,$G$2:$G$2353,0)+COUNTIF($G$2:G54,$G54)-1)</f>
        <v>592</v>
      </c>
    </row>
    <row r="55" spans="1:8" x14ac:dyDescent="0.25">
      <c r="A55" t="str">
        <f>"Commander: Streets of New Capenna"</f>
        <v>Commander: Streets of New Capenna</v>
      </c>
      <c r="B55">
        <f>SUMIFS(Colección!$L$2:$L$10001,Colección!$G$2:$G$10001,$A55,Colección!$M$2:$M$10001,"Compra")</f>
        <v>1.2069320763838531</v>
      </c>
      <c r="C55">
        <f>SUMIFS(Colección!$K$2:$K$10001,Colección!$G$2:$G$10001,$A55,Colección!$M$2:$M$10001,"Compra")</f>
        <v>5</v>
      </c>
      <c r="D55">
        <f>IF($B55=0,"",_xlfn.RANK.EQ($B55,$B$2:$B$321,0)+COUNTIF($B$2:B55,$B55)-1)</f>
        <v>298</v>
      </c>
      <c r="F55" t="str">
        <f>"Andúril, Flame of the West"</f>
        <v>Andúril, Flame of the West</v>
      </c>
      <c r="G55">
        <f>SUMIFS(Colección!$L$2:$L$10001,Colección!$F$2:$F$10001,$F55,Colección!$M$2:$M$10001,"Compra")</f>
        <v>7.3300598991172752</v>
      </c>
      <c r="H55">
        <f>IF($G55=0,"",_xlfn.RANK.EQ($G55,$G$2:$G$2353,0)+COUNTIF($G$2:G55,$G55)-1)</f>
        <v>789</v>
      </c>
    </row>
    <row r="56" spans="1:8" x14ac:dyDescent="0.25">
      <c r="A56" t="str">
        <f>"Commander: Strixhaven"</f>
        <v>Commander: Strixhaven</v>
      </c>
      <c r="B56">
        <f>SUMIFS(Colección!$L$2:$L$10001,Colección!$G$2:$G$10001,$A56,Colección!$M$2:$M$10001,"Compra")</f>
        <v>0.57131800629209595</v>
      </c>
      <c r="C56">
        <f>SUMIFS(Colección!$K$2:$K$10001,Colección!$G$2:$G$10001,$A56,Colección!$M$2:$M$10001,"Compra")</f>
        <v>5</v>
      </c>
      <c r="D56">
        <f>IF($B56=0,"",_xlfn.RANK.EQ($B56,$B$2:$B$321,0)+COUNTIF($B$2:B56,$B56)-1)</f>
        <v>304</v>
      </c>
      <c r="F56" t="str">
        <f>"Angel of the Ruins"</f>
        <v>Angel of the Ruins</v>
      </c>
      <c r="G56">
        <f>SUMIFS(Colección!$L$2:$L$10001,Colección!$F$2:$F$10001,$F56,Colección!$M$2:$M$10001,"Compra")</f>
        <v>0.32826086956521738</v>
      </c>
      <c r="H56">
        <f>IF($G56=0,"",_xlfn.RANK.EQ($G56,$G$2:$G$2353,0)+COUNTIF($G$2:G56,$G56)-1)</f>
        <v>1990</v>
      </c>
    </row>
    <row r="57" spans="1:8" x14ac:dyDescent="0.25">
      <c r="A57" t="str">
        <f>"Commander: The Brothers' War"</f>
        <v>Commander: The Brothers' War</v>
      </c>
      <c r="B57">
        <f>SUMIFS(Colección!$L$2:$L$10001,Colección!$G$2:$G$10001,$A57,Colección!$M$2:$M$10001,"Compra")</f>
        <v>196.0104008726793</v>
      </c>
      <c r="C57">
        <f>SUMIFS(Colección!$K$2:$K$10001,Colección!$G$2:$G$10001,$A57,Colección!$M$2:$M$10001,"Compra")</f>
        <v>68</v>
      </c>
      <c r="D57">
        <f>IF($B57=0,"",_xlfn.RANK.EQ($B57,$B$2:$B$321,0)+COUNTIF($B$2:B57,$B57)-1)</f>
        <v>49</v>
      </c>
      <c r="F57" t="str">
        <f>"Angel Token (White 4/4)"</f>
        <v>Angel Token (White 4/4)</v>
      </c>
      <c r="G57">
        <f>SUMIFS(Colección!$L$2:$L$10001,Colección!$F$2:$F$10001,$F57,Colección!$M$2:$M$10001,"Compra")</f>
        <v>0.48785175017158561</v>
      </c>
      <c r="H57">
        <f>IF($G57=0,"",_xlfn.RANK.EQ($G57,$G$2:$G$2353,0)+COUNTIF($G$2:G57,$G57)-1)</f>
        <v>1887</v>
      </c>
    </row>
    <row r="58" spans="1:8" x14ac:dyDescent="0.25">
      <c r="A58" t="str">
        <f>"Commander: The Lord of the Rings:"</f>
        <v>Commander: The Lord of the Rings:</v>
      </c>
      <c r="B58">
        <f>SUMIFS(Colección!$L$2:$L$10001,Colección!$G$2:$G$10001,$A58,Colección!$M$2:$M$10001,"Compra")</f>
        <v>0.2752941176470588</v>
      </c>
      <c r="C58">
        <f>SUMIFS(Colección!$K$2:$K$10001,Colección!$G$2:$G$10001,$A58,Colección!$M$2:$M$10001,"Compra")</f>
        <v>1</v>
      </c>
      <c r="D58">
        <f>IF($B58=0,"",_xlfn.RANK.EQ($B58,$B$2:$B$321,0)+COUNTIF($B$2:B58,$B58)-1)</f>
        <v>312</v>
      </c>
      <c r="F58" t="str">
        <f>"Anger of the Gods"</f>
        <v>Anger of the Gods</v>
      </c>
      <c r="G58">
        <f>SUMIFS(Colección!$L$2:$L$10001,Colección!$F$2:$F$10001,$F58,Colección!$M$2:$M$10001,"Compra")</f>
        <v>2.33</v>
      </c>
      <c r="H58">
        <f>IF($G58=0,"",_xlfn.RANK.EQ($G58,$G$2:$G$2353,0)+COUNTIF($G$2:G58,$G58)-1)</f>
        <v>1281</v>
      </c>
    </row>
    <row r="59" spans="1:8" x14ac:dyDescent="0.25">
      <c r="A59" t="str">
        <f>"Commander: The Lord of the Rings: Tales of Middle-"</f>
        <v>Commander: The Lord of the Rings: Tales of Middle-</v>
      </c>
      <c r="B59">
        <f>SUMIFS(Colección!$L$2:$L$10001,Colección!$G$2:$G$10001,$A59,Colección!$M$2:$M$10001,"Compra")</f>
        <v>6.7832191780821924</v>
      </c>
      <c r="C59">
        <f>SUMIFS(Colección!$K$2:$K$10001,Colección!$G$2:$G$10001,$A59,Colección!$M$2:$M$10001,"Compra")</f>
        <v>4</v>
      </c>
      <c r="D59">
        <f>IF($B59=0,"",_xlfn.RANK.EQ($B59,$B$2:$B$321,0)+COUNTIF($B$2:B59,$B59)-1)</f>
        <v>251</v>
      </c>
      <c r="F59" t="str">
        <f>"Angler Beast"</f>
        <v>Angler Beast</v>
      </c>
      <c r="G59">
        <f>SUMIFS(Colección!$L$2:$L$10001,Colección!$F$2:$F$10001,$F59,Colección!$M$2:$M$10001,"Compra")</f>
        <v>2.1259139685046686</v>
      </c>
      <c r="H59">
        <f>IF($G59=0,"",_xlfn.RANK.EQ($G59,$G$2:$G$2353,0)+COUNTIF($G$2:G59,$G59)-1)</f>
        <v>1337</v>
      </c>
    </row>
    <row r="60" spans="1:8" x14ac:dyDescent="0.25">
      <c r="A60" t="str">
        <f>"Commander: The Lost Caverns of Ixalan"</f>
        <v>Commander: The Lost Caverns of Ixalan</v>
      </c>
      <c r="B60">
        <f>SUMIFS(Colección!$L$2:$L$10001,Colección!$G$2:$G$10001,$A60,Colección!$M$2:$M$10001,"Compra")</f>
        <v>27.302185330733394</v>
      </c>
      <c r="C60">
        <f>SUMIFS(Colección!$K$2:$K$10001,Colección!$G$2:$G$10001,$A60,Colección!$M$2:$M$10001,"Compra")</f>
        <v>15</v>
      </c>
      <c r="D60">
        <f>IF($B60=0,"",_xlfn.RANK.EQ($B60,$B$2:$B$321,0)+COUNTIF($B$2:B60,$B60)-1)</f>
        <v>183</v>
      </c>
      <c r="F60" t="str">
        <f>"Angrath, Captain of Chaos"</f>
        <v>Angrath, Captain of Chaos</v>
      </c>
      <c r="G60">
        <f>SUMIFS(Colección!$L$2:$L$10001,Colección!$F$2:$F$10001,$F60,Colección!$M$2:$M$10001,"Compra")</f>
        <v>0.16363636363636361</v>
      </c>
      <c r="H60">
        <f>IF($G60=0,"",_xlfn.RANK.EQ($G60,$G$2:$G$2353,0)+COUNTIF($G$2:G60,$G60)-1)</f>
        <v>2101</v>
      </c>
    </row>
    <row r="61" spans="1:8" x14ac:dyDescent="0.25">
      <c r="A61" t="str">
        <f>"Commander: The Lost Caverns of Ixalan: Ex"</f>
        <v>Commander: The Lost Caverns of Ixalan: Ex</v>
      </c>
      <c r="B61">
        <f>SUMIFS(Colección!$L$2:$L$10001,Colección!$G$2:$G$10001,$A61,Colección!$M$2:$M$10001,"Compra")</f>
        <v>51.109134964865518</v>
      </c>
      <c r="C61">
        <f>SUMIFS(Colección!$K$2:$K$10001,Colección!$G$2:$G$10001,$A61,Colección!$M$2:$M$10001,"Compra")</f>
        <v>4</v>
      </c>
      <c r="D61">
        <f>IF($B61=0,"",_xlfn.RANK.EQ($B61,$B$2:$B$321,0)+COUNTIF($B$2:B61,$B61)-1)</f>
        <v>142</v>
      </c>
      <c r="F61" t="str">
        <f>"Annul"</f>
        <v>Annul</v>
      </c>
      <c r="G61">
        <f>SUMIFS(Colección!$L$2:$L$10001,Colección!$F$2:$F$10001,$F61,Colección!$M$2:$M$10001,"Compra")</f>
        <v>11.831736360154162</v>
      </c>
      <c r="H61">
        <f>IF($G61=0,"",_xlfn.RANK.EQ($G61,$G$2:$G$2353,0)+COUNTIF($G$2:G61,$G61)-1)</f>
        <v>589</v>
      </c>
    </row>
    <row r="62" spans="1:8" x14ac:dyDescent="0.25">
      <c r="A62" t="str">
        <f>"Conflux"</f>
        <v>Conflux</v>
      </c>
      <c r="B62">
        <f>SUMIFS(Colección!$L$2:$L$10001,Colección!$G$2:$G$10001,$A62,Colección!$M$2:$M$10001,"Compra")</f>
        <v>46.062905119626286</v>
      </c>
      <c r="C62">
        <f>SUMIFS(Colección!$K$2:$K$10001,Colección!$G$2:$G$10001,$A62,Colección!$M$2:$M$10001,"Compra")</f>
        <v>5</v>
      </c>
      <c r="D62">
        <f>IF($B62=0,"",_xlfn.RANK.EQ($B62,$B$2:$B$321,0)+COUNTIF($B$2:B62,$B62)-1)</f>
        <v>148</v>
      </c>
      <c r="F62" t="str">
        <f>"Anointed Peacekeeper"</f>
        <v>Anointed Peacekeeper</v>
      </c>
      <c r="G62">
        <f>SUMIFS(Colección!$L$2:$L$10001,Colección!$F$2:$F$10001,$F62,Colección!$M$2:$M$10001,"Compra")</f>
        <v>4.2325852782764821</v>
      </c>
      <c r="H62">
        <f>IF($G62=0,"",_xlfn.RANK.EQ($G62,$G$2:$G$2353,0)+COUNTIF($G$2:G62,$G62)-1)</f>
        <v>1041</v>
      </c>
    </row>
    <row r="63" spans="1:8" x14ac:dyDescent="0.25">
      <c r="A63" t="str">
        <f>"Core 2019"</f>
        <v>Core 2019</v>
      </c>
      <c r="B63">
        <f>SUMIFS(Colección!$L$2:$L$10001,Colección!$G$2:$G$10001,$A63,Colección!$M$2:$M$10001,"Compra")</f>
        <v>24.085439377085653</v>
      </c>
      <c r="C63">
        <f>SUMIFS(Colección!$K$2:$K$10001,Colección!$G$2:$G$10001,$A63,Colección!$M$2:$M$10001,"Compra")</f>
        <v>10</v>
      </c>
      <c r="D63">
        <f>IF($B63=0,"",_xlfn.RANK.EQ($B63,$B$2:$B$321,0)+COUNTIF($B$2:B63,$B63)-1)</f>
        <v>194</v>
      </c>
      <c r="F63" t="str">
        <f>"Apis (OP04-041)"</f>
        <v>Apis (OP04-041)</v>
      </c>
      <c r="G63">
        <f>SUMIFS(Colección!$L$2:$L$10001,Colección!$F$2:$F$10001,$F63,Colección!$M$2:$M$10001,"Compra")</f>
        <v>6.1898734177215198E-2</v>
      </c>
      <c r="H63">
        <f>IF($G63=0,"",_xlfn.RANK.EQ($G63,$G$2:$G$2353,0)+COUNTIF($G$2:G63,$G63)-1)</f>
        <v>2256</v>
      </c>
    </row>
    <row r="64" spans="1:8" x14ac:dyDescent="0.25">
      <c r="A64" t="str">
        <f>"Core 2020"</f>
        <v>Core 2020</v>
      </c>
      <c r="B64">
        <f>SUMIFS(Colección!$L$2:$L$10001,Colección!$G$2:$G$10001,$A64,Colección!$M$2:$M$10001,"Compra")</f>
        <v>26.503940269700152</v>
      </c>
      <c r="C64">
        <f>SUMIFS(Colección!$K$2:$K$10001,Colección!$G$2:$G$10001,$A64,Colección!$M$2:$M$10001,"Compra")</f>
        <v>18</v>
      </c>
      <c r="D64">
        <f>IF($B64=0,"",_xlfn.RANK.EQ($B64,$B$2:$B$321,0)+COUNTIF($B$2:B64,$B64)-1)</f>
        <v>189</v>
      </c>
      <c r="F64" t="str">
        <f>"Apostle's Blessing"</f>
        <v>Apostle's Blessing</v>
      </c>
      <c r="G64">
        <f>SUMIFS(Colección!$L$2:$L$10001,Colección!$F$2:$F$10001,$F64,Colección!$M$2:$M$10001,"Compra")</f>
        <v>1.6081283422459891</v>
      </c>
      <c r="H64">
        <f>IF($G64=0,"",_xlfn.RANK.EQ($G64,$G$2:$G$2353,0)+COUNTIF($G$2:G64,$G64)-1)</f>
        <v>1460</v>
      </c>
    </row>
    <row r="65" spans="1:8" x14ac:dyDescent="0.25">
      <c r="A65" t="str">
        <f>"Core 2020: Extras"</f>
        <v>Core 2020: Extras</v>
      </c>
      <c r="B65">
        <f>SUMIFS(Colección!$L$2:$L$10001,Colección!$G$2:$G$10001,$A65,Colección!$M$2:$M$10001,"Compra")</f>
        <v>5.588465325664</v>
      </c>
      <c r="C65">
        <f>SUMIFS(Colección!$K$2:$K$10001,Colección!$G$2:$G$10001,$A65,Colección!$M$2:$M$10001,"Compra")</f>
        <v>4</v>
      </c>
      <c r="D65">
        <f>IF($B65=0,"",_xlfn.RANK.EQ($B65,$B$2:$B$321,0)+COUNTIF($B$2:B65,$B65)-1)</f>
        <v>261</v>
      </c>
      <c r="F65" t="str">
        <f>"Apostle's Blessing [Playset]"</f>
        <v>Apostle's Blessing [Playset]</v>
      </c>
      <c r="G65">
        <f>SUMIFS(Colección!$L$2:$L$10001,Colección!$F$2:$F$10001,$F65,Colección!$M$2:$M$10001,"Compra")</f>
        <v>1.392307692307692</v>
      </c>
      <c r="H65">
        <f>IF($G65=0,"",_xlfn.RANK.EQ($G65,$G$2:$G$2353,0)+COUNTIF($G$2:G65,$G65)-1)</f>
        <v>1512</v>
      </c>
    </row>
    <row r="66" spans="1:8" x14ac:dyDescent="0.25">
      <c r="A66" t="str">
        <f>"Core 2021"</f>
        <v>Core 2021</v>
      </c>
      <c r="B66">
        <f>SUMIFS(Colección!$L$2:$L$10001,Colección!$G$2:$G$10001,$A66,Colección!$M$2:$M$10001,"Compra")</f>
        <v>10.302653186999898</v>
      </c>
      <c r="C66">
        <f>SUMIFS(Colección!$K$2:$K$10001,Colección!$G$2:$G$10001,$A66,Colección!$M$2:$M$10001,"Compra")</f>
        <v>30</v>
      </c>
      <c r="D66">
        <f>IF($B66=0,"",_xlfn.RANK.EQ($B66,$B$2:$B$321,0)+COUNTIF($B$2:B66,$B66)-1)</f>
        <v>238</v>
      </c>
      <c r="F66" t="str">
        <f>"Aquamoeba"</f>
        <v>Aquamoeba</v>
      </c>
      <c r="G66">
        <f>SUMIFS(Colección!$L$2:$L$10001,Colección!$F$2:$F$10001,$F66,Colección!$M$2:$M$10001,"Compra")</f>
        <v>7.6341367521367536</v>
      </c>
      <c r="H66">
        <f>IF($G66=0,"",_xlfn.RANK.EQ($G66,$G$2:$G$2353,0)+COUNTIF($G$2:G66,$G66)-1)</f>
        <v>767</v>
      </c>
    </row>
    <row r="67" spans="1:8" x14ac:dyDescent="0.25">
      <c r="A67" t="str">
        <f>"Core 2021: Extras"</f>
        <v>Core 2021: Extras</v>
      </c>
      <c r="B67">
        <f>SUMIFS(Colección!$L$2:$L$10001,Colección!$G$2:$G$10001,$A67,Colección!$M$2:$M$10001,"Compra")</f>
        <v>41.487733281493007</v>
      </c>
      <c r="C67">
        <f>SUMIFS(Colección!$K$2:$K$10001,Colección!$G$2:$G$10001,$A67,Colección!$M$2:$M$10001,"Compra")</f>
        <v>1</v>
      </c>
      <c r="D67">
        <f>IF($B67=0,"",_xlfn.RANK.EQ($B67,$B$2:$B$321,0)+COUNTIF($B$2:B67,$B67)-1)</f>
        <v>155</v>
      </c>
      <c r="F67" t="str">
        <f>"Arabella, Abandoned Doll"</f>
        <v>Arabella, Abandoned Doll</v>
      </c>
      <c r="G67">
        <f>SUMIFS(Colección!$L$2:$L$10001,Colección!$F$2:$F$10001,$F67,Colección!$M$2:$M$10001,"Compra")</f>
        <v>1.35</v>
      </c>
      <c r="H67">
        <f>IF($G67=0,"",_xlfn.RANK.EQ($G67,$G$2:$G$2353,0)+COUNTIF($G$2:G67,$G67)-1)</f>
        <v>1519</v>
      </c>
    </row>
    <row r="68" spans="1:8" x14ac:dyDescent="0.25">
      <c r="A68" t="str">
        <f>"Core 2021: Promos"</f>
        <v>Core 2021: Promos</v>
      </c>
      <c r="B68">
        <f>SUMIFS(Colección!$L$2:$L$10001,Colección!$G$2:$G$10001,$A68,Colección!$M$2:$M$10001,"Compra")</f>
        <v>0.56666666666666665</v>
      </c>
      <c r="C68">
        <f>SUMIFS(Colección!$K$2:$K$10001,Colección!$G$2:$G$10001,$A68,Colección!$M$2:$M$10001,"Compra")</f>
        <v>1</v>
      </c>
      <c r="D68">
        <f>IF($B68=0,"",_xlfn.RANK.EQ($B68,$B$2:$B$321,0)+COUNTIF($B$2:B68,$B68)-1)</f>
        <v>305</v>
      </c>
      <c r="F68" t="str">
        <f>"Aragorn, Company Leader"</f>
        <v>Aragorn, Company Leader</v>
      </c>
      <c r="G68">
        <f>SUMIFS(Colección!$L$2:$L$10001,Colección!$F$2:$F$10001,$F68,Colección!$M$2:$M$10001,"Compra")</f>
        <v>0.20136612021857919</v>
      </c>
      <c r="H68">
        <f>IF($G68=0,"",_xlfn.RANK.EQ($G68,$G$2:$G$2353,0)+COUNTIF($G$2:G68,$G68)-1)</f>
        <v>2092</v>
      </c>
    </row>
    <row r="69" spans="1:8" x14ac:dyDescent="0.25">
      <c r="A69" t="str">
        <f>"Dark Ascension"</f>
        <v>Dark Ascension</v>
      </c>
      <c r="B69">
        <f>SUMIFS(Colección!$L$2:$L$10001,Colección!$G$2:$G$10001,$A69,Colección!$M$2:$M$10001,"Compra")</f>
        <v>52.816225841309446</v>
      </c>
      <c r="C69">
        <f>SUMIFS(Colección!$K$2:$K$10001,Colección!$G$2:$G$10001,$A69,Colección!$M$2:$M$10001,"Compra")</f>
        <v>23</v>
      </c>
      <c r="D69">
        <f>IF($B69=0,"",_xlfn.RANK.EQ($B69,$B$2:$B$321,0)+COUNTIF($B$2:B69,$B69)-1)</f>
        <v>138</v>
      </c>
      <c r="F69" t="str">
        <f>"Aragorn, Company Leader (V.1)"</f>
        <v>Aragorn, Company Leader (V.1)</v>
      </c>
      <c r="G69">
        <f>SUMIFS(Colección!$L$2:$L$10001,Colección!$F$2:$F$10001,$F69,Colección!$M$2:$M$10001,"Compra")</f>
        <v>0.51079812206572772</v>
      </c>
      <c r="H69">
        <f>IF($G69=0,"",_xlfn.RANK.EQ($G69,$G$2:$G$2353,0)+COUNTIF($G$2:G69,$G69)-1)</f>
        <v>1878</v>
      </c>
    </row>
    <row r="70" spans="1:8" x14ac:dyDescent="0.25">
      <c r="A70" t="str">
        <f>"Darksteel"</f>
        <v>Darksteel</v>
      </c>
      <c r="B70">
        <f>SUMIFS(Colección!$L$2:$L$10001,Colección!$G$2:$G$10001,$A70,Colección!$M$2:$M$10001,"Compra")</f>
        <v>98.886259494889657</v>
      </c>
      <c r="C70">
        <f>SUMIFS(Colección!$K$2:$K$10001,Colección!$G$2:$G$10001,$A70,Colección!$M$2:$M$10001,"Compra")</f>
        <v>14</v>
      </c>
      <c r="D70">
        <f>IF($B70=0,"",_xlfn.RANK.EQ($B70,$B$2:$B$321,0)+COUNTIF($B$2:B70,$B70)-1)</f>
        <v>83</v>
      </c>
      <c r="F70" t="str">
        <f>"Aragorn, Company Leader (V.2)"</f>
        <v>Aragorn, Company Leader (V.2)</v>
      </c>
      <c r="G70">
        <f>SUMIFS(Colección!$L$2:$L$10001,Colección!$F$2:$F$10001,$F70,Colección!$M$2:$M$10001,"Compra")</f>
        <v>0.53697632058287803</v>
      </c>
      <c r="H70">
        <f>IF($G70=0,"",_xlfn.RANK.EQ($G70,$G$2:$G$2353,0)+COUNTIF($G$2:G70,$G70)-1)</f>
        <v>1863</v>
      </c>
    </row>
    <row r="71" spans="1:8" x14ac:dyDescent="0.25">
      <c r="A71" t="str">
        <f>"DCI Promos"</f>
        <v>DCI Promos</v>
      </c>
      <c r="B71">
        <f>SUMIFS(Colección!$L$2:$L$10001,Colección!$G$2:$G$10001,$A71,Colección!$M$2:$M$10001,"Compra")</f>
        <v>67.988611111111112</v>
      </c>
      <c r="C71">
        <f>SUMIFS(Colección!$K$2:$K$10001,Colección!$G$2:$G$10001,$A71,Colección!$M$2:$M$10001,"Compra")</f>
        <v>23</v>
      </c>
      <c r="D71">
        <f>IF($B71=0,"",_xlfn.RANK.EQ($B71,$B$2:$B$321,0)+COUNTIF($B$2:B71,$B71)-1)</f>
        <v>118</v>
      </c>
      <c r="F71" t="str">
        <f>"Aragorn, the Uniter"</f>
        <v>Aragorn, the Uniter</v>
      </c>
      <c r="G71">
        <f>SUMIFS(Colección!$L$2:$L$10001,Colección!$F$2:$F$10001,$F71,Colección!$M$2:$M$10001,"Compra")</f>
        <v>5.8218750000000004</v>
      </c>
      <c r="H71">
        <f>IF($G71=0,"",_xlfn.RANK.EQ($G71,$G$2:$G$2353,0)+COUNTIF($G$2:G71,$G71)-1)</f>
        <v>900</v>
      </c>
    </row>
    <row r="72" spans="1:8" x14ac:dyDescent="0.25">
      <c r="A72" t="str">
        <f>"Dissension"</f>
        <v>Dissension</v>
      </c>
      <c r="B72">
        <f>SUMIFS(Colección!$L$2:$L$10001,Colección!$G$2:$G$10001,$A72,Colección!$M$2:$M$10001,"Compra")</f>
        <v>36.533703901348581</v>
      </c>
      <c r="C72">
        <f>SUMIFS(Colección!$K$2:$K$10001,Colección!$G$2:$G$10001,$A72,Colección!$M$2:$M$10001,"Compra")</f>
        <v>7</v>
      </c>
      <c r="D72">
        <f>IF($B72=0,"",_xlfn.RANK.EQ($B72,$B$2:$B$321,0)+COUNTIF($B$2:B72,$B72)-1)</f>
        <v>164</v>
      </c>
      <c r="F72" t="str">
        <f>"Aragorn, the Uniter (V.1)"</f>
        <v>Aragorn, the Uniter (V.1)</v>
      </c>
      <c r="G72">
        <f>SUMIFS(Colección!$L$2:$L$10001,Colección!$F$2:$F$10001,$F72,Colección!$M$2:$M$10001,"Compra")</f>
        <v>7.9817948717948717</v>
      </c>
      <c r="H72">
        <f>IF($G72=0,"",_xlfn.RANK.EQ($G72,$G$2:$G$2353,0)+COUNTIF($G$2:G72,$G72)-1)</f>
        <v>752</v>
      </c>
    </row>
    <row r="73" spans="1:8" x14ac:dyDescent="0.25">
      <c r="A73" t="str">
        <f>"Dominaria"</f>
        <v>Dominaria</v>
      </c>
      <c r="B73">
        <f>SUMIFS(Colección!$L$2:$L$10001,Colección!$G$2:$G$10001,$A73,Colección!$M$2:$M$10001,"Compra")</f>
        <v>141.55723845133105</v>
      </c>
      <c r="C73">
        <f>SUMIFS(Colección!$K$2:$K$10001,Colección!$G$2:$G$10001,$A73,Colección!$M$2:$M$10001,"Compra")</f>
        <v>25</v>
      </c>
      <c r="D73">
        <f>IF($B73=0,"",_xlfn.RANK.EQ($B73,$B$2:$B$321,0)+COUNTIF($B$2:B73,$B73)-1)</f>
        <v>69</v>
      </c>
      <c r="F73" t="str">
        <f>"Aragorn, the Uniter (V.2)"</f>
        <v>Aragorn, the Uniter (V.2)</v>
      </c>
      <c r="G73">
        <f>SUMIFS(Colección!$L$2:$L$10001,Colección!$F$2:$F$10001,$F73,Colección!$M$2:$M$10001,"Compra")</f>
        <v>17.313099941894251</v>
      </c>
      <c r="H73">
        <f>IF($G73=0,"",_xlfn.RANK.EQ($G73,$G$2:$G$2353,0)+COUNTIF($G$2:G73,$G73)-1)</f>
        <v>446</v>
      </c>
    </row>
    <row r="74" spans="1:8" x14ac:dyDescent="0.25">
      <c r="A74" t="str">
        <f>"Dominaria Remastered"</f>
        <v>Dominaria Remastered</v>
      </c>
      <c r="B74">
        <f>SUMIFS(Colección!$L$2:$L$10001,Colección!$G$2:$G$10001,$A74,Colección!$M$2:$M$10001,"Compra")</f>
        <v>13.161084307073754</v>
      </c>
      <c r="C74">
        <f>SUMIFS(Colección!$K$2:$K$10001,Colección!$G$2:$G$10001,$A74,Colección!$M$2:$M$10001,"Compra")</f>
        <v>30</v>
      </c>
      <c r="D74">
        <f>IF($B74=0,"",_xlfn.RANK.EQ($B74,$B$2:$B$321,0)+COUNTIF($B$2:B74,$B74)-1)</f>
        <v>227</v>
      </c>
      <c r="F74" t="str">
        <f>"Arboreal Grazer"</f>
        <v>Arboreal Grazer</v>
      </c>
      <c r="G74">
        <f>SUMIFS(Colección!$L$2:$L$10001,Colección!$F$2:$F$10001,$F74,Colección!$M$2:$M$10001,"Compra")</f>
        <v>4.1662453722643527</v>
      </c>
      <c r="H74">
        <f>IF($G74=0,"",_xlfn.RANK.EQ($G74,$G$2:$G$2353,0)+COUNTIF($G$2:G74,$G74)-1)</f>
        <v>1051</v>
      </c>
    </row>
    <row r="75" spans="1:8" x14ac:dyDescent="0.25">
      <c r="A75" t="str">
        <f>"Dominaria Remastered: Extras"</f>
        <v>Dominaria Remastered: Extras</v>
      </c>
      <c r="B75">
        <f>SUMIFS(Colección!$L$2:$L$10001,Colección!$G$2:$G$10001,$A75,Colección!$M$2:$M$10001,"Compra")</f>
        <v>59.577543984583073</v>
      </c>
      <c r="C75">
        <f>SUMIFS(Colección!$K$2:$K$10001,Colección!$G$2:$G$10001,$A75,Colección!$M$2:$M$10001,"Compra")</f>
        <v>23</v>
      </c>
      <c r="D75">
        <f>IF($B75=0,"",_xlfn.RANK.EQ($B75,$B$2:$B$321,0)+COUNTIF($B$2:B75,$B75)-1)</f>
        <v>130</v>
      </c>
      <c r="F75" t="str">
        <f>"Arcane Box Set"</f>
        <v>Arcane Box Set</v>
      </c>
      <c r="G75">
        <f>SUMIFS(Colección!$L$2:$L$10001,Colección!$F$2:$F$10001,$F75,Colección!$M$2:$M$10001,"Compra")</f>
        <v>237.57916666666671</v>
      </c>
      <c r="H75">
        <f>IF($G75=0,"",_xlfn.RANK.EQ($G75,$G$2:$G$2353,0)+COUNTIF($G$2:G75,$G75)-1)</f>
        <v>14</v>
      </c>
    </row>
    <row r="76" spans="1:8" x14ac:dyDescent="0.25">
      <c r="A76" t="str">
        <f>"Dominaria United"</f>
        <v>Dominaria United</v>
      </c>
      <c r="B76">
        <f>SUMIFS(Colección!$L$2:$L$10001,Colección!$G$2:$G$10001,$A76,Colección!$M$2:$M$10001,"Compra")</f>
        <v>274.51142804292215</v>
      </c>
      <c r="C76">
        <f>SUMIFS(Colección!$K$2:$K$10001,Colección!$G$2:$G$10001,$A76,Colección!$M$2:$M$10001,"Compra")</f>
        <v>104</v>
      </c>
      <c r="D76">
        <f>IF($B76=0,"",_xlfn.RANK.EQ($B76,$B$2:$B$321,0)+COUNTIF($B$2:B76,$B76)-1)</f>
        <v>31</v>
      </c>
      <c r="F76" t="str">
        <f>"Arcbound Ravager"</f>
        <v>Arcbound Ravager</v>
      </c>
      <c r="G76">
        <f>SUMIFS(Colección!$L$2:$L$10001,Colección!$F$2:$F$10001,$F76,Colección!$M$2:$M$10001,"Compra")</f>
        <v>41.179999999999993</v>
      </c>
      <c r="H76">
        <f>IF($G76=0,"",_xlfn.RANK.EQ($G76,$G$2:$G$2353,0)+COUNTIF($G$2:G76,$G76)-1)</f>
        <v>208</v>
      </c>
    </row>
    <row r="77" spans="1:8" x14ac:dyDescent="0.25">
      <c r="A77" t="str">
        <f>"Dominaria United: Extras"</f>
        <v>Dominaria United: Extras</v>
      </c>
      <c r="B77">
        <f>SUMIFS(Colección!$L$2:$L$10001,Colección!$G$2:$G$10001,$A77,Colección!$M$2:$M$10001,"Compra")</f>
        <v>76.442791056422564</v>
      </c>
      <c r="C77">
        <f>SUMIFS(Colección!$K$2:$K$10001,Colección!$G$2:$G$10001,$A77,Colección!$M$2:$M$10001,"Compra")</f>
        <v>39</v>
      </c>
      <c r="D77">
        <f>IF($B77=0,"",_xlfn.RANK.EQ($B77,$B$2:$B$321,0)+COUNTIF($B$2:B77,$B77)-1)</f>
        <v>109</v>
      </c>
      <c r="F77" t="str">
        <f>"Archaeomancer"</f>
        <v>Archaeomancer</v>
      </c>
      <c r="G77">
        <f>SUMIFS(Colección!$L$2:$L$10001,Colección!$F$2:$F$10001,$F77,Colección!$M$2:$M$10001,"Compra")</f>
        <v>2.5300000000000002</v>
      </c>
      <c r="H77">
        <f>IF($G77=0,"",_xlfn.RANK.EQ($G77,$G$2:$G$2353,0)+COUNTIF($G$2:G77,$G77)-1)</f>
        <v>1249</v>
      </c>
    </row>
    <row r="78" spans="1:8" x14ac:dyDescent="0.25">
      <c r="A78" t="str">
        <f>"Dominaria United: Promos"</f>
        <v>Dominaria United: Promos</v>
      </c>
      <c r="B78">
        <f>SUMIFS(Colección!$L$2:$L$10001,Colección!$G$2:$G$10001,$A78,Colección!$M$2:$M$10001,"Compra")</f>
        <v>35.18</v>
      </c>
      <c r="C78">
        <f>SUMIFS(Colección!$K$2:$K$10001,Colección!$G$2:$G$10001,$A78,Colección!$M$2:$M$10001,"Compra")</f>
        <v>2</v>
      </c>
      <c r="D78">
        <f>IF($B78=0,"",_xlfn.RANK.EQ($B78,$B$2:$B$321,0)+COUNTIF($B$2:B78,$B78)-1)</f>
        <v>166</v>
      </c>
      <c r="F78" t="str">
        <f>"Archangel of Wrath"</f>
        <v>Archangel of Wrath</v>
      </c>
      <c r="G78">
        <f>SUMIFS(Colección!$L$2:$L$10001,Colección!$F$2:$F$10001,$F78,Colección!$M$2:$M$10001,"Compra")</f>
        <v>2.9720382529260632</v>
      </c>
      <c r="H78">
        <f>IF($G78=0,"",_xlfn.RANK.EQ($G78,$G$2:$G$2353,0)+COUNTIF($G$2:G78,$G78)-1)</f>
        <v>1198</v>
      </c>
    </row>
    <row r="79" spans="1:8" x14ac:dyDescent="0.25">
      <c r="A79" t="str">
        <f>"Double Masters"</f>
        <v>Double Masters</v>
      </c>
      <c r="B79">
        <f>SUMIFS(Colección!$L$2:$L$10001,Colección!$G$2:$G$10001,$A79,Colección!$M$2:$M$10001,"Compra")</f>
        <v>108.45981755023784</v>
      </c>
      <c r="C79">
        <f>SUMIFS(Colección!$K$2:$K$10001,Colección!$G$2:$G$10001,$A79,Colección!$M$2:$M$10001,"Compra")</f>
        <v>60</v>
      </c>
      <c r="D79">
        <f>IF($B79=0,"",_xlfn.RANK.EQ($B79,$B$2:$B$321,0)+COUNTIF($B$2:B79,$B79)-1)</f>
        <v>73</v>
      </c>
      <c r="F79" t="str">
        <f>"Archmage's Charm"</f>
        <v>Archmage's Charm</v>
      </c>
      <c r="G79">
        <f>SUMIFS(Colección!$L$2:$L$10001,Colección!$F$2:$F$10001,$F79,Colección!$M$2:$M$10001,"Compra")</f>
        <v>57.278571428571439</v>
      </c>
      <c r="H79">
        <f>IF($G79=0,"",_xlfn.RANK.EQ($G79,$G$2:$G$2353,0)+COUNTIF($G$2:G79,$G79)-1)</f>
        <v>150</v>
      </c>
    </row>
    <row r="80" spans="1:8" x14ac:dyDescent="0.25">
      <c r="A80" t="str">
        <f>"Double Masters 2022"</f>
        <v>Double Masters 2022</v>
      </c>
      <c r="B80">
        <f>SUMIFS(Colección!$L$2:$L$10001,Colección!$G$2:$G$10001,$A80,Colección!$M$2:$M$10001,"Compra")</f>
        <v>50.172885769730613</v>
      </c>
      <c r="C80">
        <f>SUMIFS(Colección!$K$2:$K$10001,Colección!$G$2:$G$10001,$A80,Colección!$M$2:$M$10001,"Compra")</f>
        <v>81</v>
      </c>
      <c r="D80">
        <f>IF($B80=0,"",_xlfn.RANK.EQ($B80,$B$2:$B$321,0)+COUNTIF($B$2:B80,$B80)-1)</f>
        <v>144</v>
      </c>
      <c r="F80" t="str">
        <f>"Archon of Cruelty [Playset]"</f>
        <v>Archon of Cruelty [Playset]</v>
      </c>
      <c r="G80">
        <f>SUMIFS(Colección!$L$2:$L$10001,Colección!$F$2:$F$10001,$F80,Colección!$M$2:$M$10001,"Compra")</f>
        <v>52.904938927243762</v>
      </c>
      <c r="H80">
        <f>IF($G80=0,"",_xlfn.RANK.EQ($G80,$G$2:$G$2353,0)+COUNTIF($G$2:G80,$G80)-1)</f>
        <v>166</v>
      </c>
    </row>
    <row r="81" spans="1:8" x14ac:dyDescent="0.25">
      <c r="A81" t="str">
        <f>"Double Masters 2022: Extras"</f>
        <v>Double Masters 2022: Extras</v>
      </c>
      <c r="B81">
        <f>SUMIFS(Colección!$L$2:$L$10001,Colección!$G$2:$G$10001,$A81,Colección!$M$2:$M$10001,"Compra")</f>
        <v>459.88809842123396</v>
      </c>
      <c r="C81">
        <f>SUMIFS(Colección!$K$2:$K$10001,Colección!$G$2:$G$10001,$A81,Colección!$M$2:$M$10001,"Compra")</f>
        <v>66</v>
      </c>
      <c r="D81">
        <f>IF($B81=0,"",_xlfn.RANK.EQ($B81,$B$2:$B$321,0)+COUNTIF($B$2:B81,$B81)-1)</f>
        <v>17</v>
      </c>
      <c r="F81" t="str">
        <f>"Archon of Emeria [Playset]"</f>
        <v>Archon of Emeria [Playset]</v>
      </c>
      <c r="G81">
        <f>SUMIFS(Colección!$L$2:$L$10001,Colección!$F$2:$F$10001,$F81,Colección!$M$2:$M$10001,"Compra")</f>
        <v>12.615652173913039</v>
      </c>
      <c r="H81">
        <f>IF($G81=0,"",_xlfn.RANK.EQ($G81,$G$2:$G$2353,0)+COUNTIF($G$2:G81,$G81)-1)</f>
        <v>562</v>
      </c>
    </row>
    <row r="82" spans="1:8" x14ac:dyDescent="0.25">
      <c r="A82" t="str">
        <f>"Double Masters: Extras"</f>
        <v>Double Masters: Extras</v>
      </c>
      <c r="B82">
        <f>SUMIFS(Colección!$L$2:$L$10001,Colección!$G$2:$G$10001,$A82,Colección!$M$2:$M$10001,"Compra")</f>
        <v>35.359165672170441</v>
      </c>
      <c r="C82">
        <f>SUMIFS(Colección!$K$2:$K$10001,Colección!$G$2:$G$10001,$A82,Colección!$M$2:$M$10001,"Compra")</f>
        <v>11</v>
      </c>
      <c r="D82">
        <f>IF($B82=0,"",_xlfn.RANK.EQ($B82,$B$2:$B$321,0)+COUNTIF($B$2:B82,$B82)-1)</f>
        <v>165</v>
      </c>
      <c r="F82" t="str">
        <f>"Arclight Phoenix (V.1)"</f>
        <v>Arclight Phoenix (V.1)</v>
      </c>
      <c r="G82">
        <f>SUMIFS(Colección!$L$2:$L$10001,Colección!$F$2:$F$10001,$F82,Colección!$M$2:$M$10001,"Compra")</f>
        <v>33.47</v>
      </c>
      <c r="H82">
        <f>IF($G82=0,"",_xlfn.RANK.EQ($G82,$G$2:$G$2353,0)+COUNTIF($G$2:G82,$G82)-1)</f>
        <v>254</v>
      </c>
    </row>
    <row r="83" spans="1:8" x14ac:dyDescent="0.25">
      <c r="A83" t="str">
        <f>"Dragon's Maze"</f>
        <v>Dragon's Maze</v>
      </c>
      <c r="B83">
        <f>SUMIFS(Colección!$L$2:$L$10001,Colección!$G$2:$G$10001,$A83,Colección!$M$2:$M$10001,"Compra")</f>
        <v>12.030223428918076</v>
      </c>
      <c r="C83">
        <f>SUMIFS(Colección!$K$2:$K$10001,Colección!$G$2:$G$10001,$A83,Colección!$M$2:$M$10001,"Compra")</f>
        <v>7</v>
      </c>
      <c r="D83">
        <f>IF($B83=0,"",_xlfn.RANK.EQ($B83,$B$2:$B$321,0)+COUNTIF($B$2:B83,$B83)-1)</f>
        <v>231</v>
      </c>
      <c r="F83" t="str">
        <f>"Ardent Plea"</f>
        <v>Ardent Plea</v>
      </c>
      <c r="G83">
        <f>SUMIFS(Colección!$L$2:$L$10001,Colección!$F$2:$F$10001,$F83,Colección!$M$2:$M$10001,"Compra")</f>
        <v>21.939999999999998</v>
      </c>
      <c r="H83">
        <f>IF($G83=0,"",_xlfn.RANK.EQ($G83,$G$2:$G$2353,0)+COUNTIF($G$2:G83,$G83)-1)</f>
        <v>357</v>
      </c>
    </row>
    <row r="84" spans="1:8" x14ac:dyDescent="0.25">
      <c r="A84" t="str">
        <f>"Dragons of Tarkir"</f>
        <v>Dragons of Tarkir</v>
      </c>
      <c r="B84">
        <f>SUMIFS(Colección!$L$2:$L$10001,Colección!$G$2:$G$10001,$A84,Colección!$M$2:$M$10001,"Compra")</f>
        <v>12.947351051976142</v>
      </c>
      <c r="C84">
        <f>SUMIFS(Colección!$K$2:$K$10001,Colección!$G$2:$G$10001,$A84,Colección!$M$2:$M$10001,"Compra")</f>
        <v>5</v>
      </c>
      <c r="D84">
        <f>IF($B84=0,"",_xlfn.RANK.EQ($B84,$B$2:$B$321,0)+COUNTIF($B$2:B84,$B84)-1)</f>
        <v>229</v>
      </c>
      <c r="F84" t="str">
        <f>"Arena of Glory"</f>
        <v>Arena of Glory</v>
      </c>
      <c r="G84">
        <f>SUMIFS(Colección!$L$2:$L$10001,Colección!$F$2:$F$10001,$F84,Colección!$M$2:$M$10001,"Compra")</f>
        <v>25.311909506970942</v>
      </c>
      <c r="H84">
        <f>IF($G84=0,"",_xlfn.RANK.EQ($G84,$G$2:$G$2353,0)+COUNTIF($G$2:G84,$G84)-1)</f>
        <v>307</v>
      </c>
    </row>
    <row r="85" spans="1:8" x14ac:dyDescent="0.25">
      <c r="A85" t="str">
        <f>"Duel Decks: Ajani vs. Nicol Bolas"</f>
        <v>Duel Decks: Ajani vs. Nicol Bolas</v>
      </c>
      <c r="B85">
        <f>SUMIFS(Colección!$L$2:$L$10001,Colección!$G$2:$G$10001,$A85,Colección!$M$2:$M$10001,"Compra")</f>
        <v>4.3216789667896682</v>
      </c>
      <c r="C85">
        <f>SUMIFS(Colección!$K$2:$K$10001,Colección!$G$2:$G$10001,$A85,Colección!$M$2:$M$10001,"Compra")</f>
        <v>1</v>
      </c>
      <c r="D85">
        <f>IF($B85=0,"",_xlfn.RANK.EQ($B85,$B$2:$B$321,0)+COUNTIF($B$2:B85,$B85)-1)</f>
        <v>269</v>
      </c>
      <c r="F85" t="str">
        <f>"Aria of Flame"</f>
        <v>Aria of Flame</v>
      </c>
      <c r="G85">
        <f>SUMIFS(Colección!$L$2:$L$10001,Colección!$F$2:$F$10001,$F85,Colección!$M$2:$M$10001,"Compra")</f>
        <v>2.2280396357793251</v>
      </c>
      <c r="H85">
        <f>IF($G85=0,"",_xlfn.RANK.EQ($G85,$G$2:$G$2353,0)+COUNTIF($G$2:G85,$G85)-1)</f>
        <v>1304</v>
      </c>
    </row>
    <row r="86" spans="1:8" x14ac:dyDescent="0.25">
      <c r="A86" t="str">
        <f>"Duel Decks: Anthology"</f>
        <v>Duel Decks: Anthology</v>
      </c>
      <c r="B86">
        <f>SUMIFS(Colección!$L$2:$L$10001,Colección!$G$2:$G$10001,$A86,Colección!$M$2:$M$10001,"Compra")</f>
        <v>1.645756991321119</v>
      </c>
      <c r="C86">
        <f>SUMIFS(Colección!$K$2:$K$10001,Colección!$G$2:$G$10001,$A86,Colección!$M$2:$M$10001,"Compra")</f>
        <v>1</v>
      </c>
      <c r="D86">
        <f>IF($B86=0,"",_xlfn.RANK.EQ($B86,$B$2:$B$321,0)+COUNTIF($B$2:B86,$B86)-1)</f>
        <v>293</v>
      </c>
      <c r="F86" t="str">
        <f>"Arid Mesa"</f>
        <v>Arid Mesa</v>
      </c>
      <c r="G86">
        <f>SUMIFS(Colección!$L$2:$L$10001,Colección!$F$2:$F$10001,$F86,Colección!$M$2:$M$10001,"Compra")</f>
        <v>67.601525506724272</v>
      </c>
      <c r="H86">
        <f>IF($G86=0,"",_xlfn.RANK.EQ($G86,$G$2:$G$2353,0)+COUNTIF($G$2:G86,$G86)-1)</f>
        <v>120</v>
      </c>
    </row>
    <row r="87" spans="1:8" x14ac:dyDescent="0.25">
      <c r="A87" t="str">
        <f>"Duel Decks: Elves vs. Inventors"</f>
        <v>Duel Decks: Elves vs. Inventors</v>
      </c>
      <c r="B87">
        <f>SUMIFS(Colección!$L$2:$L$10001,Colección!$G$2:$G$10001,$A87,Colección!$M$2:$M$10001,"Compra")</f>
        <v>2.0985995120162828</v>
      </c>
      <c r="C87">
        <f>SUMIFS(Colección!$K$2:$K$10001,Colección!$G$2:$G$10001,$A87,Colección!$M$2:$M$10001,"Compra")</f>
        <v>6</v>
      </c>
      <c r="D87">
        <f>IF($B87=0,"",_xlfn.RANK.EQ($B87,$B$2:$B$321,0)+COUNTIF($B$2:B87,$B87)-1)</f>
        <v>287</v>
      </c>
      <c r="F87" t="str">
        <f>"Arid Mesa (V.1)"</f>
        <v>Arid Mesa (V.1)</v>
      </c>
      <c r="G87">
        <f>SUMIFS(Colección!$L$2:$L$10001,Colección!$F$2:$F$10001,$F87,Colección!$M$2:$M$10001,"Compra")</f>
        <v>97.43</v>
      </c>
      <c r="H87">
        <f>IF($G87=0,"",_xlfn.RANK.EQ($G87,$G$2:$G$2353,0)+COUNTIF($G$2:G87,$G87)-1)</f>
        <v>78</v>
      </c>
    </row>
    <row r="88" spans="1:8" x14ac:dyDescent="0.25">
      <c r="A88" t="str">
        <f>"Duel Decks: Merfolk vs. Goblins"</f>
        <v>Duel Decks: Merfolk vs. Goblins</v>
      </c>
      <c r="B88">
        <f>SUMIFS(Colección!$L$2:$L$10001,Colección!$G$2:$G$10001,$A88,Colección!$M$2:$M$10001,"Compra")</f>
        <v>4.4695513151108841</v>
      </c>
      <c r="C88">
        <f>SUMIFS(Colección!$K$2:$K$10001,Colección!$G$2:$G$10001,$A88,Colección!$M$2:$M$10001,"Compra")</f>
        <v>4</v>
      </c>
      <c r="D88">
        <f>IF($B88=0,"",_xlfn.RANK.EQ($B88,$B$2:$B$321,0)+COUNTIF($B$2:B88,$B88)-1)</f>
        <v>267</v>
      </c>
      <c r="F88" t="str">
        <f>"Arise!"</f>
        <v>Arise!</v>
      </c>
      <c r="G88">
        <f>SUMIFS(Colección!$L$2:$L$10001,Colección!$F$2:$F$10001,$F88,Colección!$M$2:$M$10001,"Compra")</f>
        <v>74.153567126725221</v>
      </c>
      <c r="H88">
        <f>IF($G88=0,"",_xlfn.RANK.EQ($G88,$G$2:$G$2353,0)+COUNTIF($G$2:G88,$G88)-1)</f>
        <v>107</v>
      </c>
    </row>
    <row r="89" spans="1:8" x14ac:dyDescent="0.25">
      <c r="A89" t="str">
        <f>"Duel Decks: Nissa vs. Ob Nixilis"</f>
        <v>Duel Decks: Nissa vs. Ob Nixilis</v>
      </c>
      <c r="B89">
        <f>SUMIFS(Colección!$L$2:$L$10001,Colección!$G$2:$G$10001,$A89,Colección!$M$2:$M$10001,"Compra")</f>
        <v>0.20955223880597013</v>
      </c>
      <c r="C89">
        <f>SUMIFS(Colección!$K$2:$K$10001,Colección!$G$2:$G$10001,$A89,Colección!$M$2:$M$10001,"Compra")</f>
        <v>3</v>
      </c>
      <c r="D89">
        <f>IF($B89=0,"",_xlfn.RANK.EQ($B89,$B$2:$B$321,0)+COUNTIF($B$2:B89,$B89)-1)</f>
        <v>315</v>
      </c>
      <c r="F89" t="str">
        <f>"Arlinn, Voice of the Pack"</f>
        <v>Arlinn, Voice of the Pack</v>
      </c>
      <c r="G89">
        <f>SUMIFS(Colección!$L$2:$L$10001,Colección!$F$2:$F$10001,$F89,Colección!$M$2:$M$10001,"Compra")</f>
        <v>0.16363636363636361</v>
      </c>
      <c r="H89">
        <f>IF($G89=0,"",_xlfn.RANK.EQ($G89,$G$2:$G$2353,0)+COUNTIF($G$2:G89,$G89)-1)</f>
        <v>2102</v>
      </c>
    </row>
    <row r="90" spans="1:8" x14ac:dyDescent="0.25">
      <c r="A90" t="str">
        <f>"Duskmourn: House of Horror"</f>
        <v>Duskmourn: House of Horror</v>
      </c>
      <c r="B90">
        <f>SUMIFS(Colección!$L$2:$L$10001,Colección!$G$2:$G$10001,$A90,Colección!$M$2:$M$10001,"Compra")</f>
        <v>297.93951805330738</v>
      </c>
      <c r="C90">
        <f>SUMIFS(Colección!$K$2:$K$10001,Colección!$G$2:$G$10001,$A90,Colección!$M$2:$M$10001,"Compra")</f>
        <v>118</v>
      </c>
      <c r="D90">
        <f>IF($B90=0,"",_xlfn.RANK.EQ($B90,$B$2:$B$321,0)+COUNTIF($B$2:B90,$B90)-1)</f>
        <v>29</v>
      </c>
      <c r="F90" t="str">
        <f>"Arlong (OP03-022) (V.1)"</f>
        <v>Arlong (OP03-022) (V.1)</v>
      </c>
      <c r="G90">
        <f>SUMIFS(Colección!$L$2:$L$10001,Colección!$F$2:$F$10001,$F90,Colección!$M$2:$M$10001,"Compra")</f>
        <v>0.40457364341085272</v>
      </c>
      <c r="H90">
        <f>IF($G90=0,"",_xlfn.RANK.EQ($G90,$G$2:$G$2353,0)+COUNTIF($G$2:G90,$G90)-1)</f>
        <v>1947</v>
      </c>
    </row>
    <row r="91" spans="1:8" x14ac:dyDescent="0.25">
      <c r="A91" t="str">
        <f>"Duskmourn: House of Horror: Extras"</f>
        <v>Duskmourn: House of Horror: Extras</v>
      </c>
      <c r="B91">
        <f>SUMIFS(Colección!$L$2:$L$10001,Colección!$G$2:$G$10001,$A91,Colección!$M$2:$M$10001,"Compra")</f>
        <v>409.04852603997244</v>
      </c>
      <c r="C91">
        <f>SUMIFS(Colección!$K$2:$K$10001,Colección!$G$2:$G$10001,$A91,Colección!$M$2:$M$10001,"Compra")</f>
        <v>30</v>
      </c>
      <c r="D91">
        <f>IF($B91=0,"",_xlfn.RANK.EQ($B91,$B$2:$B$321,0)+COUNTIF($B$2:B91,$B91)-1)</f>
        <v>20</v>
      </c>
      <c r="F91" t="str">
        <f>"Arms of Hadar"</f>
        <v>Arms of Hadar</v>
      </c>
      <c r="G91">
        <f>SUMIFS(Colección!$L$2:$L$10001,Colección!$F$2:$F$10001,$F91,Colección!$M$2:$M$10001,"Compra")</f>
        <v>1.027606338615513</v>
      </c>
      <c r="H91">
        <f>IF($G91=0,"",_xlfn.RANK.EQ($G91,$G$2:$G$2353,0)+COUNTIF($G$2:G91,$G91)-1)</f>
        <v>1649</v>
      </c>
    </row>
    <row r="92" spans="1:8" x14ac:dyDescent="0.25">
      <c r="A92" t="str">
        <f>"Duskmourn: House of Horror: Tokens"</f>
        <v>Duskmourn: House of Horror: Tokens</v>
      </c>
      <c r="B92">
        <f>SUMIFS(Colección!$L$2:$L$10001,Colección!$G$2:$G$10001,$A92,Colección!$M$2:$M$10001,"Compra")</f>
        <v>14.186531187553523</v>
      </c>
      <c r="C92">
        <f>SUMIFS(Colección!$K$2:$K$10001,Colección!$G$2:$G$10001,$A92,Colección!$M$2:$M$10001,"Compra")</f>
        <v>10</v>
      </c>
      <c r="D92">
        <f>IF($B92=0,"",_xlfn.RANK.EQ($B92,$B$2:$B$321,0)+COUNTIF($B$2:B92,$B92)-1)</f>
        <v>226</v>
      </c>
      <c r="F92" t="str">
        <f>"Arrogant Wurm"</f>
        <v>Arrogant Wurm</v>
      </c>
      <c r="G92">
        <f>SUMIFS(Colección!$L$2:$L$10001,Colección!$F$2:$F$10001,$F92,Colección!$M$2:$M$10001,"Compra")</f>
        <v>16.684220183486239</v>
      </c>
      <c r="H92">
        <f>IF($G92=0,"",_xlfn.RANK.EQ($G92,$G$2:$G$2353,0)+COUNTIF($G$2:G92,$G92)-1)</f>
        <v>462</v>
      </c>
    </row>
    <row r="93" spans="1:8" x14ac:dyDescent="0.25">
      <c r="A93" t="str">
        <f>"Edge of Eternities"</f>
        <v>Edge of Eternities</v>
      </c>
      <c r="B93">
        <f>SUMIFS(Colección!$L$2:$L$10001,Colección!$G$2:$G$10001,$A93,Colección!$M$2:$M$10001,"Compra")</f>
        <v>252.46325736759877</v>
      </c>
      <c r="C93">
        <f>SUMIFS(Colección!$K$2:$K$10001,Colección!$G$2:$G$10001,$A93,Colección!$M$2:$M$10001,"Compra")</f>
        <v>36</v>
      </c>
      <c r="D93">
        <f>IF($B93=0,"",_xlfn.RANK.EQ($B93,$B$2:$B$321,0)+COUNTIF($B$2:B93,$B93)-1)</f>
        <v>35</v>
      </c>
      <c r="F93" t="str">
        <f>"Art Series: Plains (V.1)"</f>
        <v>Art Series: Plains (V.1)</v>
      </c>
      <c r="G93">
        <f>SUMIFS(Colección!$L$2:$L$10001,Colección!$F$2:$F$10001,$F93,Colección!$M$2:$M$10001,"Compra")</f>
        <v>0.1264044943820225</v>
      </c>
      <c r="H93">
        <f>IF($G93=0,"",_xlfn.RANK.EQ($G93,$G$2:$G$2353,0)+COUNTIF($G$2:G93,$G93)-1)</f>
        <v>2149</v>
      </c>
    </row>
    <row r="94" spans="1:8" x14ac:dyDescent="0.25">
      <c r="A94" t="str">
        <f>"Edge of Eternities: Extras"</f>
        <v>Edge of Eternities: Extras</v>
      </c>
      <c r="B94">
        <f>SUMIFS(Colección!$L$2:$L$10001,Colección!$G$2:$G$10001,$A94,Colección!$M$2:$M$10001,"Compra")</f>
        <v>105.13</v>
      </c>
      <c r="C94">
        <f>SUMIFS(Colección!$K$2:$K$10001,Colección!$G$2:$G$10001,$A94,Colección!$M$2:$M$10001,"Compra")</f>
        <v>13</v>
      </c>
      <c r="D94">
        <f>IF($B94=0,"",_xlfn.RANK.EQ($B94,$B$2:$B$321,0)+COUNTIF($B$2:B94,$B94)-1)</f>
        <v>76</v>
      </c>
      <c r="F94" t="str">
        <f>"Artist's Talent"</f>
        <v>Artist's Talent</v>
      </c>
      <c r="G94">
        <f>SUMIFS(Colección!$L$2:$L$10001,Colección!$F$2:$F$10001,$F94,Colección!$M$2:$M$10001,"Compra")</f>
        <v>31.73</v>
      </c>
      <c r="H94">
        <f>IF($G94=0,"",_xlfn.RANK.EQ($G94,$G$2:$G$2353,0)+COUNTIF($G$2:G94,$G94)-1)</f>
        <v>268</v>
      </c>
    </row>
    <row r="95" spans="1:8" x14ac:dyDescent="0.25">
      <c r="A95" t="str">
        <f>"Eldritch Moon"</f>
        <v>Eldritch Moon</v>
      </c>
      <c r="B95">
        <f>SUMIFS(Colección!$L$2:$L$10001,Colección!$G$2:$G$10001,$A95,Colección!$M$2:$M$10001,"Compra")</f>
        <v>79.047326007326006</v>
      </c>
      <c r="C95">
        <f>SUMIFS(Colección!$K$2:$K$10001,Colección!$G$2:$G$10001,$A95,Colección!$M$2:$M$10001,"Compra")</f>
        <v>3</v>
      </c>
      <c r="D95">
        <f>IF($B95=0,"",_xlfn.RANK.EQ($B95,$B$2:$B$321,0)+COUNTIF($B$2:B95,$B95)-1)</f>
        <v>104</v>
      </c>
      <c r="F95" t="str">
        <f>"Arwen, Mortal Queen"</f>
        <v>Arwen, Mortal Queen</v>
      </c>
      <c r="G95">
        <f>SUMIFS(Colección!$L$2:$L$10001,Colección!$F$2:$F$10001,$F95,Colección!$M$2:$M$10001,"Compra")</f>
        <v>3.27748665696264</v>
      </c>
      <c r="H95">
        <f>IF($G95=0,"",_xlfn.RANK.EQ($G95,$G$2:$G$2353,0)+COUNTIF($G$2:G95,$G95)-1)</f>
        <v>1154</v>
      </c>
    </row>
    <row r="96" spans="1:8" x14ac:dyDescent="0.25">
      <c r="A96" t="str">
        <f>"Enchanting Tales"</f>
        <v>Enchanting Tales</v>
      </c>
      <c r="B96">
        <f>SUMIFS(Colección!$L$2:$L$10001,Colección!$G$2:$G$10001,$A96,Colección!$M$2:$M$10001,"Compra")</f>
        <v>11.348818088386432</v>
      </c>
      <c r="C96">
        <f>SUMIFS(Colección!$K$2:$K$10001,Colección!$G$2:$G$10001,$A96,Colección!$M$2:$M$10001,"Compra")</f>
        <v>4</v>
      </c>
      <c r="D96">
        <f>IF($B96=0,"",_xlfn.RANK.EQ($B96,$B$2:$B$321,0)+COUNTIF($B$2:B96,$B96)-1)</f>
        <v>233</v>
      </c>
      <c r="F96" t="str">
        <f>"Ascendant Packleader"</f>
        <v>Ascendant Packleader</v>
      </c>
      <c r="G96">
        <f>SUMIFS(Colección!$L$2:$L$10001,Colección!$F$2:$F$10001,$F96,Colección!$M$2:$M$10001,"Compra")</f>
        <v>6.6812104111482213</v>
      </c>
      <c r="H96">
        <f>IF($G96=0,"",_xlfn.RANK.EQ($G96,$G$2:$G$2353,0)+COUNTIF($G$2:G96,$G96)-1)</f>
        <v>830</v>
      </c>
    </row>
    <row r="97" spans="1:8" x14ac:dyDescent="0.25">
      <c r="A97" t="str">
        <f>"Eternal Masters"</f>
        <v>Eternal Masters</v>
      </c>
      <c r="B97">
        <f>SUMIFS(Colección!$L$2:$L$10001,Colección!$G$2:$G$10001,$A97,Colección!$M$2:$M$10001,"Compra")</f>
        <v>42.421682378535174</v>
      </c>
      <c r="C97">
        <f>SUMIFS(Colección!$K$2:$K$10001,Colección!$G$2:$G$10001,$A97,Colección!$M$2:$M$10001,"Compra")</f>
        <v>1</v>
      </c>
      <c r="D97">
        <f>IF($B97=0,"",_xlfn.RANK.EQ($B97,$B$2:$B$321,0)+COUNTIF($B$2:B97,$B97)-1)</f>
        <v>152</v>
      </c>
      <c r="F97" t="str">
        <f>"Ashe, Focused"</f>
        <v>Ashe, Focused</v>
      </c>
      <c r="G97">
        <f>SUMIFS(Colección!$L$2:$L$10001,Colección!$F$2:$F$10001,$F97,Colección!$M$2:$M$10001,"Compra")</f>
        <v>1.3322448979591837</v>
      </c>
      <c r="H97">
        <f>IF($G97=0,"",_xlfn.RANK.EQ($G97,$G$2:$G$2353,0)+COUNTIF($G$2:G97,$G97)-1)</f>
        <v>1531</v>
      </c>
    </row>
    <row r="98" spans="1:8" x14ac:dyDescent="0.25">
      <c r="A98" t="str">
        <f>"Eventide"</f>
        <v>Eventide</v>
      </c>
      <c r="B98">
        <f>SUMIFS(Colección!$L$2:$L$10001,Colección!$G$2:$G$10001,$A98,Colección!$M$2:$M$10001,"Compra")</f>
        <v>5.7678973509933771</v>
      </c>
      <c r="C98">
        <f>SUMIFS(Colección!$K$2:$K$10001,Colección!$G$2:$G$10001,$A98,Colección!$M$2:$M$10001,"Compra")</f>
        <v>1</v>
      </c>
      <c r="D98">
        <f>IF($B98=0,"",_xlfn.RANK.EQ($B98,$B$2:$B$321,0)+COUNTIF($B$2:B98,$B98)-1)</f>
        <v>260</v>
      </c>
      <c r="F98" t="str">
        <f>"Ashiok, Dream Render"</f>
        <v>Ashiok, Dream Render</v>
      </c>
      <c r="G98">
        <f>SUMIFS(Colección!$L$2:$L$10001,Colección!$F$2:$F$10001,$F98,Colección!$M$2:$M$10001,"Compra")</f>
        <v>5.1770067648966727</v>
      </c>
      <c r="H98">
        <f>IF($G98=0,"",_xlfn.RANK.EQ($G98,$G$2:$G$2353,0)+COUNTIF($G$2:G98,$G98)-1)</f>
        <v>961</v>
      </c>
    </row>
    <row r="99" spans="1:8" x14ac:dyDescent="0.25">
      <c r="A99" t="str">
        <f>"Exodus"</f>
        <v>Exodus</v>
      </c>
      <c r="B99">
        <f>SUMIFS(Colección!$L$2:$L$10001,Colección!$G$2:$G$10001,$A99,Colección!$M$2:$M$10001,"Compra")</f>
        <v>1327.3304545454544</v>
      </c>
      <c r="C99">
        <f>SUMIFS(Colección!$K$2:$K$10001,Colección!$G$2:$G$10001,$A99,Colección!$M$2:$M$10001,"Compra")</f>
        <v>9</v>
      </c>
      <c r="D99">
        <f>IF($B99=0,"",_xlfn.RANK.EQ($B99,$B$2:$B$321,0)+COUNTIF($B$2:B99,$B99)-1)</f>
        <v>4</v>
      </c>
      <c r="F99" t="str">
        <f>"Asmoranomardicadaistinaculdacar"</f>
        <v>Asmoranomardicadaistinaculdacar</v>
      </c>
      <c r="G99">
        <f>SUMIFS(Colección!$L$2:$L$10001,Colección!$F$2:$F$10001,$F99,Colección!$M$2:$M$10001,"Compra")</f>
        <v>1.3291053227633067</v>
      </c>
      <c r="H99">
        <f>IF($G99=0,"",_xlfn.RANK.EQ($G99,$G$2:$G$2353,0)+COUNTIF($G$2:G99,$G99)-1)</f>
        <v>1535</v>
      </c>
    </row>
    <row r="100" spans="1:8" x14ac:dyDescent="0.25">
      <c r="A100" t="str">
        <f>"Fate Reforged"</f>
        <v>Fate Reforged</v>
      </c>
      <c r="B100">
        <f>SUMIFS(Colección!$L$2:$L$10001,Colección!$G$2:$G$10001,$A100,Colección!$M$2:$M$10001,"Compra")</f>
        <v>2.1150196116343949</v>
      </c>
      <c r="C100">
        <f>SUMIFS(Colección!$K$2:$K$10001,Colección!$G$2:$G$10001,$A100,Colección!$M$2:$M$10001,"Compra")</f>
        <v>7</v>
      </c>
      <c r="D100">
        <f>IF($B100=0,"",_xlfn.RANK.EQ($B100,$B$2:$B$321,0)+COUNTIF($B$2:B100,$B100)-1)</f>
        <v>285</v>
      </c>
      <c r="F100" t="str">
        <f>"Assassin Token (B 1/1 Menace) // Phobos Token (R 3/2)"</f>
        <v>Assassin Token (B 1/1 Menace) // Phobos Token (R 3/2)</v>
      </c>
      <c r="G100">
        <f>SUMIFS(Colección!$L$2:$L$10001,Colección!$F$2:$F$10001,$F100,Colección!$M$2:$M$10001,"Compra")</f>
        <v>0.276078431372549</v>
      </c>
      <c r="H100">
        <f>IF($G100=0,"",_xlfn.RANK.EQ($G100,$G$2:$G$2353,0)+COUNTIF($G$2:G100,$G100)-1)</f>
        <v>2022</v>
      </c>
    </row>
    <row r="101" spans="1:8" x14ac:dyDescent="0.25">
      <c r="A101" t="str">
        <f>"Fifth Dawn"</f>
        <v>Fifth Dawn</v>
      </c>
      <c r="B101">
        <f>SUMIFS(Colección!$L$2:$L$10001,Colección!$G$2:$G$10001,$A101,Colección!$M$2:$M$10001,"Compra")</f>
        <v>42.806554040642766</v>
      </c>
      <c r="C101">
        <f>SUMIFS(Colección!$K$2:$K$10001,Colección!$G$2:$G$10001,$A101,Colección!$M$2:$M$10001,"Compra")</f>
        <v>13</v>
      </c>
      <c r="D101">
        <f>IF($B101=0,"",_xlfn.RANK.EQ($B101,$B$2:$B$321,0)+COUNTIF($B$2:B101,$B101)-1)</f>
        <v>151</v>
      </c>
      <c r="F101" t="str">
        <f>"Assault on Osgiliath (V.1)"</f>
        <v>Assault on Osgiliath (V.1)</v>
      </c>
      <c r="G101">
        <f>SUMIFS(Colección!$L$2:$L$10001,Colección!$F$2:$F$10001,$F101,Colección!$M$2:$M$10001,"Compra")</f>
        <v>0.34577922077922069</v>
      </c>
      <c r="H101">
        <f>IF($G101=0,"",_xlfn.RANK.EQ($G101,$G$2:$G$2353,0)+COUNTIF($G$2:G101,$G101)-1)</f>
        <v>1982</v>
      </c>
    </row>
    <row r="102" spans="1:8" x14ac:dyDescent="0.25">
      <c r="A102" t="str">
        <f>"Fifth Edition"</f>
        <v>Fifth Edition</v>
      </c>
      <c r="B102">
        <f>SUMIFS(Colección!$L$2:$L$10001,Colección!$G$2:$G$10001,$A102,Colección!$M$2:$M$10001,"Compra")</f>
        <v>32.727272727272727</v>
      </c>
      <c r="C102">
        <f>SUMIFS(Colección!$K$2:$K$10001,Colección!$G$2:$G$10001,$A102,Colección!$M$2:$M$10001,"Compra")</f>
        <v>8</v>
      </c>
      <c r="D102">
        <f>IF($B102=0,"",_xlfn.RANK.EQ($B102,$B$2:$B$321,0)+COUNTIF($B$2:B102,$B102)-1)</f>
        <v>171</v>
      </c>
      <c r="F102" t="str">
        <f>"Assault on Osgiliath (V.2)"</f>
        <v>Assault on Osgiliath (V.2)</v>
      </c>
      <c r="G102">
        <f>SUMIFS(Colección!$L$2:$L$10001,Colección!$F$2:$F$10001,$F102,Colección!$M$2:$M$10001,"Compra")</f>
        <v>5.78</v>
      </c>
      <c r="H102">
        <f>IF($G102=0,"",_xlfn.RANK.EQ($G102,$G$2:$G$2353,0)+COUNTIF($G$2:G102,$G102)-1)</f>
        <v>904</v>
      </c>
    </row>
    <row r="103" spans="1:8" x14ac:dyDescent="0.25">
      <c r="A103" t="str">
        <f>"FINAL FANTASY: Extras"</f>
        <v>FINAL FANTASY: Extras</v>
      </c>
      <c r="B103">
        <f>SUMIFS(Colección!$L$2:$L$10001,Colección!$G$2:$G$10001,$A103,Colección!$M$2:$M$10001,"Compra")</f>
        <v>0</v>
      </c>
      <c r="C103">
        <f>SUMIFS(Colección!$K$2:$K$10001,Colección!$G$2:$G$10001,$A103,Colección!$M$2:$M$10001,"Compra")</f>
        <v>0</v>
      </c>
      <c r="D103" t="str">
        <f>IF($B103=0,"",_xlfn.RANK.EQ($B103,$B$2:$B$321,0)+COUNTIF($B$2:B103,$B103)-1)</f>
        <v/>
      </c>
      <c r="F103" t="str">
        <f>"Astrologian's Planisphere"</f>
        <v>Astrologian's Planisphere</v>
      </c>
      <c r="G103">
        <f>SUMIFS(Colección!$L$2:$L$10001,Colección!$F$2:$F$10001,$F103,Colección!$M$2:$M$10001,"Compra")</f>
        <v>18.054662576687122</v>
      </c>
      <c r="H103">
        <f>IF($G103=0,"",_xlfn.RANK.EQ($G103,$G$2:$G$2353,0)+COUNTIF($G$2:G103,$G103)-1)</f>
        <v>432</v>
      </c>
    </row>
    <row r="104" spans="1:8" x14ac:dyDescent="0.25">
      <c r="A104" t="str">
        <f>"Foreign Black Bordered"</f>
        <v>Foreign Black Bordered</v>
      </c>
      <c r="B104">
        <f>SUMIFS(Colección!$L$2:$L$10001,Colección!$G$2:$G$10001,$A104,Colección!$M$2:$M$10001,"Compra")</f>
        <v>2.209090909090909</v>
      </c>
      <c r="C104">
        <f>SUMIFS(Colección!$K$2:$K$10001,Colección!$G$2:$G$10001,$A104,Colección!$M$2:$M$10001,"Compra")</f>
        <v>1</v>
      </c>
      <c r="D104">
        <f>IF($B104=0,"",_xlfn.RANK.EQ($B104,$B$2:$B$321,0)+COUNTIF($B$2:B104,$B104)-1)</f>
        <v>283</v>
      </c>
      <c r="F104" t="str">
        <f>"Atakhan"</f>
        <v>Atakhan</v>
      </c>
      <c r="G104">
        <f>SUMIFS(Colección!$L$2:$L$10001,Colección!$F$2:$F$10001,$F104,Colección!$M$2:$M$10001,"Compra")</f>
        <v>0.65576923076923077</v>
      </c>
      <c r="H104">
        <f>IF($G104=0,"",_xlfn.RANK.EQ($G104,$G$2:$G$2353,0)+COUNTIF($G$2:G104,$G104)-1)</f>
        <v>1783</v>
      </c>
    </row>
    <row r="105" spans="1:8" x14ac:dyDescent="0.25">
      <c r="A105" t="str">
        <f>"Foundations Jumpstart"</f>
        <v>Foundations Jumpstart</v>
      </c>
      <c r="B105">
        <f>SUMIFS(Colección!$L$2:$L$10001,Colección!$G$2:$G$10001,$A105,Colección!$M$2:$M$10001,"Compra")</f>
        <v>1.8</v>
      </c>
      <c r="C105">
        <f>SUMIFS(Colección!$K$2:$K$10001,Colección!$G$2:$G$10001,$A105,Colección!$M$2:$M$10001,"Compra")</f>
        <v>4</v>
      </c>
      <c r="D105">
        <f>IF($B105=0,"",_xlfn.RANK.EQ($B105,$B$2:$B$321,0)+COUNTIF($B$2:B105,$B105)-1)</f>
        <v>289</v>
      </c>
      <c r="F105" t="str">
        <f>"Atraxa, Grand Unifier"</f>
        <v>Atraxa, Grand Unifier</v>
      </c>
      <c r="G105">
        <f>SUMIFS(Colección!$L$2:$L$10001,Colección!$F$2:$F$10001,$F105,Colección!$M$2:$M$10001,"Compra")</f>
        <v>98.88</v>
      </c>
      <c r="H105">
        <f>IF($G105=0,"",_xlfn.RANK.EQ($G105,$G$2:$G$2353,0)+COUNTIF($G$2:G105,$G105)-1)</f>
        <v>77</v>
      </c>
    </row>
    <row r="106" spans="1:8" x14ac:dyDescent="0.25">
      <c r="A106" t="str">
        <f>"Fourth Edition: Black Bordered"</f>
        <v>Fourth Edition: Black Bordered</v>
      </c>
      <c r="B106">
        <f>SUMIFS(Colección!$L$2:$L$10001,Colección!$G$2:$G$10001,$A106,Colección!$M$2:$M$10001,"Compra")</f>
        <v>737.84363636363639</v>
      </c>
      <c r="C106">
        <f>SUMIFS(Colección!$K$2:$K$10001,Colección!$G$2:$G$10001,$A106,Colección!$M$2:$M$10001,"Compra")</f>
        <v>103</v>
      </c>
      <c r="D106">
        <f>IF($B106=0,"",_xlfn.RANK.EQ($B106,$B$2:$B$321,0)+COUNTIF($B$2:B106,$B106)-1)</f>
        <v>11</v>
      </c>
      <c r="F106" t="str">
        <f>"Atraxa, Grand Unifier (V.1)"</f>
        <v>Atraxa, Grand Unifier (V.1)</v>
      </c>
      <c r="G106">
        <f>SUMIFS(Colección!$L$2:$L$10001,Colección!$F$2:$F$10001,$F106,Colección!$M$2:$M$10001,"Compra")</f>
        <v>119.75094123268036</v>
      </c>
      <c r="H106">
        <f>IF($G106=0,"",_xlfn.RANK.EQ($G106,$G$2:$G$2353,0)+COUNTIF($G$2:G106,$G106)-1)</f>
        <v>57</v>
      </c>
    </row>
    <row r="107" spans="1:8" x14ac:dyDescent="0.25">
      <c r="A107" t="str">
        <f>"Friday Night Magic Promos"</f>
        <v>Friday Night Magic Promos</v>
      </c>
      <c r="B107">
        <f>SUMIFS(Colección!$L$2:$L$10001,Colección!$G$2:$G$10001,$A107,Colección!$M$2:$M$10001,"Compra")</f>
        <v>27.164080148250015</v>
      </c>
      <c r="C107">
        <f>SUMIFS(Colección!$K$2:$K$10001,Colección!$G$2:$G$10001,$A107,Colección!$M$2:$M$10001,"Compra")</f>
        <v>16</v>
      </c>
      <c r="D107">
        <f>IF($B107=0,"",_xlfn.RANK.EQ($B107,$B$2:$B$321,0)+COUNTIF($B$2:B107,$B107)-1)</f>
        <v>184</v>
      </c>
      <c r="F107" t="str">
        <f>"Audacity"</f>
        <v>Audacity</v>
      </c>
      <c r="G107">
        <f>SUMIFS(Colección!$L$2:$L$10001,Colección!$F$2:$F$10001,$F107,Colección!$M$2:$M$10001,"Compra")</f>
        <v>0.81984080435693363</v>
      </c>
      <c r="H107">
        <f>IF($G107=0,"",_xlfn.RANK.EQ($G107,$G$2:$G$2353,0)+COUNTIF($G$2:G107,$G107)-1)</f>
        <v>1713</v>
      </c>
    </row>
    <row r="108" spans="1:8" x14ac:dyDescent="0.25">
      <c r="A108" t="str">
        <f>"From the Vault: Angels"</f>
        <v>From the Vault: Angels</v>
      </c>
      <c r="B108">
        <f>SUMIFS(Colección!$L$2:$L$10001,Colección!$G$2:$G$10001,$A108,Colección!$M$2:$M$10001,"Compra")</f>
        <v>1.6817251160391959</v>
      </c>
      <c r="C108">
        <f>SUMIFS(Colección!$K$2:$K$10001,Colección!$G$2:$G$10001,$A108,Colección!$M$2:$M$10001,"Compra")</f>
        <v>1</v>
      </c>
      <c r="D108">
        <f>IF($B108=0,"",_xlfn.RANK.EQ($B108,$B$2:$B$321,0)+COUNTIF($B$2:B108,$B108)-1)</f>
        <v>291</v>
      </c>
      <c r="F108" t="str">
        <f>"Augur of Bolas"</f>
        <v>Augur of Bolas</v>
      </c>
      <c r="G108">
        <f>SUMIFS(Colección!$L$2:$L$10001,Colección!$F$2:$F$10001,$F108,Colección!$M$2:$M$10001,"Compra")</f>
        <v>0.84992496248124083</v>
      </c>
      <c r="H108">
        <f>IF($G108=0,"",_xlfn.RANK.EQ($G108,$G$2:$G$2353,0)+COUNTIF($G$2:G108,$G108)-1)</f>
        <v>1700</v>
      </c>
    </row>
    <row r="109" spans="1:8" x14ac:dyDescent="0.25">
      <c r="A109" t="str">
        <f>"Frosted"</f>
        <v>Frosted</v>
      </c>
      <c r="B109">
        <f>SUMIFS(Colección!$L$2:$L$10001,Colección!$G$2:$G$10001,$A109,Colección!$M$2:$M$10001,"Compra")</f>
        <v>7.2648648648648653</v>
      </c>
      <c r="C109">
        <f>SUMIFS(Colección!$K$2:$K$10001,Colección!$G$2:$G$10001,$A109,Colección!$M$2:$M$10001,"Compra")</f>
        <v>1</v>
      </c>
      <c r="D109">
        <f>IF($B109=0,"",_xlfn.RANK.EQ($B109,$B$2:$B$321,0)+COUNTIF($B$2:B109,$B109)-1)</f>
        <v>248</v>
      </c>
      <c r="F109" t="str">
        <f>"Authority of the Consuls"</f>
        <v>Authority of the Consuls</v>
      </c>
      <c r="G109">
        <f>SUMIFS(Colección!$L$2:$L$10001,Colección!$F$2:$F$10001,$F109,Colección!$M$2:$M$10001,"Compra")</f>
        <v>10.167499286326006</v>
      </c>
      <c r="H109">
        <f>IF($G109=0,"",_xlfn.RANK.EQ($G109,$G$2:$G$2353,0)+COUNTIF($G$2:G109,$G109)-1)</f>
        <v>659</v>
      </c>
    </row>
    <row r="110" spans="1:8" x14ac:dyDescent="0.25">
      <c r="A110" t="str">
        <f>"Future Sight"</f>
        <v>Future Sight</v>
      </c>
      <c r="B110">
        <f>SUMIFS(Colección!$L$2:$L$10001,Colección!$G$2:$G$10001,$A110,Colección!$M$2:$M$10001,"Compra")</f>
        <v>173.0637491574301</v>
      </c>
      <c r="C110">
        <f>SUMIFS(Colección!$K$2:$K$10001,Colección!$G$2:$G$10001,$A110,Colección!$M$2:$M$10001,"Compra")</f>
        <v>19</v>
      </c>
      <c r="D110">
        <f>IF($B110=0,"",_xlfn.RANK.EQ($B110,$B$2:$B$321,0)+COUNTIF($B$2:B110,$B110)-1)</f>
        <v>53</v>
      </c>
      <c r="F110" t="str">
        <f>"Aven Interrupter"</f>
        <v>Aven Interrupter</v>
      </c>
      <c r="G110">
        <f>SUMIFS(Colección!$L$2:$L$10001,Colección!$F$2:$F$10001,$F110,Colección!$M$2:$M$10001,"Compra")</f>
        <v>18.309999999999999</v>
      </c>
      <c r="H110">
        <f>IF($G110=0,"",_xlfn.RANK.EQ($G110,$G$2:$G$2353,0)+COUNTIF($G$2:G110,$G110)-1)</f>
        <v>427</v>
      </c>
    </row>
    <row r="111" spans="1:8" x14ac:dyDescent="0.25">
      <c r="A111" t="str">
        <f>"Game Day Promos"</f>
        <v>Game Day Promos</v>
      </c>
      <c r="B111">
        <f>SUMIFS(Colección!$L$2:$L$10001,Colección!$G$2:$G$10001,$A111,Colección!$M$2:$M$10001,"Compra")</f>
        <v>2.7892680669817045</v>
      </c>
      <c r="C111">
        <f>SUMIFS(Colección!$K$2:$K$10001,Colección!$G$2:$G$10001,$A111,Colección!$M$2:$M$10001,"Compra")</f>
        <v>4</v>
      </c>
      <c r="D111">
        <f>IF($B111=0,"",_xlfn.RANK.EQ($B111,$B$2:$B$321,0)+COUNTIF($B$2:B111,$B111)-1)</f>
        <v>277</v>
      </c>
      <c r="F111" t="str">
        <f>"Aven Interrupter [Foil]"</f>
        <v>Aven Interrupter [Foil]</v>
      </c>
      <c r="G111">
        <f>SUMIFS(Colección!$L$2:$L$10001,Colección!$F$2:$F$10001,$F111,Colección!$M$2:$M$10001,"Compra")</f>
        <v>58.909090909090907</v>
      </c>
      <c r="H111">
        <f>IF($G111=0,"",_xlfn.RANK.EQ($G111,$G$2:$G$2353,0)+COUNTIF($G$2:G111,$G111)-1)</f>
        <v>145</v>
      </c>
    </row>
    <row r="112" spans="1:8" x14ac:dyDescent="0.25">
      <c r="A112" t="str">
        <f>"Game Day Set Promos"</f>
        <v>Game Day Set Promos</v>
      </c>
      <c r="B112">
        <f>SUMIFS(Colección!$L$2:$L$10001,Colección!$G$2:$G$10001,$A112,Colección!$M$2:$M$10001,"Compra")</f>
        <v>32.529670329670324</v>
      </c>
      <c r="C112">
        <f>SUMIFS(Colección!$K$2:$K$10001,Colección!$G$2:$G$10001,$A112,Colección!$M$2:$M$10001,"Compra")</f>
        <v>3</v>
      </c>
      <c r="D112">
        <f>IF($B112=0,"",_xlfn.RANK.EQ($B112,$B$2:$B$321,0)+COUNTIF($B$2:B112,$B112)-1)</f>
        <v>172</v>
      </c>
      <c r="F112" t="str">
        <f>"Awaken the Honored Dead"</f>
        <v>Awaken the Honored Dead</v>
      </c>
      <c r="G112">
        <f>SUMIFS(Colección!$L$2:$L$10001,Colección!$F$2:$F$10001,$F112,Colección!$M$2:$M$10001,"Compra")</f>
        <v>0.47587268993839837</v>
      </c>
      <c r="H112">
        <f>IF($G112=0,"",_xlfn.RANK.EQ($G112,$G$2:$G$2353,0)+COUNTIF($G$2:G112,$G112)-1)</f>
        <v>1902</v>
      </c>
    </row>
    <row r="113" spans="1:8" x14ac:dyDescent="0.25">
      <c r="A113" t="str">
        <f>"Gatecrash"</f>
        <v>Gatecrash</v>
      </c>
      <c r="B113">
        <f>SUMIFS(Colección!$L$2:$L$10001,Colección!$G$2:$G$10001,$A113,Colección!$M$2:$M$10001,"Compra")</f>
        <v>44.33996966842588</v>
      </c>
      <c r="C113">
        <f>SUMIFS(Colección!$K$2:$K$10001,Colección!$G$2:$G$10001,$A113,Colección!$M$2:$M$10001,"Compra")</f>
        <v>10</v>
      </c>
      <c r="D113">
        <f>IF($B113=0,"",_xlfn.RANK.EQ($B113,$B$2:$B$321,0)+COUNTIF($B$2:B113,$B113)-1)</f>
        <v>150</v>
      </c>
      <c r="F113" t="str">
        <f>"Azir, Emperor of the Sands (V.1 - Rare)"</f>
        <v>Azir, Emperor of the Sands (V.1 - Rare)</v>
      </c>
      <c r="G113">
        <f>SUMIFS(Colección!$L$2:$L$10001,Colección!$F$2:$F$10001,$F113,Colección!$M$2:$M$10001,"Compra")</f>
        <v>0.31179548306148053</v>
      </c>
      <c r="H113">
        <f>IF($G113=0,"",_xlfn.RANK.EQ($G113,$G$2:$G$2353,0)+COUNTIF($G$2:G113,$G113)-1)</f>
        <v>1998</v>
      </c>
    </row>
    <row r="114" spans="1:8" x14ac:dyDescent="0.25">
      <c r="A114" t="str">
        <f>"Gateway Promos"</f>
        <v>Gateway Promos</v>
      </c>
      <c r="B114">
        <f>SUMIFS(Colección!$L$2:$L$10001,Colección!$G$2:$G$10001,$A114,Colección!$M$2:$M$10001,"Compra")</f>
        <v>5.4318783830473318</v>
      </c>
      <c r="C114">
        <f>SUMIFS(Colección!$K$2:$K$10001,Colección!$G$2:$G$10001,$A114,Colección!$M$2:$M$10001,"Compra")</f>
        <v>4</v>
      </c>
      <c r="D114">
        <f>IF($B114=0,"",_xlfn.RANK.EQ($B114,$B$2:$B$321,0)+COUNTIF($B$2:B114,$B114)-1)</f>
        <v>263</v>
      </c>
      <c r="F114" t="str">
        <f>"Azir, Emperor of the Sands (V.2 - Showcase)"</f>
        <v>Azir, Emperor of the Sands (V.2 - Showcase)</v>
      </c>
      <c r="G114">
        <f>SUMIFS(Colección!$L$2:$L$10001,Colección!$F$2:$F$10001,$F114,Colección!$M$2:$M$10001,"Compra")</f>
        <v>58.426044083526683</v>
      </c>
      <c r="H114">
        <f>IF($G114=0,"",_xlfn.RANK.EQ($G114,$G$2:$G$2353,0)+COUNTIF($G$2:G114,$G114)-1)</f>
        <v>146</v>
      </c>
    </row>
    <row r="115" spans="1:8" x14ac:dyDescent="0.25">
      <c r="A115" t="str">
        <f>"Guildpact"</f>
        <v>Guildpact</v>
      </c>
      <c r="B115">
        <f>SUMIFS(Colección!$L$2:$L$10001,Colección!$G$2:$G$10001,$A115,Colección!$M$2:$M$10001,"Compra")</f>
        <v>6.2894376004284949</v>
      </c>
      <c r="C115">
        <f>SUMIFS(Colección!$K$2:$K$10001,Colección!$G$2:$G$10001,$A115,Colección!$M$2:$M$10001,"Compra")</f>
        <v>1</v>
      </c>
      <c r="D115">
        <f>IF($B115=0,"",_xlfn.RANK.EQ($B115,$B$2:$B$321,0)+COUNTIF($B$2:B115,$B115)-1)</f>
        <v>256</v>
      </c>
      <c r="F115" t="str">
        <f>"Azir, Sovereign (V.2 - Showcase)"</f>
        <v>Azir, Sovereign (V.2 - Showcase)</v>
      </c>
      <c r="G115">
        <f>SUMIFS(Colección!$L$2:$L$10001,Colección!$F$2:$F$10001,$F115,Colección!$M$2:$M$10001,"Compra")</f>
        <v>4.6444444444444439</v>
      </c>
      <c r="H115">
        <f>IF($G115=0,"",_xlfn.RANK.EQ($G115,$G$2:$G$2353,0)+COUNTIF($G$2:G115,$G115)-1)</f>
        <v>991</v>
      </c>
    </row>
    <row r="116" spans="1:8" x14ac:dyDescent="0.25">
      <c r="A116" t="str">
        <f>"Guilds of Ravnica"</f>
        <v>Guilds of Ravnica</v>
      </c>
      <c r="B116">
        <f>SUMIFS(Colección!$L$2:$L$10001,Colección!$G$2:$G$10001,$A116,Colección!$M$2:$M$10001,"Compra")</f>
        <v>92.689854869421964</v>
      </c>
      <c r="C116">
        <f>SUMIFS(Colección!$K$2:$K$10001,Colección!$G$2:$G$10001,$A116,Colección!$M$2:$M$10001,"Compra")</f>
        <v>21</v>
      </c>
      <c r="D116">
        <f>IF($B116=0,"",_xlfn.RANK.EQ($B116,$B$2:$B$321,0)+COUNTIF($B$2:B116,$B116)-1)</f>
        <v>90</v>
      </c>
      <c r="F116" t="str">
        <f>"Azure Beastbinder"</f>
        <v>Azure Beastbinder</v>
      </c>
      <c r="G116">
        <f>SUMIFS(Colección!$L$2:$L$10001,Colección!$F$2:$F$10001,$F116,Colección!$M$2:$M$10001,"Compra")</f>
        <v>5.384882943143813</v>
      </c>
      <c r="H116">
        <f>IF($G116=0,"",_xlfn.RANK.EQ($G116,$G$2:$G$2353,0)+COUNTIF($G$2:G116,$G116)-1)</f>
        <v>937</v>
      </c>
    </row>
    <row r="117" spans="1:8" x14ac:dyDescent="0.25">
      <c r="A117" t="str">
        <f>"Guilds of Ravnica: Guild Kits"</f>
        <v>Guilds of Ravnica: Guild Kits</v>
      </c>
      <c r="B117">
        <f>SUMIFS(Colección!$L$2:$L$10001,Colección!$G$2:$G$10001,$A117,Colección!$M$2:$M$10001,"Compra")</f>
        <v>2.2709987689343256</v>
      </c>
      <c r="C117">
        <f>SUMIFS(Colección!$K$2:$K$10001,Colección!$G$2:$G$10001,$A117,Colección!$M$2:$M$10001,"Compra")</f>
        <v>2</v>
      </c>
      <c r="D117">
        <f>IF($B117=0,"",_xlfn.RANK.EQ($B117,$B$2:$B$321,0)+COUNTIF($B$2:B117,$B117)-1)</f>
        <v>281</v>
      </c>
      <c r="F117" t="str">
        <f>"Azusa, Lost but Seeking"</f>
        <v>Azusa, Lost but Seeking</v>
      </c>
      <c r="G117">
        <f>SUMIFS(Colección!$L$2:$L$10001,Colección!$F$2:$F$10001,$F117,Colección!$M$2:$M$10001,"Compra")</f>
        <v>7.33</v>
      </c>
      <c r="H117">
        <f>IF($G117=0,"",_xlfn.RANK.EQ($G117,$G$2:$G$2353,0)+COUNTIF($G$2:G117,$G117)-1)</f>
        <v>790</v>
      </c>
    </row>
    <row r="118" spans="1:8" x14ac:dyDescent="0.25">
      <c r="A118" t="str">
        <f>"Hour of Devastation"</f>
        <v>Hour of Devastation</v>
      </c>
      <c r="B118">
        <f>SUMIFS(Colección!$L$2:$L$10001,Colección!$G$2:$G$10001,$A118,Colección!$M$2:$M$10001,"Compra")</f>
        <v>12.422396814996114</v>
      </c>
      <c r="C118">
        <f>SUMIFS(Colección!$K$2:$K$10001,Colección!$G$2:$G$10001,$A118,Colección!$M$2:$M$10001,"Compra")</f>
        <v>9</v>
      </c>
      <c r="D118">
        <f>IF($B118=0,"",_xlfn.RANK.EQ($B118,$B$2:$B$321,0)+COUNTIF($B$2:B118,$B118)-1)</f>
        <v>230</v>
      </c>
      <c r="F118" t="str">
        <f>"B.F. Sword"</f>
        <v>B.F. Sword</v>
      </c>
      <c r="G118">
        <f>SUMIFS(Colección!$L$2:$L$10001,Colección!$F$2:$F$10001,$F118,Colección!$M$2:$M$10001,"Compra")</f>
        <v>6.3864316185696364</v>
      </c>
      <c r="H118">
        <f>IF($G118=0,"",_xlfn.RANK.EQ($G118,$G$2:$G$2353,0)+COUNTIF($G$2:G118,$G118)-1)</f>
        <v>858</v>
      </c>
    </row>
    <row r="119" spans="1:8" x14ac:dyDescent="0.25">
      <c r="A119" t="str">
        <f>"Ice Age"</f>
        <v>Ice Age</v>
      </c>
      <c r="B119">
        <f>SUMIFS(Colección!$L$2:$L$10001,Colección!$G$2:$G$10001,$A119,Colección!$M$2:$M$10001,"Compra")</f>
        <v>68.094163688348814</v>
      </c>
      <c r="C119">
        <f>SUMIFS(Colección!$K$2:$K$10001,Colección!$G$2:$G$10001,$A119,Colección!$M$2:$M$10001,"Compra")</f>
        <v>12</v>
      </c>
      <c r="D119">
        <f>IF($B119=0,"",_xlfn.RANK.EQ($B119,$B$2:$B$321,0)+COUNTIF($B$2:B119,$B119)-1)</f>
        <v>117</v>
      </c>
      <c r="F119" t="str">
        <f>"Baby 5 (OP04-032)"</f>
        <v>Baby 5 (OP04-032)</v>
      </c>
      <c r="G119">
        <f>SUMIFS(Colección!$L$2:$L$10001,Colección!$F$2:$F$10001,$F119,Colección!$M$2:$M$10001,"Compra")</f>
        <v>6.1898734177215198E-2</v>
      </c>
      <c r="H119">
        <f>IF($G119=0,"",_xlfn.RANK.EQ($G119,$G$2:$G$2353,0)+COUNTIF($G$2:G119,$G119)-1)</f>
        <v>2257</v>
      </c>
    </row>
    <row r="120" spans="1:8" x14ac:dyDescent="0.25">
      <c r="A120" t="str">
        <f>"Iconic Masters"</f>
        <v>Iconic Masters</v>
      </c>
      <c r="B120">
        <f>SUMIFS(Colección!$L$2:$L$10001,Colección!$G$2:$G$10001,$A120,Colección!$M$2:$M$10001,"Compra")</f>
        <v>100.38766142603477</v>
      </c>
      <c r="C120">
        <f>SUMIFS(Colección!$K$2:$K$10001,Colección!$G$2:$G$10001,$A120,Colección!$M$2:$M$10001,"Compra")</f>
        <v>28</v>
      </c>
      <c r="D120">
        <f>IF($B120=0,"",_xlfn.RANK.EQ($B120,$B$2:$B$321,0)+COUNTIF($B$2:B120,$B120)-1)</f>
        <v>82</v>
      </c>
      <c r="F120" t="str">
        <f>"Baby 5 (OP05-033)"</f>
        <v>Baby 5 (OP05-033)</v>
      </c>
      <c r="G120">
        <f>SUMIFS(Colección!$L$2:$L$10001,Colección!$F$2:$F$10001,$F120,Colección!$M$2:$M$10001,"Compra")</f>
        <v>2.7061704211557298E-2</v>
      </c>
      <c r="H120">
        <f>IF($G120=0,"",_xlfn.RANK.EQ($G120,$G$2:$G$2353,0)+COUNTIF($G$2:G120,$G120)-1)</f>
        <v>2339</v>
      </c>
    </row>
    <row r="121" spans="1:8" x14ac:dyDescent="0.25">
      <c r="A121" t="str">
        <f>"Ikoria: Lair of Behemoths"</f>
        <v>Ikoria: Lair of Behemoths</v>
      </c>
      <c r="B121">
        <f>SUMIFS(Colección!$L$2:$L$10001,Colección!$G$2:$G$10001,$A121,Colección!$M$2:$M$10001,"Compra")</f>
        <v>94.697941747026505</v>
      </c>
      <c r="C121">
        <f>SUMIFS(Colección!$K$2:$K$10001,Colección!$G$2:$G$10001,$A121,Colección!$M$2:$M$10001,"Compra")</f>
        <v>28</v>
      </c>
      <c r="D121">
        <f>IF($B121=0,"",_xlfn.RANK.EQ($B121,$B$2:$B$321,0)+COUNTIF($B$2:B121,$B121)-1)</f>
        <v>85</v>
      </c>
      <c r="F121" t="str">
        <f>"Baby 5 (OP05-034) (V.1)"</f>
        <v>Baby 5 (OP05-034) (V.1)</v>
      </c>
      <c r="G121">
        <f>SUMIFS(Colección!$L$2:$L$10001,Colección!$F$2:$F$10001,$F121,Colección!$M$2:$M$10001,"Compra")</f>
        <v>0.27061704211557303</v>
      </c>
      <c r="H121">
        <f>IF($G121=0,"",_xlfn.RANK.EQ($G121,$G$2:$G$2353,0)+COUNTIF($G$2:G121,$G121)-1)</f>
        <v>2039</v>
      </c>
    </row>
    <row r="122" spans="1:8" x14ac:dyDescent="0.25">
      <c r="A122" t="str">
        <f>"Ikoria: Lair of Behemoths: Extras"</f>
        <v>Ikoria: Lair of Behemoths: Extras</v>
      </c>
      <c r="B122">
        <f>SUMIFS(Colección!$L$2:$L$10001,Colección!$G$2:$G$10001,$A122,Colección!$M$2:$M$10001,"Compra")</f>
        <v>71.99479579579581</v>
      </c>
      <c r="C122">
        <f>SUMIFS(Colección!$K$2:$K$10001,Colección!$G$2:$G$10001,$A122,Colección!$M$2:$M$10001,"Compra")</f>
        <v>6</v>
      </c>
      <c r="D122">
        <f>IF($B122=0,"",_xlfn.RANK.EQ($B122,$B$2:$B$321,0)+COUNTIF($B$2:B122,$B122)-1)</f>
        <v>112</v>
      </c>
      <c r="F122" t="str">
        <f>"Back Off"</f>
        <v>Back Off</v>
      </c>
      <c r="G122">
        <f>SUMIFS(Colección!$L$2:$L$10001,Colección!$F$2:$F$10001,$F122,Colección!$M$2:$M$10001,"Compra")</f>
        <v>3.550632911392404</v>
      </c>
      <c r="H122">
        <f>IF($G122=0,"",_xlfn.RANK.EQ($G122,$G$2:$G$2353,0)+COUNTIF($G$2:G122,$G122)-1)</f>
        <v>1107</v>
      </c>
    </row>
    <row r="123" spans="1:8" x14ac:dyDescent="0.25">
      <c r="A123" t="str">
        <f>"Innistrad"</f>
        <v>Innistrad</v>
      </c>
      <c r="B123">
        <f>SUMIFS(Colección!$L$2:$L$10001,Colección!$G$2:$G$10001,$A123,Colección!$M$2:$M$10001,"Compra")</f>
        <v>108.1181803760156</v>
      </c>
      <c r="C123">
        <f>SUMIFS(Colección!$K$2:$K$10001,Colección!$G$2:$G$10001,$A123,Colección!$M$2:$M$10001,"Compra")</f>
        <v>11</v>
      </c>
      <c r="D123">
        <f>IF($B123=0,"",_xlfn.RANK.EQ($B123,$B$2:$B$321,0)+COUNTIF($B$2:B123,$B123)-1)</f>
        <v>74</v>
      </c>
      <c r="F123" t="str">
        <f>"Bad Manners Kick Course (OP04-016)"</f>
        <v>Bad Manners Kick Course (OP04-016)</v>
      </c>
      <c r="G123">
        <f>SUMIFS(Colección!$L$2:$L$10001,Colección!$F$2:$F$10001,$F123,Colección!$M$2:$M$10001,"Compra")</f>
        <v>0.32108433734939762</v>
      </c>
      <c r="H123">
        <f>IF($G123=0,"",_xlfn.RANK.EQ($G123,$G$2:$G$2353,0)+COUNTIF($G$2:G123,$G123)-1)</f>
        <v>1992</v>
      </c>
    </row>
    <row r="124" spans="1:8" x14ac:dyDescent="0.25">
      <c r="A124" t="str">
        <f>"Innistrad Remastered"</f>
        <v>Innistrad Remastered</v>
      </c>
      <c r="B124">
        <f>SUMIFS(Colección!$L$2:$L$10001,Colección!$G$2:$G$10001,$A124,Colección!$M$2:$M$10001,"Compra")</f>
        <v>228.43636363636367</v>
      </c>
      <c r="C124">
        <f>SUMIFS(Colección!$K$2:$K$10001,Colección!$G$2:$G$10001,$A124,Colección!$M$2:$M$10001,"Compra")</f>
        <v>13</v>
      </c>
      <c r="D124">
        <f>IF($B124=0,"",_xlfn.RANK.EQ($B124,$B$2:$B$321,0)+COUNTIF($B$2:B124,$B124)-1)</f>
        <v>43</v>
      </c>
      <c r="F124" t="str">
        <f>"Badgermole Cub"</f>
        <v>Badgermole Cub</v>
      </c>
      <c r="G124">
        <f>SUMIFS(Colección!$L$2:$L$10001,Colección!$F$2:$F$10001,$F124,Colección!$M$2:$M$10001,"Compra")</f>
        <v>241.8191208923003</v>
      </c>
      <c r="H124">
        <f>IF($G124=0,"",_xlfn.RANK.EQ($G124,$G$2:$G$2353,0)+COUNTIF($G$2:G124,$G124)-1)</f>
        <v>13</v>
      </c>
    </row>
    <row r="125" spans="1:8" x14ac:dyDescent="0.25">
      <c r="A125" t="str">
        <f>"Innistrad Remastered: Extras"</f>
        <v>Innistrad Remastered: Extras</v>
      </c>
      <c r="B125">
        <f>SUMIFS(Colección!$L$2:$L$10001,Colección!$G$2:$G$10001,$A125,Colección!$M$2:$M$10001,"Compra")</f>
        <v>153.05315387708046</v>
      </c>
      <c r="C125">
        <f>SUMIFS(Colección!$K$2:$K$10001,Colección!$G$2:$G$10001,$A125,Colección!$M$2:$M$10001,"Compra")</f>
        <v>23</v>
      </c>
      <c r="D125">
        <f>IF($B125=0,"",_xlfn.RANK.EQ($B125,$B$2:$B$321,0)+COUNTIF($B$2:B125,$B125)-1)</f>
        <v>64</v>
      </c>
      <c r="F125" t="str">
        <f>"Baited Hook"</f>
        <v>Baited Hook</v>
      </c>
      <c r="G125">
        <f>SUMIFS(Colección!$L$2:$L$10001,Colección!$F$2:$F$10001,$F125,Colección!$M$2:$M$10001,"Compra")</f>
        <v>150.63475398108582</v>
      </c>
      <c r="H125">
        <f>IF($G125=0,"",_xlfn.RANK.EQ($G125,$G$2:$G$2353,0)+COUNTIF($G$2:G125,$G125)-1)</f>
        <v>34</v>
      </c>
    </row>
    <row r="126" spans="1:8" x14ac:dyDescent="0.25">
      <c r="A126" t="str">
        <f>"Innistrad: Crimson Vow"</f>
        <v>Innistrad: Crimson Vow</v>
      </c>
      <c r="B126">
        <f>SUMIFS(Colección!$L$2:$L$10001,Colección!$G$2:$G$10001,$A126,Colección!$M$2:$M$10001,"Compra")</f>
        <v>66.876903568172949</v>
      </c>
      <c r="C126">
        <f>SUMIFS(Colección!$K$2:$K$10001,Colección!$G$2:$G$10001,$A126,Colección!$M$2:$M$10001,"Compra")</f>
        <v>45</v>
      </c>
      <c r="D126">
        <f>IF($B126=0,"",_xlfn.RANK.EQ($B126,$B$2:$B$321,0)+COUNTIF($B$2:B126,$B126)-1)</f>
        <v>120</v>
      </c>
      <c r="F126" t="str">
        <f>"Baleful Mastery"</f>
        <v>Baleful Mastery</v>
      </c>
      <c r="G126">
        <f>SUMIFS(Colección!$L$2:$L$10001,Colección!$F$2:$F$10001,$F126,Colección!$M$2:$M$10001,"Compra")</f>
        <v>1.1842946708463948</v>
      </c>
      <c r="H126">
        <f>IF($G126=0,"",_xlfn.RANK.EQ($G126,$G$2:$G$2353,0)+COUNTIF($G$2:G126,$G126)-1)</f>
        <v>1565</v>
      </c>
    </row>
    <row r="127" spans="1:8" x14ac:dyDescent="0.25">
      <c r="A127" t="str">
        <f>"Innistrad: Crimson Vow: Extras"</f>
        <v>Innistrad: Crimson Vow: Extras</v>
      </c>
      <c r="B127">
        <f>SUMIFS(Colección!$L$2:$L$10001,Colección!$G$2:$G$10001,$A127,Colección!$M$2:$M$10001,"Compra")</f>
        <v>8.7088817542679191</v>
      </c>
      <c r="C127">
        <f>SUMIFS(Colección!$K$2:$K$10001,Colección!$G$2:$G$10001,$A127,Colección!$M$2:$M$10001,"Compra")</f>
        <v>11</v>
      </c>
      <c r="D127">
        <f>IF($B127=0,"",_xlfn.RANK.EQ($B127,$B$2:$B$321,0)+COUNTIF($B$2:B127,$B127)-1)</f>
        <v>241</v>
      </c>
      <c r="F127" t="str">
        <f>"Ballistic Boulder Token (Artifact 2/1)"</f>
        <v>Ballistic Boulder Token (Artifact 2/1)</v>
      </c>
      <c r="G127">
        <f>SUMIFS(Colección!$L$2:$L$10001,Colección!$F$2:$F$10001,$F127,Colección!$M$2:$M$10001,"Compra")</f>
        <v>0.17877934272300469</v>
      </c>
      <c r="H127">
        <f>IF($G127=0,"",_xlfn.RANK.EQ($G127,$G$2:$G$2353,0)+COUNTIF($G$2:G127,$G127)-1)</f>
        <v>2095</v>
      </c>
    </row>
    <row r="128" spans="1:8" x14ac:dyDescent="0.25">
      <c r="A128" t="str">
        <f>"Innistrad: Crimson Vow: Promos"</f>
        <v>Innistrad: Crimson Vow: Promos</v>
      </c>
      <c r="B128">
        <f>SUMIFS(Colección!$L$2:$L$10001,Colección!$G$2:$G$10001,$A128,Colección!$M$2:$M$10001,"Compra")</f>
        <v>89.059999999999988</v>
      </c>
      <c r="C128">
        <f>SUMIFS(Colección!$K$2:$K$10001,Colección!$G$2:$G$10001,$A128,Colección!$M$2:$M$10001,"Compra")</f>
        <v>9</v>
      </c>
      <c r="D128">
        <f>IF($B128=0,"",_xlfn.RANK.EQ($B128,$B$2:$B$321,0)+COUNTIF($B$2:B128,$B128)-1)</f>
        <v>94</v>
      </c>
      <c r="F128" t="str">
        <f>"Bandle Tree"</f>
        <v>Bandle Tree</v>
      </c>
      <c r="G128">
        <f>SUMIFS(Colección!$L$2:$L$10001,Colección!$F$2:$F$10001,$F128,Colección!$M$2:$M$10001,"Compra")</f>
        <v>1.1318181818181821</v>
      </c>
      <c r="H128">
        <f>IF($G128=0,"",_xlfn.RANK.EQ($G128,$G$2:$G$2353,0)+COUNTIF($G$2:G128,$G128)-1)</f>
        <v>1585</v>
      </c>
    </row>
    <row r="129" spans="1:8" x14ac:dyDescent="0.25">
      <c r="A129" t="str">
        <f>"Innistrad: Double Feature"</f>
        <v>Innistrad: Double Feature</v>
      </c>
      <c r="B129">
        <f>SUMIFS(Colección!$L$2:$L$10001,Colección!$G$2:$G$10001,$A129,Colección!$M$2:$M$10001,"Compra")</f>
        <v>0.48886905447425999</v>
      </c>
      <c r="C129">
        <f>SUMIFS(Colección!$K$2:$K$10001,Colección!$G$2:$G$10001,$A129,Colección!$M$2:$M$10001,"Compra")</f>
        <v>3</v>
      </c>
      <c r="D129">
        <f>IF($B129=0,"",_xlfn.RANK.EQ($B129,$B$2:$B$321,0)+COUNTIF($B$2:B129,$B129)-1)</f>
        <v>308</v>
      </c>
      <c r="F129" t="str">
        <f>"Banefire"</f>
        <v>Banefire</v>
      </c>
      <c r="G129">
        <f>SUMIFS(Colección!$L$2:$L$10001,Colección!$F$2:$F$10001,$F129,Colección!$M$2:$M$10001,"Compra")</f>
        <v>0.78290511962628617</v>
      </c>
      <c r="H129">
        <f>IF($G129=0,"",_xlfn.RANK.EQ($G129,$G$2:$G$2353,0)+COUNTIF($G$2:G129,$G129)-1)</f>
        <v>1732</v>
      </c>
    </row>
    <row r="130" spans="1:8" x14ac:dyDescent="0.25">
      <c r="A130" t="str">
        <f>"Innistrad: Midnight Hunt"</f>
        <v>Innistrad: Midnight Hunt</v>
      </c>
      <c r="B130">
        <f>SUMIFS(Colección!$L$2:$L$10001,Colección!$G$2:$G$10001,$A130,Colección!$M$2:$M$10001,"Compra")</f>
        <v>62.174778975290081</v>
      </c>
      <c r="C130">
        <f>SUMIFS(Colección!$K$2:$K$10001,Colección!$G$2:$G$10001,$A130,Colección!$M$2:$M$10001,"Compra")</f>
        <v>58</v>
      </c>
      <c r="D130">
        <f>IF($B130=0,"",_xlfn.RANK.EQ($B130,$B$2:$B$321,0)+COUNTIF($B$2:B130,$B130)-1)</f>
        <v>127</v>
      </c>
      <c r="F130" t="str">
        <f>"Barad-dûr"</f>
        <v>Barad-dûr</v>
      </c>
      <c r="G130">
        <f>SUMIFS(Colección!$L$2:$L$10001,Colección!$F$2:$F$10001,$F130,Colección!$M$2:$M$10001,"Compra")</f>
        <v>1.4548387096774189</v>
      </c>
      <c r="H130">
        <f>IF($G130=0,"",_xlfn.RANK.EQ($G130,$G$2:$G$2353,0)+COUNTIF($G$2:G130,$G130)-1)</f>
        <v>1499</v>
      </c>
    </row>
    <row r="131" spans="1:8" x14ac:dyDescent="0.25">
      <c r="A131" t="str">
        <f>"Innistrad: Midnight Hunt: Extras"</f>
        <v>Innistrad: Midnight Hunt: Extras</v>
      </c>
      <c r="B131">
        <f>SUMIFS(Colección!$L$2:$L$10001,Colección!$G$2:$G$10001,$A131,Colección!$M$2:$M$10001,"Compra")</f>
        <v>16.206431582116512</v>
      </c>
      <c r="C131">
        <f>SUMIFS(Colección!$K$2:$K$10001,Colección!$G$2:$G$10001,$A131,Colección!$M$2:$M$10001,"Compra")</f>
        <v>3</v>
      </c>
      <c r="D131">
        <f>IF($B131=0,"",_xlfn.RANK.EQ($B131,$B$2:$B$321,0)+COUNTIF($B$2:B131,$B131)-1)</f>
        <v>216</v>
      </c>
      <c r="F131" t="str">
        <f>"Barad-dûr (V.1)"</f>
        <v>Barad-dûr (V.1)</v>
      </c>
      <c r="G131">
        <f>SUMIFS(Colección!$L$2:$L$10001,Colección!$F$2:$F$10001,$F131,Colección!$M$2:$M$10001,"Compra")</f>
        <v>2.0822413793103451</v>
      </c>
      <c r="H131">
        <f>IF($G131=0,"",_xlfn.RANK.EQ($G131,$G$2:$G$2353,0)+COUNTIF($G$2:G131,$G131)-1)</f>
        <v>1346</v>
      </c>
    </row>
    <row r="132" spans="1:8" x14ac:dyDescent="0.25">
      <c r="A132" t="str">
        <f>"Innistrad: Midnight Hunt: Promos"</f>
        <v>Innistrad: Midnight Hunt: Promos</v>
      </c>
      <c r="B132">
        <f>SUMIFS(Colección!$L$2:$L$10001,Colección!$G$2:$G$10001,$A132,Colección!$M$2:$M$10001,"Compra")</f>
        <v>77.435882294564834</v>
      </c>
      <c r="C132">
        <f>SUMIFS(Colección!$K$2:$K$10001,Colección!$G$2:$G$10001,$A132,Colección!$M$2:$M$10001,"Compra")</f>
        <v>23</v>
      </c>
      <c r="D132">
        <f>IF($B132=0,"",_xlfn.RANK.EQ($B132,$B$2:$B$321,0)+COUNTIF($B$2:B132,$B132)-1)</f>
        <v>107</v>
      </c>
      <c r="F132" t="str">
        <f>"Barad-dûr (V.2)"</f>
        <v>Barad-dûr (V.2)</v>
      </c>
      <c r="G132">
        <f>SUMIFS(Colección!$L$2:$L$10001,Colección!$F$2:$F$10001,$F132,Colección!$M$2:$M$10001,"Compra")</f>
        <v>2.3278173127987261</v>
      </c>
      <c r="H132">
        <f>IF($G132=0,"",_xlfn.RANK.EQ($G132,$G$2:$G$2353,0)+COUNTIF($G$2:G132,$G132)-1)</f>
        <v>1284</v>
      </c>
    </row>
    <row r="133" spans="1:8" x14ac:dyDescent="0.25">
      <c r="A133" t="str">
        <f>"Invasion"</f>
        <v>Invasion</v>
      </c>
      <c r="B133">
        <f>SUMIFS(Colección!$L$2:$L$10001,Colección!$G$2:$G$10001,$A133,Colección!$M$2:$M$10001,"Compra")</f>
        <v>37.339547429460623</v>
      </c>
      <c r="C133">
        <f>SUMIFS(Colección!$K$2:$K$10001,Colección!$G$2:$G$10001,$A133,Colección!$M$2:$M$10001,"Compra")</f>
        <v>15</v>
      </c>
      <c r="D133">
        <f>IF($B133=0,"",_xlfn.RANK.EQ($B133,$B$2:$B$321,0)+COUNTIF($B$2:B133,$B133)-1)</f>
        <v>163</v>
      </c>
      <c r="F133" t="str">
        <f>"Baral, Chief of Compliance"</f>
        <v>Baral, Chief of Compliance</v>
      </c>
      <c r="G133">
        <f>SUMIFS(Colección!$L$2:$L$10001,Colección!$F$2:$F$10001,$F133,Colección!$M$2:$M$10001,"Compra")</f>
        <v>16.714219023536277</v>
      </c>
      <c r="H133">
        <f>IF($G133=0,"",_xlfn.RANK.EQ($G133,$G$2:$G$2353,0)+COUNTIF($G$2:G133,$G133)-1)</f>
        <v>459</v>
      </c>
    </row>
    <row r="134" spans="1:8" x14ac:dyDescent="0.25">
      <c r="A134" t="str">
        <f>"Ixalan"</f>
        <v>Ixalan</v>
      </c>
      <c r="B134">
        <f>SUMIFS(Colección!$L$2:$L$10001,Colección!$G$2:$G$10001,$A134,Colección!$M$2:$M$10001,"Compra")</f>
        <v>4.8937040618955514</v>
      </c>
      <c r="C134">
        <f>SUMIFS(Colección!$K$2:$K$10001,Colección!$G$2:$G$10001,$A134,Colección!$M$2:$M$10001,"Compra")</f>
        <v>12</v>
      </c>
      <c r="D134">
        <f>IF($B134=0,"",_xlfn.RANK.EQ($B134,$B$2:$B$321,0)+COUNTIF($B$2:B134,$B134)-1)</f>
        <v>266</v>
      </c>
      <c r="F134" t="str">
        <f>"Barbarian Ring"</f>
        <v>Barbarian Ring</v>
      </c>
      <c r="G134">
        <f>SUMIFS(Colección!$L$2:$L$10001,Colección!$F$2:$F$10001,$F134,Colección!$M$2:$M$10001,"Compra")</f>
        <v>2.0196000000000001</v>
      </c>
      <c r="H134">
        <f>IF($G134=0,"",_xlfn.RANK.EQ($G134,$G$2:$G$2353,0)+COUNTIF($G$2:G134,$G134)-1)</f>
        <v>1366</v>
      </c>
    </row>
    <row r="135" spans="1:8" x14ac:dyDescent="0.25">
      <c r="A135" t="str">
        <f>"Journey into Nyx"</f>
        <v>Journey into Nyx</v>
      </c>
      <c r="B135">
        <f>SUMIFS(Colección!$L$2:$L$10001,Colección!$G$2:$G$10001,$A135,Colección!$M$2:$M$10001,"Compra")</f>
        <v>66.237029288702928</v>
      </c>
      <c r="C135">
        <f>SUMIFS(Colección!$K$2:$K$10001,Colección!$G$2:$G$10001,$A135,Colección!$M$2:$M$10001,"Compra")</f>
        <v>3</v>
      </c>
      <c r="D135">
        <f>IF($B135=0,"",_xlfn.RANK.EQ($B135,$B$2:$B$321,0)+COUNTIF($B$2:B135,$B135)-1)</f>
        <v>121</v>
      </c>
      <c r="F135" t="str">
        <f>"Barren Moor"</f>
        <v>Barren Moor</v>
      </c>
      <c r="G135">
        <f>SUMIFS(Colección!$L$2:$L$10001,Colección!$F$2:$F$10001,$F135,Colección!$M$2:$M$10001,"Compra")</f>
        <v>2</v>
      </c>
      <c r="H135">
        <f>IF($G135=0,"",_xlfn.RANK.EQ($G135,$G$2:$G$2353,0)+COUNTIF($G$2:G135,$G135)-1)</f>
        <v>1372</v>
      </c>
    </row>
    <row r="136" spans="1:8" x14ac:dyDescent="0.25">
      <c r="A136" t="str">
        <f>"Judge Rewards Promos"</f>
        <v>Judge Rewards Promos</v>
      </c>
      <c r="B136">
        <f>SUMIFS(Colección!$L$2:$L$10001,Colección!$G$2:$G$10001,$A136,Colección!$M$2:$M$10001,"Compra")</f>
        <v>14.29</v>
      </c>
      <c r="C136">
        <f>SUMIFS(Colección!$K$2:$K$10001,Colección!$G$2:$G$10001,$A136,Colección!$M$2:$M$10001,"Compra")</f>
        <v>1</v>
      </c>
      <c r="D136">
        <f>IF($B136=0,"",_xlfn.RANK.EQ($B136,$B$2:$B$321,0)+COUNTIF($B$2:B136,$B136)-1)</f>
        <v>225</v>
      </c>
      <c r="F136" t="str">
        <f>"Barrier!! (OP04-095)"</f>
        <v>Barrier!! (OP04-095)</v>
      </c>
      <c r="G136">
        <f>SUMIFS(Colección!$L$2:$L$10001,Colección!$F$2:$F$10001,$F136,Colección!$M$2:$M$10001,"Compra")</f>
        <v>6.1898734177215198E-2</v>
      </c>
      <c r="H136">
        <f>IF($G136=0,"",_xlfn.RANK.EQ($G136,$G$2:$G$2353,0)+COUNTIF($G$2:G136,$G136)-1)</f>
        <v>2258</v>
      </c>
    </row>
    <row r="137" spans="1:8" x14ac:dyDescent="0.25">
      <c r="A137" t="str">
        <f>"Judgment"</f>
        <v>Judgment</v>
      </c>
      <c r="B137">
        <f>SUMIFS(Colección!$L$2:$L$10001,Colección!$G$2:$G$10001,$A137,Colección!$M$2:$M$10001,"Compra")</f>
        <v>59.009305808804385</v>
      </c>
      <c r="C137">
        <f>SUMIFS(Colección!$K$2:$K$10001,Colección!$G$2:$G$10001,$A137,Colección!$M$2:$M$10001,"Compra")</f>
        <v>16</v>
      </c>
      <c r="D137">
        <f>IF($B137=0,"",_xlfn.RANK.EQ($B137,$B$2:$B$321,0)+COUNTIF($B$2:B137,$B137)-1)</f>
        <v>133</v>
      </c>
      <c r="F137" t="str">
        <f>"Barrowgoyf (V.1)"</f>
        <v>Barrowgoyf (V.1)</v>
      </c>
      <c r="G137">
        <f>SUMIFS(Colección!$L$2:$L$10001,Colección!$F$2:$F$10001,$F137,Colección!$M$2:$M$10001,"Compra")</f>
        <v>52.93</v>
      </c>
      <c r="H137">
        <f>IF($G137=0,"",_xlfn.RANK.EQ($G137,$G$2:$G$2353,0)+COUNTIF($G$2:G137,$G137)-1)</f>
        <v>165</v>
      </c>
    </row>
    <row r="138" spans="1:8" x14ac:dyDescent="0.25">
      <c r="A138" t="str">
        <f>"Jumpstart"</f>
        <v>Jumpstart</v>
      </c>
      <c r="B138">
        <f>SUMIFS(Colección!$L$2:$L$10001,Colección!$G$2:$G$10001,$A138,Colección!$M$2:$M$10001,"Compra")</f>
        <v>0.53610972568578563</v>
      </c>
      <c r="C138">
        <f>SUMIFS(Colección!$K$2:$K$10001,Colección!$G$2:$G$10001,$A138,Colección!$M$2:$M$10001,"Compra")</f>
        <v>4</v>
      </c>
      <c r="D138">
        <f>IF($B138=0,"",_xlfn.RANK.EQ($B138,$B$2:$B$321,0)+COUNTIF($B$2:B138,$B138)-1)</f>
        <v>306</v>
      </c>
      <c r="F138" t="str">
        <f>"Bartholomew Kuma (OP05-011)"</f>
        <v>Bartholomew Kuma (OP05-011)</v>
      </c>
      <c r="G138">
        <f>SUMIFS(Colección!$L$2:$L$10001,Colección!$F$2:$F$10001,$F138,Colección!$M$2:$M$10001,"Compra")</f>
        <v>5.4123408423114597E-2</v>
      </c>
      <c r="H138">
        <f>IF($G138=0,"",_xlfn.RANK.EQ($G138,$G$2:$G$2353,0)+COUNTIF($G$2:G138,$G138)-1)</f>
        <v>2316</v>
      </c>
    </row>
    <row r="139" spans="1:8" x14ac:dyDescent="0.25">
      <c r="A139" t="str">
        <f>"Kaladesh"</f>
        <v>Kaladesh</v>
      </c>
      <c r="B139">
        <f>SUMIFS(Colección!$L$2:$L$10001,Colección!$G$2:$G$10001,$A139,Colección!$M$2:$M$10001,"Compra")</f>
        <v>163.29648882828289</v>
      </c>
      <c r="C139">
        <f>SUMIFS(Colección!$K$2:$K$10001,Colección!$G$2:$G$10001,$A139,Colección!$M$2:$M$10001,"Compra")</f>
        <v>27</v>
      </c>
      <c r="D139">
        <f>IF($B139=0,"",_xlfn.RANK.EQ($B139,$B$2:$B$321,0)+COUNTIF($B$2:B139,$B139)-1)</f>
        <v>57</v>
      </c>
      <c r="F139" t="str">
        <f>"Bartolomeo (OP04-089)"</f>
        <v>Bartolomeo (OP04-089)</v>
      </c>
      <c r="G139">
        <f>SUMIFS(Colección!$L$2:$L$10001,Colección!$F$2:$F$10001,$F139,Colección!$M$2:$M$10001,"Compra")</f>
        <v>0.64216867469879513</v>
      </c>
      <c r="H139">
        <f>IF($G139=0,"",_xlfn.RANK.EQ($G139,$G$2:$G$2353,0)+COUNTIF($G$2:G139,$G139)-1)</f>
        <v>1798</v>
      </c>
    </row>
    <row r="140" spans="1:8" x14ac:dyDescent="0.25">
      <c r="A140" t="str">
        <f>"Kaldheim"</f>
        <v>Kaldheim</v>
      </c>
      <c r="B140">
        <f>SUMIFS(Colección!$L$2:$L$10001,Colección!$G$2:$G$10001,$A140,Colección!$M$2:$M$10001,"Compra")</f>
        <v>27.091515756082995</v>
      </c>
      <c r="C140">
        <f>SUMIFS(Colección!$K$2:$K$10001,Colección!$G$2:$G$10001,$A140,Colección!$M$2:$M$10001,"Compra")</f>
        <v>21</v>
      </c>
      <c r="D140">
        <f>IF($B140=0,"",_xlfn.RANK.EQ($B140,$B$2:$B$321,0)+COUNTIF($B$2:B140,$B140)-1)</f>
        <v>185</v>
      </c>
      <c r="F140" t="str">
        <f>"Bartolomeo (P-018)"</f>
        <v>Bartolomeo (P-018)</v>
      </c>
      <c r="G140">
        <f>SUMIFS(Colección!$L$2:$L$10001,Colección!$F$2:$F$10001,$F140,Colección!$M$2:$M$10001,"Compra")</f>
        <v>0.1189922480620155</v>
      </c>
      <c r="H140">
        <f>IF($G140=0,"",_xlfn.RANK.EQ($G140,$G$2:$G$2353,0)+COUNTIF($G$2:G140,$G140)-1)</f>
        <v>2151</v>
      </c>
    </row>
    <row r="141" spans="1:8" x14ac:dyDescent="0.25">
      <c r="A141" t="str">
        <f>"Kaldheim: Extras"</f>
        <v>Kaldheim: Extras</v>
      </c>
      <c r="B141">
        <f>SUMIFS(Colección!$L$2:$L$10001,Colección!$G$2:$G$10001,$A141,Colección!$M$2:$M$10001,"Compra")</f>
        <v>58.365770280471516</v>
      </c>
      <c r="C141">
        <f>SUMIFS(Colección!$K$2:$K$10001,Colección!$G$2:$G$10001,$A141,Colección!$M$2:$M$10001,"Compra")</f>
        <v>9</v>
      </c>
      <c r="D141">
        <f>IF($B141=0,"",_xlfn.RANK.EQ($B141,$B$2:$B$321,0)+COUNTIF($B$2:B141,$B141)-1)</f>
        <v>135</v>
      </c>
      <c r="F141" t="str">
        <f>"Bartolomé del Presidio"</f>
        <v>Bartolomé del Presidio</v>
      </c>
      <c r="G141">
        <f>SUMIFS(Colección!$L$2:$L$10001,Colección!$F$2:$F$10001,$F141,Colección!$M$2:$M$10001,"Compra")</f>
        <v>0.65371428571428558</v>
      </c>
      <c r="H141">
        <f>IF($G141=0,"",_xlfn.RANK.EQ($G141,$G$2:$G$2353,0)+COUNTIF($G$2:G141,$G141)-1)</f>
        <v>1785</v>
      </c>
    </row>
    <row r="142" spans="1:8" x14ac:dyDescent="0.25">
      <c r="A142" t="str">
        <f>"Kaldheim: Promos"</f>
        <v>Kaldheim: Promos</v>
      </c>
      <c r="B142">
        <f>SUMIFS(Colección!$L$2:$L$10001,Colección!$G$2:$G$10001,$A142,Colección!$M$2:$M$10001,"Compra")</f>
        <v>3.1893066459385935</v>
      </c>
      <c r="C142">
        <f>SUMIFS(Colección!$K$2:$K$10001,Colección!$G$2:$G$10001,$A142,Colección!$M$2:$M$10001,"Compra")</f>
        <v>2</v>
      </c>
      <c r="D142">
        <f>IF($B142=0,"",_xlfn.RANK.EQ($B142,$B$2:$B$321,0)+COUNTIF($B$2:B142,$B142)-1)</f>
        <v>275</v>
      </c>
      <c r="F142" t="str">
        <f>"Basil Hawkins (OP05-047)"</f>
        <v>Basil Hawkins (OP05-047)</v>
      </c>
      <c r="G142">
        <f>SUMIFS(Colección!$L$2:$L$10001,Colección!$F$2:$F$10001,$F142,Colección!$M$2:$M$10001,"Compra")</f>
        <v>0.10824681684622919</v>
      </c>
      <c r="H142">
        <f>IF($G142=0,"",_xlfn.RANK.EQ($G142,$G$2:$G$2353,0)+COUNTIF($G$2:G142,$G142)-1)</f>
        <v>2157</v>
      </c>
    </row>
    <row r="143" spans="1:8" x14ac:dyDescent="0.25">
      <c r="A143" t="str">
        <f>"Kamigawa: Neon Dynasty"</f>
        <v>Kamigawa: Neon Dynasty</v>
      </c>
      <c r="B143">
        <f>SUMIFS(Colección!$L$2:$L$10001,Colección!$G$2:$G$10001,$A143,Colección!$M$2:$M$10001,"Compra")</f>
        <v>156.22285705738759</v>
      </c>
      <c r="C143">
        <f>SUMIFS(Colección!$K$2:$K$10001,Colección!$G$2:$G$10001,$A143,Colección!$M$2:$M$10001,"Compra")</f>
        <v>101</v>
      </c>
      <c r="D143">
        <f>IF($B143=0,"",_xlfn.RANK.EQ($B143,$B$2:$B$321,0)+COUNTIF($B$2:B143,$B143)-1)</f>
        <v>62</v>
      </c>
      <c r="F143" t="str">
        <f>"Basking Broodscale"</f>
        <v>Basking Broodscale</v>
      </c>
      <c r="G143">
        <f>SUMIFS(Colección!$L$2:$L$10001,Colección!$F$2:$F$10001,$F143,Colección!$M$2:$M$10001,"Compra")</f>
        <v>1.0942028985507248</v>
      </c>
      <c r="H143">
        <f>IF($G143=0,"",_xlfn.RANK.EQ($G143,$G$2:$G$2353,0)+COUNTIF($G$2:G143,$G143)-1)</f>
        <v>1600</v>
      </c>
    </row>
    <row r="144" spans="1:8" x14ac:dyDescent="0.25">
      <c r="A144" t="str">
        <f>"Kamigawa: Neon Dynasty: Extras"</f>
        <v>Kamigawa: Neon Dynasty: Extras</v>
      </c>
      <c r="B144">
        <f>SUMIFS(Colección!$L$2:$L$10001,Colección!$G$2:$G$10001,$A144,Colección!$M$2:$M$10001,"Compra")</f>
        <v>337.55238707253227</v>
      </c>
      <c r="C144">
        <f>SUMIFS(Colección!$K$2:$K$10001,Colección!$G$2:$G$10001,$A144,Colección!$M$2:$M$10001,"Compra")</f>
        <v>44</v>
      </c>
      <c r="D144">
        <f>IF($B144=0,"",_xlfn.RANK.EQ($B144,$B$2:$B$321,0)+COUNTIF($B$2:B144,$B144)-1)</f>
        <v>25</v>
      </c>
      <c r="F144" t="str">
        <f>"Basking Rootwalla"</f>
        <v>Basking Rootwalla</v>
      </c>
      <c r="G144">
        <f>SUMIFS(Colección!$L$2:$L$10001,Colección!$F$2:$F$10001,$F144,Colección!$M$2:$M$10001,"Compra")</f>
        <v>6.3680241327300164</v>
      </c>
      <c r="H144">
        <f>IF($G144=0,"",_xlfn.RANK.EQ($G144,$G$2:$G$2353,0)+COUNTIF($G$2:G144,$G144)-1)</f>
        <v>861</v>
      </c>
    </row>
    <row r="145" spans="1:8" x14ac:dyDescent="0.25">
      <c r="A145" t="str">
        <f>"Kamigawa: Neon Dynasty: Promos"</f>
        <v>Kamigawa: Neon Dynasty: Promos</v>
      </c>
      <c r="B145">
        <f>SUMIFS(Colección!$L$2:$L$10001,Colección!$G$2:$G$10001,$A145,Colección!$M$2:$M$10001,"Compra")</f>
        <v>102.03</v>
      </c>
      <c r="C145">
        <f>SUMIFS(Colección!$K$2:$K$10001,Colección!$G$2:$G$10001,$A145,Colección!$M$2:$M$10001,"Compra")</f>
        <v>4</v>
      </c>
      <c r="D145">
        <f>IF($B145=0,"",_xlfn.RANK.EQ($B145,$B$2:$B$321,0)+COUNTIF($B$2:B145,$B145)-1)</f>
        <v>80</v>
      </c>
      <c r="F145" t="str">
        <f>"Bastille (OP05-048)"</f>
        <v>Bastille (OP05-048)</v>
      </c>
      <c r="G145">
        <f>SUMIFS(Colección!$L$2:$L$10001,Colección!$F$2:$F$10001,$F145,Colección!$M$2:$M$10001,"Compra")</f>
        <v>6.7654260528893242E-2</v>
      </c>
      <c r="H145">
        <f>IF($G145=0,"",_xlfn.RANK.EQ($G145,$G$2:$G$2353,0)+COUNTIF($G$2:G145,$G145)-1)</f>
        <v>2233</v>
      </c>
    </row>
    <row r="146" spans="1:8" x14ac:dyDescent="0.25">
      <c r="A146" t="str">
        <f>"Khans of Tarkir"</f>
        <v>Khans of Tarkir</v>
      </c>
      <c r="B146">
        <f>SUMIFS(Colección!$L$2:$L$10001,Colección!$G$2:$G$10001,$A146,Colección!$M$2:$M$10001,"Compra")</f>
        <v>384.20204045749404</v>
      </c>
      <c r="C146">
        <f>SUMIFS(Colección!$K$2:$K$10001,Colección!$G$2:$G$10001,$A146,Colección!$M$2:$M$10001,"Compra")</f>
        <v>32</v>
      </c>
      <c r="D146">
        <f>IF($B146=0,"",_xlfn.RANK.EQ($B146,$B$2:$B$321,0)+COUNTIF($B$2:B146,$B146)-1)</f>
        <v>21</v>
      </c>
      <c r="F146" t="str">
        <f>"Batterskull"</f>
        <v>Batterskull</v>
      </c>
      <c r="G146">
        <f>SUMIFS(Colección!$L$2:$L$10001,Colección!$F$2:$F$10001,$F146,Colección!$M$2:$M$10001,"Compra")</f>
        <v>5.3612746858168769</v>
      </c>
      <c r="H146">
        <f>IF($G146=0,"",_xlfn.RANK.EQ($G146,$G$2:$G$2353,0)+COUNTIF($G$2:G146,$G146)-1)</f>
        <v>939</v>
      </c>
    </row>
    <row r="147" spans="1:8" x14ac:dyDescent="0.25">
      <c r="A147" t="str">
        <f>"Kingdoms of Intrigue"</f>
        <v>Kingdoms of Intrigue</v>
      </c>
      <c r="B147">
        <f>SUMIFS(Colección!$L$2:$L$10001,Colección!$G$2:$G$10001,$A147,Colección!$M$2:$M$10001,"Compra")</f>
        <v>68.234679212591132</v>
      </c>
      <c r="C147">
        <f>SUMIFS(Colección!$K$2:$K$10001,Colección!$G$2:$G$10001,$A147,Colección!$M$2:$M$10001,"Compra")</f>
        <v>95</v>
      </c>
      <c r="D147">
        <f>IF($B147=0,"",_xlfn.RANK.EQ($B147,$B$2:$B$321,0)+COUNTIF($B$2:B147,$B147)-1)</f>
        <v>116</v>
      </c>
      <c r="F147" t="str">
        <f>"Battlefield Forge"</f>
        <v>Battlefield Forge</v>
      </c>
      <c r="G147">
        <f>SUMIFS(Colección!$L$2:$L$10001,Colección!$F$2:$F$10001,$F147,Colección!$M$2:$M$10001,"Compra")</f>
        <v>2.6498141263940518</v>
      </c>
      <c r="H147">
        <f>IF($G147=0,"",_xlfn.RANK.EQ($G147,$G$2:$G$2353,0)+COUNTIF($G$2:G147,$G147)-1)</f>
        <v>1235</v>
      </c>
    </row>
    <row r="148" spans="1:8" x14ac:dyDescent="0.25">
      <c r="A148" t="str">
        <f>"Legends"</f>
        <v>Legends</v>
      </c>
      <c r="B148">
        <f>SUMIFS(Colección!$L$2:$L$10001,Colección!$G$2:$G$10001,$A148,Colección!$M$2:$M$10001,"Compra")</f>
        <v>53.38</v>
      </c>
      <c r="C148">
        <f>SUMIFS(Colección!$K$2:$K$10001,Colección!$G$2:$G$10001,$A148,Colección!$M$2:$M$10001,"Compra")</f>
        <v>1</v>
      </c>
      <c r="D148">
        <f>IF($B148=0,"",_xlfn.RANK.EQ($B148,$B$2:$B$321,0)+COUNTIF($B$2:B148,$B148)-1)</f>
        <v>137</v>
      </c>
      <c r="F148" t="str">
        <f>"Battlefield Improvisation"</f>
        <v>Battlefield Improvisation</v>
      </c>
      <c r="G148">
        <f>SUMIFS(Colección!$L$2:$L$10001,Colección!$F$2:$F$10001,$F148,Colección!$M$2:$M$10001,"Compra")</f>
        <v>8.81</v>
      </c>
      <c r="H148">
        <f>IF($G148=0,"",_xlfn.RANK.EQ($G148,$G$2:$G$2353,0)+COUNTIF($G$2:G148,$G148)-1)</f>
        <v>712</v>
      </c>
    </row>
    <row r="149" spans="1:8" x14ac:dyDescent="0.25">
      <c r="A149" t="str">
        <f>"Legions"</f>
        <v>Legions</v>
      </c>
      <c r="B149">
        <f>SUMIFS(Colección!$L$2:$L$10001,Colección!$G$2:$G$10001,$A149,Colección!$M$2:$M$10001,"Compra")</f>
        <v>18.727272727272727</v>
      </c>
      <c r="C149">
        <f>SUMIFS(Colección!$K$2:$K$10001,Colección!$G$2:$G$10001,$A149,Colección!$M$2:$M$10001,"Compra")</f>
        <v>4</v>
      </c>
      <c r="D149">
        <f>IF($B149=0,"",_xlfn.RANK.EQ($B149,$B$2:$B$321,0)+COUNTIF($B$2:B149,$B149)-1)</f>
        <v>210</v>
      </c>
      <c r="F149" t="str">
        <f>"Beast Token (G 3/3) // Treefolk Token (G */*)"</f>
        <v>Beast Token (G 3/3) // Treefolk Token (G */*)</v>
      </c>
      <c r="G149">
        <f>SUMIFS(Colección!$L$2:$L$10001,Colección!$F$2:$F$10001,$F149,Colección!$M$2:$M$10001,"Compra")</f>
        <v>1.2541666666666669</v>
      </c>
      <c r="H149">
        <f>IF($G149=0,"",_xlfn.RANK.EQ($G149,$G$2:$G$2353,0)+COUNTIF($G$2:G149,$G149)-1)</f>
        <v>1554</v>
      </c>
    </row>
    <row r="150" spans="1:8" x14ac:dyDescent="0.25">
      <c r="A150" t="str">
        <f>"Lorwyn"</f>
        <v>Lorwyn</v>
      </c>
      <c r="B150">
        <f>SUMIFS(Colección!$L$2:$L$10001,Colección!$G$2:$G$10001,$A150,Colección!$M$2:$M$10001,"Compra")</f>
        <v>45.648460578724709</v>
      </c>
      <c r="C150">
        <f>SUMIFS(Colección!$K$2:$K$10001,Colección!$G$2:$G$10001,$A150,Colección!$M$2:$M$10001,"Compra")</f>
        <v>20</v>
      </c>
      <c r="D150">
        <f>IF($B150=0,"",_xlfn.RANK.EQ($B150,$B$2:$B$321,0)+COUNTIF($B$2:B150,$B150)-1)</f>
        <v>149</v>
      </c>
      <c r="F150" t="str">
        <f>"Because the Side of Justice Will Be Whichever Side Wins!!"</f>
        <v>Because the Side of Justice Will Be Whichever Side Wins!!</v>
      </c>
      <c r="G150">
        <f>SUMIFS(Colección!$L$2:$L$10001,Colección!$F$2:$F$10001,$F150,Colección!$M$2:$M$10001,"Compra")</f>
        <v>0.20296278158667971</v>
      </c>
      <c r="H150">
        <f>IF($G150=0,"",_xlfn.RANK.EQ($G150,$G$2:$G$2353,0)+COUNTIF($G$2:G150,$G150)-1)</f>
        <v>2089</v>
      </c>
    </row>
    <row r="151" spans="1:8" x14ac:dyDescent="0.25">
      <c r="A151" t="str">
        <f>"Lorwyn Eclipsed: Extras"</f>
        <v>Lorwyn Eclipsed: Extras</v>
      </c>
      <c r="B151">
        <f>SUMIFS(Colección!$L$2:$L$10001,Colección!$G$2:$G$10001,$A151,Colección!$M$2:$M$10001,"Compra")</f>
        <v>181.10569487332941</v>
      </c>
      <c r="C151">
        <f>SUMIFS(Colección!$K$2:$K$10001,Colección!$G$2:$G$10001,$A151,Colección!$M$2:$M$10001,"Compra")</f>
        <v>17</v>
      </c>
      <c r="D151">
        <f>IF($B151=0,"",_xlfn.RANK.EQ($B151,$B$2:$B$321,0)+COUNTIF($B$2:B151,$B151)-1)</f>
        <v>51</v>
      </c>
      <c r="F151" t="str">
        <f>"Become Immense"</f>
        <v>Become Immense</v>
      </c>
      <c r="G151">
        <f>SUMIFS(Colección!$L$2:$L$10001,Colección!$F$2:$F$10001,$F151,Colección!$M$2:$M$10001,"Compra")</f>
        <v>0.24046015712682381</v>
      </c>
      <c r="H151">
        <f>IF($G151=0,"",_xlfn.RANK.EQ($G151,$G$2:$G$2353,0)+COUNTIF($G$2:G151,$G151)-1)</f>
        <v>2049</v>
      </c>
    </row>
    <row r="152" spans="1:8" x14ac:dyDescent="0.25">
      <c r="A152" t="str">
        <f>"Magic 2010"</f>
        <v>Magic 2010</v>
      </c>
      <c r="B152">
        <f>SUMIFS(Colección!$L$2:$L$10001,Colección!$G$2:$G$10001,$A152,Colección!$M$2:$M$10001,"Compra")</f>
        <v>14.466829205410701</v>
      </c>
      <c r="C152">
        <f>SUMIFS(Colección!$K$2:$K$10001,Colección!$G$2:$G$10001,$A152,Colección!$M$2:$M$10001,"Compra")</f>
        <v>5</v>
      </c>
      <c r="D152">
        <f>IF($B152=0,"",_xlfn.RANK.EQ($B152,$B$2:$B$321,0)+COUNTIF($B$2:B152,$B152)-1)</f>
        <v>222</v>
      </c>
      <c r="F152" t="str">
        <f>"Bedlam Reveler"</f>
        <v>Bedlam Reveler</v>
      </c>
      <c r="G152">
        <f>SUMIFS(Colección!$L$2:$L$10001,Colección!$F$2:$F$10001,$F152,Colección!$M$2:$M$10001,"Compra")</f>
        <v>1.0909090909090913</v>
      </c>
      <c r="H152">
        <f>IF($G152=0,"",_xlfn.RANK.EQ($G152,$G$2:$G$2353,0)+COUNTIF($G$2:G152,$G152)-1)</f>
        <v>1605</v>
      </c>
    </row>
    <row r="153" spans="1:8" x14ac:dyDescent="0.25">
      <c r="A153" t="str">
        <f>"Magic 2011"</f>
        <v>Magic 2011</v>
      </c>
      <c r="B153">
        <f>SUMIFS(Colección!$L$2:$L$10001,Colección!$G$2:$G$10001,$A153,Colección!$M$2:$M$10001,"Compra")</f>
        <v>27.515331837332592</v>
      </c>
      <c r="C153">
        <f>SUMIFS(Colección!$K$2:$K$10001,Colección!$G$2:$G$10001,$A153,Colección!$M$2:$M$10001,"Compra")</f>
        <v>18</v>
      </c>
      <c r="D153">
        <f>IF($B153=0,"",_xlfn.RANK.EQ($B153,$B$2:$B$321,0)+COUNTIF($B$2:B153,$B153)-1)</f>
        <v>180</v>
      </c>
      <c r="F153" t="str">
        <f>"Behold the Multiverse"</f>
        <v>Behold the Multiverse</v>
      </c>
      <c r="G153">
        <f>SUMIFS(Colección!$L$2:$L$10001,Colección!$F$2:$F$10001,$F153,Colección!$M$2:$M$10001,"Compra")</f>
        <v>0.16941176470588235</v>
      </c>
      <c r="H153">
        <f>IF($G153=0,"",_xlfn.RANK.EQ($G153,$G$2:$G$2353,0)+COUNTIF($G$2:G153,$G153)-1)</f>
        <v>2098</v>
      </c>
    </row>
    <row r="154" spans="1:8" x14ac:dyDescent="0.25">
      <c r="A154" t="str">
        <f>"Magic 2012"</f>
        <v>Magic 2012</v>
      </c>
      <c r="B154">
        <f>SUMIFS(Colección!$L$2:$L$10001,Colección!$G$2:$G$10001,$A154,Colección!$M$2:$M$10001,"Compra")</f>
        <v>31.249073918319919</v>
      </c>
      <c r="C154">
        <f>SUMIFS(Colección!$K$2:$K$10001,Colección!$G$2:$G$10001,$A154,Colección!$M$2:$M$10001,"Compra")</f>
        <v>11</v>
      </c>
      <c r="D154">
        <f>IF($B154=0,"",_xlfn.RANK.EQ($B154,$B$2:$B$321,0)+COUNTIF($B$2:B154,$B154)-1)</f>
        <v>173</v>
      </c>
      <c r="F154" t="str">
        <f>"Bell-mère (OP03-051)"</f>
        <v>Bell-mère (OP03-051)</v>
      </c>
      <c r="G154">
        <f>SUMIFS(Colección!$L$2:$L$10001,Colección!$F$2:$F$10001,$F154,Colección!$M$2:$M$10001,"Compra")</f>
        <v>0.47596899224806211</v>
      </c>
      <c r="H154">
        <f>IF($G154=0,"",_xlfn.RANK.EQ($G154,$G$2:$G$2353,0)+COUNTIF($G$2:G154,$G154)-1)</f>
        <v>1893</v>
      </c>
    </row>
    <row r="155" spans="1:8" x14ac:dyDescent="0.25">
      <c r="A155" t="str">
        <f>"Magic 2014"</f>
        <v>Magic 2014</v>
      </c>
      <c r="B155">
        <f>SUMIFS(Colección!$L$2:$L$10001,Colección!$G$2:$G$10001,$A155,Colección!$M$2:$M$10001,"Compra")</f>
        <v>11.159943502824859</v>
      </c>
      <c r="C155">
        <f>SUMIFS(Colección!$K$2:$K$10001,Colección!$G$2:$G$10001,$A155,Colección!$M$2:$M$10001,"Compra")</f>
        <v>7</v>
      </c>
      <c r="D155">
        <f>IF($B155=0,"",_xlfn.RANK.EQ($B155,$B$2:$B$321,0)+COUNTIF($B$2:B155,$B155)-1)</f>
        <v>234</v>
      </c>
      <c r="F155" t="str">
        <f>"Bellamy (OP05-035)"</f>
        <v>Bellamy (OP05-035)</v>
      </c>
      <c r="G155">
        <f>SUMIFS(Colección!$L$2:$L$10001,Colección!$F$2:$F$10001,$F155,Colección!$M$2:$M$10001,"Compra")</f>
        <v>4.0592556317335937E-2</v>
      </c>
      <c r="H155">
        <f>IF($G155=0,"",_xlfn.RANK.EQ($G155,$G$2:$G$2353,0)+COUNTIF($G$2:G155,$G155)-1)</f>
        <v>2326</v>
      </c>
    </row>
    <row r="156" spans="1:8" x14ac:dyDescent="0.25">
      <c r="A156" t="str">
        <f>"Magic 2015"</f>
        <v>Magic 2015</v>
      </c>
      <c r="B156">
        <f>SUMIFS(Colección!$L$2:$L$10001,Colección!$G$2:$G$10001,$A156,Colección!$M$2:$M$10001,"Compra")</f>
        <v>11.099412257704696</v>
      </c>
      <c r="C156">
        <f>SUMIFS(Colección!$K$2:$K$10001,Colección!$G$2:$G$10001,$A156,Colección!$M$2:$M$10001,"Compra")</f>
        <v>12</v>
      </c>
      <c r="D156">
        <f>IF($B156=0,"",_xlfn.RANK.EQ($B156,$B$2:$B$321,0)+COUNTIF($B$2:B156,$B156)-1)</f>
        <v>235</v>
      </c>
      <c r="F156" t="str">
        <f>"Bellows Breath"</f>
        <v>Bellows Breath</v>
      </c>
      <c r="G156">
        <f>SUMIFS(Colección!$L$2:$L$10001,Colección!$F$2:$F$10001,$F156,Colección!$M$2:$M$10001,"Compra")</f>
        <v>5.9499999999999993</v>
      </c>
      <c r="H156">
        <f>IF($G156=0,"",_xlfn.RANK.EQ($G156,$G$2:$G$2353,0)+COUNTIF($G$2:G156,$G156)-1)</f>
        <v>897</v>
      </c>
    </row>
    <row r="157" spans="1:8" x14ac:dyDescent="0.25">
      <c r="A157" t="str">
        <f>"Magic Origins"</f>
        <v>Magic Origins</v>
      </c>
      <c r="B157">
        <f>SUMIFS(Colección!$L$2:$L$10001,Colección!$G$2:$G$10001,$A157,Colección!$M$2:$M$10001,"Compra")</f>
        <v>33.839723197790235</v>
      </c>
      <c r="C157">
        <f>SUMIFS(Colección!$K$2:$K$10001,Colección!$G$2:$G$10001,$A157,Colección!$M$2:$M$10001,"Compra")</f>
        <v>14</v>
      </c>
      <c r="D157">
        <f>IF($B157=0,"",_xlfn.RANK.EQ($B157,$B$2:$B$321,0)+COUNTIF($B$2:B157,$B157)-1)</f>
        <v>169</v>
      </c>
      <c r="F157" t="str">
        <f>"Belo Betty (OP05-002) (V.1)"</f>
        <v>Belo Betty (OP05-002) (V.1)</v>
      </c>
      <c r="G157">
        <f>SUMIFS(Colección!$L$2:$L$10001,Colección!$F$2:$F$10001,$F157,Colección!$M$2:$M$10001,"Compra")</f>
        <v>6.7654260528893242E-2</v>
      </c>
      <c r="H157">
        <f>IF($G157=0,"",_xlfn.RANK.EQ($G157,$G$2:$G$2353,0)+COUNTIF($G$2:G157,$G157)-1)</f>
        <v>2234</v>
      </c>
    </row>
    <row r="158" spans="1:8" x14ac:dyDescent="0.25">
      <c r="A158" t="str">
        <f>"Magic the Gathering"</f>
        <v>Magic the Gathering</v>
      </c>
      <c r="B158">
        <f>SUMIFS(Colección!$L$2:$L$10001,Colección!$G$2:$G$10001,$A158,Colección!$M$2:$M$10001,"Compra")</f>
        <v>1.9028894472361808</v>
      </c>
      <c r="C158">
        <f>SUMIFS(Colección!$K$2:$K$10001,Colección!$G$2:$G$10001,$A158,Colección!$M$2:$M$10001,"Compra")</f>
        <v>2</v>
      </c>
      <c r="D158">
        <f>IF($B158=0,"",_xlfn.RANK.EQ($B158,$B$2:$B$321,0)+COUNTIF($B$2:B158,$B158)-1)</f>
        <v>288</v>
      </c>
      <c r="F158" t="str">
        <f>"Belo Betty (OP05-015) (V.1)"</f>
        <v>Belo Betty (OP05-015) (V.1)</v>
      </c>
      <c r="G158">
        <f>SUMIFS(Colección!$L$2:$L$10001,Colección!$F$2:$F$10001,$F158,Colección!$M$2:$M$10001,"Compra")</f>
        <v>0.6765426052889324</v>
      </c>
      <c r="H158">
        <f>IF($G158=0,"",_xlfn.RANK.EQ($G158,$G$2:$G$2353,0)+COUNTIF($G$2:G158,$G158)-1)</f>
        <v>1772</v>
      </c>
    </row>
    <row r="159" spans="1:8" x14ac:dyDescent="0.25">
      <c r="A159" t="str">
        <f>"Magic: The Gathering - FINAL FANTASY"</f>
        <v>Magic: The Gathering - FINAL FANTASY</v>
      </c>
      <c r="B159">
        <f>SUMIFS(Colección!$L$2:$L$10001,Colección!$G$2:$G$10001,$A159,Colección!$M$2:$M$10001,"Compra")</f>
        <v>93.377300496033513</v>
      </c>
      <c r="C159">
        <f>SUMIFS(Colección!$K$2:$K$10001,Colección!$G$2:$G$10001,$A159,Colección!$M$2:$M$10001,"Compra")</f>
        <v>48</v>
      </c>
      <c r="D159">
        <f>IF($B159=0,"",_xlfn.RANK.EQ($B159,$B$2:$B$321,0)+COUNTIF($B$2:B159,$B159)-1)</f>
        <v>89</v>
      </c>
      <c r="F159" t="str">
        <f>"Bender's Waterskin"</f>
        <v>Bender's Waterskin</v>
      </c>
      <c r="G159">
        <f>SUMIFS(Colección!$L$2:$L$10001,Colección!$F$2:$F$10001,$F159,Colección!$M$2:$M$10001,"Compra")</f>
        <v>0.92576086956521764</v>
      </c>
      <c r="H159">
        <f>IF($G159=0,"",_xlfn.RANK.EQ($G159,$G$2:$G$2353,0)+COUNTIF($G$2:G159,$G159)-1)</f>
        <v>1680</v>
      </c>
    </row>
    <row r="160" spans="1:8" x14ac:dyDescent="0.25">
      <c r="A160" t="str">
        <f>"Magic: The Gathering - FINAL FANTASY: Extras"</f>
        <v>Magic: The Gathering - FINAL FANTASY: Extras</v>
      </c>
      <c r="B160">
        <f>SUMIFS(Colección!$L$2:$L$10001,Colección!$G$2:$G$10001,$A160,Colección!$M$2:$M$10001,"Compra")</f>
        <v>542.23262243361091</v>
      </c>
      <c r="C160">
        <f>SUMIFS(Colección!$K$2:$K$10001,Colección!$G$2:$G$10001,$A160,Colección!$M$2:$M$10001,"Compra")</f>
        <v>15</v>
      </c>
      <c r="D160">
        <f>IF($B160=0,"",_xlfn.RANK.EQ($B160,$B$2:$B$321,0)+COUNTIF($B$2:B160,$B160)-1)</f>
        <v>16</v>
      </c>
      <c r="F160" t="str">
        <f>"Benn.Beckman (P-021)"</f>
        <v>Benn.Beckman (P-021)</v>
      </c>
      <c r="G160">
        <f>SUMIFS(Colección!$L$2:$L$10001,Colección!$F$2:$F$10001,$F160,Colección!$M$2:$M$10001,"Compra")</f>
        <v>0.47596899224806211</v>
      </c>
      <c r="H160">
        <f>IF($G160=0,"",_xlfn.RANK.EQ($G160,$G$2:$G$2353,0)+COUNTIF($G$2:G160,$G160)-1)</f>
        <v>1894</v>
      </c>
    </row>
    <row r="161" spans="1:8" x14ac:dyDescent="0.25">
      <c r="A161" t="str">
        <f>"Magic: The Gathering Foundations"</f>
        <v>Magic: The Gathering Foundations</v>
      </c>
      <c r="B161">
        <f>SUMIFS(Colección!$L$2:$L$10001,Colección!$G$2:$G$10001,$A161,Colección!$M$2:$M$10001,"Compra")</f>
        <v>50.883159239063765</v>
      </c>
      <c r="C161">
        <f>SUMIFS(Colección!$K$2:$K$10001,Colección!$G$2:$G$10001,$A161,Colección!$M$2:$M$10001,"Compra")</f>
        <v>32</v>
      </c>
      <c r="D161">
        <f>IF($B161=0,"",_xlfn.RANK.EQ($B161,$B$2:$B$321,0)+COUNTIF($B$2:B161,$B161)-1)</f>
        <v>143</v>
      </c>
      <c r="F161" t="str">
        <f>"Bepo (OP05-071)"</f>
        <v>Bepo (OP05-071)</v>
      </c>
      <c r="G161">
        <f>SUMIFS(Colección!$L$2:$L$10001,Colección!$F$2:$F$10001,$F161,Colección!$M$2:$M$10001,"Compra")</f>
        <v>0.13530852105778651</v>
      </c>
      <c r="H161">
        <f>IF($G161=0,"",_xlfn.RANK.EQ($G161,$G$2:$G$2353,0)+COUNTIF($G$2:G161,$G161)-1)</f>
        <v>2131</v>
      </c>
    </row>
    <row r="162" spans="1:8" x14ac:dyDescent="0.25">
      <c r="A162" t="str">
        <f>"Magic: The Gathering Foundations: Extras"</f>
        <v>Magic: The Gathering Foundations: Extras</v>
      </c>
      <c r="B162">
        <f>SUMIFS(Colección!$L$2:$L$10001,Colección!$G$2:$G$10001,$A162,Colección!$M$2:$M$10001,"Compra")</f>
        <v>40.349999999999994</v>
      </c>
      <c r="C162">
        <f>SUMIFS(Colección!$K$2:$K$10001,Colección!$G$2:$G$10001,$A162,Colección!$M$2:$M$10001,"Compra")</f>
        <v>13</v>
      </c>
      <c r="D162">
        <f>IF($B162=0,"",_xlfn.RANK.EQ($B162,$B$2:$B$321,0)+COUNTIF($B$2:B162,$B162)-1)</f>
        <v>158</v>
      </c>
      <c r="F162" t="str">
        <f>"Bepo (P-019)"</f>
        <v>Bepo (P-019)</v>
      </c>
      <c r="G162">
        <f>SUMIFS(Colección!$L$2:$L$10001,Colección!$F$2:$F$10001,$F162,Colección!$M$2:$M$10001,"Compra")</f>
        <v>0.47596899224806211</v>
      </c>
      <c r="H162">
        <f>IF($G162=0,"",_xlfn.RANK.EQ($G162,$G$2:$G$2353,0)+COUNTIF($G$2:G162,$G162)-1)</f>
        <v>1895</v>
      </c>
    </row>
    <row r="163" spans="1:8" x14ac:dyDescent="0.25">
      <c r="A163" t="str">
        <f>"Magic: The Gathering | Avatar: The Last Airbender"</f>
        <v>Magic: The Gathering | Avatar: The Last Airbender</v>
      </c>
      <c r="B163">
        <f>SUMIFS(Colección!$L$2:$L$10001,Colección!$G$2:$G$10001,$A163,Colección!$M$2:$M$10001,"Compra")</f>
        <v>283.28334314605428</v>
      </c>
      <c r="C163">
        <f>SUMIFS(Colección!$K$2:$K$10001,Colección!$G$2:$G$10001,$A163,Colección!$M$2:$M$10001,"Compra")</f>
        <v>60</v>
      </c>
      <c r="D163">
        <f>IF($B163=0,"",_xlfn.RANK.EQ($B163,$B$2:$B$321,0)+COUNTIF($B$2:B163,$B163)-1)</f>
        <v>30</v>
      </c>
      <c r="F163" t="str">
        <f>"Beza, the Bounding Spring"</f>
        <v>Beza, the Bounding Spring</v>
      </c>
      <c r="G163">
        <f>SUMIFS(Colección!$L$2:$L$10001,Colección!$F$2:$F$10001,$F163,Colección!$M$2:$M$10001,"Compra")</f>
        <v>54.56</v>
      </c>
      <c r="H163">
        <f>IF($G163=0,"",_xlfn.RANK.EQ($G163,$G$2:$G$2353,0)+COUNTIF($G$2:G163,$G163)-1)</f>
        <v>160</v>
      </c>
    </row>
    <row r="164" spans="1:8" x14ac:dyDescent="0.25">
      <c r="A164" t="str">
        <f>"Magic: The Gathering | Marvel's Spider-Man"</f>
        <v>Magic: The Gathering | Marvel's Spider-Man</v>
      </c>
      <c r="B164">
        <f>SUMIFS(Colección!$L$2:$L$10001,Colección!$G$2:$G$10001,$A164,Colección!$M$2:$M$10001,"Compra")</f>
        <v>0.50857142857142856</v>
      </c>
      <c r="C164">
        <f>SUMIFS(Colección!$K$2:$K$10001,Colección!$G$2:$G$10001,$A164,Colección!$M$2:$M$10001,"Compra")</f>
        <v>2</v>
      </c>
      <c r="D164">
        <f>IF($B164=0,"",_xlfn.RANK.EQ($B164,$B$2:$B$321,0)+COUNTIF($B$2:B164,$B164)-1)</f>
        <v>307</v>
      </c>
      <c r="F164" t="str">
        <f>"Bilbo, Retired Burglar"</f>
        <v>Bilbo, Retired Burglar</v>
      </c>
      <c r="G164">
        <f>SUMIFS(Colección!$L$2:$L$10001,Colección!$F$2:$F$10001,$F164,Colección!$M$2:$M$10001,"Compra")</f>
        <v>1.7158536585365849</v>
      </c>
      <c r="H164">
        <f>IF($G164=0,"",_xlfn.RANK.EQ($G164,$G$2:$G$2353,0)+COUNTIF($G$2:G164,$G164)-1)</f>
        <v>1418</v>
      </c>
    </row>
    <row r="165" spans="1:8" x14ac:dyDescent="0.25">
      <c r="A165" t="str">
        <f>"Magic: The Gathering | Marvel's Spider-Man:"</f>
        <v>Magic: The Gathering | Marvel's Spider-Man:</v>
      </c>
      <c r="B165">
        <f>SUMIFS(Colección!$L$2:$L$10001,Colección!$G$2:$G$10001,$A165,Colección!$M$2:$M$10001,"Compra")</f>
        <v>2.33</v>
      </c>
      <c r="C165">
        <f>SUMIFS(Colección!$K$2:$K$10001,Colección!$G$2:$G$10001,$A165,Colección!$M$2:$M$10001,"Compra")</f>
        <v>1</v>
      </c>
      <c r="D165">
        <f>IF($B165=0,"",_xlfn.RANK.EQ($B165,$B$2:$B$321,0)+COUNTIF($B$2:B165,$B165)-1)</f>
        <v>280</v>
      </c>
      <c r="F165" t="str">
        <f>"Bind the Monster"</f>
        <v>Bind the Monster</v>
      </c>
      <c r="G165">
        <f>SUMIFS(Colección!$L$2:$L$10001,Colección!$F$2:$F$10001,$F165,Colección!$M$2:$M$10001,"Compra")</f>
        <v>0.999</v>
      </c>
      <c r="H165">
        <f>IF($G165=0,"",_xlfn.RANK.EQ($G165,$G$2:$G$2353,0)+COUNTIF($G$2:G165,$G165)-1)</f>
        <v>1660</v>
      </c>
    </row>
    <row r="166" spans="1:8" x14ac:dyDescent="0.25">
      <c r="A166" t="str">
        <f>"MagicFest Promos"</f>
        <v>MagicFest Promos</v>
      </c>
      <c r="B166">
        <f>SUMIFS(Colección!$L$2:$L$10001,Colección!$G$2:$G$10001,$A166,Colección!$M$2:$M$10001,"Compra")</f>
        <v>23.964680851063829</v>
      </c>
      <c r="C166">
        <f>SUMIFS(Colección!$K$2:$K$10001,Colección!$G$2:$G$10001,$A166,Colección!$M$2:$M$10001,"Compra")</f>
        <v>1</v>
      </c>
      <c r="D166">
        <f>IF($B166=0,"",_xlfn.RANK.EQ($B166,$B$2:$B$321,0)+COUNTIF($B$2:B166,$B166)-1)</f>
        <v>195</v>
      </c>
      <c r="F166" t="str">
        <f>"Birdcage (OP05-040)"</f>
        <v>Birdcage (OP05-040)</v>
      </c>
      <c r="G166">
        <f>SUMIFS(Colección!$L$2:$L$10001,Colección!$F$2:$F$10001,$F166,Colección!$M$2:$M$10001,"Compra")</f>
        <v>6.7654260528893242E-2</v>
      </c>
      <c r="H166">
        <f>IF($G166=0,"",_xlfn.RANK.EQ($G166,$G$2:$G$2353,0)+COUNTIF($G$2:G166,$G166)-1)</f>
        <v>2235</v>
      </c>
    </row>
    <row r="167" spans="1:8" x14ac:dyDescent="0.25">
      <c r="A167" t="str">
        <f>"Malachit"</f>
        <v>Malachit</v>
      </c>
      <c r="B167">
        <f>SUMIFS(Colección!$L$2:$L$10001,Colección!$G$2:$G$10001,$A167,Colección!$M$2:$M$10001,"Compra")</f>
        <v>7.3527672035139089</v>
      </c>
      <c r="C167">
        <f>SUMIFS(Colección!$K$2:$K$10001,Colección!$G$2:$G$10001,$A167,Colección!$M$2:$M$10001,"Compra")</f>
        <v>1</v>
      </c>
      <c r="D167">
        <f>IF($B167=0,"",_xlfn.RANK.EQ($B167,$B$2:$B$321,0)+COUNTIF($B$2:B167,$B167)-1)</f>
        <v>246</v>
      </c>
      <c r="F167" t="str">
        <f>"Birthing Ritual"</f>
        <v>Birthing Ritual</v>
      </c>
      <c r="G167">
        <f>SUMIFS(Colección!$L$2:$L$10001,Colección!$F$2:$F$10001,$F167,Colección!$M$2:$M$10001,"Compra")</f>
        <v>108.92153275648951</v>
      </c>
      <c r="H167">
        <f>IF($G167=0,"",_xlfn.RANK.EQ($G167,$G$2:$G$2353,0)+COUNTIF($G$2:G167,$G167)-1)</f>
        <v>67</v>
      </c>
    </row>
    <row r="168" spans="1:8" x14ac:dyDescent="0.25">
      <c r="A168" t="str">
        <f>"March of the Machine"</f>
        <v>March of the Machine</v>
      </c>
      <c r="B168">
        <f>SUMIFS(Colección!$L$2:$L$10001,Colección!$G$2:$G$10001,$A168,Colección!$M$2:$M$10001,"Compra")</f>
        <v>60.572036176535207</v>
      </c>
      <c r="C168">
        <f>SUMIFS(Colección!$K$2:$K$10001,Colección!$G$2:$G$10001,$A168,Colección!$M$2:$M$10001,"Compra")</f>
        <v>37</v>
      </c>
      <c r="D168">
        <f>IF($B168=0,"",_xlfn.RANK.EQ($B168,$B$2:$B$321,0)+COUNTIF($B$2:B168,$B168)-1)</f>
        <v>129</v>
      </c>
      <c r="F168" t="str">
        <f>"Bitter Reunion"</f>
        <v>Bitter Reunion</v>
      </c>
      <c r="G168">
        <f>SUMIFS(Colección!$L$2:$L$10001,Colección!$F$2:$F$10001,$F168,Colección!$M$2:$M$10001,"Compra")</f>
        <v>0.79357408390865647</v>
      </c>
      <c r="H168">
        <f>IF($G168=0,"",_xlfn.RANK.EQ($G168,$G$2:$G$2353,0)+COUNTIF($G$2:G168,$G168)-1)</f>
        <v>1725</v>
      </c>
    </row>
    <row r="169" spans="1:8" x14ac:dyDescent="0.25">
      <c r="A169" t="str">
        <f>"March of the Machine: Extras"</f>
        <v>March of the Machine: Extras</v>
      </c>
      <c r="B169">
        <f>SUMIFS(Colección!$L$2:$L$10001,Colección!$G$2:$G$10001,$A169,Colección!$M$2:$M$10001,"Compra")</f>
        <v>65.64</v>
      </c>
      <c r="C169">
        <f>SUMIFS(Colección!$K$2:$K$10001,Colección!$G$2:$G$10001,$A169,Colección!$M$2:$M$10001,"Compra")</f>
        <v>5</v>
      </c>
      <c r="D169">
        <f>IF($B169=0,"",_xlfn.RANK.EQ($B169,$B$2:$B$321,0)+COUNTIF($B$2:B169,$B169)-1)</f>
        <v>122</v>
      </c>
      <c r="F169" t="str">
        <f>"Bitter Triumph"</f>
        <v>Bitter Triumph</v>
      </c>
      <c r="G169">
        <f>SUMIFS(Colección!$L$2:$L$10001,Colección!$F$2:$F$10001,$F169,Colección!$M$2:$M$10001,"Compra")</f>
        <v>3.1799999999999997</v>
      </c>
      <c r="H169">
        <f>IF($G169=0,"",_xlfn.RANK.EQ($G169,$G$2:$G$2353,0)+COUNTIF($G$2:G169,$G169)-1)</f>
        <v>1178</v>
      </c>
    </row>
    <row r="170" spans="1:8" x14ac:dyDescent="0.25">
      <c r="A170" t="str">
        <f>"March of the Machine: The Aftermath"</f>
        <v>March of the Machine: The Aftermath</v>
      </c>
      <c r="B170">
        <f>SUMIFS(Colección!$L$2:$L$10001,Colección!$G$2:$G$10001,$A170,Colección!$M$2:$M$10001,"Compra")</f>
        <v>245.81864451808576</v>
      </c>
      <c r="C170">
        <f>SUMIFS(Colección!$K$2:$K$10001,Colección!$G$2:$G$10001,$A170,Colección!$M$2:$M$10001,"Compra")</f>
        <v>28</v>
      </c>
      <c r="D170">
        <f>IF($B170=0,"",_xlfn.RANK.EQ($B170,$B$2:$B$321,0)+COUNTIF($B$2:B170,$B170)-1)</f>
        <v>37</v>
      </c>
      <c r="F170" t="str">
        <f>"Black Mage's Rod"</f>
        <v>Black Mage's Rod</v>
      </c>
      <c r="G170">
        <f>SUMIFS(Colección!$L$2:$L$10001,Colección!$F$2:$F$10001,$F170,Colección!$M$2:$M$10001,"Compra")</f>
        <v>2.6045454545454545</v>
      </c>
      <c r="H170">
        <f>IF($G170=0,"",_xlfn.RANK.EQ($G170,$G$2:$G$2353,0)+COUNTIF($G$2:G170,$G170)-1)</f>
        <v>1241</v>
      </c>
    </row>
    <row r="171" spans="1:8" x14ac:dyDescent="0.25">
      <c r="A171" t="str">
        <f>"Marvel Super Heroes"</f>
        <v>Marvel Super Heroes</v>
      </c>
      <c r="B171">
        <f>SUMIFS(Colección!$L$2:$L$10001,Colección!$G$2:$G$10001,$A171,Colección!$M$2:$M$10001,"Compra")</f>
        <v>7.2200000000000006</v>
      </c>
      <c r="C171">
        <f>SUMIFS(Colección!$K$2:$K$10001,Colección!$G$2:$G$10001,$A171,Colección!$M$2:$M$10001,"Compra")</f>
        <v>8</v>
      </c>
      <c r="D171">
        <f>IF($B171=0,"",_xlfn.RANK.EQ($B171,$B$2:$B$321,0)+COUNTIF($B$2:B171,$B171)-1)</f>
        <v>249</v>
      </c>
      <c r="F171" t="str">
        <f>"Black Maria (OP04-052)"</f>
        <v>Black Maria (OP04-052)</v>
      </c>
      <c r="G171">
        <f>SUMIFS(Colección!$L$2:$L$10001,Colección!$F$2:$F$10001,$F171,Colección!$M$2:$M$10001,"Compra")</f>
        <v>6.1898734177215198E-2</v>
      </c>
      <c r="H171">
        <f>IF($G171=0,"",_xlfn.RANK.EQ($G171,$G$2:$G$2353,0)+COUNTIF($G$2:G171,$G171)-1)</f>
        <v>2259</v>
      </c>
    </row>
    <row r="172" spans="1:8" x14ac:dyDescent="0.25">
      <c r="A172" t="str">
        <f>"Masters 25"</f>
        <v>Masters 25</v>
      </c>
      <c r="B172">
        <f>SUMIFS(Colección!$L$2:$L$10001,Colección!$G$2:$G$10001,$A172,Colección!$M$2:$M$10001,"Compra")</f>
        <v>49.810930585372432</v>
      </c>
      <c r="C172">
        <f>SUMIFS(Colección!$K$2:$K$10001,Colección!$G$2:$G$10001,$A172,Colección!$M$2:$M$10001,"Compra")</f>
        <v>9</v>
      </c>
      <c r="D172">
        <f>IF($B172=0,"",_xlfn.RANK.EQ($B172,$B$2:$B$321,0)+COUNTIF($B$2:B172,$B172)-1)</f>
        <v>145</v>
      </c>
      <c r="F172" t="str">
        <f>"Black Maria (ST04-011) (V.1)"</f>
        <v>Black Maria (ST04-011) (V.1)</v>
      </c>
      <c r="G172">
        <f>SUMIFS(Colección!$L$2:$L$10001,Colección!$F$2:$F$10001,$F172,Colección!$M$2:$M$10001,"Compra")</f>
        <v>5.9496124031007763E-2</v>
      </c>
      <c r="H172">
        <f>IF($G172=0,"",_xlfn.RANK.EQ($G172,$G$2:$G$2353,0)+COUNTIF($G$2:G172,$G172)-1)</f>
        <v>2314</v>
      </c>
    </row>
    <row r="173" spans="1:8" x14ac:dyDescent="0.25">
      <c r="A173" t="str">
        <f>"Mercadian Masques"</f>
        <v>Mercadian Masques</v>
      </c>
      <c r="B173">
        <f>SUMIFS(Colección!$L$2:$L$10001,Colección!$G$2:$G$10001,$A173,Colección!$M$2:$M$10001,"Compra")</f>
        <v>172.81261034926331</v>
      </c>
      <c r="C173">
        <f>SUMIFS(Colección!$K$2:$K$10001,Colección!$G$2:$G$10001,$A173,Colección!$M$2:$M$10001,"Compra")</f>
        <v>20</v>
      </c>
      <c r="D173">
        <f>IF($B173=0,"",_xlfn.RANK.EQ($B173,$B$2:$B$321,0)+COUNTIF($B$2:B173,$B173)-1)</f>
        <v>54</v>
      </c>
      <c r="F173" t="str">
        <f>"Black Rose Dignitary"</f>
        <v>Black Rose Dignitary</v>
      </c>
      <c r="G173">
        <f>SUMIFS(Colección!$L$2:$L$10001,Colección!$F$2:$F$10001,$F173,Colección!$M$2:$M$10001,"Compra")</f>
        <v>1.3322448979591837</v>
      </c>
      <c r="H173">
        <f>IF($G173=0,"",_xlfn.RANK.EQ($G173,$G$2:$G$2353,0)+COUNTIF($G$2:G173,$G173)-1)</f>
        <v>1532</v>
      </c>
    </row>
    <row r="174" spans="1:8" x14ac:dyDescent="0.25">
      <c r="A174" t="str">
        <f>"Mirage"</f>
        <v>Mirage</v>
      </c>
      <c r="B174">
        <f>SUMIFS(Colección!$L$2:$L$10001,Colección!$G$2:$G$10001,$A174,Colección!$M$2:$M$10001,"Compra")</f>
        <v>59.041859270672838</v>
      </c>
      <c r="C174">
        <f>SUMIFS(Colección!$K$2:$K$10001,Colección!$G$2:$G$10001,$A174,Colección!$M$2:$M$10001,"Compra")</f>
        <v>12</v>
      </c>
      <c r="D174">
        <f>IF($B174=0,"",_xlfn.RANK.EQ($B174,$B$2:$B$321,0)+COUNTIF($B$2:B174,$B174)-1)</f>
        <v>132</v>
      </c>
      <c r="F174" t="str">
        <f>"Blacksmith's Skill"</f>
        <v>Blacksmith's Skill</v>
      </c>
      <c r="G174">
        <f>SUMIFS(Colección!$L$2:$L$10001,Colección!$F$2:$F$10001,$F174,Colección!$M$2:$M$10001,"Compra")</f>
        <v>0.39735319591200413</v>
      </c>
      <c r="H174">
        <f>IF($G174=0,"",_xlfn.RANK.EQ($G174,$G$2:$G$2353,0)+COUNTIF($G$2:G174,$G174)-1)</f>
        <v>1964</v>
      </c>
    </row>
    <row r="175" spans="1:8" x14ac:dyDescent="0.25">
      <c r="A175" t="str">
        <f>"Mirrodin"</f>
        <v>Mirrodin</v>
      </c>
      <c r="B175">
        <f>SUMIFS(Colección!$L$2:$L$10001,Colección!$G$2:$G$10001,$A175,Colección!$M$2:$M$10001,"Compra")</f>
        <v>62.969902785205051</v>
      </c>
      <c r="C175">
        <f>SUMIFS(Colección!$K$2:$K$10001,Colección!$G$2:$G$10001,$A175,Colección!$M$2:$M$10001,"Compra")</f>
        <v>29</v>
      </c>
      <c r="D175">
        <f>IF($B175=0,"",_xlfn.RANK.EQ($B175,$B$2:$B$321,0)+COUNTIF($B$2:B175,$B175)-1)</f>
        <v>126</v>
      </c>
      <c r="F175" t="str">
        <f>"Blade of the Bloodchief"</f>
        <v>Blade of the Bloodchief</v>
      </c>
      <c r="G175">
        <f>SUMIFS(Colección!$L$2:$L$10001,Colección!$F$2:$F$10001,$F175,Colección!$M$2:$M$10001,"Compra")</f>
        <v>34.754909305412184</v>
      </c>
      <c r="H175">
        <f>IF($G175=0,"",_xlfn.RANK.EQ($G175,$G$2:$G$2353,0)+COUNTIF($G$2:G175,$G175)-1)</f>
        <v>244</v>
      </c>
    </row>
    <row r="176" spans="1:8" x14ac:dyDescent="0.25">
      <c r="A176" t="str">
        <f>"Mirrodin Besieged"</f>
        <v>Mirrodin Besieged</v>
      </c>
      <c r="B176">
        <f>SUMIFS(Colección!$L$2:$L$10001,Colección!$G$2:$G$10001,$A176,Colección!$M$2:$M$10001,"Compra")</f>
        <v>115.98354734843964</v>
      </c>
      <c r="C176">
        <f>SUMIFS(Colección!$K$2:$K$10001,Colección!$G$2:$G$10001,$A176,Colección!$M$2:$M$10001,"Compra")</f>
        <v>9</v>
      </c>
      <c r="D176">
        <f>IF($B176=0,"",_xlfn.RANK.EQ($B176,$B$2:$B$321,0)+COUNTIF($B$2:B176,$B176)-1)</f>
        <v>72</v>
      </c>
      <c r="F176" t="str">
        <f>"Blade of the Oni"</f>
        <v>Blade of the Oni</v>
      </c>
      <c r="G176">
        <f>SUMIFS(Colección!$L$2:$L$10001,Colección!$F$2:$F$10001,$F176,Colección!$M$2:$M$10001,"Compra")</f>
        <v>1.1413919413919409</v>
      </c>
      <c r="H176">
        <f>IF($G176=0,"",_xlfn.RANK.EQ($G176,$G$2:$G$2353,0)+COUNTIF($G$2:G176,$G176)-1)</f>
        <v>1583</v>
      </c>
    </row>
    <row r="177" spans="1:8" x14ac:dyDescent="0.25">
      <c r="A177" t="str">
        <f>"Modern Event Deck 2014"</f>
        <v>Modern Event Deck 2014</v>
      </c>
      <c r="B177">
        <f>SUMIFS(Colección!$L$2:$L$10001,Colección!$G$2:$G$10001,$A177,Colección!$M$2:$M$10001,"Compra")</f>
        <v>8.1300000000000008</v>
      </c>
      <c r="C177">
        <f>SUMIFS(Colección!$K$2:$K$10001,Colección!$G$2:$G$10001,$A177,Colección!$M$2:$M$10001,"Compra")</f>
        <v>2</v>
      </c>
      <c r="D177">
        <f>IF($B177=0,"",_xlfn.RANK.EQ($B177,$B$2:$B$321,0)+COUNTIF($B$2:B177,$B177)-1)</f>
        <v>243</v>
      </c>
      <c r="F177" t="str">
        <f>"Bladecoil Serpent"</f>
        <v>Bladecoil Serpent</v>
      </c>
      <c r="G177">
        <f>SUMIFS(Colección!$L$2:$L$10001,Colección!$F$2:$F$10001,$F177,Colección!$M$2:$M$10001,"Compra")</f>
        <v>0.97749214330609679</v>
      </c>
      <c r="H177">
        <f>IF($G177=0,"",_xlfn.RANK.EQ($G177,$G$2:$G$2353,0)+COUNTIF($G$2:G177,$G177)-1)</f>
        <v>1668</v>
      </c>
    </row>
    <row r="178" spans="1:8" x14ac:dyDescent="0.25">
      <c r="A178" t="str">
        <f>"Modern Horizons"</f>
        <v>Modern Horizons</v>
      </c>
      <c r="B178">
        <f>SUMIFS(Colección!$L$2:$L$10001,Colección!$G$2:$G$10001,$A178,Colección!$M$2:$M$10001,"Compra")</f>
        <v>457.0867569113181</v>
      </c>
      <c r="C178">
        <f>SUMIFS(Colección!$K$2:$K$10001,Colección!$G$2:$G$10001,$A178,Colección!$M$2:$M$10001,"Compra")</f>
        <v>97</v>
      </c>
      <c r="D178">
        <f>IF($B178=0,"",_xlfn.RANK.EQ($B178,$B$2:$B$321,0)+COUNTIF($B$2:B178,$B178)-1)</f>
        <v>18</v>
      </c>
      <c r="F178" t="str">
        <f>"Blamenco (OP03-011)"</f>
        <v>Blamenco (OP03-011)</v>
      </c>
      <c r="G178">
        <f>SUMIFS(Colección!$L$2:$L$10001,Colección!$F$2:$F$10001,$F178,Colección!$M$2:$M$10001,"Compra")</f>
        <v>0.2855813953488372</v>
      </c>
      <c r="H178">
        <f>IF($G178=0,"",_xlfn.RANK.EQ($G178,$G$2:$G$2353,0)+COUNTIF($G$2:G178,$G178)-1)</f>
        <v>2007</v>
      </c>
    </row>
    <row r="179" spans="1:8" x14ac:dyDescent="0.25">
      <c r="A179" t="str">
        <f>"Modern Horizons 2"</f>
        <v>Modern Horizons 2</v>
      </c>
      <c r="B179">
        <f>SUMIFS(Colección!$L$2:$L$10001,Colección!$G$2:$G$10001,$A179,Colección!$M$2:$M$10001,"Compra")</f>
        <v>994.977256829515</v>
      </c>
      <c r="C179">
        <f>SUMIFS(Colección!$K$2:$K$10001,Colección!$G$2:$G$10001,$A179,Colección!$M$2:$M$10001,"Compra")</f>
        <v>173</v>
      </c>
      <c r="D179">
        <f>IF($B179=0,"",_xlfn.RANK.EQ($B179,$B$2:$B$321,0)+COUNTIF($B$2:B179,$B179)-1)</f>
        <v>10</v>
      </c>
      <c r="F179" t="str">
        <f>"Blast Zone"</f>
        <v>Blast Zone</v>
      </c>
      <c r="G179">
        <f>SUMIFS(Colección!$L$2:$L$10001,Colección!$F$2:$F$10001,$F179,Colección!$M$2:$M$10001,"Compra")</f>
        <v>6.7684500741307438</v>
      </c>
      <c r="H179">
        <f>IF($G179=0,"",_xlfn.RANK.EQ($G179,$G$2:$G$2353,0)+COUNTIF($G$2:G179,$G179)-1)</f>
        <v>825</v>
      </c>
    </row>
    <row r="180" spans="1:8" x14ac:dyDescent="0.25">
      <c r="A180" t="str">
        <f>"Modern Horizons 2: Extras"</f>
        <v>Modern Horizons 2: Extras</v>
      </c>
      <c r="B180">
        <f>SUMIFS(Colección!$L$2:$L$10001,Colección!$G$2:$G$10001,$A180,Colección!$M$2:$M$10001,"Compra")</f>
        <v>2246.7576849564061</v>
      </c>
      <c r="C180">
        <f>SUMIFS(Colección!$K$2:$K$10001,Colección!$G$2:$G$10001,$A180,Colección!$M$2:$M$10001,"Compra")</f>
        <v>145</v>
      </c>
      <c r="D180">
        <f>IF($B180=0,"",_xlfn.RANK.EQ($B180,$B$2:$B$321,0)+COUNTIF($B$2:B180,$B180)-1)</f>
        <v>1</v>
      </c>
      <c r="F180" t="str">
        <f>"Blastoderm"</f>
        <v>Blastoderm</v>
      </c>
      <c r="G180">
        <f>SUMIFS(Colección!$L$2:$L$10001,Colección!$F$2:$F$10001,$F180,Colección!$M$2:$M$10001,"Compra")</f>
        <v>2.1818181818181821</v>
      </c>
      <c r="H180">
        <f>IF($G180=0,"",_xlfn.RANK.EQ($G180,$G$2:$G$2353,0)+COUNTIF($G$2:G180,$G180)-1)</f>
        <v>1318</v>
      </c>
    </row>
    <row r="181" spans="1:8" x14ac:dyDescent="0.25">
      <c r="A181" t="str">
        <f>"Modern Horizons 3"</f>
        <v>Modern Horizons 3</v>
      </c>
      <c r="B181">
        <f>SUMIFS(Colección!$L$2:$L$10001,Colección!$G$2:$G$10001,$A181,Colección!$M$2:$M$10001,"Compra")</f>
        <v>1489.2333972531139</v>
      </c>
      <c r="C181">
        <f>SUMIFS(Colección!$K$2:$K$10001,Colección!$G$2:$G$10001,$A181,Colección!$M$2:$M$10001,"Compra")</f>
        <v>265</v>
      </c>
      <c r="D181">
        <f>IF($B181=0,"",_xlfn.RANK.EQ($B181,$B$2:$B$321,0)+COUNTIF($B$2:B181,$B181)-1)</f>
        <v>3</v>
      </c>
      <c r="F181" t="str">
        <f>"Blazing Rootwalla"</f>
        <v>Blazing Rootwalla</v>
      </c>
      <c r="G181">
        <f>SUMIFS(Colección!$L$2:$L$10001,Colección!$F$2:$F$10001,$F181,Colección!$M$2:$M$10001,"Compra")</f>
        <v>1.0909090909090913</v>
      </c>
      <c r="H181">
        <f>IF($G181=0,"",_xlfn.RANK.EQ($G181,$G$2:$G$2353,0)+COUNTIF($G$2:G181,$G181)-1)</f>
        <v>1606</v>
      </c>
    </row>
    <row r="182" spans="1:8" x14ac:dyDescent="0.25">
      <c r="A182" t="str">
        <f>"Modern Horizons 3: Extras"</f>
        <v>Modern Horizons 3: Extras</v>
      </c>
      <c r="B182">
        <f>SUMIFS(Colección!$L$2:$L$10001,Colección!$G$2:$G$10001,$A182,Colección!$M$2:$M$10001,"Compra")</f>
        <v>1316.4213645391437</v>
      </c>
      <c r="C182">
        <f>SUMIFS(Colección!$K$2:$K$10001,Colección!$G$2:$G$10001,$A182,Colección!$M$2:$M$10001,"Compra")</f>
        <v>123</v>
      </c>
      <c r="D182">
        <f>IF($B182=0,"",_xlfn.RANK.EQ($B182,$B$2:$B$321,0)+COUNTIF($B$2:B182,$B182)-1)</f>
        <v>5</v>
      </c>
      <c r="F182" t="str">
        <f>"Blighted Agent"</f>
        <v>Blighted Agent</v>
      </c>
      <c r="G182">
        <f>SUMIFS(Colección!$L$2:$L$10001,Colección!$F$2:$F$10001,$F182,Colección!$M$2:$M$10001,"Compra")</f>
        <v>8.8117557251908405</v>
      </c>
      <c r="H182">
        <f>IF($G182=0,"",_xlfn.RANK.EQ($G182,$G$2:$G$2353,0)+COUNTIF($G$2:G182,$G182)-1)</f>
        <v>711</v>
      </c>
    </row>
    <row r="183" spans="1:8" x14ac:dyDescent="0.25">
      <c r="A183" t="str">
        <f>"Modern Horizons 3: Retro Frame Cards"</f>
        <v>Modern Horizons 3: Retro Frame Cards</v>
      </c>
      <c r="B183">
        <f>SUMIFS(Colección!$L$2:$L$10001,Colección!$G$2:$G$10001,$A183,Colección!$M$2:$M$10001,"Compra")</f>
        <v>121.94277609791217</v>
      </c>
      <c r="C183">
        <f>SUMIFS(Colección!$K$2:$K$10001,Colección!$G$2:$G$10001,$A183,Colección!$M$2:$M$10001,"Compra")</f>
        <v>12</v>
      </c>
      <c r="D183">
        <f>IF($B183=0,"",_xlfn.RANK.EQ($B183,$B$2:$B$321,0)+COUNTIF($B$2:B183,$B183)-1)</f>
        <v>70</v>
      </c>
      <c r="F183" t="str">
        <f>"Blinkmoth Nexus [Playset]"</f>
        <v>Blinkmoth Nexus [Playset]</v>
      </c>
      <c r="G183">
        <f>SUMIFS(Colección!$L$2:$L$10001,Colección!$F$2:$F$10001,$F183,Colección!$M$2:$M$10001,"Compra")</f>
        <v>17.12087912087912</v>
      </c>
      <c r="H183">
        <f>IF($G183=0,"",_xlfn.RANK.EQ($G183,$G$2:$G$2353,0)+COUNTIF($G$2:G183,$G183)-1)</f>
        <v>450</v>
      </c>
    </row>
    <row r="184" spans="1:8" x14ac:dyDescent="0.25">
      <c r="A184" t="str">
        <f>"Modern Horizons 3: Tok"</f>
        <v>Modern Horizons 3: Tok</v>
      </c>
      <c r="B184">
        <f>SUMIFS(Colección!$L$2:$L$10001,Colección!$G$2:$G$10001,$A184,Colección!$M$2:$M$10001,"Compra")</f>
        <v>2.2064150943396226</v>
      </c>
      <c r="C184">
        <f>SUMIFS(Colección!$K$2:$K$10001,Colección!$G$2:$G$10001,$A184,Colección!$M$2:$M$10001,"Compra")</f>
        <v>4</v>
      </c>
      <c r="D184">
        <f>IF($B184=0,"",_xlfn.RANK.EQ($B184,$B$2:$B$321,0)+COUNTIF($B$2:B184,$B184)-1)</f>
        <v>284</v>
      </c>
      <c r="F184" t="str">
        <f>"Blood Artist (V.2)"</f>
        <v>Blood Artist (V.2)</v>
      </c>
      <c r="G184">
        <f>SUMIFS(Colección!$L$2:$L$10001,Colección!$F$2:$F$10001,$F184,Colección!$M$2:$M$10001,"Compra")</f>
        <v>5.7716708860759498</v>
      </c>
      <c r="H184">
        <f>IF($G184=0,"",_xlfn.RANK.EQ($G184,$G$2:$G$2353,0)+COUNTIF($G$2:G184,$G184)-1)</f>
        <v>906</v>
      </c>
    </row>
    <row r="185" spans="1:8" x14ac:dyDescent="0.25">
      <c r="A185" t="str">
        <f>"Modern Horizons: Retro Frame Cards"</f>
        <v>Modern Horizons: Retro Frame Cards</v>
      </c>
      <c r="B185">
        <f>SUMIFS(Colección!$L$2:$L$10001,Colección!$G$2:$G$10001,$A185,Colección!$M$2:$M$10001,"Compra")</f>
        <v>244.13072937613265</v>
      </c>
      <c r="C185">
        <f>SUMIFS(Colección!$K$2:$K$10001,Colección!$G$2:$G$10001,$A185,Colección!$M$2:$M$10001,"Compra")</f>
        <v>21</v>
      </c>
      <c r="D185">
        <f>IF($B185=0,"",_xlfn.RANK.EQ($B185,$B$2:$B$321,0)+COUNTIF($B$2:B185,$B185)-1)</f>
        <v>39</v>
      </c>
      <c r="F185" t="str">
        <f>"Blood Baron of Vizkopa"</f>
        <v>Blood Baron of Vizkopa</v>
      </c>
      <c r="G185">
        <f>SUMIFS(Colección!$L$2:$L$10001,Colección!$F$2:$F$10001,$F185,Colección!$M$2:$M$10001,"Compra")</f>
        <v>2.3673913043478261</v>
      </c>
      <c r="H185">
        <f>IF($G185=0,"",_xlfn.RANK.EQ($G185,$G$2:$G$2353,0)+COUNTIF($G$2:G185,$G185)-1)</f>
        <v>1272</v>
      </c>
    </row>
    <row r="186" spans="1:8" x14ac:dyDescent="0.25">
      <c r="A186" t="str">
        <f>"Modern Masters"</f>
        <v>Modern Masters</v>
      </c>
      <c r="B186">
        <f>SUMIFS(Colección!$L$2:$L$10001,Colección!$G$2:$G$10001,$A186,Colección!$M$2:$M$10001,"Compra")</f>
        <v>28.051105708886418</v>
      </c>
      <c r="C186">
        <f>SUMIFS(Colección!$K$2:$K$10001,Colección!$G$2:$G$10001,$A186,Colección!$M$2:$M$10001,"Compra")</f>
        <v>9</v>
      </c>
      <c r="D186">
        <f>IF($B186=0,"",_xlfn.RANK.EQ($B186,$B$2:$B$321,0)+COUNTIF($B$2:B186,$B186)-1)</f>
        <v>178</v>
      </c>
      <c r="F186" t="str">
        <f>"Blood Crypt"</f>
        <v>Blood Crypt</v>
      </c>
      <c r="G186">
        <f>SUMIFS(Colección!$L$2:$L$10001,Colección!$F$2:$F$10001,$F186,Colección!$M$2:$M$10001,"Compra")</f>
        <v>40.299199999999999</v>
      </c>
      <c r="H186">
        <f>IF($G186=0,"",_xlfn.RANK.EQ($G186,$G$2:$G$2353,0)+COUNTIF($G$2:G186,$G186)-1)</f>
        <v>213</v>
      </c>
    </row>
    <row r="187" spans="1:8" x14ac:dyDescent="0.25">
      <c r="A187" t="str">
        <f>"Modern Masters 2015"</f>
        <v>Modern Masters 2015</v>
      </c>
      <c r="B187">
        <f>SUMIFS(Colección!$L$2:$L$10001,Colección!$G$2:$G$10001,$A187,Colección!$M$2:$M$10001,"Compra")</f>
        <v>93.784370480254353</v>
      </c>
      <c r="C187">
        <f>SUMIFS(Colección!$K$2:$K$10001,Colección!$G$2:$G$10001,$A187,Colección!$M$2:$M$10001,"Compra")</f>
        <v>29</v>
      </c>
      <c r="D187">
        <f>IF($B187=0,"",_xlfn.RANK.EQ($B187,$B$2:$B$321,0)+COUNTIF($B$2:B187,$B187)-1)</f>
        <v>87</v>
      </c>
      <c r="F187" t="str">
        <f>"Blood Crypt (V.2)"</f>
        <v>Blood Crypt (V.2)</v>
      </c>
      <c r="G187">
        <f>SUMIFS(Colección!$L$2:$L$10001,Colección!$F$2:$F$10001,$F187,Colección!$M$2:$M$10001,"Compra")</f>
        <v>40.912837191864284</v>
      </c>
      <c r="H187">
        <f>IF($G187=0,"",_xlfn.RANK.EQ($G187,$G$2:$G$2353,0)+COUNTIF($G$2:G187,$G187)-1)</f>
        <v>209</v>
      </c>
    </row>
    <row r="188" spans="1:8" x14ac:dyDescent="0.25">
      <c r="A188" t="str">
        <f>"Modern Masters 2017"</f>
        <v>Modern Masters 2017</v>
      </c>
      <c r="B188">
        <f>SUMIFS(Colección!$L$2:$L$10001,Colección!$G$2:$G$10001,$A188,Colección!$M$2:$M$10001,"Compra")</f>
        <v>64.520655030943615</v>
      </c>
      <c r="C188">
        <f>SUMIFS(Colección!$K$2:$K$10001,Colección!$G$2:$G$10001,$A188,Colección!$M$2:$M$10001,"Compra")</f>
        <v>7</v>
      </c>
      <c r="D188">
        <f>IF($B188=0,"",_xlfn.RANK.EQ($B188,$B$2:$B$321,0)+COUNTIF($B$2:B188,$B188)-1)</f>
        <v>123</v>
      </c>
      <c r="F188" t="str">
        <f>"Blood Fountain"</f>
        <v>Blood Fountain</v>
      </c>
      <c r="G188">
        <f>SUMIFS(Colección!$L$2:$L$10001,Colección!$F$2:$F$10001,$F188,Colección!$M$2:$M$10001,"Compra")</f>
        <v>4.29</v>
      </c>
      <c r="H188">
        <f>IF($G188=0,"",_xlfn.RANK.EQ($G188,$G$2:$G$2353,0)+COUNTIF($G$2:G188,$G188)-1)</f>
        <v>1035</v>
      </c>
    </row>
    <row r="189" spans="1:8" x14ac:dyDescent="0.25">
      <c r="A189" t="str">
        <f>"Morningtide"</f>
        <v>Morningtide</v>
      </c>
      <c r="B189">
        <f>SUMIFS(Colección!$L$2:$L$10001,Colección!$G$2:$G$10001,$A189,Colección!$M$2:$M$10001,"Compra")</f>
        <v>80.821764705882345</v>
      </c>
      <c r="C189">
        <f>SUMIFS(Colección!$K$2:$K$10001,Colección!$G$2:$G$10001,$A189,Colección!$M$2:$M$10001,"Compra")</f>
        <v>7</v>
      </c>
      <c r="D189">
        <f>IF($B189=0,"",_xlfn.RANK.EQ($B189,$B$2:$B$321,0)+COUNTIF($B$2:B189,$B189)-1)</f>
        <v>103</v>
      </c>
      <c r="F189" t="str">
        <f>"Blood Moon"</f>
        <v>Blood Moon</v>
      </c>
      <c r="G189">
        <f>SUMIFS(Colección!$L$2:$L$10001,Colección!$F$2:$F$10001,$F189,Colección!$M$2:$M$10001,"Compra")</f>
        <v>63.087349074729495</v>
      </c>
      <c r="H189">
        <f>IF($G189=0,"",_xlfn.RANK.EQ($G189,$G$2:$G$2353,0)+COUNTIF($G$2:G189,$G189)-1)</f>
        <v>133</v>
      </c>
    </row>
    <row r="190" spans="1:8" x14ac:dyDescent="0.25">
      <c r="A190" t="str">
        <f>"Multiverse Legends"</f>
        <v>Multiverse Legends</v>
      </c>
      <c r="B190">
        <f>SUMIFS(Colección!$L$2:$L$10001,Colección!$G$2:$G$10001,$A190,Colección!$M$2:$M$10001,"Compra")</f>
        <v>0.21296703296703301</v>
      </c>
      <c r="C190">
        <f>SUMIFS(Colección!$K$2:$K$10001,Colección!$G$2:$G$10001,$A190,Colección!$M$2:$M$10001,"Compra")</f>
        <v>1</v>
      </c>
      <c r="D190">
        <f>IF($B190=0,"",_xlfn.RANK.EQ($B190,$B$2:$B$321,0)+COUNTIF($B$2:B190,$B190)-1)</f>
        <v>313</v>
      </c>
      <c r="F190" t="str">
        <f>"Bloodbraid Elf"</f>
        <v>Bloodbraid Elf</v>
      </c>
      <c r="G190">
        <f>SUMIFS(Colección!$L$2:$L$10001,Colección!$F$2:$F$10001,$F190,Colección!$M$2:$M$10001,"Compra")</f>
        <v>0.6829924502402196</v>
      </c>
      <c r="H190">
        <f>IF($G190=0,"",_xlfn.RANK.EQ($G190,$G$2:$G$2353,0)+COUNTIF($G$2:G190,$G190)-1)</f>
        <v>1770</v>
      </c>
    </row>
    <row r="191" spans="1:8" x14ac:dyDescent="0.25">
      <c r="A191" t="str">
        <f>"Murders at Karlov Manor"</f>
        <v>Murders at Karlov Manor</v>
      </c>
      <c r="B191">
        <f>SUMIFS(Colección!$L$2:$L$10001,Colección!$G$2:$G$10001,$A191,Colección!$M$2:$M$10001,"Compra")</f>
        <v>204.76918237169144</v>
      </c>
      <c r="C191">
        <f>SUMIFS(Colección!$K$2:$K$10001,Colección!$G$2:$G$10001,$A191,Colección!$M$2:$M$10001,"Compra")</f>
        <v>113</v>
      </c>
      <c r="D191">
        <f>IF($B191=0,"",_xlfn.RANK.EQ($B191,$B$2:$B$321,0)+COUNTIF($B$2:B191,$B191)-1)</f>
        <v>47</v>
      </c>
      <c r="F191" t="str">
        <f>"Bloodchief's Thirst"</f>
        <v>Bloodchief's Thirst</v>
      </c>
      <c r="G191">
        <f>SUMIFS(Colección!$L$2:$L$10001,Colección!$F$2:$F$10001,$F191,Colección!$M$2:$M$10001,"Compra")</f>
        <v>1.7081501340482572</v>
      </c>
      <c r="H191">
        <f>IF($G191=0,"",_xlfn.RANK.EQ($G191,$G$2:$G$2353,0)+COUNTIF($G$2:G191,$G191)-1)</f>
        <v>1423</v>
      </c>
    </row>
    <row r="192" spans="1:8" x14ac:dyDescent="0.25">
      <c r="A192" t="str">
        <f>"Murders at Karlov Manor: Extras"</f>
        <v>Murders at Karlov Manor: Extras</v>
      </c>
      <c r="B192">
        <f>SUMIFS(Colección!$L$2:$L$10001,Colección!$G$2:$G$10001,$A192,Colección!$M$2:$M$10001,"Compra")</f>
        <v>237.53116878284544</v>
      </c>
      <c r="C192">
        <f>SUMIFS(Colección!$K$2:$K$10001,Colección!$G$2:$G$10001,$A192,Colección!$M$2:$M$10001,"Compra")</f>
        <v>56</v>
      </c>
      <c r="D192">
        <f>IF($B192=0,"",_xlfn.RANK.EQ($B192,$B$2:$B$321,0)+COUNTIF($B$2:B192,$B192)-1)</f>
        <v>40</v>
      </c>
      <c r="F192" t="str">
        <f>"Bloodghast"</f>
        <v>Bloodghast</v>
      </c>
      <c r="G192">
        <f>SUMIFS(Colección!$L$2:$L$10001,Colección!$F$2:$F$10001,$F192,Colección!$M$2:$M$10001,"Compra")</f>
        <v>17.548375796178345</v>
      </c>
      <c r="H192">
        <f>IF($G192=0,"",_xlfn.RANK.EQ($G192,$G$2:$G$2353,0)+COUNTIF($G$2:G192,$G192)-1)</f>
        <v>440</v>
      </c>
    </row>
    <row r="193" spans="1:8" x14ac:dyDescent="0.25">
      <c r="A193" t="str">
        <f>"Mystery Booster"</f>
        <v>Mystery Booster</v>
      </c>
      <c r="B193">
        <f>SUMIFS(Colección!$L$2:$L$10001,Colección!$G$2:$G$10001,$A193,Colección!$M$2:$M$10001,"Compra")</f>
        <v>18.203646732952315</v>
      </c>
      <c r="C193">
        <f>SUMIFS(Colección!$K$2:$K$10001,Colección!$G$2:$G$10001,$A193,Colección!$M$2:$M$10001,"Compra")</f>
        <v>19</v>
      </c>
      <c r="D193">
        <f>IF($B193=0,"",_xlfn.RANK.EQ($B193,$B$2:$B$321,0)+COUNTIF($B$2:B193,$B193)-1)</f>
        <v>211</v>
      </c>
      <c r="F193" t="str">
        <f>"Bloodstained Mire"</f>
        <v>Bloodstained Mire</v>
      </c>
      <c r="G193">
        <f>SUMIFS(Colección!$L$2:$L$10001,Colección!$F$2:$F$10001,$F193,Colección!$M$2:$M$10001,"Compra")</f>
        <v>268.3757281553398</v>
      </c>
      <c r="H193">
        <f>IF($G193=0,"",_xlfn.RANK.EQ($G193,$G$2:$G$2353,0)+COUNTIF($G$2:G193,$G193)-1)</f>
        <v>11</v>
      </c>
    </row>
    <row r="194" spans="1:8" x14ac:dyDescent="0.25">
      <c r="A194" t="str">
        <f>"Mystical Archive"</f>
        <v>Mystical Archive</v>
      </c>
      <c r="B194">
        <f>SUMIFS(Colección!$L$2:$L$10001,Colección!$G$2:$G$10001,$A194,Colección!$M$2:$M$10001,"Compra")</f>
        <v>80.934731991255774</v>
      </c>
      <c r="C194">
        <f>SUMIFS(Colección!$K$2:$K$10001,Colección!$G$2:$G$10001,$A194,Colección!$M$2:$M$10001,"Compra")</f>
        <v>17</v>
      </c>
      <c r="D194">
        <f>IF($B194=0,"",_xlfn.RANK.EQ($B194,$B$2:$B$321,0)+COUNTIF($B$2:B194,$B194)-1)</f>
        <v>102</v>
      </c>
      <c r="F194" t="str">
        <f>"Bloodtithe Harvester"</f>
        <v>Bloodtithe Harvester</v>
      </c>
      <c r="G194">
        <f>SUMIFS(Colección!$L$2:$L$10001,Colección!$F$2:$F$10001,$F194,Colección!$M$2:$M$10001,"Compra")</f>
        <v>1.0931210724759113</v>
      </c>
      <c r="H194">
        <f>IF($G194=0,"",_xlfn.RANK.EQ($G194,$G$2:$G$2353,0)+COUNTIF($G$2:G194,$G194)-1)</f>
        <v>1602</v>
      </c>
    </row>
    <row r="195" spans="1:8" x14ac:dyDescent="0.25">
      <c r="A195" t="str">
        <f>"Nemesis"</f>
        <v>Nemesis</v>
      </c>
      <c r="B195">
        <f>SUMIFS(Colección!$L$2:$L$10001,Colección!$G$2:$G$10001,$A195,Colección!$M$2:$M$10001,"Compra")</f>
        <v>104.19192513368985</v>
      </c>
      <c r="C195">
        <f>SUMIFS(Colección!$K$2:$K$10001,Colección!$G$2:$G$10001,$A195,Colección!$M$2:$M$10001,"Compra")</f>
        <v>23</v>
      </c>
      <c r="D195">
        <f>IF($B195=0,"",_xlfn.RANK.EQ($B195,$B$2:$B$321,0)+COUNTIF($B$2:B195,$B195)-1)</f>
        <v>77</v>
      </c>
      <c r="F195" t="str">
        <f>"Blooming Marsh"</f>
        <v>Blooming Marsh</v>
      </c>
      <c r="G195">
        <f>SUMIFS(Colección!$L$2:$L$10001,Colección!$F$2:$F$10001,$F195,Colección!$M$2:$M$10001,"Compra")</f>
        <v>28.847582781456957</v>
      </c>
      <c r="H195">
        <f>IF($G195=0,"",_xlfn.RANK.EQ($G195,$G$2:$G$2353,0)+COUNTIF($G$2:G195,$G195)-1)</f>
        <v>285</v>
      </c>
    </row>
    <row r="196" spans="1:8" x14ac:dyDescent="0.25">
      <c r="A196" t="str">
        <f>"New Phyrexia"</f>
        <v>New Phyrexia</v>
      </c>
      <c r="B196">
        <f>SUMIFS(Colección!$L$2:$L$10001,Colección!$G$2:$G$10001,$A196,Colección!$M$2:$M$10001,"Compra")</f>
        <v>163.99885737404711</v>
      </c>
      <c r="C196">
        <f>SUMIFS(Colección!$K$2:$K$10001,Colección!$G$2:$G$10001,$A196,Colección!$M$2:$M$10001,"Compra")</f>
        <v>47</v>
      </c>
      <c r="D196">
        <f>IF($B196=0,"",_xlfn.RANK.EQ($B196,$B$2:$B$321,0)+COUNTIF($B$2:B196,$B196)-1)</f>
        <v>56</v>
      </c>
      <c r="F196" t="str">
        <f>"Blossoming Calm"</f>
        <v>Blossoming Calm</v>
      </c>
      <c r="G196">
        <f>SUMIFS(Colección!$L$2:$L$10001,Colección!$F$2:$F$10001,$F196,Colección!$M$2:$M$10001,"Compra")</f>
        <v>0.62398615018394277</v>
      </c>
      <c r="H196">
        <f>IF($G196=0,"",_xlfn.RANK.EQ($G196,$G$2:$G$2353,0)+COUNTIF($G$2:G196,$G196)-1)</f>
        <v>1815</v>
      </c>
    </row>
    <row r="197" spans="1:8" x14ac:dyDescent="0.25">
      <c r="A197" t="str">
        <f>"Oath of the Gatewatch"</f>
        <v>Oath of the Gatewatch</v>
      </c>
      <c r="B197">
        <f>SUMIFS(Colección!$L$2:$L$10001,Colección!$G$2:$G$10001,$A197,Colección!$M$2:$M$10001,"Compra")</f>
        <v>58.833813387258843</v>
      </c>
      <c r="C197">
        <f>SUMIFS(Colección!$K$2:$K$10001,Colección!$G$2:$G$10001,$A197,Colección!$M$2:$M$10001,"Compra")</f>
        <v>23</v>
      </c>
      <c r="D197">
        <f>IF($B197=0,"",_xlfn.RANK.EQ($B197,$B$2:$B$321,0)+COUNTIF($B$2:B197,$B197)-1)</f>
        <v>134</v>
      </c>
      <c r="F197" t="str">
        <f>"Blossoming Defense"</f>
        <v>Blossoming Defense</v>
      </c>
      <c r="G197">
        <f>SUMIFS(Colección!$L$2:$L$10001,Colección!$F$2:$F$10001,$F197,Colección!$M$2:$M$10001,"Compra")</f>
        <v>4.761111111111112</v>
      </c>
      <c r="H197">
        <f>IF($G197=0,"",_xlfn.RANK.EQ($G197,$G$2:$G$2353,0)+COUNTIF($G$2:G197,$G197)-1)</f>
        <v>981</v>
      </c>
    </row>
    <row r="198" spans="1:8" x14ac:dyDescent="0.25">
      <c r="A198" t="str">
        <f>"Odyssey"</f>
        <v>Odyssey</v>
      </c>
      <c r="B198">
        <f>SUMIFS(Colección!$L$2:$L$10001,Colección!$G$2:$G$10001,$A198,Colección!$M$2:$M$10001,"Compra")</f>
        <v>120.4913199801512</v>
      </c>
      <c r="C198">
        <f>SUMIFS(Colección!$K$2:$K$10001,Colección!$G$2:$G$10001,$A198,Colección!$M$2:$M$10001,"Compra")</f>
        <v>27</v>
      </c>
      <c r="D198">
        <f>IF($B198=0,"",_xlfn.RANK.EQ($B198,$B$2:$B$321,0)+COUNTIF($B$2:B198,$B198)-1)</f>
        <v>71</v>
      </c>
      <c r="F198" t="str">
        <f>"Blue Elemental Blast"</f>
        <v>Blue Elemental Blast</v>
      </c>
      <c r="G198">
        <f>SUMIFS(Colección!$L$2:$L$10001,Colección!$F$2:$F$10001,$F198,Colección!$M$2:$M$10001,"Compra")</f>
        <v>24.54721860930465</v>
      </c>
      <c r="H198">
        <f>IF($G198=0,"",_xlfn.RANK.EQ($G198,$G$2:$G$2353,0)+COUNTIF($G$2:G198,$G198)-1)</f>
        <v>318</v>
      </c>
    </row>
    <row r="199" spans="1:8" x14ac:dyDescent="0.25">
      <c r="A199" t="str">
        <f>"Onslaught"</f>
        <v>Onslaught</v>
      </c>
      <c r="B199">
        <f>SUMIFS(Colección!$L$2:$L$10001,Colección!$G$2:$G$10001,$A199,Colección!$M$2:$M$10001,"Compra")</f>
        <v>1002.029082816231</v>
      </c>
      <c r="C199">
        <f>SUMIFS(Colección!$K$2:$K$10001,Colección!$G$2:$G$10001,$A199,Colección!$M$2:$M$10001,"Compra")</f>
        <v>39</v>
      </c>
      <c r="D199">
        <f>IF($B199=0,"",_xlfn.RANK.EQ($B199,$B$2:$B$321,0)+COUNTIF($B$2:B199,$B199)-1)</f>
        <v>9</v>
      </c>
      <c r="F199" t="str">
        <f>"Blueno (OP03-090)"</f>
        <v>Blueno (OP03-090)</v>
      </c>
      <c r="G199">
        <f>SUMIFS(Colección!$L$2:$L$10001,Colección!$F$2:$F$10001,$F199,Colección!$M$2:$M$10001,"Compra")</f>
        <v>0.40457364341085272</v>
      </c>
      <c r="H199">
        <f>IF($G199=0,"",_xlfn.RANK.EQ($G199,$G$2:$G$2353,0)+COUNTIF($G$2:G199,$G199)-1)</f>
        <v>1948</v>
      </c>
    </row>
    <row r="200" spans="1:8" x14ac:dyDescent="0.25">
      <c r="A200" t="str">
        <f>"OP04-0"</f>
        <v>OP04-0</v>
      </c>
      <c r="B200">
        <f>SUMIFS(Colección!$L$2:$L$10001,Colección!$G$2:$G$10001,$A200,Colección!$M$2:$M$10001,"Compra")</f>
        <v>6.1898734177215198E-2</v>
      </c>
      <c r="C200">
        <f>SUMIFS(Colección!$K$2:$K$10001,Colección!$G$2:$G$10001,$A200,Colección!$M$2:$M$10001,"Compra")</f>
        <v>1</v>
      </c>
      <c r="D200">
        <f>IF($B200=0,"",_xlfn.RANK.EQ($B200,$B$2:$B$321,0)+COUNTIF($B$2:B200,$B200)-1)</f>
        <v>318</v>
      </c>
      <c r="F200" t="str">
        <f>"Boa Hancock (OP01-078) (V.1)"</f>
        <v>Boa Hancock (OP01-078) (V.1)</v>
      </c>
      <c r="G200">
        <f>SUMIFS(Colección!$L$2:$L$10001,Colección!$F$2:$F$10001,$F200,Colección!$M$2:$M$10001,"Compra")</f>
        <v>2.27363387978142</v>
      </c>
      <c r="H200">
        <f>IF($G200=0,"",_xlfn.RANK.EQ($G200,$G$2:$G$2353,0)+COUNTIF($G$2:G200,$G200)-1)</f>
        <v>1292</v>
      </c>
    </row>
    <row r="201" spans="1:8" x14ac:dyDescent="0.25">
      <c r="A201" t="str">
        <f>"OP05-"</f>
        <v>OP05-</v>
      </c>
      <c r="B201">
        <f>SUMIFS(Colección!$L$2:$L$10001,Colección!$G$2:$G$10001,$A201,Colección!$M$2:$M$10001,"Compra")</f>
        <v>0.20296278158667971</v>
      </c>
      <c r="C201">
        <f>SUMIFS(Colección!$K$2:$K$10001,Colección!$G$2:$G$10001,$A201,Colección!$M$2:$M$10001,"Compra")</f>
        <v>1</v>
      </c>
      <c r="D201">
        <f>IF($B201=0,"",_xlfn.RANK.EQ($B201,$B$2:$B$321,0)+COUNTIF($B$2:B201,$B201)-1)</f>
        <v>316</v>
      </c>
      <c r="F201" t="str">
        <f>"Bobbin the Disposer (OP03-103)"</f>
        <v>Bobbin the Disposer (OP03-103)</v>
      </c>
      <c r="G201">
        <f>SUMIFS(Colección!$L$2:$L$10001,Colección!$F$2:$F$10001,$F201,Colección!$M$2:$M$10001,"Compra")</f>
        <v>9.5193798449612399E-2</v>
      </c>
      <c r="H201">
        <f>IF($G201=0,"",_xlfn.RANK.EQ($G201,$G$2:$G$2353,0)+COUNTIF($G$2:G201,$G201)-1)</f>
        <v>2162</v>
      </c>
    </row>
    <row r="202" spans="1:8" x14ac:dyDescent="0.25">
      <c r="A202" t="str">
        <f>"Origins"</f>
        <v>Origins</v>
      </c>
      <c r="B202">
        <f>SUMIFS(Colección!$L$2:$L$10001,Colección!$G$2:$G$10001,$A202,Colección!$M$2:$M$10001,"Compra")</f>
        <v>643.58689707992733</v>
      </c>
      <c r="C202">
        <f>SUMIFS(Colección!$K$2:$K$10001,Colección!$G$2:$G$10001,$A202,Colección!$M$2:$M$10001,"Compra")</f>
        <v>121</v>
      </c>
      <c r="D202">
        <f>IF($B202=0,"",_xlfn.RANK.EQ($B202,$B$2:$B$321,0)+COUNTIF($B$2:B202,$B202)-1)</f>
        <v>13</v>
      </c>
      <c r="F202" t="str">
        <f>"Body Rune (V.2 - Showcase)"</f>
        <v>Body Rune (V.2 - Showcase)</v>
      </c>
      <c r="G202">
        <f>SUMIFS(Colección!$L$2:$L$10001,Colección!$F$2:$F$10001,$F202,Colección!$M$2:$M$10001,"Compra")</f>
        <v>41.467705389341759</v>
      </c>
      <c r="H202">
        <f>IF($G202=0,"",_xlfn.RANK.EQ($G202,$G$2:$G$2353,0)+COUNTIF($G$2:G202,$G202)-1)</f>
        <v>205</v>
      </c>
    </row>
    <row r="203" spans="1:8" x14ac:dyDescent="0.25">
      <c r="A203" t="str">
        <f>"Origins: Promos"</f>
        <v>Origins: Promos</v>
      </c>
      <c r="B203">
        <f>SUMIFS(Colección!$L$2:$L$10001,Colección!$G$2:$G$10001,$A203,Colección!$M$2:$M$10001,"Compra")</f>
        <v>554.98916666666673</v>
      </c>
      <c r="C203">
        <f>SUMIFS(Colección!$K$2:$K$10001,Colección!$G$2:$G$10001,$A203,Colección!$M$2:$M$10001,"Compra")</f>
        <v>6</v>
      </c>
      <c r="D203">
        <f>IF($B203=0,"",_xlfn.RANK.EQ($B203,$B$2:$B$321,0)+COUNTIF($B$2:B203,$B203)-1)</f>
        <v>15</v>
      </c>
      <c r="F203" t="str">
        <f>"Boggart Trawler // Boggart Bog"</f>
        <v>Boggart Trawler // Boggart Bog</v>
      </c>
      <c r="G203">
        <f>SUMIFS(Colección!$L$2:$L$10001,Colección!$F$2:$F$10001,$F203,Colección!$M$2:$M$10001,"Compra")</f>
        <v>3.019047619047619</v>
      </c>
      <c r="H203">
        <f>IF($G203=0,"",_xlfn.RANK.EQ($G203,$G$2:$G$2353,0)+COUNTIF($G$2:G203,$G203)-1)</f>
        <v>1195</v>
      </c>
    </row>
    <row r="204" spans="1:8" x14ac:dyDescent="0.25">
      <c r="A204" t="str">
        <f>"Outlaws of Thunder Junction"</f>
        <v>Outlaws of Thunder Junction</v>
      </c>
      <c r="B204">
        <f>SUMIFS(Colección!$L$2:$L$10001,Colección!$G$2:$G$10001,$A204,Colección!$M$2:$M$10001,"Compra")</f>
        <v>147.49381564896291</v>
      </c>
      <c r="C204">
        <f>SUMIFS(Colección!$K$2:$K$10001,Colección!$G$2:$G$10001,$A204,Colección!$M$2:$M$10001,"Compra")</f>
        <v>76</v>
      </c>
      <c r="D204">
        <f>IF($B204=0,"",_xlfn.RANK.EQ($B204,$B$2:$B$321,0)+COUNTIF($B$2:B204,$B204)-1)</f>
        <v>67</v>
      </c>
      <c r="F204" t="str">
        <f>"Bojuka Bog"</f>
        <v>Bojuka Bog</v>
      </c>
      <c r="G204">
        <f>SUMIFS(Colección!$L$2:$L$10001,Colección!$F$2:$F$10001,$F204,Colección!$M$2:$M$10001,"Compra")</f>
        <v>14.249556997566607</v>
      </c>
      <c r="H204">
        <f>IF($G204=0,"",_xlfn.RANK.EQ($G204,$G$2:$G$2353,0)+COUNTIF($G$2:G204,$G204)-1)</f>
        <v>523</v>
      </c>
    </row>
    <row r="205" spans="1:8" x14ac:dyDescent="0.25">
      <c r="A205" t="str">
        <f>"Outlaws of Thunder Junction: Extras"</f>
        <v>Outlaws of Thunder Junction: Extras</v>
      </c>
      <c r="B205">
        <f>SUMIFS(Colección!$L$2:$L$10001,Colección!$G$2:$G$10001,$A205,Colección!$M$2:$M$10001,"Compra")</f>
        <v>60.689551569506726</v>
      </c>
      <c r="C205">
        <f>SUMIFS(Colección!$K$2:$K$10001,Colección!$G$2:$G$10001,$A205,Colección!$M$2:$M$10001,"Compra")</f>
        <v>13</v>
      </c>
      <c r="D205">
        <f>IF($B205=0,"",_xlfn.RANK.EQ($B205,$B$2:$B$321,0)+COUNTIF($B$2:B205,$B205)-1)</f>
        <v>128</v>
      </c>
      <c r="F205" t="str">
        <f>"Bone Shards (V.1)"</f>
        <v>Bone Shards (V.1)</v>
      </c>
      <c r="G205">
        <f>SUMIFS(Colección!$L$2:$L$10001,Colección!$F$2:$F$10001,$F205,Colección!$M$2:$M$10001,"Compra")</f>
        <v>0.22151755379388449</v>
      </c>
      <c r="H205">
        <f>IF($G205=0,"",_xlfn.RANK.EQ($G205,$G$2:$G$2353,0)+COUNTIF($G$2:G205,$G205)-1)</f>
        <v>2080</v>
      </c>
    </row>
    <row r="206" spans="1:8" x14ac:dyDescent="0.25">
      <c r="A206" t="str">
        <f>"Paramount War"</f>
        <v>Paramount War</v>
      </c>
      <c r="B206">
        <f>SUMIFS(Colección!$L$2:$L$10001,Colección!$G$2:$G$10001,$A206,Colección!$M$2:$M$10001,"Compra")</f>
        <v>26.396731492447387</v>
      </c>
      <c r="C206">
        <f>SUMIFS(Colección!$K$2:$K$10001,Colección!$G$2:$G$10001,$A206,Colección!$M$2:$M$10001,"Compra")</f>
        <v>11</v>
      </c>
      <c r="D206">
        <f>IF($B206=0,"",_xlfn.RANK.EQ($B206,$B$2:$B$321,0)+COUNTIF($B$2:B206,$B206)-1)</f>
        <v>190</v>
      </c>
      <c r="F206" t="str">
        <f>"Bonecrusher Giant // Stomp"</f>
        <v>Bonecrusher Giant // Stomp</v>
      </c>
      <c r="G206">
        <f>SUMIFS(Colección!$L$2:$L$10001,Colección!$F$2:$F$10001,$F206,Colección!$M$2:$M$10001,"Compra")</f>
        <v>5.0254286051173214</v>
      </c>
      <c r="H206">
        <f>IF($G206=0,"",_xlfn.RANK.EQ($G206,$G$2:$G$2353,0)+COUNTIF($G$2:G206,$G206)-1)</f>
        <v>969</v>
      </c>
    </row>
    <row r="207" spans="1:8" x14ac:dyDescent="0.25">
      <c r="A207" t="str">
        <f>"Phyrexia: All Will Be One"</f>
        <v>Phyrexia: All Will Be One</v>
      </c>
      <c r="B207">
        <f>SUMIFS(Colección!$L$2:$L$10001,Colección!$G$2:$G$10001,$A207,Colección!$M$2:$M$10001,"Compra")</f>
        <v>207.39704398660299</v>
      </c>
      <c r="C207">
        <f>SUMIFS(Colección!$K$2:$K$10001,Colección!$G$2:$G$10001,$A207,Colección!$M$2:$M$10001,"Compra")</f>
        <v>63</v>
      </c>
      <c r="D207">
        <f>IF($B207=0,"",_xlfn.RANK.EQ($B207,$B$2:$B$321,0)+COUNTIF($B$2:B207,$B207)-1)</f>
        <v>46</v>
      </c>
      <c r="F207" t="str">
        <f>"Boodle (OP03-050)"</f>
        <v>Boodle (OP03-050)</v>
      </c>
      <c r="G207">
        <f>SUMIFS(Colección!$L$2:$L$10001,Colección!$F$2:$F$10001,$F207,Colección!$M$2:$M$10001,"Compra")</f>
        <v>0.22608527131782949</v>
      </c>
      <c r="H207">
        <f>IF($G207=0,"",_xlfn.RANK.EQ($G207,$G$2:$G$2353,0)+COUNTIF($G$2:G207,$G207)-1)</f>
        <v>2056</v>
      </c>
    </row>
    <row r="208" spans="1:8" x14ac:dyDescent="0.25">
      <c r="A208" t="str">
        <f>"Phyrexia: All Will Be One: Extras"</f>
        <v>Phyrexia: All Will Be One: Extras</v>
      </c>
      <c r="B208">
        <f>SUMIFS(Colección!$L$2:$L$10001,Colección!$G$2:$G$10001,$A208,Colección!$M$2:$M$10001,"Compra")</f>
        <v>234.95894635516058</v>
      </c>
      <c r="C208">
        <f>SUMIFS(Colección!$K$2:$K$10001,Colección!$G$2:$G$10001,$A208,Colección!$M$2:$M$10001,"Compra")</f>
        <v>28</v>
      </c>
      <c r="D208">
        <f>IF($B208=0,"",_xlfn.RANK.EQ($B208,$B$2:$B$321,0)+COUNTIF($B$2:B208,$B208)-1)</f>
        <v>41</v>
      </c>
      <c r="F208" t="str">
        <f>"Boom // Bust"</f>
        <v>Boom // Bust</v>
      </c>
      <c r="G208">
        <f>SUMIFS(Colección!$L$2:$L$10001,Colección!$F$2:$F$10001,$F208,Colección!$M$2:$M$10001,"Compra")</f>
        <v>8.8000692041522477</v>
      </c>
      <c r="H208">
        <f>IF($G208=0,"",_xlfn.RANK.EQ($G208,$G$2:$G$2353,0)+COUNTIF($G$2:G208,$G208)-1)</f>
        <v>713</v>
      </c>
    </row>
    <row r="209" spans="1:8" x14ac:dyDescent="0.25">
      <c r="A209" t="str">
        <f>"Phyrexia: All Will Be One: Promos"</f>
        <v>Phyrexia: All Will Be One: Promos</v>
      </c>
      <c r="B209">
        <f>SUMIFS(Colección!$L$2:$L$10001,Colección!$G$2:$G$10001,$A209,Colección!$M$2:$M$10001,"Compra")</f>
        <v>27.359393939393939</v>
      </c>
      <c r="C209">
        <f>SUMIFS(Colección!$K$2:$K$10001,Colección!$G$2:$G$10001,$A209,Colección!$M$2:$M$10001,"Compra")</f>
        <v>3</v>
      </c>
      <c r="D209">
        <f>IF($B209=0,"",_xlfn.RANK.EQ($B209,$B$2:$B$321,0)+COUNTIF($B$2:B209,$B209)-1)</f>
        <v>182</v>
      </c>
      <c r="F209" t="str">
        <f>"Boomerang Basics"</f>
        <v>Boomerang Basics</v>
      </c>
      <c r="G209">
        <f>SUMIFS(Colección!$L$2:$L$10001,Colección!$F$2:$F$10001,$F209,Colección!$M$2:$M$10001,"Compra")</f>
        <v>1.0346739130434783</v>
      </c>
      <c r="H209">
        <f>IF($G209=0,"",_xlfn.RANK.EQ($G209,$G$2:$G$2353,0)+COUNTIF($G$2:G209,$G209)-1)</f>
        <v>1641</v>
      </c>
    </row>
    <row r="210" spans="1:8" x14ac:dyDescent="0.25">
      <c r="A210" t="str">
        <f>"Pillars of Strength"</f>
        <v>Pillars of Strength</v>
      </c>
      <c r="B210">
        <f>SUMIFS(Colección!$L$2:$L$10001,Colección!$G$2:$G$10001,$A210,Colección!$M$2:$M$10001,"Compra")</f>
        <v>39.984730032682428</v>
      </c>
      <c r="C210">
        <f>SUMIFS(Colección!$K$2:$K$10001,Colección!$G$2:$G$10001,$A210,Colección!$M$2:$M$10001,"Compra")</f>
        <v>123</v>
      </c>
      <c r="D210">
        <f>IF($B210=0,"",_xlfn.RANK.EQ($B210,$B$2:$B$321,0)+COUNTIF($B$2:B210,$B210)-1)</f>
        <v>159</v>
      </c>
      <c r="F210" t="str">
        <f>"Boon-Bringer Valkyrie"</f>
        <v>Boon-Bringer Valkyrie</v>
      </c>
      <c r="G210">
        <f>SUMIFS(Colección!$L$2:$L$10001,Colección!$F$2:$F$10001,$F210,Colección!$M$2:$M$10001,"Compra")</f>
        <v>1.98</v>
      </c>
      <c r="H210">
        <f>IF($G210=0,"",_xlfn.RANK.EQ($G210,$G$2:$G$2353,0)+COUNTIF($G$2:G210,$G210)-1)</f>
        <v>1376</v>
      </c>
    </row>
    <row r="211" spans="1:8" x14ac:dyDescent="0.25">
      <c r="A211" t="str">
        <f>"Planar Chaos"</f>
        <v>Planar Chaos</v>
      </c>
      <c r="B211">
        <f>SUMIFS(Colección!$L$2:$L$10001,Colección!$G$2:$G$10001,$A211,Colección!$M$2:$M$10001,"Compra")</f>
        <v>20.330000000000002</v>
      </c>
      <c r="C211">
        <f>SUMIFS(Colección!$K$2:$K$10001,Colección!$G$2:$G$10001,$A211,Colección!$M$2:$M$10001,"Compra")</f>
        <v>5</v>
      </c>
      <c r="D211">
        <f>IF($B211=0,"",_xlfn.RANK.EQ($B211,$B$2:$B$321,0)+COUNTIF($B$2:B211,$B211)-1)</f>
        <v>205</v>
      </c>
      <c r="F211" t="str">
        <f>"Boots of Swiftness"</f>
        <v>Boots of Swiftness</v>
      </c>
      <c r="G211">
        <f>SUMIFS(Colección!$L$2:$L$10001,Colección!$F$2:$F$10001,$F211,Colección!$M$2:$M$10001,"Compra")</f>
        <v>5.0715234906636191</v>
      </c>
      <c r="H211">
        <f>IF($G211=0,"",_xlfn.RANK.EQ($G211,$G$2:$G$2353,0)+COUNTIF($G$2:G211,$G211)-1)</f>
        <v>967</v>
      </c>
    </row>
    <row r="212" spans="1:8" x14ac:dyDescent="0.25">
      <c r="A212" t="str">
        <f>"Planeshift"</f>
        <v>Planeshift</v>
      </c>
      <c r="B212">
        <f>SUMIFS(Colección!$L$2:$L$10001,Colección!$G$2:$G$10001,$A212,Colección!$M$2:$M$10001,"Compra")</f>
        <v>5.9956871523661901</v>
      </c>
      <c r="C212">
        <f>SUMIFS(Colección!$K$2:$K$10001,Colección!$G$2:$G$10001,$A212,Colección!$M$2:$M$10001,"Compra")</f>
        <v>8</v>
      </c>
      <c r="D212">
        <f>IF($B212=0,"",_xlfn.RANK.EQ($B212,$B$2:$B$321,0)+COUNTIF($B$2:B212,$B212)-1)</f>
        <v>258</v>
      </c>
      <c r="F212" t="str">
        <f>"Borne Upon a Wind"</f>
        <v>Borne Upon a Wind</v>
      </c>
      <c r="G212">
        <f>SUMIFS(Colección!$L$2:$L$10001,Colección!$F$2:$F$10001,$F212,Colección!$M$2:$M$10001,"Compra")</f>
        <v>1.4701608118657292</v>
      </c>
      <c r="H212">
        <f>IF($G212=0,"",_xlfn.RANK.EQ($G212,$G$2:$G$2353,0)+COUNTIF($G$2:G212,$G212)-1)</f>
        <v>1495</v>
      </c>
    </row>
    <row r="213" spans="1:8" x14ac:dyDescent="0.25">
      <c r="A213" t="str">
        <f>"Player Rewards Promos"</f>
        <v>Player Rewards Promos</v>
      </c>
      <c r="B213">
        <f>SUMIFS(Colección!$L$2:$L$10001,Colección!$G$2:$G$10001,$A213,Colección!$M$2:$M$10001,"Compra")</f>
        <v>11.791278863232682</v>
      </c>
      <c r="C213">
        <f>SUMIFS(Colección!$K$2:$K$10001,Colección!$G$2:$G$10001,$A213,Colección!$M$2:$M$10001,"Compra")</f>
        <v>3</v>
      </c>
      <c r="D213">
        <f>IF($B213=0,"",_xlfn.RANK.EQ($B213,$B$2:$B$321,0)+COUNTIF($B$2:B213,$B213)-1)</f>
        <v>232</v>
      </c>
      <c r="F213" t="str">
        <f>"Boromir, Warden of the Tower"</f>
        <v>Boromir, Warden of the Tower</v>
      </c>
      <c r="G213">
        <f>SUMIFS(Colección!$L$2:$L$10001,Colección!$F$2:$F$10001,$F213,Colección!$M$2:$M$10001,"Compra")</f>
        <v>3.0547715965626412</v>
      </c>
      <c r="H213">
        <f>IF($G213=0,"",_xlfn.RANK.EQ($G213,$G$2:$G$2353,0)+COUNTIF($G$2:G213,$G213)-1)</f>
        <v>1192</v>
      </c>
    </row>
    <row r="214" spans="1:8" x14ac:dyDescent="0.25">
      <c r="A214" t="str">
        <f>"Poppy Topaz"</f>
        <v>Poppy Topaz</v>
      </c>
      <c r="B214">
        <f>SUMIFS(Colección!$L$2:$L$10001,Colección!$G$2:$G$10001,$A214,Colección!$M$2:$M$10001,"Compra")</f>
        <v>6.4965265461246116</v>
      </c>
      <c r="C214">
        <f>SUMIFS(Colección!$K$2:$K$10001,Colección!$G$2:$G$10001,$A214,Colección!$M$2:$M$10001,"Compra")</f>
        <v>1</v>
      </c>
      <c r="D214">
        <f>IF($B214=0,"",_xlfn.RANK.EQ($B214,$B$2:$B$321,0)+COUNTIF($B$2:B214,$B214)-1)</f>
        <v>252</v>
      </c>
      <c r="F214" t="str">
        <f>"Boromir, Warden of the Tower (V.1)"</f>
        <v>Boromir, Warden of the Tower (V.1)</v>
      </c>
      <c r="G214">
        <f>SUMIFS(Colección!$L$2:$L$10001,Colección!$F$2:$F$10001,$F214,Colección!$M$2:$M$10001,"Compra")</f>
        <v>3.5470642201834859</v>
      </c>
      <c r="H214">
        <f>IF($G214=0,"",_xlfn.RANK.EQ($G214,$G$2:$G$2353,0)+COUNTIF($G$2:G214,$G214)-1)</f>
        <v>1109</v>
      </c>
    </row>
    <row r="215" spans="1:8" x14ac:dyDescent="0.25">
      <c r="A215" t="str">
        <f>"Premium Deck Series: Fire &amp; Lightning"</f>
        <v>Premium Deck Series: Fire &amp; Lightning</v>
      </c>
      <c r="B215">
        <f>SUMIFS(Colección!$L$2:$L$10001,Colección!$G$2:$G$10001,$A215,Colección!$M$2:$M$10001,"Compra")</f>
        <v>0.64325133689839564</v>
      </c>
      <c r="C215">
        <f>SUMIFS(Colección!$K$2:$K$10001,Colección!$G$2:$G$10001,$A215,Colección!$M$2:$M$10001,"Compra")</f>
        <v>4</v>
      </c>
      <c r="D215">
        <f>IF($B215=0,"",_xlfn.RANK.EQ($B215,$B$2:$B$321,0)+COUNTIF($B$2:B215,$B215)-1)</f>
        <v>303</v>
      </c>
      <c r="F215" t="str">
        <f>"Boromir, Warden of the Tower (V.2)"</f>
        <v>Boromir, Warden of the Tower (V.2)</v>
      </c>
      <c r="G215">
        <f>SUMIFS(Colección!$L$2:$L$10001,Colección!$F$2:$F$10001,$F215,Colección!$M$2:$M$10001,"Compra")</f>
        <v>5.1737532808398949</v>
      </c>
      <c r="H215">
        <f>IF($G215=0,"",_xlfn.RANK.EQ($G215,$G$2:$G$2353,0)+COUNTIF($G$2:G215,$G215)-1)</f>
        <v>962</v>
      </c>
    </row>
    <row r="216" spans="1:8" x14ac:dyDescent="0.25">
      <c r="A216" t="str">
        <f>"Prerelease Promos"</f>
        <v>Prerelease Promos</v>
      </c>
      <c r="B216">
        <f>SUMIFS(Colección!$L$2:$L$10001,Colección!$G$2:$G$10001,$A216,Colección!$M$2:$M$10001,"Compra")</f>
        <v>26.57552732871439</v>
      </c>
      <c r="C216">
        <f>SUMIFS(Colección!$K$2:$K$10001,Colección!$G$2:$G$10001,$A216,Colección!$M$2:$M$10001,"Compra")</f>
        <v>1</v>
      </c>
      <c r="D216">
        <f>IF($B216=0,"",_xlfn.RANK.EQ($B216,$B$2:$B$321,0)+COUNTIF($B$2:B216,$B216)-1)</f>
        <v>188</v>
      </c>
      <c r="F216" t="str">
        <f>"Boros Charm"</f>
        <v>Boros Charm</v>
      </c>
      <c r="G216">
        <f>SUMIFS(Colección!$L$2:$L$10001,Colección!$F$2:$F$10001,$F216,Colección!$M$2:$M$10001,"Compra")</f>
        <v>17.41</v>
      </c>
      <c r="H216">
        <f>IF($G216=0,"",_xlfn.RANK.EQ($G216,$G$2:$G$2353,0)+COUNTIF($G$2:G216,$G216)-1)</f>
        <v>445</v>
      </c>
    </row>
    <row r="217" spans="1:8" x14ac:dyDescent="0.25">
      <c r="A217" t="str">
        <f>"Promos"</f>
        <v>Promos</v>
      </c>
      <c r="B217">
        <f>SUMIFS(Colección!$L$2:$L$10001,Colección!$G$2:$G$10001,$A217,Colección!$M$2:$M$10001,"Compra")</f>
        <v>76.183165059557552</v>
      </c>
      <c r="C217">
        <f>SUMIFS(Colección!$K$2:$K$10001,Colección!$G$2:$G$10001,$A217,Colección!$M$2:$M$10001,"Compra")</f>
        <v>23</v>
      </c>
      <c r="D217">
        <f>IF($B217=0,"",_xlfn.RANK.EQ($B217,$B$2:$B$321,0)+COUNTIF($B$2:B217,$B217)-1)</f>
        <v>110</v>
      </c>
      <c r="F217" t="str">
        <f>"Boros Charm (V.1)"</f>
        <v>Boros Charm (V.1)</v>
      </c>
      <c r="G217">
        <f>SUMIFS(Colección!$L$2:$L$10001,Colección!$F$2:$F$10001,$F217,Colección!$M$2:$M$10001,"Compra")</f>
        <v>14.331181959564544</v>
      </c>
      <c r="H217">
        <f>IF($G217=0,"",_xlfn.RANK.EQ($G217,$G$2:$G$2353,0)+COUNTIF($G$2:G217,$G217)-1)</f>
        <v>520</v>
      </c>
    </row>
    <row r="218" spans="1:8" x14ac:dyDescent="0.25">
      <c r="A218" t="str">
        <f>"Prophecy"</f>
        <v>Prophecy</v>
      </c>
      <c r="B218">
        <f>SUMIFS(Colección!$L$2:$L$10001,Colección!$G$2:$G$10001,$A218,Colección!$M$2:$M$10001,"Compra")</f>
        <v>3.977094972067039</v>
      </c>
      <c r="C218">
        <f>SUMIFS(Colección!$K$2:$K$10001,Colección!$G$2:$G$10001,$A218,Colección!$M$2:$M$10001,"Compra")</f>
        <v>1</v>
      </c>
      <c r="D218">
        <f>IF($B218=0,"",_xlfn.RANK.EQ($B218,$B$2:$B$321,0)+COUNTIF($B$2:B218,$B218)-1)</f>
        <v>271</v>
      </c>
      <c r="F218" t="str">
        <f>"Boros Garrison"</f>
        <v>Boros Garrison</v>
      </c>
      <c r="G218">
        <f>SUMIFS(Colección!$L$2:$L$10001,Colección!$F$2:$F$10001,$F218,Colección!$M$2:$M$10001,"Compra")</f>
        <v>2.2333062956261314</v>
      </c>
      <c r="H218">
        <f>IF($G218=0,"",_xlfn.RANK.EQ($G218,$G$2:$G$2353,0)+COUNTIF($G$2:G218,$G218)-1)</f>
        <v>1300</v>
      </c>
    </row>
    <row r="219" spans="1:8" x14ac:dyDescent="0.25">
      <c r="A219" t="str">
        <f>"Proving Grounds"</f>
        <v>Proving Grounds</v>
      </c>
      <c r="B219">
        <f>SUMIFS(Colección!$L$2:$L$10001,Colección!$G$2:$G$10001,$A219,Colección!$M$2:$M$10001,"Compra")</f>
        <v>8.16</v>
      </c>
      <c r="C219">
        <f>SUMIFS(Colección!$K$2:$K$10001,Colección!$G$2:$G$10001,$A219,Colección!$M$2:$M$10001,"Compra")</f>
        <v>1</v>
      </c>
      <c r="D219">
        <f>IF($B219=0,"",_xlfn.RANK.EQ($B219,$B$2:$B$321,0)+COUNTIF($B$2:B219,$B219)-1)</f>
        <v>242</v>
      </c>
      <c r="F219" t="str">
        <f>"Borsalino (OP02-114) (V.1)"</f>
        <v>Borsalino (OP02-114) (V.1)</v>
      </c>
      <c r="G219">
        <f>SUMIFS(Colección!$L$2:$L$10001,Colección!$F$2:$F$10001,$F219,Colección!$M$2:$M$10001,"Compra")</f>
        <v>3.7448087431693988</v>
      </c>
      <c r="H219">
        <f>IF($G219=0,"",_xlfn.RANK.EQ($G219,$G$2:$G$2353,0)+COUNTIF($G$2:G219,$G219)-1)</f>
        <v>1087</v>
      </c>
    </row>
    <row r="220" spans="1:8" x14ac:dyDescent="0.25">
      <c r="A220" t="str">
        <f>"Ravnica Allegiance"</f>
        <v>Ravnica Allegiance</v>
      </c>
      <c r="B220">
        <f>SUMIFS(Colección!$L$2:$L$10001,Colección!$G$2:$G$10001,$A220,Colección!$M$2:$M$10001,"Compra")</f>
        <v>34.258360059742131</v>
      </c>
      <c r="C220">
        <f>SUMIFS(Colección!$K$2:$K$10001,Colección!$G$2:$G$10001,$A220,Colección!$M$2:$M$10001,"Compra")</f>
        <v>12</v>
      </c>
      <c r="D220">
        <f>IF($B220=0,"",_xlfn.RANK.EQ($B220,$B$2:$B$321,0)+COUNTIF($B$2:B220,$B220)-1)</f>
        <v>168</v>
      </c>
      <c r="F220" t="str">
        <f>"Borsalino (OP05-051) (V.1)"</f>
        <v>Borsalino (OP05-051) (V.1)</v>
      </c>
      <c r="G220">
        <f>SUMIFS(Colección!$L$2:$L$10001,Colección!$F$2:$F$10001,$F220,Colección!$M$2:$M$10001,"Compra")</f>
        <v>4.5057737512242886</v>
      </c>
      <c r="H220">
        <f>IF($G220=0,"",_xlfn.RANK.EQ($G220,$G$2:$G$2353,0)+COUNTIF($G$2:G220,$G220)-1)</f>
        <v>999</v>
      </c>
    </row>
    <row r="221" spans="1:8" x14ac:dyDescent="0.25">
      <c r="A221" t="str">
        <f>"Ravnica Remastered"</f>
        <v>Ravnica Remastered</v>
      </c>
      <c r="B221">
        <f>SUMIFS(Colección!$L$2:$L$10001,Colección!$G$2:$G$10001,$A221,Colección!$M$2:$M$10001,"Compra")</f>
        <v>90.836363636363643</v>
      </c>
      <c r="C221">
        <f>SUMIFS(Colección!$K$2:$K$10001,Colección!$G$2:$G$10001,$A221,Colección!$M$2:$M$10001,"Compra")</f>
        <v>7</v>
      </c>
      <c r="D221">
        <f>IF($B221=0,"",_xlfn.RANK.EQ($B221,$B$2:$B$321,0)+COUNTIF($B$2:B221,$B221)-1)</f>
        <v>91</v>
      </c>
      <c r="F221" t="str">
        <f>"Boseiju, Who Endures (V.2)"</f>
        <v>Boseiju, Who Endures (V.2)</v>
      </c>
      <c r="G221">
        <f>SUMIFS(Colección!$L$2:$L$10001,Colección!$F$2:$F$10001,$F221,Colección!$M$2:$M$10001,"Compra")</f>
        <v>125.93972602739726</v>
      </c>
      <c r="H221">
        <f>IF($G221=0,"",_xlfn.RANK.EQ($G221,$G$2:$G$2353,0)+COUNTIF($G$2:G221,$G221)-1)</f>
        <v>51</v>
      </c>
    </row>
    <row r="222" spans="1:8" x14ac:dyDescent="0.25">
      <c r="A222" t="str">
        <f>"Ravnica Remastered: Extras"</f>
        <v>Ravnica Remastered: Extras</v>
      </c>
      <c r="B222">
        <f>SUMIFS(Colección!$L$2:$L$10001,Colección!$G$2:$G$10001,$A222,Colección!$M$2:$M$10001,"Compra")</f>
        <v>312.34568783074258</v>
      </c>
      <c r="C222">
        <f>SUMIFS(Colección!$K$2:$K$10001,Colección!$G$2:$G$10001,$A222,Colección!$M$2:$M$10001,"Compra")</f>
        <v>65</v>
      </c>
      <c r="D222">
        <f>IF($B222=0,"",_xlfn.RANK.EQ($B222,$B$2:$B$321,0)+COUNTIF($B$2:B222,$B222)-1)</f>
        <v>28</v>
      </c>
      <c r="F222" t="str">
        <f>"Boseiju, Who Shelters All"</f>
        <v>Boseiju, Who Shelters All</v>
      </c>
      <c r="G222">
        <f>SUMIFS(Colección!$L$2:$L$10001,Colección!$F$2:$F$10001,$F222,Colección!$M$2:$M$10001,"Compra")</f>
        <v>5.72</v>
      </c>
      <c r="H222">
        <f>IF($G222=0,"",_xlfn.RANK.EQ($G222,$G$2:$G$2353,0)+COUNTIF($G$2:G222,$G222)-1)</f>
        <v>912</v>
      </c>
    </row>
    <row r="223" spans="1:8" x14ac:dyDescent="0.25">
      <c r="A223" t="str">
        <f>"Ravnica: City of Guilds"</f>
        <v>Ravnica: City of Guilds</v>
      </c>
      <c r="B223">
        <f>SUMIFS(Colección!$L$2:$L$10001,Colección!$G$2:$G$10001,$A223,Colección!$M$2:$M$10001,"Compra")</f>
        <v>46.499367197848386</v>
      </c>
      <c r="C223">
        <f>SUMIFS(Colección!$K$2:$K$10001,Colección!$G$2:$G$10001,$A223,Colección!$M$2:$M$10001,"Compra")</f>
        <v>6</v>
      </c>
      <c r="D223">
        <f>IF($B223=0,"",_xlfn.RANK.EQ($B223,$B$2:$B$321,0)+COUNTIF($B$2:B223,$B223)-1)</f>
        <v>147</v>
      </c>
      <c r="F223" t="str">
        <f>"Braids, Cabal Minion"</f>
        <v>Braids, Cabal Minion</v>
      </c>
      <c r="G223">
        <f>SUMIFS(Colección!$L$2:$L$10001,Colección!$F$2:$F$10001,$F223,Colección!$M$2:$M$10001,"Compra")</f>
        <v>16.3</v>
      </c>
      <c r="H223">
        <f>IF($G223=0,"",_xlfn.RANK.EQ($G223,$G$2:$G$2353,0)+COUNTIF($G$2:G223,$G223)-1)</f>
        <v>476</v>
      </c>
    </row>
    <row r="224" spans="1:8" x14ac:dyDescent="0.25">
      <c r="A224" t="str">
        <f>"Release Promos"</f>
        <v>Release Promos</v>
      </c>
      <c r="B224">
        <f>SUMIFS(Colección!$L$2:$L$10001,Colección!$G$2:$G$10001,$A224,Colección!$M$2:$M$10001,"Compra")</f>
        <v>21.47</v>
      </c>
      <c r="C224">
        <f>SUMIFS(Colección!$K$2:$K$10001,Colección!$G$2:$G$10001,$A224,Colección!$M$2:$M$10001,"Compra")</f>
        <v>1</v>
      </c>
      <c r="D224">
        <f>IF($B224=0,"",_xlfn.RANK.EQ($B224,$B$2:$B$321,0)+COUNTIF($B$2:B224,$B224)-1)</f>
        <v>201</v>
      </c>
      <c r="F224" t="str">
        <f>"Brainstorm"</f>
        <v>Brainstorm</v>
      </c>
      <c r="G224">
        <f>SUMIFS(Colección!$L$2:$L$10001,Colección!$F$2:$F$10001,$F224,Colección!$M$2:$M$10001,"Compra")</f>
        <v>3.1872186093046522</v>
      </c>
      <c r="H224">
        <f>IF($G224=0,"",_xlfn.RANK.EQ($G224,$G$2:$G$2353,0)+COUNTIF($G$2:G224,$G224)-1)</f>
        <v>1173</v>
      </c>
    </row>
    <row r="225" spans="1:8" x14ac:dyDescent="0.25">
      <c r="A225" t="str">
        <f>"Retro Frame Artifacts"</f>
        <v>Retro Frame Artifacts</v>
      </c>
      <c r="B225">
        <f>SUMIFS(Colección!$L$2:$L$10001,Colección!$G$2:$G$10001,$A225,Colección!$M$2:$M$10001,"Compra")</f>
        <v>161.82690794720648</v>
      </c>
      <c r="C225">
        <f>SUMIFS(Colección!$K$2:$K$10001,Colección!$G$2:$G$10001,$A225,Colección!$M$2:$M$10001,"Compra")</f>
        <v>25</v>
      </c>
      <c r="D225">
        <f>IF($B225=0,"",_xlfn.RANK.EQ($B225,$B$2:$B$321,0)+COUNTIF($B$2:B225,$B225)-1)</f>
        <v>58</v>
      </c>
      <c r="F225" t="str">
        <f>"Brainsurge [Foil]"</f>
        <v>Brainsurge [Foil]</v>
      </c>
      <c r="G225">
        <f>SUMIFS(Colección!$L$2:$L$10001,Colección!$F$2:$F$10001,$F225,Colección!$M$2:$M$10001,"Compra")</f>
        <v>6.5454545454545441</v>
      </c>
      <c r="H225">
        <f>IF($G225=0,"",_xlfn.RANK.EQ($G225,$G$2:$G$2353,0)+COUNTIF($G$2:G225,$G225)-1)</f>
        <v>843</v>
      </c>
    </row>
    <row r="226" spans="1:8" x14ac:dyDescent="0.25">
      <c r="A226" t="str">
        <f>"Return to Ravnica"</f>
        <v>Return to Ravnica</v>
      </c>
      <c r="B226">
        <f>SUMIFS(Colección!$L$2:$L$10001,Colección!$G$2:$G$10001,$A226,Colección!$M$2:$M$10001,"Compra")</f>
        <v>166.3861810862046</v>
      </c>
      <c r="C226">
        <f>SUMIFS(Colección!$K$2:$K$10001,Colección!$G$2:$G$10001,$A226,Colección!$M$2:$M$10001,"Compra")</f>
        <v>18</v>
      </c>
      <c r="D226">
        <f>IF($B226=0,"",_xlfn.RANK.EQ($B226,$B$2:$B$321,0)+COUNTIF($B$2:B226,$B226)-1)</f>
        <v>55</v>
      </c>
      <c r="F226" t="str">
        <f>"Brannew (OP03-089)"</f>
        <v>Brannew (OP03-089)</v>
      </c>
      <c r="G226">
        <f>SUMIFS(Colección!$L$2:$L$10001,Colección!$F$2:$F$10001,$F226,Colección!$M$2:$M$10001,"Compra")</f>
        <v>0.40457364341085272</v>
      </c>
      <c r="H226">
        <f>IF($G226=0,"",_xlfn.RANK.EQ($G226,$G$2:$G$2353,0)+COUNTIF($G$2:G226,$G226)-1)</f>
        <v>1949</v>
      </c>
    </row>
    <row r="227" spans="1:8" x14ac:dyDescent="0.25">
      <c r="A227" t="str">
        <f>"Revised"</f>
        <v>Revised</v>
      </c>
      <c r="B227">
        <f>SUMIFS(Colección!$L$2:$L$10001,Colección!$G$2:$G$10001,$A227,Colección!$M$2:$M$10001,"Compra")</f>
        <v>1025</v>
      </c>
      <c r="C227">
        <f>SUMIFS(Colección!$K$2:$K$10001,Colección!$G$2:$G$10001,$A227,Colección!$M$2:$M$10001,"Compra")</f>
        <v>3</v>
      </c>
      <c r="D227">
        <f>IF($B227=0,"",_xlfn.RANK.EQ($B227,$B$2:$B$321,0)+COUNTIF($B$2:B227,$B227)-1)</f>
        <v>8</v>
      </c>
      <c r="F227" t="str">
        <f>"Brazen Borrower // Petty Theft"</f>
        <v>Brazen Borrower // Petty Theft</v>
      </c>
      <c r="G227">
        <f>SUMIFS(Colección!$L$2:$L$10001,Colección!$F$2:$F$10001,$F227,Colección!$M$2:$M$10001,"Compra")</f>
        <v>9.1635220125786159</v>
      </c>
      <c r="H227">
        <f>IF($G227=0,"",_xlfn.RANK.EQ($G227,$G$2:$G$2353,0)+COUNTIF($G$2:G227,$G227)-1)</f>
        <v>698</v>
      </c>
    </row>
    <row r="228" spans="1:8" x14ac:dyDescent="0.25">
      <c r="A228" t="str">
        <f>"Rise of the Eldrazi"</f>
        <v>Rise of the Eldrazi</v>
      </c>
      <c r="B228">
        <f>SUMIFS(Colección!$L$2:$L$10001,Colección!$G$2:$G$10001,$A228,Colección!$M$2:$M$10001,"Compra")</f>
        <v>37.768235294117645</v>
      </c>
      <c r="C228">
        <f>SUMIFS(Colección!$K$2:$K$10001,Colección!$G$2:$G$10001,$A228,Colección!$M$2:$M$10001,"Compra")</f>
        <v>3</v>
      </c>
      <c r="D228">
        <f>IF($B228=0,"",_xlfn.RANK.EQ($B228,$B$2:$B$321,0)+COUNTIF($B$2:B228,$B228)-1)</f>
        <v>162</v>
      </c>
      <c r="F228" t="str">
        <f>"Brazen Borrower // Petty Theft (V.2)"</f>
        <v>Brazen Borrower // Petty Theft (V.2)</v>
      </c>
      <c r="G228">
        <f>SUMIFS(Colección!$L$2:$L$10001,Colección!$F$2:$F$10001,$F228,Colección!$M$2:$M$10001,"Compra")</f>
        <v>13.65</v>
      </c>
      <c r="H228">
        <f>IF($G228=0,"",_xlfn.RANK.EQ($G228,$G$2:$G$2353,0)+COUNTIF($G$2:G228,$G228)-1)</f>
        <v>535</v>
      </c>
    </row>
    <row r="229" spans="1:8" x14ac:dyDescent="0.25">
      <c r="A229" t="str">
        <f>"Rivals of Ixalan"</f>
        <v>Rivals of Ixalan</v>
      </c>
      <c r="B229">
        <f>SUMIFS(Colección!$L$2:$L$10001,Colección!$G$2:$G$10001,$A229,Colección!$M$2:$M$10001,"Compra")</f>
        <v>5.3161913397534377</v>
      </c>
      <c r="C229">
        <f>SUMIFS(Colección!$K$2:$K$10001,Colección!$G$2:$G$10001,$A229,Colección!$M$2:$M$10001,"Compra")</f>
        <v>12</v>
      </c>
      <c r="D229">
        <f>IF($B229=0,"",_xlfn.RANK.EQ($B229,$B$2:$B$321,0)+COUNTIF($B$2:B229,$B229)-1)</f>
        <v>265</v>
      </c>
      <c r="F229" t="str">
        <f>"Break the Ice"</f>
        <v>Break the Ice</v>
      </c>
      <c r="G229">
        <f>SUMIFS(Colección!$L$2:$L$10001,Colección!$F$2:$F$10001,$F229,Colección!$M$2:$M$10001,"Compra")</f>
        <v>0.85925925925925917</v>
      </c>
      <c r="H229">
        <f>IF($G229=0,"",_xlfn.RANK.EQ($G229,$G$2:$G$2353,0)+COUNTIF($G$2:G229,$G229)-1)</f>
        <v>1693</v>
      </c>
    </row>
    <row r="230" spans="1:8" x14ac:dyDescent="0.25">
      <c r="A230" t="str">
        <f>"Romance Dawn"</f>
        <v>Romance Dawn</v>
      </c>
      <c r="B230">
        <f>SUMIFS(Colección!$L$2:$L$10001,Colección!$G$2:$G$10001,$A230,Colección!$M$2:$M$10001,"Compra")</f>
        <v>28.8506149920984</v>
      </c>
      <c r="C230">
        <f>SUMIFS(Colección!$K$2:$K$10001,Colección!$G$2:$G$10001,$A230,Colección!$M$2:$M$10001,"Compra")</f>
        <v>12</v>
      </c>
      <c r="D230">
        <f>IF($B230=0,"",_xlfn.RANK.EQ($B230,$B$2:$B$321,0)+COUNTIF($B$2:B230,$B230)-1)</f>
        <v>176</v>
      </c>
      <c r="F230" t="str">
        <f>"Breeding Pool"</f>
        <v>Breeding Pool</v>
      </c>
      <c r="G230">
        <f>SUMIFS(Colección!$L$2:$L$10001,Colección!$F$2:$F$10001,$F230,Colección!$M$2:$M$10001,"Compra")</f>
        <v>16.170000000000002</v>
      </c>
      <c r="H230">
        <f>IF($G230=0,"",_xlfn.RANK.EQ($G230,$G$2:$G$2353,0)+COUNTIF($G$2:G230,$G230)-1)</f>
        <v>480</v>
      </c>
    </row>
    <row r="231" spans="1:8" x14ac:dyDescent="0.25">
      <c r="A231" t="str">
        <f>"Ruby"</f>
        <v>Ruby</v>
      </c>
      <c r="B231">
        <f>SUMIFS(Colección!$L$2:$L$10001,Colección!$G$2:$G$10001,$A231,Colección!$M$2:$M$10001,"Compra")</f>
        <v>6.243243243243243</v>
      </c>
      <c r="C231">
        <f>SUMIFS(Colección!$K$2:$K$10001,Colección!$G$2:$G$10001,$A231,Colección!$M$2:$M$10001,"Compra")</f>
        <v>1</v>
      </c>
      <c r="D231">
        <f>IF($B231=0,"",_xlfn.RANK.EQ($B231,$B$2:$B$321,0)+COUNTIF($B$2:B231,$B231)-1)</f>
        <v>257</v>
      </c>
      <c r="F231" t="str">
        <f>"Brightglass Gearhulk"</f>
        <v>Brightglass Gearhulk</v>
      </c>
      <c r="G231">
        <f>SUMIFS(Colección!$L$2:$L$10001,Colección!$F$2:$F$10001,$F231,Colección!$M$2:$M$10001,"Compra")</f>
        <v>96.62</v>
      </c>
      <c r="H231">
        <f>IF($G231=0,"",_xlfn.RANK.EQ($G231,$G$2:$G$2353,0)+COUNTIF($G$2:G231,$G231)-1)</f>
        <v>79</v>
      </c>
    </row>
    <row r="232" spans="1:8" x14ac:dyDescent="0.25">
      <c r="A232" t="str">
        <f>"Sapphire"</f>
        <v>Sapphire</v>
      </c>
      <c r="B232">
        <f>SUMIFS(Colección!$L$2:$L$10001,Colección!$G$2:$G$10001,$A232,Colección!$M$2:$M$10001,"Compra")</f>
        <v>6.4639352758263273</v>
      </c>
      <c r="C232">
        <f>SUMIFS(Colección!$K$2:$K$10001,Colección!$G$2:$G$10001,$A232,Colección!$M$2:$M$10001,"Compra")</f>
        <v>1</v>
      </c>
      <c r="D232">
        <f>IF($B232=0,"",_xlfn.RANK.EQ($B232,$B$2:$B$321,0)+COUNTIF($B$2:B232,$B232)-1)</f>
        <v>254</v>
      </c>
      <c r="F232" t="str">
        <f>"Brinebarrow Intruder"</f>
        <v>Brinebarrow Intruder</v>
      </c>
      <c r="G232">
        <f>SUMIFS(Colección!$L$2:$L$10001,Colección!$F$2:$F$10001,$F232,Colección!$M$2:$M$10001,"Compra")</f>
        <v>0.64235294117647079</v>
      </c>
      <c r="H232">
        <f>IF($G232=0,"",_xlfn.RANK.EQ($G232,$G$2:$G$2353,0)+COUNTIF($G$2:G232,$G232)-1)</f>
        <v>1796</v>
      </c>
    </row>
    <row r="233" spans="1:8" x14ac:dyDescent="0.25">
      <c r="A233" t="str">
        <f>"Scars of Mirrodin"</f>
        <v>Scars of Mirrodin</v>
      </c>
      <c r="B233">
        <f>SUMIFS(Colección!$L$2:$L$10001,Colección!$G$2:$G$10001,$A233,Colección!$M$2:$M$10001,"Compra")</f>
        <v>352.07018272207353</v>
      </c>
      <c r="C233">
        <f>SUMIFS(Colección!$K$2:$K$10001,Colección!$G$2:$G$10001,$A233,Colección!$M$2:$M$10001,"Compra")</f>
        <v>29</v>
      </c>
      <c r="D233">
        <f>IF($B233=0,"",_xlfn.RANK.EQ($B233,$B$2:$B$321,0)+COUNTIF($B$2:B233,$B233)-1)</f>
        <v>23</v>
      </c>
      <c r="F233" t="str">
        <f>"Broadside Barrage"</f>
        <v>Broadside Barrage</v>
      </c>
      <c r="G233">
        <f>SUMIFS(Colección!$L$2:$L$10001,Colección!$F$2:$F$10001,$F233,Colección!$M$2:$M$10001,"Compra")</f>
        <v>1.1240458015267176</v>
      </c>
      <c r="H233">
        <f>IF($G233=0,"",_xlfn.RANK.EQ($G233,$G$2:$G$2353,0)+COUNTIF($G$2:G233,$G233)-1)</f>
        <v>1589</v>
      </c>
    </row>
    <row r="234" spans="1:8" x14ac:dyDescent="0.25">
      <c r="A234" t="str">
        <f>"Scourge"</f>
        <v>Scourge</v>
      </c>
      <c r="B234">
        <f>SUMIFS(Colección!$L$2:$L$10001,Colección!$G$2:$G$10001,$A234,Colección!$M$2:$M$10001,"Compra")</f>
        <v>253.42287589666651</v>
      </c>
      <c r="C234">
        <f>SUMIFS(Colección!$K$2:$K$10001,Colección!$G$2:$G$10001,$A234,Colección!$M$2:$M$10001,"Compra")</f>
        <v>25</v>
      </c>
      <c r="D234">
        <f>IF($B234=0,"",_xlfn.RANK.EQ($B234,$B$2:$B$321,0)+COUNTIF($B$2:B234,$B234)-1)</f>
        <v>33</v>
      </c>
      <c r="F234" t="str">
        <f>"Broadside Bombardiers"</f>
        <v>Broadside Bombardiers</v>
      </c>
      <c r="G234">
        <f>SUMIFS(Colección!$L$2:$L$10001,Colección!$F$2:$F$10001,$F234,Colección!$M$2:$M$10001,"Compra")</f>
        <v>51.109134964865518</v>
      </c>
      <c r="H234">
        <f>IF($G234=0,"",_xlfn.RANK.EQ($G234,$G$2:$G$2353,0)+COUNTIF($G$2:G234,$G234)-1)</f>
        <v>171</v>
      </c>
    </row>
    <row r="235" spans="1:8" x14ac:dyDescent="0.25">
      <c r="A235" t="str">
        <f>"Secret Lair Commander Deck: Raining Cats"</f>
        <v>Secret Lair Commander Deck: Raining Cats</v>
      </c>
      <c r="B235">
        <f>SUMIFS(Colección!$L$2:$L$10001,Colección!$G$2:$G$10001,$A235,Colección!$M$2:$M$10001,"Compra")</f>
        <v>1.42875</v>
      </c>
      <c r="C235">
        <f>SUMIFS(Colección!$K$2:$K$10001,Colección!$G$2:$G$10001,$A235,Colección!$M$2:$M$10001,"Compra")</f>
        <v>1</v>
      </c>
      <c r="D235">
        <f>IF($B235=0,"",_xlfn.RANK.EQ($B235,$B$2:$B$321,0)+COUNTIF($B$2:B235,$B235)-1)</f>
        <v>297</v>
      </c>
      <c r="F235" t="str">
        <f>"Brokers Charm (V.1)"</f>
        <v>Brokers Charm (V.1)</v>
      </c>
      <c r="G235">
        <f>SUMIFS(Colección!$L$2:$L$10001,Colección!$F$2:$F$10001,$F235,Colección!$M$2:$M$10001,"Compra")</f>
        <v>2.1</v>
      </c>
      <c r="H235">
        <f>IF($G235=0,"",_xlfn.RANK.EQ($G235,$G$2:$G$2353,0)+COUNTIF($G$2:G235,$G235)-1)</f>
        <v>1344</v>
      </c>
    </row>
    <row r="236" spans="1:8" x14ac:dyDescent="0.25">
      <c r="A236" t="str">
        <f>"Secret Lair Drop Series"</f>
        <v>Secret Lair Drop Series</v>
      </c>
      <c r="B236">
        <f>SUMIFS(Colección!$L$2:$L$10001,Colección!$G$2:$G$10001,$A236,Colección!$M$2:$M$10001,"Compra")</f>
        <v>55.300532659409015</v>
      </c>
      <c r="C236">
        <f>SUMIFS(Colección!$K$2:$K$10001,Colección!$G$2:$G$10001,$A236,Colección!$M$2:$M$10001,"Compra")</f>
        <v>7</v>
      </c>
      <c r="D236">
        <f>IF($B236=0,"",_xlfn.RANK.EQ($B236,$B$2:$B$321,0)+COUNTIF($B$2:B236,$B236)-1)</f>
        <v>136</v>
      </c>
      <c r="F236" t="str">
        <f>"Brotherhood's End"</f>
        <v>Brotherhood's End</v>
      </c>
      <c r="G236">
        <f>SUMIFS(Colección!$L$2:$L$10001,Colección!$F$2:$F$10001,$F236,Colección!$M$2:$M$10001,"Compra")</f>
        <v>7.9177777777777774</v>
      </c>
      <c r="H236">
        <f>IF($G236=0,"",_xlfn.RANK.EQ($G236,$G$2:$G$2353,0)+COUNTIF($G$2:G236,$G236)-1)</f>
        <v>754</v>
      </c>
    </row>
    <row r="237" spans="1:8" x14ac:dyDescent="0.25">
      <c r="A237" t="str">
        <f>"Secret Lair Drop Series: 30th Anniversa"</f>
        <v>Secret Lair Drop Series: 30th Anniversa</v>
      </c>
      <c r="B237">
        <f>SUMIFS(Colección!$L$2:$L$10001,Colección!$G$2:$G$10001,$A237,Colección!$M$2:$M$10001,"Compra")</f>
        <v>3.597591973244147</v>
      </c>
      <c r="C237">
        <f>SUMIFS(Colección!$K$2:$K$10001,Colección!$G$2:$G$10001,$A237,Colección!$M$2:$M$10001,"Compra")</f>
        <v>1</v>
      </c>
      <c r="D237">
        <f>IF($B237=0,"",_xlfn.RANK.EQ($B237,$B$2:$B$321,0)+COUNTIF($B$2:B237,$B237)-1)</f>
        <v>273</v>
      </c>
      <c r="F237" t="str">
        <f>"Brutalizer"</f>
        <v>Brutalizer</v>
      </c>
      <c r="G237">
        <f>SUMIFS(Colección!$L$2:$L$10001,Colección!$F$2:$F$10001,$F237,Colección!$M$2:$M$10001,"Compra")</f>
        <v>4.7499999999999991</v>
      </c>
      <c r="H237">
        <f>IF($G237=0,"",_xlfn.RANK.EQ($G237,$G$2:$G$2353,0)+COUNTIF($G$2:G237,$G237)-1)</f>
        <v>983</v>
      </c>
    </row>
    <row r="238" spans="1:8" x14ac:dyDescent="0.25">
      <c r="A238" t="str">
        <f>"Secret Lair Drop Series: 30th Anniversary Countdown"</f>
        <v>Secret Lair Drop Series: 30th Anniversary Countdown</v>
      </c>
      <c r="B238">
        <f>SUMIFS(Colección!$L$2:$L$10001,Colección!$G$2:$G$10001,$A238,Colección!$M$2:$M$10001,"Compra")</f>
        <v>315.49</v>
      </c>
      <c r="C238">
        <f>SUMIFS(Colección!$K$2:$K$10001,Colección!$G$2:$G$10001,$A238,Colección!$M$2:$M$10001,"Compra")</f>
        <v>4</v>
      </c>
      <c r="D238">
        <f>IF($B238=0,"",_xlfn.RANK.EQ($B238,$B$2:$B$321,0)+COUNTIF($B$2:B238,$B238)-1)</f>
        <v>27</v>
      </c>
      <c r="F238" t="str">
        <f>"Buchi (OP03-034)"</f>
        <v>Buchi (OP03-034)</v>
      </c>
      <c r="G238">
        <f>SUMIFS(Colección!$L$2:$L$10001,Colección!$F$2:$F$10001,$F238,Colección!$M$2:$M$10001,"Compra")</f>
        <v>0.22608527131782949</v>
      </c>
      <c r="H238">
        <f>IF($G238=0,"",_xlfn.RANK.EQ($G238,$G$2:$G$2353,0)+COUNTIF($G$2:G238,$G238)-1)</f>
        <v>2057</v>
      </c>
    </row>
    <row r="239" spans="1:8" x14ac:dyDescent="0.25">
      <c r="A239" t="str">
        <f>"Secret Lair Drop Series: April Superdrop 2022"</f>
        <v>Secret Lair Drop Series: April Superdrop 2022</v>
      </c>
      <c r="B239">
        <f>SUMIFS(Colección!$L$2:$L$10001,Colección!$G$2:$G$10001,$A239,Colección!$M$2:$M$10001,"Compra")</f>
        <v>28.521608280254775</v>
      </c>
      <c r="C239">
        <f>SUMIFS(Colección!$K$2:$K$10001,Colección!$G$2:$G$10001,$A239,Colección!$M$2:$M$10001,"Compra")</f>
        <v>4</v>
      </c>
      <c r="D239">
        <f>IF($B239=0,"",_xlfn.RANK.EQ($B239,$B$2:$B$321,0)+COUNTIF($B$2:B239,$B239)-1)</f>
        <v>177</v>
      </c>
      <c r="F239" t="str">
        <f>"Buffalo (OP05-031)"</f>
        <v>Buffalo (OP05-031)</v>
      </c>
      <c r="G239">
        <f>SUMIFS(Colección!$L$2:$L$10001,Colección!$F$2:$F$10001,$F239,Colección!$M$2:$M$10001,"Compra")</f>
        <v>6.7654260528893242E-2</v>
      </c>
      <c r="H239">
        <f>IF($G239=0,"",_xlfn.RANK.EQ($G239,$G$2:$G$2353,0)+COUNTIF($G$2:G239,$G239)-1)</f>
        <v>2236</v>
      </c>
    </row>
    <row r="240" spans="1:8" x14ac:dyDescent="0.25">
      <c r="A240" t="str">
        <f>"Secret Lair Drop Series: December Super"</f>
        <v>Secret Lair Drop Series: December Super</v>
      </c>
      <c r="B240">
        <f>SUMIFS(Colección!$L$2:$L$10001,Colección!$G$2:$G$10001,$A240,Colección!$M$2:$M$10001,"Compra")</f>
        <v>103.3336356986101</v>
      </c>
      <c r="C240">
        <f>SUMIFS(Colección!$K$2:$K$10001,Colección!$G$2:$G$10001,$A240,Colección!$M$2:$M$10001,"Compra")</f>
        <v>4</v>
      </c>
      <c r="D240">
        <f>IF($B240=0,"",_xlfn.RANK.EQ($B240,$B$2:$B$321,0)+COUNTIF($B$2:B240,$B240)-1)</f>
        <v>79</v>
      </c>
      <c r="F240" t="str">
        <f>"Buggy (OP03-008)"</f>
        <v>Buggy (OP03-008)</v>
      </c>
      <c r="G240">
        <f>SUMIFS(Colección!$L$2:$L$10001,Colección!$F$2:$F$10001,$F240,Colección!$M$2:$M$10001,"Compra")</f>
        <v>0.2855813953488372</v>
      </c>
      <c r="H240">
        <f>IF($G240=0,"",_xlfn.RANK.EQ($G240,$G$2:$G$2353,0)+COUNTIF($G$2:G240,$G240)-1)</f>
        <v>2008</v>
      </c>
    </row>
    <row r="241" spans="1:8" x14ac:dyDescent="0.25">
      <c r="A241" t="str">
        <f>"Secret Lair Drop Series: February Superdrop 2022"</f>
        <v>Secret Lair Drop Series: February Superdrop 2022</v>
      </c>
      <c r="B241">
        <f>SUMIFS(Colección!$L$2:$L$10001,Colección!$G$2:$G$10001,$A241,Colección!$M$2:$M$10001,"Compra")</f>
        <v>5.317241379310345</v>
      </c>
      <c r="C241">
        <f>SUMIFS(Colección!$K$2:$K$10001,Colección!$G$2:$G$10001,$A241,Colección!$M$2:$M$10001,"Compra")</f>
        <v>1</v>
      </c>
      <c r="D241">
        <f>IF($B241=0,"",_xlfn.RANK.EQ($B241,$B$2:$B$321,0)+COUNTIF($B$2:B241,$B241)-1)</f>
        <v>264</v>
      </c>
      <c r="F241" t="str">
        <f>"Buggy (OP03-032)"</f>
        <v>Buggy (OP03-032)</v>
      </c>
      <c r="G241">
        <f>SUMIFS(Colección!$L$2:$L$10001,Colección!$F$2:$F$10001,$F241,Colección!$M$2:$M$10001,"Compra")</f>
        <v>0.1427906976744186</v>
      </c>
      <c r="H241">
        <f>IF($G241=0,"",_xlfn.RANK.EQ($G241,$G$2:$G$2353,0)+COUNTIF($G$2:G241,$G241)-1)</f>
        <v>2120</v>
      </c>
    </row>
    <row r="242" spans="1:8" x14ac:dyDescent="0.25">
      <c r="A242" t="str">
        <f>"Secret Lair Drop Series: October Superdrop"</f>
        <v>Secret Lair Drop Series: October Superdrop</v>
      </c>
      <c r="B242">
        <f>SUMIFS(Colección!$L$2:$L$10001,Colección!$G$2:$G$10001,$A242,Colección!$M$2:$M$10001,"Compra")</f>
        <v>19.329999999999998</v>
      </c>
      <c r="C242">
        <f>SUMIFS(Colección!$K$2:$K$10001,Colección!$G$2:$G$10001,$A242,Colección!$M$2:$M$10001,"Compra")</f>
        <v>1</v>
      </c>
      <c r="D242">
        <f>IF($B242=0,"",_xlfn.RANK.EQ($B242,$B$2:$B$321,0)+COUNTIF($B$2:B242,$B242)-1)</f>
        <v>208</v>
      </c>
      <c r="F242" t="str">
        <f>"Bunny Joe (OP05-013)"</f>
        <v>Bunny Joe (OP05-013)</v>
      </c>
      <c r="G242">
        <f>SUMIFS(Colección!$L$2:$L$10001,Colección!$F$2:$F$10001,$F242,Colección!$M$2:$M$10001,"Compra")</f>
        <v>8.1185112634671888E-2</v>
      </c>
      <c r="H242">
        <f>IF($G242=0,"",_xlfn.RANK.EQ($G242,$G$2:$G$2353,0)+COUNTIF($G$2:G242,$G242)-1)</f>
        <v>2223</v>
      </c>
    </row>
    <row r="243" spans="1:8" x14ac:dyDescent="0.25">
      <c r="A243" t="str">
        <f>"Secret Lair Drop Series: Out of Time Super"</f>
        <v>Secret Lair Drop Series: Out of Time Super</v>
      </c>
      <c r="B243">
        <f>SUMIFS(Colección!$L$2:$L$10001,Colección!$G$2:$G$10001,$A243,Colección!$M$2:$M$10001,"Compra")</f>
        <v>81.430000000000007</v>
      </c>
      <c r="C243">
        <f>SUMIFS(Colección!$K$2:$K$10001,Colección!$G$2:$G$10001,$A243,Colección!$M$2:$M$10001,"Compra")</f>
        <v>4</v>
      </c>
      <c r="D243">
        <f>IF($B243=0,"",_xlfn.RANK.EQ($B243,$B$2:$B$321,0)+COUNTIF($B$2:B243,$B243)-1)</f>
        <v>101</v>
      </c>
      <c r="F243" t="str">
        <f>"Buried Alive"</f>
        <v>Buried Alive</v>
      </c>
      <c r="G243">
        <f>SUMIFS(Colección!$L$2:$L$10001,Colección!$F$2:$F$10001,$F243,Colección!$M$2:$M$10001,"Compra")</f>
        <v>3.8063348416289595</v>
      </c>
      <c r="H243">
        <f>IF($G243=0,"",_xlfn.RANK.EQ($G243,$G$2:$G$2353,0)+COUNTIF($G$2:G243,$G243)-1)</f>
        <v>1082</v>
      </c>
    </row>
    <row r="244" spans="1:8" x14ac:dyDescent="0.25">
      <c r="A244" t="str">
        <f>"Secrets of Strixhaven"</f>
        <v>Secrets of Strixhaven</v>
      </c>
      <c r="B244">
        <f>SUMIFS(Colección!$L$2:$L$10001,Colección!$G$2:$G$10001,$A244,Colección!$M$2:$M$10001,"Compra")</f>
        <v>21.37</v>
      </c>
      <c r="C244">
        <f>SUMIFS(Colección!$K$2:$K$10001,Colección!$G$2:$G$10001,$A244,Colección!$M$2:$M$10001,"Compra")</f>
        <v>4</v>
      </c>
      <c r="D244">
        <f>IF($B244=0,"",_xlfn.RANK.EQ($B244,$B$2:$B$321,0)+COUNTIF($B$2:B244,$B244)-1)</f>
        <v>203</v>
      </c>
      <c r="F244" t="str">
        <f>"Burning Inquiry"</f>
        <v>Burning Inquiry</v>
      </c>
      <c r="G244">
        <f>SUMIFS(Colección!$L$2:$L$10001,Colección!$F$2:$F$10001,$F244,Colección!$M$2:$M$10001,"Compra")</f>
        <v>10.722308657465495</v>
      </c>
      <c r="H244">
        <f>IF($G244=0,"",_xlfn.RANK.EQ($G244,$G$2:$G$2353,0)+COUNTIF($G$2:G244,$G244)-1)</f>
        <v>634</v>
      </c>
    </row>
    <row r="245" spans="1:8" x14ac:dyDescent="0.25">
      <c r="A245" t="str">
        <f>"Secrets of Strixhaven: Extras"</f>
        <v>Secrets of Strixhaven: Extras</v>
      </c>
      <c r="B245">
        <f>SUMIFS(Colección!$L$2:$L$10001,Colección!$G$2:$G$10001,$A245,Colección!$M$2:$M$10001,"Compra")</f>
        <v>34.743850267379671</v>
      </c>
      <c r="C245">
        <f>SUMIFS(Colección!$K$2:$K$10001,Colección!$G$2:$G$10001,$A245,Colección!$M$2:$M$10001,"Compra")</f>
        <v>11</v>
      </c>
      <c r="D245">
        <f>IF($B245=0,"",_xlfn.RANK.EQ($B245,$B$2:$B$321,0)+COUNTIF($B$2:B245,$B245)-1)</f>
        <v>167</v>
      </c>
      <c r="F245" t="str">
        <f>"Buzz Cut Mochi (OP03-119)"</f>
        <v>Buzz Cut Mochi (OP03-119)</v>
      </c>
      <c r="G245">
        <f>SUMIFS(Colección!$L$2:$L$10001,Colección!$F$2:$F$10001,$F245,Colección!$M$2:$M$10001,"Compra")</f>
        <v>0.46406976744186051</v>
      </c>
      <c r="H245">
        <f>IF($G245=0,"",_xlfn.RANK.EQ($G245,$G$2:$G$2353,0)+COUNTIF($G$2:G245,$G245)-1)</f>
        <v>1908</v>
      </c>
    </row>
    <row r="246" spans="1:8" x14ac:dyDescent="0.25">
      <c r="A246" t="str">
        <f>"Secrets of Strixhaven: Mystical Archive"</f>
        <v>Secrets of Strixhaven: Mystical Archive</v>
      </c>
      <c r="B246">
        <f>SUMIFS(Colección!$L$2:$L$10001,Colección!$G$2:$G$10001,$A246,Colección!$M$2:$M$10001,"Compra")</f>
        <v>6.3900000000000006</v>
      </c>
      <c r="C246">
        <f>SUMIFS(Colección!$K$2:$K$10001,Colección!$G$2:$G$10001,$A246,Colección!$M$2:$M$10001,"Compra")</f>
        <v>1</v>
      </c>
      <c r="D246">
        <f>IF($B246=0,"",_xlfn.RANK.EQ($B246,$B$2:$B$321,0)+COUNTIF($B$2:B246,$B246)-1)</f>
        <v>255</v>
      </c>
      <c r="F246" t="str">
        <f>"Cabal Therapy"</f>
        <v>Cabal Therapy</v>
      </c>
      <c r="G246">
        <f>SUMIFS(Colección!$L$2:$L$10001,Colección!$F$2:$F$10001,$F246,Colección!$M$2:$M$10001,"Compra")</f>
        <v>22.690909090909091</v>
      </c>
      <c r="H246">
        <f>IF($G246=0,"",_xlfn.RANK.EQ($G246,$G$2:$G$2353,0)+COUNTIF($G$2:G246,$G246)-1)</f>
        <v>346</v>
      </c>
    </row>
    <row r="247" spans="1:8" x14ac:dyDescent="0.25">
      <c r="A247" t="str">
        <f>"Shadowmoor"</f>
        <v>Shadowmoor</v>
      </c>
      <c r="B247">
        <f>SUMIFS(Colección!$L$2:$L$10001,Colección!$G$2:$G$10001,$A247,Colección!$M$2:$M$10001,"Compra")</f>
        <v>46.895492957746484</v>
      </c>
      <c r="C247">
        <f>SUMIFS(Colección!$K$2:$K$10001,Colección!$G$2:$G$10001,$A247,Colección!$M$2:$M$10001,"Compra")</f>
        <v>10</v>
      </c>
      <c r="D247">
        <f>IF($B247=0,"",_xlfn.RANK.EQ($B247,$B$2:$B$321,0)+COUNTIF($B$2:B247,$B247)-1)</f>
        <v>146</v>
      </c>
      <c r="F247" t="str">
        <f>"Calamity, Galloping Inferno"</f>
        <v>Calamity, Galloping Inferno</v>
      </c>
      <c r="G247">
        <f>SUMIFS(Colección!$L$2:$L$10001,Colección!$F$2:$F$10001,$F247,Colección!$M$2:$M$10001,"Compra")</f>
        <v>0.94182361733931241</v>
      </c>
      <c r="H247">
        <f>IF($G247=0,"",_xlfn.RANK.EQ($G247,$G$2:$G$2353,0)+COUNTIF($G$2:G247,$G247)-1)</f>
        <v>1676</v>
      </c>
    </row>
    <row r="248" spans="1:8" x14ac:dyDescent="0.25">
      <c r="A248" t="str">
        <f>"Shadows over Innistrad"</f>
        <v>Shadows over Innistrad</v>
      </c>
      <c r="B248">
        <f>SUMIFS(Colección!$L$2:$L$10001,Colección!$G$2:$G$10001,$A248,Colección!$M$2:$M$10001,"Compra")</f>
        <v>22.922422780248546</v>
      </c>
      <c r="C248">
        <f>SUMIFS(Colección!$K$2:$K$10001,Colección!$G$2:$G$10001,$A248,Colección!$M$2:$M$10001,"Compra")</f>
        <v>15</v>
      </c>
      <c r="D248">
        <f>IF($B248=0,"",_xlfn.RANK.EQ($B248,$B$2:$B$321,0)+COUNTIF($B$2:B248,$B248)-1)</f>
        <v>197</v>
      </c>
      <c r="F248" t="str">
        <f>"Call of the Herd"</f>
        <v>Call of the Herd</v>
      </c>
      <c r="G248">
        <f>SUMIFS(Colección!$L$2:$L$10001,Colección!$F$2:$F$10001,$F248,Colección!$M$2:$M$10001,"Compra")</f>
        <v>21.81818181818182</v>
      </c>
      <c r="H248">
        <f>IF($G248=0,"",_xlfn.RANK.EQ($G248,$G$2:$G$2353,0)+COUNTIF($G$2:G248,$G248)-1)</f>
        <v>360</v>
      </c>
    </row>
    <row r="249" spans="1:8" x14ac:dyDescent="0.25">
      <c r="A249" t="str">
        <f>"Shards of Alara"</f>
        <v>Shards of Alara</v>
      </c>
      <c r="B249">
        <f>SUMIFS(Colección!$L$2:$L$10001,Colección!$G$2:$G$10001,$A249,Colección!$M$2:$M$10001,"Compra")</f>
        <v>6.484404954858193</v>
      </c>
      <c r="C249">
        <f>SUMIFS(Colección!$K$2:$K$10001,Colección!$G$2:$G$10001,$A249,Colección!$M$2:$M$10001,"Compra")</f>
        <v>5</v>
      </c>
      <c r="D249">
        <f>IF($B249=0,"",_xlfn.RANK.EQ($B249,$B$2:$B$321,0)+COUNTIF($B$2:B249,$B249)-1)</f>
        <v>253</v>
      </c>
      <c r="F249" t="str">
        <f>"Call of the Ring"</f>
        <v>Call of the Ring</v>
      </c>
      <c r="G249">
        <f>SUMIFS(Colección!$L$2:$L$10001,Colección!$F$2:$F$10001,$F249,Colección!$M$2:$M$10001,"Compra")</f>
        <v>9.6186838464200317</v>
      </c>
      <c r="H249">
        <f>IF($G249=0,"",_xlfn.RANK.EQ($G249,$G$2:$G$2353,0)+COUNTIF($G$2:G249,$G249)-1)</f>
        <v>679</v>
      </c>
    </row>
    <row r="250" spans="1:8" x14ac:dyDescent="0.25">
      <c r="A250" t="str">
        <f>"Signature Spellbook: Jace"</f>
        <v>Signature Spellbook: Jace</v>
      </c>
      <c r="B250">
        <f>SUMIFS(Colección!$L$2:$L$10001,Colección!$G$2:$G$10001,$A250,Colección!$M$2:$M$10001,"Compra")</f>
        <v>3.1872186093046522</v>
      </c>
      <c r="C250">
        <f>SUMIFS(Colección!$K$2:$K$10001,Colección!$G$2:$G$10001,$A250,Colección!$M$2:$M$10001,"Compra")</f>
        <v>4</v>
      </c>
      <c r="D250">
        <f>IF($B250=0,"",_xlfn.RANK.EQ($B250,$B$2:$B$321,0)+COUNTIF($B$2:B250,$B250)-1)</f>
        <v>276</v>
      </c>
      <c r="F250" t="str">
        <f>"Caller of the Claw"</f>
        <v>Caller of the Claw</v>
      </c>
      <c r="G250">
        <f>SUMIFS(Colección!$L$2:$L$10001,Colección!$F$2:$F$10001,$F250,Colección!$M$2:$M$10001,"Compra")</f>
        <v>2.1818181818181821</v>
      </c>
      <c r="H250">
        <f>IF($G250=0,"",_xlfn.RANK.EQ($G250,$G$2:$G$2353,0)+COUNTIF($G$2:G250,$G250)-1)</f>
        <v>1319</v>
      </c>
    </row>
    <row r="251" spans="1:8" x14ac:dyDescent="0.25">
      <c r="A251" t="str">
        <f>"Sin edición especificada"</f>
        <v>Sin edición especificada</v>
      </c>
      <c r="B251">
        <f>SUMIFS(Colección!$L$2:$L$10001,Colección!$G$2:$G$10001,$A251,Colección!$M$2:$M$10001,"Compra")</f>
        <v>23</v>
      </c>
      <c r="C251">
        <f>SUMIFS(Colección!$K$2:$K$10001,Colección!$G$2:$G$10001,$A251,Colección!$M$2:$M$10001,"Compra")</f>
        <v>1</v>
      </c>
      <c r="D251">
        <f>IF($B251=0,"",_xlfn.RANK.EQ($B251,$B$2:$B$321,0)+COUNTIF($B$2:B251,$B251)-1)</f>
        <v>196</v>
      </c>
      <c r="F251" t="str">
        <f>"Calm Rune"</f>
        <v>Calm Rune</v>
      </c>
      <c r="G251">
        <f>SUMIFS(Colección!$L$2:$L$10001,Colección!$F$2:$F$10001,$F251,Colección!$M$2:$M$10001,"Compra")</f>
        <v>47.799260355029588</v>
      </c>
      <c r="H251">
        <f>IF($G251=0,"",_xlfn.RANK.EQ($G251,$G$2:$G$2353,0)+COUNTIF($G$2:G251,$G251)-1)</f>
        <v>181</v>
      </c>
    </row>
    <row r="252" spans="1:8" x14ac:dyDescent="0.25">
      <c r="A252" t="str">
        <f>"Special Guests"</f>
        <v>Special Guests</v>
      </c>
      <c r="B252">
        <f>SUMIFS(Colección!$L$2:$L$10001,Colección!$G$2:$G$10001,$A252,Colección!$M$2:$M$10001,"Compra")</f>
        <v>26.703522012578613</v>
      </c>
      <c r="C252">
        <f>SUMIFS(Colección!$K$2:$K$10001,Colección!$G$2:$G$10001,$A252,Colección!$M$2:$M$10001,"Compra")</f>
        <v>5</v>
      </c>
      <c r="D252">
        <f>IF($B252=0,"",_xlfn.RANK.EQ($B252,$B$2:$B$321,0)+COUNTIF($B$2:B252,$B252)-1)</f>
        <v>187</v>
      </c>
      <c r="F252" t="str">
        <f>"Calm Rune (V.1 - Common)"</f>
        <v>Calm Rune (V.1 - Common)</v>
      </c>
      <c r="G252">
        <f>SUMIFS(Colección!$L$2:$L$10001,Colección!$F$2:$F$10001,$F252,Colección!$M$2:$M$10001,"Compra")</f>
        <v>1.0532561505065123</v>
      </c>
      <c r="H252">
        <f>IF($G252=0,"",_xlfn.RANK.EQ($G252,$G$2:$G$2353,0)+COUNTIF($G$2:G252,$G252)-1)</f>
        <v>1627</v>
      </c>
    </row>
    <row r="253" spans="1:8" x14ac:dyDescent="0.25">
      <c r="A253" t="str">
        <f>"Spiritforged"</f>
        <v>Spiritforged</v>
      </c>
      <c r="B253">
        <f>SUMIFS(Colección!$L$2:$L$10001,Colección!$G$2:$G$10001,$A253,Colección!$M$2:$M$10001,"Compra")</f>
        <v>683.23768481422985</v>
      </c>
      <c r="C253">
        <f>SUMIFS(Colección!$K$2:$K$10001,Colección!$G$2:$G$10001,$A253,Colección!$M$2:$M$10001,"Compra")</f>
        <v>135</v>
      </c>
      <c r="D253">
        <f>IF($B253=0,"",_xlfn.RANK.EQ($B253,$B$2:$B$321,0)+COUNTIF($B$2:B253,$B253)-1)</f>
        <v>12</v>
      </c>
      <c r="F253" t="str">
        <f>"Camie (OP03-101)"</f>
        <v>Camie (OP03-101)</v>
      </c>
      <c r="G253">
        <f>SUMIFS(Colección!$L$2:$L$10001,Colección!$F$2:$F$10001,$F253,Colección!$M$2:$M$10001,"Compra")</f>
        <v>9.5193798449612399E-2</v>
      </c>
      <c r="H253">
        <f>IF($G253=0,"",_xlfn.RANK.EQ($G253,$G$2:$G$2353,0)+COUNTIF($G$2:G253,$G253)-1)</f>
        <v>2163</v>
      </c>
    </row>
    <row r="254" spans="1:8" x14ac:dyDescent="0.25">
      <c r="A254" t="str">
        <f>"Spiritforged: Promos"</f>
        <v>Spiritforged: Promos</v>
      </c>
      <c r="B254">
        <f>SUMIFS(Colección!$L$2:$L$10001,Colección!$G$2:$G$10001,$A254,Colección!$M$2:$M$10001,"Compra")</f>
        <v>26.230744985673351</v>
      </c>
      <c r="C254">
        <f>SUMIFS(Colección!$K$2:$K$10001,Colección!$G$2:$G$10001,$A254,Colección!$M$2:$M$10001,"Compra")</f>
        <v>4</v>
      </c>
      <c r="D254">
        <f>IF($B254=0,"",_xlfn.RANK.EQ($B254,$B$2:$B$321,0)+COUNTIF($B$2:B254,$B254)-1)</f>
        <v>191</v>
      </c>
      <c r="F254" t="str">
        <f>"Capone""Gang""Bege"" (OP04-100) (V.1)"</f>
        <v>Capone"Gang"Bege" (OP04-100) (V.1)</v>
      </c>
      <c r="G254">
        <f>SUMIFS(Colección!$L$2:$L$10001,Colección!$F$2:$F$10001,$F254,Colección!$M$2:$M$10001,"Compra")</f>
        <v>0.7706024096385542</v>
      </c>
      <c r="H254">
        <f>IF($G254=0,"",_xlfn.RANK.EQ($G254,$G$2:$G$2353,0)+COUNTIF($G$2:G254,$G254)-1)</f>
        <v>1737</v>
      </c>
    </row>
    <row r="255" spans="1:8" x14ac:dyDescent="0.25">
      <c r="A255" t="str">
        <f>"Starter Commander Decks"</f>
        <v>Starter Commander Decks</v>
      </c>
      <c r="B255">
        <f>SUMIFS(Colección!$L$2:$L$10001,Colección!$G$2:$G$10001,$A255,Colección!$M$2:$M$10001,"Compra")</f>
        <v>1.5463705583756344</v>
      </c>
      <c r="C255">
        <f>SUMIFS(Colección!$K$2:$K$10001,Colección!$G$2:$G$10001,$A255,Colección!$M$2:$M$10001,"Compra")</f>
        <v>2</v>
      </c>
      <c r="D255">
        <f>IF($B255=0,"",_xlfn.RANK.EQ($B255,$B$2:$B$321,0)+COUNTIF($B$2:B255,$B255)-1)</f>
        <v>295</v>
      </c>
      <c r="F255" t="str">
        <f>"Captain McKinley (OP05-112)"</f>
        <v>Captain McKinley (OP05-112)</v>
      </c>
      <c r="G255">
        <f>SUMIFS(Colección!$L$2:$L$10001,Colección!$F$2:$F$10001,$F255,Colección!$M$2:$M$10001,"Compra")</f>
        <v>9.4715964740450548E-2</v>
      </c>
      <c r="H255">
        <f>IF($G255=0,"",_xlfn.RANK.EQ($G255,$G$2:$G$2353,0)+COUNTIF($G$2:G255,$G255)-1)</f>
        <v>2196</v>
      </c>
    </row>
    <row r="256" spans="1:8" x14ac:dyDescent="0.25">
      <c r="A256" t="str">
        <f>"Starter Deck: Absolute Justice"</f>
        <v>Starter Deck: Absolute Justice</v>
      </c>
      <c r="B256">
        <f>SUMIFS(Colección!$L$2:$L$10001,Colección!$G$2:$G$10001,$A256,Colección!$M$2:$M$10001,"Compra")</f>
        <v>17.925000000000001</v>
      </c>
      <c r="C256">
        <f>SUMIFS(Colección!$K$2:$K$10001,Colección!$G$2:$G$10001,$A256,Colección!$M$2:$M$10001,"Compra")</f>
        <v>1</v>
      </c>
      <c r="D256">
        <f>IF($B256=0,"",_xlfn.RANK.EQ($B256,$B$2:$B$321,0)+COUNTIF($B$2:B256,$B256)-1)</f>
        <v>212</v>
      </c>
      <c r="F256" t="str">
        <f>"Careful Study"</f>
        <v>Careful Study</v>
      </c>
      <c r="G256">
        <f>SUMIFS(Colección!$L$2:$L$10001,Colección!$F$2:$F$10001,$F256,Colección!$M$2:$M$10001,"Compra")</f>
        <v>8.0402490902567774</v>
      </c>
      <c r="H256">
        <f>IF($G256=0,"",_xlfn.RANK.EQ($G256,$G$2:$G$2353,0)+COUNTIF($G$2:G256,$G256)-1)</f>
        <v>746</v>
      </c>
    </row>
    <row r="257" spans="1:8" x14ac:dyDescent="0.25">
      <c r="A257" t="str">
        <f>"Starter Deck: ONE PIECE FILM edition"</f>
        <v>Starter Deck: ONE PIECE FILM edition</v>
      </c>
      <c r="B257">
        <f>SUMIFS(Colección!$L$2:$L$10001,Colección!$G$2:$G$10001,$A257,Colección!$M$2:$M$10001,"Compra")</f>
        <v>17.925000000000001</v>
      </c>
      <c r="C257">
        <f>SUMIFS(Colección!$K$2:$K$10001,Colección!$G$2:$G$10001,$A257,Colección!$M$2:$M$10001,"Compra")</f>
        <v>1</v>
      </c>
      <c r="D257">
        <f>IF($B257=0,"",_xlfn.RANK.EQ($B257,$B$2:$B$321,0)+COUNTIF($B$2:B257,$B257)-1)</f>
        <v>213</v>
      </c>
      <c r="F257" t="str">
        <f>"Caretaker's Talent"</f>
        <v>Caretaker's Talent</v>
      </c>
      <c r="G257">
        <f>SUMIFS(Colección!$L$2:$L$10001,Colección!$F$2:$F$10001,$F257,Colección!$M$2:$M$10001,"Compra")</f>
        <v>55.96</v>
      </c>
      <c r="H257">
        <f>IF($G257=0,"",_xlfn.RANK.EQ($G257,$G$2:$G$2353,0)+COUNTIF($G$2:G257,$G257)-1)</f>
        <v>157</v>
      </c>
    </row>
    <row r="258" spans="1:8" x14ac:dyDescent="0.25">
      <c r="A258" t="str">
        <f>"Store Championship Promos"</f>
        <v>Store Championship Promos</v>
      </c>
      <c r="B258">
        <f>SUMIFS(Colección!$L$2:$L$10001,Colección!$G$2:$G$10001,$A258,Colección!$M$2:$M$10001,"Compra")</f>
        <v>10.80535321821036</v>
      </c>
      <c r="C258">
        <f>SUMIFS(Colección!$K$2:$K$10001,Colección!$G$2:$G$10001,$A258,Colección!$M$2:$M$10001,"Compra")</f>
        <v>8</v>
      </c>
      <c r="D258">
        <f>IF($B258=0,"",_xlfn.RANK.EQ($B258,$B$2:$B$321,0)+COUNTIF($B$2:B258,$B258)-1)</f>
        <v>237</v>
      </c>
      <c r="F258" t="str">
        <f>"Carmel (OP04-101)"</f>
        <v>Carmel (OP04-101)</v>
      </c>
      <c r="G258">
        <f>SUMIFS(Colección!$L$2:$L$10001,Colección!$F$2:$F$10001,$F258,Colección!$M$2:$M$10001,"Compra")</f>
        <v>6.1898734177215198E-2</v>
      </c>
      <c r="H258">
        <f>IF($G258=0,"",_xlfn.RANK.EQ($G258,$G$2:$G$2353,0)+COUNTIF($G$2:G258,$G258)-1)</f>
        <v>2260</v>
      </c>
    </row>
    <row r="259" spans="1:8" x14ac:dyDescent="0.25">
      <c r="A259" t="str">
        <f>"Streets of New Capenna"</f>
        <v>Streets of New Capenna</v>
      </c>
      <c r="B259">
        <f>SUMIFS(Colección!$L$2:$L$10001,Colección!$G$2:$G$10001,$A259,Colección!$M$2:$M$10001,"Compra")</f>
        <v>101.99685861887461</v>
      </c>
      <c r="C259">
        <f>SUMIFS(Colección!$K$2:$K$10001,Colección!$G$2:$G$10001,$A259,Colección!$M$2:$M$10001,"Compra")</f>
        <v>49</v>
      </c>
      <c r="D259">
        <f>IF($B259=0,"",_xlfn.RANK.EQ($B259,$B$2:$B$321,0)+COUNTIF($B$2:B259,$B259)-1)</f>
        <v>81</v>
      </c>
      <c r="F259" t="str">
        <f>"Carne (OP03-045)"</f>
        <v>Carne (OP03-045)</v>
      </c>
      <c r="G259">
        <f>SUMIFS(Colección!$L$2:$L$10001,Colección!$F$2:$F$10001,$F259,Colección!$M$2:$M$10001,"Compra")</f>
        <v>0.22608527131782949</v>
      </c>
      <c r="H259">
        <f>IF($G259=0,"",_xlfn.RANK.EQ($G259,$G$2:$G$2353,0)+COUNTIF($G$2:G259,$G259)-1)</f>
        <v>2058</v>
      </c>
    </row>
    <row r="260" spans="1:8" x14ac:dyDescent="0.25">
      <c r="A260" t="str">
        <f>"Streets of New Capenna: Extras"</f>
        <v>Streets of New Capenna: Extras</v>
      </c>
      <c r="B260">
        <f>SUMIFS(Colección!$L$2:$L$10001,Colección!$G$2:$G$10001,$A260,Colección!$M$2:$M$10001,"Compra")</f>
        <v>93.517357860925159</v>
      </c>
      <c r="C260">
        <f>SUMIFS(Colección!$K$2:$K$10001,Colección!$G$2:$G$10001,$A260,Colección!$M$2:$M$10001,"Compra")</f>
        <v>15</v>
      </c>
      <c r="D260">
        <f>IF($B260=0,"",_xlfn.RANK.EQ($B260,$B$2:$B$321,0)+COUNTIF($B$2:B260,$B260)-1)</f>
        <v>88</v>
      </c>
      <c r="F260" t="str">
        <f>"Carpet of Flowers"</f>
        <v>Carpet of Flowers</v>
      </c>
      <c r="G260">
        <f>SUMIFS(Colección!$L$2:$L$10001,Colección!$F$2:$F$10001,$F260,Colección!$M$2:$M$10001,"Compra")</f>
        <v>13.090909090909092</v>
      </c>
      <c r="H260">
        <f>IF($G260=0,"",_xlfn.RANK.EQ($G260,$G$2:$G$2353,0)+COUNTIF($G$2:G260,$G260)-1)</f>
        <v>549</v>
      </c>
    </row>
    <row r="261" spans="1:8" x14ac:dyDescent="0.25">
      <c r="A261" t="str">
        <f>"Streets of New Capenna: Promos"</f>
        <v>Streets of New Capenna: Promos</v>
      </c>
      <c r="B261">
        <f>SUMIFS(Colección!$L$2:$L$10001,Colección!$G$2:$G$10001,$A261,Colección!$M$2:$M$10001,"Compra")</f>
        <v>27.950774295715952</v>
      </c>
      <c r="C261">
        <f>SUMIFS(Colección!$K$2:$K$10001,Colección!$G$2:$G$10001,$A261,Colección!$M$2:$M$10001,"Compra")</f>
        <v>2</v>
      </c>
      <c r="D261">
        <f>IF($B261=0,"",_xlfn.RANK.EQ($B261,$B$2:$B$321,0)+COUNTIF($B$2:B261,$B261)-1)</f>
        <v>179</v>
      </c>
      <c r="F261" t="str">
        <f>"Carrion Feeder"</f>
        <v>Carrion Feeder</v>
      </c>
      <c r="G261">
        <f>SUMIFS(Colección!$L$2:$L$10001,Colección!$F$2:$F$10001,$F261,Colección!$M$2:$M$10001,"Compra")</f>
        <v>4.9090909090909083</v>
      </c>
      <c r="H261">
        <f>IF($G261=0,"",_xlfn.RANK.EQ($G261,$G$2:$G$2353,0)+COUNTIF($G$2:G261,$G261)-1)</f>
        <v>976</v>
      </c>
    </row>
    <row r="262" spans="1:8" x14ac:dyDescent="0.25">
      <c r="A262" t="str">
        <f>"Strixhaven: School of Mages"</f>
        <v>Strixhaven: School of Mages</v>
      </c>
      <c r="B262">
        <f>SUMIFS(Colección!$L$2:$L$10001,Colección!$G$2:$G$10001,$A262,Colección!$M$2:$M$10001,"Compra")</f>
        <v>51.541744978915055</v>
      </c>
      <c r="C262">
        <f>SUMIFS(Colección!$K$2:$K$10001,Colección!$G$2:$G$10001,$A262,Colección!$M$2:$M$10001,"Compra")</f>
        <v>28</v>
      </c>
      <c r="D262">
        <f>IF($B262=0,"",_xlfn.RANK.EQ($B262,$B$2:$B$321,0)+COUNTIF($B$2:B262,$B262)-1)</f>
        <v>140</v>
      </c>
      <c r="F262" t="str">
        <f>"Cascade Bluffs"</f>
        <v>Cascade Bluffs</v>
      </c>
      <c r="G262">
        <f>SUMIFS(Colección!$L$2:$L$10001,Colección!$F$2:$F$10001,$F262,Colección!$M$2:$M$10001,"Compra")</f>
        <v>1.001465364120782</v>
      </c>
      <c r="H262">
        <f>IF($G262=0,"",_xlfn.RANK.EQ($G262,$G$2:$G$2353,0)+COUNTIF($G$2:G262,$G262)-1)</f>
        <v>1659</v>
      </c>
    </row>
    <row r="263" spans="1:8" x14ac:dyDescent="0.25">
      <c r="A263" t="str">
        <f>"Stronghold"</f>
        <v>Stronghold</v>
      </c>
      <c r="B263">
        <f>SUMIFS(Colección!$L$2:$L$10001,Colección!$G$2:$G$10001,$A263,Colección!$M$2:$M$10001,"Compra")</f>
        <v>18.928215263393387</v>
      </c>
      <c r="C263">
        <f>SUMIFS(Colección!$K$2:$K$10001,Colección!$G$2:$G$10001,$A263,Colección!$M$2:$M$10001,"Compra")</f>
        <v>9</v>
      </c>
      <c r="D263">
        <f>IF($B263=0,"",_xlfn.RANK.EQ($B263,$B$2:$B$321,0)+COUNTIF($B$2:B263,$B263)-1)</f>
        <v>209</v>
      </c>
      <c r="F263" t="str">
        <f>"Case of the Gateway Express"</f>
        <v>Case of the Gateway Express</v>
      </c>
      <c r="G263">
        <f>SUMIFS(Colección!$L$2:$L$10001,Colección!$F$2:$F$10001,$F263,Colección!$M$2:$M$10001,"Compra")</f>
        <v>1.1417848206839032</v>
      </c>
      <c r="H263">
        <f>IF($G263=0,"",_xlfn.RANK.EQ($G263,$G$2:$G$2353,0)+COUNTIF($G$2:G263,$G263)-1)</f>
        <v>1580</v>
      </c>
    </row>
    <row r="264" spans="1:8" x14ac:dyDescent="0.25">
      <c r="A264" t="str">
        <f>"Tarkir: Dragonstorm"</f>
        <v>Tarkir: Dragonstorm</v>
      </c>
      <c r="B264">
        <f>SUMIFS(Colección!$L$2:$L$10001,Colección!$G$2:$G$10001,$A264,Colección!$M$2:$M$10001,"Compra")</f>
        <v>177.64750936498262</v>
      </c>
      <c r="C264">
        <f>SUMIFS(Colección!$K$2:$K$10001,Colección!$G$2:$G$10001,$A264,Colección!$M$2:$M$10001,"Compra")</f>
        <v>82</v>
      </c>
      <c r="D264">
        <f>IF($B264=0,"",_xlfn.RANK.EQ($B264,$B$2:$B$321,0)+COUNTIF($B$2:B264,$B264)-1)</f>
        <v>52</v>
      </c>
      <c r="F264" t="str">
        <f>"Cast Down"</f>
        <v>Cast Down</v>
      </c>
      <c r="G264">
        <f>SUMIFS(Colección!$L$2:$L$10001,Colección!$F$2:$F$10001,$F264,Colección!$M$2:$M$10001,"Compra")</f>
        <v>2.3805882352941179</v>
      </c>
      <c r="H264">
        <f>IF($G264=0,"",_xlfn.RANK.EQ($G264,$G$2:$G$2353,0)+COUNTIF($G$2:G264,$G264)-1)</f>
        <v>1271</v>
      </c>
    </row>
    <row r="265" spans="1:8" x14ac:dyDescent="0.25">
      <c r="A265" t="str">
        <f>"Tarkir: Dragonstorm: Extras"</f>
        <v>Tarkir: Dragonstorm: Extras</v>
      </c>
      <c r="B265">
        <f>SUMIFS(Colección!$L$2:$L$10001,Colección!$G$2:$G$10001,$A265,Colección!$M$2:$M$10001,"Compra")</f>
        <v>147.92265263670964</v>
      </c>
      <c r="C265">
        <f>SUMIFS(Colección!$K$2:$K$10001,Colección!$G$2:$G$10001,$A265,Colección!$M$2:$M$10001,"Compra")</f>
        <v>15</v>
      </c>
      <c r="D265">
        <f>IF($B265=0,"",_xlfn.RANK.EQ($B265,$B$2:$B$321,0)+COUNTIF($B$2:B265,$B265)-1)</f>
        <v>66</v>
      </c>
      <c r="F265" t="str">
        <f>"Cast into the Fire"</f>
        <v>Cast into the Fire</v>
      </c>
      <c r="G265">
        <f>SUMIFS(Colección!$L$2:$L$10001,Colección!$F$2:$F$10001,$F265,Colección!$M$2:$M$10001,"Compra")</f>
        <v>0.69194805194805209</v>
      </c>
      <c r="H265">
        <f>IF($G265=0,"",_xlfn.RANK.EQ($G265,$G$2:$G$2353,0)+COUNTIF($G$2:G265,$G265)-1)</f>
        <v>1760</v>
      </c>
    </row>
    <row r="266" spans="1:8" x14ac:dyDescent="0.25">
      <c r="A266" t="str">
        <f>"Teenage Mutant Ninja Turtles"</f>
        <v>Teenage Mutant Ninja Turtles</v>
      </c>
      <c r="B266">
        <f>SUMIFS(Colección!$L$2:$L$10001,Colección!$G$2:$G$10001,$A266,Colección!$M$2:$M$10001,"Compra")</f>
        <v>22.060576923076923</v>
      </c>
      <c r="C266">
        <f>SUMIFS(Colección!$K$2:$K$10001,Colección!$G$2:$G$10001,$A266,Colección!$M$2:$M$10001,"Compra")</f>
        <v>15</v>
      </c>
      <c r="D266">
        <f>IF($B266=0,"",_xlfn.RANK.EQ($B266,$B$2:$B$321,0)+COUNTIF($B$2:B266,$B266)-1)</f>
        <v>200</v>
      </c>
      <c r="F266" t="str">
        <f>"Castle Ardenvale"</f>
        <v>Castle Ardenvale</v>
      </c>
      <c r="G266">
        <f>SUMIFS(Colección!$L$2:$L$10001,Colección!$F$2:$F$10001,$F266,Colección!$M$2:$M$10001,"Compra")</f>
        <v>2.8089743589743592</v>
      </c>
      <c r="H266">
        <f>IF($G266=0,"",_xlfn.RANK.EQ($G266,$G$2:$G$2353,0)+COUNTIF($G$2:G266,$G266)-1)</f>
        <v>1213</v>
      </c>
    </row>
    <row r="267" spans="1:8" x14ac:dyDescent="0.25">
      <c r="A267" t="str">
        <f>"Tempest"</f>
        <v>Tempest</v>
      </c>
      <c r="B267">
        <f>SUMIFS(Colección!$L$2:$L$10001,Colección!$G$2:$G$10001,$A267,Colección!$M$2:$M$10001,"Compra")</f>
        <v>436.35600211901715</v>
      </c>
      <c r="C267">
        <f>SUMIFS(Colección!$K$2:$K$10001,Colección!$G$2:$G$10001,$A267,Colección!$M$2:$M$10001,"Compra")</f>
        <v>32</v>
      </c>
      <c r="D267">
        <f>IF($B267=0,"",_xlfn.RANK.EQ($B267,$B$2:$B$321,0)+COUNTIF($B$2:B267,$B267)-1)</f>
        <v>19</v>
      </c>
      <c r="F267" t="str">
        <f>"Castle Garenbrig"</f>
        <v>Castle Garenbrig</v>
      </c>
      <c r="G267">
        <f>SUMIFS(Colección!$L$2:$L$10001,Colección!$F$2:$F$10001,$F267,Colección!$M$2:$M$10001,"Compra")</f>
        <v>3.2625000000000002</v>
      </c>
      <c r="H267">
        <f>IF($G267=0,"",_xlfn.RANK.EQ($G267,$G$2:$G$2353,0)+COUNTIF($G$2:G267,$G267)-1)</f>
        <v>1166</v>
      </c>
    </row>
    <row r="268" spans="1:8" x14ac:dyDescent="0.25">
      <c r="A268" t="str">
        <f>"Tenth Edition"</f>
        <v>Tenth Edition</v>
      </c>
      <c r="B268">
        <f>SUMIFS(Colección!$L$2:$L$10001,Colección!$G$2:$G$10001,$A268,Colección!$M$2:$M$10001,"Compra")</f>
        <v>14.323640540395466</v>
      </c>
      <c r="C268">
        <f>SUMIFS(Colección!$K$2:$K$10001,Colección!$G$2:$G$10001,$A268,Colección!$M$2:$M$10001,"Compra")</f>
        <v>7</v>
      </c>
      <c r="D268">
        <f>IF($B268=0,"",_xlfn.RANK.EQ($B268,$B$2:$B$321,0)+COUNTIF($B$2:B268,$B268)-1)</f>
        <v>224</v>
      </c>
      <c r="F268" t="str">
        <f>"Castle Locthwain (V.2)"</f>
        <v>Castle Locthwain (V.2)</v>
      </c>
      <c r="G268">
        <f>SUMIFS(Colección!$L$2:$L$10001,Colección!$F$2:$F$10001,$F268,Colección!$M$2:$M$10001,"Compra")</f>
        <v>4.1535582822085892</v>
      </c>
      <c r="H268">
        <f>IF($G268=0,"",_xlfn.RANK.EQ($G268,$G$2:$G$2353,0)+COUNTIF($G$2:G268,$G268)-1)</f>
        <v>1057</v>
      </c>
    </row>
    <row r="269" spans="1:8" x14ac:dyDescent="0.25">
      <c r="A269" t="str">
        <f>"The Big Score"</f>
        <v>The Big Score</v>
      </c>
      <c r="B269">
        <f>SUMIFS(Colección!$L$2:$L$10001,Colección!$G$2:$G$10001,$A269,Colección!$M$2:$M$10001,"Compra")</f>
        <v>51.497300646765844</v>
      </c>
      <c r="C269">
        <f>SUMIFS(Colección!$K$2:$K$10001,Colección!$G$2:$G$10001,$A269,Colección!$M$2:$M$10001,"Compra")</f>
        <v>6</v>
      </c>
      <c r="D269">
        <f>IF($B269=0,"",_xlfn.RANK.EQ($B269,$B$2:$B$321,0)+COUNTIF($B$2:B269,$B269)-1)</f>
        <v>141</v>
      </c>
      <c r="F269" t="str">
        <f>"Castle Vantress"</f>
        <v>Castle Vantress</v>
      </c>
      <c r="G269">
        <f>SUMIFS(Colección!$L$2:$L$10001,Colección!$F$2:$F$10001,$F269,Colección!$M$2:$M$10001,"Compra")</f>
        <v>1.555371504324222</v>
      </c>
      <c r="H269">
        <f>IF($G269=0,"",_xlfn.RANK.EQ($G269,$G$2:$G$2353,0)+COUNTIF($G$2:G269,$G269)-1)</f>
        <v>1473</v>
      </c>
    </row>
    <row r="270" spans="1:8" x14ac:dyDescent="0.25">
      <c r="A270" t="str">
        <f>"The Brothers' War"</f>
        <v>The Brothers' War</v>
      </c>
      <c r="B270">
        <f>SUMIFS(Colección!$L$2:$L$10001,Colección!$G$2:$G$10001,$A270,Colección!$M$2:$M$10001,"Compra")</f>
        <v>84.78863830572682</v>
      </c>
      <c r="C270">
        <f>SUMIFS(Colección!$K$2:$K$10001,Colección!$G$2:$G$10001,$A270,Colección!$M$2:$M$10001,"Compra")</f>
        <v>67</v>
      </c>
      <c r="D270">
        <f>IF($B270=0,"",_xlfn.RANK.EQ($B270,$B$2:$B$321,0)+COUNTIF($B$2:B270,$B270)-1)</f>
        <v>98</v>
      </c>
      <c r="F270" t="str">
        <f>"Cat Token (W 1/1) // Phyrexian Germ Token (B 0/0)"</f>
        <v>Cat Token (W 1/1) // Phyrexian Germ Token (B 0/0)</v>
      </c>
      <c r="G270">
        <f>SUMIFS(Colección!$L$2:$L$10001,Colección!$F$2:$F$10001,$F270,Colección!$M$2:$M$10001,"Compra")</f>
        <v>0.46898488120950321</v>
      </c>
      <c r="H270">
        <f>IF($G270=0,"",_xlfn.RANK.EQ($G270,$G$2:$G$2353,0)+COUNTIF($G$2:G270,$G270)-1)</f>
        <v>1904</v>
      </c>
    </row>
    <row r="271" spans="1:8" x14ac:dyDescent="0.25">
      <c r="A271" t="str">
        <f>"The Brothers' War: Extras"</f>
        <v>The Brothers' War: Extras</v>
      </c>
      <c r="B271">
        <f>SUMIFS(Colección!$L$2:$L$10001,Colección!$G$2:$G$10001,$A271,Colección!$M$2:$M$10001,"Compra")</f>
        <v>14.486603078982597</v>
      </c>
      <c r="C271">
        <f>SUMIFS(Colección!$K$2:$K$10001,Colección!$G$2:$G$10001,$A271,Colección!$M$2:$M$10001,"Compra")</f>
        <v>4</v>
      </c>
      <c r="D271">
        <f>IF($B271=0,"",_xlfn.RANK.EQ($B271,$B$2:$B$321,0)+COUNTIF($B$2:B271,$B271)-1)</f>
        <v>221</v>
      </c>
      <c r="F271" t="str">
        <f>"Cat Token (W 1/1) // Servo Token (A 1/1)"</f>
        <v>Cat Token (W 1/1) // Servo Token (A 1/1)</v>
      </c>
      <c r="G271">
        <f>SUMIFS(Colección!$L$2:$L$10001,Colección!$F$2:$F$10001,$F271,Colección!$M$2:$M$10001,"Compra")</f>
        <v>2.2064150943396226</v>
      </c>
      <c r="H271">
        <f>IF($G271=0,"",_xlfn.RANK.EQ($G271,$G$2:$G$2353,0)+COUNTIF($G$2:G271,$G271)-1)</f>
        <v>1311</v>
      </c>
    </row>
    <row r="272" spans="1:8" x14ac:dyDescent="0.25">
      <c r="A272" t="str">
        <f>"The Brothers' War: Promos"</f>
        <v>The Brothers' War: Promos</v>
      </c>
      <c r="B272">
        <f>SUMIFS(Colección!$L$2:$L$10001,Colección!$G$2:$G$10001,$A272,Colección!$M$2:$M$10001,"Compra")</f>
        <v>13.052925192339172</v>
      </c>
      <c r="C272">
        <f>SUMIFS(Colección!$K$2:$K$10001,Colección!$G$2:$G$10001,$A272,Colección!$M$2:$M$10001,"Compra")</f>
        <v>2</v>
      </c>
      <c r="D272">
        <f>IF($B272=0,"",_xlfn.RANK.EQ($B272,$B$2:$B$321,0)+COUNTIF($B$2:B272,$B272)-1)</f>
        <v>228</v>
      </c>
      <c r="F272" t="str">
        <f>"Cat Token (White 1/1)"</f>
        <v>Cat Token (White 1/1)</v>
      </c>
      <c r="G272">
        <f>SUMIFS(Colección!$L$2:$L$10001,Colección!$F$2:$F$10001,$F272,Colección!$M$2:$M$10001,"Compra")</f>
        <v>1.7</v>
      </c>
      <c r="H272">
        <f>IF($G272=0,"",_xlfn.RANK.EQ($G272,$G$2:$G$2353,0)+COUNTIF($G$2:G272,$G272)-1)</f>
        <v>1430</v>
      </c>
    </row>
    <row r="273" spans="1:8" x14ac:dyDescent="0.25">
      <c r="A273" t="str">
        <f>"The Dark"</f>
        <v>The Dark</v>
      </c>
      <c r="B273">
        <f>SUMIFS(Colección!$L$2:$L$10001,Colección!$G$2:$G$10001,$A273,Colección!$M$2:$M$10001,"Compra")</f>
        <v>19.636363636363637</v>
      </c>
      <c r="C273">
        <f>SUMIFS(Colección!$K$2:$K$10001,Colección!$G$2:$G$10001,$A273,Colección!$M$2:$M$10001,"Compra")</f>
        <v>3</v>
      </c>
      <c r="D273">
        <f>IF($B273=0,"",_xlfn.RANK.EQ($B273,$B$2:$B$321,0)+COUNTIF($B$2:B273,$B273)-1)</f>
        <v>206</v>
      </c>
      <c r="F273" t="str">
        <f>"Cat Warrior Token (W 2/1) // Servo Token (A 1/1)"</f>
        <v>Cat Warrior Token (W 2/1) // Servo Token (A 1/1)</v>
      </c>
      <c r="G273">
        <f>SUMIFS(Colección!$L$2:$L$10001,Colección!$F$2:$F$10001,$F273,Colección!$M$2:$M$10001,"Compra")</f>
        <v>1.1032075471698113</v>
      </c>
      <c r="H273">
        <f>IF($G273=0,"",_xlfn.RANK.EQ($G273,$G$2:$G$2353,0)+COUNTIF($G$2:G273,$G273)-1)</f>
        <v>1595</v>
      </c>
    </row>
    <row r="274" spans="1:8" x14ac:dyDescent="0.25">
      <c r="A274" t="str">
        <f>"The List"</f>
        <v>The List</v>
      </c>
      <c r="B274">
        <f>SUMIFS(Colección!$L$2:$L$10001,Colección!$G$2:$G$10001,$A274,Colección!$M$2:$M$10001,"Compra")</f>
        <v>107.60428057900272</v>
      </c>
      <c r="C274">
        <f>SUMIFS(Colección!$K$2:$K$10001,Colección!$G$2:$G$10001,$A274,Colección!$M$2:$M$10001,"Compra")</f>
        <v>19</v>
      </c>
      <c r="D274">
        <f>IF($B274=0,"",_xlfn.RANK.EQ($B274,$B$2:$B$321,0)+COUNTIF($B$2:B274,$B274)-1)</f>
        <v>75</v>
      </c>
      <c r="F274" t="str">
        <f>"Cathartic Reunion"</f>
        <v>Cathartic Reunion</v>
      </c>
      <c r="G274">
        <f>SUMIFS(Colección!$L$2:$L$10001,Colección!$F$2:$F$10001,$F274,Colección!$M$2:$M$10001,"Compra")</f>
        <v>0.21322128851540617</v>
      </c>
      <c r="H274">
        <f>IF($G274=0,"",_xlfn.RANK.EQ($G274,$G$2:$G$2353,0)+COUNTIF($G$2:G274,$G274)-1)</f>
        <v>2084</v>
      </c>
    </row>
    <row r="275" spans="1:8" x14ac:dyDescent="0.25">
      <c r="A275" t="str">
        <f>"The Lord of the Rings: Tales of Middle-earth"</f>
        <v>The Lord of the Rings: Tales of Middle-earth</v>
      </c>
      <c r="B275">
        <f>SUMIFS(Colección!$L$2:$L$10001,Colección!$G$2:$G$10001,$A275,Colección!$M$2:$M$10001,"Compra")</f>
        <v>1260.9507710879286</v>
      </c>
      <c r="C275">
        <f>SUMIFS(Colección!$K$2:$K$10001,Colección!$G$2:$G$10001,$A275,Colección!$M$2:$M$10001,"Compra")</f>
        <v>266</v>
      </c>
      <c r="D275">
        <f>IF($B275=0,"",_xlfn.RANK.EQ($B275,$B$2:$B$321,0)+COUNTIF($B$2:B275,$B275)-1)</f>
        <v>6</v>
      </c>
      <c r="F275" t="str">
        <f>"Cauldron Familiar"</f>
        <v>Cauldron Familiar</v>
      </c>
      <c r="G275">
        <f>SUMIFS(Colección!$L$2:$L$10001,Colección!$F$2:$F$10001,$F275,Colección!$M$2:$M$10001,"Compra")</f>
        <v>17.721333333333334</v>
      </c>
      <c r="H275">
        <f>IF($G275=0,"",_xlfn.RANK.EQ($G275,$G$2:$G$2353,0)+COUNTIF($G$2:G275,$G275)-1)</f>
        <v>438</v>
      </c>
    </row>
    <row r="276" spans="1:8" x14ac:dyDescent="0.25">
      <c r="A276" t="str">
        <f>"The Lord of the Rings: Tales of Middle-earth: Extras"</f>
        <v>The Lord of the Rings: Tales of Middle-earth: Extras</v>
      </c>
      <c r="B276">
        <f>SUMIFS(Colección!$L$2:$L$10001,Colección!$G$2:$G$10001,$A276,Colección!$M$2:$M$10001,"Compra")</f>
        <v>8.9149161490132549</v>
      </c>
      <c r="C276">
        <f>SUMIFS(Colección!$K$2:$K$10001,Colección!$G$2:$G$10001,$A276,Colección!$M$2:$M$10001,"Compra")</f>
        <v>8</v>
      </c>
      <c r="D276">
        <f>IF($B276=0,"",_xlfn.RANK.EQ($B276,$B$2:$B$321,0)+COUNTIF($B$2:B276,$B276)-1)</f>
        <v>239</v>
      </c>
      <c r="F276" t="str">
        <f>"Cavendish (OP04-081)"</f>
        <v>Cavendish (OP04-081)</v>
      </c>
      <c r="G276">
        <f>SUMIFS(Colección!$L$2:$L$10001,Colección!$F$2:$F$10001,$F276,Colección!$M$2:$M$10001,"Compra")</f>
        <v>9.2848101265822783E-2</v>
      </c>
      <c r="H276">
        <f>IF($G276=0,"",_xlfn.RANK.EQ($G276,$G$2:$G$2353,0)+COUNTIF($G$2:G276,$G276)-1)</f>
        <v>2208</v>
      </c>
    </row>
    <row r="277" spans="1:8" x14ac:dyDescent="0.25">
      <c r="A277" t="str">
        <f>"The Lost Caverns of Ixalan"</f>
        <v>The Lost Caverns of Ixalan</v>
      </c>
      <c r="B277">
        <f>SUMIFS(Colección!$L$2:$L$10001,Colección!$G$2:$G$10001,$A277,Colección!$M$2:$M$10001,"Compra")</f>
        <v>143.24019055033173</v>
      </c>
      <c r="C277">
        <f>SUMIFS(Colección!$K$2:$K$10001,Colección!$G$2:$G$10001,$A277,Colección!$M$2:$M$10001,"Compra")</f>
        <v>90</v>
      </c>
      <c r="D277">
        <f>IF($B277=0,"",_xlfn.RANK.EQ($B277,$B$2:$B$321,0)+COUNTIF($B$2:B277,$B277)-1)</f>
        <v>68</v>
      </c>
      <c r="F277" t="str">
        <f>"Cavern of Souls"</f>
        <v>Cavern of Souls</v>
      </c>
      <c r="G277">
        <f>SUMIFS(Colección!$L$2:$L$10001,Colección!$F$2:$F$10001,$F277,Colección!$M$2:$M$10001,"Compra")</f>
        <v>117.84</v>
      </c>
      <c r="H277">
        <f>IF($G277=0,"",_xlfn.RANK.EQ($G277,$G$2:$G$2353,0)+COUNTIF($G$2:G277,$G277)-1)</f>
        <v>60</v>
      </c>
    </row>
    <row r="278" spans="1:8" x14ac:dyDescent="0.25">
      <c r="A278" t="str">
        <f>"The Lost Caverns of Ixalan: Extras"</f>
        <v>The Lost Caverns of Ixalan: Extras</v>
      </c>
      <c r="B278">
        <f>SUMIFS(Colección!$L$2:$L$10001,Colección!$G$2:$G$10001,$A278,Colección!$M$2:$M$10001,"Compra")</f>
        <v>88.57440554588527</v>
      </c>
      <c r="C278">
        <f>SUMIFS(Colección!$K$2:$K$10001,Colección!$G$2:$G$10001,$A278,Colección!$M$2:$M$10001,"Compra")</f>
        <v>26</v>
      </c>
      <c r="D278">
        <f>IF($B278=0,"",_xlfn.RANK.EQ($B278,$B$2:$B$321,0)+COUNTIF($B$2:B278,$B278)-1)</f>
        <v>95</v>
      </c>
      <c r="F278" t="str">
        <f>"Caves of Chaos Adventurer"</f>
        <v>Caves of Chaos Adventurer</v>
      </c>
      <c r="G278">
        <f>SUMIFS(Colección!$L$2:$L$10001,Colección!$F$2:$F$10001,$F278,Colección!$M$2:$M$10001,"Compra")</f>
        <v>5.21</v>
      </c>
      <c r="H278">
        <f>IF($G278=0,"",_xlfn.RANK.EQ($G278,$G$2:$G$2353,0)+COUNTIF($G$2:G278,$G278)-1)</f>
        <v>955</v>
      </c>
    </row>
    <row r="279" spans="1:8" x14ac:dyDescent="0.25">
      <c r="A279" t="str">
        <f>"Theros"</f>
        <v>Theros</v>
      </c>
      <c r="B279">
        <f>SUMIFS(Colección!$L$2:$L$10001,Colección!$G$2:$G$10001,$A279,Colección!$M$2:$M$10001,"Compra")</f>
        <v>67.043446194026458</v>
      </c>
      <c r="C279">
        <f>SUMIFS(Colección!$K$2:$K$10001,Colección!$G$2:$G$10001,$A279,Colección!$M$2:$M$10001,"Compra")</f>
        <v>7</v>
      </c>
      <c r="D279">
        <f>IF($B279=0,"",_xlfn.RANK.EQ($B279,$B$2:$B$321,0)+COUNTIF($B$2:B279,$B279)-1)</f>
        <v>119</v>
      </c>
      <c r="F279" t="str">
        <f>"Caves of Koilos"</f>
        <v>Caves of Koilos</v>
      </c>
      <c r="G279">
        <f>SUMIFS(Colección!$L$2:$L$10001,Colección!$F$2:$F$10001,$F279,Colección!$M$2:$M$10001,"Compra")</f>
        <v>30.109090909090913</v>
      </c>
      <c r="H279">
        <f>IF($G279=0,"",_xlfn.RANK.EQ($G279,$G$2:$G$2353,0)+COUNTIF($G$2:G279,$G279)-1)</f>
        <v>280</v>
      </c>
    </row>
    <row r="280" spans="1:8" x14ac:dyDescent="0.25">
      <c r="A280" t="str">
        <f>"Theros Beyond Death"</f>
        <v>Theros Beyond Death</v>
      </c>
      <c r="B280">
        <f>SUMIFS(Colección!$L$2:$L$10001,Colección!$G$2:$G$10001,$A280,Colección!$M$2:$M$10001,"Compra")</f>
        <v>158.93329311009921</v>
      </c>
      <c r="C280">
        <f>SUMIFS(Colección!$K$2:$K$10001,Colección!$G$2:$G$10001,$A280,Colección!$M$2:$M$10001,"Compra")</f>
        <v>50</v>
      </c>
      <c r="D280">
        <f>IF($B280=0,"",_xlfn.RANK.EQ($B280,$B$2:$B$321,0)+COUNTIF($B$2:B280,$B280)-1)</f>
        <v>59</v>
      </c>
      <c r="F280" t="str">
        <f>"Cecil, Dark Knight // Cecil, Redeemed Paladin"</f>
        <v>Cecil, Dark Knight // Cecil, Redeemed Paladin</v>
      </c>
      <c r="G280">
        <f>SUMIFS(Colección!$L$2:$L$10001,Colección!$F$2:$F$10001,$F280,Colección!$M$2:$M$10001,"Compra")</f>
        <v>26.878369851007889</v>
      </c>
      <c r="H280">
        <f>IF($G280=0,"",_xlfn.RANK.EQ($G280,$G$2:$G$2353,0)+COUNTIF($G$2:G280,$G280)-1)</f>
        <v>296</v>
      </c>
    </row>
    <row r="281" spans="1:8" x14ac:dyDescent="0.25">
      <c r="A281" t="str">
        <f>"Theros Beyond Death: Extras"</f>
        <v>Theros Beyond Death: Extras</v>
      </c>
      <c r="B281">
        <f>SUMIFS(Colección!$L$2:$L$10001,Colección!$G$2:$G$10001,$A281,Colección!$M$2:$M$10001,"Compra")</f>
        <v>69.323125000000005</v>
      </c>
      <c r="C281">
        <f>SUMIFS(Colección!$K$2:$K$10001,Colección!$G$2:$G$10001,$A281,Colección!$M$2:$M$10001,"Compra")</f>
        <v>4</v>
      </c>
      <c r="D281">
        <f>IF($B281=0,"",_xlfn.RANK.EQ($B281,$B$2:$B$321,0)+COUNTIF($B$2:B281,$B281)-1)</f>
        <v>114</v>
      </c>
      <c r="F281" t="str">
        <f>"Celestial Colonnade"</f>
        <v>Celestial Colonnade</v>
      </c>
      <c r="G281">
        <f>SUMIFS(Colección!$L$2:$L$10001,Colección!$F$2:$F$10001,$F281,Colección!$M$2:$M$10001,"Compra")</f>
        <v>15.371038706131742</v>
      </c>
      <c r="H281">
        <f>IF($G281=0,"",_xlfn.RANK.EQ($G281,$G$2:$G$2353,0)+COUNTIF($G$2:G281,$G281)-1)</f>
        <v>491</v>
      </c>
    </row>
    <row r="282" spans="1:8" x14ac:dyDescent="0.25">
      <c r="A282" t="str">
        <f>"Theros Beyond Death: Promos"</f>
        <v>Theros Beyond Death: Promos</v>
      </c>
      <c r="B282">
        <f>SUMIFS(Colección!$L$2:$L$10001,Colección!$G$2:$G$10001,$A282,Colección!$M$2:$M$10001,"Compra")</f>
        <v>15.52015873015873</v>
      </c>
      <c r="C282">
        <f>SUMIFS(Colección!$K$2:$K$10001,Colección!$G$2:$G$10001,$A282,Colección!$M$2:$M$10001,"Compra")</f>
        <v>4</v>
      </c>
      <c r="D282">
        <f>IF($B282=0,"",_xlfn.RANK.EQ($B282,$B$2:$B$321,0)+COUNTIF($B$2:B282,$B282)-1)</f>
        <v>220</v>
      </c>
      <c r="F282" t="str">
        <f>"Celestial Purge [Playset]"</f>
        <v>Celestial Purge [Playset]</v>
      </c>
      <c r="G282">
        <f>SUMIFS(Colección!$L$2:$L$10001,Colección!$F$2:$F$10001,$F282,Colección!$M$2:$M$10001,"Compra")</f>
        <v>7.68</v>
      </c>
      <c r="H282">
        <f>IF($G282=0,"",_xlfn.RANK.EQ($G282,$G$2:$G$2353,0)+COUNTIF($G$2:G282,$G282)-1)</f>
        <v>765</v>
      </c>
    </row>
    <row r="283" spans="1:8" x14ac:dyDescent="0.25">
      <c r="A283" t="str">
        <f>"Throne of Eldraine"</f>
        <v>Throne of Eldraine</v>
      </c>
      <c r="B283">
        <f>SUMIFS(Colección!$L$2:$L$10001,Colección!$G$2:$G$10001,$A283,Colección!$M$2:$M$10001,"Compra")</f>
        <v>63.846037094318888</v>
      </c>
      <c r="C283">
        <f>SUMIFS(Colección!$K$2:$K$10001,Colección!$G$2:$G$10001,$A283,Colección!$M$2:$M$10001,"Compra")</f>
        <v>38</v>
      </c>
      <c r="D283">
        <f>IF($B283=0,"",_xlfn.RANK.EQ($B283,$B$2:$B$321,0)+COUNTIF($B$2:B283,$B283)-1)</f>
        <v>124</v>
      </c>
      <c r="F283" t="str">
        <f>"Censor"</f>
        <v>Censor</v>
      </c>
      <c r="G283">
        <f>SUMIFS(Colección!$L$2:$L$10001,Colección!$F$2:$F$10001,$F283,Colección!$M$2:$M$10001,"Compra")</f>
        <v>1.6373287671232877</v>
      </c>
      <c r="H283">
        <f>IF($G283=0,"",_xlfn.RANK.EQ($G283,$G$2:$G$2353,0)+COUNTIF($G$2:G283,$G283)-1)</f>
        <v>1442</v>
      </c>
    </row>
    <row r="284" spans="1:8" x14ac:dyDescent="0.25">
      <c r="A284" t="str">
        <f>"Throne of Eldraine: Extras"</f>
        <v>Throne of Eldraine: Extras</v>
      </c>
      <c r="B284">
        <f>SUMIFS(Colección!$L$2:$L$10001,Colección!$G$2:$G$10001,$A284,Colección!$M$2:$M$10001,"Compra")</f>
        <v>14.445388760585065</v>
      </c>
      <c r="C284">
        <f>SUMIFS(Colección!$K$2:$K$10001,Colección!$G$2:$G$10001,$A284,Colección!$M$2:$M$10001,"Compra")</f>
        <v>2</v>
      </c>
      <c r="D284">
        <f>IF($B284=0,"",_xlfn.RANK.EQ($B284,$B$2:$B$321,0)+COUNTIF($B$2:B284,$B284)-1)</f>
        <v>223</v>
      </c>
      <c r="F284" t="str">
        <f>"Cephalid Coliseum"</f>
        <v>Cephalid Coliseum</v>
      </c>
      <c r="G284">
        <f>SUMIFS(Colección!$L$2:$L$10001,Colección!$F$2:$F$10001,$F284,Colección!$M$2:$M$10001,"Compra")</f>
        <v>3.1507993966817498</v>
      </c>
      <c r="H284">
        <f>IF($G284=0,"",_xlfn.RANK.EQ($G284,$G$2:$G$2353,0)+COUNTIF($G$2:G284,$G284)-1)</f>
        <v>1183</v>
      </c>
    </row>
    <row r="285" spans="1:8" x14ac:dyDescent="0.25">
      <c r="A285" t="str">
        <f>"Throne of Eldraine: Promos"</f>
        <v>Throne of Eldraine: Promos</v>
      </c>
      <c r="B285">
        <f>SUMIFS(Colección!$L$2:$L$10001,Colección!$G$2:$G$10001,$A285,Colección!$M$2:$M$10001,"Compra")</f>
        <v>17.803558282208591</v>
      </c>
      <c r="C285">
        <f>SUMIFS(Colección!$K$2:$K$10001,Colección!$G$2:$G$10001,$A285,Colección!$M$2:$M$10001,"Compra")</f>
        <v>2</v>
      </c>
      <c r="D285">
        <f>IF($B285=0,"",_xlfn.RANK.EQ($B285,$B$2:$B$321,0)+COUNTIF($B$2:B285,$B285)-1)</f>
        <v>214</v>
      </c>
      <c r="F285" t="str">
        <f>"Cephalid Illusionist"</f>
        <v>Cephalid Illusionist</v>
      </c>
      <c r="G285">
        <f>SUMIFS(Colección!$L$2:$L$10001,Colección!$F$2:$F$10001,$F285,Colección!$M$2:$M$10001,"Compra")</f>
        <v>17.413718566078117</v>
      </c>
      <c r="H285">
        <f>IF($G285=0,"",_xlfn.RANK.EQ($G285,$G$2:$G$2353,0)+COUNTIF($G$2:G285,$G285)-1)</f>
        <v>444</v>
      </c>
    </row>
    <row r="286" spans="1:8" x14ac:dyDescent="0.25">
      <c r="A286" t="str">
        <f>"Time Spiral"</f>
        <v>Time Spiral</v>
      </c>
      <c r="B286">
        <f>SUMIFS(Colección!$L$2:$L$10001,Colección!$G$2:$G$10001,$A286,Colección!$M$2:$M$10001,"Compra")</f>
        <v>87.255495712351433</v>
      </c>
      <c r="C286">
        <f>SUMIFS(Colección!$K$2:$K$10001,Colección!$G$2:$G$10001,$A286,Colección!$M$2:$M$10001,"Compra")</f>
        <v>14</v>
      </c>
      <c r="D286">
        <f>IF($B286=0,"",_xlfn.RANK.EQ($B286,$B$2:$B$321,0)+COUNTIF($B$2:B286,$B286)-1)</f>
        <v>97</v>
      </c>
      <c r="F286" t="str">
        <f>"Ceremonious Rejection"</f>
        <v>Ceremonious Rejection</v>
      </c>
      <c r="G286">
        <f>SUMIFS(Colección!$L$2:$L$10001,Colección!$F$2:$F$10001,$F286,Colección!$M$2:$M$10001,"Compra")</f>
        <v>1.1782547699214365</v>
      </c>
      <c r="H286">
        <f>IF($G286=0,"",_xlfn.RANK.EQ($G286,$G$2:$G$2353,0)+COUNTIF($G$2:G286,$G286)-1)</f>
        <v>1571</v>
      </c>
    </row>
    <row r="287" spans="1:8" x14ac:dyDescent="0.25">
      <c r="A287" t="str">
        <f>"Time Spiral Remastered"</f>
        <v>Time Spiral Remastered</v>
      </c>
      <c r="B287">
        <f>SUMIFS(Colección!$L$2:$L$10001,Colección!$G$2:$G$10001,$A287,Colección!$M$2:$M$10001,"Compra")</f>
        <v>84.178552202104072</v>
      </c>
      <c r="C287">
        <f>SUMIFS(Colección!$K$2:$K$10001,Colección!$G$2:$G$10001,$A287,Colección!$M$2:$M$10001,"Compra")</f>
        <v>31</v>
      </c>
      <c r="D287">
        <f>IF($B287=0,"",_xlfn.RANK.EQ($B287,$B$2:$B$321,0)+COUNTIF($B$2:B287,$B287)-1)</f>
        <v>99</v>
      </c>
      <c r="F287" t="str">
        <f>"Chainer's Edict (V.1)"</f>
        <v>Chainer's Edict (V.1)</v>
      </c>
      <c r="G287">
        <f>SUMIFS(Colección!$L$2:$L$10001,Colección!$F$2:$F$10001,$F287,Colección!$M$2:$M$10001,"Compra")</f>
        <v>3.0968510638297868</v>
      </c>
      <c r="H287">
        <f>IF($G287=0,"",_xlfn.RANK.EQ($G287,$G$2:$G$2353,0)+COUNTIF($G$2:G287,$G287)-1)</f>
        <v>1187</v>
      </c>
    </row>
    <row r="288" spans="1:8" x14ac:dyDescent="0.25">
      <c r="A288" t="str">
        <f>"Time Spiral Remastered: Extras"</f>
        <v>Time Spiral Remastered: Extras</v>
      </c>
      <c r="B288">
        <f>SUMIFS(Colección!$L$2:$L$10001,Colección!$G$2:$G$10001,$A288,Colección!$M$2:$M$10001,"Compra")</f>
        <v>571.77355455712063</v>
      </c>
      <c r="C288">
        <f>SUMIFS(Colección!$K$2:$K$10001,Colección!$G$2:$G$10001,$A288,Colección!$M$2:$M$10001,"Compra")</f>
        <v>113</v>
      </c>
      <c r="D288">
        <f>IF($B288=0,"",_xlfn.RANK.EQ($B288,$B$2:$B$321,0)+COUNTIF($B$2:B288,$B288)-1)</f>
        <v>14</v>
      </c>
      <c r="F288" t="str">
        <f>"Chaka (OP04-008)"</f>
        <v>Chaka (OP04-008)</v>
      </c>
      <c r="G288">
        <f>SUMIFS(Colección!$L$2:$L$10001,Colección!$F$2:$F$10001,$F288,Colección!$M$2:$M$10001,"Compra")</f>
        <v>6.1898734177215198E-2</v>
      </c>
      <c r="H288">
        <f>IF($G288=0,"",_xlfn.RANK.EQ($G288,$G$2:$G$2353,0)+COUNTIF($G$2:G288,$G288)-1)</f>
        <v>2261</v>
      </c>
    </row>
    <row r="289" spans="1:8" x14ac:dyDescent="0.25">
      <c r="A289" t="str">
        <f>"Torment"</f>
        <v>Torment</v>
      </c>
      <c r="B289">
        <f>SUMIFS(Colección!$L$2:$L$10001,Colección!$G$2:$G$10001,$A289,Colección!$M$2:$M$10001,"Compra")</f>
        <v>245.00390492104941</v>
      </c>
      <c r="C289">
        <f>SUMIFS(Colección!$K$2:$K$10001,Colección!$G$2:$G$10001,$A289,Colección!$M$2:$M$10001,"Compra")</f>
        <v>30</v>
      </c>
      <c r="D289">
        <f>IF($B289=0,"",_xlfn.RANK.EQ($B289,$B$2:$B$321,0)+COUNTIF($B$2:B289,$B289)-1)</f>
        <v>38</v>
      </c>
      <c r="F289" t="str">
        <f>"Chaka (OP05-008)"</f>
        <v>Chaka (OP05-008)</v>
      </c>
      <c r="G289">
        <f>SUMIFS(Colección!$L$2:$L$10001,Colección!$F$2:$F$10001,$F289,Colección!$M$2:$M$10001,"Compra")</f>
        <v>6.7654260528893242E-2</v>
      </c>
      <c r="H289">
        <f>IF($G289=0,"",_xlfn.RANK.EQ($G289,$G$2:$G$2353,0)+COUNTIF($G$2:G289,$G289)-1)</f>
        <v>2237</v>
      </c>
    </row>
    <row r="290" spans="1:8" x14ac:dyDescent="0.25">
      <c r="A290" t="str">
        <f>"UA 3/"</f>
        <v>UA 3/</v>
      </c>
      <c r="B290">
        <f>SUMIFS(Colección!$L$2:$L$10001,Colección!$G$2:$G$10001,$A290,Colección!$M$2:$M$10001,"Compra")</f>
        <v>0</v>
      </c>
      <c r="C290">
        <f>SUMIFS(Colección!$K$2:$K$10001,Colección!$G$2:$G$10001,$A290,Colección!$M$2:$M$10001,"Compra")</f>
        <v>0</v>
      </c>
      <c r="D290" t="str">
        <f>IF($B290=0,"",_xlfn.RANK.EQ($B290,$B$2:$B$321,0)+COUNTIF($B$2:B290,$B290)-1)</f>
        <v/>
      </c>
      <c r="F290" t="str">
        <f>"Chakram Dancer"</f>
        <v>Chakram Dancer</v>
      </c>
      <c r="G290">
        <f>SUMIFS(Colección!$L$2:$L$10001,Colección!$F$2:$F$10001,$F290,Colección!$M$2:$M$10001,"Compra")</f>
        <v>1.5543532482598608</v>
      </c>
      <c r="H290">
        <f>IF($G290=0,"",_xlfn.RANK.EQ($G290,$G$2:$G$2353,0)+COUNTIF($G$2:G290,$G290)-1)</f>
        <v>1474</v>
      </c>
    </row>
    <row r="291" spans="1:8" x14ac:dyDescent="0.25">
      <c r="A291" t="str">
        <f>"Ultimate Masters"</f>
        <v>Ultimate Masters</v>
      </c>
      <c r="B291">
        <f>SUMIFS(Colección!$L$2:$L$10001,Colección!$G$2:$G$10001,$A291,Colección!$M$2:$M$10001,"Compra")</f>
        <v>88.187731230606431</v>
      </c>
      <c r="C291">
        <f>SUMIFS(Colección!$K$2:$K$10001,Colección!$G$2:$G$10001,$A291,Colección!$M$2:$M$10001,"Compra")</f>
        <v>23</v>
      </c>
      <c r="D291">
        <f>IF($B291=0,"",_xlfn.RANK.EQ($B291,$B$2:$B$321,0)+COUNTIF($B$2:B291,$B291)-1)</f>
        <v>96</v>
      </c>
      <c r="F291" t="str">
        <f>"Chalice of the Void"</f>
        <v>Chalice of the Void</v>
      </c>
      <c r="G291">
        <f>SUMIFS(Colección!$L$2:$L$10001,Colección!$F$2:$F$10001,$F291,Colección!$M$2:$M$10001,"Compra")</f>
        <v>125.07</v>
      </c>
      <c r="H291">
        <f>IF($G291=0,"",_xlfn.RANK.EQ($G291,$G$2:$G$2353,0)+COUNTIF($G$2:G291,$G291)-1)</f>
        <v>52</v>
      </c>
    </row>
    <row r="292" spans="1:8" x14ac:dyDescent="0.25">
      <c r="A292" t="str">
        <f>"Unfinity"</f>
        <v>Unfinity</v>
      </c>
      <c r="B292">
        <f>SUMIFS(Colección!$L$2:$L$10001,Colección!$G$2:$G$10001,$A292,Colección!$M$2:$M$10001,"Compra")</f>
        <v>51.892193308550183</v>
      </c>
      <c r="C292">
        <f>SUMIFS(Colección!$K$2:$K$10001,Colección!$G$2:$G$10001,$A292,Colección!$M$2:$M$10001,"Compra")</f>
        <v>20</v>
      </c>
      <c r="D292">
        <f>IF($B292=0,"",_xlfn.RANK.EQ($B292,$B$2:$B$321,0)+COUNTIF($B$2:B292,$B292)-1)</f>
        <v>139</v>
      </c>
      <c r="F292" t="str">
        <f>"Challenge"</f>
        <v>Challenge</v>
      </c>
      <c r="G292">
        <f>SUMIFS(Colección!$L$2:$L$10001,Colección!$F$2:$F$10001,$F292,Colección!$M$2:$M$10001,"Compra")</f>
        <v>0.73232529628116061</v>
      </c>
      <c r="H292">
        <f>IF($G292=0,"",_xlfn.RANK.EQ($G292,$G$2:$G$2353,0)+COUNTIF($G$2:G292,$G292)-1)</f>
        <v>1747</v>
      </c>
    </row>
    <row r="293" spans="1:8" x14ac:dyDescent="0.25">
      <c r="A293" t="str">
        <f>"Unfinity: Extras"</f>
        <v>Unfinity: Extras</v>
      </c>
      <c r="B293">
        <f>SUMIFS(Colección!$L$2:$L$10001,Colección!$G$2:$G$10001,$A293,Colección!$M$2:$M$10001,"Compra")</f>
        <v>1.1695205479452055</v>
      </c>
      <c r="C293">
        <f>SUMIFS(Colección!$K$2:$K$10001,Colección!$G$2:$G$10001,$A293,Colección!$M$2:$M$10001,"Compra")</f>
        <v>6</v>
      </c>
      <c r="D293">
        <f>IF($B293=0,"",_xlfn.RANK.EQ($B293,$B$2:$B$321,0)+COUNTIF($B$2:B293,$B293)-1)</f>
        <v>299</v>
      </c>
      <c r="F293" t="str">
        <f>"Chandra, Fire Artisan"</f>
        <v>Chandra, Fire Artisan</v>
      </c>
      <c r="G293">
        <f>SUMIFS(Colección!$L$2:$L$10001,Colección!$F$2:$F$10001,$F293,Colección!$M$2:$M$10001,"Compra")</f>
        <v>0.4363636363636364</v>
      </c>
      <c r="H293">
        <f>IF($G293=0,"",_xlfn.RANK.EQ($G293,$G$2:$G$2353,0)+COUNTIF($G$2:G293,$G293)-1)</f>
        <v>1924</v>
      </c>
    </row>
    <row r="294" spans="1:8" x14ac:dyDescent="0.25">
      <c r="A294" t="str">
        <f>"Unglued"</f>
        <v>Unglued</v>
      </c>
      <c r="B294">
        <f>SUMIFS(Colección!$L$2:$L$10001,Colección!$G$2:$G$10001,$A294,Colección!$M$2:$M$10001,"Compra")</f>
        <v>104.15</v>
      </c>
      <c r="C294">
        <f>SUMIFS(Colección!$K$2:$K$10001,Colección!$G$2:$G$10001,$A294,Colección!$M$2:$M$10001,"Compra")</f>
        <v>20</v>
      </c>
      <c r="D294">
        <f>IF($B294=0,"",_xlfn.RANK.EQ($B294,$B$2:$B$321,0)+COUNTIF($B$2:B294,$B294)-1)</f>
        <v>78</v>
      </c>
      <c r="F294" t="str">
        <f>"Change the Equation"</f>
        <v>Change the Equation</v>
      </c>
      <c r="G294">
        <f>SUMIFS(Colección!$L$2:$L$10001,Colección!$F$2:$F$10001,$F294,Colección!$M$2:$M$10001,"Compra")</f>
        <v>0.39219543147208119</v>
      </c>
      <c r="H294">
        <f>IF($G294=0,"",_xlfn.RANK.EQ($G294,$G$2:$G$2353,0)+COUNTIF($G$2:G294,$G294)-1)</f>
        <v>1965</v>
      </c>
    </row>
    <row r="295" spans="1:8" x14ac:dyDescent="0.25">
      <c r="A295" t="str">
        <f>"Unhinged"</f>
        <v>Unhinged</v>
      </c>
      <c r="B295">
        <f>SUMIFS(Colección!$L$2:$L$10001,Colección!$G$2:$G$10001,$A295,Colección!$M$2:$M$10001,"Compra")</f>
        <v>63.816489262371618</v>
      </c>
      <c r="C295">
        <f>SUMIFS(Colección!$K$2:$K$10001,Colección!$G$2:$G$10001,$A295,Colección!$M$2:$M$10001,"Compra")</f>
        <v>20</v>
      </c>
      <c r="D295">
        <f>IF($B295=0,"",_xlfn.RANK.EQ($B295,$B$2:$B$321,0)+COUNTIF($B$2:B295,$B295)-1)</f>
        <v>125</v>
      </c>
      <c r="F295" t="str">
        <f>"Chaos Rune"</f>
        <v>Chaos Rune</v>
      </c>
      <c r="G295">
        <f>SUMIFS(Colección!$L$2:$L$10001,Colección!$F$2:$F$10001,$F295,Colección!$M$2:$M$10001,"Compra")</f>
        <v>62.98528509951587</v>
      </c>
      <c r="H295">
        <f>IF($G295=0,"",_xlfn.RANK.EQ($G295,$G$2:$G$2353,0)+COUNTIF($G$2:G295,$G295)-1)</f>
        <v>134</v>
      </c>
    </row>
    <row r="296" spans="1:8" x14ac:dyDescent="0.25">
      <c r="A296" t="str">
        <f>"Universes Beyond: Assassin's Creed"</f>
        <v>Universes Beyond: Assassin's Creed</v>
      </c>
      <c r="B296">
        <f>SUMIFS(Colección!$L$2:$L$10001,Colección!$G$2:$G$10001,$A296,Colección!$M$2:$M$10001,"Compra")</f>
        <v>30.543910687234632</v>
      </c>
      <c r="C296">
        <f>SUMIFS(Colección!$K$2:$K$10001,Colección!$G$2:$G$10001,$A296,Colección!$M$2:$M$10001,"Compra")</f>
        <v>6</v>
      </c>
      <c r="D296">
        <f>IF($B296=0,"",_xlfn.RANK.EQ($B296,$B$2:$B$321,0)+COUNTIF($B$2:B296,$B296)-1)</f>
        <v>175</v>
      </c>
      <c r="F296" t="str">
        <f>"Chaos Rune (V.1 - Common)"</f>
        <v>Chaos Rune (V.1 - Common)</v>
      </c>
      <c r="G296">
        <f>SUMIFS(Colección!$L$2:$L$10001,Colección!$F$2:$F$10001,$F296,Colección!$M$2:$M$10001,"Compra")</f>
        <v>1.0532561505065123</v>
      </c>
      <c r="H296">
        <f>IF($G296=0,"",_xlfn.RANK.EQ($G296,$G$2:$G$2353,0)+COUNTIF($G$2:G296,$G296)-1)</f>
        <v>1628</v>
      </c>
    </row>
    <row r="297" spans="1:8" x14ac:dyDescent="0.25">
      <c r="A297" t="str">
        <f>"Universes Beyond: Assassin's Creed: E"</f>
        <v>Universes Beyond: Assassin's Creed: E</v>
      </c>
      <c r="B297">
        <f>SUMIFS(Colección!$L$2:$L$10001,Colección!$G$2:$G$10001,$A297,Colección!$M$2:$M$10001,"Compra")</f>
        <v>8.81</v>
      </c>
      <c r="C297">
        <f>SUMIFS(Colección!$K$2:$K$10001,Colección!$G$2:$G$10001,$A297,Colección!$M$2:$M$10001,"Compra")</f>
        <v>4</v>
      </c>
      <c r="D297">
        <f>IF($B297=0,"",_xlfn.RANK.EQ($B297,$B$2:$B$321,0)+COUNTIF($B$2:B297,$B297)-1)</f>
        <v>240</v>
      </c>
      <c r="F297" t="str">
        <f>"Charlestone (OP05-038)"</f>
        <v>Charlestone (OP05-038)</v>
      </c>
      <c r="G297">
        <f>SUMIFS(Colección!$L$2:$L$10001,Colección!$F$2:$F$10001,$F297,Colección!$M$2:$M$10001,"Compra")</f>
        <v>2.7061704211557298E-2</v>
      </c>
      <c r="H297">
        <f>IF($G297=0,"",_xlfn.RANK.EQ($G297,$G$2:$G$2353,0)+COUNTIF($G$2:G297,$G297)-1)</f>
        <v>2340</v>
      </c>
    </row>
    <row r="298" spans="1:8" x14ac:dyDescent="0.25">
      <c r="A298" t="str">
        <f>"Universes Beyond: Doctor Who"</f>
        <v>Universes Beyond: Doctor Who</v>
      </c>
      <c r="B298">
        <f>SUMIFS(Colección!$L$2:$L$10001,Colección!$G$2:$G$10001,$A298,Colección!$M$2:$M$10001,"Compra")</f>
        <v>17.173148936170215</v>
      </c>
      <c r="C298">
        <f>SUMIFS(Colección!$K$2:$K$10001,Colección!$G$2:$G$10001,$A298,Colección!$M$2:$M$10001,"Compra")</f>
        <v>6</v>
      </c>
      <c r="D298">
        <f>IF($B298=0,"",_xlfn.RANK.EQ($B298,$B$2:$B$321,0)+COUNTIF($B$2:B298,$B298)-1)</f>
        <v>215</v>
      </c>
      <c r="F298" t="str">
        <f>"Charlotte Amande (OP04-105)"</f>
        <v>Charlotte Amande (OP04-105)</v>
      </c>
      <c r="G298">
        <f>SUMIFS(Colección!$L$2:$L$10001,Colección!$F$2:$F$10001,$F298,Colección!$M$2:$M$10001,"Compra")</f>
        <v>9.2848101265822783E-2</v>
      </c>
      <c r="H298">
        <f>IF($G298=0,"",_xlfn.RANK.EQ($G298,$G$2:$G$2353,0)+COUNTIF($G$2:G298,$G298)-1)</f>
        <v>2209</v>
      </c>
    </row>
    <row r="299" spans="1:8" x14ac:dyDescent="0.25">
      <c r="A299" t="str">
        <f>"Universes Beyond: Fallou"</f>
        <v>Universes Beyond: Fallou</v>
      </c>
      <c r="B299">
        <f>SUMIFS(Colección!$L$2:$L$10001,Colección!$G$2:$G$10001,$A299,Colección!$M$2:$M$10001,"Compra")</f>
        <v>0.27978260869565219</v>
      </c>
      <c r="C299">
        <f>SUMIFS(Colección!$K$2:$K$10001,Colección!$G$2:$G$10001,$A299,Colección!$M$2:$M$10001,"Compra")</f>
        <v>1</v>
      </c>
      <c r="D299">
        <f>IF($B299=0,"",_xlfn.RANK.EQ($B299,$B$2:$B$321,0)+COUNTIF($B$2:B299,$B299)-1)</f>
        <v>311</v>
      </c>
      <c r="F299" t="str">
        <f>"Charlotte Chiffon (OP03-109)"</f>
        <v>Charlotte Chiffon (OP03-109)</v>
      </c>
      <c r="G299">
        <f>SUMIFS(Colección!$L$2:$L$10001,Colección!$F$2:$F$10001,$F299,Colección!$M$2:$M$10001,"Compra")</f>
        <v>9.5193798449612399E-2</v>
      </c>
      <c r="H299">
        <f>IF($G299=0,"",_xlfn.RANK.EQ($G299,$G$2:$G$2353,0)+COUNTIF($G$2:G299,$G299)-1)</f>
        <v>2164</v>
      </c>
    </row>
    <row r="300" spans="1:8" x14ac:dyDescent="0.25">
      <c r="A300" t="str">
        <f>"Universes Beyond: Warhammer 40,000"</f>
        <v>Universes Beyond: Warhammer 40,000</v>
      </c>
      <c r="B300">
        <f>SUMIFS(Colección!$L$2:$L$10001,Colección!$G$2:$G$10001,$A300,Colección!$M$2:$M$10001,"Compra")</f>
        <v>1.5447012018758957</v>
      </c>
      <c r="C300">
        <f>SUMIFS(Colección!$K$2:$K$10001,Colección!$G$2:$G$10001,$A300,Colección!$M$2:$M$10001,"Compra")</f>
        <v>9</v>
      </c>
      <c r="D300">
        <f>IF($B300=0,"",_xlfn.RANK.EQ($B300,$B$2:$B$321,0)+COUNTIF($B$2:B300,$B300)-1)</f>
        <v>296</v>
      </c>
      <c r="F300" t="str">
        <f>"Charlotte Cracker (OP03-108) (V.1)"</f>
        <v>Charlotte Cracker (OP03-108) (V.1)</v>
      </c>
      <c r="G300">
        <f>SUMIFS(Colección!$L$2:$L$10001,Colección!$F$2:$F$10001,$F300,Colección!$M$2:$M$10001,"Compra")</f>
        <v>1.178711484593838</v>
      </c>
      <c r="H300">
        <f>IF($G300=0,"",_xlfn.RANK.EQ($G300,$G$2:$G$2353,0)+COUNTIF($G$2:G300,$G300)-1)</f>
        <v>1570</v>
      </c>
    </row>
    <row r="301" spans="1:8" x14ac:dyDescent="0.25">
      <c r="A301" t="str">
        <f>"Unleashed"</f>
        <v>Unleashed</v>
      </c>
      <c r="B301">
        <f>SUMIFS(Colección!$L$2:$L$10001,Colección!$G$2:$G$10001,$A301,Colección!$M$2:$M$10001,"Compra")</f>
        <v>1759.3655064535035</v>
      </c>
      <c r="C301">
        <f>SUMIFS(Colección!$K$2:$K$10001,Colección!$G$2:$G$10001,$A301,Colección!$M$2:$M$10001,"Compra")</f>
        <v>163</v>
      </c>
      <c r="D301">
        <f>IF($B301=0,"",_xlfn.RANK.EQ($B301,$B$2:$B$321,0)+COUNTIF($B$2:B301,$B301)-1)</f>
        <v>2</v>
      </c>
      <c r="F301" t="str">
        <f>"Charlotte Galette (OP03-107)"</f>
        <v>Charlotte Galette (OP03-107)</v>
      </c>
      <c r="G301">
        <f>SUMIFS(Colección!$L$2:$L$10001,Colección!$F$2:$F$10001,$F301,Colección!$M$2:$M$10001,"Compra")</f>
        <v>9.5193798449612399E-2</v>
      </c>
      <c r="H301">
        <f>IF($G301=0,"",_xlfn.RANK.EQ($G301,$G$2:$G$2353,0)+COUNTIF($G$2:G301,$G301)-1)</f>
        <v>2165</v>
      </c>
    </row>
    <row r="302" spans="1:8" x14ac:dyDescent="0.25">
      <c r="A302" t="str">
        <f>"Unnumbered Promos"</f>
        <v>Unnumbered Promos</v>
      </c>
      <c r="B302">
        <f>SUMIFS(Colección!$L$2:$L$10001,Colección!$G$2:$G$10001,$A302,Colección!$M$2:$M$10001,"Compra")</f>
        <v>0.11899224806201553</v>
      </c>
      <c r="C302">
        <f>SUMIFS(Colección!$K$2:$K$10001,Colección!$G$2:$G$10001,$A302,Colección!$M$2:$M$10001,"Compra")</f>
        <v>2</v>
      </c>
      <c r="D302">
        <f>IF($B302=0,"",_xlfn.RANK.EQ($B302,$B$2:$B$321,0)+COUNTIF($B$2:B302,$B302)-1)</f>
        <v>317</v>
      </c>
      <c r="F302" t="str">
        <f>"Charlotte Katakuri (OP03-099) (V.1)"</f>
        <v>Charlotte Katakuri (OP03-099) (V.1)</v>
      </c>
      <c r="G302">
        <f>SUMIFS(Colección!$L$2:$L$10001,Colección!$F$2:$F$10001,$F302,Colección!$M$2:$M$10001,"Compra")</f>
        <v>0.47596899224806211</v>
      </c>
      <c r="H302">
        <f>IF($G302=0,"",_xlfn.RANK.EQ($G302,$G$2:$G$2353,0)+COUNTIF($G$2:G302,$G302)-1)</f>
        <v>1896</v>
      </c>
    </row>
    <row r="303" spans="1:8" x14ac:dyDescent="0.25">
      <c r="A303" t="str">
        <f>"Unstable"</f>
        <v>Unstable</v>
      </c>
      <c r="B303">
        <f>SUMIFS(Colección!$L$2:$L$10001,Colección!$G$2:$G$10001,$A303,Colección!$M$2:$M$10001,"Compra")</f>
        <v>5.9879467353951892</v>
      </c>
      <c r="C303">
        <f>SUMIFS(Colección!$K$2:$K$10001,Colección!$G$2:$G$10001,$A303,Colección!$M$2:$M$10001,"Compra")</f>
        <v>5</v>
      </c>
      <c r="D303">
        <f>IF($B303=0,"",_xlfn.RANK.EQ($B303,$B$2:$B$321,0)+COUNTIF($B$2:B303,$B303)-1)</f>
        <v>259</v>
      </c>
      <c r="F303" t="str">
        <f>"Charlotte Linlin (OP03-077) (V.1)"</f>
        <v>Charlotte Linlin (OP03-077) (V.1)</v>
      </c>
      <c r="G303">
        <f>SUMIFS(Colección!$L$2:$L$10001,Colección!$F$2:$F$10001,$F303,Colección!$M$2:$M$10001,"Compra")</f>
        <v>0.40457364341085272</v>
      </c>
      <c r="H303">
        <f>IF($G303=0,"",_xlfn.RANK.EQ($G303,$G$2:$G$2353,0)+COUNTIF($G$2:G303,$G303)-1)</f>
        <v>1950</v>
      </c>
    </row>
    <row r="304" spans="1:8" x14ac:dyDescent="0.25">
      <c r="A304" t="str">
        <f>"Urza's Destiny"</f>
        <v>Urza's Destiny</v>
      </c>
      <c r="B304">
        <f>SUMIFS(Colección!$L$2:$L$10001,Colección!$G$2:$G$10001,$A304,Colección!$M$2:$M$10001,"Compra")</f>
        <v>158.79478053733209</v>
      </c>
      <c r="C304">
        <f>SUMIFS(Colección!$K$2:$K$10001,Colección!$G$2:$G$10001,$A304,Colección!$M$2:$M$10001,"Compra")</f>
        <v>7</v>
      </c>
      <c r="D304">
        <f>IF($B304=0,"",_xlfn.RANK.EQ($B304,$B$2:$B$321,0)+COUNTIF($B$2:B304,$B304)-1)</f>
        <v>60</v>
      </c>
      <c r="F304" t="str">
        <f>"Charlotte Linlin (OP03-114) (V.1)"</f>
        <v>Charlotte Linlin (OP03-114) (V.1)</v>
      </c>
      <c r="G304">
        <f>SUMIFS(Colección!$L$2:$L$10001,Colección!$F$2:$F$10001,$F304,Colección!$M$2:$M$10001,"Compra")</f>
        <v>0.82509803921568625</v>
      </c>
      <c r="H304">
        <f>IF($G304=0,"",_xlfn.RANK.EQ($G304,$G$2:$G$2353,0)+COUNTIF($G$2:G304,$G304)-1)</f>
        <v>1711</v>
      </c>
    </row>
    <row r="305" spans="1:8" x14ac:dyDescent="0.25">
      <c r="A305" t="str">
        <f>"Urza's Legacy"</f>
        <v>Urza's Legacy</v>
      </c>
      <c r="B305">
        <f>SUMIFS(Colección!$L$2:$L$10001,Colección!$G$2:$G$10001,$A305,Colección!$M$2:$M$10001,"Compra")</f>
        <v>89.678876223826194</v>
      </c>
      <c r="C305">
        <f>SUMIFS(Colección!$K$2:$K$10001,Colección!$G$2:$G$10001,$A305,Colección!$M$2:$M$10001,"Compra")</f>
        <v>15</v>
      </c>
      <c r="D305">
        <f>IF($B305=0,"",_xlfn.RANK.EQ($B305,$B$2:$B$321,0)+COUNTIF($B$2:B305,$B305)-1)</f>
        <v>92</v>
      </c>
      <c r="F305" t="str">
        <f>"Charlotte Moscato (OP04-108)"</f>
        <v>Charlotte Moscato (OP04-108)</v>
      </c>
      <c r="G305">
        <f>SUMIFS(Colección!$L$2:$L$10001,Colección!$F$2:$F$10001,$F305,Colección!$M$2:$M$10001,"Compra")</f>
        <v>6.1898734177215198E-2</v>
      </c>
      <c r="H305">
        <f>IF($G305=0,"",_xlfn.RANK.EQ($G305,$G$2:$G$2353,0)+COUNTIF($G$2:G305,$G305)-1)</f>
        <v>2262</v>
      </c>
    </row>
    <row r="306" spans="1:8" x14ac:dyDescent="0.25">
      <c r="A306" t="str">
        <f>"Urza's Saga"</f>
        <v>Urza's Saga</v>
      </c>
      <c r="B306">
        <f>SUMIFS(Colección!$L$2:$L$10001,Colección!$G$2:$G$10001,$A306,Colección!$M$2:$M$10001,"Compra")</f>
        <v>1128.7761866105607</v>
      </c>
      <c r="C306">
        <f>SUMIFS(Colección!$K$2:$K$10001,Colección!$G$2:$G$10001,$A306,Colección!$M$2:$M$10001,"Compra")</f>
        <v>71</v>
      </c>
      <c r="D306">
        <f>IF($B306=0,"",_xlfn.RANK.EQ($B306,$B$2:$B$321,0)+COUNTIF($B$2:B306,$B306)-1)</f>
        <v>7</v>
      </c>
      <c r="F306" t="str">
        <f>"Charlotte Opera (OP03-106)"</f>
        <v>Charlotte Opera (OP03-106)</v>
      </c>
      <c r="G306">
        <f>SUMIFS(Colección!$L$2:$L$10001,Colección!$F$2:$F$10001,$F306,Colección!$M$2:$M$10001,"Compra")</f>
        <v>9.5193798449612399E-2</v>
      </c>
      <c r="H306">
        <f>IF($G306=0,"",_xlfn.RANK.EQ($G306,$G$2:$G$2353,0)+COUNTIF($G$2:G306,$G306)-1)</f>
        <v>2166</v>
      </c>
    </row>
    <row r="307" spans="1:8" x14ac:dyDescent="0.25">
      <c r="A307" t="str">
        <f>"Version 1"</f>
        <v>Version 1</v>
      </c>
      <c r="B307">
        <f>SUMIFS(Colección!$L$2:$L$10001,Colección!$G$2:$G$10001,$A307,Colección!$M$2:$M$10001,"Compra")</f>
        <v>26.870444763271163</v>
      </c>
      <c r="C307">
        <f>SUMIFS(Colección!$K$2:$K$10001,Colección!$G$2:$G$10001,$A307,Colección!$M$2:$M$10001,"Compra")</f>
        <v>5</v>
      </c>
      <c r="D307">
        <f>IF($B307=0,"",_xlfn.RANK.EQ($B307,$B$2:$B$321,0)+COUNTIF($B$2:B307,$B307)-1)</f>
        <v>186</v>
      </c>
      <c r="F307" t="str">
        <f>"Charlotte Oven (OP03-105)"</f>
        <v>Charlotte Oven (OP03-105)</v>
      </c>
      <c r="G307">
        <f>SUMIFS(Colección!$L$2:$L$10001,Colección!$F$2:$F$10001,$F307,Colección!$M$2:$M$10001,"Compra")</f>
        <v>0.22608527131782949</v>
      </c>
      <c r="H307">
        <f>IF($G307=0,"",_xlfn.RANK.EQ($G307,$G$2:$G$2353,0)+COUNTIF($G$2:G307,$G307)-1)</f>
        <v>2059</v>
      </c>
    </row>
    <row r="308" spans="1:8" x14ac:dyDescent="0.25">
      <c r="A308" t="str">
        <f>"Version 2"</f>
        <v>Version 2</v>
      </c>
      <c r="B308">
        <f>SUMIFS(Colección!$L$2:$L$10001,Colección!$G$2:$G$10001,$A308,Colección!$M$2:$M$10001,"Compra")</f>
        <v>38.144444007687213</v>
      </c>
      <c r="C308">
        <f>SUMIFS(Colección!$K$2:$K$10001,Colección!$G$2:$G$10001,$A308,Colección!$M$2:$M$10001,"Compra")</f>
        <v>7</v>
      </c>
      <c r="D308">
        <f>IF($B308=0,"",_xlfn.RANK.EQ($B308,$B$2:$B$321,0)+COUNTIF($B$2:B308,$B308)-1)</f>
        <v>160</v>
      </c>
      <c r="F308" t="str">
        <f>"Charlotte Perospero (OP03-113) (V.1)"</f>
        <v>Charlotte Perospero (OP03-113) (V.1)</v>
      </c>
      <c r="G308">
        <f>SUMIFS(Colección!$L$2:$L$10001,Colección!$F$2:$F$10001,$F308,Colección!$M$2:$M$10001,"Compra")</f>
        <v>1.031372549019608</v>
      </c>
      <c r="H308">
        <f>IF($G308=0,"",_xlfn.RANK.EQ($G308,$G$2:$G$2353,0)+COUNTIF($G$2:G308,$G308)-1)</f>
        <v>1645</v>
      </c>
    </row>
    <row r="309" spans="1:8" x14ac:dyDescent="0.25">
      <c r="A309" t="str">
        <f>"Visions"</f>
        <v>Visions</v>
      </c>
      <c r="B309">
        <f>SUMIFS(Colección!$L$2:$L$10001,Colección!$G$2:$G$10001,$A309,Colección!$M$2:$M$10001,"Compra")</f>
        <v>22.456493506493509</v>
      </c>
      <c r="C309">
        <f>SUMIFS(Colección!$K$2:$K$10001,Colección!$G$2:$G$10001,$A309,Colección!$M$2:$M$10001,"Compra")</f>
        <v>7</v>
      </c>
      <c r="D309">
        <f>IF($B309=0,"",_xlfn.RANK.EQ($B309,$B$2:$B$321,0)+COUNTIF($B$2:B309,$B309)-1)</f>
        <v>198</v>
      </c>
      <c r="F309" t="str">
        <f>"Charlotte Perospero (OP04-107)"</f>
        <v>Charlotte Perospero (OP04-107)</v>
      </c>
      <c r="G309">
        <f>SUMIFS(Colección!$L$2:$L$10001,Colección!$F$2:$F$10001,$F309,Colección!$M$2:$M$10001,"Compra")</f>
        <v>6.1898734177215198E-2</v>
      </c>
      <c r="H309">
        <f>IF($G309=0,"",_xlfn.RANK.EQ($G309,$G$2:$G$2353,0)+COUNTIF($G$2:G309,$G309)-1)</f>
        <v>2263</v>
      </c>
    </row>
    <row r="310" spans="1:8" x14ac:dyDescent="0.25">
      <c r="A310" t="str">
        <f>"War of the Spark"</f>
        <v>War of the Spark</v>
      </c>
      <c r="B310">
        <f>SUMIFS(Colección!$L$2:$L$10001,Colección!$G$2:$G$10001,$A310,Colección!$M$2:$M$10001,"Compra")</f>
        <v>217.57566985030863</v>
      </c>
      <c r="C310">
        <f>SUMIFS(Colección!$K$2:$K$10001,Colección!$G$2:$G$10001,$A310,Colección!$M$2:$M$10001,"Compra")</f>
        <v>65</v>
      </c>
      <c r="D310">
        <f>IF($B310=0,"",_xlfn.RANK.EQ($B310,$B$2:$B$321,0)+COUNTIF($B$2:B310,$B310)-1)</f>
        <v>45</v>
      </c>
      <c r="F310" t="str">
        <f>"Charlotte Praline (OP03-111)"</f>
        <v>Charlotte Praline (OP03-111)</v>
      </c>
      <c r="G310">
        <f>SUMIFS(Colección!$L$2:$L$10001,Colección!$F$2:$F$10001,$F310,Colección!$M$2:$M$10001,"Compra")</f>
        <v>9.5193798449612399E-2</v>
      </c>
      <c r="H310">
        <f>IF($G310=0,"",_xlfn.RANK.EQ($G310,$G$2:$G$2353,0)+COUNTIF($G$2:G310,$G310)-1)</f>
        <v>2167</v>
      </c>
    </row>
    <row r="311" spans="1:8" x14ac:dyDescent="0.25">
      <c r="A311" t="str">
        <f>"Weatherlight"</f>
        <v>Weatherlight</v>
      </c>
      <c r="B311">
        <f>SUMIFS(Colección!$L$2:$L$10001,Colección!$G$2:$G$10001,$A311,Colección!$M$2:$M$10001,"Compra")</f>
        <v>151.90761848287187</v>
      </c>
      <c r="C311">
        <f>SUMIFS(Colección!$K$2:$K$10001,Colección!$G$2:$G$10001,$A311,Colección!$M$2:$M$10001,"Compra")</f>
        <v>12</v>
      </c>
      <c r="D311">
        <f>IF($B311=0,"",_xlfn.RANK.EQ($B311,$B$2:$B$321,0)+COUNTIF($B$2:B311,$B311)-1)</f>
        <v>65</v>
      </c>
      <c r="F311" t="str">
        <f>"Charlotte Pudding (OP03-112) (V.1)"</f>
        <v>Charlotte Pudding (OP03-112) (V.1)</v>
      </c>
      <c r="G311">
        <f>SUMIFS(Colección!$L$2:$L$10001,Colección!$F$2:$F$10001,$F311,Colección!$M$2:$M$10001,"Compra")</f>
        <v>0.40457364341085272</v>
      </c>
      <c r="H311">
        <f>IF($G311=0,"",_xlfn.RANK.EQ($G311,$G$2:$G$2353,0)+COUNTIF($G$2:G311,$G311)-1)</f>
        <v>1951</v>
      </c>
    </row>
    <row r="312" spans="1:8" x14ac:dyDescent="0.25">
      <c r="A312" t="str">
        <f>"Wilds of Eldraine"</f>
        <v>Wilds of Eldraine</v>
      </c>
      <c r="B312">
        <f>SUMIFS(Colección!$L$2:$L$10001,Colección!$G$2:$G$10001,$A312,Colección!$M$2:$M$10001,"Compra")</f>
        <v>334.94645084256621</v>
      </c>
      <c r="C312">
        <f>SUMIFS(Colección!$K$2:$K$10001,Colección!$G$2:$G$10001,$A312,Colección!$M$2:$M$10001,"Compra")</f>
        <v>92</v>
      </c>
      <c r="D312">
        <f>IF($B312=0,"",_xlfn.RANK.EQ($B312,$B$2:$B$321,0)+COUNTIF($B$2:B312,$B312)-1)</f>
        <v>26</v>
      </c>
      <c r="F312" t="str">
        <f>"Charlotte Smoothie (OP03-110)"</f>
        <v>Charlotte Smoothie (OP03-110)</v>
      </c>
      <c r="G312">
        <f>SUMIFS(Colección!$L$2:$L$10001,Colección!$F$2:$F$10001,$F312,Colección!$M$2:$M$10001,"Compra")</f>
        <v>0.46406976744186051</v>
      </c>
      <c r="H312">
        <f>IF($G312=0,"",_xlfn.RANK.EQ($G312,$G$2:$G$2353,0)+COUNTIF($G$2:G312,$G312)-1)</f>
        <v>1909</v>
      </c>
    </row>
    <row r="313" spans="1:8" x14ac:dyDescent="0.25">
      <c r="A313" t="str">
        <f>"Wilds of Eldraine: Extras"</f>
        <v>Wilds of Eldraine: Extras</v>
      </c>
      <c r="B313">
        <f>SUMIFS(Colección!$L$2:$L$10001,Colección!$G$2:$G$10001,$A313,Colección!$M$2:$M$10001,"Compra")</f>
        <v>83.825636747984333</v>
      </c>
      <c r="C313">
        <f>SUMIFS(Colección!$K$2:$K$10001,Colección!$G$2:$G$10001,$A313,Colección!$M$2:$M$10001,"Compra")</f>
        <v>28</v>
      </c>
      <c r="D313">
        <f>IF($B313=0,"",_xlfn.RANK.EQ($B313,$B$2:$B$321,0)+COUNTIF($B$2:B313,$B313)-1)</f>
        <v>100</v>
      </c>
      <c r="F313" t="str">
        <f>"Charm"</f>
        <v>Charm</v>
      </c>
      <c r="G313">
        <f>SUMIFS(Colección!$L$2:$L$10001,Colección!$F$2:$F$10001,$F313,Colección!$M$2:$M$10001,"Compra")</f>
        <v>10.909425837320574</v>
      </c>
      <c r="H313">
        <f>IF($G313=0,"",_xlfn.RANK.EQ($G313,$G$2:$G$2353,0)+COUNTIF($G$2:G313,$G313)-1)</f>
        <v>626</v>
      </c>
    </row>
    <row r="314" spans="1:8" x14ac:dyDescent="0.25">
      <c r="A314" t="str">
        <f>"Wings of the Captain"</f>
        <v>Wings of the Captain</v>
      </c>
      <c r="B314">
        <f>SUMIFS(Colección!$L$2:$L$10001,Colección!$G$2:$G$10001,$A314,Colección!$M$2:$M$10001,"Compra")</f>
        <v>37.79</v>
      </c>
      <c r="C314">
        <f>SUMIFS(Colección!$K$2:$K$10001,Colección!$G$2:$G$10001,$A314,Colección!$M$2:$M$10001,"Compra")</f>
        <v>9</v>
      </c>
      <c r="D314">
        <f>IF($B314=0,"",_xlfn.RANK.EQ($B314,$B$2:$B$321,0)+COUNTIF($B$2:B314,$B314)-1)</f>
        <v>161</v>
      </c>
      <c r="F314" t="str">
        <f>"Charming Prince [Playset]"</f>
        <v>Charming Prince [Playset]</v>
      </c>
      <c r="G314">
        <f>SUMIFS(Colección!$L$2:$L$10001,Colección!$F$2:$F$10001,$F314,Colección!$M$2:$M$10001,"Compra")</f>
        <v>11.093155893536119</v>
      </c>
      <c r="H314">
        <f>IF($G314=0,"",_xlfn.RANK.EQ($G314,$G$2:$G$2353,0)+COUNTIF($G$2:G314,$G314)-1)</f>
        <v>618</v>
      </c>
    </row>
    <row r="315" spans="1:8" x14ac:dyDescent="0.25">
      <c r="A315" t="str">
        <f>"Worldwake"</f>
        <v>Worldwake</v>
      </c>
      <c r="B315">
        <f>SUMIFS(Colección!$L$2:$L$10001,Colección!$G$2:$G$10001,$A315,Colección!$M$2:$M$10001,"Compra")</f>
        <v>348.50185081396808</v>
      </c>
      <c r="C315">
        <f>SUMIFS(Colección!$K$2:$K$10001,Colección!$G$2:$G$10001,$A315,Colección!$M$2:$M$10001,"Compra")</f>
        <v>22</v>
      </c>
      <c r="D315">
        <f>IF($B315=0,"",_xlfn.RANK.EQ($B315,$B$2:$B$321,0)+COUNTIF($B$2:B315,$B315)-1)</f>
        <v>24</v>
      </c>
      <c r="F315" t="str">
        <f>"Chart a Course"</f>
        <v>Chart a Course</v>
      </c>
      <c r="G315">
        <f>SUMIFS(Colección!$L$2:$L$10001,Colección!$F$2:$F$10001,$F315,Colección!$M$2:$M$10001,"Compra")</f>
        <v>1.0505222437137332</v>
      </c>
      <c r="H315">
        <f>IF($G315=0,"",_xlfn.RANK.EQ($G315,$G$2:$G$2353,0)+COUNTIF($G$2:G315,$G315)-1)</f>
        <v>1631</v>
      </c>
    </row>
    <row r="316" spans="1:8" x14ac:dyDescent="0.25">
      <c r="A316" t="str">
        <f>"Zendikar"</f>
        <v>Zendikar</v>
      </c>
      <c r="B316">
        <f>SUMIFS(Colección!$L$2:$L$10001,Colección!$G$2:$G$10001,$A316,Colección!$M$2:$M$10001,"Compra")</f>
        <v>247.1089520236379</v>
      </c>
      <c r="C316">
        <f>SUMIFS(Colección!$K$2:$K$10001,Colección!$G$2:$G$10001,$A316,Colección!$M$2:$M$10001,"Compra")</f>
        <v>62</v>
      </c>
      <c r="D316">
        <f>IF($B316=0,"",_xlfn.RANK.EQ($B316,$B$2:$B$321,0)+COUNTIF($B$2:B316,$B316)-1)</f>
        <v>36</v>
      </c>
      <c r="F316" t="str">
        <f>"Chatterfang, Squirrel General"</f>
        <v>Chatterfang, Squirrel General</v>
      </c>
      <c r="G316">
        <f>SUMIFS(Colección!$L$2:$L$10001,Colección!$F$2:$F$10001,$F316,Colección!$M$2:$M$10001,"Compra")</f>
        <v>1.0909090909090911</v>
      </c>
      <c r="H316">
        <f>IF($G316=0,"",_xlfn.RANK.EQ($G316,$G$2:$G$2353,0)+COUNTIF($G$2:G316,$G316)-1)</f>
        <v>1610</v>
      </c>
    </row>
    <row r="317" spans="1:8" x14ac:dyDescent="0.25">
      <c r="A317" t="str">
        <f>"Zendikar Rising"</f>
        <v>Zendikar Rising</v>
      </c>
      <c r="B317">
        <f>SUMIFS(Colección!$L$2:$L$10001,Colección!$G$2:$G$10001,$A317,Colección!$M$2:$M$10001,"Compra")</f>
        <v>261.7656815982985</v>
      </c>
      <c r="C317">
        <f>SUMIFS(Colección!$K$2:$K$10001,Colección!$G$2:$G$10001,$A317,Colección!$M$2:$M$10001,"Compra")</f>
        <v>94</v>
      </c>
      <c r="D317">
        <f>IF($B317=0,"",_xlfn.RANK.EQ($B317,$B$2:$B$321,0)+COUNTIF($B$2:B317,$B317)-1)</f>
        <v>32</v>
      </c>
      <c r="F317" t="str">
        <f>"Chew (OP03-029)"</f>
        <v>Chew (OP03-029)</v>
      </c>
      <c r="G317">
        <f>SUMIFS(Colección!$L$2:$L$10001,Colección!$F$2:$F$10001,$F317,Colección!$M$2:$M$10001,"Compra")</f>
        <v>0.22608527131782949</v>
      </c>
      <c r="H317">
        <f>IF($G317=0,"",_xlfn.RANK.EQ($G317,$G$2:$G$2353,0)+COUNTIF($G$2:G317,$G317)-1)</f>
        <v>2060</v>
      </c>
    </row>
    <row r="318" spans="1:8" x14ac:dyDescent="0.25">
      <c r="A318" t="str">
        <f>"Zendikar Rising Expeditions"</f>
        <v>Zendikar Rising Expeditions</v>
      </c>
      <c r="B318">
        <f>SUMIFS(Colección!$L$2:$L$10001,Colección!$G$2:$G$10001,$A318,Colección!$M$2:$M$10001,"Compra")</f>
        <v>68.61531914893618</v>
      </c>
      <c r="C318">
        <f>SUMIFS(Colección!$K$2:$K$10001,Colección!$G$2:$G$10001,$A318,Colección!$M$2:$M$10001,"Compra")</f>
        <v>4</v>
      </c>
      <c r="D318">
        <f>IF($B318=0,"",_xlfn.RANK.EQ($B318,$B$2:$B$321,0)+COUNTIF($B$2:B318,$B318)-1)</f>
        <v>115</v>
      </c>
      <c r="F318" t="str">
        <f>"Chill"</f>
        <v>Chill</v>
      </c>
      <c r="G318">
        <f>SUMIFS(Colección!$L$2:$L$10001,Colección!$F$2:$F$10001,$F318,Colección!$M$2:$M$10001,"Compra")</f>
        <v>7.2218181818181826</v>
      </c>
      <c r="H318">
        <f>IF($G318=0,"",_xlfn.RANK.EQ($G318,$G$2:$G$2353,0)+COUNTIF($G$2:G318,$G318)-1)</f>
        <v>794</v>
      </c>
    </row>
    <row r="319" spans="1:8" x14ac:dyDescent="0.25">
      <c r="A319" t="str">
        <f>"Zendikar Rising: Expeditions"</f>
        <v>Zendikar Rising: Expeditions</v>
      </c>
      <c r="B319">
        <f>SUMIFS(Colección!$L$2:$L$10001,Colección!$G$2:$G$10001,$A319,Colección!$M$2:$M$10001,"Compra")</f>
        <v>71.181818181818187</v>
      </c>
      <c r="C319">
        <f>SUMIFS(Colección!$K$2:$K$10001,Colección!$G$2:$G$10001,$A319,Colección!$M$2:$M$10001,"Compra")</f>
        <v>3</v>
      </c>
      <c r="D319">
        <f>IF($B319=0,"",_xlfn.RANK.EQ($B319,$B$2:$B$321,0)+COUNTIF($B$2:B319,$B319)-1)</f>
        <v>113</v>
      </c>
      <c r="F319" t="str">
        <f>"Chimney &amp; Gonbe (OP03-065)"</f>
        <v>Chimney &amp; Gonbe (OP03-065)</v>
      </c>
      <c r="G319">
        <f>SUMIFS(Colección!$L$2:$L$10001,Colección!$F$2:$F$10001,$F319,Colección!$M$2:$M$10001,"Compra")</f>
        <v>9.5193798449612399E-2</v>
      </c>
      <c r="H319">
        <f>IF($G319=0,"",_xlfn.RANK.EQ($G319,$G$2:$G$2353,0)+COUNTIF($G$2:G319,$G319)-1)</f>
        <v>2168</v>
      </c>
    </row>
    <row r="320" spans="1:8" x14ac:dyDescent="0.25">
      <c r="A320" t="str">
        <f>"Zendikar Rising: Extras"</f>
        <v>Zendikar Rising: Extras</v>
      </c>
      <c r="B320">
        <f>SUMIFS(Colección!$L$2:$L$10001,Colección!$G$2:$G$10001,$A320,Colección!$M$2:$M$10001,"Compra")</f>
        <v>33.443500317057705</v>
      </c>
      <c r="C320">
        <f>SUMIFS(Colección!$K$2:$K$10001,Colección!$G$2:$G$10001,$A320,Colección!$M$2:$M$10001,"Compra")</f>
        <v>18</v>
      </c>
      <c r="D320">
        <f>IF($B320=0,"",_xlfn.RANK.EQ($B320,$B$2:$B$321,0)+COUNTIF($B$2:B320,$B320)-1)</f>
        <v>170</v>
      </c>
      <c r="F320" t="str">
        <f>"Choke"</f>
        <v>Choke</v>
      </c>
      <c r="G320">
        <f>SUMIFS(Colección!$L$2:$L$10001,Colección!$F$2:$F$10001,$F320,Colección!$M$2:$M$10001,"Compra")</f>
        <v>1.3276836158192089</v>
      </c>
      <c r="H320">
        <f>IF($G320=0,"",_xlfn.RANK.EQ($G320,$G$2:$G$2353,0)+COUNTIF($G$2:G320,$G320)-1)</f>
        <v>1536</v>
      </c>
    </row>
    <row r="321" spans="1:8" x14ac:dyDescent="0.25">
      <c r="A321" t="str">
        <f>"Zendikar Rising: Promos"</f>
        <v>Zendikar Rising: Promos</v>
      </c>
      <c r="B321">
        <f>SUMIFS(Colección!$L$2:$L$10001,Colección!$G$2:$G$10001,$A321,Colección!$M$2:$M$10001,"Compra")</f>
        <v>1.7081501340482572</v>
      </c>
      <c r="C321">
        <f>SUMIFS(Colección!$K$2:$K$10001,Colección!$G$2:$G$10001,$A321,Colección!$M$2:$M$10001,"Compra")</f>
        <v>2</v>
      </c>
      <c r="D321">
        <f>IF($B321=0,"",_xlfn.RANK.EQ($B321,$B$2:$B$321,0)+COUNTIF($B$2:B321,$B321)-1)</f>
        <v>290</v>
      </c>
      <c r="F321" t="str">
        <f>"Chopa-Emon (OP05-068)"</f>
        <v>Chopa-Emon (OP05-068)</v>
      </c>
      <c r="G321">
        <f>SUMIFS(Colección!$L$2:$L$10001,Colección!$F$2:$F$10001,$F321,Colección!$M$2:$M$10001,"Compra")</f>
        <v>4.0592556317335937E-2</v>
      </c>
      <c r="H321">
        <f>IF($G321=0,"",_xlfn.RANK.EQ($G321,$G$2:$G$2353,0)+COUNTIF($G$2:G321,$G321)-1)</f>
        <v>2327</v>
      </c>
    </row>
    <row r="322" spans="1:8" x14ac:dyDescent="0.25">
      <c r="F322" t="str">
        <f>"Chord of Calling (V.1) [Playset]"</f>
        <v>Chord of Calling (V.1) [Playset]</v>
      </c>
      <c r="G322">
        <f>SUMIFS(Colección!$L$2:$L$10001,Colección!$F$2:$F$10001,$F322,Colección!$M$2:$M$10001,"Compra")</f>
        <v>21.22</v>
      </c>
      <c r="H322">
        <f>IF($G322=0,"",_xlfn.RANK.EQ($G322,$G$2:$G$2353,0)+COUNTIF($G$2:G322,$G322)-1)</f>
        <v>374</v>
      </c>
    </row>
    <row r="323" spans="1:8" x14ac:dyDescent="0.25">
      <c r="F323" t="str">
        <f>"Chromatic Sphere"</f>
        <v>Chromatic Sphere</v>
      </c>
      <c r="G323">
        <f>SUMIFS(Colección!$L$2:$L$10001,Colección!$F$2:$F$10001,$F323,Colección!$M$2:$M$10001,"Compra")</f>
        <v>10.470092378752886</v>
      </c>
      <c r="H323">
        <f>IF($G323=0,"",_xlfn.RANK.EQ($G323,$G$2:$G$2353,0)+COUNTIF($G$2:G323,$G323)-1)</f>
        <v>650</v>
      </c>
    </row>
    <row r="324" spans="1:8" x14ac:dyDescent="0.25">
      <c r="F324" t="str">
        <f>"Chromatic Star"</f>
        <v>Chromatic Star</v>
      </c>
      <c r="G324">
        <f>SUMIFS(Colección!$L$2:$L$10001,Colección!$F$2:$F$10001,$F324,Colección!$M$2:$M$10001,"Compra")</f>
        <v>1.7724403387220939</v>
      </c>
      <c r="H324">
        <f>IF($G324=0,"",_xlfn.RANK.EQ($G324,$G$2:$G$2353,0)+COUNTIF($G$2:G324,$G324)-1)</f>
        <v>1405</v>
      </c>
    </row>
    <row r="325" spans="1:8" x14ac:dyDescent="0.25">
      <c r="F325" t="str">
        <f>"Chromatic Star (V.2)"</f>
        <v>Chromatic Star (V.2)</v>
      </c>
      <c r="G325">
        <f>SUMIFS(Colección!$L$2:$L$10001,Colección!$F$2:$F$10001,$F325,Colección!$M$2:$M$10001,"Compra")</f>
        <v>1.6279174147217237</v>
      </c>
      <c r="H325">
        <f>IF($G325=0,"",_xlfn.RANK.EQ($G325,$G$2:$G$2353,0)+COUNTIF($G$2:G325,$G325)-1)</f>
        <v>1456</v>
      </c>
    </row>
    <row r="326" spans="1:8" x14ac:dyDescent="0.25">
      <c r="F326" t="str">
        <f>"Chrome Host Seedshark"</f>
        <v>Chrome Host Seedshark</v>
      </c>
      <c r="G326">
        <f>SUMIFS(Colección!$L$2:$L$10001,Colección!$F$2:$F$10001,$F326,Colección!$M$2:$M$10001,"Compra")</f>
        <v>6.02</v>
      </c>
      <c r="H326">
        <f>IF($G326=0,"",_xlfn.RANK.EQ($G326,$G$2:$G$2353,0)+COUNTIF($G$2:G326,$G326)-1)</f>
        <v>888</v>
      </c>
    </row>
    <row r="327" spans="1:8" x14ac:dyDescent="0.25">
      <c r="F327" t="str">
        <f>"Chrome Mox"</f>
        <v>Chrome Mox</v>
      </c>
      <c r="G327">
        <f>SUMIFS(Colección!$L$2:$L$10001,Colección!$F$2:$F$10001,$F327,Colección!$M$2:$M$10001,"Compra")</f>
        <v>315.49</v>
      </c>
      <c r="H327">
        <f>IF($G327=0,"",_xlfn.RANK.EQ($G327,$G$2:$G$2353,0)+COUNTIF($G$2:G327,$G327)-1)</f>
        <v>8</v>
      </c>
    </row>
    <row r="328" spans="1:8" x14ac:dyDescent="0.25">
      <c r="F328" t="str">
        <f>"Chthonian Nightmare"</f>
        <v>Chthonian Nightmare</v>
      </c>
      <c r="G328">
        <f>SUMIFS(Colección!$L$2:$L$10001,Colección!$F$2:$F$10001,$F328,Colección!$M$2:$M$10001,"Compra")</f>
        <v>26.039733840304184</v>
      </c>
      <c r="H328">
        <f>IF($G328=0,"",_xlfn.RANK.EQ($G328,$G$2:$G$2353,0)+COUNTIF($G$2:G328,$G328)-1)</f>
        <v>301</v>
      </c>
    </row>
    <row r="329" spans="1:8" x14ac:dyDescent="0.25">
      <c r="F329" t="str">
        <f>"Cindervines"</f>
        <v>Cindervines</v>
      </c>
      <c r="G329">
        <f>SUMIFS(Colección!$L$2:$L$10001,Colección!$F$2:$F$10001,$F329,Colección!$M$2:$M$10001,"Compra")</f>
        <v>0.95131091283459157</v>
      </c>
      <c r="H329">
        <f>IF($G329=0,"",_xlfn.RANK.EQ($G329,$G$2:$G$2353,0)+COUNTIF($G$2:G329,$G329)-1)</f>
        <v>1674</v>
      </c>
    </row>
    <row r="330" spans="1:8" x14ac:dyDescent="0.25">
      <c r="F330" t="str">
        <f>"Circle Of Protection: Red"</f>
        <v>Circle Of Protection: Red</v>
      </c>
      <c r="G330">
        <f>SUMIFS(Colección!$L$2:$L$10001,Colección!$F$2:$F$10001,$F330,Colección!$M$2:$M$10001,"Compra")</f>
        <v>6</v>
      </c>
      <c r="H330">
        <f>IF($G330=0,"",_xlfn.RANK.EQ($G330,$G$2:$G$2353,0)+COUNTIF($G$2:G330,$G330)-1)</f>
        <v>892</v>
      </c>
    </row>
    <row r="331" spans="1:8" x14ac:dyDescent="0.25">
      <c r="F331" t="str">
        <f>"Circular Logic"</f>
        <v>Circular Logic</v>
      </c>
      <c r="G331">
        <f>SUMIFS(Colección!$L$2:$L$10001,Colección!$F$2:$F$10001,$F331,Colección!$M$2:$M$10001,"Compra")</f>
        <v>2.5153695324283558</v>
      </c>
      <c r="H331">
        <f>IF($G331=0,"",_xlfn.RANK.EQ($G331,$G$2:$G$2353,0)+COUNTIF($G$2:G331,$G331)-1)</f>
        <v>1252</v>
      </c>
    </row>
    <row r="332" spans="1:8" x14ac:dyDescent="0.25">
      <c r="F332" t="str">
        <f>"Citizen's Crowbar"</f>
        <v>Citizen's Crowbar</v>
      </c>
      <c r="G332">
        <f>SUMIFS(Colección!$L$2:$L$10001,Colección!$F$2:$F$10001,$F332,Colección!$M$2:$M$10001,"Compra")</f>
        <v>0.32255650818394399</v>
      </c>
      <c r="H332">
        <f>IF($G332=0,"",_xlfn.RANK.EQ($G332,$G$2:$G$2353,0)+COUNTIF($G$2:G332,$G332)-1)</f>
        <v>1991</v>
      </c>
    </row>
    <row r="333" spans="1:8" x14ac:dyDescent="0.25">
      <c r="F333" t="str">
        <f>"City of Traitors"</f>
        <v>City of Traitors</v>
      </c>
      <c r="G333">
        <f>SUMIFS(Colección!$L$2:$L$10001,Colección!$F$2:$F$10001,$F333,Colección!$M$2:$M$10001,"Compra")</f>
        <v>1293.9699999999998</v>
      </c>
      <c r="H333">
        <f>IF($G333=0,"",_xlfn.RANK.EQ($G333,$G$2:$G$2353,0)+COUNTIF($G$2:G333,$G333)-1)</f>
        <v>1</v>
      </c>
    </row>
    <row r="334" spans="1:8" x14ac:dyDescent="0.25">
      <c r="F334" t="str">
        <f>"City's Blessing Token"</f>
        <v>City's Blessing Token</v>
      </c>
      <c r="G334">
        <f>SUMIFS(Colección!$L$2:$L$10001,Colección!$F$2:$F$10001,$F334,Colección!$M$2:$M$10001,"Compra")</f>
        <v>0.50166666666666671</v>
      </c>
      <c r="H334">
        <f>IF($G334=0,"",_xlfn.RANK.EQ($G334,$G$2:$G$2353,0)+COUNTIF($G$2:G334,$G334)-1)</f>
        <v>1881</v>
      </c>
    </row>
    <row r="335" spans="1:8" x14ac:dyDescent="0.25">
      <c r="F335" t="str">
        <f>"Cityscape Leveler"</f>
        <v>Cityscape Leveler</v>
      </c>
      <c r="G335">
        <f>SUMIFS(Colección!$L$2:$L$10001,Colección!$F$2:$F$10001,$F335,Colección!$M$2:$M$10001,"Compra")</f>
        <v>11.18</v>
      </c>
      <c r="H335">
        <f>IF($G335=0,"",_xlfn.RANK.EQ($G335,$G$2:$G$2353,0)+COUNTIF($G$2:G335,$G335)-1)</f>
        <v>609</v>
      </c>
    </row>
    <row r="336" spans="1:8" x14ac:dyDescent="0.25">
      <c r="F336" t="str">
        <f>"Cityscape Leveler (V.1)"</f>
        <v>Cityscape Leveler (V.1)</v>
      </c>
      <c r="G336">
        <f>SUMIFS(Colección!$L$2:$L$10001,Colección!$F$2:$F$10001,$F336,Colección!$M$2:$M$10001,"Compra")</f>
        <v>11.18</v>
      </c>
      <c r="H336">
        <f>IF($G336=0,"",_xlfn.RANK.EQ($G336,$G$2:$G$2353,0)+COUNTIF($G$2:G336,$G336)-1)</f>
        <v>610</v>
      </c>
    </row>
    <row r="337" spans="6:8" x14ac:dyDescent="0.25">
      <c r="F337" t="str">
        <f>"Clarion Conqueror"</f>
        <v>Clarion Conqueror</v>
      </c>
      <c r="G337">
        <f>SUMIFS(Colección!$L$2:$L$10001,Colección!$F$2:$F$10001,$F337,Colección!$M$2:$M$10001,"Compra")</f>
        <v>26.181818181818183</v>
      </c>
      <c r="H337">
        <f>IF($G337=0,"",_xlfn.RANK.EQ($G337,$G$2:$G$2353,0)+COUNTIF($G$2:G337,$G337)-1)</f>
        <v>299</v>
      </c>
    </row>
    <row r="338" spans="6:8" x14ac:dyDescent="0.25">
      <c r="F338" t="str">
        <f>"Clarion Spirit"</f>
        <v>Clarion Spirit</v>
      </c>
      <c r="G338">
        <f>SUMIFS(Colección!$L$2:$L$10001,Colección!$F$2:$F$10001,$F338,Colección!$M$2:$M$10001,"Compra")</f>
        <v>1.1655898366606168</v>
      </c>
      <c r="H338">
        <f>IF($G338=0,"",_xlfn.RANK.EQ($G338,$G$2:$G$2353,0)+COUNTIF($G$2:G338,$G338)-1)</f>
        <v>1575</v>
      </c>
    </row>
    <row r="339" spans="6:8" x14ac:dyDescent="0.25">
      <c r="F339" t="str">
        <f>"Claws of Gix"</f>
        <v>Claws of Gix</v>
      </c>
      <c r="G339">
        <f>SUMIFS(Colección!$L$2:$L$10001,Colección!$F$2:$F$10001,$F339,Colección!$M$2:$M$10001,"Compra")</f>
        <v>11.702173913043477</v>
      </c>
      <c r="H339">
        <f>IF($G339=0,"",_xlfn.RANK.EQ($G339,$G$2:$G$2353,0)+COUNTIF($G$2:G339,$G339)-1)</f>
        <v>593</v>
      </c>
    </row>
    <row r="340" spans="6:8" x14ac:dyDescent="0.25">
      <c r="F340" t="str">
        <f>"Cleansing Wildfire"</f>
        <v>Cleansing Wildfire</v>
      </c>
      <c r="G340">
        <f>SUMIFS(Colección!$L$2:$L$10001,Colección!$F$2:$F$10001,$F340,Colección!$M$2:$M$10001,"Compra")</f>
        <v>3.5300000000000002</v>
      </c>
      <c r="H340">
        <f>IF($G340=0,"",_xlfn.RANK.EQ($G340,$G$2:$G$2353,0)+COUNTIF($G$2:G340,$G340)-1)</f>
        <v>1111</v>
      </c>
    </row>
    <row r="341" spans="6:8" x14ac:dyDescent="0.25">
      <c r="F341" t="str">
        <f>"Cling to Dust"</f>
        <v>Cling to Dust</v>
      </c>
      <c r="G341">
        <f>SUMIFS(Colección!$L$2:$L$10001,Colección!$F$2:$F$10001,$F341,Colección!$M$2:$M$10001,"Compra")</f>
        <v>0.27602230483271373</v>
      </c>
      <c r="H341">
        <f>IF($G341=0,"",_xlfn.RANK.EQ($G341,$G$2:$G$2353,0)+COUNTIF($G$2:G341,$G341)-1)</f>
        <v>2025</v>
      </c>
    </row>
    <row r="342" spans="6:8" x14ac:dyDescent="0.25">
      <c r="F342" t="str">
        <f>"Clockwork Percussionist"</f>
        <v>Clockwork Percussionist</v>
      </c>
      <c r="G342">
        <f>SUMIFS(Colección!$L$2:$L$10001,Colección!$F$2:$F$10001,$F342,Colección!$M$2:$M$10001,"Compra")</f>
        <v>2.3145454545454545</v>
      </c>
      <c r="H342">
        <f>IF($G342=0,"",_xlfn.RANK.EQ($G342,$G$2:$G$2353,0)+COUNTIF($G$2:G342,$G342)-1)</f>
        <v>1287</v>
      </c>
    </row>
    <row r="343" spans="6:8" x14ac:dyDescent="0.25">
      <c r="F343" t="str">
        <f>"Cloudpost"</f>
        <v>Cloudpost</v>
      </c>
      <c r="G343">
        <f>SUMIFS(Colección!$L$2:$L$10001,Colección!$F$2:$F$10001,$F343,Colección!$M$2:$M$10001,"Compra")</f>
        <v>1.9818750000000001</v>
      </c>
      <c r="H343">
        <f>IF($G343=0,"",_xlfn.RANK.EQ($G343,$G$2:$G$2353,0)+COUNTIF($G$2:G343,$G343)-1)</f>
        <v>1375</v>
      </c>
    </row>
    <row r="344" spans="6:8" x14ac:dyDescent="0.25">
      <c r="F344" t="str">
        <f>"Cloudshift"</f>
        <v>Cloudshift</v>
      </c>
      <c r="G344">
        <f>SUMIFS(Colección!$L$2:$L$10001,Colección!$F$2:$F$10001,$F344,Colección!$M$2:$M$10001,"Compra")</f>
        <v>1.3585714285714283</v>
      </c>
      <c r="H344">
        <f>IF($G344=0,"",_xlfn.RANK.EQ($G344,$G$2:$G$2353,0)+COUNTIF($G$2:G344,$G344)-1)</f>
        <v>1515</v>
      </c>
    </row>
    <row r="345" spans="6:8" x14ac:dyDescent="0.25">
      <c r="F345" t="str">
        <f>"Clue Token"</f>
        <v>Clue Token</v>
      </c>
      <c r="G345">
        <f>SUMIFS(Colección!$L$2:$L$10001,Colección!$F$2:$F$10001,$F345,Colección!$M$2:$M$10001,"Compra")</f>
        <v>0.2339041095890412</v>
      </c>
      <c r="H345">
        <f>IF($G345=0,"",_xlfn.RANK.EQ($G345,$G$2:$G$2353,0)+COUNTIF($G$2:G345,$G345)-1)</f>
        <v>2053</v>
      </c>
    </row>
    <row r="346" spans="6:8" x14ac:dyDescent="0.25">
      <c r="F346" t="str">
        <f>"Coastal Tower"</f>
        <v>Coastal Tower</v>
      </c>
      <c r="G346">
        <f>SUMIFS(Colección!$L$2:$L$10001,Colección!$F$2:$F$10001,$F346,Colección!$M$2:$M$10001,"Compra")</f>
        <v>3.272727272727272</v>
      </c>
      <c r="H346">
        <f>IF($G346=0,"",_xlfn.RANK.EQ($G346,$G$2:$G$2353,0)+COUNTIF($G$2:G346,$G346)-1)</f>
        <v>1163</v>
      </c>
    </row>
    <row r="347" spans="6:8" x14ac:dyDescent="0.25">
      <c r="F347" t="str">
        <f>"Coiling Oracle"</f>
        <v>Coiling Oracle</v>
      </c>
      <c r="G347">
        <f>SUMIFS(Colección!$L$2:$L$10001,Colección!$F$2:$F$10001,$F347,Colección!$M$2:$M$10001,"Compra")</f>
        <v>5.6574193548387086</v>
      </c>
      <c r="H347">
        <f>IF($G347=0,"",_xlfn.RANK.EQ($G347,$G$2:$G$2353,0)+COUNTIF($G$2:G347,$G347)-1)</f>
        <v>914</v>
      </c>
    </row>
    <row r="348" spans="6:8" x14ac:dyDescent="0.25">
      <c r="F348" t="str">
        <f>"Collective Brutality"</f>
        <v>Collective Brutality</v>
      </c>
      <c r="G348">
        <f>SUMIFS(Colección!$L$2:$L$10001,Colección!$F$2:$F$10001,$F348,Colección!$M$2:$M$10001,"Compra")</f>
        <v>5.4825594563986408</v>
      </c>
      <c r="H348">
        <f>IF($G348=0,"",_xlfn.RANK.EQ($G348,$G$2:$G$2353,0)+COUNTIF($G$2:G348,$G348)-1)</f>
        <v>926</v>
      </c>
    </row>
    <row r="349" spans="6:8" x14ac:dyDescent="0.25">
      <c r="F349" t="str">
        <f>"Collector Ouphe"</f>
        <v>Collector Ouphe</v>
      </c>
      <c r="G349">
        <f>SUMIFS(Colección!$L$2:$L$10001,Colección!$F$2:$F$10001,$F349,Colección!$M$2:$M$10001,"Compra")</f>
        <v>4.68</v>
      </c>
      <c r="H349">
        <f>IF($G349=0,"",_xlfn.RANK.EQ($G349,$G$2:$G$2353,0)+COUNTIF($G$2:G349,$G349)-1)</f>
        <v>988</v>
      </c>
    </row>
    <row r="350" spans="6:8" x14ac:dyDescent="0.25">
      <c r="F350" t="str">
        <f>"Colors Trap (OP04-074)"</f>
        <v>Colors Trap (OP04-074)</v>
      </c>
      <c r="G350">
        <f>SUMIFS(Colección!$L$2:$L$10001,Colección!$F$2:$F$10001,$F350,Colección!$M$2:$M$10001,"Compra")</f>
        <v>9.2848101265822783E-2</v>
      </c>
      <c r="H350">
        <f>IF($G350=0,"",_xlfn.RANK.EQ($G350,$G$2:$G$2353,0)+COUNTIF($G$2:G350,$G350)-1)</f>
        <v>2210</v>
      </c>
    </row>
    <row r="351" spans="6:8" x14ac:dyDescent="0.25">
      <c r="F351" t="str">
        <f>"Colossal Skyturtle"</f>
        <v>Colossal Skyturtle</v>
      </c>
      <c r="G351">
        <f>SUMIFS(Colección!$L$2:$L$10001,Colección!$F$2:$F$10001,$F351,Colección!$M$2:$M$10001,"Compra")</f>
        <v>1.0584254851702672</v>
      </c>
      <c r="H351">
        <f>IF($G351=0,"",_xlfn.RANK.EQ($G351,$G$2:$G$2353,0)+COUNTIF($G$2:G351,$G351)-1)</f>
        <v>1624</v>
      </c>
    </row>
    <row r="352" spans="6:8" x14ac:dyDescent="0.25">
      <c r="F352" t="str">
        <f>"Colossus Hammer [Playset]"</f>
        <v>Colossus Hammer [Playset]</v>
      </c>
      <c r="G352">
        <f>SUMIFS(Colección!$L$2:$L$10001,Colección!$F$2:$F$10001,$F352,Colección!$M$2:$M$10001,"Compra")</f>
        <v>8.8457875457875463</v>
      </c>
      <c r="H352">
        <f>IF($G352=0,"",_xlfn.RANK.EQ($G352,$G$2:$G$2353,0)+COUNTIF($G$2:G352,$G352)-1)</f>
        <v>707</v>
      </c>
    </row>
    <row r="353" spans="6:8" x14ac:dyDescent="0.25">
      <c r="F353" t="str">
        <f>"Combustion Technique"</f>
        <v>Combustion Technique</v>
      </c>
      <c r="G353">
        <f>SUMIFS(Colección!$L$2:$L$10001,Colección!$F$2:$F$10001,$F353,Colección!$M$2:$M$10001,"Compra")</f>
        <v>0.58947368421052637</v>
      </c>
      <c r="H353">
        <f>IF($G353=0,"",_xlfn.RANK.EQ($G353,$G$2:$G$2353,0)+COUNTIF($G$2:G353,$G353)-1)</f>
        <v>1826</v>
      </c>
    </row>
    <row r="354" spans="6:8" x14ac:dyDescent="0.25">
      <c r="F354" t="str">
        <f>"Commandeer"</f>
        <v>Commandeer</v>
      </c>
      <c r="G354">
        <f>SUMIFS(Colección!$L$2:$L$10001,Colección!$F$2:$F$10001,$F354,Colección!$M$2:$M$10001,"Compra")</f>
        <v>11.22</v>
      </c>
      <c r="H354">
        <f>IF($G354=0,"",_xlfn.RANK.EQ($G354,$G$2:$G$2353,0)+COUNTIF($G$2:G354,$G354)-1)</f>
        <v>607</v>
      </c>
    </row>
    <row r="355" spans="6:8" x14ac:dyDescent="0.25">
      <c r="F355" t="str">
        <f>"Commercial District"</f>
        <v>Commercial District</v>
      </c>
      <c r="G355">
        <f>SUMIFS(Colección!$L$2:$L$10001,Colección!$F$2:$F$10001,$F355,Colección!$M$2:$M$10001,"Compra")</f>
        <v>4.1445365269461076</v>
      </c>
      <c r="H355">
        <f>IF($G355=0,"",_xlfn.RANK.EQ($G355,$G$2:$G$2353,0)+COUNTIF($G$2:G355,$G355)-1)</f>
        <v>1058</v>
      </c>
    </row>
    <row r="356" spans="6:8" x14ac:dyDescent="0.25">
      <c r="F356" t="str">
        <f>"Commune with Spirits"</f>
        <v>Commune with Spirits</v>
      </c>
      <c r="G356">
        <f>SUMIFS(Colección!$L$2:$L$10001,Colección!$F$2:$F$10001,$F356,Colección!$M$2:$M$10001,"Compra")</f>
        <v>0.50928257686676437</v>
      </c>
      <c r="H356">
        <f>IF($G356=0,"",_xlfn.RANK.EQ($G356,$G$2:$G$2353,0)+COUNTIF($G$2:G356,$G356)-1)</f>
        <v>1879</v>
      </c>
    </row>
    <row r="357" spans="6:8" x14ac:dyDescent="0.25">
      <c r="F357" t="str">
        <f>"Concealed Courtyard"</f>
        <v>Concealed Courtyard</v>
      </c>
      <c r="G357">
        <f>SUMIFS(Colección!$L$2:$L$10001,Colección!$F$2:$F$10001,$F357,Colección!$M$2:$M$10001,"Compra")</f>
        <v>19.270907176473976</v>
      </c>
      <c r="H357">
        <f>IF($G357=0,"",_xlfn.RANK.EQ($G357,$G$2:$G$2353,0)+COUNTIF($G$2:G357,$G357)-1)</f>
        <v>410</v>
      </c>
    </row>
    <row r="358" spans="6:8" x14ac:dyDescent="0.25">
      <c r="F358" t="str">
        <f>"Conflagrate"</f>
        <v>Conflagrate</v>
      </c>
      <c r="G358">
        <f>SUMIFS(Colección!$L$2:$L$10001,Colección!$F$2:$F$10001,$F358,Colección!$M$2:$M$10001,"Compra")</f>
        <v>0.5596733668341709</v>
      </c>
      <c r="H358">
        <f>IF($G358=0,"",_xlfn.RANK.EQ($G358,$G$2:$G$2353,0)+COUNTIF($G$2:G358,$G358)-1)</f>
        <v>1847</v>
      </c>
    </row>
    <row r="359" spans="6:8" x14ac:dyDescent="0.25">
      <c r="F359" t="str">
        <f>"Conis (OP05-104)"</f>
        <v>Conis (OP05-104)</v>
      </c>
      <c r="G359">
        <f>SUMIFS(Colección!$L$2:$L$10001,Colección!$F$2:$F$10001,$F359,Colección!$M$2:$M$10001,"Compra")</f>
        <v>9.4715964740450548E-2</v>
      </c>
      <c r="H359">
        <f>IF($G359=0,"",_xlfn.RANK.EQ($G359,$G$2:$G$2353,0)+COUNTIF($G$2:G359,$G359)-1)</f>
        <v>2197</v>
      </c>
    </row>
    <row r="360" spans="6:8" x14ac:dyDescent="0.25">
      <c r="F360" t="str">
        <f>"Consider"</f>
        <v>Consider</v>
      </c>
      <c r="G360">
        <f>SUMIFS(Colección!$L$2:$L$10001,Colección!$F$2:$F$10001,$F360,Colección!$M$2:$M$10001,"Compra")</f>
        <v>8.3291966543474025</v>
      </c>
      <c r="H360">
        <f>IF($G360=0,"",_xlfn.RANK.EQ($G360,$G$2:$G$2353,0)+COUNTIF($G$2:G360,$G360)-1)</f>
        <v>734</v>
      </c>
    </row>
    <row r="361" spans="6:8" x14ac:dyDescent="0.25">
      <c r="F361" t="str">
        <f>"Consign to Memory"</f>
        <v>Consign to Memory</v>
      </c>
      <c r="G361">
        <f>SUMIFS(Colección!$L$2:$L$10001,Colección!$F$2:$F$10001,$F361,Colección!$M$2:$M$10001,"Compra")</f>
        <v>20.059999999999999</v>
      </c>
      <c r="H361">
        <f>IF($G361=0,"",_xlfn.RANK.EQ($G361,$G$2:$G$2353,0)+COUNTIF($G$2:G361,$G361)-1)</f>
        <v>394</v>
      </c>
    </row>
    <row r="362" spans="6:8" x14ac:dyDescent="0.25">
      <c r="F362" t="str">
        <f>"Construct Token (Artifact */*)"</f>
        <v>Construct Token (Artifact */*)</v>
      </c>
      <c r="G362">
        <f>SUMIFS(Colección!$L$2:$L$10001,Colección!$F$2:$F$10001,$F362,Colección!$M$2:$M$10001,"Compra")</f>
        <v>6.6752434525007969</v>
      </c>
      <c r="H362">
        <f>IF($G362=0,"",_xlfn.RANK.EQ($G362,$G$2:$G$2353,0)+COUNTIF($G$2:G362,$G362)-1)</f>
        <v>831</v>
      </c>
    </row>
    <row r="363" spans="6:8" x14ac:dyDescent="0.25">
      <c r="F363" t="str">
        <f>"Construct Token (Artifact */*) (V.1)"</f>
        <v>Construct Token (Artifact */*) (V.1)</v>
      </c>
      <c r="G363">
        <f>SUMIFS(Colección!$L$2:$L$10001,Colección!$F$2:$F$10001,$F363,Colección!$M$2:$M$10001,"Compra")</f>
        <v>0.6872967171056078</v>
      </c>
      <c r="H363">
        <f>IF($G363=0,"",_xlfn.RANK.EQ($G363,$G$2:$G$2353,0)+COUNTIF($G$2:G363,$G363)-1)</f>
        <v>1764</v>
      </c>
    </row>
    <row r="364" spans="6:8" x14ac:dyDescent="0.25">
      <c r="F364" t="str">
        <f>"Consult the Star Charts"</f>
        <v>Consult the Star Charts</v>
      </c>
      <c r="G364">
        <f>SUMIFS(Colección!$L$2:$L$10001,Colección!$F$2:$F$10001,$F364,Colección!$M$2:$M$10001,"Compra")</f>
        <v>25.25</v>
      </c>
      <c r="H364">
        <f>IF($G364=0,"",_xlfn.RANK.EQ($G364,$G$2:$G$2353,0)+COUNTIF($G$2:G364,$G364)-1)</f>
        <v>310</v>
      </c>
    </row>
    <row r="365" spans="6:8" x14ac:dyDescent="0.25">
      <c r="F365" t="str">
        <f>"Containment Priest"</f>
        <v>Containment Priest</v>
      </c>
      <c r="G365">
        <f>SUMIFS(Colección!$L$2:$L$10001,Colección!$F$2:$F$10001,$F365,Colección!$M$2:$M$10001,"Compra")</f>
        <v>0.82481149012567323</v>
      </c>
      <c r="H365">
        <f>IF($G365=0,"",_xlfn.RANK.EQ($G365,$G$2:$G$2353,0)+COUNTIF($G$2:G365,$G365)-1)</f>
        <v>1712</v>
      </c>
    </row>
    <row r="366" spans="6:8" x14ac:dyDescent="0.25">
      <c r="F366" t="str">
        <f>"Contaminated Aquifer"</f>
        <v>Contaminated Aquifer</v>
      </c>
      <c r="G366">
        <f>SUMIFS(Colección!$L$2:$L$10001,Colección!$F$2:$F$10001,$F366,Colección!$M$2:$M$10001,"Compra")</f>
        <v>3.4411764705882355</v>
      </c>
      <c r="H366">
        <f>IF($G366=0,"",_xlfn.RANK.EQ($G366,$G$2:$G$2353,0)+COUNTIF($G$2:G366,$G366)-1)</f>
        <v>1129</v>
      </c>
    </row>
    <row r="367" spans="6:8" x14ac:dyDescent="0.25">
      <c r="F367" t="str">
        <f>"Corgy (OP03-083)"</f>
        <v>Corgy (OP03-083)</v>
      </c>
      <c r="G367">
        <f>SUMIFS(Colección!$L$2:$L$10001,Colección!$F$2:$F$10001,$F367,Colección!$M$2:$M$10001,"Compra")</f>
        <v>9.5193798449612399E-2</v>
      </c>
      <c r="H367">
        <f>IF($G367=0,"",_xlfn.RANK.EQ($G367,$G$2:$G$2353,0)+COUNTIF($G$2:G367,$G367)-1)</f>
        <v>2169</v>
      </c>
    </row>
    <row r="368" spans="6:8" x14ac:dyDescent="0.25">
      <c r="F368" t="str">
        <f>"Cori Mountain Monastery"</f>
        <v>Cori Mountain Monastery</v>
      </c>
      <c r="G368">
        <f>SUMIFS(Colección!$L$2:$L$10001,Colección!$F$2:$F$10001,$F368,Colección!$M$2:$M$10001,"Compra")</f>
        <v>1.9688058642705131</v>
      </c>
      <c r="H368">
        <f>IF($G368=0,"",_xlfn.RANK.EQ($G368,$G$2:$G$2353,0)+COUNTIF($G$2:G368,$G368)-1)</f>
        <v>1378</v>
      </c>
    </row>
    <row r="369" spans="6:8" x14ac:dyDescent="0.25">
      <c r="F369" t="str">
        <f>"Cori-Steel Cutter"</f>
        <v>Cori-Steel Cutter</v>
      </c>
      <c r="G369">
        <f>SUMIFS(Colección!$L$2:$L$10001,Colección!$F$2:$F$10001,$F369,Colección!$M$2:$M$10001,"Compra")</f>
        <v>50.229838709677423</v>
      </c>
      <c r="H369">
        <f>IF($G369=0,"",_xlfn.RANK.EQ($G369,$G$2:$G$2353,0)+COUNTIF($G$2:G369,$G369)-1)</f>
        <v>174</v>
      </c>
    </row>
    <row r="370" spans="6:8" x14ac:dyDescent="0.25">
      <c r="F370" t="str">
        <f>"Corpse Appraiser (V.1)"</f>
        <v>Corpse Appraiser (V.1)</v>
      </c>
      <c r="G370">
        <f>SUMIFS(Colección!$L$2:$L$10001,Colección!$F$2:$F$10001,$F370,Colección!$M$2:$M$10001,"Compra")</f>
        <v>0.31882697947214078</v>
      </c>
      <c r="H370">
        <f>IF($G370=0,"",_xlfn.RANK.EQ($G370,$G$2:$G$2353,0)+COUNTIF($G$2:G370,$G370)-1)</f>
        <v>1994</v>
      </c>
    </row>
    <row r="371" spans="6:8" x14ac:dyDescent="0.25">
      <c r="F371" t="str">
        <f>"Corpse Appraiser (V.2)"</f>
        <v>Corpse Appraiser (V.2)</v>
      </c>
      <c r="G371">
        <f>SUMIFS(Colección!$L$2:$L$10001,Colección!$F$2:$F$10001,$F371,Colección!$M$2:$M$10001,"Compra")</f>
        <v>0.54656053623795564</v>
      </c>
      <c r="H371">
        <f>IF($G371=0,"",_xlfn.RANK.EQ($G371,$G$2:$G$2353,0)+COUNTIF($G$2:G371,$G371)-1)</f>
        <v>1856</v>
      </c>
    </row>
    <row r="372" spans="6:8" x14ac:dyDescent="0.25">
      <c r="F372" t="str">
        <f>"Corrida Coliseum (OP04-096)"</f>
        <v>Corrida Coliseum (OP04-096)</v>
      </c>
      <c r="G372">
        <f>SUMIFS(Colección!$L$2:$L$10001,Colección!$F$2:$F$10001,$F372,Colección!$M$2:$M$10001,"Compra")</f>
        <v>6.1898734177215198E-2</v>
      </c>
      <c r="H372">
        <f>IF($G372=0,"",_xlfn.RANK.EQ($G372,$G$2:$G$2353,0)+COUNTIF($G$2:G372,$G372)-1)</f>
        <v>2264</v>
      </c>
    </row>
    <row r="373" spans="6:8" x14ac:dyDescent="0.25">
      <c r="F373" t="str">
        <f>"Cosmic Rebirth (V.1)"</f>
        <v>Cosmic Rebirth (V.1)</v>
      </c>
      <c r="G373">
        <f>SUMIFS(Colección!$L$2:$L$10001,Colección!$F$2:$F$10001,$F373,Colección!$M$2:$M$10001,"Compra")</f>
        <v>0.7952454212454213</v>
      </c>
      <c r="H373">
        <f>IF($G373=0,"",_xlfn.RANK.EQ($G373,$G$2:$G$2353,0)+COUNTIF($G$2:G373,$G373)-1)</f>
        <v>1724</v>
      </c>
    </row>
    <row r="374" spans="6:8" x14ac:dyDescent="0.25">
      <c r="F374" t="str">
        <f>"Cosmogoyf"</f>
        <v>Cosmogoyf</v>
      </c>
      <c r="G374">
        <f>SUMIFS(Colección!$L$2:$L$10001,Colección!$F$2:$F$10001,$F374,Colección!$M$2:$M$10001,"Compra")</f>
        <v>37.25</v>
      </c>
      <c r="H374">
        <f>IF($G374=0,"",_xlfn.RANK.EQ($G374,$G$2:$G$2353,0)+COUNTIF($G$2:G374,$G374)-1)</f>
        <v>225</v>
      </c>
    </row>
    <row r="375" spans="6:8" x14ac:dyDescent="0.25">
      <c r="F375" t="str">
        <f>"Cosmogrand Zenith"</f>
        <v>Cosmogrand Zenith</v>
      </c>
      <c r="G375">
        <f>SUMIFS(Colección!$L$2:$L$10001,Colección!$F$2:$F$10001,$F375,Colección!$M$2:$M$10001,"Compra")</f>
        <v>88.22</v>
      </c>
      <c r="H375">
        <f>IF($G375=0,"",_xlfn.RANK.EQ($G375,$G$2:$G$2353,0)+COUNTIF($G$2:G375,$G375)-1)</f>
        <v>87</v>
      </c>
    </row>
    <row r="376" spans="6:8" x14ac:dyDescent="0.25">
      <c r="F376" t="str">
        <f>"Counterflux"</f>
        <v>Counterflux</v>
      </c>
      <c r="G376">
        <f>SUMIFS(Colección!$L$2:$L$10001,Colección!$F$2:$F$10001,$F376,Colección!$M$2:$M$10001,"Compra")</f>
        <v>1.83</v>
      </c>
      <c r="H376">
        <f>IF($G376=0,"",_xlfn.RANK.EQ($G376,$G$2:$G$2353,0)+COUNTIF($G$2:G376,$G376)-1)</f>
        <v>1394</v>
      </c>
    </row>
    <row r="377" spans="6:8" x14ac:dyDescent="0.25">
      <c r="F377" t="str">
        <f>"Counterspell (V.1)"</f>
        <v>Counterspell (V.1)</v>
      </c>
      <c r="G377">
        <f>SUMIFS(Colección!$L$2:$L$10001,Colección!$F$2:$F$10001,$F377,Colección!$M$2:$M$10001,"Compra")</f>
        <v>11.48663101604278</v>
      </c>
      <c r="H377">
        <f>IF($G377=0,"",_xlfn.RANK.EQ($G377,$G$2:$G$2353,0)+COUNTIF($G$2:G377,$G377)-1)</f>
        <v>597</v>
      </c>
    </row>
    <row r="378" spans="6:8" x14ac:dyDescent="0.25">
      <c r="F378" t="str">
        <f>"Counterspell [Playset]"</f>
        <v>Counterspell [Playset]</v>
      </c>
      <c r="G378">
        <f>SUMIFS(Colección!$L$2:$L$10001,Colección!$F$2:$F$10001,$F378,Colección!$M$2:$M$10001,"Compra")</f>
        <v>21.47</v>
      </c>
      <c r="H378">
        <f>IF($G378=0,"",_xlfn.RANK.EQ($G378,$G$2:$G$2353,0)+COUNTIF($G$2:G378,$G378)-1)</f>
        <v>367</v>
      </c>
    </row>
    <row r="379" spans="6:8" x14ac:dyDescent="0.25">
      <c r="F379" t="str">
        <f>"Crackling Drake"</f>
        <v>Crackling Drake</v>
      </c>
      <c r="G379">
        <f>SUMIFS(Colección!$L$2:$L$10001,Colección!$F$2:$F$10001,$F379,Colección!$M$2:$M$10001,"Compra")</f>
        <v>3.1625222024866786</v>
      </c>
      <c r="H379">
        <f>IF($G379=0,"",_xlfn.RANK.EQ($G379,$G$2:$G$2353,0)+COUNTIF($G$2:G379,$G379)-1)</f>
        <v>1182</v>
      </c>
    </row>
    <row r="380" spans="6:8" x14ac:dyDescent="0.25">
      <c r="F380" t="str">
        <f>"Cranial Plating"</f>
        <v>Cranial Plating</v>
      </c>
      <c r="G380">
        <f>SUMIFS(Colección!$L$2:$L$10001,Colección!$F$2:$F$10001,$F380,Colección!$M$2:$M$10001,"Compra")</f>
        <v>0.84884039900249364</v>
      </c>
      <c r="H380">
        <f>IF($G380=0,"",_xlfn.RANK.EQ($G380,$G$2:$G$2353,0)+COUNTIF($G$2:G380,$G380)-1)</f>
        <v>1701</v>
      </c>
    </row>
    <row r="381" spans="6:8" x14ac:dyDescent="0.25">
      <c r="F381" t="str">
        <f>"Crash Through"</f>
        <v>Crash Through</v>
      </c>
      <c r="G381">
        <f>SUMIFS(Colección!$L$2:$L$10001,Colección!$F$2:$F$10001,$F381,Colección!$M$2:$M$10001,"Compra")</f>
        <v>0.45946524064171118</v>
      </c>
      <c r="H381">
        <f>IF($G381=0,"",_xlfn.RANK.EQ($G381,$G$2:$G$2353,0)+COUNTIF($G$2:G381,$G381)-1)</f>
        <v>1911</v>
      </c>
    </row>
    <row r="382" spans="6:8" x14ac:dyDescent="0.25">
      <c r="F382" t="str">
        <f>"Crashing Footfalls [Playset]"</f>
        <v>Crashing Footfalls [Playset]</v>
      </c>
      <c r="G382">
        <f>SUMIFS(Colección!$L$2:$L$10001,Colección!$F$2:$F$10001,$F382,Colección!$M$2:$M$10001,"Compra")</f>
        <v>16.079999999999998</v>
      </c>
      <c r="H382">
        <f>IF($G382=0,"",_xlfn.RANK.EQ($G382,$G$2:$G$2353,0)+COUNTIF($G$2:G382,$G382)-1)</f>
        <v>483</v>
      </c>
    </row>
    <row r="383" spans="6:8" x14ac:dyDescent="0.25">
      <c r="F383" t="str">
        <f>"Crawl from the Cellar"</f>
        <v>Crawl from the Cellar</v>
      </c>
      <c r="G383">
        <f>SUMIFS(Colección!$L$2:$L$10001,Colección!$F$2:$F$10001,$F383,Colección!$M$2:$M$10001,"Compra")</f>
        <v>0.2752941176470588</v>
      </c>
      <c r="H383">
        <f>IF($G383=0,"",_xlfn.RANK.EQ($G383,$G$2:$G$2353,0)+COUNTIF($G$2:G383,$G383)-1)</f>
        <v>2027</v>
      </c>
    </row>
    <row r="384" spans="6:8" x14ac:dyDescent="0.25">
      <c r="F384" t="str">
        <f>"Creeping Chill"</f>
        <v>Creeping Chill</v>
      </c>
      <c r="G384">
        <f>SUMIFS(Colección!$L$2:$L$10001,Colección!$F$2:$F$10001,$F384,Colección!$M$2:$M$10001,"Compra")</f>
        <v>6.8632968314804677</v>
      </c>
      <c r="H384">
        <f>IF($G384=0,"",_xlfn.RANK.EQ($G384,$G$2:$G$2353,0)+COUNTIF($G$2:G384,$G384)-1)</f>
        <v>819</v>
      </c>
    </row>
    <row r="385" spans="6:8" x14ac:dyDescent="0.25">
      <c r="F385" t="str">
        <f>"Creeping Tar Pit"</f>
        <v>Creeping Tar Pit</v>
      </c>
      <c r="G385">
        <f>SUMIFS(Colección!$L$2:$L$10001,Colección!$F$2:$F$10001,$F385,Colección!$M$2:$M$10001,"Compra")</f>
        <v>1.5643511188338066</v>
      </c>
      <c r="H385">
        <f>IF($G385=0,"",_xlfn.RANK.EQ($G385,$G$2:$G$2353,0)+COUNTIF($G$2:G385,$G385)-1)</f>
        <v>1472</v>
      </c>
    </row>
    <row r="386" spans="6:8" x14ac:dyDescent="0.25">
      <c r="F386" t="str">
        <f>"Creepy Puppeteer"</f>
        <v>Creepy Puppeteer</v>
      </c>
      <c r="G386">
        <f>SUMIFS(Colección!$L$2:$L$10001,Colección!$F$2:$F$10001,$F386,Colección!$M$2:$M$10001,"Compra")</f>
        <v>0.43455027064378682</v>
      </c>
      <c r="H386">
        <f>IF($G386=0,"",_xlfn.RANK.EQ($G386,$G$2:$G$2353,0)+COUNTIF($G$2:G386,$G386)-1)</f>
        <v>1925</v>
      </c>
    </row>
    <row r="387" spans="6:8" x14ac:dyDescent="0.25">
      <c r="F387" t="str">
        <f>"Crime // Punishment"</f>
        <v>Crime // Punishment</v>
      </c>
      <c r="G387">
        <f>SUMIFS(Colección!$L$2:$L$10001,Colección!$F$2:$F$10001,$F387,Colección!$M$2:$M$10001,"Compra")</f>
        <v>7.0245198675496692</v>
      </c>
      <c r="H387">
        <f>IF($G387=0,"",_xlfn.RANK.EQ($G387,$G$2:$G$2353,0)+COUNTIF($G$2:G387,$G387)-1)</f>
        <v>811</v>
      </c>
    </row>
    <row r="388" spans="6:8" x14ac:dyDescent="0.25">
      <c r="F388" t="str">
        <f>"Crocodile (OP01-067) (V.1)"</f>
        <v>Crocodile (OP01-067) (V.1)</v>
      </c>
      <c r="G388">
        <f>SUMIFS(Colección!$L$2:$L$10001,Colección!$F$2:$F$10001,$F388,Colección!$M$2:$M$10001,"Compra")</f>
        <v>0.80245901639344264</v>
      </c>
      <c r="H388">
        <f>IF($G388=0,"",_xlfn.RANK.EQ($G388,$G$2:$G$2353,0)+COUNTIF($G$2:G388,$G388)-1)</f>
        <v>1722</v>
      </c>
    </row>
    <row r="389" spans="6:8" x14ac:dyDescent="0.25">
      <c r="F389" t="str">
        <f>"Crocodile (OP04-058) (V.1)"</f>
        <v>Crocodile (OP04-058) (V.1)</v>
      </c>
      <c r="G389">
        <f>SUMIFS(Colección!$L$2:$L$10001,Colección!$F$2:$F$10001,$F389,Colección!$M$2:$M$10001,"Compra")</f>
        <v>6.1898734177215198E-2</v>
      </c>
      <c r="H389">
        <f>IF($G389=0,"",_xlfn.RANK.EQ($G389,$G$2:$G$2353,0)+COUNTIF($G$2:G389,$G389)-1)</f>
        <v>2265</v>
      </c>
    </row>
    <row r="390" spans="6:8" x14ac:dyDescent="0.25">
      <c r="F390" t="str">
        <f>"Crocodile (OP04-060) (V.1)"</f>
        <v>Crocodile (OP04-060) (V.1)</v>
      </c>
      <c r="G390">
        <f>SUMIFS(Colección!$L$2:$L$10001,Colección!$F$2:$F$10001,$F390,Colección!$M$2:$M$10001,"Compra")</f>
        <v>2.007908745247148</v>
      </c>
      <c r="H390">
        <f>IF($G390=0,"",_xlfn.RANK.EQ($G390,$G$2:$G$2353,0)+COUNTIF($G$2:G390,$G390)-1)</f>
        <v>1368</v>
      </c>
    </row>
    <row r="391" spans="6:8" x14ac:dyDescent="0.25">
      <c r="F391" t="str">
        <f>"Cross Fire (OP03-017)"</f>
        <v>Cross Fire (OP03-017)</v>
      </c>
      <c r="G391">
        <f>SUMIFS(Colección!$L$2:$L$10001,Colección!$F$2:$F$10001,$F391,Colección!$M$2:$M$10001,"Compra")</f>
        <v>0.2855813953488372</v>
      </c>
      <c r="H391">
        <f>IF($G391=0,"",_xlfn.RANK.EQ($G391,$G$2:$G$2353,0)+COUNTIF($G$2:G391,$G391)-1)</f>
        <v>2009</v>
      </c>
    </row>
    <row r="392" spans="6:8" x14ac:dyDescent="0.25">
      <c r="F392" t="str">
        <f>"Cruel Somnophage // Can't Wake Up"</f>
        <v>Cruel Somnophage // Can't Wake Up</v>
      </c>
      <c r="G392">
        <f>SUMIFS(Colección!$L$2:$L$10001,Colección!$F$2:$F$10001,$F392,Colección!$M$2:$M$10001,"Compra")</f>
        <v>4.4898802395209598</v>
      </c>
      <c r="H392">
        <f>IF($G392=0,"",_xlfn.RANK.EQ($G392,$G$2:$G$2353,0)+COUNTIF($G$2:G392,$G392)-1)</f>
        <v>1000</v>
      </c>
    </row>
    <row r="393" spans="6:8" x14ac:dyDescent="0.25">
      <c r="F393" t="str">
        <f>"Crumbling Vestige"</f>
        <v>Crumbling Vestige</v>
      </c>
      <c r="G393">
        <f>SUMIFS(Colección!$L$2:$L$10001,Colección!$F$2:$F$10001,$F393,Colección!$M$2:$M$10001,"Compra")</f>
        <v>1.2699284996072513</v>
      </c>
      <c r="H393">
        <f>IF($G393=0,"",_xlfn.RANK.EQ($G393,$G$2:$G$2353,0)+COUNTIF($G$2:G393,$G393)-1)</f>
        <v>1551</v>
      </c>
    </row>
    <row r="394" spans="6:8" x14ac:dyDescent="0.25">
      <c r="F394" t="str">
        <f>"Crypt Incursion"</f>
        <v>Crypt Incursion</v>
      </c>
      <c r="G394">
        <f>SUMIFS(Colección!$L$2:$L$10001,Colección!$F$2:$F$10001,$F394,Colección!$M$2:$M$10001,"Compra")</f>
        <v>1.2084639498432601</v>
      </c>
      <c r="H394">
        <f>IF($G394=0,"",_xlfn.RANK.EQ($G394,$G$2:$G$2353,0)+COUNTIF($G$2:G394,$G394)-1)</f>
        <v>1563</v>
      </c>
    </row>
    <row r="395" spans="6:8" x14ac:dyDescent="0.25">
      <c r="F395" t="str">
        <f>"Cryptic Coat"</f>
        <v>Cryptic Coat</v>
      </c>
      <c r="G395">
        <f>SUMIFS(Colección!$L$2:$L$10001,Colección!$F$2:$F$10001,$F395,Colección!$M$2:$M$10001,"Compra")</f>
        <v>9.32</v>
      </c>
      <c r="H395">
        <f>IF($G395=0,"",_xlfn.RANK.EQ($G395,$G$2:$G$2353,0)+COUNTIF($G$2:G395,$G395)-1)</f>
        <v>687</v>
      </c>
    </row>
    <row r="396" spans="6:8" x14ac:dyDescent="0.25">
      <c r="F396" t="str">
        <f>"Cryptic Command"</f>
        <v>Cryptic Command</v>
      </c>
      <c r="G396">
        <f>SUMIFS(Colección!$L$2:$L$10001,Colección!$F$2:$F$10001,$F396,Colección!$M$2:$M$10001,"Compra")</f>
        <v>18.722602739726028</v>
      </c>
      <c r="H396">
        <f>IF($G396=0,"",_xlfn.RANK.EQ($G396,$G$2:$G$2353,0)+COUNTIF($G$2:G396,$G396)-1)</f>
        <v>420</v>
      </c>
    </row>
    <row r="397" spans="6:8" x14ac:dyDescent="0.25">
      <c r="F397" t="str">
        <f>"Crystal Barricade (V.1)"</f>
        <v>Crystal Barricade (V.1)</v>
      </c>
      <c r="G397">
        <f>SUMIFS(Colección!$L$2:$L$10001,Colección!$F$2:$F$10001,$F397,Colección!$M$2:$M$10001,"Compra")</f>
        <v>5.81</v>
      </c>
      <c r="H397">
        <f>IF($G397=0,"",_xlfn.RANK.EQ($G397,$G$2:$G$2353,0)+COUNTIF($G$2:G397,$G397)-1)</f>
        <v>902</v>
      </c>
    </row>
    <row r="398" spans="6:8" x14ac:dyDescent="0.25">
      <c r="F398" t="str">
        <f>"Cull the Weak"</f>
        <v>Cull the Weak</v>
      </c>
      <c r="G398">
        <f>SUMIFS(Colección!$L$2:$L$10001,Colección!$F$2:$F$10001,$F398,Colección!$M$2:$M$10001,"Compra")</f>
        <v>7.38</v>
      </c>
      <c r="H398">
        <f>IF($G398=0,"",_xlfn.RANK.EQ($G398,$G$2:$G$2353,0)+COUNTIF($G$2:G398,$G398)-1)</f>
        <v>784</v>
      </c>
    </row>
    <row r="399" spans="6:8" x14ac:dyDescent="0.25">
      <c r="F399" t="str">
        <f>"Culling Ritual"</f>
        <v>Culling Ritual</v>
      </c>
      <c r="G399">
        <f>SUMIFS(Colección!$L$2:$L$10001,Colección!$F$2:$F$10001,$F399,Colección!$M$2:$M$10001,"Compra")</f>
        <v>17.009226736566188</v>
      </c>
      <c r="H399">
        <f>IF($G399=0,"",_xlfn.RANK.EQ($G399,$G$2:$G$2353,0)+COUNTIF($G$2:G399,$G399)-1)</f>
        <v>452</v>
      </c>
    </row>
    <row r="400" spans="6:8" x14ac:dyDescent="0.25">
      <c r="F400" t="str">
        <f>"Cultivator Colossus"</f>
        <v>Cultivator Colossus</v>
      </c>
      <c r="G400">
        <f>SUMIFS(Colección!$L$2:$L$10001,Colección!$F$2:$F$10001,$F400,Colección!$M$2:$M$10001,"Compra")</f>
        <v>3.709090909090909</v>
      </c>
      <c r="H400">
        <f>IF($G400=0,"",_xlfn.RANK.EQ($G400,$G$2:$G$2353,0)+COUNTIF($G$2:G400,$G400)-1)</f>
        <v>1094</v>
      </c>
    </row>
    <row r="401" spans="6:8" x14ac:dyDescent="0.25">
      <c r="F401" t="str">
        <f>"Cultivator Colossus (V.2)"</f>
        <v>Cultivator Colossus (V.2)</v>
      </c>
      <c r="G401">
        <f>SUMIFS(Colección!$L$2:$L$10001,Colección!$F$2:$F$10001,$F401,Colección!$M$2:$M$10001,"Compra")</f>
        <v>7.22</v>
      </c>
      <c r="H401">
        <f>IF($G401=0,"",_xlfn.RANK.EQ($G401,$G$2:$G$2353,0)+COUNTIF($G$2:G401,$G401)-1)</f>
        <v>795</v>
      </c>
    </row>
    <row r="402" spans="6:8" x14ac:dyDescent="0.25">
      <c r="F402" t="str">
        <f>"Curator of Mysteries"</f>
        <v>Curator of Mysteries</v>
      </c>
      <c r="G402">
        <f>SUMIFS(Colección!$L$2:$L$10001,Colección!$F$2:$F$10001,$F402,Colección!$M$2:$M$10001,"Compra")</f>
        <v>1.9845477846942512</v>
      </c>
      <c r="H402">
        <f>IF($G402=0,"",_xlfn.RANK.EQ($G402,$G$2:$G$2353,0)+COUNTIF($G$2:G402,$G402)-1)</f>
        <v>1374</v>
      </c>
    </row>
    <row r="403" spans="6:8" x14ac:dyDescent="0.25">
      <c r="F403" t="str">
        <f>"Curiel (OP03-004)"</f>
        <v>Curiel (OP03-004)</v>
      </c>
      <c r="G403">
        <f>SUMIFS(Colección!$L$2:$L$10001,Colección!$F$2:$F$10001,$F403,Colección!$M$2:$M$10001,"Compra")</f>
        <v>0.1427906976744186</v>
      </c>
      <c r="H403">
        <f>IF($G403=0,"",_xlfn.RANK.EQ($G403,$G$2:$G$2353,0)+COUNTIF($G$2:G403,$G403)-1)</f>
        <v>2121</v>
      </c>
    </row>
    <row r="404" spans="6:8" x14ac:dyDescent="0.25">
      <c r="F404" t="str">
        <f>"Curse of Silence"</f>
        <v>Curse of Silence</v>
      </c>
      <c r="G404">
        <f>SUMIFS(Colección!$L$2:$L$10001,Colección!$F$2:$F$10001,$F404,Colección!$M$2:$M$10001,"Compra")</f>
        <v>1.286470588235294</v>
      </c>
      <c r="H404">
        <f>IF($G404=0,"",_xlfn.RANK.EQ($G404,$G$2:$G$2353,0)+COUNTIF($G$2:G404,$G404)-1)</f>
        <v>1548</v>
      </c>
    </row>
    <row r="405" spans="6:8" x14ac:dyDescent="0.25">
      <c r="F405" t="str">
        <f>"Cursed Totem"</f>
        <v>Cursed Totem</v>
      </c>
      <c r="G405">
        <f>SUMIFS(Colección!$L$2:$L$10001,Colección!$F$2:$F$10001,$F405,Colección!$M$2:$M$10001,"Compra")</f>
        <v>11.454545454545457</v>
      </c>
      <c r="H405">
        <f>IF($G405=0,"",_xlfn.RANK.EQ($G405,$G$2:$G$2353,0)+COUNTIF($G$2:G405,$G405)-1)</f>
        <v>599</v>
      </c>
    </row>
    <row r="406" spans="6:8" x14ac:dyDescent="0.25">
      <c r="F406" t="str">
        <f>"Cursed Totem (V.1)"</f>
        <v>Cursed Totem (V.1)</v>
      </c>
      <c r="G406">
        <f>SUMIFS(Colección!$L$2:$L$10001,Colección!$F$2:$F$10001,$F406,Colección!$M$2:$M$10001,"Compra")</f>
        <v>4.3879120879120883</v>
      </c>
      <c r="H406">
        <f>IF($G406=0,"",_xlfn.RANK.EQ($G406,$G$2:$G$2353,0)+COUNTIF($G$2:G406,$G406)-1)</f>
        <v>1014</v>
      </c>
    </row>
    <row r="407" spans="6:8" x14ac:dyDescent="0.25">
      <c r="F407" t="str">
        <f>"Cut Down"</f>
        <v>Cut Down</v>
      </c>
      <c r="G407">
        <f>SUMIFS(Colección!$L$2:$L$10001,Colección!$F$2:$F$10001,$F407,Colección!$M$2:$M$10001,"Compra")</f>
        <v>4.4753012048192762</v>
      </c>
      <c r="H407">
        <f>IF($G407=0,"",_xlfn.RANK.EQ($G407,$G$2:$G$2353,0)+COUNTIF($G$2:G407,$G407)-1)</f>
        <v>1003</v>
      </c>
    </row>
    <row r="408" spans="6:8" x14ac:dyDescent="0.25">
      <c r="F408" t="str">
        <f>"Cyclonic Rift"</f>
        <v>Cyclonic Rift</v>
      </c>
      <c r="G408">
        <f>SUMIFS(Colección!$L$2:$L$10001,Colección!$F$2:$F$10001,$F408,Colección!$M$2:$M$10001,"Compra")</f>
        <v>25.45</v>
      </c>
      <c r="H408">
        <f>IF($G408=0,"",_xlfn.RANK.EQ($G408,$G$2:$G$2353,0)+COUNTIF($G$2:G408,$G408)-1)</f>
        <v>304</v>
      </c>
    </row>
    <row r="409" spans="6:8" x14ac:dyDescent="0.25">
      <c r="F409" t="str">
        <f>"Dalmatian (OP05-046)"</f>
        <v>Dalmatian (OP05-046)</v>
      </c>
      <c r="G409">
        <f>SUMIFS(Colección!$L$2:$L$10001,Colección!$F$2:$F$10001,$F409,Colección!$M$2:$M$10001,"Compra")</f>
        <v>4.0592556317335937E-2</v>
      </c>
      <c r="H409">
        <f>IF($G409=0,"",_xlfn.RANK.EQ($G409,$G$2:$G$2353,0)+COUNTIF($G$2:G409,$G409)-1)</f>
        <v>2328</v>
      </c>
    </row>
    <row r="410" spans="6:8" x14ac:dyDescent="0.25">
      <c r="F410" t="str">
        <f>"Damn"</f>
        <v>Damn</v>
      </c>
      <c r="G410">
        <f>SUMIFS(Colección!$L$2:$L$10001,Colección!$F$2:$F$10001,$F410,Colección!$M$2:$M$10001,"Compra")</f>
        <v>4.1650552364118427</v>
      </c>
      <c r="H410">
        <f>IF($G410=0,"",_xlfn.RANK.EQ($G410,$G$2:$G$2353,0)+COUNTIF($G$2:G410,$G410)-1)</f>
        <v>1052</v>
      </c>
    </row>
    <row r="411" spans="6:8" x14ac:dyDescent="0.25">
      <c r="F411" t="str">
        <f>"Damnation"</f>
        <v>Damnation</v>
      </c>
      <c r="G411">
        <f>SUMIFS(Colección!$L$2:$L$10001,Colección!$F$2:$F$10001,$F411,Colección!$M$2:$M$10001,"Compra")</f>
        <v>17.75</v>
      </c>
      <c r="H411">
        <f>IF($G411=0,"",_xlfn.RANK.EQ($G411,$G$2:$G$2353,0)+COUNTIF($G$2:G411,$G411)-1)</f>
        <v>437</v>
      </c>
    </row>
    <row r="412" spans="6:8" x14ac:dyDescent="0.25">
      <c r="F412" t="str">
        <f>"Damping Matrix"</f>
        <v>Damping Matrix</v>
      </c>
      <c r="G412">
        <f>SUMIFS(Colección!$L$2:$L$10001,Colección!$F$2:$F$10001,$F412,Colección!$M$2:$M$10001,"Compra")</f>
        <v>2.62</v>
      </c>
      <c r="H412">
        <f>IF($G412=0,"",_xlfn.RANK.EQ($G412,$G$2:$G$2353,0)+COUNTIF($G$2:G412,$G412)-1)</f>
        <v>1239</v>
      </c>
    </row>
    <row r="413" spans="6:8" x14ac:dyDescent="0.25">
      <c r="F413" t="str">
        <f>"Damping Sphere"</f>
        <v>Damping Sphere</v>
      </c>
      <c r="G413">
        <f>SUMIFS(Colección!$L$2:$L$10001,Colección!$F$2:$F$10001,$F413,Colección!$M$2:$M$10001,"Compra")</f>
        <v>3.7452944748026722</v>
      </c>
      <c r="H413">
        <f>IF($G413=0,"",_xlfn.RANK.EQ($G413,$G$2:$G$2353,0)+COUNTIF($G$2:G413,$G413)-1)</f>
        <v>1086</v>
      </c>
    </row>
    <row r="414" spans="6:8" x14ac:dyDescent="0.25">
      <c r="F414" t="str">
        <f>"Dark Confidant (V.1)"</f>
        <v>Dark Confidant (V.1)</v>
      </c>
      <c r="G414">
        <f>SUMIFS(Colección!$L$2:$L$10001,Colección!$F$2:$F$10001,$F414,Colección!$M$2:$M$10001,"Compra")</f>
        <v>13.14</v>
      </c>
      <c r="H414">
        <f>IF($G414=0,"",_xlfn.RANK.EQ($G414,$G$2:$G$2353,0)+COUNTIF($G$2:G414,$G414)-1)</f>
        <v>546</v>
      </c>
    </row>
    <row r="415" spans="6:8" x14ac:dyDescent="0.25">
      <c r="F415" t="str">
        <f>"Dark Confidant [Foil]"</f>
        <v>Dark Confidant [Foil]</v>
      </c>
      <c r="G415">
        <f>SUMIFS(Colección!$L$2:$L$10001,Colección!$F$2:$F$10001,$F415,Colección!$M$2:$M$10001,"Compra")</f>
        <v>19.636363636363637</v>
      </c>
      <c r="H415">
        <f>IF($G415=0,"",_xlfn.RANK.EQ($G415,$G$2:$G$2353,0)+COUNTIF($G$2:G415,$G415)-1)</f>
        <v>400</v>
      </c>
    </row>
    <row r="416" spans="6:8" x14ac:dyDescent="0.25">
      <c r="F416" t="str">
        <f>"Dark Ritual"</f>
        <v>Dark Ritual</v>
      </c>
      <c r="G416">
        <f>SUMIFS(Colección!$L$2:$L$10001,Colección!$F$2:$F$10001,$F416,Colección!$M$2:$M$10001,"Compra")</f>
        <v>32</v>
      </c>
      <c r="H416">
        <f>IF($G416=0,"",_xlfn.RANK.EQ($G416,$G$2:$G$2353,0)+COUNTIF($G$2:G416,$G416)-1)</f>
        <v>264</v>
      </c>
    </row>
    <row r="417" spans="6:8" x14ac:dyDescent="0.25">
      <c r="F417" t="str">
        <f>"Darkblast"</f>
        <v>Darkblast</v>
      </c>
      <c r="G417">
        <f>SUMIFS(Colección!$L$2:$L$10001,Colección!$F$2:$F$10001,$F417,Colección!$M$2:$M$10001,"Compra")</f>
        <v>8.5297987134552322</v>
      </c>
      <c r="H417">
        <f>IF($G417=0,"",_xlfn.RANK.EQ($G417,$G$2:$G$2353,0)+COUNTIF($G$2:G417,$G417)-1)</f>
        <v>729</v>
      </c>
    </row>
    <row r="418" spans="6:8" x14ac:dyDescent="0.25">
      <c r="F418" t="str">
        <f>"Darkslick Shores"</f>
        <v>Darkslick Shores</v>
      </c>
      <c r="G418">
        <f>SUMIFS(Colección!$L$2:$L$10001,Colección!$F$2:$F$10001,$F418,Colección!$M$2:$M$10001,"Compra")</f>
        <v>30.905194462755439</v>
      </c>
      <c r="H418">
        <f>IF($G418=0,"",_xlfn.RANK.EQ($G418,$G$2:$G$2353,0)+COUNTIF($G$2:G418,$G418)-1)</f>
        <v>272</v>
      </c>
    </row>
    <row r="419" spans="6:8" x14ac:dyDescent="0.25">
      <c r="F419" t="str">
        <f>"Darksteel Citadel"</f>
        <v>Darksteel Citadel</v>
      </c>
      <c r="G419">
        <f>SUMIFS(Colección!$L$2:$L$10001,Colección!$F$2:$F$10001,$F419,Colección!$M$2:$M$10001,"Compra")</f>
        <v>4.2442019950124683</v>
      </c>
      <c r="H419">
        <f>IF($G419=0,"",_xlfn.RANK.EQ($G419,$G$2:$G$2353,0)+COUNTIF($G$2:G419,$G419)-1)</f>
        <v>1038</v>
      </c>
    </row>
    <row r="420" spans="6:8" x14ac:dyDescent="0.25">
      <c r="F420" t="str">
        <f>"Darksteel Citadel [Playset]"</f>
        <v>Darksteel Citadel [Playset]</v>
      </c>
      <c r="G420">
        <f>SUMIFS(Colección!$L$2:$L$10001,Colección!$F$2:$F$10001,$F420,Colección!$M$2:$M$10001,"Compra")</f>
        <v>5.22</v>
      </c>
      <c r="H420">
        <f>IF($G420=0,"",_xlfn.RANK.EQ($G420,$G$2:$G$2353,0)+COUNTIF($G$2:G420,$G420)-1)</f>
        <v>950</v>
      </c>
    </row>
    <row r="421" spans="6:8" x14ac:dyDescent="0.25">
      <c r="F421" t="str">
        <f>"Dauthi Voidwalker (V.1)"</f>
        <v>Dauthi Voidwalker (V.1)</v>
      </c>
      <c r="G421">
        <f>SUMIFS(Colección!$L$2:$L$10001,Colección!$F$2:$F$10001,$F421,Colección!$M$2:$M$10001,"Compra")</f>
        <v>69.73</v>
      </c>
      <c r="H421">
        <f>IF($G421=0,"",_xlfn.RANK.EQ($G421,$G$2:$G$2353,0)+COUNTIF($G$2:G421,$G421)-1)</f>
        <v>114</v>
      </c>
    </row>
    <row r="422" spans="6:8" x14ac:dyDescent="0.25">
      <c r="F422" t="str">
        <f>"Dauthi Voidwalker [Playset]"</f>
        <v>Dauthi Voidwalker [Playset]</v>
      </c>
      <c r="G422">
        <f>SUMIFS(Colección!$L$2:$L$10001,Colección!$F$2:$F$10001,$F422,Colección!$M$2:$M$10001,"Compra")</f>
        <v>33.545692090395477</v>
      </c>
      <c r="H422">
        <f>IF($G422=0,"",_xlfn.RANK.EQ($G422,$G$2:$G$2353,0)+COUNTIF($G$2:G422,$G422)-1)</f>
        <v>252</v>
      </c>
    </row>
    <row r="423" spans="6:8" x14ac:dyDescent="0.25">
      <c r="F423" t="str">
        <f>"Davriel, Rogue Shadowmage"</f>
        <v>Davriel, Rogue Shadowmage</v>
      </c>
      <c r="G423">
        <f>SUMIFS(Colección!$L$2:$L$10001,Colección!$F$2:$F$10001,$F423,Colección!$M$2:$M$10001,"Compra")</f>
        <v>0.16363636363636361</v>
      </c>
      <c r="H423">
        <f>IF($G423=0,"",_xlfn.RANK.EQ($G423,$G$2:$G$2353,0)+COUNTIF($G$2:G423,$G423)-1)</f>
        <v>2103</v>
      </c>
    </row>
    <row r="424" spans="6:8" x14ac:dyDescent="0.25">
      <c r="F424" t="str">
        <f>"Dawn Elemental"</f>
        <v>Dawn Elemental</v>
      </c>
      <c r="G424">
        <f>SUMIFS(Colección!$L$2:$L$10001,Colección!$F$2:$F$10001,$F424,Colección!$M$2:$M$10001,"Compra")</f>
        <v>2.1818181818181821</v>
      </c>
      <c r="H424">
        <f>IF($G424=0,"",_xlfn.RANK.EQ($G424,$G$2:$G$2353,0)+COUNTIF($G$2:G424,$G424)-1)</f>
        <v>1320</v>
      </c>
    </row>
    <row r="425" spans="6:8" x14ac:dyDescent="0.25">
      <c r="F425" t="str">
        <f>"Dawn of a New Age"</f>
        <v>Dawn of a New Age</v>
      </c>
      <c r="G425">
        <f>SUMIFS(Colección!$L$2:$L$10001,Colección!$F$2:$F$10001,$F425,Colección!$M$2:$M$10001,"Compra")</f>
        <v>9.644666767081663</v>
      </c>
      <c r="H425">
        <f>IF($G425=0,"",_xlfn.RANK.EQ($G425,$G$2:$G$2353,0)+COUNTIF($G$2:G425,$G425)-1)</f>
        <v>676</v>
      </c>
    </row>
    <row r="426" spans="6:8" x14ac:dyDescent="0.25">
      <c r="F426" t="str">
        <f>"Day of Judgment"</f>
        <v>Day of Judgment</v>
      </c>
      <c r="G426">
        <f>SUMIFS(Colección!$L$2:$L$10001,Colección!$F$2:$F$10001,$F426,Colección!$M$2:$M$10001,"Compra")</f>
        <v>2.1136405529953919</v>
      </c>
      <c r="H426">
        <f>IF($G426=0,"",_xlfn.RANK.EQ($G426,$G$2:$G$2353,0)+COUNTIF($G$2:G426,$G426)-1)</f>
        <v>1341</v>
      </c>
    </row>
    <row r="427" spans="6:8" x14ac:dyDescent="0.25">
      <c r="F427" t="str">
        <f>"Day's Undoing"</f>
        <v>Day's Undoing</v>
      </c>
      <c r="G427">
        <f>SUMIFS(Colección!$L$2:$L$10001,Colección!$F$2:$F$10001,$F427,Colección!$M$2:$M$10001,"Compra")</f>
        <v>13.028952380952379</v>
      </c>
      <c r="H427">
        <f>IF($G427=0,"",_xlfn.RANK.EQ($G427,$G$2:$G$2353,0)+COUNTIF($G$2:G427,$G427)-1)</f>
        <v>552</v>
      </c>
    </row>
    <row r="428" spans="6:8" x14ac:dyDescent="0.25">
      <c r="F428" t="str">
        <f>"Daze"</f>
        <v>Daze</v>
      </c>
      <c r="G428">
        <f>SUMIFS(Colección!$L$2:$L$10001,Colección!$F$2:$F$10001,$F428,Colección!$M$2:$M$10001,"Compra")</f>
        <v>23.639313831846476</v>
      </c>
      <c r="H428">
        <f>IF($G428=0,"",_xlfn.RANK.EQ($G428,$G$2:$G$2353,0)+COUNTIF($G$2:G428,$G428)-1)</f>
        <v>331</v>
      </c>
    </row>
    <row r="429" spans="6:8" x14ac:dyDescent="0.25">
      <c r="F429" t="str">
        <f>"Dead // Gone [Playset]"</f>
        <v>Dead // Gone [Playset]</v>
      </c>
      <c r="G429">
        <f>SUMIFS(Colección!$L$2:$L$10001,Colección!$F$2:$F$10001,$F429,Colección!$M$2:$M$10001,"Compra")</f>
        <v>1.0983333333333329</v>
      </c>
      <c r="H429">
        <f>IF($G429=0,"",_xlfn.RANK.EQ($G429,$G$2:$G$2353,0)+COUNTIF($G$2:G429,$G429)-1)</f>
        <v>1598</v>
      </c>
    </row>
    <row r="430" spans="6:8" x14ac:dyDescent="0.25">
      <c r="F430" t="str">
        <f>"Deadly Dispute [Foil]"</f>
        <v>Deadly Dispute [Foil]</v>
      </c>
      <c r="G430">
        <f>SUMIFS(Colección!$L$2:$L$10001,Colección!$F$2:$F$10001,$F430,Colección!$M$2:$M$10001,"Compra")</f>
        <v>13.090909090909092</v>
      </c>
      <c r="H430">
        <f>IF($G430=0,"",_xlfn.RANK.EQ($G430,$G$2:$G$2353,0)+COUNTIF($G$2:G430,$G430)-1)</f>
        <v>550</v>
      </c>
    </row>
    <row r="431" spans="6:8" x14ac:dyDescent="0.25">
      <c r="F431" t="str">
        <f>"Deadly Flourish"</f>
        <v>Deadly Flourish</v>
      </c>
      <c r="G431">
        <f>SUMIFS(Colección!$L$2:$L$10001,Colección!$F$2:$F$10001,$F431,Colección!$M$2:$M$10001,"Compra")</f>
        <v>2.3370417633410678</v>
      </c>
      <c r="H431">
        <f>IF($G431=0,"",_xlfn.RANK.EQ($G431,$G$2:$G$2353,0)+COUNTIF($G$2:G431,$G431)-1)</f>
        <v>1279</v>
      </c>
    </row>
    <row r="432" spans="6:8" x14ac:dyDescent="0.25">
      <c r="F432" t="str">
        <f>"Deafening Silence"</f>
        <v>Deafening Silence</v>
      </c>
      <c r="G432">
        <f>SUMIFS(Colección!$L$2:$L$10001,Colección!$F$2:$F$10001,$F432,Colección!$M$2:$M$10001,"Compra")</f>
        <v>6.18</v>
      </c>
      <c r="H432">
        <f>IF($G432=0,"",_xlfn.RANK.EQ($G432,$G$2:$G$2353,0)+COUNTIF($G$2:G432,$G432)-1)</f>
        <v>873</v>
      </c>
    </row>
    <row r="433" spans="6:8" x14ac:dyDescent="0.25">
      <c r="F433" t="str">
        <f>"Death's Shadow [Playset]"</f>
        <v>Death's Shadow [Playset]</v>
      </c>
      <c r="G433">
        <f>SUMIFS(Colección!$L$2:$L$10001,Colección!$F$2:$F$10001,$F433,Colección!$M$2:$M$10001,"Compra")</f>
        <v>12.030769230769231</v>
      </c>
      <c r="H433">
        <f>IF($G433=0,"",_xlfn.RANK.EQ($G433,$G$2:$G$2353,0)+COUNTIF($G$2:G433,$G433)-1)</f>
        <v>580</v>
      </c>
    </row>
    <row r="434" spans="6:8" x14ac:dyDescent="0.25">
      <c r="F434" t="str">
        <f>"Deathgrip"</f>
        <v>Deathgrip</v>
      </c>
      <c r="G434">
        <f>SUMIFS(Colección!$L$2:$L$10001,Colección!$F$2:$F$10001,$F434,Colección!$M$2:$M$10001,"Compra")</f>
        <v>4.8317647058823541</v>
      </c>
      <c r="H434">
        <f>IF($G434=0,"",_xlfn.RANK.EQ($G434,$G$2:$G$2353,0)+COUNTIF($G$2:G434,$G434)-1)</f>
        <v>980</v>
      </c>
    </row>
    <row r="435" spans="6:8" x14ac:dyDescent="0.25">
      <c r="F435" t="str">
        <f>"Deathly Poison Gas Bomb MH5 (OP03-038)"</f>
        <v>Deathly Poison Gas Bomb MH5 (OP03-038)</v>
      </c>
      <c r="G435">
        <f>SUMIFS(Colección!$L$2:$L$10001,Colección!$F$2:$F$10001,$F435,Colección!$M$2:$M$10001,"Compra")</f>
        <v>0.40457364341085272</v>
      </c>
      <c r="H435">
        <f>IF($G435=0,"",_xlfn.RANK.EQ($G435,$G$2:$G$2353,0)+COUNTIF($G$2:G435,$G435)-1)</f>
        <v>1952</v>
      </c>
    </row>
    <row r="436" spans="6:8" x14ac:dyDescent="0.25">
      <c r="F436" t="str">
        <f>"Deathrite Shaman (V.1)"</f>
        <v>Deathrite Shaman (V.1)</v>
      </c>
      <c r="G436">
        <f>SUMIFS(Colección!$L$2:$L$10001,Colección!$F$2:$F$10001,$F436,Colección!$M$2:$M$10001,"Compra")</f>
        <v>21.78</v>
      </c>
      <c r="H436">
        <f>IF($G436=0,"",_xlfn.RANK.EQ($G436,$G$2:$G$2353,0)+COUNTIF($G$2:G436,$G436)-1)</f>
        <v>363</v>
      </c>
    </row>
    <row r="437" spans="6:8" x14ac:dyDescent="0.25">
      <c r="F437" t="str">
        <f>"Deceiver Exarch"</f>
        <v>Deceiver Exarch</v>
      </c>
      <c r="G437">
        <f>SUMIFS(Colección!$L$2:$L$10001,Colección!$F$2:$F$10001,$F437,Colección!$M$2:$M$10001,"Compra")</f>
        <v>1.5051217440543603</v>
      </c>
      <c r="H437">
        <f>IF($G437=0,"",_xlfn.RANK.EQ($G437,$G$2:$G$2353,0)+COUNTIF($G$2:G437,$G437)-1)</f>
        <v>1486</v>
      </c>
    </row>
    <row r="438" spans="6:8" x14ac:dyDescent="0.25">
      <c r="F438" t="str">
        <f>"Decree of Justice"</f>
        <v>Decree of Justice</v>
      </c>
      <c r="G438">
        <f>SUMIFS(Colección!$L$2:$L$10001,Colección!$F$2:$F$10001,$F438,Colección!$M$2:$M$10001,"Compra")</f>
        <v>45.848565802428624</v>
      </c>
      <c r="H438">
        <f>IF($G438=0,"",_xlfn.RANK.EQ($G438,$G$2:$G$2353,0)+COUNTIF($G$2:G438,$G438)-1)</f>
        <v>187</v>
      </c>
    </row>
    <row r="439" spans="6:8" x14ac:dyDescent="0.25">
      <c r="F439" t="str">
        <f>"Deduce"</f>
        <v>Deduce</v>
      </c>
      <c r="G439">
        <f>SUMIFS(Colección!$L$2:$L$10001,Colección!$F$2:$F$10001,$F439,Colección!$M$2:$M$10001,"Compra")</f>
        <v>1.1417848206839032</v>
      </c>
      <c r="H439">
        <f>IF($G439=0,"",_xlfn.RANK.EQ($G439,$G$2:$G$2353,0)+COUNTIF($G$2:G439,$G439)-1)</f>
        <v>1581</v>
      </c>
    </row>
    <row r="440" spans="6:8" x14ac:dyDescent="0.25">
      <c r="F440" t="str">
        <f>"Deem Inferior"</f>
        <v>Deem Inferior</v>
      </c>
      <c r="G440">
        <f>SUMIFS(Colección!$L$2:$L$10001,Colección!$F$2:$F$10001,$F440,Colección!$M$2:$M$10001,"Compra")</f>
        <v>0.43130434782608718</v>
      </c>
      <c r="H440">
        <f>IF($G440=0,"",_xlfn.RANK.EQ($G440,$G$2:$G$2353,0)+COUNTIF($G$2:G440,$G440)-1)</f>
        <v>1932</v>
      </c>
    </row>
    <row r="441" spans="6:8" x14ac:dyDescent="0.25">
      <c r="F441" t="str">
        <f>"Deep Analysis"</f>
        <v>Deep Analysis</v>
      </c>
      <c r="G441">
        <f>SUMIFS(Colección!$L$2:$L$10001,Colección!$F$2:$F$10001,$F441,Colección!$M$2:$M$10001,"Compra")</f>
        <v>14.813398235430562</v>
      </c>
      <c r="H441">
        <f>IF($G441=0,"",_xlfn.RANK.EQ($G441,$G$2:$G$2353,0)+COUNTIF($G$2:G441,$G441)-1)</f>
        <v>507</v>
      </c>
    </row>
    <row r="442" spans="6:8" x14ac:dyDescent="0.25">
      <c r="F442" t="str">
        <f>"Deep-Cavern Bat"</f>
        <v>Deep-Cavern Bat</v>
      </c>
      <c r="G442">
        <f>SUMIFS(Colección!$L$2:$L$10001,Colección!$F$2:$F$10001,$F442,Colección!$M$2:$M$10001,"Compra")</f>
        <v>2.3010942649967041</v>
      </c>
      <c r="H442">
        <f>IF($G442=0,"",_xlfn.RANK.EQ($G442,$G$2:$G$2353,0)+COUNTIF($G$2:G442,$G442)-1)</f>
        <v>1289</v>
      </c>
    </row>
    <row r="443" spans="6:8" x14ac:dyDescent="0.25">
      <c r="F443" t="str">
        <f>"Defense Grid (V.1)"</f>
        <v>Defense Grid (V.1)</v>
      </c>
      <c r="G443">
        <f>SUMIFS(Colección!$L$2:$L$10001,Colección!$F$2:$F$10001,$F443,Colección!$M$2:$M$10001,"Compra")</f>
        <v>3.2243543543543538</v>
      </c>
      <c r="H443">
        <f>IF($G443=0,"",_xlfn.RANK.EQ($G443,$G$2:$G$2353,0)+COUNTIF($G$2:G443,$G443)-1)</f>
        <v>1170</v>
      </c>
    </row>
    <row r="444" spans="6:8" x14ac:dyDescent="0.25">
      <c r="F444" t="str">
        <f>"Defiant Dance"</f>
        <v>Defiant Dance</v>
      </c>
      <c r="G444">
        <f>SUMIFS(Colección!$L$2:$L$10001,Colección!$F$2:$F$10001,$F444,Colección!$M$2:$M$10001,"Compra")</f>
        <v>65.05</v>
      </c>
      <c r="H444">
        <f>IF($G444=0,"",_xlfn.RANK.EQ($G444,$G$2:$G$2353,0)+COUNTIF($G$2:G444,$G444)-1)</f>
        <v>127</v>
      </c>
    </row>
    <row r="445" spans="6:8" x14ac:dyDescent="0.25">
      <c r="F445" t="str">
        <f>"Defiant Strike (V.1)"</f>
        <v>Defiant Strike (V.1)</v>
      </c>
      <c r="G445">
        <f>SUMIFS(Colección!$L$2:$L$10001,Colección!$F$2:$F$10001,$F445,Colección!$M$2:$M$10001,"Compra")</f>
        <v>0.78335151987529239</v>
      </c>
      <c r="H445">
        <f>IF($G445=0,"",_xlfn.RANK.EQ($G445,$G$2:$G$2353,0)+COUNTIF($G$2:G445,$G445)-1)</f>
        <v>1730</v>
      </c>
    </row>
    <row r="446" spans="6:8" x14ac:dyDescent="0.25">
      <c r="F446" t="str">
        <f>"Defiled Crypt // Cadaver Lab"</f>
        <v>Defiled Crypt // Cadaver Lab</v>
      </c>
      <c r="G446">
        <f>SUMIFS(Colección!$L$2:$L$10001,Colección!$F$2:$F$10001,$F446,Colección!$M$2:$M$10001,"Compra")</f>
        <v>0.35286245353159862</v>
      </c>
      <c r="H446">
        <f>IF($G446=0,"",_xlfn.RANK.EQ($G446,$G$2:$G$2353,0)+COUNTIF($G$2:G446,$G446)-1)</f>
        <v>1980</v>
      </c>
    </row>
    <row r="447" spans="6:8" x14ac:dyDescent="0.25">
      <c r="F447" t="str">
        <f>"Deflecting Palm"</f>
        <v>Deflecting Palm</v>
      </c>
      <c r="G447">
        <f>SUMIFS(Colección!$L$2:$L$10001,Colección!$F$2:$F$10001,$F447,Colección!$M$2:$M$10001,"Compra")</f>
        <v>4.55</v>
      </c>
      <c r="H447">
        <f>IF($G447=0,"",_xlfn.RANK.EQ($G447,$G$2:$G$2353,0)+COUNTIF($G$2:G447,$G447)-1)</f>
        <v>997</v>
      </c>
    </row>
    <row r="448" spans="6:8" x14ac:dyDescent="0.25">
      <c r="F448" t="str">
        <f>"Defy"</f>
        <v>Defy</v>
      </c>
      <c r="G448">
        <f>SUMIFS(Colección!$L$2:$L$10001,Colección!$F$2:$F$10001,$F448,Colección!$M$2:$M$10001,"Compra")</f>
        <v>12.58647532315138</v>
      </c>
      <c r="H448">
        <f>IF($G448=0,"",_xlfn.RANK.EQ($G448,$G$2:$G$2353,0)+COUNTIF($G$2:G448,$G448)-1)</f>
        <v>563</v>
      </c>
    </row>
    <row r="449" spans="6:8" x14ac:dyDescent="0.25">
      <c r="F449" t="str">
        <f>"Delighted Halfling"</f>
        <v>Delighted Halfling</v>
      </c>
      <c r="G449">
        <f>SUMIFS(Colección!$L$2:$L$10001,Colección!$F$2:$F$10001,$F449,Colección!$M$2:$M$10001,"Compra")</f>
        <v>42.391761786600497</v>
      </c>
      <c r="H449">
        <f>IF($G449=0,"",_xlfn.RANK.EQ($G449,$G$2:$G$2353,0)+COUNTIF($G$2:G449,$G449)-1)</f>
        <v>197</v>
      </c>
    </row>
    <row r="450" spans="6:8" x14ac:dyDescent="0.25">
      <c r="F450" t="str">
        <f>"Delighted Halfling (V.1)"</f>
        <v>Delighted Halfling (V.1)</v>
      </c>
      <c r="G450">
        <f>SUMIFS(Colección!$L$2:$L$10001,Colección!$F$2:$F$10001,$F450,Colección!$M$2:$M$10001,"Compra")</f>
        <v>25.143671874999999</v>
      </c>
      <c r="H450">
        <f>IF($G450=0,"",_xlfn.RANK.EQ($G450,$G$2:$G$2353,0)+COUNTIF($G$2:G450,$G450)-1)</f>
        <v>312</v>
      </c>
    </row>
    <row r="451" spans="6:8" x14ac:dyDescent="0.25">
      <c r="F451" t="str">
        <f>"Delighted Halfling (V.2)"</f>
        <v>Delighted Halfling (V.2)</v>
      </c>
      <c r="G451">
        <f>SUMIFS(Colección!$L$2:$L$10001,Colección!$F$2:$F$10001,$F451,Colección!$M$2:$M$10001,"Compra")</f>
        <v>20.170000000000002</v>
      </c>
      <c r="H451">
        <f>IF($G451=0,"",_xlfn.RANK.EQ($G451,$G$2:$G$2353,0)+COUNTIF($G$2:G451,$G451)-1)</f>
        <v>392</v>
      </c>
    </row>
    <row r="452" spans="6:8" x14ac:dyDescent="0.25">
      <c r="F452" t="str">
        <f>"Dellinger (OP04-029)"</f>
        <v>Dellinger (OP04-029)</v>
      </c>
      <c r="G452">
        <f>SUMIFS(Colección!$L$2:$L$10001,Colección!$F$2:$F$10001,$F452,Colección!$M$2:$M$10001,"Compra")</f>
        <v>6.1898734177215198E-2</v>
      </c>
      <c r="H452">
        <f>IF($G452=0,"",_xlfn.RANK.EQ($G452,$G$2:$G$2353,0)+COUNTIF($G$2:G452,$G452)-1)</f>
        <v>2266</v>
      </c>
    </row>
    <row r="453" spans="6:8" x14ac:dyDescent="0.25">
      <c r="F453" t="str">
        <f>"Delver of Secrets / Insectile Aberration"</f>
        <v>Delver of Secrets / Insectile Aberration</v>
      </c>
      <c r="G453">
        <f>SUMIFS(Colección!$L$2:$L$10001,Colección!$F$2:$F$10001,$F453,Colección!$M$2:$M$10001,"Compra")</f>
        <v>2.6349737405174087</v>
      </c>
      <c r="H453">
        <f>IF($G453=0,"",_xlfn.RANK.EQ($G453,$G$2:$G$2353,0)+COUNTIF($G$2:G453,$G453)-1)</f>
        <v>1237</v>
      </c>
    </row>
    <row r="454" spans="6:8" x14ac:dyDescent="0.25">
      <c r="F454" t="str">
        <f>"Demacian Diplomat"</f>
        <v>Demacian Diplomat</v>
      </c>
      <c r="G454">
        <f>SUMIFS(Colección!$L$2:$L$10001,Colección!$F$2:$F$10001,$F454,Colección!$M$2:$M$10001,"Compra")</f>
        <v>0.61789946873722956</v>
      </c>
      <c r="H454">
        <f>IF($G454=0,"",_xlfn.RANK.EQ($G454,$G$2:$G$2353,0)+COUNTIF($G$2:G454,$G454)-1)</f>
        <v>1818</v>
      </c>
    </row>
    <row r="455" spans="6:8" x14ac:dyDescent="0.25">
      <c r="F455" t="str">
        <f>"Demilich"</f>
        <v>Demilich</v>
      </c>
      <c r="G455">
        <f>SUMIFS(Colección!$L$2:$L$10001,Colección!$F$2:$F$10001,$F455,Colección!$M$2:$M$10001,"Compra")</f>
        <v>12.821345926800472</v>
      </c>
      <c r="H455">
        <f>IF($G455=0,"",_xlfn.RANK.EQ($G455,$G$2:$G$2353,0)+COUNTIF($G$2:G455,$G455)-1)</f>
        <v>556</v>
      </c>
    </row>
    <row r="456" spans="6:8" x14ac:dyDescent="0.25">
      <c r="F456" t="str">
        <f>"Den of the Bugbear"</f>
        <v>Den of the Bugbear</v>
      </c>
      <c r="G456">
        <f>SUMIFS(Colección!$L$2:$L$10001,Colección!$F$2:$F$10001,$F456,Colección!$M$2:$M$10001,"Compra")</f>
        <v>6.1912500000000001</v>
      </c>
      <c r="H456">
        <f>IF($G456=0,"",_xlfn.RANK.EQ($G456,$G$2:$G$2353,0)+COUNTIF($G$2:G456,$G456)-1)</f>
        <v>872</v>
      </c>
    </row>
    <row r="457" spans="6:8" x14ac:dyDescent="0.25">
      <c r="F457" t="str">
        <f>"Dennick, Pious Apprentice // Dennick, Pious Apparition"</f>
        <v>Dennick, Pious Apprentice // Dennick, Pious Apparition</v>
      </c>
      <c r="G457">
        <f>SUMIFS(Colección!$L$2:$L$10001,Colección!$F$2:$F$10001,$F457,Colección!$M$2:$M$10001,"Compra")</f>
        <v>6.9972050098879359</v>
      </c>
      <c r="H457">
        <f>IF($G457=0,"",_xlfn.RANK.EQ($G457,$G$2:$G$2353,0)+COUNTIF($G$2:G457,$G457)-1)</f>
        <v>812</v>
      </c>
    </row>
    <row r="458" spans="6:8" x14ac:dyDescent="0.25">
      <c r="F458" t="str">
        <f>"Deranged Hermit"</f>
        <v>Deranged Hermit</v>
      </c>
      <c r="G458">
        <f>SUMIFS(Colección!$L$2:$L$10001,Colección!$F$2:$F$10001,$F458,Colección!$M$2:$M$10001,"Compra")</f>
        <v>53.45454545454546</v>
      </c>
      <c r="H458">
        <f>IF($G458=0,"",_xlfn.RANK.EQ($G458,$G$2:$G$2353,0)+COUNTIF($G$2:G458,$G458)-1)</f>
        <v>162</v>
      </c>
    </row>
    <row r="459" spans="6:8" x14ac:dyDescent="0.25">
      <c r="F459" t="str">
        <f>"Desert's Call"</f>
        <v>Desert's Call</v>
      </c>
      <c r="G459">
        <f>SUMIFS(Colección!$L$2:$L$10001,Colección!$F$2:$F$10001,$F459,Colección!$M$2:$M$10001,"Compra")</f>
        <v>1.4102374670184696</v>
      </c>
      <c r="H459">
        <f>IF($G459=0,"",_xlfn.RANK.EQ($G459,$G$2:$G$2353,0)+COUNTIF($G$2:G459,$G459)-1)</f>
        <v>1510</v>
      </c>
    </row>
    <row r="460" spans="6:8" x14ac:dyDescent="0.25">
      <c r="F460" t="str">
        <f>"Deserted Beach"</f>
        <v>Deserted Beach</v>
      </c>
      <c r="G460">
        <f>SUMIFS(Colección!$L$2:$L$10001,Colección!$F$2:$F$10001,$F460,Colección!$M$2:$M$10001,"Compra")</f>
        <v>24.98</v>
      </c>
      <c r="H460">
        <f>IF($G460=0,"",_xlfn.RANK.EQ($G460,$G$2:$G$2353,0)+COUNTIF($G$2:G460,$G460)-1)</f>
        <v>313</v>
      </c>
    </row>
    <row r="461" spans="6:8" x14ac:dyDescent="0.25">
      <c r="F461" t="str">
        <f>"Desolation Angel"</f>
        <v>Desolation Angel</v>
      </c>
      <c r="G461">
        <f>SUMIFS(Colección!$L$2:$L$10001,Colección!$F$2:$F$10001,$F461,Colección!$M$2:$M$10001,"Compra")</f>
        <v>1.636363636363636</v>
      </c>
      <c r="H461">
        <f>IF($G461=0,"",_xlfn.RANK.EQ($G461,$G$2:$G$2353,0)+COUNTIF($G$2:G461,$G461)-1)</f>
        <v>1446</v>
      </c>
    </row>
    <row r="462" spans="6:8" x14ac:dyDescent="0.25">
      <c r="F462" t="str">
        <f>"Desperate Ritual"</f>
        <v>Desperate Ritual</v>
      </c>
      <c r="G462">
        <f>SUMIFS(Colección!$L$2:$L$10001,Colección!$F$2:$F$10001,$F462,Colección!$M$2:$M$10001,"Compra")</f>
        <v>2.4954043920728441</v>
      </c>
      <c r="H462">
        <f>IF($G462=0,"",_xlfn.RANK.EQ($G462,$G$2:$G$2353,0)+COUNTIF($G$2:G462,$G462)-1)</f>
        <v>1260</v>
      </c>
    </row>
    <row r="463" spans="6:8" x14ac:dyDescent="0.25">
      <c r="F463" t="str">
        <f>"Destiny Spinner"</f>
        <v>Destiny Spinner</v>
      </c>
      <c r="G463">
        <f>SUMIFS(Colección!$L$2:$L$10001,Colección!$F$2:$F$10001,$F463,Colección!$M$2:$M$10001,"Compra")</f>
        <v>16.763884821864323</v>
      </c>
      <c r="H463">
        <f>IF($G463=0,"",_xlfn.RANK.EQ($G463,$G$2:$G$2353,0)+COUNTIF($G$2:G463,$G463)-1)</f>
        <v>458</v>
      </c>
    </row>
    <row r="464" spans="6:8" x14ac:dyDescent="0.25">
      <c r="F464" t="str">
        <f>"Destroy Evil"</f>
        <v>Destroy Evil</v>
      </c>
      <c r="G464">
        <f>SUMIFS(Colección!$L$2:$L$10001,Colección!$F$2:$F$10001,$F464,Colección!$M$2:$M$10001,"Compra")</f>
        <v>7.4822222222222221</v>
      </c>
      <c r="H464">
        <f>IF($G464=0,"",_xlfn.RANK.EQ($G464,$G$2:$G$2353,0)+COUNTIF($G$2:G464,$G464)-1)</f>
        <v>775</v>
      </c>
    </row>
    <row r="465" spans="6:8" x14ac:dyDescent="0.25">
      <c r="F465" t="str">
        <f>"Devoted Druid"</f>
        <v>Devoted Druid</v>
      </c>
      <c r="G465">
        <f>SUMIFS(Colección!$L$2:$L$10001,Colección!$F$2:$F$10001,$F465,Colección!$M$2:$M$10001,"Compra")</f>
        <v>3.1647362250879247</v>
      </c>
      <c r="H465">
        <f>IF($G465=0,"",_xlfn.RANK.EQ($G465,$G$2:$G$2353,0)+COUNTIF($G$2:G465,$G465)-1)</f>
        <v>1180</v>
      </c>
    </row>
    <row r="466" spans="6:8" x14ac:dyDescent="0.25">
      <c r="F466" t="str">
        <f>"Devout Decree"</f>
        <v>Devout Decree</v>
      </c>
      <c r="G466">
        <f>SUMIFS(Colección!$L$2:$L$10001,Colección!$F$2:$F$10001,$F466,Colección!$M$2:$M$10001,"Compra")</f>
        <v>0.45368029739776961</v>
      </c>
      <c r="H466">
        <f>IF($G466=0,"",_xlfn.RANK.EQ($G466,$G$2:$G$2353,0)+COUNTIF($G$2:G466,$G466)-1)</f>
        <v>1912</v>
      </c>
    </row>
    <row r="467" spans="6:8" x14ac:dyDescent="0.25">
      <c r="F467" t="str">
        <f>"Dewdrop Cure"</f>
        <v>Dewdrop Cure</v>
      </c>
      <c r="G467">
        <f>SUMIFS(Colección!$L$2:$L$10001,Colección!$F$2:$F$10001,$F467,Colección!$M$2:$M$10001,"Compra")</f>
        <v>0.65371428571428558</v>
      </c>
      <c r="H467">
        <f>IF($G467=0,"",_xlfn.RANK.EQ($G467,$G$2:$G$2353,0)+COUNTIF($G$2:G467,$G467)-1)</f>
        <v>1786</v>
      </c>
    </row>
    <row r="468" spans="6:8" x14ac:dyDescent="0.25">
      <c r="F468" t="str">
        <f>"Diabolic Edict"</f>
        <v>Diabolic Edict</v>
      </c>
      <c r="G468">
        <f>SUMIFS(Colección!$L$2:$L$10001,Colección!$F$2:$F$10001,$F468,Colección!$M$2:$M$10001,"Compra")</f>
        <v>4.2312820512820517</v>
      </c>
      <c r="H468">
        <f>IF($G468=0,"",_xlfn.RANK.EQ($G468,$G$2:$G$2353,0)+COUNTIF($G$2:G468,$G468)-1)</f>
        <v>1042</v>
      </c>
    </row>
    <row r="469" spans="6:8" x14ac:dyDescent="0.25">
      <c r="F469" t="str">
        <f>"Diamante (OP04-028) (V.1)"</f>
        <v>Diamante (OP04-028) (V.1)</v>
      </c>
      <c r="G469">
        <f>SUMIFS(Colección!$L$2:$L$10001,Colección!$F$2:$F$10001,$F469,Colección!$M$2:$M$10001,"Compra")</f>
        <v>9.2848101265822783E-2</v>
      </c>
      <c r="H469">
        <f>IF($G469=0,"",_xlfn.RANK.EQ($G469,$G$2:$G$2353,0)+COUNTIF($G$2:G469,$G469)-1)</f>
        <v>2211</v>
      </c>
    </row>
    <row r="470" spans="6:8" x14ac:dyDescent="0.25">
      <c r="F470" t="str">
        <f>"Diamond Weapon"</f>
        <v>Diamond Weapon</v>
      </c>
      <c r="G470">
        <f>SUMIFS(Colección!$L$2:$L$10001,Colección!$F$2:$F$10001,$F470,Colección!$M$2:$M$10001,"Compra")</f>
        <v>2.0615384615384618</v>
      </c>
      <c r="H470">
        <f>IF($G470=0,"",_xlfn.RANK.EQ($G470,$G$2:$G$2353,0)+COUNTIF($G$2:G470,$G470)-1)</f>
        <v>1354</v>
      </c>
    </row>
    <row r="471" spans="6:8" x14ac:dyDescent="0.25">
      <c r="F471" t="str">
        <f>"Diana, Lunari (V.2 - Showcase)"</f>
        <v>Diana, Lunari (V.2 - Showcase)</v>
      </c>
      <c r="G471">
        <f>SUMIFS(Colección!$L$2:$L$10001,Colección!$F$2:$F$10001,$F471,Colección!$M$2:$M$10001,"Compra")</f>
        <v>6.4442231075697212</v>
      </c>
      <c r="H471">
        <f>IF($G471=0,"",_xlfn.RANK.EQ($G471,$G$2:$G$2353,0)+COUNTIF($G$2:G471,$G471)-1)</f>
        <v>849</v>
      </c>
    </row>
    <row r="472" spans="6:8" x14ac:dyDescent="0.25">
      <c r="F472" t="str">
        <f>"Diana, Scorn of the Moon (V.1 - Rare)"</f>
        <v>Diana, Scorn of the Moon (V.1 - Rare)</v>
      </c>
      <c r="G472">
        <f>SUMIFS(Colección!$L$2:$L$10001,Colección!$F$2:$F$10001,$F472,Colección!$M$2:$M$10001,"Compra")</f>
        <v>2.5776892430278881E-2</v>
      </c>
      <c r="H472">
        <f>IF($G472=0,"",_xlfn.RANK.EQ($G472,$G$2:$G$2353,0)+COUNTIF($G$2:G472,$G472)-1)</f>
        <v>2345</v>
      </c>
    </row>
    <row r="473" spans="6:8" x14ac:dyDescent="0.25">
      <c r="F473" t="str">
        <f>"Diana, Scorn of the Moon (V.2 - Showcase)"</f>
        <v>Diana, Scorn of the Moon (V.2 - Showcase)</v>
      </c>
      <c r="G473">
        <f>SUMIFS(Colección!$L$2:$L$10001,Colección!$F$2:$F$10001,$F473,Colección!$M$2:$M$10001,"Compra")</f>
        <v>112.06</v>
      </c>
      <c r="H473">
        <f>IF($G473=0,"",_xlfn.RANK.EQ($G473,$G$2:$G$2353,0)+COUNTIF($G$2:G473,$G473)-1)</f>
        <v>64</v>
      </c>
    </row>
    <row r="474" spans="6:8" x14ac:dyDescent="0.25">
      <c r="F474" t="str">
        <f>"Dig Through Time"</f>
        <v>Dig Through Time</v>
      </c>
      <c r="G474">
        <f>SUMIFS(Colección!$L$2:$L$10001,Colección!$F$2:$F$10001,$F474,Colección!$M$2:$M$10001,"Compra")</f>
        <v>0.52522101751459538</v>
      </c>
      <c r="H474">
        <f>IF($G474=0,"",_xlfn.RANK.EQ($G474,$G$2:$G$2353,0)+COUNTIF($G$2:G474,$G474)-1)</f>
        <v>1869</v>
      </c>
    </row>
    <row r="475" spans="6:8" x14ac:dyDescent="0.25">
      <c r="F475" t="str">
        <f>"Dimir Aqueduct"</f>
        <v>Dimir Aqueduct</v>
      </c>
      <c r="G475">
        <f>SUMIFS(Colección!$L$2:$L$10001,Colección!$F$2:$F$10001,$F475,Colección!$M$2:$M$10001,"Compra")</f>
        <v>0.2752941176470588</v>
      </c>
      <c r="H475">
        <f>IF($G475=0,"",_xlfn.RANK.EQ($G475,$G$2:$G$2353,0)+COUNTIF($G$2:G475,$G475)-1)</f>
        <v>2028</v>
      </c>
    </row>
    <row r="476" spans="6:8" x14ac:dyDescent="0.25">
      <c r="F476" t="str">
        <f>"Dinosaur Dragon Token (Red 4/4)"</f>
        <v>Dinosaur Dragon Token (Red 4/4)</v>
      </c>
      <c r="G476">
        <f>SUMIFS(Colección!$L$2:$L$10001,Colección!$F$2:$F$10001,$F476,Colección!$M$2:$M$10001,"Compra")</f>
        <v>3.526666666666666</v>
      </c>
      <c r="H476">
        <f>IF($G476=0,"",_xlfn.RANK.EQ($G476,$G$2:$G$2353,0)+COUNTIF($G$2:G476,$G476)-1)</f>
        <v>1112</v>
      </c>
    </row>
    <row r="477" spans="6:8" x14ac:dyDescent="0.25">
      <c r="F477" t="str">
        <f>"Disarming Rake"</f>
        <v>Disarming Rake</v>
      </c>
      <c r="G477">
        <f>SUMIFS(Colección!$L$2:$L$10001,Colección!$F$2:$F$10001,$F477,Colección!$M$2:$M$10001,"Compra")</f>
        <v>1.5798842257597685</v>
      </c>
      <c r="H477">
        <f>IF($G477=0,"",_xlfn.RANK.EQ($G477,$G$2:$G$2353,0)+COUNTIF($G$2:G477,$G477)-1)</f>
        <v>1466</v>
      </c>
    </row>
    <row r="478" spans="6:8" x14ac:dyDescent="0.25">
      <c r="F478" t="str">
        <f>"Disciple of Freyalise // Garden of Freyalise"</f>
        <v>Disciple of Freyalise // Garden of Freyalise</v>
      </c>
      <c r="G478">
        <f>SUMIFS(Colección!$L$2:$L$10001,Colección!$F$2:$F$10001,$F478,Colección!$M$2:$M$10001,"Compra")</f>
        <v>1.3129277566539923</v>
      </c>
      <c r="H478">
        <f>IF($G478=0,"",_xlfn.RANK.EQ($G478,$G$2:$G$2353,0)+COUNTIF($G$2:G478,$G478)-1)</f>
        <v>1539</v>
      </c>
    </row>
    <row r="479" spans="6:8" x14ac:dyDescent="0.25">
      <c r="F479" t="str">
        <f>"Discipline"</f>
        <v>Discipline</v>
      </c>
      <c r="G479">
        <f>SUMIFS(Colección!$L$2:$L$10001,Colección!$F$2:$F$10001,$F479,Colección!$M$2:$M$10001,"Compra")</f>
        <v>4.4499999999999993</v>
      </c>
      <c r="H479">
        <f>IF($G479=0,"",_xlfn.RANK.EQ($G479,$G$2:$G$2353,0)+COUNTIF($G$2:G479,$G479)-1)</f>
        <v>1005</v>
      </c>
    </row>
    <row r="480" spans="6:8" x14ac:dyDescent="0.25">
      <c r="F480" t="str">
        <f>"Disdainful Stroke"</f>
        <v>Disdainful Stroke</v>
      </c>
      <c r="G480">
        <f>SUMIFS(Colección!$L$2:$L$10001,Colección!$F$2:$F$10001,$F480,Colección!$M$2:$M$10001,"Compra")</f>
        <v>0.74216279753158976</v>
      </c>
      <c r="H480">
        <f>IF($G480=0,"",_xlfn.RANK.EQ($G480,$G$2:$G$2353,0)+COUNTIF($G$2:G480,$G480)-1)</f>
        <v>1745</v>
      </c>
    </row>
    <row r="481" spans="6:8" x14ac:dyDescent="0.25">
      <c r="F481" t="str">
        <f>"Disenchant"</f>
        <v>Disenchant</v>
      </c>
      <c r="G481">
        <f>SUMIFS(Colección!$L$2:$L$10001,Colección!$F$2:$F$10001,$F481,Colección!$M$2:$M$10001,"Compra")</f>
        <v>16</v>
      </c>
      <c r="H481">
        <f>IF($G481=0,"",_xlfn.RANK.EQ($G481,$G$2:$G$2353,0)+COUNTIF($G$2:G481,$G481)-1)</f>
        <v>485</v>
      </c>
    </row>
    <row r="482" spans="6:8" x14ac:dyDescent="0.25">
      <c r="F482" t="str">
        <f>"Dismember"</f>
        <v>Dismember</v>
      </c>
      <c r="G482">
        <f>SUMIFS(Colección!$L$2:$L$10001,Colección!$F$2:$F$10001,$F482,Colección!$M$2:$M$10001,"Compra")</f>
        <v>30.319417989417989</v>
      </c>
      <c r="H482">
        <f>IF($G482=0,"",_xlfn.RANK.EQ($G482,$G$2:$G$2353,0)+COUNTIF($G$2:G482,$G482)-1)</f>
        <v>277</v>
      </c>
    </row>
    <row r="483" spans="6:8" x14ac:dyDescent="0.25">
      <c r="F483" t="str">
        <f>"Dispatch"</f>
        <v>Dispatch</v>
      </c>
      <c r="G483">
        <f>SUMIFS(Colección!$L$2:$L$10001,Colección!$F$2:$F$10001,$F483,Colección!$M$2:$M$10001,"Compra")</f>
        <v>7.2276923076923083</v>
      </c>
      <c r="H483">
        <f>IF($G483=0,"",_xlfn.RANK.EQ($G483,$G$2:$G$2353,0)+COUNTIF($G$2:G483,$G483)-1)</f>
        <v>793</v>
      </c>
    </row>
    <row r="484" spans="6:8" x14ac:dyDescent="0.25">
      <c r="F484" t="str">
        <f>"Dispel"</f>
        <v>Dispel</v>
      </c>
      <c r="G484">
        <f>SUMIFS(Colección!$L$2:$L$10001,Colección!$F$2:$F$10001,$F484,Colección!$M$2:$M$10001,"Compra")</f>
        <v>2.331</v>
      </c>
      <c r="H484">
        <f>IF($G484=0,"",_xlfn.RANK.EQ($G484,$G$2:$G$2353,0)+COUNTIF($G$2:G484,$G484)-1)</f>
        <v>1280</v>
      </c>
    </row>
    <row r="485" spans="6:8" x14ac:dyDescent="0.25">
      <c r="F485" t="str">
        <f>"Display of Power"</f>
        <v>Display of Power</v>
      </c>
      <c r="G485">
        <f>SUMIFS(Colección!$L$2:$L$10001,Colección!$F$2:$F$10001,$F485,Colección!$M$2:$M$10001,"Compra")</f>
        <v>1.0922876902365186</v>
      </c>
      <c r="H485">
        <f>IF($G485=0,"",_xlfn.RANK.EQ($G485,$G$2:$G$2353,0)+COUNTIF($G$2:G485,$G485)-1)</f>
        <v>1604</v>
      </c>
    </row>
    <row r="486" spans="6:8" x14ac:dyDescent="0.25">
      <c r="F486" t="str">
        <f>"Disrupting Shoal"</f>
        <v>Disrupting Shoal</v>
      </c>
      <c r="G486">
        <f>SUMIFS(Colección!$L$2:$L$10001,Colección!$F$2:$F$10001,$F486,Colección!$M$2:$M$10001,"Compra")</f>
        <v>22.250000000000007</v>
      </c>
      <c r="H486">
        <f>IF($G486=0,"",_xlfn.RANK.EQ($G486,$G$2:$G$2353,0)+COUNTIF($G$2:G486,$G486)-1)</f>
        <v>349</v>
      </c>
    </row>
    <row r="487" spans="6:8" x14ac:dyDescent="0.25">
      <c r="F487" t="str">
        <f>"Disruptive Stormbrood // Petty Revenge"</f>
        <v>Disruptive Stormbrood // Petty Revenge</v>
      </c>
      <c r="G487">
        <f>SUMIFS(Colección!$L$2:$L$10001,Colección!$F$2:$F$10001,$F487,Colección!$M$2:$M$10001,"Compra")</f>
        <v>0.81</v>
      </c>
      <c r="H487">
        <f>IF($G487=0,"",_xlfn.RANK.EQ($G487,$G$2:$G$2353,0)+COUNTIF($G$2:G487,$G487)-1)</f>
        <v>1720</v>
      </c>
    </row>
    <row r="488" spans="6:8" x14ac:dyDescent="0.25">
      <c r="F488" t="str">
        <f>"Disruptor Flute"</f>
        <v>Disruptor Flute</v>
      </c>
      <c r="G488">
        <f>SUMIFS(Colección!$L$2:$L$10001,Colección!$F$2:$F$10001,$F488,Colección!$M$2:$M$10001,"Compra")</f>
        <v>10.491740299654245</v>
      </c>
      <c r="H488">
        <f>IF($G488=0,"",_xlfn.RANK.EQ($G488,$G$2:$G$2353,0)+COUNTIF($G$2:G488,$G488)-1)</f>
        <v>648</v>
      </c>
    </row>
    <row r="489" spans="6:8" x14ac:dyDescent="0.25">
      <c r="F489" t="str">
        <f>"Dissection Tools"</f>
        <v>Dissection Tools</v>
      </c>
      <c r="G489">
        <f>SUMIFS(Colección!$L$2:$L$10001,Colección!$F$2:$F$10001,$F489,Colección!$M$2:$M$10001,"Compra")</f>
        <v>0.22403940886699511</v>
      </c>
      <c r="H489">
        <f>IF($G489=0,"",_xlfn.RANK.EQ($G489,$G$2:$G$2353,0)+COUNTIF($G$2:G489,$G489)-1)</f>
        <v>2079</v>
      </c>
    </row>
    <row r="490" spans="6:8" x14ac:dyDescent="0.25">
      <c r="F490" t="str">
        <f>"Dissenter's Deliverance"</f>
        <v>Dissenter's Deliverance</v>
      </c>
      <c r="G490">
        <f>SUMIFS(Colección!$L$2:$L$10001,Colección!$F$2:$F$10001,$F490,Colección!$M$2:$M$10001,"Compra")</f>
        <v>0.36069023569023562</v>
      </c>
      <c r="H490">
        <f>IF($G490=0,"",_xlfn.RANK.EQ($G490,$G$2:$G$2353,0)+COUNTIF($G$2:G490,$G490)-1)</f>
        <v>1973</v>
      </c>
    </row>
    <row r="491" spans="6:8" x14ac:dyDescent="0.25">
      <c r="F491" t="str">
        <f>"Distorted Curiosity"</f>
        <v>Distorted Curiosity</v>
      </c>
      <c r="G491">
        <f>SUMIFS(Colección!$L$2:$L$10001,Colección!$F$2:$F$10001,$F491,Colección!$M$2:$M$10001,"Compra")</f>
        <v>0.426531759415402</v>
      </c>
      <c r="H491">
        <f>IF($G491=0,"",_xlfn.RANK.EQ($G491,$G$2:$G$2353,0)+COUNTIF($G$2:G491,$G491)-1)</f>
        <v>1936</v>
      </c>
    </row>
    <row r="492" spans="6:8" x14ac:dyDescent="0.25">
      <c r="F492" t="str">
        <f>"Distortion Strike"</f>
        <v>Distortion Strike</v>
      </c>
      <c r="G492">
        <f>SUMIFS(Colección!$L$2:$L$10001,Colección!$F$2:$F$10001,$F492,Colección!$M$2:$M$10001,"Compra")</f>
        <v>2.356509539842873</v>
      </c>
      <c r="H492">
        <f>IF($G492=0,"",_xlfn.RANK.EQ($G492,$G$2:$G$2353,0)+COUNTIF($G$2:G492,$G492)-1)</f>
        <v>1275</v>
      </c>
    </row>
    <row r="493" spans="6:8" x14ac:dyDescent="0.25">
      <c r="F493" t="str">
        <f>"Divert"</f>
        <v>Divert</v>
      </c>
      <c r="G493">
        <f>SUMIFS(Colección!$L$2:$L$10001,Colección!$F$2:$F$10001,$F493,Colección!$M$2:$M$10001,"Compra")</f>
        <v>8.7272727272727284</v>
      </c>
      <c r="H493">
        <f>IF($G493=0,"",_xlfn.RANK.EQ($G493,$G$2:$G$2353,0)+COUNTIF($G$2:G493,$G493)-1)</f>
        <v>718</v>
      </c>
    </row>
    <row r="494" spans="6:8" x14ac:dyDescent="0.25">
      <c r="F494" t="str">
        <f>"Divine Smite"</f>
        <v>Divine Smite</v>
      </c>
      <c r="G494">
        <f>SUMIFS(Colección!$L$2:$L$10001,Colección!$F$2:$F$10001,$F494,Colección!$M$2:$M$10001,"Compra")</f>
        <v>0.31375634517766499</v>
      </c>
      <c r="H494">
        <f>IF($G494=0,"",_xlfn.RANK.EQ($G494,$G$2:$G$2353,0)+COUNTIF($G$2:G494,$G494)-1)</f>
        <v>1997</v>
      </c>
    </row>
    <row r="495" spans="6:8" x14ac:dyDescent="0.25">
      <c r="F495" t="str">
        <f>"Does Machines"</f>
        <v>Does Machines</v>
      </c>
      <c r="G495">
        <f>SUMIFS(Colección!$L$2:$L$10001,Colección!$F$2:$F$10001,$F495,Colección!$M$2:$M$10001,"Compra")</f>
        <v>7.45</v>
      </c>
      <c r="H495">
        <f>IF($G495=0,"",_xlfn.RANK.EQ($G495,$G$2:$G$2353,0)+COUNTIF($G$2:G495,$G495)-1)</f>
        <v>777</v>
      </c>
    </row>
    <row r="496" spans="6:8" x14ac:dyDescent="0.25">
      <c r="F496" t="str">
        <f>"Domri, Anarch of Bolas"</f>
        <v>Domri, Anarch of Bolas</v>
      </c>
      <c r="G496">
        <f>SUMIFS(Colección!$L$2:$L$10001,Colección!$F$2:$F$10001,$F496,Colección!$M$2:$M$10001,"Compra")</f>
        <v>1.0909090909090911</v>
      </c>
      <c r="H496">
        <f>IF($G496=0,"",_xlfn.RANK.EQ($G496,$G$2:$G$2353,0)+COUNTIF($G$2:G496,$G496)-1)</f>
        <v>1611</v>
      </c>
    </row>
    <row r="497" spans="6:8" x14ac:dyDescent="0.25">
      <c r="F497" t="str">
        <f>"DON!!"</f>
        <v>DON!!</v>
      </c>
      <c r="G497">
        <f>SUMIFS(Colección!$L$2:$L$10001,Colección!$F$2:$F$10001,$F497,Colección!$M$2:$M$10001,"Compra")</f>
        <v>8.8363508857963602</v>
      </c>
      <c r="H497">
        <f>IF($G497=0,"",_xlfn.RANK.EQ($G497,$G$2:$G$2353,0)+COUNTIF($G$2:G497,$G497)-1)</f>
        <v>708</v>
      </c>
    </row>
    <row r="498" spans="6:8" x14ac:dyDescent="0.25">
      <c r="F498" t="str">
        <f>"DON!! (OP06)"</f>
        <v>DON!! (OP06)</v>
      </c>
      <c r="G498">
        <f>SUMIFS(Colección!$L$2:$L$10001,Colección!$F$2:$F$10001,$F498,Colección!$M$2:$M$10001,"Compra")</f>
        <v>0.27607704004054739</v>
      </c>
      <c r="H498">
        <f>IF($G498=0,"",_xlfn.RANK.EQ($G498,$G$2:$G$2353,0)+COUNTIF($G$2:G498,$G498)-1)</f>
        <v>2023</v>
      </c>
    </row>
    <row r="499" spans="6:8" x14ac:dyDescent="0.25">
      <c r="F499" t="str">
        <f>"Donquixote Doflamingo (OP04-019) (V.1)"</f>
        <v>Donquixote Doflamingo (OP04-019) (V.1)</v>
      </c>
      <c r="G499">
        <f>SUMIFS(Colección!$L$2:$L$10001,Colección!$F$2:$F$10001,$F499,Colección!$M$2:$M$10001,"Compra")</f>
        <v>6.1898734177215198E-2</v>
      </c>
      <c r="H499">
        <f>IF($G499=0,"",_xlfn.RANK.EQ($G499,$G$2:$G$2353,0)+COUNTIF($G$2:G499,$G499)-1)</f>
        <v>2267</v>
      </c>
    </row>
    <row r="500" spans="6:8" x14ac:dyDescent="0.25">
      <c r="F500" t="str">
        <f>"Donquixote Doflamingo (OP04-031) (V.1)"</f>
        <v>Donquixote Doflamingo (OP04-031) (V.1)</v>
      </c>
      <c r="G500">
        <f>SUMIFS(Colección!$L$2:$L$10001,Colección!$F$2:$F$10001,$F500,Colección!$M$2:$M$10001,"Compra")</f>
        <v>4.3541064638783276</v>
      </c>
      <c r="H500">
        <f>IF($G500=0,"",_xlfn.RANK.EQ($G500,$G$2:$G$2353,0)+COUNTIF($G$2:G500,$G500)-1)</f>
        <v>1022</v>
      </c>
    </row>
    <row r="501" spans="6:8" x14ac:dyDescent="0.25">
      <c r="F501" t="str">
        <f>"Donquixote Doflamingo (OP05-028)"</f>
        <v>Donquixote Doflamingo (OP05-028)</v>
      </c>
      <c r="G501">
        <f>SUMIFS(Colección!$L$2:$L$10001,Colección!$F$2:$F$10001,$F501,Colección!$M$2:$M$10001,"Compra")</f>
        <v>2.7061704211557298E-2</v>
      </c>
      <c r="H501">
        <f>IF($G501=0,"",_xlfn.RANK.EQ($G501,$G$2:$G$2353,0)+COUNTIF($G$2:G501,$G501)-1)</f>
        <v>2341</v>
      </c>
    </row>
    <row r="502" spans="6:8" x14ac:dyDescent="0.25">
      <c r="F502" t="str">
        <f>"Donquixote Doflamingo (OP05-029)"</f>
        <v>Donquixote Doflamingo (OP05-029)</v>
      </c>
      <c r="G502">
        <f>SUMIFS(Colección!$L$2:$L$10001,Colección!$F$2:$F$10001,$F502,Colección!$M$2:$M$10001,"Compra")</f>
        <v>9.4715964740450548E-2</v>
      </c>
      <c r="H502">
        <f>IF($G502=0,"",_xlfn.RANK.EQ($G502,$G$2:$G$2353,0)+COUNTIF($G$2:G502,$G502)-1)</f>
        <v>2198</v>
      </c>
    </row>
    <row r="503" spans="6:8" x14ac:dyDescent="0.25">
      <c r="F503" t="str">
        <f>"Donquixote Family (OP04-036)"</f>
        <v>Donquixote Family (OP04-036)</v>
      </c>
      <c r="G503">
        <f>SUMIFS(Colección!$L$2:$L$10001,Colección!$F$2:$F$10001,$F503,Colección!$M$2:$M$10001,"Compra")</f>
        <v>6.1898734177215198E-2</v>
      </c>
      <c r="H503">
        <f>IF($G503=0,"",_xlfn.RANK.EQ($G503,$G$2:$G$2353,0)+COUNTIF($G$2:G503,$G503)-1)</f>
        <v>2268</v>
      </c>
    </row>
    <row r="504" spans="6:8" x14ac:dyDescent="0.25">
      <c r="F504" t="str">
        <f>"Donquixote Rosinante (OP04-119) (V.1)"</f>
        <v>Donquixote Rosinante (OP04-119) (V.1)</v>
      </c>
      <c r="G504">
        <f>SUMIFS(Colección!$L$2:$L$10001,Colección!$F$2:$F$10001,$F504,Colección!$M$2:$M$10001,"Compra")</f>
        <v>10.90163498098859</v>
      </c>
      <c r="H504">
        <f>IF($G504=0,"",_xlfn.RANK.EQ($G504,$G$2:$G$2353,0)+COUNTIF($G$2:G504,$G504)-1)</f>
        <v>629</v>
      </c>
    </row>
    <row r="505" spans="6:8" x14ac:dyDescent="0.25">
      <c r="F505" t="str">
        <f>"Donquixote Rosinante (OP05-022) (V.1)"</f>
        <v>Donquixote Rosinante (OP05-022) (V.1)</v>
      </c>
      <c r="G505">
        <f>SUMIFS(Colección!$L$2:$L$10001,Colección!$F$2:$F$10001,$F505,Colección!$M$2:$M$10001,"Compra")</f>
        <v>6.7654260528893242E-2</v>
      </c>
      <c r="H505">
        <f>IF($G505=0,"",_xlfn.RANK.EQ($G505,$G$2:$G$2353,0)+COUNTIF($G$2:G505,$G505)-1)</f>
        <v>2238</v>
      </c>
    </row>
    <row r="506" spans="6:8" x14ac:dyDescent="0.25">
      <c r="F506" t="str">
        <f>"Donquixote Rosinante (OP05-030)"</f>
        <v>Donquixote Rosinante (OP05-030)</v>
      </c>
      <c r="G506">
        <f>SUMIFS(Colección!$L$2:$L$10001,Colección!$F$2:$F$10001,$F506,Colección!$M$2:$M$10001,"Compra")</f>
        <v>0.24355533790401571</v>
      </c>
      <c r="H506">
        <f>IF($G506=0,"",_xlfn.RANK.EQ($G506,$G$2:$G$2353,0)+COUNTIF($G$2:G506,$G506)-1)</f>
        <v>2047</v>
      </c>
    </row>
    <row r="507" spans="6:8" x14ac:dyDescent="0.25">
      <c r="F507" t="str">
        <f>"Doors of Durin"</f>
        <v>Doors of Durin</v>
      </c>
      <c r="G507">
        <f>SUMIFS(Colección!$L$2:$L$10001,Colección!$F$2:$F$10001,$F507,Colección!$M$2:$M$10001,"Compra")</f>
        <v>2.800990138026719</v>
      </c>
      <c r="H507">
        <f>IF($G507=0,"",_xlfn.RANK.EQ($G507,$G$2:$G$2353,0)+COUNTIF($G$2:G507,$G507)-1)</f>
        <v>1215</v>
      </c>
    </row>
    <row r="508" spans="6:8" x14ac:dyDescent="0.25">
      <c r="F508" t="str">
        <f>"Doppelgang"</f>
        <v>Doppelgang</v>
      </c>
      <c r="G508">
        <f>SUMIFS(Colección!$L$2:$L$10001,Colección!$F$2:$F$10001,$F508,Colección!$M$2:$M$10001,"Compra")</f>
        <v>1.8401149425287355</v>
      </c>
      <c r="H508">
        <f>IF($G508=0,"",_xlfn.RANK.EQ($G508,$G$2:$G$2353,0)+COUNTIF($G$2:G508,$G508)-1)</f>
        <v>1393</v>
      </c>
    </row>
    <row r="509" spans="6:8" x14ac:dyDescent="0.25">
      <c r="F509" t="str">
        <f>"Doran's Shield"</f>
        <v>Doran's Shield</v>
      </c>
      <c r="G509">
        <f>SUMIFS(Colección!$L$2:$L$10001,Colección!$F$2:$F$10001,$F509,Colección!$M$2:$M$10001,"Compra")</f>
        <v>0.90313174404015062</v>
      </c>
      <c r="H509">
        <f>IF($G509=0,"",_xlfn.RANK.EQ($G509,$G$2:$G$2353,0)+COUNTIF($G$2:G509,$G509)-1)</f>
        <v>1682</v>
      </c>
    </row>
    <row r="510" spans="6:8" x14ac:dyDescent="0.25">
      <c r="F510" t="str">
        <f>"Dovin's Veto"</f>
        <v>Dovin's Veto</v>
      </c>
      <c r="G510">
        <f>SUMIFS(Colección!$L$2:$L$10001,Colección!$F$2:$F$10001,$F510,Colección!$M$2:$M$10001,"Compra")</f>
        <v>6.234375</v>
      </c>
      <c r="H510">
        <f>IF($G510=0,"",_xlfn.RANK.EQ($G510,$G$2:$G$2353,0)+COUNTIF($G$2:G510,$G510)-1)</f>
        <v>869</v>
      </c>
    </row>
    <row r="511" spans="6:8" x14ac:dyDescent="0.25">
      <c r="F511" t="str">
        <f>"Dovin's Veto [Playset]"</f>
        <v>Dovin's Veto [Playset]</v>
      </c>
      <c r="G511">
        <f>SUMIFS(Colección!$L$2:$L$10001,Colección!$F$2:$F$10001,$F511,Colección!$M$2:$M$10001,"Compra")</f>
        <v>5.22</v>
      </c>
      <c r="H511">
        <f>IF($G511=0,"",_xlfn.RANK.EQ($G511,$G$2:$G$2353,0)+COUNTIF($G$2:G511,$G511)-1)</f>
        <v>951</v>
      </c>
    </row>
    <row r="512" spans="6:8" x14ac:dyDescent="0.25">
      <c r="F512" t="str">
        <f>"Dovin, Hand of Control"</f>
        <v>Dovin, Hand of Control</v>
      </c>
      <c r="G512">
        <f>SUMIFS(Colección!$L$2:$L$10001,Colección!$F$2:$F$10001,$F512,Colección!$M$2:$M$10001,"Compra")</f>
        <v>0.27272727272727282</v>
      </c>
      <c r="H512">
        <f>IF($G512=0,"",_xlfn.RANK.EQ($G512,$G$2:$G$2353,0)+COUNTIF($G$2:G512,$G512)-1)</f>
        <v>2033</v>
      </c>
    </row>
    <row r="513" spans="6:8" x14ac:dyDescent="0.25">
      <c r="F513" t="str">
        <f>"Downwell"</f>
        <v>Downwell</v>
      </c>
      <c r="G513">
        <f>SUMIFS(Colección!$L$2:$L$10001,Colección!$F$2:$F$10001,$F513,Colección!$M$2:$M$10001,"Compra")</f>
        <v>13.15446751507033</v>
      </c>
      <c r="H513">
        <f>IF($G513=0,"",_xlfn.RANK.EQ($G513,$G$2:$G$2353,0)+COUNTIF($G$2:G513,$G513)-1)</f>
        <v>545</v>
      </c>
    </row>
    <row r="514" spans="6:8" x14ac:dyDescent="0.25">
      <c r="F514" t="str">
        <f>"Draconautics Engineer"</f>
        <v>Draconautics Engineer</v>
      </c>
      <c r="G514">
        <f>SUMIFS(Colección!$L$2:$L$10001,Colección!$F$2:$F$10001,$F514,Colección!$M$2:$M$10001,"Compra")</f>
        <v>2.2480916030534353</v>
      </c>
      <c r="H514">
        <f>IF($G514=0,"",_xlfn.RANK.EQ($G514,$G$2:$G$2353,0)+COUNTIF($G$2:G514,$G514)-1)</f>
        <v>1298</v>
      </c>
    </row>
    <row r="515" spans="6:8" x14ac:dyDescent="0.25">
      <c r="F515" t="str">
        <f>"Dracule Mihawk (OP01-070) (V.1)"</f>
        <v>Dracule Mihawk (OP01-070) (V.1)</v>
      </c>
      <c r="G515">
        <f>SUMIFS(Colección!$L$2:$L$10001,Colección!$F$2:$F$10001,$F515,Colección!$M$2:$M$10001,"Compra")</f>
        <v>4.0122950819672134</v>
      </c>
      <c r="H515">
        <f>IF($G515=0,"",_xlfn.RANK.EQ($G515,$G$2:$G$2353,0)+COUNTIF($G$2:G515,$G515)-1)</f>
        <v>1064</v>
      </c>
    </row>
    <row r="516" spans="6:8" x14ac:dyDescent="0.25">
      <c r="F516" t="str">
        <f>"Dragon Claw (OP05-095)"</f>
        <v>Dragon Claw (OP05-095)</v>
      </c>
      <c r="G516">
        <f>SUMIFS(Colección!$L$2:$L$10001,Colección!$F$2:$F$10001,$F516,Colección!$M$2:$M$10001,"Compra")</f>
        <v>5.4123408423114597E-2</v>
      </c>
      <c r="H516">
        <f>IF($G516=0,"",_xlfn.RANK.EQ($G516,$G$2:$G$2353,0)+COUNTIF($G$2:G516,$G516)-1)</f>
        <v>2317</v>
      </c>
    </row>
    <row r="517" spans="6:8" x14ac:dyDescent="0.25">
      <c r="F517" t="str">
        <f>"Dragon Sniper"</f>
        <v>Dragon Sniper</v>
      </c>
      <c r="G517">
        <f>SUMIFS(Colección!$L$2:$L$10001,Colección!$F$2:$F$10001,$F517,Colección!$M$2:$M$10001,"Compra")</f>
        <v>1.62</v>
      </c>
      <c r="H517">
        <f>IF($G517=0,"",_xlfn.RANK.EQ($G517,$G$2:$G$2353,0)+COUNTIF($G$2:G517,$G517)-1)</f>
        <v>1458</v>
      </c>
    </row>
    <row r="518" spans="6:8" x14ac:dyDescent="0.25">
      <c r="F518" t="str">
        <f>"Dragon Twister Demolition Breath (OP04-057)"</f>
        <v>Dragon Twister Demolition Breath (OP04-057)</v>
      </c>
      <c r="G518">
        <f>SUMIFS(Colección!$L$2:$L$10001,Colección!$F$2:$F$10001,$F518,Colección!$M$2:$M$10001,"Compra")</f>
        <v>6.1898734177215198E-2</v>
      </c>
      <c r="H518">
        <f>IF($G518=0,"",_xlfn.RANK.EQ($G518,$G$2:$G$2353,0)+COUNTIF($G$2:G518,$G518)-1)</f>
        <v>2269</v>
      </c>
    </row>
    <row r="519" spans="6:8" x14ac:dyDescent="0.25">
      <c r="F519" t="str">
        <f>"Dragon's Claw"</f>
        <v>Dragon's Claw</v>
      </c>
      <c r="G519">
        <f>SUMIFS(Colección!$L$2:$L$10001,Colección!$F$2:$F$10001,$F519,Colección!$M$2:$M$10001,"Compra")</f>
        <v>2.0459920459566945</v>
      </c>
      <c r="H519">
        <f>IF($G519=0,"",_xlfn.RANK.EQ($G519,$G$2:$G$2353,0)+COUNTIF($G$2:G519,$G519)-1)</f>
        <v>1358</v>
      </c>
    </row>
    <row r="520" spans="6:8" x14ac:dyDescent="0.25">
      <c r="F520" t="str">
        <f>"Dragon's Rage Channeler"</f>
        <v>Dragon's Rage Channeler</v>
      </c>
      <c r="G520">
        <f>SUMIFS(Colección!$L$2:$L$10001,Colección!$F$2:$F$10001,$F520,Colección!$M$2:$M$10001,"Compra")</f>
        <v>33.542058823529416</v>
      </c>
      <c r="H520">
        <f>IF($G520=0,"",_xlfn.RANK.EQ($G520,$G$2:$G$2353,0)+COUNTIF($G$2:G520,$G520)-1)</f>
        <v>253</v>
      </c>
    </row>
    <row r="521" spans="6:8" x14ac:dyDescent="0.25">
      <c r="F521" t="str">
        <f>"Dragonfly Swarm"</f>
        <v>Dragonfly Swarm</v>
      </c>
      <c r="G521">
        <f>SUMIFS(Colección!$L$2:$L$10001,Colección!$F$2:$F$10001,$F521,Colección!$M$2:$M$10001,"Compra")</f>
        <v>0.58947368421052637</v>
      </c>
      <c r="H521">
        <f>IF($G521=0,"",_xlfn.RANK.EQ($G521,$G$2:$G$2353,0)+COUNTIF($G$2:G521,$G521)-1)</f>
        <v>1827</v>
      </c>
    </row>
    <row r="522" spans="6:8" x14ac:dyDescent="0.25">
      <c r="F522" t="str">
        <f>"Drake Hatcher (V.1)"</f>
        <v>Drake Hatcher (V.1)</v>
      </c>
      <c r="G522">
        <f>SUMIFS(Colección!$L$2:$L$10001,Colección!$F$2:$F$10001,$F522,Colección!$M$2:$M$10001,"Compra")</f>
        <v>4.33</v>
      </c>
      <c r="H522">
        <f>IF($G522=0,"",_xlfn.RANK.EQ($G522,$G$2:$G$2353,0)+COUNTIF($G$2:G522,$G522)-1)</f>
        <v>1027</v>
      </c>
    </row>
    <row r="523" spans="6:8" x14ac:dyDescent="0.25">
      <c r="F523" t="str">
        <f>"Dread Return"</f>
        <v>Dread Return</v>
      </c>
      <c r="G523">
        <f>SUMIFS(Colección!$L$2:$L$10001,Colección!$F$2:$F$10001,$F523,Colección!$M$2:$M$10001,"Compra")</f>
        <v>2.726281433921883</v>
      </c>
      <c r="H523">
        <f>IF($G523=0,"",_xlfn.RANK.EQ($G523,$G$2:$G$2353,0)+COUNTIF($G$2:G523,$G523)-1)</f>
        <v>1223</v>
      </c>
    </row>
    <row r="524" spans="6:8" x14ac:dyDescent="0.25">
      <c r="F524" t="str">
        <f>"Dreadhorde Arcanist [Playset]"</f>
        <v>Dreadhorde Arcanist [Playset]</v>
      </c>
      <c r="G524">
        <f>SUMIFS(Colección!$L$2:$L$10001,Colección!$F$2:$F$10001,$F524,Colección!$M$2:$M$10001,"Compra")</f>
        <v>14.85469194312796</v>
      </c>
      <c r="H524">
        <f>IF($G524=0,"",_xlfn.RANK.EQ($G524,$G$2:$G$2353,0)+COUNTIF($G$2:G524,$G524)-1)</f>
        <v>506</v>
      </c>
    </row>
    <row r="525" spans="6:8" x14ac:dyDescent="0.25">
      <c r="F525" t="str">
        <f>"Dredger's Insight"</f>
        <v>Dredger's Insight</v>
      </c>
      <c r="G525">
        <f>SUMIFS(Colección!$L$2:$L$10001,Colección!$F$2:$F$10001,$F525,Colección!$M$2:$M$10001,"Compra")</f>
        <v>0.95542857142857163</v>
      </c>
      <c r="H525">
        <f>IF($G525=0,"",_xlfn.RANK.EQ($G525,$G$2:$G$2353,0)+COUNTIF($G$2:G525,$G525)-1)</f>
        <v>1672</v>
      </c>
    </row>
    <row r="526" spans="6:8" x14ac:dyDescent="0.25">
      <c r="F526" t="str">
        <f>"Dress Down"</f>
        <v>Dress Down</v>
      </c>
      <c r="G526">
        <f>SUMIFS(Colección!$L$2:$L$10001,Colección!$F$2:$F$10001,$F526,Colección!$M$2:$M$10001,"Compra")</f>
        <v>30.702539174637614</v>
      </c>
      <c r="H526">
        <f>IF($G526=0,"",_xlfn.RANK.EQ($G526,$G$2:$G$2353,0)+COUNTIF($G$2:G526,$G526)-1)</f>
        <v>273</v>
      </c>
    </row>
    <row r="527" spans="6:8" x14ac:dyDescent="0.25">
      <c r="F527" t="str">
        <f>"Dromoka's Command"</f>
        <v>Dromoka's Command</v>
      </c>
      <c r="G527">
        <f>SUMIFS(Colección!$L$2:$L$10001,Colección!$F$2:$F$10001,$F527,Colección!$M$2:$M$10001,"Compra")</f>
        <v>1.8050514756348661</v>
      </c>
      <c r="H527">
        <f>IF($G527=0,"",_xlfn.RANK.EQ($G527,$G$2:$G$2353,0)+COUNTIF($G$2:G527,$G527)-1)</f>
        <v>1399</v>
      </c>
    </row>
    <row r="528" spans="6:8" x14ac:dyDescent="0.25">
      <c r="F528" t="str">
        <f>"Drossforge Bridge"</f>
        <v>Drossforge Bridge</v>
      </c>
      <c r="G528">
        <f>SUMIFS(Colección!$L$2:$L$10001,Colección!$F$2:$F$10001,$F528,Colección!$M$2:$M$10001,"Compra")</f>
        <v>15.125990724448144</v>
      </c>
      <c r="H528">
        <f>IF($G528=0,"",_xlfn.RANK.EQ($G528,$G$2:$G$2353,0)+COUNTIF($G$2:G528,$G528)-1)</f>
        <v>500</v>
      </c>
    </row>
    <row r="529" spans="6:8" x14ac:dyDescent="0.25">
      <c r="F529" t="str">
        <f>"Drown in Sorrow"</f>
        <v>Drown in Sorrow</v>
      </c>
      <c r="G529">
        <f>SUMIFS(Colección!$L$2:$L$10001,Colección!$F$2:$F$10001,$F529,Colección!$M$2:$M$10001,"Compra")</f>
        <v>0.57352941176470584</v>
      </c>
      <c r="H529">
        <f>IF($G529=0,"",_xlfn.RANK.EQ($G529,$G$2:$G$2353,0)+COUNTIF($G$2:G529,$G529)-1)</f>
        <v>1840</v>
      </c>
    </row>
    <row r="530" spans="6:8" x14ac:dyDescent="0.25">
      <c r="F530" t="str">
        <f>"Drown in the Loch [Playset]"</f>
        <v>Drown in the Loch [Playset]</v>
      </c>
      <c r="G530">
        <f>SUMIFS(Colección!$L$2:$L$10001,Colección!$F$2:$F$10001,$F530,Colección!$M$2:$M$10001,"Compra")</f>
        <v>5.2896114904638569</v>
      </c>
      <c r="H530">
        <f>IF($G530=0,"",_xlfn.RANK.EQ($G530,$G$2:$G$2353,0)+COUNTIF($G$2:G530,$G530)-1)</f>
        <v>944</v>
      </c>
    </row>
    <row r="531" spans="6:8" x14ac:dyDescent="0.25">
      <c r="F531" t="str">
        <f>"Dryad of the Ilysian Grove [Playset]"</f>
        <v>Dryad of the Ilysian Grove [Playset]</v>
      </c>
      <c r="G531">
        <f>SUMIFS(Colección!$L$2:$L$10001,Colección!$F$2:$F$10001,$F531,Colección!$M$2:$M$10001,"Compra")</f>
        <v>35.47</v>
      </c>
      <c r="H531">
        <f>IF($G531=0,"",_xlfn.RANK.EQ($G531,$G$2:$G$2353,0)+COUNTIF($G$2:G531,$G531)-1)</f>
        <v>234</v>
      </c>
    </row>
    <row r="532" spans="6:8" x14ac:dyDescent="0.25">
      <c r="F532" t="str">
        <f>"Dunland Crebain"</f>
        <v>Dunland Crebain</v>
      </c>
      <c r="G532">
        <f>SUMIFS(Colección!$L$2:$L$10001,Colección!$F$2:$F$10001,$F532,Colección!$M$2:$M$10001,"Compra")</f>
        <v>5.1079812206572768E-2</v>
      </c>
      <c r="H532">
        <f>IF($G532=0,"",_xlfn.RANK.EQ($G532,$G$2:$G$2353,0)+COUNTIF($G$2:G532,$G532)-1)</f>
        <v>2322</v>
      </c>
    </row>
    <row r="533" spans="6:8" x14ac:dyDescent="0.25">
      <c r="F533" t="str">
        <f>"Duress"</f>
        <v>Duress</v>
      </c>
      <c r="G533">
        <f>SUMIFS(Colección!$L$2:$L$10001,Colección!$F$2:$F$10001,$F533,Colección!$M$2:$M$10001,"Compra")</f>
        <v>12.62</v>
      </c>
      <c r="H533">
        <f>IF($G533=0,"",_xlfn.RANK.EQ($G533,$G$2:$G$2353,0)+COUNTIF($G$2:G533,$G533)-1)</f>
        <v>561</v>
      </c>
    </row>
    <row r="534" spans="6:8" x14ac:dyDescent="0.25">
      <c r="F534" t="str">
        <f>"Dust Bowl"</f>
        <v>Dust Bowl</v>
      </c>
      <c r="G534">
        <f>SUMIFS(Colección!$L$2:$L$10001,Colección!$F$2:$F$10001,$F534,Colección!$M$2:$M$10001,"Compra")</f>
        <v>14</v>
      </c>
      <c r="H534">
        <f>IF($G534=0,"",_xlfn.RANK.EQ($G534,$G$2:$G$2353,0)+COUNTIF($G$2:G534,$G534)-1)</f>
        <v>527</v>
      </c>
    </row>
    <row r="535" spans="6:8" x14ac:dyDescent="0.25">
      <c r="F535" t="str">
        <f>"Dust to Dust"</f>
        <v>Dust to Dust</v>
      </c>
      <c r="G535">
        <f>SUMIFS(Colección!$L$2:$L$10001,Colección!$F$2:$F$10001,$F535,Colección!$M$2:$M$10001,"Compra")</f>
        <v>19.636363636363637</v>
      </c>
      <c r="H535">
        <f>IF($G535=0,"",_xlfn.RANK.EQ($G535,$G$2:$G$2353,0)+COUNTIF($G$2:G535,$G535)-1)</f>
        <v>401</v>
      </c>
    </row>
    <row r="536" spans="6:8" x14ac:dyDescent="0.25">
      <c r="F536" t="str">
        <f>"Dwarven Mine"</f>
        <v>Dwarven Mine</v>
      </c>
      <c r="G536">
        <f>SUMIFS(Colección!$L$2:$L$10001,Colección!$F$2:$F$10001,$F536,Colección!$M$2:$M$10001,"Compra")</f>
        <v>0.66273684210526318</v>
      </c>
      <c r="H536">
        <f>IF($G536=0,"",_xlfn.RANK.EQ($G536,$G$2:$G$2353,0)+COUNTIF($G$2:G536,$G536)-1)</f>
        <v>1782</v>
      </c>
    </row>
    <row r="537" spans="6:8" x14ac:dyDescent="0.25">
      <c r="F537" t="str">
        <f>"Early Frost"</f>
        <v>Early Frost</v>
      </c>
      <c r="G537">
        <f>SUMIFS(Colección!$L$2:$L$10001,Colección!$F$2:$F$10001,$F537,Colección!$M$2:$M$10001,"Compra")</f>
        <v>0.66508511408909821</v>
      </c>
      <c r="H537">
        <f>IF($G537=0,"",_xlfn.RANK.EQ($G537,$G$2:$G$2353,0)+COUNTIF($G$2:G537,$G537)-1)</f>
        <v>1777</v>
      </c>
    </row>
    <row r="538" spans="6:8" x14ac:dyDescent="0.25">
      <c r="F538" t="str">
        <f>"Echoing Deeps"</f>
        <v>Echoing Deeps</v>
      </c>
      <c r="G538">
        <f>SUMIFS(Colección!$L$2:$L$10001,Colección!$F$2:$F$10001,$F538,Colección!$M$2:$M$10001,"Compra")</f>
        <v>2.716584564860427</v>
      </c>
      <c r="H538">
        <f>IF($G538=0,"",_xlfn.RANK.EQ($G538,$G$2:$G$2353,0)+COUNTIF($G$2:G538,$G538)-1)</f>
        <v>1226</v>
      </c>
    </row>
    <row r="539" spans="6:8" x14ac:dyDescent="0.25">
      <c r="F539" t="str">
        <f>"Echoing Truth"</f>
        <v>Echoing Truth</v>
      </c>
      <c r="G539">
        <f>SUMIFS(Colección!$L$2:$L$10001,Colección!$F$2:$F$10001,$F539,Colección!$M$2:$M$10001,"Compra")</f>
        <v>0.79810213690691789</v>
      </c>
      <c r="H539">
        <f>IF($G539=0,"",_xlfn.RANK.EQ($G539,$G$2:$G$2353,0)+COUNTIF($G$2:G539,$G539)-1)</f>
        <v>1723</v>
      </c>
    </row>
    <row r="540" spans="6:8" x14ac:dyDescent="0.25">
      <c r="F540" t="str">
        <f>"Eclipse"</f>
        <v>Eclipse</v>
      </c>
      <c r="G540">
        <f>SUMIFS(Colección!$L$2:$L$10001,Colección!$F$2:$F$10001,$F540,Colección!$M$2:$M$10001,"Compra")</f>
        <v>1.591764705882353</v>
      </c>
      <c r="H540">
        <f>IF($G540=0,"",_xlfn.RANK.EQ($G540,$G$2:$G$2353,0)+COUNTIF($G$2:G540,$G540)-1)</f>
        <v>1464</v>
      </c>
    </row>
    <row r="541" spans="6:8" x14ac:dyDescent="0.25">
      <c r="F541" t="str">
        <f>"Eddymurk Crab"</f>
        <v>Eddymurk Crab</v>
      </c>
      <c r="G541">
        <f>SUMIFS(Colección!$L$2:$L$10001,Colección!$F$2:$F$10001,$F541,Colección!$M$2:$M$10001,"Compra")</f>
        <v>0.58947368421052637</v>
      </c>
      <c r="H541">
        <f>IF($G541=0,"",_xlfn.RANK.EQ($G541,$G$2:$G$2353,0)+COUNTIF($G$2:G541,$G541)-1)</f>
        <v>1828</v>
      </c>
    </row>
    <row r="542" spans="6:8" x14ac:dyDescent="0.25">
      <c r="F542" t="str">
        <f>"Edge of Night"</f>
        <v>Edge of Night</v>
      </c>
      <c r="G542">
        <f>SUMIFS(Colección!$L$2:$L$10001,Colección!$F$2:$F$10001,$F542,Colección!$M$2:$M$10001,"Compra")</f>
        <v>1.7554269175108539</v>
      </c>
      <c r="H542">
        <f>IF($G542=0,"",_xlfn.RANK.EQ($G542,$G$2:$G$2353,0)+COUNTIF($G$2:G542,$G542)-1)</f>
        <v>1413</v>
      </c>
    </row>
    <row r="543" spans="6:8" x14ac:dyDescent="0.25">
      <c r="F543" t="str">
        <f>"Edward.Newgate (OP02-004) (V.1)"</f>
        <v>Edward.Newgate (OP02-004) (V.1)</v>
      </c>
      <c r="G543">
        <f>SUMIFS(Colección!$L$2:$L$10001,Colección!$F$2:$F$10001,$F543,Colección!$M$2:$M$10001,"Compra")</f>
        <v>4.681010928961749</v>
      </c>
      <c r="H543">
        <f>IF($G543=0,"",_xlfn.RANK.EQ($G543,$G$2:$G$2353,0)+COUNTIF($G$2:G543,$G543)-1)</f>
        <v>987</v>
      </c>
    </row>
    <row r="544" spans="6:8" x14ac:dyDescent="0.25">
      <c r="F544" t="str">
        <f>"Eidolon of the Great Revel [Playset]"</f>
        <v>Eidolon of the Great Revel [Playset]</v>
      </c>
      <c r="G544">
        <f>SUMIFS(Colección!$L$2:$L$10001,Colección!$F$2:$F$10001,$F544,Colección!$M$2:$M$10001,"Compra")</f>
        <v>58.927029288702933</v>
      </c>
      <c r="H544">
        <f>IF($G544=0,"",_xlfn.RANK.EQ($G544,$G$2:$G$2353,0)+COUNTIF($G$2:G544,$G544)-1)</f>
        <v>144</v>
      </c>
    </row>
    <row r="545" spans="6:8" x14ac:dyDescent="0.25">
      <c r="F545" t="str">
        <f>"Eiganjo Castle"</f>
        <v>Eiganjo Castle</v>
      </c>
      <c r="G545">
        <f>SUMIFS(Colección!$L$2:$L$10001,Colección!$F$2:$F$10001,$F545,Colección!$M$2:$M$10001,"Compra")</f>
        <v>6.17</v>
      </c>
      <c r="H545">
        <f>IF($G545=0,"",_xlfn.RANK.EQ($G545,$G$2:$G$2353,0)+COUNTIF($G$2:G545,$G545)-1)</f>
        <v>874</v>
      </c>
    </row>
    <row r="546" spans="6:8" x14ac:dyDescent="0.25">
      <c r="F546" t="str">
        <f>"Eiganjo, Seat of the Empire"</f>
        <v>Eiganjo, Seat of the Empire</v>
      </c>
      <c r="G546">
        <f>SUMIFS(Colección!$L$2:$L$10001,Colección!$F$2:$F$10001,$F546,Colección!$M$2:$M$10001,"Compra")</f>
        <v>16.030888392611246</v>
      </c>
      <c r="H546">
        <f>IF($G546=0,"",_xlfn.RANK.EQ($G546,$G$2:$G$2353,0)+COUNTIF($G$2:G546,$G546)-1)</f>
        <v>484</v>
      </c>
    </row>
    <row r="547" spans="6:8" x14ac:dyDescent="0.25">
      <c r="F547" t="str">
        <f>"Eight-and-a-Half-Tails"</f>
        <v>Eight-and-a-Half-Tails</v>
      </c>
      <c r="G547">
        <f>SUMIFS(Colección!$L$2:$L$10001,Colección!$F$2:$F$10001,$F547,Colección!$M$2:$M$10001,"Compra")</f>
        <v>0.88036616812790103</v>
      </c>
      <c r="H547">
        <f>IF($G547=0,"",_xlfn.RANK.EQ($G547,$G$2:$G$2353,0)+COUNTIF($G$2:G547,$G547)-1)</f>
        <v>1687</v>
      </c>
    </row>
    <row r="548" spans="6:8" x14ac:dyDescent="0.25">
      <c r="F548" t="str">
        <f>"El Thor (OP05-114)"</f>
        <v>El Thor (OP05-114)</v>
      </c>
      <c r="G548">
        <f>SUMIFS(Colección!$L$2:$L$10001,Colección!$F$2:$F$10001,$F548,Colección!$M$2:$M$10001,"Compra")</f>
        <v>0.18463165572574761</v>
      </c>
      <c r="H548">
        <f>IF($G548=0,"",_xlfn.RANK.EQ($G548,$G$2:$G$2353,0)+COUNTIF($G$2:G548,$G548)-1)</f>
        <v>2093</v>
      </c>
    </row>
    <row r="549" spans="6:8" x14ac:dyDescent="0.25">
      <c r="F549" t="str">
        <f>"Elanor Gardner (V.2)"</f>
        <v>Elanor Gardner (V.2)</v>
      </c>
      <c r="G549">
        <f>SUMIFS(Colección!$L$2:$L$10001,Colección!$F$2:$F$10001,$F549,Colección!$M$2:$M$10001,"Compra")</f>
        <v>16.329999999999998</v>
      </c>
      <c r="H549">
        <f>IF($G549=0,"",_xlfn.RANK.EQ($G549,$G$2:$G$2353,0)+COUNTIF($G$2:G549,$G549)-1)</f>
        <v>475</v>
      </c>
    </row>
    <row r="550" spans="6:8" x14ac:dyDescent="0.25">
      <c r="F550" t="str">
        <f>"Elas il-Kor, Sadistic Pilgrim (V.1)"</f>
        <v>Elas il-Kor, Sadistic Pilgrim (V.1)</v>
      </c>
      <c r="G550">
        <f>SUMIFS(Colección!$L$2:$L$10001,Colección!$F$2:$F$10001,$F550,Colección!$M$2:$M$10001,"Compra")</f>
        <v>1.458285714285714</v>
      </c>
      <c r="H550">
        <f>IF($G550=0,"",_xlfn.RANK.EQ($G550,$G$2:$G$2353,0)+COUNTIF($G$2:G550,$G550)-1)</f>
        <v>1497</v>
      </c>
    </row>
    <row r="551" spans="6:8" x14ac:dyDescent="0.25">
      <c r="F551" t="str">
        <f>"Eldrazi Confluence"</f>
        <v>Eldrazi Confluence</v>
      </c>
      <c r="G551">
        <f>SUMIFS(Colección!$L$2:$L$10001,Colección!$F$2:$F$10001,$F551,Colección!$M$2:$M$10001,"Compra")</f>
        <v>5.95</v>
      </c>
      <c r="H551">
        <f>IF($G551=0,"",_xlfn.RANK.EQ($G551,$G$2:$G$2353,0)+COUNTIF($G$2:G551,$G551)-1)</f>
        <v>896</v>
      </c>
    </row>
    <row r="552" spans="6:8" x14ac:dyDescent="0.25">
      <c r="F552" t="str">
        <f>"Eldrazi Linebreaker"</f>
        <v>Eldrazi Linebreaker</v>
      </c>
      <c r="G552">
        <f>SUMIFS(Colección!$L$2:$L$10001,Colección!$F$2:$F$10001,$F552,Colección!$M$2:$M$10001,"Compra")</f>
        <v>0.27427514346118997</v>
      </c>
      <c r="H552">
        <f>IF($G552=0,"",_xlfn.RANK.EQ($G552,$G$2:$G$2353,0)+COUNTIF($G$2:G552,$G552)-1)</f>
        <v>2032</v>
      </c>
    </row>
    <row r="553" spans="6:8" x14ac:dyDescent="0.25">
      <c r="F553" t="str">
        <f>"Eldrazi Temple [Playset]"</f>
        <v>Eldrazi Temple [Playset]</v>
      </c>
      <c r="G553">
        <f>SUMIFS(Colección!$L$2:$L$10001,Colección!$F$2:$F$10001,$F553,Colección!$M$2:$M$10001,"Compra")</f>
        <v>35.47</v>
      </c>
      <c r="H553">
        <f>IF($G553=0,"",_xlfn.RANK.EQ($G553,$G$2:$G$2353,0)+COUNTIF($G$2:G553,$G553)-1)</f>
        <v>235</v>
      </c>
    </row>
    <row r="554" spans="6:8" x14ac:dyDescent="0.25">
      <c r="F554" t="str">
        <f>"Eldritch Evolution [Playset]"</f>
        <v>Eldritch Evolution [Playset]</v>
      </c>
      <c r="G554">
        <f>SUMIFS(Colección!$L$2:$L$10001,Colección!$F$2:$F$10001,$F554,Colección!$M$2:$M$10001,"Compra")</f>
        <v>36.770000000000003</v>
      </c>
      <c r="H554">
        <f>IF($G554=0,"",_xlfn.RANK.EQ($G554,$G$2:$G$2353,0)+COUNTIF($G$2:G554,$G554)-1)</f>
        <v>230</v>
      </c>
    </row>
    <row r="555" spans="6:8" x14ac:dyDescent="0.25">
      <c r="F555" t="str">
        <f>"Electrolyze"</f>
        <v>Electrolyze</v>
      </c>
      <c r="G555">
        <f>SUMIFS(Colección!$L$2:$L$10001,Colección!$F$2:$F$10001,$F555,Colección!$M$2:$M$10001,"Compra")</f>
        <v>2.1883680217856449</v>
      </c>
      <c r="H555">
        <f>IF($G555=0,"",_xlfn.RANK.EQ($G555,$G$2:$G$2353,0)+COUNTIF($G$2:G555,$G555)-1)</f>
        <v>1316</v>
      </c>
    </row>
    <row r="556" spans="6:8" x14ac:dyDescent="0.25">
      <c r="F556" t="str">
        <f>"Elegant Parlor"</f>
        <v>Elegant Parlor</v>
      </c>
      <c r="G556">
        <f>SUMIFS(Colección!$L$2:$L$10001,Colección!$F$2:$F$10001,$F556,Colección!$M$2:$M$10001,"Compra")</f>
        <v>18.109283490162529</v>
      </c>
      <c r="H556">
        <f>IF($G556=0,"",_xlfn.RANK.EQ($G556,$G$2:$G$2353,0)+COUNTIF($G$2:G556,$G556)-1)</f>
        <v>429</v>
      </c>
    </row>
    <row r="557" spans="6:8" x14ac:dyDescent="0.25">
      <c r="F557" t="str">
        <f>"Elegy Acolyte"</f>
        <v>Elegy Acolyte</v>
      </c>
      <c r="G557">
        <f>SUMIFS(Colección!$L$2:$L$10001,Colección!$F$2:$F$10001,$F557,Colección!$M$2:$M$10001,"Compra")</f>
        <v>2.8955762081784386</v>
      </c>
      <c r="H557">
        <f>IF($G557=0,"",_xlfn.RANK.EQ($G557,$G$2:$G$2353,0)+COUNTIF($G$2:G557,$G557)-1)</f>
        <v>1205</v>
      </c>
    </row>
    <row r="558" spans="6:8" x14ac:dyDescent="0.25">
      <c r="F558" t="str">
        <f>"Elemental Token (Red 1/1)"</f>
        <v>Elemental Token (Red 1/1)</v>
      </c>
      <c r="G558">
        <f>SUMIFS(Colección!$L$2:$L$10001,Colección!$F$2:$F$10001,$F558,Colección!$M$2:$M$10001,"Compra")</f>
        <v>0.56917562724014314</v>
      </c>
      <c r="H558">
        <f>IF($G558=0,"",_xlfn.RANK.EQ($G558,$G$2:$G$2353,0)+COUNTIF($G$2:G558,$G558)-1)</f>
        <v>1843</v>
      </c>
    </row>
    <row r="559" spans="6:8" x14ac:dyDescent="0.25">
      <c r="F559" t="str">
        <f>"Elesh Norn, Mother of Machines"</f>
        <v>Elesh Norn, Mother of Machines</v>
      </c>
      <c r="G559">
        <f>SUMIFS(Colección!$L$2:$L$10001,Colección!$F$2:$F$10001,$F559,Colección!$M$2:$M$10001,"Compra")</f>
        <v>19.87</v>
      </c>
      <c r="H559">
        <f>IF($G559=0,"",_xlfn.RANK.EQ($G559,$G$2:$G$2353,0)+COUNTIF($G$2:G559,$G559)-1)</f>
        <v>397</v>
      </c>
    </row>
    <row r="560" spans="6:8" x14ac:dyDescent="0.25">
      <c r="F560" t="str">
        <f>"Elizabello II (OP05-080)"</f>
        <v>Elizabello II (OP05-080)</v>
      </c>
      <c r="G560">
        <f>SUMIFS(Colección!$L$2:$L$10001,Colección!$F$2:$F$10001,$F560,Colección!$M$2:$M$10001,"Compra")</f>
        <v>9.4715964740450548E-2</v>
      </c>
      <c r="H560">
        <f>IF($G560=0,"",_xlfn.RANK.EQ($G560,$G$2:$G$2353,0)+COUNTIF($G$2:G560,$G560)-1)</f>
        <v>2199</v>
      </c>
    </row>
    <row r="561" spans="6:8" x14ac:dyDescent="0.25">
      <c r="F561" t="str">
        <f>"Elrond, Master of Healing"</f>
        <v>Elrond, Master of Healing</v>
      </c>
      <c r="G561">
        <f>SUMIFS(Colección!$L$2:$L$10001,Colección!$F$2:$F$10001,$F561,Colección!$M$2:$M$10001,"Compra")</f>
        <v>0.13424408014571951</v>
      </c>
      <c r="H561">
        <f>IF($G561=0,"",_xlfn.RANK.EQ($G561,$G$2:$G$2353,0)+COUNTIF($G$2:G561,$G561)-1)</f>
        <v>2137</v>
      </c>
    </row>
    <row r="562" spans="6:8" x14ac:dyDescent="0.25">
      <c r="F562" t="str">
        <f>"Elrond, Master of Healing (V.1)"</f>
        <v>Elrond, Master of Healing (V.1)</v>
      </c>
      <c r="G562">
        <f>SUMIFS(Colección!$L$2:$L$10001,Colección!$F$2:$F$10001,$F562,Colección!$M$2:$M$10001,"Compra")</f>
        <v>0.49593639575971732</v>
      </c>
      <c r="H562">
        <f>IF($G562=0,"",_xlfn.RANK.EQ($G562,$G$2:$G$2353,0)+COUNTIF($G$2:G562,$G562)-1)</f>
        <v>1884</v>
      </c>
    </row>
    <row r="563" spans="6:8" x14ac:dyDescent="0.25">
      <c r="F563" t="str">
        <f>"Elrond, Master of Healing (V.2)"</f>
        <v>Elrond, Master of Healing (V.2)</v>
      </c>
      <c r="G563">
        <f>SUMIFS(Colección!$L$2:$L$10001,Colección!$F$2:$F$10001,$F563,Colección!$M$2:$M$10001,"Compra")</f>
        <v>1.2131455399061031</v>
      </c>
      <c r="H563">
        <f>IF($G563=0,"",_xlfn.RANK.EQ($G563,$G$2:$G$2353,0)+COUNTIF($G$2:G563,$G563)-1)</f>
        <v>1560</v>
      </c>
    </row>
    <row r="564" spans="6:8" x14ac:dyDescent="0.25">
      <c r="F564" t="str">
        <f>"Elspeth's Smite"</f>
        <v>Elspeth's Smite</v>
      </c>
      <c r="G564">
        <f>SUMIFS(Colección!$L$2:$L$10001,Colección!$F$2:$F$10001,$F564,Colección!$M$2:$M$10001,"Compra")</f>
        <v>1.0505222437137332</v>
      </c>
      <c r="H564">
        <f>IF($G564=0,"",_xlfn.RANK.EQ($G564,$G$2:$G$2353,0)+COUNTIF($G$2:G564,$G564)-1)</f>
        <v>1632</v>
      </c>
    </row>
    <row r="565" spans="6:8" x14ac:dyDescent="0.25">
      <c r="F565" t="str">
        <f>"Elspeth, Sun's Champion"</f>
        <v>Elspeth, Sun's Champion</v>
      </c>
      <c r="G565">
        <f>SUMIFS(Colección!$L$2:$L$10001,Colección!$F$2:$F$10001,$F565,Colección!$M$2:$M$10001,"Compra")</f>
        <v>3.597591973244147</v>
      </c>
      <c r="H565">
        <f>IF($G565=0,"",_xlfn.RANK.EQ($G565,$G$2:$G$2353,0)+COUNTIF($G$2:G565,$G565)-1)</f>
        <v>1106</v>
      </c>
    </row>
    <row r="566" spans="6:8" x14ac:dyDescent="0.25">
      <c r="F566" t="str">
        <f>"Elusive Otter // Grove's Bounty"</f>
        <v>Elusive Otter // Grove's Bounty</v>
      </c>
      <c r="G566">
        <f>SUMIFS(Colección!$L$2:$L$10001,Colección!$F$2:$F$10001,$F566,Colección!$M$2:$M$10001,"Compra")</f>
        <v>7.5324259407526002</v>
      </c>
      <c r="H566">
        <f>IF($G566=0,"",_xlfn.RANK.EQ($G566,$G$2:$G$2353,0)+COUNTIF($G$2:G566,$G566)-1)</f>
        <v>773</v>
      </c>
    </row>
    <row r="567" spans="6:8" x14ac:dyDescent="0.25">
      <c r="F567" t="str">
        <f>"Elven Chorus"</f>
        <v>Elven Chorus</v>
      </c>
      <c r="G567">
        <f>SUMIFS(Colección!$L$2:$L$10001,Colección!$F$2:$F$10001,$F567,Colección!$M$2:$M$10001,"Compra")</f>
        <v>4.6642443861149463</v>
      </c>
      <c r="H567">
        <f>IF($G567=0,"",_xlfn.RANK.EQ($G567,$G$2:$G$2353,0)+COUNTIF($G$2:G567,$G567)-1)</f>
        <v>989</v>
      </c>
    </row>
    <row r="568" spans="6:8" x14ac:dyDescent="0.25">
      <c r="F568" t="str">
        <f>"Elvish Archivist"</f>
        <v>Elvish Archivist</v>
      </c>
      <c r="G568">
        <f>SUMIFS(Colección!$L$2:$L$10001,Colección!$F$2:$F$10001,$F568,Colección!$M$2:$M$10001,"Compra")</f>
        <v>3.1819116135662897</v>
      </c>
      <c r="H568">
        <f>IF($G568=0,"",_xlfn.RANK.EQ($G568,$G$2:$G$2353,0)+COUNTIF($G$2:G568,$G568)-1)</f>
        <v>1176</v>
      </c>
    </row>
    <row r="569" spans="6:8" x14ac:dyDescent="0.25">
      <c r="F569" t="str">
        <f>"Elvish Mariner (V.1)"</f>
        <v>Elvish Mariner (V.1)</v>
      </c>
      <c r="G569">
        <f>SUMIFS(Colección!$L$2:$L$10001,Colección!$F$2:$F$10001,$F569,Colección!$M$2:$M$10001,"Compra")</f>
        <v>1.0799307159353351</v>
      </c>
      <c r="H569">
        <f>IF($G569=0,"",_xlfn.RANK.EQ($G569,$G$2:$G$2353,0)+COUNTIF($G$2:G569,$G569)-1)</f>
        <v>1614</v>
      </c>
    </row>
    <row r="570" spans="6:8" x14ac:dyDescent="0.25">
      <c r="F570" t="str">
        <f>"Elvish Mariner (V.2)"</f>
        <v>Elvish Mariner (V.2)</v>
      </c>
      <c r="G570">
        <f>SUMIFS(Colección!$L$2:$L$10001,Colección!$F$2:$F$10001,$F570,Colección!$M$2:$M$10001,"Compra")</f>
        <v>7.27</v>
      </c>
      <c r="H570">
        <f>IF($G570=0,"",_xlfn.RANK.EQ($G570,$G$2:$G$2353,0)+COUNTIF($G$2:G570,$G570)-1)</f>
        <v>792</v>
      </c>
    </row>
    <row r="571" spans="6:8" x14ac:dyDescent="0.25">
      <c r="F571" t="str">
        <f>"Embalmed Ascendant"</f>
        <v>Embalmed Ascendant</v>
      </c>
      <c r="G571">
        <f>SUMIFS(Colección!$L$2:$L$10001,Colección!$F$2:$F$10001,$F571,Colección!$M$2:$M$10001,"Compra")</f>
        <v>1.3577142857142861</v>
      </c>
      <c r="H571">
        <f>IF($G571=0,"",_xlfn.RANK.EQ($G571,$G$2:$G$2353,0)+COUNTIF($G$2:G571,$G571)-1)</f>
        <v>1516</v>
      </c>
    </row>
    <row r="572" spans="6:8" x14ac:dyDescent="0.25">
      <c r="F572" t="str">
        <f>"Ember Monk"</f>
        <v>Ember Monk</v>
      </c>
      <c r="G572">
        <f>SUMIFS(Colección!$L$2:$L$10001,Colección!$F$2:$F$10001,$F572,Colección!$M$2:$M$10001,"Compra")</f>
        <v>0.44244286812495631</v>
      </c>
      <c r="H572">
        <f>IF($G572=0,"",_xlfn.RANK.EQ($G572,$G$2:$G$2353,0)+COUNTIF($G$2:G572,$G572)-1)</f>
        <v>1922</v>
      </c>
    </row>
    <row r="573" spans="6:8" x14ac:dyDescent="0.25">
      <c r="F573" t="str">
        <f>"Emeria's Call // Emeria, Shattered Skyclave [Playset]"</f>
        <v>Emeria's Call // Emeria, Shattered Skyclave [Playset]</v>
      </c>
      <c r="G573">
        <f>SUMIFS(Colección!$L$2:$L$10001,Colección!$F$2:$F$10001,$F573,Colección!$M$2:$M$10001,"Compra")</f>
        <v>41.45</v>
      </c>
      <c r="H573">
        <f>IF($G573=0,"",_xlfn.RANK.EQ($G573,$G$2:$G$2353,0)+COUNTIF($G$2:G573,$G573)-1)</f>
        <v>206</v>
      </c>
    </row>
    <row r="574" spans="6:8" x14ac:dyDescent="0.25">
      <c r="F574" t="str">
        <f>"Emperor of Bones"</f>
        <v>Emperor of Bones</v>
      </c>
      <c r="G574">
        <f>SUMIFS(Colección!$L$2:$L$10001,Colección!$F$2:$F$10001,$F574,Colección!$M$2:$M$10001,"Compra")</f>
        <v>20.420000000000005</v>
      </c>
      <c r="H574">
        <f>IF($G574=0,"",_xlfn.RANK.EQ($G574,$G$2:$G$2353,0)+COUNTIF($G$2:G574,$G574)-1)</f>
        <v>389</v>
      </c>
    </row>
    <row r="575" spans="6:8" x14ac:dyDescent="0.25">
      <c r="F575" t="str">
        <f>"Emperor's Divide"</f>
        <v>Emperor's Divide</v>
      </c>
      <c r="G575">
        <f>SUMIFS(Colección!$L$2:$L$10001,Colección!$F$2:$F$10001,$F575,Colección!$M$2:$M$10001,"Compra")</f>
        <v>6.37</v>
      </c>
      <c r="H575">
        <f>IF($G575=0,"",_xlfn.RANK.EQ($G575,$G$2:$G$2353,0)+COUNTIF($G$2:G575,$G575)-1)</f>
        <v>860</v>
      </c>
    </row>
    <row r="576" spans="6:8" x14ac:dyDescent="0.25">
      <c r="F576" t="str">
        <f>"Emporio Energy Hormone (OP05-018)"</f>
        <v>Emporio Energy Hormone (OP05-018)</v>
      </c>
      <c r="G576">
        <f>SUMIFS(Colección!$L$2:$L$10001,Colección!$F$2:$F$10001,$F576,Colección!$M$2:$M$10001,"Compra")</f>
        <v>8.1185112634671888E-2</v>
      </c>
      <c r="H576">
        <f>IF($G576=0,"",_xlfn.RANK.EQ($G576,$G$2:$G$2353,0)+COUNTIF($G$2:G576,$G576)-1)</f>
        <v>2224</v>
      </c>
    </row>
    <row r="577" spans="6:8" x14ac:dyDescent="0.25">
      <c r="F577" t="str">
        <f>"Emporio.Ivankov (OP02-051) (V.1)"</f>
        <v>Emporio.Ivankov (OP02-051) (V.1)</v>
      </c>
      <c r="G577">
        <f>SUMIFS(Colección!$L$2:$L$10001,Colección!$F$2:$F$10001,$F577,Colección!$M$2:$M$10001,"Compra")</f>
        <v>1.3374316939890709</v>
      </c>
      <c r="H577">
        <f>IF($G577=0,"",_xlfn.RANK.EQ($G577,$G$2:$G$2353,0)+COUNTIF($G$2:G577,$G577)-1)</f>
        <v>1524</v>
      </c>
    </row>
    <row r="578" spans="6:8" x14ac:dyDescent="0.25">
      <c r="F578" t="str">
        <f>"Emporio.Ivankov (OP05-004)"</f>
        <v>Emporio.Ivankov (OP05-004)</v>
      </c>
      <c r="G578">
        <f>SUMIFS(Colección!$L$2:$L$10001,Colección!$F$2:$F$10001,$F578,Colección!$M$2:$M$10001,"Compra")</f>
        <v>0.1086068563092633</v>
      </c>
      <c r="H578">
        <f>IF($G578=0,"",_xlfn.RANK.EQ($G578,$G$2:$G$2353,0)+COUNTIF($G$2:G578,$G578)-1)</f>
        <v>2156</v>
      </c>
    </row>
    <row r="579" spans="6:8" x14ac:dyDescent="0.25">
      <c r="F579" t="str">
        <f>"Empty the Warrens"</f>
        <v>Empty the Warrens</v>
      </c>
      <c r="G579">
        <f>SUMIFS(Colección!$L$2:$L$10001,Colección!$F$2:$F$10001,$F579,Colección!$M$2:$M$10001,"Compra")</f>
        <v>0.45013192612137198</v>
      </c>
      <c r="H579">
        <f>IF($G579=0,"",_xlfn.RANK.EQ($G579,$G$2:$G$2353,0)+COUNTIF($G$2:G579,$G579)-1)</f>
        <v>1916</v>
      </c>
    </row>
    <row r="580" spans="6:8" x14ac:dyDescent="0.25">
      <c r="F580" t="str">
        <f>"Empty the Warrens (V.2)"</f>
        <v>Empty the Warrens (V.2)</v>
      </c>
      <c r="G580">
        <f>SUMIFS(Colección!$L$2:$L$10001,Colección!$F$2:$F$10001,$F580,Colección!$M$2:$M$10001,"Compra")</f>
        <v>6.3900000000000006</v>
      </c>
      <c r="H580">
        <f>IF($G580=0,"",_xlfn.RANK.EQ($G580,$G$2:$G$2353,0)+COUNTIF($G$2:G580,$G580)-1)</f>
        <v>857</v>
      </c>
    </row>
    <row r="581" spans="6:8" x14ac:dyDescent="0.25">
      <c r="F581" t="str">
        <f>"Emrakul, the Aeons Torn"</f>
        <v>Emrakul, the Aeons Torn</v>
      </c>
      <c r="G581">
        <f>SUMIFS(Colección!$L$2:$L$10001,Colección!$F$2:$F$10001,$F581,Colección!$M$2:$M$10001,"Compra")</f>
        <v>68.045527328714385</v>
      </c>
      <c r="H581">
        <f>IF($G581=0,"",_xlfn.RANK.EQ($G581,$G$2:$G$2353,0)+COUNTIF($G$2:G581,$G581)-1)</f>
        <v>119</v>
      </c>
    </row>
    <row r="582" spans="6:8" x14ac:dyDescent="0.25">
      <c r="F582" t="str">
        <f>"Emrakul, the Promised End (V.1)"</f>
        <v>Emrakul, the Promised End (V.1)</v>
      </c>
      <c r="G582">
        <f>SUMIFS(Colección!$L$2:$L$10001,Colección!$F$2:$F$10001,$F582,Colección!$M$2:$M$10001,"Compra")</f>
        <v>94.61</v>
      </c>
      <c r="H582">
        <f>IF($G582=0,"",_xlfn.RANK.EQ($G582,$G$2:$G$2353,0)+COUNTIF($G$2:G582,$G582)-1)</f>
        <v>82</v>
      </c>
    </row>
    <row r="583" spans="6:8" x14ac:dyDescent="0.25">
      <c r="F583" t="str">
        <f>"Emry, Lurker of the Loch [Playset]"</f>
        <v>Emry, Lurker of the Loch [Playset]</v>
      </c>
      <c r="G583">
        <f>SUMIFS(Colección!$L$2:$L$10001,Colección!$F$2:$F$10001,$F583,Colección!$M$2:$M$10001,"Compra")</f>
        <v>6.21</v>
      </c>
      <c r="H583">
        <f>IF($G583=0,"",_xlfn.RANK.EQ($G583,$G$2:$G$2353,0)+COUNTIF($G$2:G583,$G583)-1)</f>
        <v>870</v>
      </c>
    </row>
    <row r="584" spans="6:8" x14ac:dyDescent="0.25">
      <c r="F584" t="str">
        <f>"En Garde"</f>
        <v>En Garde</v>
      </c>
      <c r="G584">
        <f>SUMIFS(Colección!$L$2:$L$10001,Colección!$F$2:$F$10001,$F584,Colección!$M$2:$M$10001,"Compra")</f>
        <v>1.5798842257597685</v>
      </c>
      <c r="H584">
        <f>IF($G584=0,"",_xlfn.RANK.EQ($G584,$G$2:$G$2353,0)+COUNTIF($G$2:G584,$G584)-1)</f>
        <v>1467</v>
      </c>
    </row>
    <row r="585" spans="6:8" x14ac:dyDescent="0.25">
      <c r="F585" t="str">
        <f>"Enchanting Vertigo Dance (OP04-018)"</f>
        <v>Enchanting Vertigo Dance (OP04-018)</v>
      </c>
      <c r="G585">
        <f>SUMIFS(Colección!$L$2:$L$10001,Colección!$F$2:$F$10001,$F585,Colección!$M$2:$M$10001,"Compra")</f>
        <v>6.1898734177215198E-2</v>
      </c>
      <c r="H585">
        <f>IF($G585=0,"",_xlfn.RANK.EQ($G585,$G$2:$G$2353,0)+COUNTIF($G$2:G585,$G585)-1)</f>
        <v>2270</v>
      </c>
    </row>
    <row r="586" spans="6:8" x14ac:dyDescent="0.25">
      <c r="F586" t="str">
        <f>"Enchantress's Presence"</f>
        <v>Enchantress's Presence</v>
      </c>
      <c r="G586">
        <f>SUMIFS(Colección!$L$2:$L$10001,Colección!$F$2:$F$10001,$F586,Colección!$M$2:$M$10001,"Compra")</f>
        <v>30.460000000000004</v>
      </c>
      <c r="H586">
        <f>IF($G586=0,"",_xlfn.RANK.EQ($G586,$G$2:$G$2353,0)+COUNTIF($G$2:G586,$G586)-1)</f>
        <v>276</v>
      </c>
    </row>
    <row r="587" spans="6:8" x14ac:dyDescent="0.25">
      <c r="F587" t="str">
        <f>"Enchantress's Presence (V.1)"</f>
        <v>Enchantress's Presence (V.1)</v>
      </c>
      <c r="G587">
        <f>SUMIFS(Colección!$L$2:$L$10001,Colección!$F$2:$F$10001,$F587,Colección!$M$2:$M$10001,"Compra")</f>
        <v>1.2307662274280136</v>
      </c>
      <c r="H587">
        <f>IF($G587=0,"",_xlfn.RANK.EQ($G587,$G$2:$G$2353,0)+COUNTIF($G$2:G587,$G587)-1)</f>
        <v>1558</v>
      </c>
    </row>
    <row r="588" spans="6:8" x14ac:dyDescent="0.25">
      <c r="F588" t="str">
        <f>"Endurance"</f>
        <v>Endurance</v>
      </c>
      <c r="G588">
        <f>SUMIFS(Colección!$L$2:$L$10001,Colección!$F$2:$F$10001,$F588,Colección!$M$2:$M$10001,"Compra")</f>
        <v>187.79000000000002</v>
      </c>
      <c r="H588">
        <f>IF($G588=0,"",_xlfn.RANK.EQ($G588,$G$2:$G$2353,0)+COUNTIF($G$2:G588,$G588)-1)</f>
        <v>25</v>
      </c>
    </row>
    <row r="589" spans="6:8" x14ac:dyDescent="0.25">
      <c r="F589" t="str">
        <f>"Enduring Courage (V.1)"</f>
        <v>Enduring Courage (V.1)</v>
      </c>
      <c r="G589">
        <f>SUMIFS(Colección!$L$2:$L$10001,Colección!$F$2:$F$10001,$F589,Colección!$M$2:$M$10001,"Compra")</f>
        <v>4.35593423019432</v>
      </c>
      <c r="H589">
        <f>IF($G589=0,"",_xlfn.RANK.EQ($G589,$G$2:$G$2353,0)+COUNTIF($G$2:G589,$G589)-1)</f>
        <v>1021</v>
      </c>
    </row>
    <row r="590" spans="6:8" x14ac:dyDescent="0.25">
      <c r="F590" t="str">
        <f>"Enduring Curiosity"</f>
        <v>Enduring Curiosity</v>
      </c>
      <c r="G590">
        <f>SUMIFS(Colección!$L$2:$L$10001,Colección!$F$2:$F$10001,$F590,Colección!$M$2:$M$10001,"Compra")</f>
        <v>20.130000000000003</v>
      </c>
      <c r="H590">
        <f>IF($G590=0,"",_xlfn.RANK.EQ($G590,$G$2:$G$2353,0)+COUNTIF($G$2:G590,$G590)-1)</f>
        <v>393</v>
      </c>
    </row>
    <row r="591" spans="6:8" x14ac:dyDescent="0.25">
      <c r="F591" t="str">
        <f>"Enduring Innocence"</f>
        <v>Enduring Innocence</v>
      </c>
      <c r="G591">
        <f>SUMIFS(Colección!$L$2:$L$10001,Colección!$F$2:$F$10001,$F591,Colección!$M$2:$M$10001,"Compra")</f>
        <v>33.270000000000003</v>
      </c>
      <c r="H591">
        <f>IF($G591=0,"",_xlfn.RANK.EQ($G591,$G$2:$G$2353,0)+COUNTIF($G$2:G591,$G591)-1)</f>
        <v>257</v>
      </c>
    </row>
    <row r="592" spans="6:8" x14ac:dyDescent="0.25">
      <c r="F592" t="str">
        <f>"Enel (OP05-098) (V.1)"</f>
        <v>Enel (OP05-098) (V.1)</v>
      </c>
      <c r="G592">
        <f>SUMIFS(Colección!$L$2:$L$10001,Colección!$F$2:$F$10001,$F592,Colección!$M$2:$M$10001,"Compra")</f>
        <v>6.7654260528893242E-2</v>
      </c>
      <c r="H592">
        <f>IF($G592=0,"",_xlfn.RANK.EQ($G592,$G$2:$G$2353,0)+COUNTIF($G$2:G592,$G592)-1)</f>
        <v>2239</v>
      </c>
    </row>
    <row r="593" spans="6:8" x14ac:dyDescent="0.25">
      <c r="F593" t="str">
        <f>"Enel (OP05-100) (V.1)"</f>
        <v>Enel (OP05-100) (V.1)</v>
      </c>
      <c r="G593">
        <f>SUMIFS(Colección!$L$2:$L$10001,Colección!$F$2:$F$10001,$F593,Colección!$M$2:$M$10001,"Compra")</f>
        <v>3.258205689277899</v>
      </c>
      <c r="H593">
        <f>IF($G593=0,"",_xlfn.RANK.EQ($G593,$G$2:$G$2353,0)+COUNTIF($G$2:G593,$G593)-1)</f>
        <v>1167</v>
      </c>
    </row>
    <row r="594" spans="6:8" x14ac:dyDescent="0.25">
      <c r="F594" t="str">
        <f>"Engineered Explosives"</f>
        <v>Engineered Explosives</v>
      </c>
      <c r="G594">
        <f>SUMIFS(Colección!$L$2:$L$10001,Colección!$F$2:$F$10001,$F594,Colección!$M$2:$M$10001,"Compra")</f>
        <v>40.556573498964809</v>
      </c>
      <c r="H594">
        <f>IF($G594=0,"",_xlfn.RANK.EQ($G594,$G$2:$G$2353,0)+COUNTIF($G$2:G594,$G594)-1)</f>
        <v>211</v>
      </c>
    </row>
    <row r="595" spans="6:8" x14ac:dyDescent="0.25">
      <c r="F595" t="str">
        <f>"Enies Lobby (OP03-098)"</f>
        <v>Enies Lobby (OP03-098)</v>
      </c>
      <c r="G595">
        <f>SUMIFS(Colección!$L$2:$L$10001,Colección!$F$2:$F$10001,$F595,Colección!$M$2:$M$10001,"Compra")</f>
        <v>9.5193798449612399E-2</v>
      </c>
      <c r="H595">
        <f>IF($G595=0,"",_xlfn.RANK.EQ($G595,$G$2:$G$2353,0)+COUNTIF($G$2:G595,$G595)-1)</f>
        <v>2170</v>
      </c>
    </row>
    <row r="596" spans="6:8" x14ac:dyDescent="0.25">
      <c r="F596" t="str">
        <f>"Enlightened Tutor"</f>
        <v>Enlightened Tutor</v>
      </c>
      <c r="G596">
        <f>SUMIFS(Colección!$L$2:$L$10001,Colección!$F$2:$F$10001,$F596,Colección!$M$2:$M$10001,"Compra")</f>
        <v>21.81818181818182</v>
      </c>
      <c r="H596">
        <f>IF($G596=0,"",_xlfn.RANK.EQ($G596,$G$2:$G$2353,0)+COUNTIF($G$2:G596,$G596)-1)</f>
        <v>361</v>
      </c>
    </row>
    <row r="597" spans="6:8" x14ac:dyDescent="0.25">
      <c r="F597" t="str">
        <f>"Ensnaring Bridge"</f>
        <v>Ensnaring Bridge</v>
      </c>
      <c r="G597">
        <f>SUMIFS(Colección!$L$2:$L$10001,Colección!$F$2:$F$10001,$F597,Colección!$M$2:$M$10001,"Compra")</f>
        <v>25.15036818851252</v>
      </c>
      <c r="H597">
        <f>IF($G597=0,"",_xlfn.RANK.EQ($G597,$G$2:$G$2353,0)+COUNTIF($G$2:G597,$G597)-1)</f>
        <v>311</v>
      </c>
    </row>
    <row r="598" spans="6:8" x14ac:dyDescent="0.25">
      <c r="F598" t="str">
        <f>"Ephemerate"</f>
        <v>Ephemerate</v>
      </c>
      <c r="G598">
        <f>SUMIFS(Colección!$L$2:$L$10001,Colección!$F$2:$F$10001,$F598,Colección!$M$2:$M$10001,"Compra")</f>
        <v>4.9143391521197</v>
      </c>
      <c r="H598">
        <f>IF($G598=0,"",_xlfn.RANK.EQ($G598,$G$2:$G$2353,0)+COUNTIF($G$2:G598,$G598)-1)</f>
        <v>975</v>
      </c>
    </row>
    <row r="599" spans="6:8" x14ac:dyDescent="0.25">
      <c r="F599" t="str">
        <f>"Ephemerate (V.1) [Playset]"</f>
        <v>Ephemerate (V.1) [Playset]</v>
      </c>
      <c r="G599">
        <f>SUMIFS(Colección!$L$2:$L$10001,Colección!$F$2:$F$10001,$F599,Colección!$M$2:$M$10001,"Compra")</f>
        <v>11.15</v>
      </c>
      <c r="H599">
        <f>IF($G599=0,"",_xlfn.RANK.EQ($G599,$G$2:$G$2353,0)+COUNTIF($G$2:G599,$G599)-1)</f>
        <v>613</v>
      </c>
    </row>
    <row r="600" spans="6:8" x14ac:dyDescent="0.25">
      <c r="F600" t="str">
        <f>"Eric (OP04-022)"</f>
        <v>Eric (OP04-022)</v>
      </c>
      <c r="G600">
        <f>SUMIFS(Colección!$L$2:$L$10001,Colección!$F$2:$F$10001,$F600,Colección!$M$2:$M$10001,"Compra")</f>
        <v>6.1898734177215198E-2</v>
      </c>
      <c r="H600">
        <f>IF($G600=0,"",_xlfn.RANK.EQ($G600,$G$2:$G$2353,0)+COUNTIF($G$2:G600,$G600)-1)</f>
        <v>2271</v>
      </c>
    </row>
    <row r="601" spans="6:8" x14ac:dyDescent="0.25">
      <c r="F601" t="str">
        <f>"Ertai Resurrected"</f>
        <v>Ertai Resurrected</v>
      </c>
      <c r="G601">
        <f>SUMIFS(Colección!$L$2:$L$10001,Colección!$F$2:$F$10001,$F601,Colección!$M$2:$M$10001,"Compra")</f>
        <v>2.8356651569249482</v>
      </c>
      <c r="H601">
        <f>IF($G601=0,"",_xlfn.RANK.EQ($G601,$G$2:$G$2353,0)+COUNTIF($G$2:G601,$G601)-1)</f>
        <v>1210</v>
      </c>
    </row>
    <row r="602" spans="6:8" x14ac:dyDescent="0.25">
      <c r="F602" t="str">
        <f>"Esika's Chariot"</f>
        <v>Esika's Chariot</v>
      </c>
      <c r="G602">
        <f>SUMIFS(Colección!$L$2:$L$10001,Colección!$F$2:$F$10001,$F602,Colección!$M$2:$M$10001,"Compra")</f>
        <v>12.858529411764708</v>
      </c>
      <c r="H602">
        <f>IF($G602=0,"",_xlfn.RANK.EQ($G602,$G$2:$G$2353,0)+COUNTIF($G$2:G602,$G602)-1)</f>
        <v>555</v>
      </c>
    </row>
    <row r="603" spans="6:8" x14ac:dyDescent="0.25">
      <c r="F603" t="str">
        <f>"Esper Charm"</f>
        <v>Esper Charm</v>
      </c>
      <c r="G603">
        <f>SUMIFS(Colección!$L$2:$L$10001,Colección!$F$2:$F$10001,$F603,Colección!$M$2:$M$10001,"Compra")</f>
        <v>4.1337390316267921</v>
      </c>
      <c r="H603">
        <f>IF($G603=0,"",_xlfn.RANK.EQ($G603,$G$2:$G$2353,0)+COUNTIF($G$2:G603,$G603)-1)</f>
        <v>1060</v>
      </c>
    </row>
    <row r="604" spans="6:8" x14ac:dyDescent="0.25">
      <c r="F604" t="str">
        <f>"Esper Sentinel"</f>
        <v>Esper Sentinel</v>
      </c>
      <c r="G604">
        <f>SUMIFS(Colección!$L$2:$L$10001,Colección!$F$2:$F$10001,$F604,Colección!$M$2:$M$10001,"Compra")</f>
        <v>73.762776097912166</v>
      </c>
      <c r="H604">
        <f>IF($G604=0,"",_xlfn.RANK.EQ($G604,$G$2:$G$2353,0)+COUNTIF($G$2:G604,$G604)-1)</f>
        <v>109</v>
      </c>
    </row>
    <row r="605" spans="6:8" x14ac:dyDescent="0.25">
      <c r="F605" t="str">
        <f>"Esper Sentinel [Playset]"</f>
        <v>Esper Sentinel [Playset]</v>
      </c>
      <c r="G605">
        <f>SUMIFS(Colección!$L$2:$L$10001,Colección!$F$2:$F$10001,$F605,Colección!$M$2:$M$10001,"Compra")</f>
        <v>75.331868131868134</v>
      </c>
      <c r="H605">
        <f>IF($G605=0,"",_xlfn.RANK.EQ($G605,$G$2:$G$2353,0)+COUNTIF($G$2:G605,$G605)-1)</f>
        <v>105</v>
      </c>
    </row>
    <row r="606" spans="6:8" x14ac:dyDescent="0.25">
      <c r="F606" t="str">
        <f>"Essence Flux"</f>
        <v>Essence Flux</v>
      </c>
      <c r="G606">
        <f>SUMIFS(Colección!$L$2:$L$10001,Colección!$F$2:$F$10001,$F606,Colección!$M$2:$M$10001,"Compra")</f>
        <v>4.33</v>
      </c>
      <c r="H606">
        <f>IF($G606=0,"",_xlfn.RANK.EQ($G606,$G$2:$G$2353,0)+COUNTIF($G$2:G606,$G606)-1)</f>
        <v>1028</v>
      </c>
    </row>
    <row r="607" spans="6:8" x14ac:dyDescent="0.25">
      <c r="F607" t="str">
        <f>"Essence Flux [Playset]"</f>
        <v>Essence Flux [Playset]</v>
      </c>
      <c r="G607">
        <f>SUMIFS(Colección!$L$2:$L$10001,Colección!$F$2:$F$10001,$F607,Colección!$M$2:$M$10001,"Compra")</f>
        <v>4.21</v>
      </c>
      <c r="H607">
        <f>IF($G607=0,"",_xlfn.RANK.EQ($G607,$G$2:$G$2353,0)+COUNTIF($G$2:G607,$G607)-1)</f>
        <v>1046</v>
      </c>
    </row>
    <row r="608" spans="6:8" x14ac:dyDescent="0.25">
      <c r="F608" t="str">
        <f>"Essence Reliquary"</f>
        <v>Essence Reliquary</v>
      </c>
      <c r="G608">
        <f>SUMIFS(Colección!$L$2:$L$10001,Colección!$F$2:$F$10001,$F608,Colección!$M$2:$M$10001,"Compra")</f>
        <v>0.40253968253968259</v>
      </c>
      <c r="H608">
        <f>IF($G608=0,"",_xlfn.RANK.EQ($G608,$G$2:$G$2353,0)+COUNTIF($G$2:G608,$G608)-1)</f>
        <v>1962</v>
      </c>
    </row>
    <row r="609" spans="6:8" x14ac:dyDescent="0.25">
      <c r="F609" t="str">
        <f>"Eternal Dragon"</f>
        <v>Eternal Dragon</v>
      </c>
      <c r="G609">
        <f>SUMIFS(Colección!$L$2:$L$10001,Colección!$F$2:$F$10001,$F609,Colección!$M$2:$M$10001,"Compra")</f>
        <v>42.312338131182898</v>
      </c>
      <c r="H609">
        <f>IF($G609=0,"",_xlfn.RANK.EQ($G609,$G$2:$G$2353,0)+COUNTIF($G$2:G609,$G609)-1)</f>
        <v>199</v>
      </c>
    </row>
    <row r="610" spans="6:8" x14ac:dyDescent="0.25">
      <c r="F610" t="str">
        <f>"Eustass""Captain""Kid (OP01-051) (V.1)"</f>
        <v>Eustass"Captain"Kid (OP01-051) (V.1)</v>
      </c>
      <c r="G610">
        <f>SUMIFS(Colección!$L$2:$L$10001,Colección!$F$2:$F$10001,$F610,Colección!$M$2:$M$10001,"Compra")</f>
        <v>1.3374316939890709</v>
      </c>
      <c r="H610">
        <f>IF($G610=0,"",_xlfn.RANK.EQ($G610,$G$2:$G$2353,0)+COUNTIF($G$2:G610,$G610)-1)</f>
        <v>1525</v>
      </c>
    </row>
    <row r="611" spans="6:8" x14ac:dyDescent="0.25">
      <c r="F611" t="str">
        <f>"Eustass""Captain""Kid (OP05-074) (V.1)"</f>
        <v>Eustass"Captain"Kid (OP05-074) (V.1)</v>
      </c>
      <c r="G611">
        <f>SUMIFS(Colección!$L$2:$L$10001,Colección!$F$2:$F$10001,$F611,Colección!$M$2:$M$10001,"Compra")</f>
        <v>10.689268292682931</v>
      </c>
      <c r="H611">
        <f>IF($G611=0,"",_xlfn.RANK.EQ($G611,$G$2:$G$2353,0)+COUNTIF($G$2:G611,$G611)-1)</f>
        <v>636</v>
      </c>
    </row>
    <row r="612" spans="6:8" x14ac:dyDescent="0.25">
      <c r="F612" t="str">
        <f>"Evelynn, Entrancing"</f>
        <v>Evelynn, Entrancing</v>
      </c>
      <c r="G612">
        <f>SUMIFS(Colección!$L$2:$L$10001,Colección!$F$2:$F$10001,$F612,Colección!$M$2:$M$10001,"Compra")</f>
        <v>5.0625</v>
      </c>
      <c r="H612">
        <f>IF($G612=0,"",_xlfn.RANK.EQ($G612,$G$2:$G$2353,0)+COUNTIF($G$2:G612,$G612)-1)</f>
        <v>968</v>
      </c>
    </row>
    <row r="613" spans="6:8" x14ac:dyDescent="0.25">
      <c r="F613" t="str">
        <f>"Everywhere Token"</f>
        <v>Everywhere Token</v>
      </c>
      <c r="G613">
        <f>SUMIFS(Colección!$L$2:$L$10001,Colección!$F$2:$F$10001,$F613,Colección!$M$2:$M$10001,"Compra")</f>
        <v>12.305281187553524</v>
      </c>
      <c r="H613">
        <f>IF($G613=0,"",_xlfn.RANK.EQ($G613,$G$2:$G$2353,0)+COUNTIF($G$2:G613,$G613)-1)</f>
        <v>570</v>
      </c>
    </row>
    <row r="614" spans="6:8" x14ac:dyDescent="0.25">
      <c r="F614" t="str">
        <f>"Eviscerator's Insight"</f>
        <v>Eviscerator's Insight</v>
      </c>
      <c r="G614">
        <f>SUMIFS(Colección!$L$2:$L$10001,Colección!$F$2:$F$10001,$F614,Colección!$M$2:$M$10001,"Compra")</f>
        <v>1.0710433386837881</v>
      </c>
      <c r="H614">
        <f>IF($G614=0,"",_xlfn.RANK.EQ($G614,$G$2:$G$2353,0)+COUNTIF($G$2:G614,$G614)-1)</f>
        <v>1616</v>
      </c>
    </row>
    <row r="615" spans="6:8" x14ac:dyDescent="0.25">
      <c r="F615" t="str">
        <f>"Evolving Adaptive"</f>
        <v>Evolving Adaptive</v>
      </c>
      <c r="G615">
        <f>SUMIFS(Colección!$L$2:$L$10001,Colección!$F$2:$F$10001,$F615,Colección!$M$2:$M$10001,"Compra")</f>
        <v>0.68320067029744436</v>
      </c>
      <c r="H615">
        <f>IF($G615=0,"",_xlfn.RANK.EQ($G615,$G$2:$G$2353,0)+COUNTIF($G$2:G615,$G615)-1)</f>
        <v>1768</v>
      </c>
    </row>
    <row r="616" spans="6:8" x14ac:dyDescent="0.25">
      <c r="F616" t="str">
        <f>"Exalted Angel"</f>
        <v>Exalted Angel</v>
      </c>
      <c r="G616">
        <f>SUMIFS(Colección!$L$2:$L$10001,Colección!$F$2:$F$10001,$F616,Colección!$M$2:$M$10001,"Compra")</f>
        <v>73.797049791363861</v>
      </c>
      <c r="H616">
        <f>IF($G616=0,"",_xlfn.RANK.EQ($G616,$G$2:$G$2353,0)+COUNTIF($G$2:G616,$G616)-1)</f>
        <v>108</v>
      </c>
    </row>
    <row r="617" spans="6:8" x14ac:dyDescent="0.25">
      <c r="F617" t="str">
        <f>"Exhibition Tidecaller"</f>
        <v>Exhibition Tidecaller</v>
      </c>
      <c r="G617">
        <f>SUMIFS(Colección!$L$2:$L$10001,Colección!$F$2:$F$10001,$F617,Colección!$M$2:$M$10001,"Compra")</f>
        <v>4.3411764705882341</v>
      </c>
      <c r="H617">
        <f>IF($G617=0,"",_xlfn.RANK.EQ($G617,$G$2:$G$2353,0)+COUNTIF($G$2:G617,$G617)-1)</f>
        <v>1026</v>
      </c>
    </row>
    <row r="618" spans="6:8" x14ac:dyDescent="0.25">
      <c r="F618" t="str">
        <f>"Existential Dread"</f>
        <v>Existential Dread</v>
      </c>
      <c r="G618">
        <f>SUMIFS(Colección!$L$2:$L$10001,Colección!$F$2:$F$10001,$F618,Colección!$M$2:$M$10001,"Compra")</f>
        <v>5.4</v>
      </c>
      <c r="H618">
        <f>IF($G618=0,"",_xlfn.RANK.EQ($G618,$G$2:$G$2353,0)+COUNTIF($G$2:G618,$G618)-1)</f>
        <v>934</v>
      </c>
    </row>
    <row r="619" spans="6:8" x14ac:dyDescent="0.25">
      <c r="F619" t="str">
        <f>"Exorcise"</f>
        <v>Exorcise</v>
      </c>
      <c r="G619">
        <f>SUMIFS(Colección!$L$2:$L$10001,Colección!$F$2:$F$10001,$F619,Colección!$M$2:$M$10001,"Compra")</f>
        <v>2.144816247582205</v>
      </c>
      <c r="H619">
        <f>IF($G619=0,"",_xlfn.RANK.EQ($G619,$G$2:$G$2353,0)+COUNTIF($G$2:G619,$G619)-1)</f>
        <v>1330</v>
      </c>
    </row>
    <row r="620" spans="6:8" x14ac:dyDescent="0.25">
      <c r="F620" t="str">
        <f>"Expedition Map"</f>
        <v>Expedition Map</v>
      </c>
      <c r="G620">
        <f>SUMIFS(Colección!$L$2:$L$10001,Colección!$F$2:$F$10001,$F620,Colección!$M$2:$M$10001,"Compra")</f>
        <v>15.953693420230337</v>
      </c>
      <c r="H620">
        <f>IF($G620=0,"",_xlfn.RANK.EQ($G620,$G$2:$G$2353,0)+COUNTIF($G$2:G620,$G620)-1)</f>
        <v>487</v>
      </c>
    </row>
    <row r="621" spans="6:8" x14ac:dyDescent="0.25">
      <c r="F621" t="str">
        <f>"Explore"</f>
        <v>Explore</v>
      </c>
      <c r="G621">
        <f>SUMIFS(Colección!$L$2:$L$10001,Colección!$F$2:$F$10001,$F621,Colección!$M$2:$M$10001,"Compra")</f>
        <v>2.5429221002059021</v>
      </c>
      <c r="H621">
        <f>IF($G621=0,"",_xlfn.RANK.EQ($G621,$G$2:$G$2353,0)+COUNTIF($G$2:G621,$G621)-1)</f>
        <v>1247</v>
      </c>
    </row>
    <row r="622" spans="6:8" x14ac:dyDescent="0.25">
      <c r="F622" t="str">
        <f>"Expressive Iteration"</f>
        <v>Expressive Iteration</v>
      </c>
      <c r="G622">
        <f>SUMIFS(Colección!$L$2:$L$10001,Colección!$F$2:$F$10001,$F622,Colección!$M$2:$M$10001,"Compra")</f>
        <v>50.598445961855433</v>
      </c>
      <c r="H622">
        <f>IF($G622=0,"",_xlfn.RANK.EQ($G622,$G$2:$G$2353,0)+COUNTIF($G$2:G622,$G622)-1)</f>
        <v>172</v>
      </c>
    </row>
    <row r="623" spans="6:8" x14ac:dyDescent="0.25">
      <c r="F623" t="str">
        <f>"Extirpate"</f>
        <v>Extirpate</v>
      </c>
      <c r="G623">
        <f>SUMIFS(Colección!$L$2:$L$10001,Colección!$F$2:$F$10001,$F623,Colección!$M$2:$M$10001,"Compra")</f>
        <v>2.3592775041050902</v>
      </c>
      <c r="H623">
        <f>IF($G623=0,"",_xlfn.RANK.EQ($G623,$G$2:$G$2353,0)+COUNTIF($G$2:G623,$G623)-1)</f>
        <v>1274</v>
      </c>
    </row>
    <row r="624" spans="6:8" x14ac:dyDescent="0.25">
      <c r="F624" t="str">
        <f>"Eye of the Herald"</f>
        <v>Eye of the Herald</v>
      </c>
      <c r="G624">
        <f>SUMIFS(Colección!$L$2:$L$10001,Colección!$F$2:$F$10001,$F624,Colección!$M$2:$M$10001,"Compra")</f>
        <v>1.4192070263488084</v>
      </c>
      <c r="H624">
        <f>IF($G624=0,"",_xlfn.RANK.EQ($G624,$G$2:$G$2353,0)+COUNTIF($G$2:G624,$G624)-1)</f>
        <v>1508</v>
      </c>
    </row>
    <row r="625" spans="6:8" x14ac:dyDescent="0.25">
      <c r="F625" t="str">
        <f>"Ezrim, Agency Chief"</f>
        <v>Ezrim, Agency Chief</v>
      </c>
      <c r="G625">
        <f>SUMIFS(Colección!$L$2:$L$10001,Colección!$F$2:$F$10001,$F625,Colección!$M$2:$M$10001,"Compra")</f>
        <v>2.2835696413678064</v>
      </c>
      <c r="H625">
        <f>IF($G625=0,"",_xlfn.RANK.EQ($G625,$G$2:$G$2353,0)+COUNTIF($G$2:G625,$G625)-1)</f>
        <v>1290</v>
      </c>
    </row>
    <row r="626" spans="6:8" x14ac:dyDescent="0.25">
      <c r="F626" t="str">
        <f>"Fable of the Mirror-Breaker // Reflection of Kiki-Jiki"</f>
        <v>Fable of the Mirror-Breaker // Reflection of Kiki-Jiki</v>
      </c>
      <c r="G626">
        <f>SUMIFS(Colección!$L$2:$L$10001,Colección!$F$2:$F$10001,$F626,Colección!$M$2:$M$10001,"Compra")</f>
        <v>99.231878484906744</v>
      </c>
      <c r="H626">
        <f>IF($G626=0,"",_xlfn.RANK.EQ($G626,$G$2:$G$2353,0)+COUNTIF($G$2:G626,$G626)-1)</f>
        <v>75</v>
      </c>
    </row>
    <row r="627" spans="6:8" x14ac:dyDescent="0.25">
      <c r="F627" t="str">
        <f>"Fact or Fiction"</f>
        <v>Fact or Fiction</v>
      </c>
      <c r="G627">
        <f>SUMIFS(Colección!$L$2:$L$10001,Colección!$F$2:$F$10001,$F627,Colección!$M$2:$M$10001,"Compra")</f>
        <v>3.1733986928104581</v>
      </c>
      <c r="H627">
        <f>IF($G627=0,"",_xlfn.RANK.EQ($G627,$G$2:$G$2353,0)+COUNTIF($G$2:G627,$G627)-1)</f>
        <v>1179</v>
      </c>
    </row>
    <row r="628" spans="6:8" x14ac:dyDescent="0.25">
      <c r="F628" t="str">
        <f>"Factory Recall"</f>
        <v>Factory Recall</v>
      </c>
      <c r="G628">
        <f>SUMIFS(Colección!$L$2:$L$10001,Colección!$F$2:$F$10001,$F628,Colección!$M$2:$M$10001,"Compra")</f>
        <v>2.7842519202938885</v>
      </c>
      <c r="H628">
        <f>IF($G628=0,"",_xlfn.RANK.EQ($G628,$G$2:$G$2353,0)+COUNTIF($G$2:G628,$G628)-1)</f>
        <v>1217</v>
      </c>
    </row>
    <row r="629" spans="6:8" x14ac:dyDescent="0.25">
      <c r="F629" t="str">
        <f>"Fade from History"</f>
        <v>Fade from History</v>
      </c>
      <c r="G629">
        <f>SUMIFS(Colección!$L$2:$L$10001,Colección!$F$2:$F$10001,$F629,Colección!$M$2:$M$10001,"Compra")</f>
        <v>5.45</v>
      </c>
      <c r="H629">
        <f>IF($G629=0,"",_xlfn.RANK.EQ($G629,$G$2:$G$2353,0)+COUNTIF($G$2:G629,$G629)-1)</f>
        <v>931</v>
      </c>
    </row>
    <row r="630" spans="6:8" x14ac:dyDescent="0.25">
      <c r="F630" t="str">
        <f>"Faebloom Trick"</f>
        <v>Faebloom Trick</v>
      </c>
      <c r="G630">
        <f>SUMIFS(Colección!$L$2:$L$10001,Colección!$F$2:$F$10001,$F630,Colección!$M$2:$M$10001,"Compra")</f>
        <v>1.0313043478260873</v>
      </c>
      <c r="H630">
        <f>IF($G630=0,"",_xlfn.RANK.EQ($G630,$G$2:$G$2353,0)+COUNTIF($G$2:G630,$G630)-1)</f>
        <v>1646</v>
      </c>
    </row>
    <row r="631" spans="6:8" x14ac:dyDescent="0.25">
      <c r="F631" t="str">
        <f>"Faerie Conclave"</f>
        <v>Faerie Conclave</v>
      </c>
      <c r="G631">
        <f>SUMIFS(Colección!$L$2:$L$10001,Colección!$F$2:$F$10001,$F631,Colección!$M$2:$M$10001,"Compra")</f>
        <v>8.9389610389610379</v>
      </c>
      <c r="H631">
        <f>IF($G631=0,"",_xlfn.RANK.EQ($G631,$G$2:$G$2353,0)+COUNTIF($G$2:G631,$G631)-1)</f>
        <v>704</v>
      </c>
    </row>
    <row r="632" spans="6:8" x14ac:dyDescent="0.25">
      <c r="F632" t="str">
        <f>"Faerie Duelist"</f>
        <v>Faerie Duelist</v>
      </c>
      <c r="G632">
        <f>SUMIFS(Colección!$L$2:$L$10001,Colección!$F$2:$F$10001,$F632,Colección!$M$2:$M$10001,"Compra")</f>
        <v>0.21248124062031021</v>
      </c>
      <c r="H632">
        <f>IF($G632=0,"",_xlfn.RANK.EQ($G632,$G$2:$G$2353,0)+COUNTIF($G$2:G632,$G632)-1)</f>
        <v>2086</v>
      </c>
    </row>
    <row r="633" spans="6:8" x14ac:dyDescent="0.25">
      <c r="F633" t="str">
        <f>"Faerie Macabre"</f>
        <v>Faerie Macabre</v>
      </c>
      <c r="G633">
        <f>SUMIFS(Colección!$L$2:$L$10001,Colección!$F$2:$F$10001,$F633,Colección!$M$2:$M$10001,"Compra")</f>
        <v>9.18</v>
      </c>
      <c r="H633">
        <f>IF($G633=0,"",_xlfn.RANK.EQ($G633,$G$2:$G$2353,0)+COUNTIF($G$2:G633,$G633)-1)</f>
        <v>695</v>
      </c>
    </row>
    <row r="634" spans="6:8" x14ac:dyDescent="0.25">
      <c r="F634" t="str">
        <f>"Faerie Mastermind [Playset]"</f>
        <v>Faerie Mastermind [Playset]</v>
      </c>
      <c r="G634">
        <f>SUMIFS(Colección!$L$2:$L$10001,Colección!$F$2:$F$10001,$F634,Colección!$M$2:$M$10001,"Compra")</f>
        <v>48.42</v>
      </c>
      <c r="H634">
        <f>IF($G634=0,"",_xlfn.RANK.EQ($G634,$G$2:$G$2353,0)+COUNTIF($G$2:G634,$G634)-1)</f>
        <v>179</v>
      </c>
    </row>
    <row r="635" spans="6:8" x14ac:dyDescent="0.25">
      <c r="F635" t="str">
        <f>"Faerie Miscreant"</f>
        <v>Faerie Miscreant</v>
      </c>
      <c r="G635">
        <f>SUMIFS(Colección!$L$2:$L$10001,Colección!$F$2:$F$10001,$F635,Colección!$M$2:$M$10001,"Compra")</f>
        <v>0.42496248124062042</v>
      </c>
      <c r="H635">
        <f>IF($G635=0,"",_xlfn.RANK.EQ($G635,$G$2:$G$2353,0)+COUNTIF($G$2:G635,$G635)-1)</f>
        <v>1937</v>
      </c>
    </row>
    <row r="636" spans="6:8" x14ac:dyDescent="0.25">
      <c r="F636" t="str">
        <f>"Faerie Seer"</f>
        <v>Faerie Seer</v>
      </c>
      <c r="G636">
        <f>SUMIFS(Colección!$L$2:$L$10001,Colección!$F$2:$F$10001,$F636,Colección!$M$2:$M$10001,"Compra")</f>
        <v>1.4873686843421707</v>
      </c>
      <c r="H636">
        <f>IF($G636=0,"",_xlfn.RANK.EQ($G636,$G$2:$G$2353,0)+COUNTIF($G$2:G636,$G636)-1)</f>
        <v>1489</v>
      </c>
    </row>
    <row r="637" spans="6:8" x14ac:dyDescent="0.25">
      <c r="F637" t="str">
        <f>"Faerie Token (Blue 1/1) (V.1)"</f>
        <v>Faerie Token (Blue 1/1) (V.1)</v>
      </c>
      <c r="G637">
        <f>SUMIFS(Colección!$L$2:$L$10001,Colección!$F$2:$F$10001,$F637,Colección!$M$2:$M$10001,"Compra")</f>
        <v>3.526666666666666</v>
      </c>
      <c r="H637">
        <f>IF($G637=0,"",_xlfn.RANK.EQ($G637,$G$2:$G$2353,0)+COUNTIF($G$2:G637,$G637)-1)</f>
        <v>1113</v>
      </c>
    </row>
    <row r="638" spans="6:8" x14ac:dyDescent="0.25">
      <c r="F638" t="str">
        <f>"Failure // Comply"</f>
        <v>Failure // Comply</v>
      </c>
      <c r="G638">
        <f>SUMIFS(Colección!$L$2:$L$10001,Colección!$F$2:$F$10001,$F638,Colección!$M$2:$M$10001,"Compra")</f>
        <v>0.48769230769230759</v>
      </c>
      <c r="H638">
        <f>IF($G638=0,"",_xlfn.RANK.EQ($G638,$G$2:$G$2353,0)+COUNTIF($G$2:G638,$G638)-1)</f>
        <v>1888</v>
      </c>
    </row>
    <row r="639" spans="6:8" x14ac:dyDescent="0.25">
      <c r="F639" t="str">
        <f>"Faithful Mending"</f>
        <v>Faithful Mending</v>
      </c>
      <c r="G639">
        <f>SUMIFS(Colección!$L$2:$L$10001,Colección!$F$2:$F$10001,$F639,Colección!$M$2:$M$10001,"Compra")</f>
        <v>9.9488335220838042</v>
      </c>
      <c r="H639">
        <f>IF($G639=0,"",_xlfn.RANK.EQ($G639,$G$2:$G$2353,0)+COUNTIF($G$2:G639,$G639)-1)</f>
        <v>667</v>
      </c>
    </row>
    <row r="640" spans="6:8" x14ac:dyDescent="0.25">
      <c r="F640" t="str">
        <f>"Faithless Looting"</f>
        <v>Faithless Looting</v>
      </c>
      <c r="G640">
        <f>SUMIFS(Colección!$L$2:$L$10001,Colección!$F$2:$F$10001,$F640,Colección!$M$2:$M$10001,"Compra")</f>
        <v>25.71</v>
      </c>
      <c r="H640">
        <f>IF($G640=0,"",_xlfn.RANK.EQ($G640,$G$2:$G$2353,0)+COUNTIF($G$2:G640,$G640)-1)</f>
        <v>302</v>
      </c>
    </row>
    <row r="641" spans="6:8" x14ac:dyDescent="0.25">
      <c r="F641" t="str">
        <f>"Fall of Cair Andros"</f>
        <v>Fall of Cair Andros</v>
      </c>
      <c r="G641">
        <f>SUMIFS(Colección!$L$2:$L$10001,Colección!$F$2:$F$10001,$F641,Colección!$M$2:$M$10001,"Compra")</f>
        <v>0.60408316060548961</v>
      </c>
      <c r="H641">
        <f>IF($G641=0,"",_xlfn.RANK.EQ($G641,$G$2:$G$2353,0)+COUNTIF($G$2:G641,$G641)-1)</f>
        <v>1823</v>
      </c>
    </row>
    <row r="642" spans="6:8" x14ac:dyDescent="0.25">
      <c r="F642" t="str">
        <f>"Fall of Gil-galad"</f>
        <v>Fall of Gil-galad</v>
      </c>
      <c r="G642">
        <f>SUMIFS(Colección!$L$2:$L$10001,Colección!$F$2:$F$10001,$F642,Colección!$M$2:$M$10001,"Compra")</f>
        <v>0.26848816029143902</v>
      </c>
      <c r="H642">
        <f>IF($G642=0,"",_xlfn.RANK.EQ($G642,$G$2:$G$2353,0)+COUNTIF($G$2:G642,$G642)-1)</f>
        <v>2042</v>
      </c>
    </row>
    <row r="643" spans="6:8" x14ac:dyDescent="0.25">
      <c r="F643" t="str">
        <f>"Fallaji Archaeologist"</f>
        <v>Fallaji Archaeologist</v>
      </c>
      <c r="G643">
        <f>SUMIFS(Colección!$L$2:$L$10001,Colección!$F$2:$F$10001,$F643,Colección!$M$2:$M$10001,"Compra")</f>
        <v>0.64563650920736604</v>
      </c>
      <c r="H643">
        <f>IF($G643=0,"",_xlfn.RANK.EQ($G643,$G$2:$G$2353,0)+COUNTIF($G$2:G643,$G643)-1)</f>
        <v>1790</v>
      </c>
    </row>
    <row r="644" spans="6:8" x14ac:dyDescent="0.25">
      <c r="F644" t="str">
        <f>"Fangorn, Tree Shepherd"</f>
        <v>Fangorn, Tree Shepherd</v>
      </c>
      <c r="G644">
        <f>SUMIFS(Colección!$L$2:$L$10001,Colección!$F$2:$F$10001,$F644,Colección!$M$2:$M$10001,"Compra")</f>
        <v>0.68749083339247286</v>
      </c>
      <c r="H644">
        <f>IF($G644=0,"",_xlfn.RANK.EQ($G644,$G$2:$G$2353,0)+COUNTIF($G$2:G644,$G644)-1)</f>
        <v>1763</v>
      </c>
    </row>
    <row r="645" spans="6:8" x14ac:dyDescent="0.25">
      <c r="F645" t="str">
        <f>"Faramir, Field Commander"</f>
        <v>Faramir, Field Commander</v>
      </c>
      <c r="G645">
        <f>SUMIFS(Colección!$L$2:$L$10001,Colección!$F$2:$F$10001,$F645,Colección!$M$2:$M$10001,"Compra")</f>
        <v>0.13424408014571951</v>
      </c>
      <c r="H645">
        <f>IF($G645=0,"",_xlfn.RANK.EQ($G645,$G$2:$G$2353,0)+COUNTIF($G$2:G645,$G645)-1)</f>
        <v>2138</v>
      </c>
    </row>
    <row r="646" spans="6:8" x14ac:dyDescent="0.25">
      <c r="F646" t="str">
        <f>"Faramir, Prince of Ithilien"</f>
        <v>Faramir, Prince of Ithilien</v>
      </c>
      <c r="G646">
        <f>SUMIFS(Colección!$L$2:$L$10001,Colección!$F$2:$F$10001,$F646,Colección!$M$2:$M$10001,"Compra")</f>
        <v>0.87944247960396726</v>
      </c>
      <c r="H646">
        <f>IF($G646=0,"",_xlfn.RANK.EQ($G646,$G$2:$G$2353,0)+COUNTIF($G$2:G646,$G646)-1)</f>
        <v>1688</v>
      </c>
    </row>
    <row r="647" spans="6:8" x14ac:dyDescent="0.25">
      <c r="F647" t="str">
        <f>"Farewell"</f>
        <v>Farewell</v>
      </c>
      <c r="G647">
        <f>SUMIFS(Colección!$L$2:$L$10001,Colección!$F$2:$F$10001,$F647,Colección!$M$2:$M$10001,"Compra")</f>
        <v>7.18</v>
      </c>
      <c r="H647">
        <f>IF($G647=0,"",_xlfn.RANK.EQ($G647,$G$2:$G$2353,0)+COUNTIF($G$2:G647,$G647)-1)</f>
        <v>800</v>
      </c>
    </row>
    <row r="648" spans="6:8" x14ac:dyDescent="0.25">
      <c r="F648" t="str">
        <f>"Fatal Push"</f>
        <v>Fatal Push</v>
      </c>
      <c r="G648">
        <f>SUMIFS(Colección!$L$2:$L$10001,Colección!$F$2:$F$10001,$F648,Colección!$M$2:$M$10001,"Compra")</f>
        <v>7.22</v>
      </c>
      <c r="H648">
        <f>IF($G648=0,"",_xlfn.RANK.EQ($G648,$G$2:$G$2353,0)+COUNTIF($G$2:G648,$G648)-1)</f>
        <v>796</v>
      </c>
    </row>
    <row r="649" spans="6:8" x14ac:dyDescent="0.25">
      <c r="F649" t="str">
        <f>"Fatal Push [Playset]"</f>
        <v>Fatal Push [Playset]</v>
      </c>
      <c r="G649">
        <f>SUMIFS(Colección!$L$2:$L$10001,Colección!$F$2:$F$10001,$F649,Colección!$M$2:$M$10001,"Compra")</f>
        <v>8.949251412429378</v>
      </c>
      <c r="H649">
        <f>IF($G649=0,"",_xlfn.RANK.EQ($G649,$G$2:$G$2353,0)+COUNTIF($G$2:G649,$G649)-1)</f>
        <v>702</v>
      </c>
    </row>
    <row r="650" spans="6:8" x14ac:dyDescent="0.25">
      <c r="F650" t="str">
        <f>"Fateful Absence"</f>
        <v>Fateful Absence</v>
      </c>
      <c r="G650">
        <f>SUMIFS(Colección!$L$2:$L$10001,Colección!$F$2:$F$10001,$F650,Colección!$M$2:$M$10001,"Compra")</f>
        <v>1.6941176470588231</v>
      </c>
      <c r="H650">
        <f>IF($G650=0,"",_xlfn.RANK.EQ($G650,$G$2:$G$2353,0)+COUNTIF($G$2:G650,$G650)-1)</f>
        <v>1432</v>
      </c>
    </row>
    <row r="651" spans="6:8" x14ac:dyDescent="0.25">
      <c r="F651" t="str">
        <f>"Fatestitcher"</f>
        <v>Fatestitcher</v>
      </c>
      <c r="G651">
        <f>SUMIFS(Colección!$L$2:$L$10001,Colección!$F$2:$F$10001,$F651,Colección!$M$2:$M$10001,"Compra")</f>
        <v>16.25</v>
      </c>
      <c r="H651">
        <f>IF($G651=0,"",_xlfn.RANK.EQ($G651,$G$2:$G$2353,0)+COUNTIF($G$2:G651,$G651)-1)</f>
        <v>477</v>
      </c>
    </row>
    <row r="652" spans="6:8" x14ac:dyDescent="0.25">
      <c r="F652" t="str">
        <f>"Favored Hoplite"</f>
        <v>Favored Hoplite</v>
      </c>
      <c r="G652">
        <f>SUMIFS(Colección!$L$2:$L$10001,Colección!$F$2:$F$10001,$F652,Colección!$M$2:$M$10001,"Compra")</f>
        <v>3.4098830865159782</v>
      </c>
      <c r="H652">
        <f>IF($G652=0,"",_xlfn.RANK.EQ($G652,$G$2:$G$2353,0)+COUNTIF($G$2:G652,$G652)-1)</f>
        <v>1136</v>
      </c>
    </row>
    <row r="653" spans="6:8" x14ac:dyDescent="0.25">
      <c r="F653" t="str">
        <f>"Fblthp, the Lost"</f>
        <v>Fblthp, the Lost</v>
      </c>
      <c r="G653">
        <f>SUMIFS(Colección!$L$2:$L$10001,Colección!$F$2:$F$10001,$F653,Colección!$M$2:$M$10001,"Compra")</f>
        <v>15.858306451612904</v>
      </c>
      <c r="H653">
        <f>IF($G653=0,"",_xlfn.RANK.EQ($G653,$G$2:$G$2353,0)+COUNTIF($G$2:G653,$G653)-1)</f>
        <v>488</v>
      </c>
    </row>
    <row r="654" spans="6:8" x14ac:dyDescent="0.25">
      <c r="F654" t="str">
        <f>"Fear of Isolation"</f>
        <v>Fear of Isolation</v>
      </c>
      <c r="G654">
        <f>SUMIFS(Colección!$L$2:$L$10001,Colección!$F$2:$F$10001,$F654,Colección!$M$2:$M$10001,"Compra")</f>
        <v>1.5736641221374044</v>
      </c>
      <c r="H654">
        <f>IF($G654=0,"",_xlfn.RANK.EQ($G654,$G$2:$G$2353,0)+COUNTIF($G$2:G654,$G654)-1)</f>
        <v>1470</v>
      </c>
    </row>
    <row r="655" spans="6:8" x14ac:dyDescent="0.25">
      <c r="F655" t="str">
        <f>"Feed the Clan"</f>
        <v>Feed the Clan</v>
      </c>
      <c r="G655">
        <f>SUMIFS(Colección!$L$2:$L$10001,Colección!$F$2:$F$10001,$F655,Colección!$M$2:$M$10001,"Compra")</f>
        <v>0.98</v>
      </c>
      <c r="H655">
        <f>IF($G655=0,"",_xlfn.RANK.EQ($G655,$G$2:$G$2353,0)+COUNTIF($G$2:G655,$G655)-1)</f>
        <v>1667</v>
      </c>
    </row>
    <row r="656" spans="6:8" x14ac:dyDescent="0.25">
      <c r="F656" t="str">
        <f>"Feign Death"</f>
        <v>Feign Death</v>
      </c>
      <c r="G656">
        <f>SUMIFS(Colección!$L$2:$L$10001,Colección!$F$2:$F$10001,$F656,Colección!$M$2:$M$10001,"Compra")</f>
        <v>1.4809067405016871</v>
      </c>
      <c r="H656">
        <f>IF($G656=0,"",_xlfn.RANK.EQ($G656,$G$2:$G$2353,0)+COUNTIF($G$2:G656,$G656)-1)</f>
        <v>1490</v>
      </c>
    </row>
    <row r="657" spans="6:8" x14ac:dyDescent="0.25">
      <c r="F657" t="str">
        <f>"Fell the Profane // Fell Mire"</f>
        <v>Fell the Profane // Fell Mire</v>
      </c>
      <c r="G657">
        <f>SUMIFS(Colección!$L$2:$L$10001,Colección!$F$2:$F$10001,$F657,Colección!$M$2:$M$10001,"Compra")</f>
        <v>2.7352661596958181</v>
      </c>
      <c r="H657">
        <f>IF($G657=0,"",_xlfn.RANK.EQ($G657,$G$2:$G$2353,0)+COUNTIF($G$2:G657,$G657)-1)</f>
        <v>1220</v>
      </c>
    </row>
    <row r="658" spans="6:8" x14ac:dyDescent="0.25">
      <c r="F658" t="str">
        <f>"Festival Crasher"</f>
        <v>Festival Crasher</v>
      </c>
      <c r="G658">
        <f>SUMIFS(Colección!$L$2:$L$10001,Colección!$F$2:$F$10001,$F658,Colección!$M$2:$M$10001,"Compra")</f>
        <v>0.55135828877005355</v>
      </c>
      <c r="H658">
        <f>IF($G658=0,"",_xlfn.RANK.EQ($G658,$G$2:$G$2353,0)+COUNTIF($G$2:G658,$G658)-1)</f>
        <v>1854</v>
      </c>
    </row>
    <row r="659" spans="6:8" x14ac:dyDescent="0.25">
      <c r="F659" t="str">
        <f>"Field of Ruin"</f>
        <v>Field of Ruin</v>
      </c>
      <c r="G659">
        <f>SUMIFS(Colección!$L$2:$L$10001,Colección!$F$2:$F$10001,$F659,Colección!$M$2:$M$10001,"Compra")</f>
        <v>9.284894611671989</v>
      </c>
      <c r="H659">
        <f>IF($G659=0,"",_xlfn.RANK.EQ($G659,$G$2:$G$2353,0)+COUNTIF($G$2:G659,$G659)-1)</f>
        <v>689</v>
      </c>
    </row>
    <row r="660" spans="6:8" x14ac:dyDescent="0.25">
      <c r="F660" t="str">
        <f>"Fiery Confluence"</f>
        <v>Fiery Confluence</v>
      </c>
      <c r="G660">
        <f>SUMIFS(Colección!$L$2:$L$10001,Colección!$F$2:$F$10001,$F660,Colección!$M$2:$M$10001,"Compra")</f>
        <v>2.5355696202531641</v>
      </c>
      <c r="H660">
        <f>IF($G660=0,"",_xlfn.RANK.EQ($G660,$G$2:$G$2353,0)+COUNTIF($G$2:G660,$G660)-1)</f>
        <v>1248</v>
      </c>
    </row>
    <row r="661" spans="6:8" x14ac:dyDescent="0.25">
      <c r="F661" t="str">
        <f>"Fiery Doll (OP03-019)"</f>
        <v>Fiery Doll (OP03-019)</v>
      </c>
      <c r="G661">
        <f>SUMIFS(Colección!$L$2:$L$10001,Colección!$F$2:$F$10001,$F661,Colección!$M$2:$M$10001,"Compra")</f>
        <v>0.1427906976744186</v>
      </c>
      <c r="H661">
        <f>IF($G661=0,"",_xlfn.RANK.EQ($G661,$G$2:$G$2353,0)+COUNTIF($G$2:G661,$G661)-1)</f>
        <v>2122</v>
      </c>
    </row>
    <row r="662" spans="6:8" x14ac:dyDescent="0.25">
      <c r="F662" t="str">
        <f>"Fiery Islet"</f>
        <v>Fiery Islet</v>
      </c>
      <c r="G662">
        <f>SUMIFS(Colección!$L$2:$L$10001,Colección!$F$2:$F$10001,$F662,Colección!$M$2:$M$10001,"Compra")</f>
        <v>18.402631578947371</v>
      </c>
      <c r="H662">
        <f>IF($G662=0,"",_xlfn.RANK.EQ($G662,$G$2:$G$2353,0)+COUNTIF($G$2:G662,$G662)-1)</f>
        <v>425</v>
      </c>
    </row>
    <row r="663" spans="6:8" x14ac:dyDescent="0.25">
      <c r="F663" t="str">
        <f>"Fiora, Grand Duelist (V.2 - Showcase)"</f>
        <v>Fiora, Grand Duelist (V.2 - Showcase)</v>
      </c>
      <c r="G663">
        <f>SUMIFS(Colección!$L$2:$L$10001,Colección!$F$2:$F$10001,$F663,Colección!$M$2:$M$10001,"Compra")</f>
        <v>62.520833333333343</v>
      </c>
      <c r="H663">
        <f>IF($G663=0,"",_xlfn.RANK.EQ($G663,$G$2:$G$2353,0)+COUNTIF($G$2:G663,$G663)-1)</f>
        <v>135</v>
      </c>
    </row>
    <row r="664" spans="6:8" x14ac:dyDescent="0.25">
      <c r="F664" t="str">
        <f>"Fiora, Victorious"</f>
        <v>Fiora, Victorious</v>
      </c>
      <c r="G664">
        <f>SUMIFS(Colección!$L$2:$L$10001,Colección!$F$2:$F$10001,$F664,Colección!$M$2:$M$10001,"Compra")</f>
        <v>2.8835087719298249</v>
      </c>
      <c r="H664">
        <f>IF($G664=0,"",_xlfn.RANK.EQ($G664,$G$2:$G$2353,0)+COUNTIF($G$2:G664,$G664)-1)</f>
        <v>1207</v>
      </c>
    </row>
    <row r="665" spans="6:8" x14ac:dyDescent="0.25">
      <c r="F665" t="str">
        <f>"Fire // Ice"</f>
        <v>Fire // Ice</v>
      </c>
      <c r="G665">
        <f>SUMIFS(Colección!$L$2:$L$10001,Colección!$F$2:$F$10001,$F665,Colección!$M$2:$M$10001,"Compra")</f>
        <v>2.1883680217856449</v>
      </c>
      <c r="H665">
        <f>IF($G665=0,"",_xlfn.RANK.EQ($G665,$G$2:$G$2353,0)+COUNTIF($G$2:G665,$G665)-1)</f>
        <v>1317</v>
      </c>
    </row>
    <row r="666" spans="6:8" x14ac:dyDescent="0.25">
      <c r="F666" t="str">
        <f>"Fire Fist (OP03-018) (V.1)"</f>
        <v>Fire Fist (OP03-018) (V.1)</v>
      </c>
      <c r="G666">
        <f>SUMIFS(Colección!$L$2:$L$10001,Colección!$F$2:$F$10001,$F666,Colección!$M$2:$M$10001,"Compra")</f>
        <v>0.237984496124031</v>
      </c>
      <c r="H666">
        <f>IF($G666=0,"",_xlfn.RANK.EQ($G666,$G$2:$G$2353,0)+COUNTIF($G$2:G666,$G666)-1)</f>
        <v>2050</v>
      </c>
    </row>
    <row r="667" spans="6:8" x14ac:dyDescent="0.25">
      <c r="F667" t="str">
        <f>"Fire Fist (OP05-019)"</f>
        <v>Fire Fist (OP05-019)</v>
      </c>
      <c r="G667">
        <f>SUMIFS(Colección!$L$2:$L$10001,Colección!$F$2:$F$10001,$F667,Colección!$M$2:$M$10001,"Compra")</f>
        <v>0.35840262582056892</v>
      </c>
      <c r="H667">
        <f>IF($G667=0,"",_xlfn.RANK.EQ($G667,$G$2:$G$2353,0)+COUNTIF($G$2:G667,$G667)-1)</f>
        <v>1974</v>
      </c>
    </row>
    <row r="668" spans="6:8" x14ac:dyDescent="0.25">
      <c r="F668" t="str">
        <f>"Fire Magic"</f>
        <v>Fire Magic</v>
      </c>
      <c r="G668">
        <f>SUMIFS(Colección!$L$2:$L$10001,Colección!$F$2:$F$10001,$F668,Colección!$M$2:$M$10001,"Compra")</f>
        <v>3.4957813810455689</v>
      </c>
      <c r="H668">
        <f>IF($G668=0,"",_xlfn.RANK.EQ($G668,$G$2:$G$2353,0)+COUNTIF($G$2:G668,$G668)-1)</f>
        <v>1120</v>
      </c>
    </row>
    <row r="669" spans="6:8" x14ac:dyDescent="0.25">
      <c r="F669" t="str">
        <f>"Fire/Ice"</f>
        <v>Fire/Ice</v>
      </c>
      <c r="G669">
        <f>SUMIFS(Colección!$L$2:$L$10001,Colección!$F$2:$F$10001,$F669,Colección!$M$2:$M$10001,"Compra")</f>
        <v>12</v>
      </c>
      <c r="H669">
        <f>IF($G669=0,"",_xlfn.RANK.EQ($G669,$G$2:$G$2353,0)+COUNTIF($G$2:G669,$G669)-1)</f>
        <v>583</v>
      </c>
    </row>
    <row r="670" spans="6:8" x14ac:dyDescent="0.25">
      <c r="F670" t="str">
        <f>"Firebending Lesson"</f>
        <v>Firebending Lesson</v>
      </c>
      <c r="G670">
        <f>SUMIFS(Colección!$L$2:$L$10001,Colección!$F$2:$F$10001,$F670,Colección!$M$2:$M$10001,"Compra")</f>
        <v>0.58947368421052637</v>
      </c>
      <c r="H670">
        <f>IF($G670=0,"",_xlfn.RANK.EQ($G670,$G$2:$G$2353,0)+COUNTIF($G$2:G670,$G670)-1)</f>
        <v>1829</v>
      </c>
    </row>
    <row r="671" spans="6:8" x14ac:dyDescent="0.25">
      <c r="F671" t="str">
        <f>"First Mate"</f>
        <v>First Mate</v>
      </c>
      <c r="G671">
        <f>SUMIFS(Colección!$L$2:$L$10001,Colección!$F$2:$F$10001,$F671,Colección!$M$2:$M$10001,"Compra")</f>
        <v>3.8954545454545451</v>
      </c>
      <c r="H671">
        <f>IF($G671=0,"",_xlfn.RANK.EQ($G671,$G$2:$G$2353,0)+COUNTIF($G$2:G671,$G671)-1)</f>
        <v>1074</v>
      </c>
    </row>
    <row r="672" spans="6:8" x14ac:dyDescent="0.25">
      <c r="F672" t="str">
        <f>"Fish Token (Blue 1/1)"</f>
        <v>Fish Token (Blue 1/1)</v>
      </c>
      <c r="G672">
        <f>SUMIFS(Colección!$L$2:$L$10001,Colección!$F$2:$F$10001,$F672,Colección!$M$2:$M$10001,"Compra")</f>
        <v>4.1537499999999996</v>
      </c>
      <c r="H672">
        <f>IF($G672=0,"",_xlfn.RANK.EQ($G672,$G$2:$G$2353,0)+COUNTIF($G$2:G672,$G672)-1)</f>
        <v>1056</v>
      </c>
    </row>
    <row r="673" spans="6:8" x14ac:dyDescent="0.25">
      <c r="F673" t="str">
        <f>"Fizz, Trickster"</f>
        <v>Fizz, Trickster</v>
      </c>
      <c r="G673">
        <f>SUMIFS(Colección!$L$2:$L$10001,Colección!$F$2:$F$10001,$F673,Colección!$M$2:$M$10001,"Compra")</f>
        <v>4.0374819102749635</v>
      </c>
      <c r="H673">
        <f>IF($G673=0,"",_xlfn.RANK.EQ($G673,$G$2:$G$2353,0)+COUNTIF($G$2:G673,$G673)-1)</f>
        <v>1063</v>
      </c>
    </row>
    <row r="674" spans="6:8" x14ac:dyDescent="0.25">
      <c r="F674" t="str">
        <f>"Flagstones of Trokair [Playset]"</f>
        <v>Flagstones of Trokair [Playset]</v>
      </c>
      <c r="G674">
        <f>SUMIFS(Colección!$L$2:$L$10001,Colección!$F$2:$F$10001,$F674,Colección!$M$2:$M$10001,"Compra")</f>
        <v>17.22</v>
      </c>
      <c r="H674">
        <f>IF($G674=0,"",_xlfn.RANK.EQ($G674,$G$2:$G$2353,0)+COUNTIF($G$2:G674,$G674)-1)</f>
        <v>447</v>
      </c>
    </row>
    <row r="675" spans="6:8" x14ac:dyDescent="0.25">
      <c r="F675" t="str">
        <f>"Flame Blitz"</f>
        <v>Flame Blitz</v>
      </c>
      <c r="G675">
        <f>SUMIFS(Colección!$L$2:$L$10001,Colección!$F$2:$F$10001,$F675,Colección!$M$2:$M$10001,"Compra")</f>
        <v>0.42440214738897042</v>
      </c>
      <c r="H675">
        <f>IF($G675=0,"",_xlfn.RANK.EQ($G675,$G$2:$G$2353,0)+COUNTIF($G$2:G675,$G675)-1)</f>
        <v>1942</v>
      </c>
    </row>
    <row r="676" spans="6:8" x14ac:dyDescent="0.25">
      <c r="F676" t="str">
        <f>"Flame Discharge"</f>
        <v>Flame Discharge</v>
      </c>
      <c r="G676">
        <f>SUMIFS(Colección!$L$2:$L$10001,Colección!$F$2:$F$10001,$F676,Colección!$M$2:$M$10001,"Compra")</f>
        <v>0.21727513532189341</v>
      </c>
      <c r="H676">
        <f>IF($G676=0,"",_xlfn.RANK.EQ($G676,$G$2:$G$2353,0)+COUNTIF($G$2:G676,$G676)-1)</f>
        <v>2083</v>
      </c>
    </row>
    <row r="677" spans="6:8" x14ac:dyDescent="0.25">
      <c r="F677" t="str">
        <f>"Flame Emperor (OP03-016)"</f>
        <v>Flame Emperor (OP03-016)</v>
      </c>
      <c r="G677">
        <f>SUMIFS(Colección!$L$2:$L$10001,Colección!$F$2:$F$10001,$F677,Colección!$M$2:$M$10001,"Compra")</f>
        <v>0.52356589147286825</v>
      </c>
      <c r="H677">
        <f>IF($G677=0,"",_xlfn.RANK.EQ($G677,$G$2:$G$2353,0)+COUNTIF($G$2:G677,$G677)-1)</f>
        <v>1871</v>
      </c>
    </row>
    <row r="678" spans="6:8" x14ac:dyDescent="0.25">
      <c r="F678" t="str">
        <f>"Flame of Anor"</f>
        <v>Flame of Anor</v>
      </c>
      <c r="G678">
        <f>SUMIFS(Colección!$L$2:$L$10001,Colección!$F$2:$F$10001,$F678,Colección!$M$2:$M$10001,"Compra")</f>
        <v>47.770671018565011</v>
      </c>
      <c r="H678">
        <f>IF($G678=0,"",_xlfn.RANK.EQ($G678,$G$2:$G$2353,0)+COUNTIF($G$2:G678,$G678)-1)</f>
        <v>182</v>
      </c>
    </row>
    <row r="679" spans="6:8" x14ac:dyDescent="0.25">
      <c r="F679" t="str">
        <f>"Flamehold Grappler"</f>
        <v>Flamehold Grappler</v>
      </c>
      <c r="G679">
        <f>SUMIFS(Colección!$L$2:$L$10001,Colección!$F$2:$F$10001,$F679,Colección!$M$2:$M$10001,"Compra")</f>
        <v>1.8020432588685753</v>
      </c>
      <c r="H679">
        <f>IF($G679=0,"",_xlfn.RANK.EQ($G679,$G$2:$G$2353,0)+COUNTIF($G$2:G679,$G679)-1)</f>
        <v>1401</v>
      </c>
    </row>
    <row r="680" spans="6:8" x14ac:dyDescent="0.25">
      <c r="F680" t="str">
        <f>"Flapping Thread (OP04-037)"</f>
        <v>Flapping Thread (OP04-037)</v>
      </c>
      <c r="G680">
        <f>SUMIFS(Colección!$L$2:$L$10001,Colección!$F$2:$F$10001,$F680,Colección!$M$2:$M$10001,"Compra")</f>
        <v>2.5686746987951811E-2</v>
      </c>
      <c r="H680">
        <f>IF($G680=0,"",_xlfn.RANK.EQ($G680,$G$2:$G$2353,0)+COUNTIF($G$2:G680,$G680)-1)</f>
        <v>2346</v>
      </c>
    </row>
    <row r="681" spans="6:8" x14ac:dyDescent="0.25">
      <c r="F681" t="str">
        <f>"Flare of Denial (V.1)"</f>
        <v>Flare of Denial (V.1)</v>
      </c>
      <c r="G681">
        <f>SUMIFS(Colección!$L$2:$L$10001,Colección!$F$2:$F$10001,$F681,Colección!$M$2:$M$10001,"Compra")</f>
        <v>60.21</v>
      </c>
      <c r="H681">
        <f>IF($G681=0,"",_xlfn.RANK.EQ($G681,$G$2:$G$2353,0)+COUNTIF($G$2:G681,$G681)-1)</f>
        <v>142</v>
      </c>
    </row>
    <row r="682" spans="6:8" x14ac:dyDescent="0.25">
      <c r="F682" t="str">
        <f>"Flare of Duplication"</f>
        <v>Flare of Duplication</v>
      </c>
      <c r="G682">
        <f>SUMIFS(Colección!$L$2:$L$10001,Colección!$F$2:$F$10001,$F682,Colección!$M$2:$M$10001,"Compra")</f>
        <v>23.22</v>
      </c>
      <c r="H682">
        <f>IF($G682=0,"",_xlfn.RANK.EQ($G682,$G$2:$G$2353,0)+COUNTIF($G$2:G682,$G682)-1)</f>
        <v>337</v>
      </c>
    </row>
    <row r="683" spans="6:8" x14ac:dyDescent="0.25">
      <c r="F683" t="str">
        <f>"Flare of Fortitude (V.2)"</f>
        <v>Flare of Fortitude (V.2)</v>
      </c>
      <c r="G683">
        <f>SUMIFS(Colección!$L$2:$L$10001,Colección!$F$2:$F$10001,$F683,Colección!$M$2:$M$10001,"Compra")</f>
        <v>18.634375000000006</v>
      </c>
      <c r="H683">
        <f>IF($G683=0,"",_xlfn.RANK.EQ($G683,$G$2:$G$2353,0)+COUNTIF($G$2:G683,$G683)-1)</f>
        <v>423</v>
      </c>
    </row>
    <row r="684" spans="6:8" x14ac:dyDescent="0.25">
      <c r="F684" t="str">
        <f>"Flare of Malice"</f>
        <v>Flare of Malice</v>
      </c>
      <c r="G684">
        <f>SUMIFS(Colección!$L$2:$L$10001,Colección!$F$2:$F$10001,$F684,Colección!$M$2:$M$10001,"Compra")</f>
        <v>30.986784479446793</v>
      </c>
      <c r="H684">
        <f>IF($G684=0,"",_xlfn.RANK.EQ($G684,$G$2:$G$2353,0)+COUNTIF($G$2:G684,$G684)-1)</f>
        <v>271</v>
      </c>
    </row>
    <row r="685" spans="6:8" x14ac:dyDescent="0.25">
      <c r="F685" t="str">
        <f>"Flash"</f>
        <v>Flash</v>
      </c>
      <c r="G685">
        <f>SUMIFS(Colección!$L$2:$L$10001,Colección!$F$2:$F$10001,$F685,Colección!$M$2:$M$10001,"Compra")</f>
        <v>8.16</v>
      </c>
      <c r="H685">
        <f>IF($G685=0,"",_xlfn.RANK.EQ($G685,$G$2:$G$2353,0)+COUNTIF($G$2:G685,$G685)-1)</f>
        <v>741</v>
      </c>
    </row>
    <row r="686" spans="6:8" x14ac:dyDescent="0.25">
      <c r="F686" t="str">
        <f>"Flashfreeze"</f>
        <v>Flashfreeze</v>
      </c>
      <c r="G686">
        <f>SUMIFS(Colección!$L$2:$L$10001,Colección!$F$2:$F$10001,$F686,Colección!$M$2:$M$10001,"Compra")</f>
        <v>0.45368029739776961</v>
      </c>
      <c r="H686">
        <f>IF($G686=0,"",_xlfn.RANK.EQ($G686,$G$2:$G$2353,0)+COUNTIF($G$2:G686,$G686)-1)</f>
        <v>1913</v>
      </c>
    </row>
    <row r="687" spans="6:8" x14ac:dyDescent="0.25">
      <c r="F687" t="str">
        <f>"Flickerwisp"</f>
        <v>Flickerwisp</v>
      </c>
      <c r="G687">
        <f>SUMIFS(Colección!$L$2:$L$10001,Colección!$F$2:$F$10001,$F687,Colección!$M$2:$M$10001,"Compra")</f>
        <v>4.6492515253429252</v>
      </c>
      <c r="H687">
        <f>IF($G687=0,"",_xlfn.RANK.EQ($G687,$G$2:$G$2353,0)+COUNTIF($G$2:G687,$G687)-1)</f>
        <v>990</v>
      </c>
    </row>
    <row r="688" spans="6:8" x14ac:dyDescent="0.25">
      <c r="F688" t="str">
        <f>"Flitterwing Nuisance"</f>
        <v>Flitterwing Nuisance</v>
      </c>
      <c r="G688">
        <f>SUMIFS(Colección!$L$2:$L$10001,Colección!$F$2:$F$10001,$F688,Colección!$M$2:$M$10001,"Compra")</f>
        <v>4.1590909090909101</v>
      </c>
      <c r="H688">
        <f>IF($G688=0,"",_xlfn.RANK.EQ($G688,$G$2:$G$2353,0)+COUNTIF($G$2:G688,$G688)-1)</f>
        <v>1054</v>
      </c>
    </row>
    <row r="689" spans="6:8" x14ac:dyDescent="0.25">
      <c r="F689" t="str">
        <f>"Flooded Strand"</f>
        <v>Flooded Strand</v>
      </c>
      <c r="G689">
        <f>SUMIFS(Colección!$L$2:$L$10001,Colección!$F$2:$F$10001,$F689,Colección!$M$2:$M$10001,"Compra")</f>
        <v>393.35597593186452</v>
      </c>
      <c r="H689">
        <f>IF($G689=0,"",_xlfn.RANK.EQ($G689,$G$2:$G$2353,0)+COUNTIF($G$2:G689,$G689)-1)</f>
        <v>5</v>
      </c>
    </row>
    <row r="690" spans="6:8" x14ac:dyDescent="0.25">
      <c r="F690" t="str">
        <f>"Floodpits Drowner"</f>
        <v>Floodpits Drowner</v>
      </c>
      <c r="G690">
        <f>SUMIFS(Colección!$L$2:$L$10001,Colección!$F$2:$F$10001,$F690,Colección!$M$2:$M$10001,"Compra")</f>
        <v>11.781818181818183</v>
      </c>
      <c r="H690">
        <f>IF($G690=0,"",_xlfn.RANK.EQ($G690,$G$2:$G$2353,0)+COUNTIF($G$2:G690,$G690)-1)</f>
        <v>591</v>
      </c>
    </row>
    <row r="691" spans="6:8" x14ac:dyDescent="0.25">
      <c r="F691" t="str">
        <f>"Flow State"</f>
        <v>Flow State</v>
      </c>
      <c r="G691">
        <f>SUMIFS(Colección!$L$2:$L$10001,Colección!$F$2:$F$10001,$F691,Colección!$M$2:$M$10001,"Compra")</f>
        <v>21.37</v>
      </c>
      <c r="H691">
        <f>IF($G691=0,"",_xlfn.RANK.EQ($G691,$G$2:$G$2353,0)+COUNTIF($G$2:G691,$G691)-1)</f>
        <v>370</v>
      </c>
    </row>
    <row r="692" spans="6:8" x14ac:dyDescent="0.25">
      <c r="F692" t="str">
        <f>"Flowering of the White Tree"</f>
        <v>Flowering of the White Tree</v>
      </c>
      <c r="G692">
        <f>SUMIFS(Colección!$L$2:$L$10001,Colección!$F$2:$F$10001,$F692,Colección!$M$2:$M$10001,"Compra")</f>
        <v>3.4207692307692308</v>
      </c>
      <c r="H692">
        <f>IF($G692=0,"",_xlfn.RANK.EQ($G692,$G$2:$G$2353,0)+COUNTIF($G$2:G692,$G692)-1)</f>
        <v>1133</v>
      </c>
    </row>
    <row r="693" spans="6:8" x14ac:dyDescent="0.25">
      <c r="F693" t="str">
        <f>"Flusterstorm"</f>
        <v>Flusterstorm</v>
      </c>
      <c r="G693">
        <f>SUMIFS(Colección!$L$2:$L$10001,Colección!$F$2:$F$10001,$F693,Colección!$M$2:$M$10001,"Compra")</f>
        <v>24.15489361702128</v>
      </c>
      <c r="H693">
        <f>IF($G693=0,"",_xlfn.RANK.EQ($G693,$G$2:$G$2353,0)+COUNTIF($G$2:G693,$G693)-1)</f>
        <v>324</v>
      </c>
    </row>
    <row r="694" spans="6:8" x14ac:dyDescent="0.25">
      <c r="F694" t="str">
        <f>"Foil"</f>
        <v>Foil</v>
      </c>
      <c r="G694">
        <f>SUMIFS(Colección!$L$2:$L$10001,Colección!$F$2:$F$10001,$F694,Colección!$M$2:$M$10001,"Compra")</f>
        <v>3.977094972067039</v>
      </c>
      <c r="H694">
        <f>IF($G694=0,"",_xlfn.RANK.EQ($G694,$G$2:$G$2353,0)+COUNTIF($G$2:G694,$G694)-1)</f>
        <v>1067</v>
      </c>
    </row>
    <row r="695" spans="6:8" x14ac:dyDescent="0.25">
      <c r="F695" t="str">
        <f>"Food Token (V.1)"</f>
        <v>Food Token (V.1)</v>
      </c>
      <c r="G695">
        <f>SUMIFS(Colección!$L$2:$L$10001,Colección!$F$2:$F$10001,$F695,Colección!$M$2:$M$10001,"Compra")</f>
        <v>0.3508561643835616</v>
      </c>
      <c r="H695">
        <f>IF($G695=0,"",_xlfn.RANK.EQ($G695,$G$2:$G$2353,0)+COUNTIF($G$2:G695,$G695)-1)</f>
        <v>1981</v>
      </c>
    </row>
    <row r="696" spans="6:8" x14ac:dyDescent="0.25">
      <c r="F696" t="str">
        <f>"Food Token (V.2)"</f>
        <v>Food Token (V.2)</v>
      </c>
      <c r="G696">
        <f>SUMIFS(Colección!$L$2:$L$10001,Colección!$F$2:$F$10001,$F696,Colección!$M$2:$M$10001,"Compra")</f>
        <v>0.52408451084025454</v>
      </c>
      <c r="H696">
        <f>IF($G696=0,"",_xlfn.RANK.EQ($G696,$G$2:$G$2353,0)+COUNTIF($G$2:G696,$G696)-1)</f>
        <v>1870</v>
      </c>
    </row>
    <row r="697" spans="6:8" x14ac:dyDescent="0.25">
      <c r="F697" t="str">
        <f>"Food Token (V.3)"</f>
        <v>Food Token (V.3)</v>
      </c>
      <c r="G697">
        <f>SUMIFS(Colección!$L$2:$L$10001,Colección!$F$2:$F$10001,$F697,Colección!$M$2:$M$10001,"Compra")</f>
        <v>0.26063205101254289</v>
      </c>
      <c r="H697">
        <f>IF($G697=0,"",_xlfn.RANK.EQ($G697,$G$2:$G$2353,0)+COUNTIF($G$2:G697,$G697)-1)</f>
        <v>2044</v>
      </c>
    </row>
    <row r="698" spans="6:8" x14ac:dyDescent="0.25">
      <c r="F698" t="str">
        <f>"Foray of Orcs"</f>
        <v>Foray of Orcs</v>
      </c>
      <c r="G698">
        <f>SUMIFS(Colección!$L$2:$L$10001,Colección!$F$2:$F$10001,$F698,Colección!$M$2:$M$10001,"Compra")</f>
        <v>0.10215962441314549</v>
      </c>
      <c r="H698">
        <f>IF($G698=0,"",_xlfn.RANK.EQ($G698,$G$2:$G$2353,0)+COUNTIF($G$2:G698,$G698)-1)</f>
        <v>2161</v>
      </c>
    </row>
    <row r="699" spans="6:8" x14ac:dyDescent="0.25">
      <c r="F699" t="str">
        <f>"Force of Despair"</f>
        <v>Force of Despair</v>
      </c>
      <c r="G699">
        <f>SUMIFS(Colección!$L$2:$L$10001,Colección!$F$2:$F$10001,$F699,Colección!$M$2:$M$10001,"Compra")</f>
        <v>15.200000000000003</v>
      </c>
      <c r="H699">
        <f>IF($G699=0,"",_xlfn.RANK.EQ($G699,$G$2:$G$2353,0)+COUNTIF($G$2:G699,$G699)-1)</f>
        <v>497</v>
      </c>
    </row>
    <row r="700" spans="6:8" x14ac:dyDescent="0.25">
      <c r="F700" t="str">
        <f>"Force of Negation (V.1)"</f>
        <v>Force of Negation (V.1)</v>
      </c>
      <c r="G700">
        <f>SUMIFS(Colección!$L$2:$L$10001,Colección!$F$2:$F$10001,$F700,Colección!$M$2:$M$10001,"Compra")</f>
        <v>176.05</v>
      </c>
      <c r="H700">
        <f>IF($G700=0,"",_xlfn.RANK.EQ($G700,$G$2:$G$2353,0)+COUNTIF($G$2:G700,$G700)-1)</f>
        <v>26</v>
      </c>
    </row>
    <row r="701" spans="6:8" x14ac:dyDescent="0.25">
      <c r="F701" t="str">
        <f>"Force of Vigor"</f>
        <v>Force of Vigor</v>
      </c>
      <c r="G701">
        <f>SUMIFS(Colección!$L$2:$L$10001,Colección!$F$2:$F$10001,$F701,Colección!$M$2:$M$10001,"Compra")</f>
        <v>58.015774647887319</v>
      </c>
      <c r="H701">
        <f>IF($G701=0,"",_xlfn.RANK.EQ($G701,$G$2:$G$2353,0)+COUNTIF($G$2:G701,$G701)-1)</f>
        <v>147</v>
      </c>
    </row>
    <row r="702" spans="6:8" x14ac:dyDescent="0.25">
      <c r="F702" t="str">
        <f>"Force of Will"</f>
        <v>Force of Will</v>
      </c>
      <c r="G702">
        <f>SUMIFS(Colección!$L$2:$L$10001,Colección!$F$2:$F$10001,$F702,Colección!$M$2:$M$10001,"Compra")</f>
        <v>212.91</v>
      </c>
      <c r="H702">
        <f>IF($G702=0,"",_xlfn.RANK.EQ($G702,$G$2:$G$2353,0)+COUNTIF($G$2:G702,$G702)-1)</f>
        <v>19</v>
      </c>
    </row>
    <row r="703" spans="6:8" x14ac:dyDescent="0.25">
      <c r="F703" t="str">
        <f>"Forest"</f>
        <v>Forest</v>
      </c>
      <c r="G703">
        <f>SUMIFS(Colección!$L$2:$L$10001,Colección!$F$2:$F$10001,$F703,Colección!$M$2:$M$10001,"Compra")</f>
        <v>52.947575443047668</v>
      </c>
      <c r="H703">
        <f>IF($G703=0,"",_xlfn.RANK.EQ($G703,$G$2:$G$2353,0)+COUNTIF($G$2:G703,$G703)-1)</f>
        <v>164</v>
      </c>
    </row>
    <row r="704" spans="6:8" x14ac:dyDescent="0.25">
      <c r="F704" t="str">
        <f>"Forest (V.1)"</f>
        <v>Forest (V.1)</v>
      </c>
      <c r="G704">
        <f>SUMIFS(Colección!$L$2:$L$10001,Colección!$F$2:$F$10001,$F704,Colección!$M$2:$M$10001,"Compra")</f>
        <v>14.387126507546293</v>
      </c>
      <c r="H704">
        <f>IF($G704=0,"",_xlfn.RANK.EQ($G704,$G$2:$G$2353,0)+COUNTIF($G$2:G704,$G704)-1)</f>
        <v>517</v>
      </c>
    </row>
    <row r="705" spans="6:8" x14ac:dyDescent="0.25">
      <c r="F705" t="str">
        <f>"Forest (V.2)"</f>
        <v>Forest (V.2)</v>
      </c>
      <c r="G705">
        <f>SUMIFS(Colección!$L$2:$L$10001,Colección!$F$2:$F$10001,$F705,Colección!$M$2:$M$10001,"Compra")</f>
        <v>18.270321828914902</v>
      </c>
      <c r="H705">
        <f>IF($G705=0,"",_xlfn.RANK.EQ($G705,$G$2:$G$2353,0)+COUNTIF($G$2:G705,$G705)-1)</f>
        <v>428</v>
      </c>
    </row>
    <row r="706" spans="6:8" x14ac:dyDescent="0.25">
      <c r="F706" t="str">
        <f>"Forest (V.3)"</f>
        <v>Forest (V.3)</v>
      </c>
      <c r="G706">
        <f>SUMIFS(Colección!$L$2:$L$10001,Colección!$F$2:$F$10001,$F706,Colección!$M$2:$M$10001,"Compra")</f>
        <v>0.40184701492537322</v>
      </c>
      <c r="H706">
        <f>IF($G706=0,"",_xlfn.RANK.EQ($G706,$G$2:$G$2353,0)+COUNTIF($G$2:G706,$G706)-1)</f>
        <v>1963</v>
      </c>
    </row>
    <row r="707" spans="6:8" x14ac:dyDescent="0.25">
      <c r="F707" t="str">
        <f>"Forest (V.4)"</f>
        <v>Forest (V.4)</v>
      </c>
      <c r="G707">
        <f>SUMIFS(Colección!$L$2:$L$10001,Colección!$F$2:$F$10001,$F707,Colección!$M$2:$M$10001,"Compra")</f>
        <v>1.86740671641791</v>
      </c>
      <c r="H707">
        <f>IF($G707=0,"",_xlfn.RANK.EQ($G707,$G$2:$G$2353,0)+COUNTIF($G$2:G707,$G707)-1)</f>
        <v>1390</v>
      </c>
    </row>
    <row r="708" spans="6:8" x14ac:dyDescent="0.25">
      <c r="F708" t="str">
        <f>"Forge Anew"</f>
        <v>Forge Anew</v>
      </c>
      <c r="G708">
        <f>SUMIFS(Colección!$L$2:$L$10001,Colección!$F$2:$F$10001,$F708,Colección!$M$2:$M$10001,"Compra")</f>
        <v>17.658928571428575</v>
      </c>
      <c r="H708">
        <f>IF($G708=0,"",_xlfn.RANK.EQ($G708,$G$2:$G$2353,0)+COUNTIF($G$2:G708,$G708)-1)</f>
        <v>439</v>
      </c>
    </row>
    <row r="709" spans="6:8" x14ac:dyDescent="0.25">
      <c r="F709" t="str">
        <f>"Forge Devil"</f>
        <v>Forge Devil</v>
      </c>
      <c r="G709">
        <f>SUMIFS(Colección!$L$2:$L$10001,Colección!$F$2:$F$10001,$F709,Colección!$M$2:$M$10001,"Compra")</f>
        <v>0.17424657534246576</v>
      </c>
      <c r="H709">
        <f>IF($G709=0,"",_xlfn.RANK.EQ($G709,$G$2:$G$2353,0)+COUNTIF($G$2:G709,$G709)-1)</f>
        <v>2096</v>
      </c>
    </row>
    <row r="710" spans="6:8" x14ac:dyDescent="0.25">
      <c r="F710" t="str">
        <f>"Forgotten Cave"</f>
        <v>Forgotten Cave</v>
      </c>
      <c r="G710">
        <f>SUMIFS(Colección!$L$2:$L$10001,Colección!$F$2:$F$10001,$F710,Colección!$M$2:$M$10001,"Compra")</f>
        <v>0.42496248124062042</v>
      </c>
      <c r="H710">
        <f>IF($G710=0,"",_xlfn.RANK.EQ($G710,$G$2:$G$2353,0)+COUNTIF($G$2:G710,$G710)-1)</f>
        <v>1938</v>
      </c>
    </row>
    <row r="711" spans="6:8" x14ac:dyDescent="0.25">
      <c r="F711" t="str">
        <f>"Formidable Speaker"</f>
        <v>Formidable Speaker</v>
      </c>
      <c r="G711">
        <f>SUMIFS(Colección!$L$2:$L$10001,Colección!$F$2:$F$10001,$F711,Colección!$M$2:$M$10001,"Compra")</f>
        <v>26.270879107699692</v>
      </c>
      <c r="H711">
        <f>IF($G711=0,"",_xlfn.RANK.EQ($G711,$G$2:$G$2353,0)+COUNTIF($G$2:G711,$G711)-1)</f>
        <v>298</v>
      </c>
    </row>
    <row r="712" spans="6:8" x14ac:dyDescent="0.25">
      <c r="F712" t="str">
        <f>"Fossa (OP03-010)"</f>
        <v>Fossa (OP03-010)</v>
      </c>
      <c r="G712">
        <f>SUMIFS(Colección!$L$2:$L$10001,Colección!$F$2:$F$10001,$F712,Colección!$M$2:$M$10001,"Compra")</f>
        <v>0.1427906976744186</v>
      </c>
      <c r="H712">
        <f>IF($G712=0,"",_xlfn.RANK.EQ($G712,$G$2:$G$2353,0)+COUNTIF($G$2:G712,$G712)-1)</f>
        <v>2123</v>
      </c>
    </row>
    <row r="713" spans="6:8" x14ac:dyDescent="0.25">
      <c r="F713" t="str">
        <f>"Foundation Breaker"</f>
        <v>Foundation Breaker</v>
      </c>
      <c r="G713">
        <f>SUMIFS(Colección!$L$2:$L$10001,Colección!$F$2:$F$10001,$F713,Colección!$M$2:$M$10001,"Compra")</f>
        <v>1.606250341911736</v>
      </c>
      <c r="H713">
        <f>IF($G713=0,"",_xlfn.RANK.EQ($G713,$G$2:$G$2353,0)+COUNTIF($G$2:G713,$G713)-1)</f>
        <v>1461</v>
      </c>
    </row>
    <row r="714" spans="6:8" x14ac:dyDescent="0.25">
      <c r="F714" t="str">
        <f>"Foundry Street Denizen [Playset]"</f>
        <v>Foundry Street Denizen [Playset]</v>
      </c>
      <c r="G714">
        <f>SUMIFS(Colección!$L$2:$L$10001,Colección!$F$2:$F$10001,$F714,Colección!$M$2:$M$10001,"Compra")</f>
        <v>0.94927536231884058</v>
      </c>
      <c r="H714">
        <f>IF($G714=0,"",_xlfn.RANK.EQ($G714,$G$2:$G$2353,0)+COUNTIF($G$2:G714,$G714)-1)</f>
        <v>1675</v>
      </c>
    </row>
    <row r="715" spans="6:8" x14ac:dyDescent="0.25">
      <c r="F715" t="str">
        <f>"Fountainport"</f>
        <v>Fountainport</v>
      </c>
      <c r="G715">
        <f>SUMIFS(Colección!$L$2:$L$10001,Colección!$F$2:$F$10001,$F715,Colección!$M$2:$M$10001,"Compra")</f>
        <v>24.82</v>
      </c>
      <c r="H715">
        <f>IF($G715=0,"",_xlfn.RANK.EQ($G715,$G$2:$G$2353,0)+COUNTIF($G$2:G715,$G715)-1)</f>
        <v>316</v>
      </c>
    </row>
    <row r="716" spans="6:8" x14ac:dyDescent="0.25">
      <c r="F716" t="str">
        <f>"Four Thousand-Brick Fist (OP05-020)"</f>
        <v>Four Thousand-Brick Fist (OP05-020)</v>
      </c>
      <c r="G716">
        <f>SUMIFS(Colección!$L$2:$L$10001,Colección!$F$2:$F$10001,$F716,Colección!$M$2:$M$10001,"Compra")</f>
        <v>0.10824681684622919</v>
      </c>
      <c r="H716">
        <f>IF($G716=0,"",_xlfn.RANK.EQ($G716,$G$2:$G$2353,0)+COUNTIF($G$2:G716,$G716)-1)</f>
        <v>2158</v>
      </c>
    </row>
    <row r="717" spans="6:8" x14ac:dyDescent="0.25">
      <c r="F717" t="str">
        <f>"Fra-Nosuke (OP05-070)"</f>
        <v>Fra-Nosuke (OP05-070)</v>
      </c>
      <c r="G717">
        <f>SUMIFS(Colección!$L$2:$L$10001,Colección!$F$2:$F$10001,$F717,Colección!$M$2:$M$10001,"Compra")</f>
        <v>0.17377097009482129</v>
      </c>
      <c r="H717">
        <f>IF($G717=0,"",_xlfn.RANK.EQ($G717,$G$2:$G$2353,0)+COUNTIF($G$2:G717,$G717)-1)</f>
        <v>2097</v>
      </c>
    </row>
    <row r="718" spans="6:8" x14ac:dyDescent="0.25">
      <c r="F718" t="str">
        <f>"Fracture"</f>
        <v>Fracture</v>
      </c>
      <c r="G718">
        <f>SUMIFS(Colección!$L$2:$L$10001,Colección!$F$2:$F$10001,$F718,Colección!$M$2:$M$10001,"Compra")</f>
        <v>1.3402743142144635</v>
      </c>
      <c r="H718">
        <f>IF($G718=0,"",_xlfn.RANK.EQ($G718,$G$2:$G$2353,0)+COUNTIF($G$2:G718,$G718)-1)</f>
        <v>1523</v>
      </c>
    </row>
    <row r="719" spans="6:8" x14ac:dyDescent="0.25">
      <c r="F719" t="str">
        <f>"Fractured Sanity"</f>
        <v>Fractured Sanity</v>
      </c>
      <c r="G719">
        <f>SUMIFS(Colección!$L$2:$L$10001,Colección!$F$2:$F$10001,$F719,Colección!$M$2:$M$10001,"Compra")</f>
        <v>1.0909090909090911</v>
      </c>
      <c r="H719">
        <f>IF($G719=0,"",_xlfn.RANK.EQ($G719,$G$2:$G$2353,0)+COUNTIF($G$2:G719,$G719)-1)</f>
        <v>1612</v>
      </c>
    </row>
    <row r="720" spans="6:8" x14ac:dyDescent="0.25">
      <c r="F720" t="str">
        <f>"Franky (OP01-021) (V.1)"</f>
        <v>Franky (OP01-021) (V.1)</v>
      </c>
      <c r="G720">
        <f>SUMIFS(Colección!$L$2:$L$10001,Colección!$F$2:$F$10001,$F720,Colección!$M$2:$M$10001,"Compra")</f>
        <v>5.9496124031007763E-2</v>
      </c>
      <c r="H720">
        <f>IF($G720=0,"",_xlfn.RANK.EQ($G720,$G$2:$G$2353,0)+COUNTIF($G$2:G720,$G720)-1)</f>
        <v>2315</v>
      </c>
    </row>
    <row r="721" spans="6:8" x14ac:dyDescent="0.25">
      <c r="F721" t="str">
        <f>"Franky (OP04-063)"</f>
        <v>Franky (OP04-063)</v>
      </c>
      <c r="G721">
        <f>SUMIFS(Colección!$L$2:$L$10001,Colección!$F$2:$F$10001,$F721,Colección!$M$2:$M$10001,"Compra")</f>
        <v>9.2848101265822783E-2</v>
      </c>
      <c r="H721">
        <f>IF($G721=0,"",_xlfn.RANK.EQ($G721,$G$2:$G$2353,0)+COUNTIF($G$2:G721,$G721)-1)</f>
        <v>2212</v>
      </c>
    </row>
    <row r="722" spans="6:8" x14ac:dyDescent="0.25">
      <c r="F722" t="str">
        <f>"Frantic Inventory"</f>
        <v>Frantic Inventory</v>
      </c>
      <c r="G722">
        <f>SUMIFS(Colección!$L$2:$L$10001,Colección!$F$2:$F$10001,$F722,Colección!$M$2:$M$10001,"Compra")</f>
        <v>0.63744372186093035</v>
      </c>
      <c r="H722">
        <f>IF($G722=0,"",_xlfn.RANK.EQ($G722,$G$2:$G$2353,0)+COUNTIF($G$2:G722,$G722)-1)</f>
        <v>1803</v>
      </c>
    </row>
    <row r="723" spans="6:8" x14ac:dyDescent="0.25">
      <c r="F723" t="str">
        <f>"Frantic Search"</f>
        <v>Frantic Search</v>
      </c>
      <c r="G723">
        <f>SUMIFS(Colección!$L$2:$L$10001,Colección!$F$2:$F$10001,$F723,Colección!$M$2:$M$10001,"Compra")</f>
        <v>4.4436363636363643</v>
      </c>
      <c r="H723">
        <f>IF($G723=0,"",_xlfn.RANK.EQ($G723,$G$2:$G$2353,0)+COUNTIF($G$2:G723,$G723)-1)</f>
        <v>1006</v>
      </c>
    </row>
    <row r="724" spans="6:8" x14ac:dyDescent="0.25">
      <c r="F724" t="str">
        <f>"Freestrider Lookout"</f>
        <v>Freestrider Lookout</v>
      </c>
      <c r="G724">
        <f>SUMIFS(Colección!$L$2:$L$10001,Colección!$F$2:$F$10001,$F724,Colección!$M$2:$M$10001,"Compra")</f>
        <v>1.702492596248766</v>
      </c>
      <c r="H724">
        <f>IF($G724=0,"",_xlfn.RANK.EQ($G724,$G$2:$G$2353,0)+COUNTIF($G$2:G724,$G724)-1)</f>
        <v>1428</v>
      </c>
    </row>
    <row r="725" spans="6:8" x14ac:dyDescent="0.25">
      <c r="F725" t="str">
        <f>"Frodo Baggins"</f>
        <v>Frodo Baggins</v>
      </c>
      <c r="G725">
        <f>SUMIFS(Colección!$L$2:$L$10001,Colección!$F$2:$F$10001,$F725,Colección!$M$2:$M$10001,"Compra")</f>
        <v>2.001829268292683</v>
      </c>
      <c r="H725">
        <f>IF($G725=0,"",_xlfn.RANK.EQ($G725,$G$2:$G$2353,0)+COUNTIF($G$2:G725,$G725)-1)</f>
        <v>1371</v>
      </c>
    </row>
    <row r="726" spans="6:8" x14ac:dyDescent="0.25">
      <c r="F726" t="str">
        <f>"Frodo Baggins (V.1)"</f>
        <v>Frodo Baggins (V.1)</v>
      </c>
      <c r="G726">
        <f>SUMIFS(Colección!$L$2:$L$10001,Colección!$F$2:$F$10001,$F726,Colección!$M$2:$M$10001,"Compra")</f>
        <v>0.13424408014571951</v>
      </c>
      <c r="H726">
        <f>IF($G726=0,"",_xlfn.RANK.EQ($G726,$G$2:$G$2353,0)+COUNTIF($G$2:G726,$G726)-1)</f>
        <v>2139</v>
      </c>
    </row>
    <row r="727" spans="6:8" x14ac:dyDescent="0.25">
      <c r="F727" t="str">
        <f>"Frodo, Sauron's Bane"</f>
        <v>Frodo, Sauron's Bane</v>
      </c>
      <c r="G727">
        <f>SUMIFS(Colección!$L$2:$L$10001,Colección!$F$2:$F$10001,$F727,Colección!$M$2:$M$10001,"Compra")</f>
        <v>0.27977667493796532</v>
      </c>
      <c r="H727">
        <f>IF($G727=0,"",_xlfn.RANK.EQ($G727,$G$2:$G$2353,0)+COUNTIF($G$2:G727,$G727)-1)</f>
        <v>2019</v>
      </c>
    </row>
    <row r="728" spans="6:8" x14ac:dyDescent="0.25">
      <c r="F728" t="str">
        <f>"Frodo, Sauron's Bane (V.1)"</f>
        <v>Frodo, Sauron's Bane (V.1)</v>
      </c>
      <c r="G728">
        <f>SUMIFS(Colección!$L$2:$L$10001,Colección!$F$2:$F$10001,$F728,Colección!$M$2:$M$10001,"Compra")</f>
        <v>1.2752650176678451</v>
      </c>
      <c r="H728">
        <f>IF($G728=0,"",_xlfn.RANK.EQ($G728,$G$2:$G$2353,0)+COUNTIF($G$2:G728,$G728)-1)</f>
        <v>1550</v>
      </c>
    </row>
    <row r="729" spans="6:8" x14ac:dyDescent="0.25">
      <c r="F729" t="str">
        <f>"Frogmite"</f>
        <v>Frogmite</v>
      </c>
      <c r="G729">
        <f>SUMIFS(Colección!$L$2:$L$10001,Colección!$F$2:$F$10001,$F729,Colección!$M$2:$M$10001,"Compra")</f>
        <v>0.87830687830687837</v>
      </c>
      <c r="H729">
        <f>IF($G729=0,"",_xlfn.RANK.EQ($G729,$G$2:$G$2353,0)+COUNTIF($G$2:G729,$G729)-1)</f>
        <v>1689</v>
      </c>
    </row>
    <row r="730" spans="6:8" x14ac:dyDescent="0.25">
      <c r="F730" t="str">
        <f>"Frontline Rush"</f>
        <v>Frontline Rush</v>
      </c>
      <c r="G730">
        <f>SUMIFS(Colección!$L$2:$L$10001,Colección!$F$2:$F$10001,$F730,Colección!$M$2:$M$10001,"Compra")</f>
        <v>1.08</v>
      </c>
      <c r="H730">
        <f>IF($G730=0,"",_xlfn.RANK.EQ($G730,$G$2:$G$2353,0)+COUNTIF($G$2:G730,$G730)-1)</f>
        <v>1613</v>
      </c>
    </row>
    <row r="731" spans="6:8" x14ac:dyDescent="0.25">
      <c r="F731" t="str">
        <f>"Fukurou (OP03-088)"</f>
        <v>Fukurou (OP03-088)</v>
      </c>
      <c r="G731">
        <f>SUMIFS(Colección!$L$2:$L$10001,Colección!$F$2:$F$10001,$F731,Colección!$M$2:$M$10001,"Compra")</f>
        <v>0.22608527131782949</v>
      </c>
      <c r="H731">
        <f>IF($G731=0,"",_xlfn.RANK.EQ($G731,$G$2:$G$2353,0)+COUNTIF($G$2:G731,$G731)-1)</f>
        <v>2061</v>
      </c>
    </row>
    <row r="732" spans="6:8" x14ac:dyDescent="0.25">
      <c r="F732" t="str">
        <f>"Fulminator Mage"</f>
        <v>Fulminator Mage</v>
      </c>
      <c r="G732">
        <f>SUMIFS(Colección!$L$2:$L$10001,Colección!$F$2:$F$10001,$F732,Colección!$M$2:$M$10001,"Compra")</f>
        <v>0.77180349932705239</v>
      </c>
      <c r="H732">
        <f>IF($G732=0,"",_xlfn.RANK.EQ($G732,$G$2:$G$2353,0)+COUNTIF($G$2:G732,$G732)-1)</f>
        <v>1736</v>
      </c>
    </row>
    <row r="733" spans="6:8" x14ac:dyDescent="0.25">
      <c r="F733" t="str">
        <f>"Fury [Playset]"</f>
        <v>Fury [Playset]</v>
      </c>
      <c r="G733">
        <f>SUMIFS(Colección!$L$2:$L$10001,Colección!$F$2:$F$10001,$F733,Colección!$M$2:$M$10001,"Compra")</f>
        <v>223.7</v>
      </c>
      <c r="H733">
        <f>IF($G733=0,"",_xlfn.RANK.EQ($G733,$G$2:$G$2353,0)+COUNTIF($G$2:G733,$G733)-1)</f>
        <v>17</v>
      </c>
    </row>
    <row r="734" spans="6:8" x14ac:dyDescent="0.25">
      <c r="F734" t="str">
        <f>"Gaddock Teeg"</f>
        <v>Gaddock Teeg</v>
      </c>
      <c r="G734">
        <f>SUMIFS(Colección!$L$2:$L$10001,Colección!$F$2:$F$10001,$F734,Colección!$M$2:$M$10001,"Compra")</f>
        <v>5.8054891304347818</v>
      </c>
      <c r="H734">
        <f>IF($G734=0,"",_xlfn.RANK.EQ($G734,$G$2:$G$2353,0)+COUNTIF($G$2:G734,$G734)-1)</f>
        <v>903</v>
      </c>
    </row>
    <row r="735" spans="6:8" x14ac:dyDescent="0.25">
      <c r="F735" t="str">
        <f>"Gaea's Blessing"</f>
        <v>Gaea's Blessing</v>
      </c>
      <c r="G735">
        <f>SUMIFS(Colección!$L$2:$L$10001,Colección!$F$2:$F$10001,$F735,Colección!$M$2:$M$10001,"Compra")</f>
        <v>3.8481818181818181</v>
      </c>
      <c r="H735">
        <f>IF($G735=0,"",_xlfn.RANK.EQ($G735,$G$2:$G$2353,0)+COUNTIF($G$2:G735,$G735)-1)</f>
        <v>1076</v>
      </c>
    </row>
    <row r="736" spans="6:8" x14ac:dyDescent="0.25">
      <c r="F736" t="str">
        <f>"Gaimon (OP03-043)"</f>
        <v>Gaimon (OP03-043)</v>
      </c>
      <c r="G736">
        <f>SUMIFS(Colección!$L$2:$L$10001,Colección!$F$2:$F$10001,$F736,Colección!$M$2:$M$10001,"Compra")</f>
        <v>9.5193798449612399E-2</v>
      </c>
      <c r="H736">
        <f>IF($G736=0,"",_xlfn.RANK.EQ($G736,$G$2:$G$2353,0)+COUNTIF($G$2:G736,$G736)-1)</f>
        <v>2171</v>
      </c>
    </row>
    <row r="737" spans="6:8" x14ac:dyDescent="0.25">
      <c r="F737" t="str">
        <f>"Galadriel of Lothlórien"</f>
        <v>Galadriel of Lothlórien</v>
      </c>
      <c r="G737">
        <f>SUMIFS(Colección!$L$2:$L$10001,Colección!$F$2:$F$10001,$F737,Colección!$M$2:$M$10001,"Compra")</f>
        <v>0.33561020036429873</v>
      </c>
      <c r="H737">
        <f>IF($G737=0,"",_xlfn.RANK.EQ($G737,$G$2:$G$2353,0)+COUNTIF($G$2:G737,$G737)-1)</f>
        <v>1987</v>
      </c>
    </row>
    <row r="738" spans="6:8" x14ac:dyDescent="0.25">
      <c r="F738" t="str">
        <f>"Galadriel of Lothlórien (V.1)"</f>
        <v>Galadriel of Lothlórien (V.1)</v>
      </c>
      <c r="G738">
        <f>SUMIFS(Colección!$L$2:$L$10001,Colección!$F$2:$F$10001,$F738,Colección!$M$2:$M$10001,"Compra")</f>
        <v>1.0390361445783129</v>
      </c>
      <c r="H738">
        <f>IF($G738=0,"",_xlfn.RANK.EQ($G738,$G$2:$G$2353,0)+COUNTIF($G$2:G738,$G738)-1)</f>
        <v>1640</v>
      </c>
    </row>
    <row r="739" spans="6:8" x14ac:dyDescent="0.25">
      <c r="F739" t="str">
        <f>"Galadriel of Lothlórien (V.2)"</f>
        <v>Galadriel of Lothlórien (V.2)</v>
      </c>
      <c r="G739">
        <f>SUMIFS(Colección!$L$2:$L$10001,Colección!$F$2:$F$10001,$F739,Colección!$M$2:$M$10001,"Compra")</f>
        <v>3.139379310344828</v>
      </c>
      <c r="H739">
        <f>IF($G739=0,"",_xlfn.RANK.EQ($G739,$G$2:$G$2353,0)+COUNTIF($G$2:G739,$G739)-1)</f>
        <v>1184</v>
      </c>
    </row>
    <row r="740" spans="6:8" x14ac:dyDescent="0.25">
      <c r="F740" t="str">
        <f>"Galley-La Company (OP03-075)"</f>
        <v>Galley-La Company (OP03-075)</v>
      </c>
      <c r="G740">
        <f>SUMIFS(Colección!$L$2:$L$10001,Colección!$F$2:$F$10001,$F740,Colección!$M$2:$M$10001,"Compra")</f>
        <v>9.5193798449612399E-2</v>
      </c>
      <c r="H740">
        <f>IF($G740=0,"",_xlfn.RANK.EQ($G740,$G$2:$G$2353,0)+COUNTIF($G$2:G740,$G740)-1)</f>
        <v>2172</v>
      </c>
    </row>
    <row r="741" spans="6:8" x14ac:dyDescent="0.25">
      <c r="F741" t="str">
        <f>"Galvanic Blast"</f>
        <v>Galvanic Blast</v>
      </c>
      <c r="G741">
        <f>SUMIFS(Colección!$L$2:$L$10001,Colección!$F$2:$F$10001,$F741,Colección!$M$2:$M$10001,"Compra")</f>
        <v>16.553265765765765</v>
      </c>
      <c r="H741">
        <f>IF($G741=0,"",_xlfn.RANK.EQ($G741,$G$2:$G$2353,0)+COUNTIF($G$2:G741,$G741)-1)</f>
        <v>467</v>
      </c>
    </row>
    <row r="742" spans="6:8" x14ac:dyDescent="0.25">
      <c r="F742" t="str">
        <f>"Galvanic Discharge"</f>
        <v>Galvanic Discharge</v>
      </c>
      <c r="G742">
        <f>SUMIFS(Colección!$L$2:$L$10001,Colección!$F$2:$F$10001,$F742,Colección!$M$2:$M$10001,"Compra")</f>
        <v>19.009962583587033</v>
      </c>
      <c r="H742">
        <f>IF($G742=0,"",_xlfn.RANK.EQ($G742,$G$2:$G$2353,0)+COUNTIF($G$2:G742,$G742)-1)</f>
        <v>417</v>
      </c>
    </row>
    <row r="743" spans="6:8" x14ac:dyDescent="0.25">
      <c r="F743" t="str">
        <f>"Gamegenic Playmat Tube"</f>
        <v>Gamegenic Playmat Tube</v>
      </c>
      <c r="G743">
        <f>SUMIFS(Colección!$L$2:$L$10001,Colección!$F$2:$F$10001,$F743,Colección!$M$2:$M$10001,"Compra")</f>
        <v>13.95</v>
      </c>
      <c r="H743">
        <f>IF($G743=0,"",_xlfn.RANK.EQ($G743,$G$2:$G$2353,0)+COUNTIF($G$2:G743,$G743)-1)</f>
        <v>528</v>
      </c>
    </row>
    <row r="744" spans="6:8" x14ac:dyDescent="0.25">
      <c r="F744" t="str">
        <f>"Gamma Knife (OP05-077)"</f>
        <v>Gamma Knife (OP05-077)</v>
      </c>
      <c r="G744">
        <f>SUMIFS(Colección!$L$2:$L$10001,Colección!$F$2:$F$10001,$F744,Colección!$M$2:$M$10001,"Compra")</f>
        <v>0.10824681684622919</v>
      </c>
      <c r="H744">
        <f>IF($G744=0,"",_xlfn.RANK.EQ($G744,$G$2:$G$2353,0)+COUNTIF($G$2:G744,$G744)-1)</f>
        <v>2159</v>
      </c>
    </row>
    <row r="745" spans="6:8" x14ac:dyDescent="0.25">
      <c r="F745" t="str">
        <f>"Gandalf the Grey"</f>
        <v>Gandalf the Grey</v>
      </c>
      <c r="G745">
        <f>SUMIFS(Colección!$L$2:$L$10001,Colección!$F$2:$F$10001,$F745,Colección!$M$2:$M$10001,"Compra")</f>
        <v>0.7537463762538803</v>
      </c>
      <c r="H745">
        <f>IF($G745=0,"",_xlfn.RANK.EQ($G745,$G$2:$G$2353,0)+COUNTIF($G$2:G745,$G745)-1)</f>
        <v>1742</v>
      </c>
    </row>
    <row r="746" spans="6:8" x14ac:dyDescent="0.25">
      <c r="F746" t="str">
        <f>"Gandalf the White"</f>
        <v>Gandalf the White</v>
      </c>
      <c r="G746">
        <f>SUMIFS(Colección!$L$2:$L$10001,Colección!$F$2:$F$10001,$F746,Colección!$M$2:$M$10001,"Compra")</f>
        <v>6.3521004098360656</v>
      </c>
      <c r="H746">
        <f>IF($G746=0,"",_xlfn.RANK.EQ($G746,$G$2:$G$2353,0)+COUNTIF($G$2:G746,$G746)-1)</f>
        <v>863</v>
      </c>
    </row>
    <row r="747" spans="6:8" x14ac:dyDescent="0.25">
      <c r="F747" t="str">
        <f>"Gandalf the White (V.1)"</f>
        <v>Gandalf the White (V.1)</v>
      </c>
      <c r="G747">
        <f>SUMIFS(Colección!$L$2:$L$10001,Colección!$F$2:$F$10001,$F747,Colección!$M$2:$M$10001,"Compra")</f>
        <v>9.6921794871794873</v>
      </c>
      <c r="H747">
        <f>IF($G747=0,"",_xlfn.RANK.EQ($G747,$G$2:$G$2353,0)+COUNTIF($G$2:G747,$G747)-1)</f>
        <v>675</v>
      </c>
    </row>
    <row r="748" spans="6:8" x14ac:dyDescent="0.25">
      <c r="F748" t="str">
        <f>"Gandalf the White (V.2)"</f>
        <v>Gandalf the White (V.2)</v>
      </c>
      <c r="G748">
        <f>SUMIFS(Colección!$L$2:$L$10001,Colección!$F$2:$F$10001,$F748,Colección!$M$2:$M$10001,"Compra")</f>
        <v>14.09812027890761</v>
      </c>
      <c r="H748">
        <f>IF($G748=0,"",_xlfn.RANK.EQ($G748,$G$2:$G$2353,0)+COUNTIF($G$2:G748,$G748)-1)</f>
        <v>526</v>
      </c>
    </row>
    <row r="749" spans="6:8" x14ac:dyDescent="0.25">
      <c r="F749" t="str">
        <f>"Gandalf, Friend of the Shire"</f>
        <v>Gandalf, Friend of the Shire</v>
      </c>
      <c r="G749">
        <f>SUMIFS(Colección!$L$2:$L$10001,Colección!$F$2:$F$10001,$F749,Colección!$M$2:$M$10001,"Compra")</f>
        <v>2.8025609756097558</v>
      </c>
      <c r="H749">
        <f>IF($G749=0,"",_xlfn.RANK.EQ($G749,$G$2:$G$2353,0)+COUNTIF($G$2:G749,$G749)-1)</f>
        <v>1214</v>
      </c>
    </row>
    <row r="750" spans="6:8" x14ac:dyDescent="0.25">
      <c r="F750" t="str">
        <f>"Gandalf, Friend of the Shire (V.1)"</f>
        <v>Gandalf, Friend of the Shire (V.1)</v>
      </c>
      <c r="G750">
        <f>SUMIFS(Colección!$L$2:$L$10001,Colección!$F$2:$F$10001,$F750,Colección!$M$2:$M$10001,"Compra")</f>
        <v>0.13424408014571951</v>
      </c>
      <c r="H750">
        <f>IF($G750=0,"",_xlfn.RANK.EQ($G750,$G$2:$G$2353,0)+COUNTIF($G$2:G750,$G750)-1)</f>
        <v>2140</v>
      </c>
    </row>
    <row r="751" spans="6:8" x14ac:dyDescent="0.25">
      <c r="F751" t="str">
        <f>"Gas Guzzler"</f>
        <v>Gas Guzzler</v>
      </c>
      <c r="G751">
        <f>SUMIFS(Colección!$L$2:$L$10001,Colección!$F$2:$F$10001,$F751,Colección!$M$2:$M$10001,"Compra")</f>
        <v>2.9668571428571426</v>
      </c>
      <c r="H751">
        <f>IF($G751=0,"",_xlfn.RANK.EQ($G751,$G$2:$G$2353,0)+COUNTIF($G$2:G751,$G751)-1)</f>
        <v>1199</v>
      </c>
    </row>
    <row r="752" spans="6:8" x14ac:dyDescent="0.25">
      <c r="F752" t="str">
        <f>"Gedatsu (OP05-102) (V.1)"</f>
        <v>Gedatsu (OP05-102) (V.1)</v>
      </c>
      <c r="G752">
        <f>SUMIFS(Colección!$L$2:$L$10001,Colección!$F$2:$F$10001,$F752,Colección!$M$2:$M$10001,"Compra")</f>
        <v>0.81185112634671885</v>
      </c>
      <c r="H752">
        <f>IF($G752=0,"",_xlfn.RANK.EQ($G752,$G$2:$G$2353,0)+COUNTIF($G$2:G752,$G752)-1)</f>
        <v>1719</v>
      </c>
    </row>
    <row r="753" spans="6:8" x14ac:dyDescent="0.25">
      <c r="F753" t="str">
        <f>"Geier Reach Sanitarium"</f>
        <v>Geier Reach Sanitarium</v>
      </c>
      <c r="G753">
        <f>SUMIFS(Colección!$L$2:$L$10001,Colección!$F$2:$F$10001,$F753,Colección!$M$2:$M$10001,"Compra")</f>
        <v>0.80419354838709678</v>
      </c>
      <c r="H753">
        <f>IF($G753=0,"",_xlfn.RANK.EQ($G753,$G$2:$G$2353,0)+COUNTIF($G$2:G753,$G753)-1)</f>
        <v>1721</v>
      </c>
    </row>
    <row r="754" spans="6:8" x14ac:dyDescent="0.25">
      <c r="F754" t="str">
        <f>"Geist of Saint Traft"</f>
        <v>Geist of Saint Traft</v>
      </c>
      <c r="G754">
        <f>SUMIFS(Colección!$L$2:$L$10001,Colección!$F$2:$F$10001,$F754,Colección!$M$2:$M$10001,"Compra")</f>
        <v>9.5657328252137184</v>
      </c>
      <c r="H754">
        <f>IF($G754=0,"",_xlfn.RANK.EQ($G754,$G$2:$G$2353,0)+COUNTIF($G$2:G754,$G754)-1)</f>
        <v>681</v>
      </c>
    </row>
    <row r="755" spans="6:8" x14ac:dyDescent="0.25">
      <c r="F755" t="str">
        <f>"Gempalm Incinerator"</f>
        <v>Gempalm Incinerator</v>
      </c>
      <c r="G755">
        <f>SUMIFS(Colección!$L$2:$L$10001,Colección!$F$2:$F$10001,$F755,Colección!$M$2:$M$10001,"Compra")</f>
        <v>4.4695513151108841</v>
      </c>
      <c r="H755">
        <f>IF($G755=0,"",_xlfn.RANK.EQ($G755,$G$2:$G$2353,0)+COUNTIF($G$2:G755,$G755)-1)</f>
        <v>1004</v>
      </c>
    </row>
    <row r="756" spans="6:8" x14ac:dyDescent="0.25">
      <c r="F756" t="str">
        <f>"Gemstone Caverns"</f>
        <v>Gemstone Caverns</v>
      </c>
      <c r="G756">
        <f>SUMIFS(Colección!$L$2:$L$10001,Colección!$F$2:$F$10001,$F756,Colección!$M$2:$M$10001,"Compra")</f>
        <v>44.28</v>
      </c>
      <c r="H756">
        <f>IF($G756=0,"",_xlfn.RANK.EQ($G756,$G$2:$G$2353,0)+COUNTIF($G$2:G756,$G756)-1)</f>
        <v>192</v>
      </c>
    </row>
    <row r="757" spans="6:8" x14ac:dyDescent="0.25">
      <c r="F757" t="str">
        <f>"Gemstone Mine (V.2)"</f>
        <v>Gemstone Mine (V.2)</v>
      </c>
      <c r="G757">
        <f>SUMIFS(Colección!$L$2:$L$10001,Colección!$F$2:$F$10001,$F757,Colección!$M$2:$M$10001,"Compra")</f>
        <v>9.9845728643216081</v>
      </c>
      <c r="H757">
        <f>IF($G757=0,"",_xlfn.RANK.EQ($G757,$G$2:$G$2353,0)+COUNTIF($G$2:G757,$G757)-1)</f>
        <v>666</v>
      </c>
    </row>
    <row r="758" spans="6:8" x14ac:dyDescent="0.25">
      <c r="F758" t="str">
        <f>"General Ferrous Rokiric"</f>
        <v>General Ferrous Rokiric</v>
      </c>
      <c r="G758">
        <f>SUMIFS(Colección!$L$2:$L$10001,Colección!$F$2:$F$10001,$F758,Colección!$M$2:$M$10001,"Compra")</f>
        <v>1.7074811256005489</v>
      </c>
      <c r="H758">
        <f>IF($G758=0,"",_xlfn.RANK.EQ($G758,$G$2:$G$2353,0)+COUNTIF($G$2:G758,$G758)-1)</f>
        <v>1425</v>
      </c>
    </row>
    <row r="759" spans="6:8" x14ac:dyDescent="0.25">
      <c r="F759" t="str">
        <f>"Generous Ent"</f>
        <v>Generous Ent</v>
      </c>
      <c r="G759">
        <f>SUMIFS(Colección!$L$2:$L$10001,Colección!$F$2:$F$10001,$F759,Colección!$M$2:$M$10001,"Compra")</f>
        <v>0.84000000000000008</v>
      </c>
      <c r="H759">
        <f>IF($G759=0,"",_xlfn.RANK.EQ($G759,$G$2:$G$2353,0)+COUNTIF($G$2:G759,$G759)-1)</f>
        <v>1706</v>
      </c>
    </row>
    <row r="760" spans="6:8" x14ac:dyDescent="0.25">
      <c r="F760" t="str">
        <f>"Genzo (OP03-046)"</f>
        <v>Genzo (OP03-046)</v>
      </c>
      <c r="G760">
        <f>SUMIFS(Colección!$L$2:$L$10001,Colección!$F$2:$F$10001,$F760,Colección!$M$2:$M$10001,"Compra")</f>
        <v>9.5193798449612399E-2</v>
      </c>
      <c r="H760">
        <f>IF($G760=0,"",_xlfn.RANK.EQ($G760,$G$2:$G$2353,0)+COUNTIF($G$2:G760,$G760)-1)</f>
        <v>2173</v>
      </c>
    </row>
    <row r="761" spans="6:8" x14ac:dyDescent="0.25">
      <c r="F761" t="str">
        <f>"Geralf's Messenger [Playset]"</f>
        <v>Geralf's Messenger [Playset]</v>
      </c>
      <c r="G761">
        <f>SUMIFS(Colección!$L$2:$L$10001,Colección!$F$2:$F$10001,$F761,Colección!$M$2:$M$10001,"Compra")</f>
        <v>15.22</v>
      </c>
      <c r="H761">
        <f>IF($G761=0,"",_xlfn.RANK.EQ($G761,$G$2:$G$2353,0)+COUNTIF($G$2:G761,$G761)-1)</f>
        <v>496</v>
      </c>
    </row>
    <row r="762" spans="6:8" x14ac:dyDescent="0.25">
      <c r="F762" t="str">
        <f>"Geralf, the Fleshwright"</f>
        <v>Geralf, the Fleshwright</v>
      </c>
      <c r="G762">
        <f>SUMIFS(Colección!$L$2:$L$10001,Colección!$F$2:$F$10001,$F762,Colección!$M$2:$M$10001,"Compra")</f>
        <v>5.2148309178743961</v>
      </c>
      <c r="H762">
        <f>IF($G762=0,"",_xlfn.RANK.EQ($G762,$G$2:$G$2353,0)+COUNTIF($G$2:G762,$G762)-1)</f>
        <v>954</v>
      </c>
    </row>
    <row r="763" spans="6:8" x14ac:dyDescent="0.25">
      <c r="F763" t="str">
        <f>"Germ Token (Black 0/0)"</f>
        <v>Germ Token (Black 0/0)</v>
      </c>
      <c r="G763">
        <f>SUMIFS(Colección!$L$2:$L$10001,Colección!$F$2:$F$10001,$F763,Colección!$M$2:$M$10001,"Compra")</f>
        <v>0.43269724556489259</v>
      </c>
      <c r="H763">
        <f>IF($G763=0,"",_xlfn.RANK.EQ($G763,$G$2:$G$2353,0)+COUNTIF($G$2:G763,$G763)-1)</f>
        <v>1930</v>
      </c>
    </row>
    <row r="764" spans="6:8" x14ac:dyDescent="0.25">
      <c r="F764" t="str">
        <f>"Gerrard's Verdict"</f>
        <v>Gerrard's Verdict</v>
      </c>
      <c r="G764">
        <f>SUMIFS(Colección!$L$2:$L$10001,Colección!$F$2:$F$10001,$F764,Colección!$M$2:$M$10001,"Compra")</f>
        <v>10</v>
      </c>
      <c r="H764">
        <f>IF($G764=0,"",_xlfn.RANK.EQ($G764,$G$2:$G$2353,0)+COUNTIF($G$2:G764,$G764)-1)</f>
        <v>664</v>
      </c>
    </row>
    <row r="765" spans="6:8" x14ac:dyDescent="0.25">
      <c r="F765" t="str">
        <f>"Get Out"</f>
        <v>Get Out</v>
      </c>
      <c r="G765">
        <f>SUMIFS(Colección!$L$2:$L$10001,Colección!$F$2:$F$10001,$F765,Colección!$M$2:$M$10001,"Compra")</f>
        <v>1.0233341215417355</v>
      </c>
      <c r="H765">
        <f>IF($G765=0,"",_xlfn.RANK.EQ($G765,$G$2:$G$2353,0)+COUNTIF($G$2:G765,$G765)-1)</f>
        <v>1650</v>
      </c>
    </row>
    <row r="766" spans="6:8" x14ac:dyDescent="0.25">
      <c r="F766" t="str">
        <f>"Ghost Quarter [Playset]"</f>
        <v>Ghost Quarter [Playset]</v>
      </c>
      <c r="G766">
        <f>SUMIFS(Colección!$L$2:$L$10001,Colección!$F$2:$F$10001,$F766,Colección!$M$2:$M$10001,"Compra")</f>
        <v>4.2052173913043482</v>
      </c>
      <c r="H766">
        <f>IF($G766=0,"",_xlfn.RANK.EQ($G766,$G$2:$G$2353,0)+COUNTIF($G$2:G766,$G766)-1)</f>
        <v>1048</v>
      </c>
    </row>
    <row r="767" spans="6:8" x14ac:dyDescent="0.25">
      <c r="F767" t="str">
        <f>"Ghost Vacuum"</f>
        <v>Ghost Vacuum</v>
      </c>
      <c r="G767">
        <f>SUMIFS(Colección!$L$2:$L$10001,Colección!$F$2:$F$10001,$F767,Colección!$M$2:$M$10001,"Compra")</f>
        <v>7.11231884057971</v>
      </c>
      <c r="H767">
        <f>IF($G767=0,"",_xlfn.RANK.EQ($G767,$G$2:$G$2353,0)+COUNTIF($G$2:G767,$G767)-1)</f>
        <v>805</v>
      </c>
    </row>
    <row r="768" spans="6:8" x14ac:dyDescent="0.25">
      <c r="F768" t="str">
        <f>"Ghostfire Slice"</f>
        <v>Ghostfire Slice</v>
      </c>
      <c r="G768">
        <f>SUMIFS(Colección!$L$2:$L$10001,Colección!$F$2:$F$10001,$F768,Colección!$M$2:$M$10001,"Compra")</f>
        <v>1.3464</v>
      </c>
      <c r="H768">
        <f>IF($G768=0,"",_xlfn.RANK.EQ($G768,$G$2:$G$2353,0)+COUNTIF($G$2:G768,$G768)-1)</f>
        <v>1522</v>
      </c>
    </row>
    <row r="769" spans="6:8" x14ac:dyDescent="0.25">
      <c r="F769" t="str">
        <f>"Ghostly Prison"</f>
        <v>Ghostly Prison</v>
      </c>
      <c r="G769">
        <f>SUMIFS(Colección!$L$2:$L$10001,Colección!$F$2:$F$10001,$F769,Colección!$M$2:$M$10001,"Compra")</f>
        <v>4.1546165014834919</v>
      </c>
      <c r="H769">
        <f>IF($G769=0,"",_xlfn.RANK.EQ($G769,$G$2:$G$2353,0)+COUNTIF($G$2:G769,$G769)-1)</f>
        <v>1055</v>
      </c>
    </row>
    <row r="770" spans="6:8" x14ac:dyDescent="0.25">
      <c r="F770" t="str">
        <f>"Giant Killer // Chop Down"</f>
        <v>Giant Killer // Chop Down</v>
      </c>
      <c r="G770">
        <f>SUMIFS(Colección!$L$2:$L$10001,Colección!$F$2:$F$10001,$F770,Colección!$M$2:$M$10001,"Compra")</f>
        <v>0.84549397590361441</v>
      </c>
      <c r="H770">
        <f>IF($G770=0,"",_xlfn.RANK.EQ($G770,$G$2:$G$2353,0)+COUNTIF($G$2:G770,$G770)-1)</f>
        <v>1703</v>
      </c>
    </row>
    <row r="771" spans="6:8" x14ac:dyDescent="0.25">
      <c r="F771" t="str">
        <f>"Gideon Blackblade"</f>
        <v>Gideon Blackblade</v>
      </c>
      <c r="G771">
        <f>SUMIFS(Colección!$L$2:$L$10001,Colección!$F$2:$F$10001,$F771,Colección!$M$2:$M$10001,"Compra")</f>
        <v>0.81818181818181823</v>
      </c>
      <c r="H771">
        <f>IF($G771=0,"",_xlfn.RANK.EQ($G771,$G$2:$G$2353,0)+COUNTIF($G$2:G771,$G771)-1)</f>
        <v>1714</v>
      </c>
    </row>
    <row r="772" spans="6:8" x14ac:dyDescent="0.25">
      <c r="F772" t="str">
        <f>"Gideon Jura"</f>
        <v>Gideon Jura</v>
      </c>
      <c r="G772">
        <f>SUMIFS(Colección!$L$2:$L$10001,Colección!$F$2:$F$10001,$F772,Colección!$M$2:$M$10001,"Compra")</f>
        <v>0.57823529411764707</v>
      </c>
      <c r="H772">
        <f>IF($G772=0,"",_xlfn.RANK.EQ($G772,$G$2:$G$2353,0)+COUNTIF($G$2:G772,$G772)-1)</f>
        <v>1838</v>
      </c>
    </row>
    <row r="773" spans="6:8" x14ac:dyDescent="0.25">
      <c r="F773" t="str">
        <f>"Gifts Ungiven"</f>
        <v>Gifts Ungiven</v>
      </c>
      <c r="G773">
        <f>SUMIFS(Colección!$L$2:$L$10001,Colección!$F$2:$F$10001,$F773,Colección!$M$2:$M$10001,"Compra")</f>
        <v>5.1298837592719533</v>
      </c>
      <c r="H773">
        <f>IF($G773=0,"",_xlfn.RANK.EQ($G773,$G$2:$G$2353,0)+COUNTIF($G$2:G773,$G773)-1)</f>
        <v>964</v>
      </c>
    </row>
    <row r="774" spans="6:8" x14ac:dyDescent="0.25">
      <c r="F774" t="str">
        <f>"Gilded Goose"</f>
        <v>Gilded Goose</v>
      </c>
      <c r="G774">
        <f>SUMIFS(Colección!$L$2:$L$10001,Colección!$F$2:$F$10001,$F774,Colección!$M$2:$M$10001,"Compra")</f>
        <v>6.7832191780821924</v>
      </c>
      <c r="H774">
        <f>IF($G774=0,"",_xlfn.RANK.EQ($G774,$G$2:$G$2353,0)+COUNTIF($G$2:G774,$G774)-1)</f>
        <v>822</v>
      </c>
    </row>
    <row r="775" spans="6:8" x14ac:dyDescent="0.25">
      <c r="F775" t="str">
        <f>"Gimli, Counter of Kills"</f>
        <v>Gimli, Counter of Kills</v>
      </c>
      <c r="G775">
        <f>SUMIFS(Colección!$L$2:$L$10001,Colección!$F$2:$F$10001,$F775,Colección!$M$2:$M$10001,"Compra")</f>
        <v>0.13424408014571951</v>
      </c>
      <c r="H775">
        <f>IF($G775=0,"",_xlfn.RANK.EQ($G775,$G$2:$G$2353,0)+COUNTIF($G$2:G775,$G775)-1)</f>
        <v>2141</v>
      </c>
    </row>
    <row r="776" spans="6:8" x14ac:dyDescent="0.25">
      <c r="F776" t="str">
        <f>"Gimli, Mournful Avenger"</f>
        <v>Gimli, Mournful Avenger</v>
      </c>
      <c r="G776">
        <f>SUMIFS(Colección!$L$2:$L$10001,Colección!$F$2:$F$10001,$F776,Colección!$M$2:$M$10001,"Compra")</f>
        <v>0.13424408014571951</v>
      </c>
      <c r="H776">
        <f>IF($G776=0,"",_xlfn.RANK.EQ($G776,$G$2:$G$2353,0)+COUNTIF($G$2:G776,$G776)-1)</f>
        <v>2142</v>
      </c>
    </row>
    <row r="777" spans="6:8" x14ac:dyDescent="0.25">
      <c r="F777" t="str">
        <f>"Gimli, Mournful Avenger (V.1)"</f>
        <v>Gimli, Mournful Avenger (V.1)</v>
      </c>
      <c r="G777">
        <f>SUMIFS(Colección!$L$2:$L$10001,Colección!$F$2:$F$10001,$F777,Colección!$M$2:$M$10001,"Compra")</f>
        <v>0.58136546184738958</v>
      </c>
      <c r="H777">
        <f>IF($G777=0,"",_xlfn.RANK.EQ($G777,$G$2:$G$2353,0)+COUNTIF($G$2:G777,$G777)-1)</f>
        <v>1837</v>
      </c>
    </row>
    <row r="778" spans="6:8" x14ac:dyDescent="0.25">
      <c r="F778" t="str">
        <f>"Gimli, Mournful Avenger (V.2)"</f>
        <v>Gimli, Mournful Avenger (V.2)</v>
      </c>
      <c r="G778">
        <f>SUMIFS(Colección!$L$2:$L$10001,Colección!$F$2:$F$10001,$F778,Colección!$M$2:$M$10001,"Compra")</f>
        <v>2.3996787148594381</v>
      </c>
      <c r="H778">
        <f>IF($G778=0,"",_xlfn.RANK.EQ($G778,$G$2:$G$2353,0)+COUNTIF($G$2:G778,$G778)-1)</f>
        <v>1269</v>
      </c>
    </row>
    <row r="779" spans="6:8" x14ac:dyDescent="0.25">
      <c r="F779" t="str">
        <f>"Gin (OP03-024) (V.1)"</f>
        <v>Gin (OP03-024) (V.1)</v>
      </c>
      <c r="G779">
        <f>SUMIFS(Colección!$L$2:$L$10001,Colección!$F$2:$F$10001,$F779,Colección!$M$2:$M$10001,"Compra")</f>
        <v>0.2855813953488372</v>
      </c>
      <c r="H779">
        <f>IF($G779=0,"",_xlfn.RANK.EQ($G779,$G$2:$G$2353,0)+COUNTIF($G$2:G779,$G779)-1)</f>
        <v>2010</v>
      </c>
    </row>
    <row r="780" spans="6:8" x14ac:dyDescent="0.25">
      <c r="F780" t="str">
        <f>"Giolla (OP04-025)"</f>
        <v>Giolla (OP04-025)</v>
      </c>
      <c r="G780">
        <f>SUMIFS(Colección!$L$2:$L$10001,Colección!$F$2:$F$10001,$F780,Colección!$M$2:$M$10001,"Compra")</f>
        <v>6.1898734177215198E-2</v>
      </c>
      <c r="H780">
        <f>IF($G780=0,"",_xlfn.RANK.EQ($G780,$G$2:$G$2353,0)+COUNTIF($G$2:G780,$G780)-1)</f>
        <v>2272</v>
      </c>
    </row>
    <row r="781" spans="6:8" x14ac:dyDescent="0.25">
      <c r="F781" t="str">
        <f>"Gitaxian Probe"</f>
        <v>Gitaxian Probe</v>
      </c>
      <c r="G781">
        <f>SUMIFS(Colección!$L$2:$L$10001,Colección!$F$2:$F$10001,$F781,Colección!$M$2:$M$10001,"Compra")</f>
        <v>12.453648366921472</v>
      </c>
      <c r="H781">
        <f>IF($G781=0,"",_xlfn.RANK.EQ($G781,$G$2:$G$2353,0)+COUNTIF($G$2:G781,$G781)-1)</f>
        <v>566</v>
      </c>
    </row>
    <row r="782" spans="6:8" x14ac:dyDescent="0.25">
      <c r="F782" t="str">
        <f>"Giver of Runes"</f>
        <v>Giver of Runes</v>
      </c>
      <c r="G782">
        <f>SUMIFS(Colección!$L$2:$L$10001,Colección!$F$2:$F$10001,$F782,Colección!$M$2:$M$10001,"Compra")</f>
        <v>40.891663003662998</v>
      </c>
      <c r="H782">
        <f>IF($G782=0,"",_xlfn.RANK.EQ($G782,$G$2:$G$2353,0)+COUNTIF($G$2:G782,$G782)-1)</f>
        <v>210</v>
      </c>
    </row>
    <row r="783" spans="6:8" x14ac:dyDescent="0.25">
      <c r="F783" t="str">
        <f>"Gix's Command"</f>
        <v>Gix's Command</v>
      </c>
      <c r="G783">
        <f>SUMIFS(Colección!$L$2:$L$10001,Colección!$F$2:$F$10001,$F783,Colección!$M$2:$M$10001,"Compra")</f>
        <v>2.8265060240963851</v>
      </c>
      <c r="H783">
        <f>IF($G783=0,"",_xlfn.RANK.EQ($G783,$G$2:$G$2353,0)+COUNTIF($G$2:G783,$G783)-1)</f>
        <v>1211</v>
      </c>
    </row>
    <row r="784" spans="6:8" x14ac:dyDescent="0.25">
      <c r="F784" t="str">
        <f>"Gix, Yawgmoth Praetor"</f>
        <v>Gix, Yawgmoth Praetor</v>
      </c>
      <c r="G784">
        <f>SUMIFS(Colección!$L$2:$L$10001,Colección!$F$2:$F$10001,$F784,Colección!$M$2:$M$10001,"Compra")</f>
        <v>16.911428571428573</v>
      </c>
      <c r="H784">
        <f>IF($G784=0,"",_xlfn.RANK.EQ($G784,$G$2:$G$2353,0)+COUNTIF($G$2:G784,$G784)-1)</f>
        <v>453</v>
      </c>
    </row>
    <row r="785" spans="6:8" x14ac:dyDescent="0.25">
      <c r="F785" t="str">
        <f>"Glacial Dragonhunt"</f>
        <v>Glacial Dragonhunt</v>
      </c>
      <c r="G785">
        <f>SUMIFS(Colección!$L$2:$L$10001,Colección!$F$2:$F$10001,$F785,Colección!$M$2:$M$10001,"Compra")</f>
        <v>1.0228753993610225</v>
      </c>
      <c r="H785">
        <f>IF($G785=0,"",_xlfn.RANK.EQ($G785,$G$2:$G$2353,0)+COUNTIF($G$2:G785,$G785)-1)</f>
        <v>1651</v>
      </c>
    </row>
    <row r="786" spans="6:8" x14ac:dyDescent="0.25">
      <c r="F786" t="str">
        <f>"Glacial Fortress"</f>
        <v>Glacial Fortress</v>
      </c>
      <c r="G786">
        <f>SUMIFS(Colección!$L$2:$L$10001,Colección!$F$2:$F$10001,$F786,Colección!$M$2:$M$10001,"Compra")</f>
        <v>9.5245205479452046</v>
      </c>
      <c r="H786">
        <f>IF($G786=0,"",_xlfn.RANK.EQ($G786,$G$2:$G$2353,0)+COUNTIF($G$2:G786,$G786)-1)</f>
        <v>683</v>
      </c>
    </row>
    <row r="787" spans="6:8" x14ac:dyDescent="0.25">
      <c r="F787" t="str">
        <f>"Gladius (OP05-025)"</f>
        <v>Gladius (OP05-025)</v>
      </c>
      <c r="G787">
        <f>SUMIFS(Colección!$L$2:$L$10001,Colección!$F$2:$F$10001,$F787,Colección!$M$2:$M$10001,"Compra")</f>
        <v>2.7061704211557298E-2</v>
      </c>
      <c r="H787">
        <f>IF($G787=0,"",_xlfn.RANK.EQ($G787,$G$2:$G$2353,0)+COUNTIF($G$2:G787,$G787)-1)</f>
        <v>2342</v>
      </c>
    </row>
    <row r="788" spans="6:8" x14ac:dyDescent="0.25">
      <c r="F788" t="str">
        <f>"Glamdring"</f>
        <v>Glamdring</v>
      </c>
      <c r="G788">
        <f>SUMIFS(Colección!$L$2:$L$10001,Colección!$F$2:$F$10001,$F788,Colección!$M$2:$M$10001,"Compra")</f>
        <v>7.3705655733344937</v>
      </c>
      <c r="H788">
        <f>IF($G788=0,"",_xlfn.RANK.EQ($G788,$G$2:$G$2353,0)+COUNTIF($G$2:G788,$G788)-1)</f>
        <v>785</v>
      </c>
    </row>
    <row r="789" spans="6:8" x14ac:dyDescent="0.25">
      <c r="F789" t="str">
        <f>"Glaring Fleshraker"</f>
        <v>Glaring Fleshraker</v>
      </c>
      <c r="G789">
        <f>SUMIFS(Colección!$L$2:$L$10001,Colección!$F$2:$F$10001,$F789,Colección!$M$2:$M$10001,"Compra")</f>
        <v>4.3636363636363642</v>
      </c>
      <c r="H789">
        <f>IF($G789=0,"",_xlfn.RANK.EQ($G789,$G$2:$G$2353,0)+COUNTIF($G$2:G789,$G789)-1)</f>
        <v>1016</v>
      </c>
    </row>
    <row r="790" spans="6:8" x14ac:dyDescent="0.25">
      <c r="F790" t="str">
        <f>"Glasc Mixologist"</f>
        <v>Glasc Mixologist</v>
      </c>
      <c r="G790">
        <f>SUMIFS(Colección!$L$2:$L$10001,Colección!$F$2:$F$10001,$F790,Colección!$M$2:$M$10001,"Compra")</f>
        <v>4.1606862745098034</v>
      </c>
      <c r="H790">
        <f>IF($G790=0,"",_xlfn.RANK.EQ($G790,$G$2:$G$2353,0)+COUNTIF($G$2:G790,$G790)-1)</f>
        <v>1053</v>
      </c>
    </row>
    <row r="791" spans="6:8" x14ac:dyDescent="0.25">
      <c r="F791" t="str">
        <f>"Glasspool Mimic // Glasspool Shore"</f>
        <v>Glasspool Mimic // Glasspool Shore</v>
      </c>
      <c r="G791">
        <f>SUMIFS(Colección!$L$2:$L$10001,Colección!$F$2:$F$10001,$F791,Colección!$M$2:$M$10001,"Compra")</f>
        <v>11.25</v>
      </c>
      <c r="H791">
        <f>IF($G791=0,"",_xlfn.RANK.EQ($G791,$G$2:$G$2353,0)+COUNTIF($G$2:G791,$G791)-1)</f>
        <v>606</v>
      </c>
    </row>
    <row r="792" spans="6:8" x14ac:dyDescent="0.25">
      <c r="F792" t="str">
        <f>"Gleeful Demolition"</f>
        <v>Gleeful Demolition</v>
      </c>
      <c r="G792">
        <f>SUMIFS(Colección!$L$2:$L$10001,Colección!$F$2:$F$10001,$F792,Colección!$M$2:$M$10001,"Compra")</f>
        <v>4.9037414058619762</v>
      </c>
      <c r="H792">
        <f>IF($G792=0,"",_xlfn.RANK.EQ($G792,$G$2:$G$2353,0)+COUNTIF($G$2:G792,$G792)-1)</f>
        <v>977</v>
      </c>
    </row>
    <row r="793" spans="6:8" x14ac:dyDescent="0.25">
      <c r="F793" t="str">
        <f>"Glimmerpost"</f>
        <v>Glimmerpost</v>
      </c>
      <c r="G793">
        <f>SUMIFS(Colección!$L$2:$L$10001,Colección!$F$2:$F$10001,$F793,Colección!$M$2:$M$10001,"Compra")</f>
        <v>2.5481250000000002</v>
      </c>
      <c r="H793">
        <f>IF($G793=0,"",_xlfn.RANK.EQ($G793,$G$2:$G$2353,0)+COUNTIF($G$2:G793,$G793)-1)</f>
        <v>1245</v>
      </c>
    </row>
    <row r="794" spans="6:8" x14ac:dyDescent="0.25">
      <c r="F794" t="str">
        <f>"Glimpse the Impossible"</f>
        <v>Glimpse the Impossible</v>
      </c>
      <c r="G794">
        <f>SUMIFS(Colección!$L$2:$L$10001,Colección!$F$2:$F$10001,$F794,Colección!$M$2:$M$10001,"Compra")</f>
        <v>1.713694338472723</v>
      </c>
      <c r="H794">
        <f>IF($G794=0,"",_xlfn.RANK.EQ($G794,$G$2:$G$2353,0)+COUNTIF($G$2:G794,$G794)-1)</f>
        <v>1420</v>
      </c>
    </row>
    <row r="795" spans="6:8" x14ac:dyDescent="0.25">
      <c r="F795" t="str">
        <f>"Glimpse the Unthinkable"</f>
        <v>Glimpse the Unthinkable</v>
      </c>
      <c r="G795">
        <f>SUMIFS(Colección!$L$2:$L$10001,Colección!$F$2:$F$10001,$F795,Colección!$M$2:$M$10001,"Compra")</f>
        <v>9.1700159235668792</v>
      </c>
      <c r="H795">
        <f>IF($G795=0,"",_xlfn.RANK.EQ($G795,$G$2:$G$2353,0)+COUNTIF($G$2:G795,$G795)-1)</f>
        <v>696</v>
      </c>
    </row>
    <row r="796" spans="6:8" x14ac:dyDescent="0.25">
      <c r="F796" t="str">
        <f>"Glint Hawk"</f>
        <v>Glint Hawk</v>
      </c>
      <c r="G796">
        <f>SUMIFS(Colección!$L$2:$L$10001,Colección!$F$2:$F$10001,$F796,Colección!$M$2:$M$10001,"Compra")</f>
        <v>4.3636363636363642</v>
      </c>
      <c r="H796">
        <f>IF($G796=0,"",_xlfn.RANK.EQ($G796,$G$2:$G$2353,0)+COUNTIF($G$2:G796,$G796)-1)</f>
        <v>1017</v>
      </c>
    </row>
    <row r="797" spans="6:8" x14ac:dyDescent="0.25">
      <c r="F797" t="str">
        <f>"Glistener Elf"</f>
        <v>Glistener Elf</v>
      </c>
      <c r="G797">
        <f>SUMIFS(Colección!$L$2:$L$10001,Colección!$F$2:$F$10001,$F797,Colección!$M$2:$M$10001,"Compra")</f>
        <v>6.0115039281705958</v>
      </c>
      <c r="H797">
        <f>IF($G797=0,"",_xlfn.RANK.EQ($G797,$G$2:$G$2353,0)+COUNTIF($G$2:G797,$G797)-1)</f>
        <v>890</v>
      </c>
    </row>
    <row r="798" spans="6:8" x14ac:dyDescent="0.25">
      <c r="F798" t="str">
        <f>"Glóin, Dwarf Emissary"</f>
        <v>Glóin, Dwarf Emissary</v>
      </c>
      <c r="G798">
        <f>SUMIFS(Colección!$L$2:$L$10001,Colección!$F$2:$F$10001,$F798,Colección!$M$2:$M$10001,"Compra")</f>
        <v>1.33591673172001</v>
      </c>
      <c r="H798">
        <f>IF($G798=0,"",_xlfn.RANK.EQ($G798,$G$2:$G$2353,0)+COUNTIF($G$2:G798,$G798)-1)</f>
        <v>1528</v>
      </c>
    </row>
    <row r="799" spans="6:8" x14ac:dyDescent="0.25">
      <c r="F799" t="str">
        <f>"Gnawing Vermin"</f>
        <v>Gnawing Vermin</v>
      </c>
      <c r="G799">
        <f>SUMIFS(Colección!$L$2:$L$10001,Colección!$F$2:$F$10001,$F799,Colección!$M$2:$M$10001,"Compra")</f>
        <v>0.55314285714285716</v>
      </c>
      <c r="H799">
        <f>IF($G799=0,"",_xlfn.RANK.EQ($G799,$G$2:$G$2353,0)+COUNTIF($G$2:G799,$G799)-1)</f>
        <v>1851</v>
      </c>
    </row>
    <row r="800" spans="6:8" x14ac:dyDescent="0.25">
      <c r="F800" t="str">
        <f>"Go for the Throat"</f>
        <v>Go for the Throat</v>
      </c>
      <c r="G800">
        <f>SUMIFS(Colección!$L$2:$L$10001,Colección!$F$2:$F$10001,$F800,Colección!$M$2:$M$10001,"Compra")</f>
        <v>0.68320067029744436</v>
      </c>
      <c r="H800">
        <f>IF($G800=0,"",_xlfn.RANK.EQ($G800,$G$2:$G$2353,0)+COUNTIF($G$2:G800,$G800)-1)</f>
        <v>1769</v>
      </c>
    </row>
    <row r="801" spans="6:8" x14ac:dyDescent="0.25">
      <c r="F801" t="str">
        <f>"Goblin Anarchomancer (V.1)"</f>
        <v>Goblin Anarchomancer (V.1)</v>
      </c>
      <c r="G801">
        <f>SUMIFS(Colección!$L$2:$L$10001,Colección!$F$2:$F$10001,$F801,Colección!$M$2:$M$10001,"Compra")</f>
        <v>0.45013192612137198</v>
      </c>
      <c r="H801">
        <f>IF($G801=0,"",_xlfn.RANK.EQ($G801,$G$2:$G$2353,0)+COUNTIF($G$2:G801,$G801)-1)</f>
        <v>1917</v>
      </c>
    </row>
    <row r="802" spans="6:8" x14ac:dyDescent="0.25">
      <c r="F802" t="str">
        <f>"Goblin Bombardment"</f>
        <v>Goblin Bombardment</v>
      </c>
      <c r="G802">
        <f>SUMIFS(Colección!$L$2:$L$10001,Colección!$F$2:$F$10001,$F802,Colección!$M$2:$M$10001,"Compra")</f>
        <v>11.18</v>
      </c>
      <c r="H802">
        <f>IF($G802=0,"",_xlfn.RANK.EQ($G802,$G$2:$G$2353,0)+COUNTIF($G$2:G802,$G802)-1)</f>
        <v>611</v>
      </c>
    </row>
    <row r="803" spans="6:8" x14ac:dyDescent="0.25">
      <c r="F803" t="str">
        <f>"Goblin Grenade [Playset]"</f>
        <v>Goblin Grenade [Playset]</v>
      </c>
      <c r="G803">
        <f>SUMIFS(Colección!$L$2:$L$10001,Colección!$F$2:$F$10001,$F803,Colección!$M$2:$M$10001,"Compra")</f>
        <v>3.164251207729468</v>
      </c>
      <c r="H803">
        <f>IF($G803=0,"",_xlfn.RANK.EQ($G803,$G$2:$G$2353,0)+COUNTIF($G$2:G803,$G803)-1)</f>
        <v>1181</v>
      </c>
    </row>
    <row r="804" spans="6:8" x14ac:dyDescent="0.25">
      <c r="F804" t="str">
        <f>"Goblin King"</f>
        <v>Goblin King</v>
      </c>
      <c r="G804">
        <f>SUMIFS(Colección!$L$2:$L$10001,Colección!$F$2:$F$10001,$F804,Colección!$M$2:$M$10001,"Compra")</f>
        <v>5.628449197860963</v>
      </c>
      <c r="H804">
        <f>IF($G804=0,"",_xlfn.RANK.EQ($G804,$G$2:$G$2353,0)+COUNTIF($G$2:G804,$G804)-1)</f>
        <v>915</v>
      </c>
    </row>
    <row r="805" spans="6:8" x14ac:dyDescent="0.25">
      <c r="F805" t="str">
        <f>"Goblin Lackey"</f>
        <v>Goblin Lackey</v>
      </c>
      <c r="G805">
        <f>SUMIFS(Colección!$L$2:$L$10001,Colección!$F$2:$F$10001,$F805,Colección!$M$2:$M$10001,"Compra")</f>
        <v>17.454545454545457</v>
      </c>
      <c r="H805">
        <f>IF($G805=0,"",_xlfn.RANK.EQ($G805,$G$2:$G$2353,0)+COUNTIF($G$2:G805,$G805)-1)</f>
        <v>441</v>
      </c>
    </row>
    <row r="806" spans="6:8" x14ac:dyDescent="0.25">
      <c r="F806" t="str">
        <f>"Goblin Lore"</f>
        <v>Goblin Lore</v>
      </c>
      <c r="G806">
        <f>SUMIFS(Colección!$L$2:$L$10001,Colección!$F$2:$F$10001,$F806,Colección!$M$2:$M$10001,"Compra")</f>
        <v>6.4376913425345039</v>
      </c>
      <c r="H806">
        <f>IF($G806=0,"",_xlfn.RANK.EQ($G806,$G$2:$G$2353,0)+COUNTIF($G$2:G806,$G806)-1)</f>
        <v>851</v>
      </c>
    </row>
    <row r="807" spans="6:8" x14ac:dyDescent="0.25">
      <c r="F807" t="str">
        <f>"Goblin Matron"</f>
        <v>Goblin Matron</v>
      </c>
      <c r="G807">
        <f>SUMIFS(Colección!$L$2:$L$10001,Colección!$F$2:$F$10001,$F807,Colección!$M$2:$M$10001,"Compra")</f>
        <v>10.044792671166828</v>
      </c>
      <c r="H807">
        <f>IF($G807=0,"",_xlfn.RANK.EQ($G807,$G$2:$G$2353,0)+COUNTIF($G$2:G807,$G807)-1)</f>
        <v>663</v>
      </c>
    </row>
    <row r="808" spans="6:8" x14ac:dyDescent="0.25">
      <c r="F808" t="str">
        <f>"Goblin Piledriver"</f>
        <v>Goblin Piledriver</v>
      </c>
      <c r="G808">
        <f>SUMIFS(Colección!$L$2:$L$10001,Colección!$F$2:$F$10001,$F808,Colección!$M$2:$M$10001,"Compra")</f>
        <v>8.8530376084860158</v>
      </c>
      <c r="H808">
        <f>IF($G808=0,"",_xlfn.RANK.EQ($G808,$G$2:$G$2353,0)+COUNTIF($G$2:G808,$G808)-1)</f>
        <v>706</v>
      </c>
    </row>
    <row r="809" spans="6:8" x14ac:dyDescent="0.25">
      <c r="F809" t="str">
        <f>"Goblin Pyromancer"</f>
        <v>Goblin Pyromancer</v>
      </c>
      <c r="G809">
        <f>SUMIFS(Colección!$L$2:$L$10001,Colección!$F$2:$F$10001,$F809,Colección!$M$2:$M$10001,"Compra")</f>
        <v>1.693011861784425</v>
      </c>
      <c r="H809">
        <f>IF($G809=0,"",_xlfn.RANK.EQ($G809,$G$2:$G$2353,0)+COUNTIF($G$2:G809,$G809)-1)</f>
        <v>1433</v>
      </c>
    </row>
    <row r="810" spans="6:8" x14ac:dyDescent="0.25">
      <c r="F810" t="str">
        <f>"Goblin Ringleader"</f>
        <v>Goblin Ringleader</v>
      </c>
      <c r="G810">
        <f>SUMIFS(Colección!$L$2:$L$10001,Colección!$F$2:$F$10001,$F810,Colección!$M$2:$M$10001,"Compra")</f>
        <v>11.123047251687559</v>
      </c>
      <c r="H810">
        <f>IF($G810=0,"",_xlfn.RANK.EQ($G810,$G$2:$G$2353,0)+COUNTIF($G$2:G810,$G810)-1)</f>
        <v>617</v>
      </c>
    </row>
    <row r="811" spans="6:8" x14ac:dyDescent="0.25">
      <c r="F811" t="str">
        <f>"Goblin Shaman Token (Red 2/2)"</f>
        <v>Goblin Shaman Token (Red 2/2)</v>
      </c>
      <c r="G811">
        <f>SUMIFS(Colección!$L$2:$L$10001,Colección!$F$2:$F$10001,$F811,Colección!$M$2:$M$10001,"Compra")</f>
        <v>3.526666666666666</v>
      </c>
      <c r="H811">
        <f>IF($G811=0,"",_xlfn.RANK.EQ($G811,$G$2:$G$2353,0)+COUNTIF($G$2:G811,$G811)-1)</f>
        <v>1114</v>
      </c>
    </row>
    <row r="812" spans="6:8" x14ac:dyDescent="0.25">
      <c r="F812" t="str">
        <f>"Goblin Sharpshooter"</f>
        <v>Goblin Sharpshooter</v>
      </c>
      <c r="G812">
        <f>SUMIFS(Colección!$L$2:$L$10001,Colección!$F$2:$F$10001,$F812,Colección!$M$2:$M$10001,"Compra")</f>
        <v>10.90909090909091</v>
      </c>
      <c r="H812">
        <f>IF($G812=0,"",_xlfn.RANK.EQ($G812,$G$2:$G$2353,0)+COUNTIF($G$2:G812,$G812)-1)</f>
        <v>627</v>
      </c>
    </row>
    <row r="813" spans="6:8" x14ac:dyDescent="0.25">
      <c r="F813" t="str">
        <f>"Goblin Tinkerer"</f>
        <v>Goblin Tinkerer</v>
      </c>
      <c r="G813">
        <f>SUMIFS(Colección!$L$2:$L$10001,Colección!$F$2:$F$10001,$F813,Colección!$M$2:$M$10001,"Compra")</f>
        <v>1.6363636363636367</v>
      </c>
      <c r="H813">
        <f>IF($G813=0,"",_xlfn.RANK.EQ($G813,$G$2:$G$2353,0)+COUNTIF($G$2:G813,$G813)-1)</f>
        <v>1445</v>
      </c>
    </row>
    <row r="814" spans="6:8" x14ac:dyDescent="0.25">
      <c r="F814" t="str">
        <f>"Goblin Token (Red 1/1)"</f>
        <v>Goblin Token (Red 1/1)</v>
      </c>
      <c r="G814">
        <f>SUMIFS(Colección!$L$2:$L$10001,Colección!$F$2:$F$10001,$F814,Colección!$M$2:$M$10001,"Compra")</f>
        <v>0.632057761732852</v>
      </c>
      <c r="H814">
        <f>IF($G814=0,"",_xlfn.RANK.EQ($G814,$G$2:$G$2353,0)+COUNTIF($G$2:G814,$G814)-1)</f>
        <v>1808</v>
      </c>
    </row>
    <row r="815" spans="6:8" x14ac:dyDescent="0.25">
      <c r="F815" t="str">
        <f>"Goblin Warchief"</f>
        <v>Goblin Warchief</v>
      </c>
      <c r="G815">
        <f>SUMIFS(Colección!$L$2:$L$10001,Colección!$F$2:$F$10001,$F815,Colección!$M$2:$M$10001,"Compra")</f>
        <v>17.046673972122381</v>
      </c>
      <c r="H815">
        <f>IF($G815=0,"",_xlfn.RANK.EQ($G815,$G$2:$G$2353,0)+COUNTIF($G$2:G815,$G815)-1)</f>
        <v>451</v>
      </c>
    </row>
    <row r="816" spans="6:8" x14ac:dyDescent="0.25">
      <c r="F816" t="str">
        <f>"Godless Shrine (V.2)"</f>
        <v>Godless Shrine (V.2)</v>
      </c>
      <c r="G816">
        <f>SUMIFS(Colección!$L$2:$L$10001,Colección!$F$2:$F$10001,$F816,Colección!$M$2:$M$10001,"Compra")</f>
        <v>13.72</v>
      </c>
      <c r="H816">
        <f>IF($G816=0,"",_xlfn.RANK.EQ($G816,$G$2:$G$2353,0)+COUNTIF($G$2:G816,$G816)-1)</f>
        <v>532</v>
      </c>
    </row>
    <row r="817" spans="6:8" x14ac:dyDescent="0.25">
      <c r="F817" t="str">
        <f>"Gods Willing"</f>
        <v>Gods Willing</v>
      </c>
      <c r="G817">
        <f>SUMIFS(Colección!$L$2:$L$10001,Colección!$F$2:$F$10001,$F817,Colección!$M$2:$M$10001,"Compra")</f>
        <v>0.64511301636788798</v>
      </c>
      <c r="H817">
        <f>IF($G817=0,"",_xlfn.RANK.EQ($G817,$G$2:$G$2353,0)+COUNTIF($G$2:G817,$G817)-1)</f>
        <v>1791</v>
      </c>
    </row>
    <row r="818" spans="6:8" x14ac:dyDescent="0.25">
      <c r="F818" t="str">
        <f>"Goldberry, River-Daughter"</f>
        <v>Goldberry, River-Daughter</v>
      </c>
      <c r="G818">
        <f>SUMIFS(Colección!$L$2:$L$10001,Colección!$F$2:$F$10001,$F818,Colección!$M$2:$M$10001,"Compra")</f>
        <v>0.66287096030098402</v>
      </c>
      <c r="H818">
        <f>IF($G818=0,"",_xlfn.RANK.EQ($G818,$G$2:$G$2353,0)+COUNTIF($G$2:G818,$G818)-1)</f>
        <v>1781</v>
      </c>
    </row>
    <row r="819" spans="6:8" x14ac:dyDescent="0.25">
      <c r="F819" t="str">
        <f>"Goldmire Bridge"</f>
        <v>Goldmire Bridge</v>
      </c>
      <c r="G819">
        <f>SUMIFS(Colección!$L$2:$L$10001,Colección!$F$2:$F$10001,$F819,Colección!$M$2:$M$10001,"Compra")</f>
        <v>2.5300000000000002</v>
      </c>
      <c r="H819">
        <f>IF($G819=0,"",_xlfn.RANK.EQ($G819,$G$2:$G$2353,0)+COUNTIF($G$2:G819,$G819)-1)</f>
        <v>1250</v>
      </c>
    </row>
    <row r="820" spans="6:8" x14ac:dyDescent="0.25">
      <c r="F820" t="str">
        <f>"Golem Token (Artifact 4/4)"</f>
        <v>Golem Token (Artifact 4/4)</v>
      </c>
      <c r="G820">
        <f>SUMIFS(Colección!$L$2:$L$10001,Colección!$F$2:$F$10001,$F820,Colección!$M$2:$M$10001,"Compra")</f>
        <v>0.609814687714482</v>
      </c>
      <c r="H820">
        <f>IF($G820=0,"",_xlfn.RANK.EQ($G820,$G$2:$G$2353,0)+COUNTIF($G$2:G820,$G820)-1)</f>
        <v>1821</v>
      </c>
    </row>
    <row r="821" spans="6:8" x14ac:dyDescent="0.25">
      <c r="F821" t="str">
        <f>"Golgari Grave-Troll (V.1)"</f>
        <v>Golgari Grave-Troll (V.1)</v>
      </c>
      <c r="G821">
        <f>SUMIFS(Colección!$L$2:$L$10001,Colección!$F$2:$F$10001,$F821,Colección!$M$2:$M$10001,"Compra")</f>
        <v>10.240000000000002</v>
      </c>
      <c r="H821">
        <f>IF($G821=0,"",_xlfn.RANK.EQ($G821,$G$2:$G$2353,0)+COUNTIF($G$2:G821,$G821)-1)</f>
        <v>657</v>
      </c>
    </row>
    <row r="822" spans="6:8" x14ac:dyDescent="0.25">
      <c r="F822" t="str">
        <f>"Golgari Rot Farm"</f>
        <v>Golgari Rot Farm</v>
      </c>
      <c r="G822">
        <f>SUMIFS(Colección!$L$2:$L$10001,Colección!$F$2:$F$10001,$F822,Colección!$M$2:$M$10001,"Compra")</f>
        <v>1.5787608410806768</v>
      </c>
      <c r="H822">
        <f>IF($G822=0,"",_xlfn.RANK.EQ($G822,$G$2:$G$2353,0)+COUNTIF($G$2:G822,$G822)-1)</f>
        <v>1468</v>
      </c>
    </row>
    <row r="823" spans="6:8" x14ac:dyDescent="0.25">
      <c r="F823" t="str">
        <f>"Golgari Thug"</f>
        <v>Golgari Thug</v>
      </c>
      <c r="G823">
        <f>SUMIFS(Colección!$L$2:$L$10001,Colección!$F$2:$F$10001,$F823,Colección!$M$2:$M$10001,"Compra")</f>
        <v>6.0822784810126587</v>
      </c>
      <c r="H823">
        <f>IF($G823=0,"",_xlfn.RANK.EQ($G823,$G$2:$G$2353,0)+COUNTIF($G$2:G823,$G823)-1)</f>
        <v>882</v>
      </c>
    </row>
    <row r="824" spans="6:8" x14ac:dyDescent="0.25">
      <c r="F824" t="str">
        <f>"Gollum, Patient Plotter (V.1)"</f>
        <v>Gollum, Patient Plotter (V.1)</v>
      </c>
      <c r="G824">
        <f>SUMIFS(Colección!$L$2:$L$10001,Colección!$F$2:$F$10001,$F824,Colección!$M$2:$M$10001,"Compra")</f>
        <v>0.13424408014571951</v>
      </c>
      <c r="H824">
        <f>IF($G824=0,"",_xlfn.RANK.EQ($G824,$G$2:$G$2353,0)+COUNTIF($G$2:G824,$G824)-1)</f>
        <v>2143</v>
      </c>
    </row>
    <row r="825" spans="6:8" x14ac:dyDescent="0.25">
      <c r="F825" t="str">
        <f>"Goryo's Vengeance"</f>
        <v>Goryo's Vengeance</v>
      </c>
      <c r="G825">
        <f>SUMIFS(Colección!$L$2:$L$10001,Colección!$F$2:$F$10001,$F825,Colección!$M$2:$M$10001,"Compra")</f>
        <v>41.880324892498798</v>
      </c>
      <c r="H825">
        <f>IF($G825=0,"",_xlfn.RANK.EQ($G825,$G$2:$G$2353,0)+COUNTIF($G$2:G825,$G825)-1)</f>
        <v>202</v>
      </c>
    </row>
    <row r="826" spans="6:8" x14ac:dyDescent="0.25">
      <c r="F826" t="str">
        <f>"Gothmog, Morgul Lieutenant"</f>
        <v>Gothmog, Morgul Lieutenant</v>
      </c>
      <c r="G826">
        <f>SUMIFS(Colección!$L$2:$L$10001,Colección!$F$2:$F$10001,$F826,Colección!$M$2:$M$10001,"Compra")</f>
        <v>4.2508833922261478E-2</v>
      </c>
      <c r="H826">
        <f>IF($G826=0,"",_xlfn.RANK.EQ($G826,$G$2:$G$2353,0)+COUNTIF($G$2:G826,$G826)-1)</f>
        <v>2325</v>
      </c>
    </row>
    <row r="827" spans="6:8" x14ac:dyDescent="0.25">
      <c r="F827" t="str">
        <f>"Grafdigger's Cage"</f>
        <v>Grafdigger's Cage</v>
      </c>
      <c r="G827">
        <f>SUMIFS(Colección!$L$2:$L$10001,Colección!$F$2:$F$10001,$F827,Colección!$M$2:$M$10001,"Compra")</f>
        <v>1.66888418079096</v>
      </c>
      <c r="H827">
        <f>IF($G827=0,"",_xlfn.RANK.EQ($G827,$G$2:$G$2353,0)+COUNTIF($G$2:G827,$G827)-1)</f>
        <v>1438</v>
      </c>
    </row>
    <row r="828" spans="6:8" x14ac:dyDescent="0.25">
      <c r="F828" t="str">
        <f>"Gran-Gran"</f>
        <v>Gran-Gran</v>
      </c>
      <c r="G828">
        <f>SUMIFS(Colección!$L$2:$L$10001,Colección!$F$2:$F$10001,$F828,Colección!$M$2:$M$10001,"Compra")</f>
        <v>2.7342105263157892</v>
      </c>
      <c r="H828">
        <f>IF($G828=0,"",_xlfn.RANK.EQ($G828,$G$2:$G$2353,0)+COUNTIF($G$2:G828,$G828)-1)</f>
        <v>1221</v>
      </c>
    </row>
    <row r="829" spans="6:8" x14ac:dyDescent="0.25">
      <c r="F829" t="str">
        <f>"Grapeshot"</f>
        <v>Grapeshot</v>
      </c>
      <c r="G829">
        <f>SUMIFS(Colección!$L$2:$L$10001,Colección!$F$2:$F$10001,$F829,Colección!$M$2:$M$10001,"Compra")</f>
        <v>0.45013192612137198</v>
      </c>
      <c r="H829">
        <f>IF($G829=0,"",_xlfn.RANK.EQ($G829,$G$2:$G$2353,0)+COUNTIF($G$2:G829,$G829)-1)</f>
        <v>1918</v>
      </c>
    </row>
    <row r="830" spans="6:8" x14ac:dyDescent="0.25">
      <c r="F830" t="str">
        <f>"Grapeshot (V.2)"</f>
        <v>Grapeshot (V.2)</v>
      </c>
      <c r="G830">
        <f>SUMIFS(Colección!$L$2:$L$10001,Colección!$F$2:$F$10001,$F830,Colección!$M$2:$M$10001,"Compra")</f>
        <v>11.33</v>
      </c>
      <c r="H830">
        <f>IF($G830=0,"",_xlfn.RANK.EQ($G830,$G$2:$G$2353,0)+COUNTIF($G$2:G830,$G830)-1)</f>
        <v>605</v>
      </c>
    </row>
    <row r="831" spans="6:8" x14ac:dyDescent="0.25">
      <c r="F831" t="str">
        <f>"Gravecrawler [Playset]"</f>
        <v>Gravecrawler [Playset]</v>
      </c>
      <c r="G831">
        <f>SUMIFS(Colección!$L$2:$L$10001,Colección!$F$2:$F$10001,$F831,Colección!$M$2:$M$10001,"Compra")</f>
        <v>14.68</v>
      </c>
      <c r="H831">
        <f>IF($G831=0,"",_xlfn.RANK.EQ($G831,$G$2:$G$2353,0)+COUNTIF($G$2:G831,$G831)-1)</f>
        <v>511</v>
      </c>
    </row>
    <row r="832" spans="6:8" x14ac:dyDescent="0.25">
      <c r="F832" t="str">
        <f>"Graveyard Trespasser // Graveyard Glutton"</f>
        <v>Graveyard Trespasser // Graveyard Glutton</v>
      </c>
      <c r="G832">
        <f>SUMIFS(Colección!$L$2:$L$10001,Colección!$F$2:$F$10001,$F832,Colección!$M$2:$M$10001,"Compra")</f>
        <v>3.7136068034016998</v>
      </c>
      <c r="H832">
        <f>IF($G832=0,"",_xlfn.RANK.EQ($G832,$G$2:$G$2353,0)+COUNTIF($G$2:G832,$G832)-1)</f>
        <v>1092</v>
      </c>
    </row>
    <row r="833" spans="6:8" x14ac:dyDescent="0.25">
      <c r="F833" t="str">
        <f>"Greasefang, Okiba Boss"</f>
        <v>Greasefang, Okiba Boss</v>
      </c>
      <c r="G833">
        <f>SUMIFS(Colección!$L$2:$L$10001,Colección!$F$2:$F$10001,$F833,Colección!$M$2:$M$10001,"Compra")</f>
        <v>1.9614705882352941</v>
      </c>
      <c r="H833">
        <f>IF($G833=0,"",_xlfn.RANK.EQ($G833,$G$2:$G$2353,0)+COUNTIF($G$2:G833,$G833)-1)</f>
        <v>1380</v>
      </c>
    </row>
    <row r="834" spans="6:8" x14ac:dyDescent="0.25">
      <c r="F834" t="str">
        <f>"Great Furnace"</f>
        <v>Great Furnace</v>
      </c>
      <c r="G834">
        <f>SUMIFS(Colección!$L$2:$L$10001,Colección!$F$2:$F$10001,$F834,Colección!$M$2:$M$10001,"Compra")</f>
        <v>23.206151263835775</v>
      </c>
      <c r="H834">
        <f>IF($G834=0,"",_xlfn.RANK.EQ($G834,$G$2:$G$2353,0)+COUNTIF($G$2:G834,$G834)-1)</f>
        <v>338</v>
      </c>
    </row>
    <row r="835" spans="6:8" x14ac:dyDescent="0.25">
      <c r="F835" t="str">
        <f>"Green Sun's Zenith"</f>
        <v>Green Sun's Zenith</v>
      </c>
      <c r="G835">
        <f>SUMIFS(Colección!$L$2:$L$10001,Colección!$F$2:$F$10001,$F835,Colección!$M$2:$M$10001,"Compra")</f>
        <v>112.31709282432074</v>
      </c>
      <c r="H835">
        <f>IF($G835=0,"",_xlfn.RANK.EQ($G835,$G$2:$G$2353,0)+COUNTIF($G$2:G835,$G835)-1)</f>
        <v>63</v>
      </c>
    </row>
    <row r="836" spans="6:8" x14ac:dyDescent="0.25">
      <c r="F836" t="str">
        <f>"Grief [Playset]"</f>
        <v>Grief [Playset]</v>
      </c>
      <c r="G836">
        <f>SUMIFS(Colección!$L$2:$L$10001,Colección!$F$2:$F$10001,$F836,Colección!$M$2:$M$10001,"Compra")</f>
        <v>213.62541062801932</v>
      </c>
      <c r="H836">
        <f>IF($G836=0,"",_xlfn.RANK.EQ($G836,$G$2:$G$2353,0)+COUNTIF($G$2:G836,$G836)-1)</f>
        <v>18</v>
      </c>
    </row>
    <row r="837" spans="6:8" x14ac:dyDescent="0.25">
      <c r="F837" t="str">
        <f>"Grim Resolve"</f>
        <v>Grim Resolve</v>
      </c>
      <c r="G837">
        <f>SUMIFS(Colección!$L$2:$L$10001,Colección!$F$2:$F$10001,$F837,Colección!$M$2:$M$10001,"Compra")</f>
        <v>0.7895382100531263</v>
      </c>
      <c r="H837">
        <f>IF($G837=0,"",_xlfn.RANK.EQ($G837,$G$2:$G$2353,0)+COUNTIF($G$2:G837,$G837)-1)</f>
        <v>1729</v>
      </c>
    </row>
    <row r="838" spans="6:8" x14ac:dyDescent="0.25">
      <c r="F838" t="str">
        <f>"Grinding Station"</f>
        <v>Grinding Station</v>
      </c>
      <c r="G838">
        <f>SUMIFS(Colección!$L$2:$L$10001,Colección!$F$2:$F$10001,$F838,Colección!$M$2:$M$10001,"Compra")</f>
        <v>19.3</v>
      </c>
      <c r="H838">
        <f>IF($G838=0,"",_xlfn.RANK.EQ($G838,$G$2:$G$2353,0)+COUNTIF($G$2:G838,$G838)-1)</f>
        <v>408</v>
      </c>
    </row>
    <row r="839" spans="6:8" x14ac:dyDescent="0.25">
      <c r="F839" t="str">
        <f>"Griselbrand"</f>
        <v>Griselbrand</v>
      </c>
      <c r="G839">
        <f>SUMIFS(Colección!$L$2:$L$10001,Colección!$F$2:$F$10001,$F839,Colección!$M$2:$M$10001,"Compra")</f>
        <v>32.325960591132997</v>
      </c>
      <c r="H839">
        <f>IF($G839=0,"",_xlfn.RANK.EQ($G839,$G$2:$G$2353,0)+COUNTIF($G$2:G839,$G839)-1)</f>
        <v>261</v>
      </c>
    </row>
    <row r="840" spans="6:8" x14ac:dyDescent="0.25">
      <c r="F840" t="str">
        <f>"Griselbrand (V.2)"</f>
        <v>Griselbrand (V.2)</v>
      </c>
      <c r="G840">
        <f>SUMIFS(Colección!$L$2:$L$10001,Colección!$F$2:$F$10001,$F840,Colección!$M$2:$M$10001,"Compra")</f>
        <v>19.990000000000002</v>
      </c>
      <c r="H840">
        <f>IF($G840=0,"",_xlfn.RANK.EQ($G840,$G$2:$G$2353,0)+COUNTIF($G$2:G840,$G840)-1)</f>
        <v>395</v>
      </c>
    </row>
    <row r="841" spans="6:8" x14ac:dyDescent="0.25">
      <c r="F841" t="str">
        <f>"Grisly Salvage"</f>
        <v>Grisly Salvage</v>
      </c>
      <c r="G841">
        <f>SUMIFS(Colección!$L$2:$L$10001,Colección!$F$2:$F$10001,$F841,Colección!$M$2:$M$10001,"Compra")</f>
        <v>2.5083333333333333</v>
      </c>
      <c r="H841">
        <f>IF($G841=0,"",_xlfn.RANK.EQ($G841,$G$2:$G$2353,0)+COUNTIF($G$2:G841,$G841)-1)</f>
        <v>1255</v>
      </c>
    </row>
    <row r="842" spans="6:8" x14ac:dyDescent="0.25">
      <c r="F842" t="str">
        <f>"Grist, the Hunger Tide"</f>
        <v>Grist, the Hunger Tide</v>
      </c>
      <c r="G842">
        <f>SUMIFS(Colección!$L$2:$L$10001,Colección!$F$2:$F$10001,$F842,Colección!$M$2:$M$10001,"Compra")</f>
        <v>38.181818181818187</v>
      </c>
      <c r="H842">
        <f>IF($G842=0,"",_xlfn.RANK.EQ($G842,$G$2:$G$2353,0)+COUNTIF($G$2:G842,$G842)-1)</f>
        <v>222</v>
      </c>
    </row>
    <row r="843" spans="6:8" x14ac:dyDescent="0.25">
      <c r="F843" t="str">
        <f>"Ground Rift"</f>
        <v>Ground Rift</v>
      </c>
      <c r="G843">
        <f>SUMIFS(Colección!$L$2:$L$10001,Colección!$F$2:$F$10001,$F843,Colección!$M$2:$M$10001,"Compra")</f>
        <v>2.1799999999999997</v>
      </c>
      <c r="H843">
        <f>IF($G843=0,"",_xlfn.RANK.EQ($G843,$G$2:$G$2353,0)+COUNTIF($G$2:G843,$G843)-1)</f>
        <v>1326</v>
      </c>
    </row>
    <row r="844" spans="6:8" x14ac:dyDescent="0.25">
      <c r="F844" t="str">
        <f>"Groundswell"</f>
        <v>Groundswell</v>
      </c>
      <c r="G844">
        <f>SUMIFS(Colección!$L$2:$L$10001,Colección!$F$2:$F$10001,$F844,Colección!$M$2:$M$10001,"Compra")</f>
        <v>3.6069023569023568</v>
      </c>
      <c r="H844">
        <f>IF($G844=0,"",_xlfn.RANK.EQ($G844,$G$2:$G$2353,0)+COUNTIF($G$2:G844,$G844)-1)</f>
        <v>1104</v>
      </c>
    </row>
    <row r="845" spans="6:8" x14ac:dyDescent="0.25">
      <c r="F845" t="str">
        <f>"Grove of the Burnwillows"</f>
        <v>Grove of the Burnwillows</v>
      </c>
      <c r="G845">
        <f>SUMIFS(Colección!$L$2:$L$10001,Colección!$F$2:$F$10001,$F845,Colección!$M$2:$M$10001,"Compra")</f>
        <v>24.74902642306613</v>
      </c>
      <c r="H845">
        <f>IF($G845=0,"",_xlfn.RANK.EQ($G845,$G$2:$G$2353,0)+COUNTIF($G$2:G845,$G845)-1)</f>
        <v>317</v>
      </c>
    </row>
    <row r="846" spans="6:8" x14ac:dyDescent="0.25">
      <c r="F846" t="str">
        <f>"Gruul Turf"</f>
        <v>Gruul Turf</v>
      </c>
      <c r="G846">
        <f>SUMIFS(Colección!$L$2:$L$10001,Colección!$F$2:$F$10001,$F846,Colección!$M$2:$M$10001,"Compra")</f>
        <v>2.5477069944468713</v>
      </c>
      <c r="H846">
        <f>IF($G846=0,"",_xlfn.RANK.EQ($G846,$G$2:$G$2353,0)+COUNTIF($G$2:G846,$G846)-1)</f>
        <v>1246</v>
      </c>
    </row>
    <row r="847" spans="6:8" x14ac:dyDescent="0.25">
      <c r="F847" t="str">
        <f>"Gruul Turf [Playset]"</f>
        <v>Gruul Turf [Playset]</v>
      </c>
      <c r="G847">
        <f>SUMIFS(Colección!$L$2:$L$10001,Colección!$F$2:$F$10001,$F847,Colección!$M$2:$M$10001,"Compra")</f>
        <v>1.1513157894736841</v>
      </c>
      <c r="H847">
        <f>IF($G847=0,"",_xlfn.RANK.EQ($G847,$G$2:$G$2353,0)+COUNTIF($G$2:G847,$G847)-1)</f>
        <v>1576</v>
      </c>
    </row>
    <row r="848" spans="6:8" x14ac:dyDescent="0.25">
      <c r="F848" t="str">
        <f>"Guardian Angel"</f>
        <v>Guardian Angel</v>
      </c>
      <c r="G848">
        <f>SUMIFS(Colección!$L$2:$L$10001,Colección!$F$2:$F$10001,$F848,Colección!$M$2:$M$10001,"Compra")</f>
        <v>10.497452966714906</v>
      </c>
      <c r="H848">
        <f>IF($G848=0,"",_xlfn.RANK.EQ($G848,$G$2:$G$2353,0)+COUNTIF($G$2:G848,$G848)-1)</f>
        <v>646</v>
      </c>
    </row>
    <row r="849" spans="6:8" x14ac:dyDescent="0.25">
      <c r="F849" t="str">
        <f>"Guards!"</f>
        <v>Guards!</v>
      </c>
      <c r="G849">
        <f>SUMIFS(Colección!$L$2:$L$10001,Colección!$F$2:$F$10001,$F849,Colección!$M$2:$M$10001,"Compra")</f>
        <v>1.0966599749058972</v>
      </c>
      <c r="H849">
        <f>IF($G849=0,"",_xlfn.RANK.EQ($G849,$G$2:$G$2353,0)+COUNTIF($G$2:G849,$G849)-1)</f>
        <v>1599</v>
      </c>
    </row>
    <row r="850" spans="6:8" x14ac:dyDescent="0.25">
      <c r="F850" t="str">
        <f>"Guide of Souls"</f>
        <v>Guide of Souls</v>
      </c>
      <c r="G850">
        <f>SUMIFS(Colección!$L$2:$L$10001,Colección!$F$2:$F$10001,$F850,Colección!$M$2:$M$10001,"Compra")</f>
        <v>42.171078522806098</v>
      </c>
      <c r="H850">
        <f>IF($G850=0,"",_xlfn.RANK.EQ($G850,$G$2:$G$2353,0)+COUNTIF($G$2:G850,$G850)-1)</f>
        <v>201</v>
      </c>
    </row>
    <row r="851" spans="6:8" x14ac:dyDescent="0.25">
      <c r="F851" t="str">
        <f>"Gum-Gum Giant Gavel (OP03-055)"</f>
        <v>Gum-Gum Giant Gavel (OP03-055)</v>
      </c>
      <c r="G851">
        <f>SUMIFS(Colección!$L$2:$L$10001,Colección!$F$2:$F$10001,$F851,Colección!$M$2:$M$10001,"Compra")</f>
        <v>9.5193798449612399E-2</v>
      </c>
      <c r="H851">
        <f>IF($G851=0,"",_xlfn.RANK.EQ($G851,$G$2:$G$2353,0)+COUNTIF($G$2:G851,$G851)-1)</f>
        <v>2174</v>
      </c>
    </row>
    <row r="852" spans="6:8" x14ac:dyDescent="0.25">
      <c r="F852" t="str">
        <f>"Gum-Gum Jet Gatling (OP03-072)"</f>
        <v>Gum-Gum Jet Gatling (OP03-072)</v>
      </c>
      <c r="G852">
        <f>SUMIFS(Colección!$L$2:$L$10001,Colección!$F$2:$F$10001,$F852,Colección!$M$2:$M$10001,"Compra")</f>
        <v>0.52356589147286825</v>
      </c>
      <c r="H852">
        <f>IF($G852=0,"",_xlfn.RANK.EQ($G852,$G$2:$G$2353,0)+COUNTIF($G$2:G852,$G852)-1)</f>
        <v>1872</v>
      </c>
    </row>
    <row r="853" spans="6:8" x14ac:dyDescent="0.25">
      <c r="F853" t="str">
        <f>"Gum-Gum King Kong Gun (OP04-093)"</f>
        <v>Gum-Gum King Kong Gun (OP04-093)</v>
      </c>
      <c r="G853">
        <f>SUMIFS(Colección!$L$2:$L$10001,Colección!$F$2:$F$10001,$F853,Colección!$M$2:$M$10001,"Compra")</f>
        <v>2.5686746987951811E-2</v>
      </c>
      <c r="H853">
        <f>IF($G853=0,"",_xlfn.RANK.EQ($G853,$G$2:$G$2353,0)+COUNTIF($G$2:G853,$G853)-1)</f>
        <v>2347</v>
      </c>
    </row>
    <row r="854" spans="6:8" x14ac:dyDescent="0.25">
      <c r="F854" t="str">
        <f>"Gum-Gum Red Roc (OP04-056)"</f>
        <v>Gum-Gum Red Roc (OP04-056)</v>
      </c>
      <c r="G854">
        <f>SUMIFS(Colección!$L$2:$L$10001,Colección!$F$2:$F$10001,$F854,Colección!$M$2:$M$10001,"Compra")</f>
        <v>1.28433734939759</v>
      </c>
      <c r="H854">
        <f>IF($G854=0,"",_xlfn.RANK.EQ($G854,$G$2:$G$2353,0)+COUNTIF($G$2:G854,$G854)-1)</f>
        <v>1549</v>
      </c>
    </row>
    <row r="855" spans="6:8" x14ac:dyDescent="0.25">
      <c r="F855" t="str">
        <f>"Gurmag Angler [Playset]"</f>
        <v>Gurmag Angler [Playset]</v>
      </c>
      <c r="G855">
        <f>SUMIFS(Colección!$L$2:$L$10001,Colección!$F$2:$F$10001,$F855,Colección!$M$2:$M$10001,"Compra")</f>
        <v>0.55465779467680609</v>
      </c>
      <c r="H855">
        <f>IF($G855=0,"",_xlfn.RANK.EQ($G855,$G$2:$G$2353,0)+COUNTIF($G$2:G855,$G855)-1)</f>
        <v>1850</v>
      </c>
    </row>
    <row r="856" spans="6:8" x14ac:dyDescent="0.25">
      <c r="F856" t="str">
        <f>"Gush"</f>
        <v>Gush</v>
      </c>
      <c r="G856">
        <f>SUMIFS(Colección!$L$2:$L$10001,Colección!$F$2:$F$10001,$F856,Colección!$M$2:$M$10001,"Compra")</f>
        <v>4.0112738214643917</v>
      </c>
      <c r="H856">
        <f>IF($G856=0,"",_xlfn.RANK.EQ($G856,$G$2:$G$2353,0)+COUNTIF($G$2:G856,$G856)-1)</f>
        <v>1065</v>
      </c>
    </row>
    <row r="857" spans="6:8" x14ac:dyDescent="0.25">
      <c r="F857" t="str">
        <f>"Gust"</f>
        <v>Gust</v>
      </c>
      <c r="G857">
        <f>SUMIFS(Colección!$L$2:$L$10001,Colección!$F$2:$F$10001,$F857,Colección!$M$2:$M$10001,"Compra")</f>
        <v>3.2499999999999991</v>
      </c>
      <c r="H857">
        <f>IF($G857=0,"",_xlfn.RANK.EQ($G857,$G$2:$G$2353,0)+COUNTIF($G$2:G857,$G857)-1)</f>
        <v>1168</v>
      </c>
    </row>
    <row r="858" spans="6:8" x14ac:dyDescent="0.25">
      <c r="F858" t="str">
        <f>"Gut Shot"</f>
        <v>Gut Shot</v>
      </c>
      <c r="G858">
        <f>SUMIFS(Colección!$L$2:$L$10001,Colección!$F$2:$F$10001,$F858,Colección!$M$2:$M$10001,"Compra")</f>
        <v>13.138654073199529</v>
      </c>
      <c r="H858">
        <f>IF($G858=0,"",_xlfn.RANK.EQ($G858,$G$2:$G$2353,0)+COUNTIF($G$2:G858,$G858)-1)</f>
        <v>547</v>
      </c>
    </row>
    <row r="859" spans="6:8" x14ac:dyDescent="0.25">
      <c r="F859" t="str">
        <f>"Gut Shot [Playset]"</f>
        <v>Gut Shot [Playset]</v>
      </c>
      <c r="G859">
        <f>SUMIFS(Colección!$L$2:$L$10001,Colección!$F$2:$F$10001,$F859,Colección!$M$2:$M$10001,"Compra")</f>
        <v>3.717567567567567</v>
      </c>
      <c r="H859">
        <f>IF($G859=0,"",_xlfn.RANK.EQ($G859,$G$2:$G$2353,0)+COUNTIF($G$2:G859,$G859)-1)</f>
        <v>1090</v>
      </c>
    </row>
    <row r="860" spans="6:8" x14ac:dyDescent="0.25">
      <c r="F860" t="str">
        <f>"Gyats (OP04-080)"</f>
        <v>Gyats (OP04-080)</v>
      </c>
      <c r="G860">
        <f>SUMIFS(Colección!$L$2:$L$10001,Colección!$F$2:$F$10001,$F860,Colección!$M$2:$M$10001,"Compra")</f>
        <v>6.1898734177215198E-2</v>
      </c>
      <c r="H860">
        <f>IF($G860=0,"",_xlfn.RANK.EQ($G860,$G$2:$G$2353,0)+COUNTIF($G$2:G860,$G860)-1)</f>
        <v>2273</v>
      </c>
    </row>
    <row r="861" spans="6:8" x14ac:dyDescent="0.25">
      <c r="F861" t="str">
        <f>"Haccha (OP05-049)"</f>
        <v>Haccha (OP05-049)</v>
      </c>
      <c r="G861">
        <f>SUMIFS(Colección!$L$2:$L$10001,Colección!$F$2:$F$10001,$F861,Colección!$M$2:$M$10001,"Compra")</f>
        <v>6.7654260528893242E-2</v>
      </c>
      <c r="H861">
        <f>IF($G861=0,"",_xlfn.RANK.EQ($G861,$G$2:$G$2353,0)+COUNTIF($G$2:G861,$G861)-1)</f>
        <v>2240</v>
      </c>
    </row>
    <row r="862" spans="6:8" x14ac:dyDescent="0.25">
      <c r="F862" t="str">
        <f>"Hack (OP05-012)"</f>
        <v>Hack (OP05-012)</v>
      </c>
      <c r="G862">
        <f>SUMIFS(Colección!$L$2:$L$10001,Colección!$F$2:$F$10001,$F862,Colección!$M$2:$M$10001,"Compra")</f>
        <v>4.0592556317335937E-2</v>
      </c>
      <c r="H862">
        <f>IF($G862=0,"",_xlfn.RANK.EQ($G862,$G$2:$G$2353,0)+COUNTIF($G$2:G862,$G862)-1)</f>
        <v>2329</v>
      </c>
    </row>
    <row r="863" spans="6:8" x14ac:dyDescent="0.25">
      <c r="F863" t="str">
        <f>"Hajrudin (OP04-088)"</f>
        <v>Hajrudin (OP04-088)</v>
      </c>
      <c r="G863">
        <f>SUMIFS(Colección!$L$2:$L$10001,Colección!$F$2:$F$10001,$F863,Colección!$M$2:$M$10001,"Compra")</f>
        <v>6.1898734177215198E-2</v>
      </c>
      <c r="H863">
        <f>IF($G863=0,"",_xlfn.RANK.EQ($G863,$G$2:$G$2353,0)+COUNTIF($G$2:G863,$G863)-1)</f>
        <v>2274</v>
      </c>
    </row>
    <row r="864" spans="6:8" x14ac:dyDescent="0.25">
      <c r="F864" t="str">
        <f>"Hakuba (OP05-087)"</f>
        <v>Hakuba (OP05-087)</v>
      </c>
      <c r="G864">
        <f>SUMIFS(Colección!$L$2:$L$10001,Colección!$F$2:$F$10001,$F864,Colección!$M$2:$M$10001,"Compra")</f>
        <v>8.1185112634671888E-2</v>
      </c>
      <c r="H864">
        <f>IF($G864=0,"",_xlfn.RANK.EQ($G864,$G$2:$G$2353,0)+COUNTIF($G$2:G864,$G864)-1)</f>
        <v>2225</v>
      </c>
    </row>
    <row r="865" spans="6:8" x14ac:dyDescent="0.25">
      <c r="F865" t="str">
        <f>"Halana and Alena, Partners"</f>
        <v>Halana and Alena, Partners</v>
      </c>
      <c r="G865">
        <f>SUMIFS(Colección!$L$2:$L$10001,Colección!$F$2:$F$10001,$F865,Colección!$M$2:$M$10001,"Compra")</f>
        <v>2.0641137855579861</v>
      </c>
      <c r="H865">
        <f>IF($G865=0,"",_xlfn.RANK.EQ($G865,$G$2:$G$2353,0)+COUNTIF($G$2:G865,$G865)-1)</f>
        <v>1353</v>
      </c>
    </row>
    <row r="866" spans="6:8" x14ac:dyDescent="0.25">
      <c r="F866" t="str">
        <f>"Haliya, Guided by Light"</f>
        <v>Haliya, Guided by Light</v>
      </c>
      <c r="G866">
        <f>SUMIFS(Colección!$L$2:$L$10001,Colección!$F$2:$F$10001,$F866,Colección!$M$2:$M$10001,"Compra")</f>
        <v>34.450000000000003</v>
      </c>
      <c r="H866">
        <f>IF($G866=0,"",_xlfn.RANK.EQ($G866,$G$2:$G$2353,0)+COUNTIF($G$2:G866,$G866)-1)</f>
        <v>247</v>
      </c>
    </row>
    <row r="867" spans="6:8" x14ac:dyDescent="0.25">
      <c r="F867" t="str">
        <f>"Hall of Heliod's Generosity"</f>
        <v>Hall of Heliod's Generosity</v>
      </c>
      <c r="G867">
        <f>SUMIFS(Colección!$L$2:$L$10001,Colección!$F$2:$F$10001,$F867,Colección!$M$2:$M$10001,"Compra")</f>
        <v>5.95</v>
      </c>
      <c r="H867">
        <f>IF($G867=0,"",_xlfn.RANK.EQ($G867,$G$2:$G$2353,0)+COUNTIF($G$2:G867,$G867)-1)</f>
        <v>897</v>
      </c>
    </row>
    <row r="868" spans="6:8" x14ac:dyDescent="0.25">
      <c r="F868" t="str">
        <f>"Hall of Heliod's Generosity (V.1)"</f>
        <v>Hall of Heliod's Generosity (V.1)</v>
      </c>
      <c r="G868">
        <f>SUMIFS(Colección!$L$2:$L$10001,Colección!$F$2:$F$10001,$F868,Colección!$M$2:$M$10001,"Compra")</f>
        <v>13.93563218390805</v>
      </c>
      <c r="H868">
        <f>IF($G868=0,"",_xlfn.RANK.EQ($G868,$G$2:$G$2353,0)+COUNTIF($G$2:G868,$G868)-1)</f>
        <v>529</v>
      </c>
    </row>
    <row r="869" spans="6:8" x14ac:dyDescent="0.25">
      <c r="F869" t="str">
        <f>"Hall of Legends"</f>
        <v>Hall of Legends</v>
      </c>
      <c r="G869">
        <f>SUMIFS(Colección!$L$2:$L$10001,Colección!$F$2:$F$10001,$F869,Colección!$M$2:$M$10001,"Compra")</f>
        <v>1.1354495359628769</v>
      </c>
      <c r="H869">
        <f>IF($G869=0,"",_xlfn.RANK.EQ($G869,$G$2:$G$2353,0)+COUNTIF($G$2:G869,$G869)-1)</f>
        <v>1584</v>
      </c>
    </row>
    <row r="870" spans="6:8" x14ac:dyDescent="0.25">
      <c r="F870" t="str">
        <f>"Hall of Storm Giants"</f>
        <v>Hall of Storm Giants</v>
      </c>
      <c r="G870">
        <f>SUMIFS(Colección!$L$2:$L$10001,Colección!$F$2:$F$10001,$F870,Colección!$M$2:$M$10001,"Compra")</f>
        <v>8.075055236411842</v>
      </c>
      <c r="H870">
        <f>IF($G870=0,"",_xlfn.RANK.EQ($G870,$G$2:$G$2353,0)+COUNTIF($G$2:G870,$G870)-1)</f>
        <v>744</v>
      </c>
    </row>
    <row r="871" spans="6:8" x14ac:dyDescent="0.25">
      <c r="F871" t="str">
        <f>"Hallowed Fountain"</f>
        <v>Hallowed Fountain</v>
      </c>
      <c r="G871">
        <f>SUMIFS(Colección!$L$2:$L$10001,Colección!$F$2:$F$10001,$F871,Colección!$M$2:$M$10001,"Compra")</f>
        <v>21.22</v>
      </c>
      <c r="H871">
        <f>IF($G871=0,"",_xlfn.RANK.EQ($G871,$G$2:$G$2353,0)+COUNTIF($G$2:G871,$G871)-1)</f>
        <v>375</v>
      </c>
    </row>
    <row r="872" spans="6:8" x14ac:dyDescent="0.25">
      <c r="F872" t="str">
        <f>"Hallowed Moonlight"</f>
        <v>Hallowed Moonlight</v>
      </c>
      <c r="G872">
        <f>SUMIFS(Colección!$L$2:$L$10001,Colección!$F$2:$F$10001,$F872,Colección!$M$2:$M$10001,"Compra")</f>
        <v>19.237344139650872</v>
      </c>
      <c r="H872">
        <f>IF($G872=0,"",_xlfn.RANK.EQ($G872,$G$2:$G$2353,0)+COUNTIF($G$2:G872,$G872)-1)</f>
        <v>412</v>
      </c>
    </row>
    <row r="873" spans="6:8" x14ac:dyDescent="0.25">
      <c r="F873" t="str">
        <f>"Halo Forager"</f>
        <v>Halo Forager</v>
      </c>
      <c r="G873">
        <f>SUMIFS(Colección!$L$2:$L$10001,Colección!$F$2:$F$10001,$F873,Colección!$M$2:$M$10001,"Compra")</f>
        <v>0.17888925839707351</v>
      </c>
      <c r="H873">
        <f>IF($G873=0,"",_xlfn.RANK.EQ($G873,$G$2:$G$2353,0)+COUNTIF($G$2:G873,$G873)-1)</f>
        <v>2094</v>
      </c>
    </row>
    <row r="874" spans="6:8" x14ac:dyDescent="0.25">
      <c r="F874" t="str">
        <f>"Hangarback Walker"</f>
        <v>Hangarback Walker</v>
      </c>
      <c r="G874">
        <f>SUMIFS(Colección!$L$2:$L$10001,Colección!$F$2:$F$10001,$F874,Colección!$M$2:$M$10001,"Compra")</f>
        <v>5.4728879753340198</v>
      </c>
      <c r="H874">
        <f>IF($G874=0,"",_xlfn.RANK.EQ($G874,$G$2:$G$2353,0)+COUNTIF($G$2:G874,$G874)-1)</f>
        <v>927</v>
      </c>
    </row>
    <row r="875" spans="6:8" x14ac:dyDescent="0.25">
      <c r="F875" t="str">
        <f>"Hanger (OP04-050)"</f>
        <v>Hanger (OP04-050)</v>
      </c>
      <c r="G875">
        <f>SUMIFS(Colección!$L$2:$L$10001,Colección!$F$2:$F$10001,$F875,Colección!$M$2:$M$10001,"Compra")</f>
        <v>6.1898734177215198E-2</v>
      </c>
      <c r="H875">
        <f>IF($G875=0,"",_xlfn.RANK.EQ($G875,$G$2:$G$2353,0)+COUNTIF($G$2:G875,$G875)-1)</f>
        <v>2275</v>
      </c>
    </row>
    <row r="876" spans="6:8" x14ac:dyDescent="0.25">
      <c r="F876" t="str">
        <f>"Hanweir Battlements / Hanweir, the Writhing Township"</f>
        <v>Hanweir Battlements / Hanweir, the Writhing Township</v>
      </c>
      <c r="G876">
        <f>SUMIFS(Colección!$L$2:$L$10001,Colección!$F$2:$F$10001,$F876,Colección!$M$2:$M$10001,"Compra")</f>
        <v>3.47</v>
      </c>
      <c r="H876">
        <f>IF($G876=0,"",_xlfn.RANK.EQ($G876,$G$2:$G$2353,0)+COUNTIF($G$2:G876,$G876)-1)</f>
        <v>1122</v>
      </c>
    </row>
    <row r="877" spans="6:8" x14ac:dyDescent="0.25">
      <c r="F877" t="str">
        <f>"Hard Bargain"</f>
        <v>Hard Bargain</v>
      </c>
      <c r="G877">
        <f>SUMIFS(Colección!$L$2:$L$10001,Colección!$F$2:$F$10001,$F877,Colección!$M$2:$M$10001,"Compra")</f>
        <v>10.778446327683616</v>
      </c>
      <c r="H877">
        <f>IF($G877=0,"",_xlfn.RANK.EQ($G877,$G$2:$G$2353,0)+COUNTIF($G$2:G877,$G877)-1)</f>
        <v>632</v>
      </c>
    </row>
    <row r="878" spans="6:8" x14ac:dyDescent="0.25">
      <c r="F878" t="str">
        <f>"Hardened Scales"</f>
        <v>Hardened Scales</v>
      </c>
      <c r="G878">
        <f>SUMIFS(Colección!$L$2:$L$10001,Colección!$F$2:$F$10001,$F878,Colección!$M$2:$M$10001,"Compra")</f>
        <v>11.348818088386432</v>
      </c>
      <c r="H878">
        <f>IF($G878=0,"",_xlfn.RANK.EQ($G878,$G$2:$G$2353,0)+COUNTIF($G$2:G878,$G878)-1)</f>
        <v>604</v>
      </c>
    </row>
    <row r="879" spans="6:8" x14ac:dyDescent="0.25">
      <c r="F879" t="str">
        <f>"Hareruya Dice (Black)"</f>
        <v>Hareruya Dice (Black)</v>
      </c>
      <c r="G879">
        <f>SUMIFS(Colección!$L$2:$L$10001,Colección!$F$2:$F$10001,$F879,Colección!$M$2:$M$10001,"Compra")</f>
        <v>3.2727272727272729</v>
      </c>
      <c r="H879">
        <f>IF($G879=0,"",_xlfn.RANK.EQ($G879,$G$2:$G$2353,0)+COUNTIF($G$2:G879,$G879)-1)</f>
        <v>1156</v>
      </c>
    </row>
    <row r="880" spans="6:8" x14ac:dyDescent="0.25">
      <c r="F880" t="str">
        <f>"Hareruya Dice (Clear Blue)"</f>
        <v>Hareruya Dice (Clear Blue)</v>
      </c>
      <c r="G880">
        <f>SUMIFS(Colección!$L$2:$L$10001,Colección!$F$2:$F$10001,$F880,Colección!$M$2:$M$10001,"Compra")</f>
        <v>3.2727272727272729</v>
      </c>
      <c r="H880">
        <f>IF($G880=0,"",_xlfn.RANK.EQ($G880,$G$2:$G$2353,0)+COUNTIF($G$2:G880,$G880)-1)</f>
        <v>1157</v>
      </c>
    </row>
    <row r="881" spans="6:8" x14ac:dyDescent="0.25">
      <c r="F881" t="str">
        <f>"Hareruya Dice (Clear Green)"</f>
        <v>Hareruya Dice (Clear Green)</v>
      </c>
      <c r="G881">
        <f>SUMIFS(Colección!$L$2:$L$10001,Colección!$F$2:$F$10001,$F881,Colección!$M$2:$M$10001,"Compra")</f>
        <v>3.2727272727272729</v>
      </c>
      <c r="H881">
        <f>IF($G881=0,"",_xlfn.RANK.EQ($G881,$G$2:$G$2353,0)+COUNTIF($G$2:G881,$G881)-1)</f>
        <v>1158</v>
      </c>
    </row>
    <row r="882" spans="6:8" x14ac:dyDescent="0.25">
      <c r="F882" t="str">
        <f>"Hareruya Dice (Clear Pink)"</f>
        <v>Hareruya Dice (Clear Pink)</v>
      </c>
      <c r="G882">
        <f>SUMIFS(Colección!$L$2:$L$10001,Colección!$F$2:$F$10001,$F882,Colección!$M$2:$M$10001,"Compra")</f>
        <v>3.2727272727272729</v>
      </c>
      <c r="H882">
        <f>IF($G882=0,"",_xlfn.RANK.EQ($G882,$G$2:$G$2353,0)+COUNTIF($G$2:G882,$G882)-1)</f>
        <v>1159</v>
      </c>
    </row>
    <row r="883" spans="6:8" x14ac:dyDescent="0.25">
      <c r="F883" t="str">
        <f>"Hareruya Dice (Clear Red)"</f>
        <v>Hareruya Dice (Clear Red)</v>
      </c>
      <c r="G883">
        <f>SUMIFS(Colección!$L$2:$L$10001,Colección!$F$2:$F$10001,$F883,Colección!$M$2:$M$10001,"Compra")</f>
        <v>3.2727272727272729</v>
      </c>
      <c r="H883">
        <f>IF($G883=0,"",_xlfn.RANK.EQ($G883,$G$2:$G$2353,0)+COUNTIF($G$2:G883,$G883)-1)</f>
        <v>1160</v>
      </c>
    </row>
    <row r="884" spans="6:8" x14ac:dyDescent="0.25">
      <c r="F884" t="str">
        <f>"Hareruya Dice (Clear Yellow)"</f>
        <v>Hareruya Dice (Clear Yellow)</v>
      </c>
      <c r="G884">
        <f>SUMIFS(Colección!$L$2:$L$10001,Colección!$F$2:$F$10001,$F884,Colección!$M$2:$M$10001,"Compra")</f>
        <v>3.2727272727272729</v>
      </c>
      <c r="H884">
        <f>IF($G884=0,"",_xlfn.RANK.EQ($G884,$G$2:$G$2353,0)+COUNTIF($G$2:G884,$G884)-1)</f>
        <v>1161</v>
      </c>
    </row>
    <row r="885" spans="6:8" x14ac:dyDescent="0.25">
      <c r="F885" t="str">
        <f>"Hareruya Dice (Green)"</f>
        <v>Hareruya Dice (Green)</v>
      </c>
      <c r="G885">
        <f>SUMIFS(Colección!$L$2:$L$10001,Colección!$F$2:$F$10001,$F885,Colección!$M$2:$M$10001,"Compra")</f>
        <v>3.2727272727272729</v>
      </c>
      <c r="H885">
        <f>IF($G885=0,"",_xlfn.RANK.EQ($G885,$G$2:$G$2353,0)+COUNTIF($G$2:G885,$G885)-1)</f>
        <v>1162</v>
      </c>
    </row>
    <row r="886" spans="6:8" x14ac:dyDescent="0.25">
      <c r="F886" t="str">
        <f>"Hareruya Dice (Red)"</f>
        <v>Hareruya Dice (Red)</v>
      </c>
      <c r="G886">
        <f>SUMIFS(Colección!$L$2:$L$10001,Colección!$F$2:$F$10001,$F886,Colección!$M$2:$M$10001,"Compra")</f>
        <v>9.8181818181818183</v>
      </c>
      <c r="H886">
        <f>IF($G886=0,"",_xlfn.RANK.EQ($G886,$G$2:$G$2353,0)+COUNTIF($G$2:G886,$G886)-1)</f>
        <v>670</v>
      </c>
    </row>
    <row r="887" spans="6:8" x14ac:dyDescent="0.25">
      <c r="F887" t="str">
        <f>"Hareruya Logo Pin Badge"</f>
        <v>Hareruya Logo Pin Badge</v>
      </c>
      <c r="G887">
        <f>SUMIFS(Colección!$L$2:$L$10001,Colección!$F$2:$F$10001,$F887,Colección!$M$2:$M$10001,"Compra")</f>
        <v>9.8181818181818201</v>
      </c>
      <c r="H887">
        <f>IF($G887=0,"",_xlfn.RANK.EQ($G887,$G$2:$G$2353,0)+COUNTIF($G$2:G887,$G887)-1)</f>
        <v>670</v>
      </c>
    </row>
    <row r="888" spans="6:8" x14ac:dyDescent="0.25">
      <c r="F888" t="str">
        <f>"Hareruya Playmat (Red)"</f>
        <v>Hareruya Playmat (Red)</v>
      </c>
      <c r="G888">
        <f>SUMIFS(Colección!$L$2:$L$10001,Colección!$F$2:$F$10001,$F888,Colección!$M$2:$M$10001,"Compra")</f>
        <v>10.90909090909091</v>
      </c>
      <c r="H888">
        <f>IF($G888=0,"",_xlfn.RANK.EQ($G888,$G$2:$G$2353,0)+COUNTIF($G$2:G888,$G888)-1)</f>
        <v>628</v>
      </c>
    </row>
    <row r="889" spans="6:8" x14ac:dyDescent="0.25">
      <c r="F889" t="str">
        <f>"Harnessed Dragon"</f>
        <v>Harnessed Dragon</v>
      </c>
      <c r="G889">
        <f>SUMIFS(Colección!$L$2:$L$10001,Colección!$F$2:$F$10001,$F889,Colección!$M$2:$M$10001,"Compra")</f>
        <v>10.230544217687076</v>
      </c>
      <c r="H889">
        <f>IF($G889=0,"",_xlfn.RANK.EQ($G889,$G$2:$G$2353,0)+COUNTIF($G$2:G889,$G889)-1)</f>
        <v>658</v>
      </c>
    </row>
    <row r="890" spans="6:8" x14ac:dyDescent="0.25">
      <c r="F890" t="str">
        <f>"Harsh Mentor"</f>
        <v>Harsh Mentor</v>
      </c>
      <c r="G890">
        <f>SUMIFS(Colección!$L$2:$L$10001,Colección!$F$2:$F$10001,$F890,Colección!$M$2:$M$10001,"Compra")</f>
        <v>1.0145054945054943</v>
      </c>
      <c r="H890">
        <f>IF($G890=0,"",_xlfn.RANK.EQ($G890,$G$2:$G$2353,0)+COUNTIF($G$2:G890,$G890)-1)</f>
        <v>1653</v>
      </c>
    </row>
    <row r="891" spans="6:8" x14ac:dyDescent="0.25">
      <c r="F891" t="str">
        <f>"Haruta (OP03-009)"</f>
        <v>Haruta (OP03-009)</v>
      </c>
      <c r="G891">
        <f>SUMIFS(Colección!$L$2:$L$10001,Colección!$F$2:$F$10001,$F891,Colección!$M$2:$M$10001,"Compra")</f>
        <v>2.822299651567944E-2</v>
      </c>
      <c r="H891">
        <f>IF($G891=0,"",_xlfn.RANK.EQ($G891,$G$2:$G$2353,0)+COUNTIF($G$2:G891,$G891)-1)</f>
        <v>2338</v>
      </c>
    </row>
    <row r="892" spans="6:8" x14ac:dyDescent="0.25">
      <c r="F892" t="str">
        <f>"Harvester of Misery (V.2)"</f>
        <v>Harvester of Misery (V.2)</v>
      </c>
      <c r="G892">
        <f>SUMIFS(Colección!$L$2:$L$10001,Colección!$F$2:$F$10001,$F892,Colección!$M$2:$M$10001,"Compra")</f>
        <v>25.274127310061601</v>
      </c>
      <c r="H892">
        <f>IF($G892=0,"",_xlfn.RANK.EQ($G892,$G$2:$G$2353,0)+COUNTIF($G$2:G892,$G892)-1)</f>
        <v>309</v>
      </c>
    </row>
    <row r="893" spans="6:8" x14ac:dyDescent="0.25">
      <c r="F893" t="str">
        <f>"Hatchan (OP03-033)"</f>
        <v>Hatchan (OP03-033)</v>
      </c>
      <c r="G893">
        <f>SUMIFS(Colección!$L$2:$L$10001,Colección!$F$2:$F$10001,$F893,Colección!$M$2:$M$10001,"Compra")</f>
        <v>0.22608527131782949</v>
      </c>
      <c r="H893">
        <f>IF($G893=0,"",_xlfn.RANK.EQ($G893,$G$2:$G$2353,0)+COUNTIF($G$2:G893,$G893)-1)</f>
        <v>2062</v>
      </c>
    </row>
    <row r="894" spans="6:8" x14ac:dyDescent="0.25">
      <c r="F894" t="str">
        <f>"Haughty Djinn"</f>
        <v>Haughty Djinn</v>
      </c>
      <c r="G894">
        <f>SUMIFS(Colección!$L$2:$L$10001,Colección!$F$2:$F$10001,$F894,Colección!$M$2:$M$10001,"Compra")</f>
        <v>5.22</v>
      </c>
      <c r="H894">
        <f>IF($G894=0,"",_xlfn.RANK.EQ($G894,$G$2:$G$2353,0)+COUNTIF($G$2:G894,$G894)-1)</f>
        <v>952</v>
      </c>
    </row>
    <row r="895" spans="6:8" x14ac:dyDescent="0.25">
      <c r="F895" t="str">
        <f>"Haute Couture PatchWork (OP05-094)"</f>
        <v>Haute Couture PatchWork (OP05-094)</v>
      </c>
      <c r="G895">
        <f>SUMIFS(Colección!$L$2:$L$10001,Colección!$F$2:$F$10001,$F895,Colección!$M$2:$M$10001,"Compra")</f>
        <v>0.13530852105778651</v>
      </c>
      <c r="H895">
        <f>IF($G895=0,"",_xlfn.RANK.EQ($G895,$G$2:$G$2353,0)+COUNTIF($G$2:G895,$G895)-1)</f>
        <v>2132</v>
      </c>
    </row>
    <row r="896" spans="6:8" x14ac:dyDescent="0.25">
      <c r="F896" t="str">
        <f>"Haywire Mite"</f>
        <v>Haywire Mite</v>
      </c>
      <c r="G896">
        <f>SUMIFS(Colección!$L$2:$L$10001,Colección!$F$2:$F$10001,$F896,Colección!$M$2:$M$10001,"Compra")</f>
        <v>6.8389219425375041</v>
      </c>
      <c r="H896">
        <f>IF($G896=0,"",_xlfn.RANK.EQ($G896,$G$2:$G$2353,0)+COUNTIF($G$2:G896,$G896)-1)</f>
        <v>820</v>
      </c>
    </row>
    <row r="897" spans="6:8" x14ac:dyDescent="0.25">
      <c r="F897" t="str">
        <f>"Heart of Dark Ice"</f>
        <v>Heart of Dark Ice</v>
      </c>
      <c r="G897">
        <f>SUMIFS(Colección!$L$2:$L$10001,Colección!$F$2:$F$10001,$F897,Colección!$M$2:$M$10001,"Compra")</f>
        <v>0.87771345875542672</v>
      </c>
      <c r="H897">
        <f>IF($G897=0,"",_xlfn.RANK.EQ($G897,$G$2:$G$2353,0)+COUNTIF($G$2:G897,$G897)-1)</f>
        <v>1690</v>
      </c>
    </row>
    <row r="898" spans="6:8" x14ac:dyDescent="0.25">
      <c r="F898" t="str">
        <f>"Hearth Charm"</f>
        <v>Hearth Charm</v>
      </c>
      <c r="G898">
        <f>SUMIFS(Colección!$L$2:$L$10001,Colección!$F$2:$F$10001,$F898,Colección!$M$2:$M$10001,"Compra")</f>
        <v>3.9272727272727277</v>
      </c>
      <c r="H898">
        <f>IF($G898=0,"",_xlfn.RANK.EQ($G898,$G$2:$G$2353,0)+COUNTIF($G$2:G898,$G898)-1)</f>
        <v>1070</v>
      </c>
    </row>
    <row r="899" spans="6:8" x14ac:dyDescent="0.25">
      <c r="F899" t="str">
        <f>"Hearth Elemental // Stoke Genius"</f>
        <v>Hearth Elemental // Stoke Genius</v>
      </c>
      <c r="G899">
        <f>SUMIFS(Colección!$L$2:$L$10001,Colección!$F$2:$F$10001,$F899,Colección!$M$2:$M$10001,"Compra")</f>
        <v>1.2912730184147316</v>
      </c>
      <c r="H899">
        <f>IF($G899=0,"",_xlfn.RANK.EQ($G899,$G$2:$G$2353,0)+COUNTIF($G$2:G899,$G899)-1)</f>
        <v>1547</v>
      </c>
    </row>
    <row r="900" spans="6:8" x14ac:dyDescent="0.25">
      <c r="F900" t="str">
        <f>"Hedge Maze"</f>
        <v>Hedge Maze</v>
      </c>
      <c r="G900">
        <f>SUMIFS(Colección!$L$2:$L$10001,Colección!$F$2:$F$10001,$F900,Colección!$M$2:$M$10001,"Compra")</f>
        <v>22.544270658682635</v>
      </c>
      <c r="H900">
        <f>IF($G900=0,"",_xlfn.RANK.EQ($G900,$G$2:$G$2353,0)+COUNTIF($G$2:G900,$G900)-1)</f>
        <v>348</v>
      </c>
    </row>
    <row r="901" spans="6:8" x14ac:dyDescent="0.25">
      <c r="F901" t="str">
        <f>"Hedron Crab"</f>
        <v>Hedron Crab</v>
      </c>
      <c r="G901">
        <f>SUMIFS(Colección!$L$2:$L$10001,Colección!$F$2:$F$10001,$F901,Colección!$M$2:$M$10001,"Compra")</f>
        <v>17.18</v>
      </c>
      <c r="H901">
        <f>IF($G901=0,"",_xlfn.RANK.EQ($G901,$G$2:$G$2353,0)+COUNTIF($G$2:G901,$G901)-1)</f>
        <v>449</v>
      </c>
    </row>
    <row r="902" spans="6:8" x14ac:dyDescent="0.25">
      <c r="F902" t="str">
        <f>"Hedron Crab [Playset]"</f>
        <v>Hedron Crab [Playset]</v>
      </c>
      <c r="G902">
        <f>SUMIFS(Colección!$L$2:$L$10001,Colección!$F$2:$F$10001,$F902,Colección!$M$2:$M$10001,"Compra")</f>
        <v>13.71</v>
      </c>
      <c r="H902">
        <f>IF($G902=0,"",_xlfn.RANK.EQ($G902,$G$2:$G$2353,0)+COUNTIF($G$2:G902,$G902)-1)</f>
        <v>533</v>
      </c>
    </row>
    <row r="903" spans="6:8" x14ac:dyDescent="0.25">
      <c r="F903" t="str">
        <f>"Heliod, Sun-Crowned"</f>
        <v>Heliod, Sun-Crowned</v>
      </c>
      <c r="G903">
        <f>SUMIFS(Colección!$L$2:$L$10001,Colección!$F$2:$F$10001,$F903,Colección!$M$2:$M$10001,"Compra")</f>
        <v>21.43</v>
      </c>
      <c r="H903">
        <f>IF($G903=0,"",_xlfn.RANK.EQ($G903,$G$2:$G$2353,0)+COUNTIF($G$2:G903,$G903)-1)</f>
        <v>369</v>
      </c>
    </row>
    <row r="904" spans="6:8" x14ac:dyDescent="0.25">
      <c r="F904" t="str">
        <f>"Helmeppo (OP03-091)"</f>
        <v>Helmeppo (OP03-091)</v>
      </c>
      <c r="G904">
        <f>SUMIFS(Colección!$L$2:$L$10001,Colección!$F$2:$F$10001,$F904,Colección!$M$2:$M$10001,"Compra")</f>
        <v>9.5193798449612399E-2</v>
      </c>
      <c r="H904">
        <f>IF($G904=0,"",_xlfn.RANK.EQ($G904,$G$2:$G$2353,0)+COUNTIF($G$2:G904,$G904)-1)</f>
        <v>2175</v>
      </c>
    </row>
    <row r="905" spans="6:8" x14ac:dyDescent="0.25">
      <c r="F905" t="str">
        <f>"Helmeppo (P-020)"</f>
        <v>Helmeppo (P-020)</v>
      </c>
      <c r="G905">
        <f>SUMIFS(Colección!$L$2:$L$10001,Colección!$F$2:$F$10001,$F905,Colección!$M$2:$M$10001,"Compra")</f>
        <v>0.1189922480620155</v>
      </c>
      <c r="H905">
        <f>IF($G905=0,"",_xlfn.RANK.EQ($G905,$G$2:$G$2353,0)+COUNTIF($G$2:G905,$G905)-1)</f>
        <v>2152</v>
      </c>
    </row>
    <row r="906" spans="6:8" x14ac:dyDescent="0.25">
      <c r="F906" t="str">
        <f>"Helping Hand"</f>
        <v>Helping Hand</v>
      </c>
      <c r="G906">
        <f>SUMIFS(Colección!$L$2:$L$10001,Colección!$F$2:$F$10001,$F906,Colección!$M$2:$M$10001,"Compra")</f>
        <v>1.0505222437137332</v>
      </c>
      <c r="H906">
        <f>IF($G906=0,"",_xlfn.RANK.EQ($G906,$G$2:$G$2353,0)+COUNTIF($G$2:G906,$G906)-1)</f>
        <v>1633</v>
      </c>
    </row>
    <row r="907" spans="6:8" x14ac:dyDescent="0.25">
      <c r="F907" t="str">
        <f>"Hengegate Pathway // Mistgate Pathway"</f>
        <v>Hengegate Pathway // Mistgate Pathway</v>
      </c>
      <c r="G907">
        <f>SUMIFS(Colección!$L$2:$L$10001,Colección!$F$2:$F$10001,$F907,Colección!$M$2:$M$10001,"Compra")</f>
        <v>31.91</v>
      </c>
      <c r="H907">
        <f>IF($G907=0,"",_xlfn.RANK.EQ($G907,$G$2:$G$2353,0)+COUNTIF($G$2:G907,$G907)-1)</f>
        <v>266</v>
      </c>
    </row>
    <row r="908" spans="6:8" x14ac:dyDescent="0.25">
      <c r="F908" t="str">
        <f>"Hera (OP04-111)"</f>
        <v>Hera (OP04-111)</v>
      </c>
      <c r="G908">
        <f>SUMIFS(Colección!$L$2:$L$10001,Colección!$F$2:$F$10001,$F908,Colección!$M$2:$M$10001,"Compra")</f>
        <v>6.1898734177215198E-2</v>
      </c>
      <c r="H908">
        <f>IF($G908=0,"",_xlfn.RANK.EQ($G908,$G$2:$G$2353,0)+COUNTIF($G$2:G908,$G908)-1)</f>
        <v>2276</v>
      </c>
    </row>
    <row r="909" spans="6:8" x14ac:dyDescent="0.25">
      <c r="F909" t="str">
        <f>"Herd Migration"</f>
        <v>Herd Migration</v>
      </c>
      <c r="G909">
        <f>SUMIFS(Colección!$L$2:$L$10001,Colección!$F$2:$F$10001,$F909,Colección!$M$2:$M$10001,"Compra")</f>
        <v>1.4599486154724519</v>
      </c>
      <c r="H909">
        <f>IF($G909=0,"",_xlfn.RANK.EQ($G909,$G$2:$G$2353,0)+COUNTIF($G$2:G909,$G909)-1)</f>
        <v>1496</v>
      </c>
    </row>
    <row r="910" spans="6:8" x14ac:dyDescent="0.25">
      <c r="F910" t="str">
        <f>"Herigast, Erupting Nullkite"</f>
        <v>Herigast, Erupting Nullkite</v>
      </c>
      <c r="G910">
        <f>SUMIFS(Colección!$L$2:$L$10001,Colección!$F$2:$F$10001,$F910,Colección!$M$2:$M$10001,"Compra")</f>
        <v>5.29</v>
      </c>
      <c r="H910">
        <f>IF($G910=0,"",_xlfn.RANK.EQ($G910,$G$2:$G$2353,0)+COUNTIF($G$2:G910,$G910)-1)</f>
        <v>942</v>
      </c>
    </row>
    <row r="911" spans="6:8" x14ac:dyDescent="0.25">
      <c r="F911" t="str">
        <f>"Herigast, Erupting Nullkite (V.1)"</f>
        <v>Herigast, Erupting Nullkite (V.1)</v>
      </c>
      <c r="G911">
        <f>SUMIFS(Colección!$L$2:$L$10001,Colección!$F$2:$F$10001,$F911,Colección!$M$2:$M$10001,"Compra")</f>
        <v>11.02</v>
      </c>
      <c r="H911">
        <f>IF($G911=0,"",_xlfn.RANK.EQ($G911,$G$2:$G$2353,0)+COUNTIF($G$2:G911,$G911)-1)</f>
        <v>620</v>
      </c>
    </row>
    <row r="912" spans="6:8" x14ac:dyDescent="0.25">
      <c r="F912" t="str">
        <f>"Heroes' Hangout"</f>
        <v>Heroes' Hangout</v>
      </c>
      <c r="G912">
        <f>SUMIFS(Colección!$L$2:$L$10001,Colección!$F$2:$F$10001,$F912,Colección!$M$2:$M$10001,"Compra")</f>
        <v>0.50857142857142856</v>
      </c>
      <c r="H912">
        <f>IF($G912=0,"",_xlfn.RANK.EQ($G912,$G$2:$G$2353,0)+COUNTIF($G$2:G912,$G912)-1)</f>
        <v>1880</v>
      </c>
    </row>
    <row r="913" spans="6:8" x14ac:dyDescent="0.25">
      <c r="F913" t="str">
        <f>"Hew the Entwood"</f>
        <v>Hew the Entwood</v>
      </c>
      <c r="G913">
        <f>SUMIFS(Colección!$L$2:$L$10001,Colección!$F$2:$F$10001,$F913,Colección!$M$2:$M$10001,"Compra")</f>
        <v>2.4812447291134636</v>
      </c>
      <c r="H913">
        <f>IF($G913=0,"",_xlfn.RANK.EQ($G913,$G$2:$G$2353,0)+COUNTIF($G$2:G913,$G913)-1)</f>
        <v>1262</v>
      </c>
    </row>
    <row r="914" spans="6:8" x14ac:dyDescent="0.25">
      <c r="F914" t="str">
        <f>"Hex Magic"</f>
        <v>Hex Magic</v>
      </c>
      <c r="G914">
        <f>SUMIFS(Colección!$L$2:$L$10001,Colección!$F$2:$F$10001,$F914,Colección!$M$2:$M$10001,"Compra")</f>
        <v>2.81</v>
      </c>
      <c r="H914">
        <f>IF($G914=0,"",_xlfn.RANK.EQ($G914,$G$2:$G$2353,0)+COUNTIF($G$2:G914,$G914)-1)</f>
        <v>1212</v>
      </c>
    </row>
    <row r="915" spans="6:8" x14ac:dyDescent="0.25">
      <c r="F915" t="str">
        <f>"Hexing Squelcher"</f>
        <v>Hexing Squelcher</v>
      </c>
      <c r="G915">
        <f>SUMIFS(Colección!$L$2:$L$10001,Colección!$F$2:$F$10001,$F915,Colección!$M$2:$M$10001,"Compra")</f>
        <v>72.37572485653881</v>
      </c>
      <c r="H915">
        <f>IF($G915=0,"",_xlfn.RANK.EQ($G915,$G$2:$G$2353,0)+COUNTIF($G$2:G915,$G915)-1)</f>
        <v>111</v>
      </c>
    </row>
    <row r="916" spans="6:8" x14ac:dyDescent="0.25">
      <c r="F916" t="str">
        <f>"Hibernation"</f>
        <v>Hibernation</v>
      </c>
      <c r="G916">
        <f>SUMIFS(Colección!$L$2:$L$10001,Colección!$F$2:$F$10001,$F916,Colección!$M$2:$M$10001,"Compra")</f>
        <v>3.44</v>
      </c>
      <c r="H916">
        <f>IF($G916=0,"",_xlfn.RANK.EQ($G916,$G$2:$G$2353,0)+COUNTIF($G$2:G916,$G916)-1)</f>
        <v>1130</v>
      </c>
    </row>
    <row r="917" spans="6:8" x14ac:dyDescent="0.25">
      <c r="F917" t="str">
        <f>"Hidden Blade"</f>
        <v>Hidden Blade</v>
      </c>
      <c r="G917">
        <f>SUMIFS(Colección!$L$2:$L$10001,Colección!$F$2:$F$10001,$F917,Colección!$M$2:$M$10001,"Compra")</f>
        <v>6.7783907056798629</v>
      </c>
      <c r="H917">
        <f>IF($G917=0,"",_xlfn.RANK.EQ($G917,$G$2:$G$2353,0)+COUNTIF($G$2:G917,$G917)-1)</f>
        <v>824</v>
      </c>
    </row>
    <row r="918" spans="6:8" x14ac:dyDescent="0.25">
      <c r="F918" t="str">
        <f>"Hidetsugu Consumes All // Vessel of the All-Consuming"</f>
        <v>Hidetsugu Consumes All // Vessel of the All-Consuming</v>
      </c>
      <c r="G918">
        <f>SUMIFS(Colección!$L$2:$L$10001,Colección!$F$2:$F$10001,$F918,Colección!$M$2:$M$10001,"Compra")</f>
        <v>11.13</v>
      </c>
      <c r="H918">
        <f>IF($G918=0,"",_xlfn.RANK.EQ($G918,$G$2:$G$2353,0)+COUNTIF($G$2:G918,$G918)-1)</f>
        <v>615</v>
      </c>
    </row>
    <row r="919" spans="6:8" x14ac:dyDescent="0.25">
      <c r="F919" t="str">
        <f>"High Noon"</f>
        <v>High Noon</v>
      </c>
      <c r="G919">
        <f>SUMIFS(Colección!$L$2:$L$10001,Colección!$F$2:$F$10001,$F919,Colección!$M$2:$M$10001,"Compra")</f>
        <v>2.735507246376812</v>
      </c>
      <c r="H919">
        <f>IF($G919=0,"",_xlfn.RANK.EQ($G919,$G$2:$G$2353,0)+COUNTIF($G$2:G919,$G919)-1)</f>
        <v>1219</v>
      </c>
    </row>
    <row r="920" spans="6:8" x14ac:dyDescent="0.25">
      <c r="F920" t="str">
        <f>"Hina (OP05-050)"</f>
        <v>Hina (OP05-050)</v>
      </c>
      <c r="G920">
        <f>SUMIFS(Colección!$L$2:$L$10001,Colección!$F$2:$F$10001,$F920,Colección!$M$2:$M$10001,"Compra")</f>
        <v>0.27061704211557303</v>
      </c>
      <c r="H920">
        <f>IF($G920=0,"",_xlfn.RANK.EQ($G920,$G$2:$G$2353,0)+COUNTIF($G$2:G920,$G920)-1)</f>
        <v>2040</v>
      </c>
    </row>
    <row r="921" spans="6:8" x14ac:dyDescent="0.25">
      <c r="F921" t="str">
        <f>"Hino Bird Zap (OP05-116)"</f>
        <v>Hino Bird Zap (OP05-116)</v>
      </c>
      <c r="G921">
        <f>SUMIFS(Colección!$L$2:$L$10001,Colección!$F$2:$F$10001,$F921,Colección!$M$2:$M$10001,"Compra")</f>
        <v>9.4715964740450548E-2</v>
      </c>
      <c r="H921">
        <f>IF($G921=0,"",_xlfn.RANK.EQ($G921,$G$2:$G$2353,0)+COUNTIF($G$2:G921,$G921)-1)</f>
        <v>2200</v>
      </c>
    </row>
    <row r="922" spans="6:8" x14ac:dyDescent="0.25">
      <c r="F922" t="str">
        <f>"Hollow One"</f>
        <v>Hollow One</v>
      </c>
      <c r="G922">
        <f>SUMIFS(Colección!$L$2:$L$10001,Colección!$F$2:$F$10001,$F922,Colección!$M$2:$M$10001,"Compra")</f>
        <v>12.654545454545456</v>
      </c>
      <c r="H922">
        <f>IF($G922=0,"",_xlfn.RANK.EQ($G922,$G$2:$G$2353,0)+COUNTIF($G$2:G922,$G922)-1)</f>
        <v>560</v>
      </c>
    </row>
    <row r="923" spans="6:8" x14ac:dyDescent="0.25">
      <c r="F923" t="str">
        <f>"Hollow One [Playset]"</f>
        <v>Hollow One [Playset]</v>
      </c>
      <c r="G923">
        <f>SUMIFS(Colección!$L$2:$L$10001,Colección!$F$2:$F$10001,$F923,Colección!$M$2:$M$10001,"Compra")</f>
        <v>2.5083333333333329</v>
      </c>
      <c r="H923">
        <f>IF($G923=0,"",_xlfn.RANK.EQ($G923,$G$2:$G$2353,0)+COUNTIF($G$2:G923,$G923)-1)</f>
        <v>1258</v>
      </c>
    </row>
    <row r="924" spans="6:8" x14ac:dyDescent="0.25">
      <c r="F924" t="str">
        <f>"Holly (OP05-110)"</f>
        <v>Holly (OP05-110)</v>
      </c>
      <c r="G924">
        <f>SUMIFS(Colección!$L$2:$L$10001,Colección!$F$2:$F$10001,$F924,Colección!$M$2:$M$10001,"Compra")</f>
        <v>9.4715964740450548E-2</v>
      </c>
      <c r="H924">
        <f>IF($G924=0,"",_xlfn.RANK.EQ($G924,$G$2:$G$2353,0)+COUNTIF($G$2:G924,$G924)-1)</f>
        <v>2201</v>
      </c>
    </row>
    <row r="925" spans="6:8" x14ac:dyDescent="0.25">
      <c r="F925" t="str">
        <f>"Homestead Courage"</f>
        <v>Homestead Courage</v>
      </c>
      <c r="G925">
        <f>SUMIFS(Colección!$L$2:$L$10001,Colección!$F$2:$F$10001,$F925,Colección!$M$2:$M$10001,"Compra")</f>
        <v>0.55295401402961797</v>
      </c>
      <c r="H925">
        <f>IF($G925=0,"",_xlfn.RANK.EQ($G925,$G$2:$G$2353,0)+COUNTIF($G$2:G925,$G925)-1)</f>
        <v>1853</v>
      </c>
    </row>
    <row r="926" spans="6:8" x14ac:dyDescent="0.25">
      <c r="F926" t="str">
        <f>"Hone-Kichi (OP05-072)"</f>
        <v>Hone-Kichi (OP05-072)</v>
      </c>
      <c r="G926">
        <f>SUMIFS(Colección!$L$2:$L$10001,Colección!$F$2:$F$10001,$F926,Colección!$M$2:$M$10001,"Compra")</f>
        <v>6.7654260528893242E-2</v>
      </c>
      <c r="H926">
        <f>IF($G926=0,"",_xlfn.RANK.EQ($G926,$G$2:$G$2353,0)+COUNTIF($G$2:G926,$G926)-1)</f>
        <v>2241</v>
      </c>
    </row>
    <row r="927" spans="6:8" x14ac:dyDescent="0.25">
      <c r="F927" t="str">
        <f>"Honest Broker"</f>
        <v>Honest Broker</v>
      </c>
      <c r="G927">
        <f>SUMIFS(Colección!$L$2:$L$10001,Colección!$F$2:$F$10001,$F927,Colección!$M$2:$M$10001,"Compra")</f>
        <v>1.476372549019608</v>
      </c>
      <c r="H927">
        <f>IF($G927=0,"",_xlfn.RANK.EQ($G927,$G$2:$G$2353,0)+COUNTIF($G$2:G927,$G927)-1)</f>
        <v>1493</v>
      </c>
    </row>
    <row r="928" spans="6:8" x14ac:dyDescent="0.25">
      <c r="F928" t="str">
        <f>"Honest Rutstein"</f>
        <v>Honest Rutstein</v>
      </c>
      <c r="G928">
        <f>SUMIFS(Colección!$L$2:$L$10001,Colección!$F$2:$F$10001,$F928,Colección!$M$2:$M$10001,"Compra")</f>
        <v>1.0411372064276885</v>
      </c>
      <c r="H928">
        <f>IF($G928=0,"",_xlfn.RANK.EQ($G928,$G$2:$G$2353,0)+COUNTIF($G$2:G928,$G928)-1)</f>
        <v>1638</v>
      </c>
    </row>
    <row r="929" spans="6:8" x14ac:dyDescent="0.25">
      <c r="F929" t="str">
        <f>"Horizon Canopy"</f>
        <v>Horizon Canopy</v>
      </c>
      <c r="G929">
        <f>SUMIFS(Colección!$L$2:$L$10001,Colección!$F$2:$F$10001,$F929,Colección!$M$2:$M$10001,"Compra")</f>
        <v>11.99563182527301</v>
      </c>
      <c r="H929">
        <f>IF($G929=0,"",_xlfn.RANK.EQ($G929,$G$2:$G$2353,0)+COUNTIF($G$2:G929,$G929)-1)</f>
        <v>585</v>
      </c>
    </row>
    <row r="930" spans="6:8" x14ac:dyDescent="0.25">
      <c r="F930" t="str">
        <f>"Horn of Gondor"</f>
        <v>Horn of Gondor</v>
      </c>
      <c r="G930">
        <f>SUMIFS(Colección!$L$2:$L$10001,Colección!$F$2:$F$10001,$F930,Colección!$M$2:$M$10001,"Compra")</f>
        <v>1.057253760310529</v>
      </c>
      <c r="H930">
        <f>IF($G930=0,"",_xlfn.RANK.EQ($G930,$G$2:$G$2353,0)+COUNTIF($G$2:G930,$G930)-1)</f>
        <v>1625</v>
      </c>
    </row>
    <row r="931" spans="6:8" x14ac:dyDescent="0.25">
      <c r="F931" t="str">
        <f>"Horn of the Mark"</f>
        <v>Horn of the Mark</v>
      </c>
      <c r="G931">
        <f>SUMIFS(Colección!$L$2:$L$10001,Colección!$F$2:$F$10001,$F931,Colección!$M$2:$M$10001,"Compra")</f>
        <v>3.6318349475194571</v>
      </c>
      <c r="H931">
        <f>IF($G931=0,"",_xlfn.RANK.EQ($G931,$G$2:$G$2353,0)+COUNTIF($G$2:G931,$G931)-1)</f>
        <v>1099</v>
      </c>
    </row>
    <row r="932" spans="6:8" x14ac:dyDescent="0.25">
      <c r="F932" t="str">
        <f>"Horned Loch-Whale // Lagoon Breach"</f>
        <v>Horned Loch-Whale // Lagoon Breach</v>
      </c>
      <c r="G932">
        <f>SUMIFS(Colección!$L$2:$L$10001,Colección!$F$2:$F$10001,$F932,Colección!$M$2:$M$10001,"Compra")</f>
        <v>0.57089241034195159</v>
      </c>
      <c r="H932">
        <f>IF($G932=0,"",_xlfn.RANK.EQ($G932,$G$2:$G$2353,0)+COUNTIF($G$2:G932,$G932)-1)</f>
        <v>1842</v>
      </c>
    </row>
    <row r="933" spans="6:8" x14ac:dyDescent="0.25">
      <c r="F933" t="str">
        <f>"Hotori (OP05-111)"</f>
        <v>Hotori (OP05-111)</v>
      </c>
      <c r="G933">
        <f>SUMIFS(Colección!$L$2:$L$10001,Colección!$F$2:$F$10001,$F933,Colección!$M$2:$M$10001,"Compra")</f>
        <v>6.7654260528893242E-2</v>
      </c>
      <c r="H933">
        <f>IF($G933=0,"",_xlfn.RANK.EQ($G933,$G$2:$G$2353,0)+COUNTIF($G$2:G933,$G933)-1)</f>
        <v>2242</v>
      </c>
    </row>
    <row r="934" spans="6:8" x14ac:dyDescent="0.25">
      <c r="F934" t="str">
        <f>"Hound Blaze (OP05-057)"</f>
        <v>Hound Blaze (OP05-057)</v>
      </c>
      <c r="G934">
        <f>SUMIFS(Colección!$L$2:$L$10001,Colección!$F$2:$F$10001,$F934,Colección!$M$2:$M$10001,"Compra")</f>
        <v>0.51417238001958865</v>
      </c>
      <c r="H934">
        <f>IF($G934=0,"",_xlfn.RANK.EQ($G934,$G$2:$G$2353,0)+COUNTIF($G$2:G934,$G934)-1)</f>
        <v>1876</v>
      </c>
    </row>
    <row r="935" spans="6:8" x14ac:dyDescent="0.25">
      <c r="F935" t="str">
        <f>"Huatli, the Sun's Heart"</f>
        <v>Huatli, the Sun's Heart</v>
      </c>
      <c r="G935">
        <f>SUMIFS(Colección!$L$2:$L$10001,Colección!$F$2:$F$10001,$F935,Colección!$M$2:$M$10001,"Compra")</f>
        <v>0.27272727272727282</v>
      </c>
      <c r="H935">
        <f>IF($G935=0,"",_xlfn.RANK.EQ($G935,$G$2:$G$2353,0)+COUNTIF($G$2:G935,$G935)-1)</f>
        <v>2034</v>
      </c>
    </row>
    <row r="936" spans="6:8" x14ac:dyDescent="0.25">
      <c r="F936" t="str">
        <f>"Hull Dismantler Slash (OP03-073)"</f>
        <v>Hull Dismantler Slash (OP03-073)</v>
      </c>
      <c r="G936">
        <f>SUMIFS(Colección!$L$2:$L$10001,Colección!$F$2:$F$10001,$F936,Colección!$M$2:$M$10001,"Compra")</f>
        <v>9.5193798449612399E-2</v>
      </c>
      <c r="H936">
        <f>IF($G936=0,"",_xlfn.RANK.EQ($G936,$G$2:$G$2353,0)+COUNTIF($G$2:G936,$G936)-1)</f>
        <v>2176</v>
      </c>
    </row>
    <row r="937" spans="6:8" x14ac:dyDescent="0.25">
      <c r="F937" t="str">
        <f>"Hullbreacher"</f>
        <v>Hullbreacher</v>
      </c>
      <c r="G937">
        <f>SUMIFS(Colección!$L$2:$L$10001,Colección!$F$2:$F$10001,$F937,Colección!$M$2:$M$10001,"Compra")</f>
        <v>7.0908650351344802</v>
      </c>
      <c r="H937">
        <f>IF($G937=0,"",_xlfn.RANK.EQ($G937,$G$2:$G$2353,0)+COUNTIF($G$2:G937,$G937)-1)</f>
        <v>806</v>
      </c>
    </row>
    <row r="938" spans="6:8" x14ac:dyDescent="0.25">
      <c r="F938" t="str">
        <f>"Human Soldier Token (White 1/1)"</f>
        <v>Human Soldier Token (White 1/1)</v>
      </c>
      <c r="G938">
        <f>SUMIFS(Colección!$L$2:$L$10001,Colección!$F$2:$F$10001,$F938,Colección!$M$2:$M$10001,"Compra")</f>
        <v>7.0533333333333319</v>
      </c>
      <c r="H938">
        <f>IF($G938=0,"",_xlfn.RANK.EQ($G938,$G$2:$G$2353,0)+COUNTIF($G$2:G938,$G938)-1)</f>
        <v>810</v>
      </c>
    </row>
    <row r="939" spans="6:8" x14ac:dyDescent="0.25">
      <c r="F939" t="str">
        <f>"Human Soldier Token (White 1/1) (V.1)"</f>
        <v>Human Soldier Token (White 1/1) (V.1)</v>
      </c>
      <c r="G939">
        <f>SUMIFS(Colección!$L$2:$L$10001,Colección!$F$2:$F$10001,$F939,Colección!$M$2:$M$10001,"Compra")</f>
        <v>5.1079812206572768E-2</v>
      </c>
      <c r="H939">
        <f>IF($G939=0,"",_xlfn.RANK.EQ($G939,$G$2:$G$2353,0)+COUNTIF($G$2:G939,$G939)-1)</f>
        <v>2323</v>
      </c>
    </row>
    <row r="940" spans="6:8" x14ac:dyDescent="0.25">
      <c r="F940" t="str">
        <f>"Humility"</f>
        <v>Humility</v>
      </c>
      <c r="G940">
        <f>SUMIFS(Colección!$L$2:$L$10001,Colección!$F$2:$F$10001,$F940,Colección!$M$2:$M$10001,"Compra")</f>
        <v>54.54545454545454</v>
      </c>
      <c r="H940">
        <f>IF($G940=0,"",_xlfn.RANK.EQ($G940,$G$2:$G$2353,0)+COUNTIF($G$2:G940,$G940)-1)</f>
        <v>161</v>
      </c>
    </row>
    <row r="941" spans="6:8" x14ac:dyDescent="0.25">
      <c r="F941" t="str">
        <f>"Huntmaster of the Fells / Ravager of the Fells (V.2)"</f>
        <v>Huntmaster of the Fells / Ravager of the Fells (V.2)</v>
      </c>
      <c r="G941">
        <f>SUMIFS(Colección!$L$2:$L$10001,Colección!$F$2:$F$10001,$F941,Colección!$M$2:$M$10001,"Compra")</f>
        <v>1.9900000000000002</v>
      </c>
      <c r="H941">
        <f>IF($G941=0,"",_xlfn.RANK.EQ($G941,$G$2:$G$2353,0)+COUNTIF($G$2:G941,$G941)-1)</f>
        <v>1373</v>
      </c>
    </row>
    <row r="942" spans="6:8" x14ac:dyDescent="0.25">
      <c r="F942" t="str">
        <f>"Hushbringer"</f>
        <v>Hushbringer</v>
      </c>
      <c r="G942">
        <f>SUMIFS(Colección!$L$2:$L$10001,Colección!$F$2:$F$10001,$F942,Colección!$M$2:$M$10001,"Compra")</f>
        <v>4.1059830244240434</v>
      </c>
      <c r="H942">
        <f>IF($G942=0,"",_xlfn.RANK.EQ($G942,$G$2:$G$2353,0)+COUNTIF($G$2:G942,$G942)-1)</f>
        <v>1062</v>
      </c>
    </row>
    <row r="943" spans="6:8" x14ac:dyDescent="0.25">
      <c r="F943" t="str">
        <f>"Hushwood Verge"</f>
        <v>Hushwood Verge</v>
      </c>
      <c r="G943">
        <f>SUMIFS(Colección!$L$2:$L$10001,Colección!$F$2:$F$10001,$F943,Colección!$M$2:$M$10001,"Compra")</f>
        <v>20.647844704538969</v>
      </c>
      <c r="H943">
        <f>IF($G943=0,"",_xlfn.RANK.EQ($G943,$G$2:$G$2353,0)+COUNTIF($G$2:G943,$G943)-1)</f>
        <v>386</v>
      </c>
    </row>
    <row r="944" spans="6:8" x14ac:dyDescent="0.25">
      <c r="F944" t="str">
        <f>"Hwei, Brooding Painter"</f>
        <v>Hwei, Brooding Painter</v>
      </c>
      <c r="G944">
        <f>SUMIFS(Colección!$L$2:$L$10001,Colección!$F$2:$F$10001,$F944,Colección!$M$2:$M$10001,"Compra")</f>
        <v>6.8064257028112438</v>
      </c>
      <c r="H944">
        <f>IF($G944=0,"",_xlfn.RANK.EQ($G944,$G$2:$G$2353,0)+COUNTIF($G$2:G944,$G944)-1)</f>
        <v>821</v>
      </c>
    </row>
    <row r="945" spans="6:8" x14ac:dyDescent="0.25">
      <c r="F945" t="str">
        <f>"Hydroelectric Specimen // Hydroelectric Laboratory"</f>
        <v>Hydroelectric Specimen // Hydroelectric Laboratory</v>
      </c>
      <c r="G945">
        <f>SUMIFS(Colección!$L$2:$L$10001,Colección!$F$2:$F$10001,$F945,Colección!$M$2:$M$10001,"Compra")</f>
        <v>2.2277906976744184</v>
      </c>
      <c r="H945">
        <f>IF($G945=0,"",_xlfn.RANK.EQ($G945,$G$2:$G$2353,0)+COUNTIF($G$2:G945,$G945)-1)</f>
        <v>1305</v>
      </c>
    </row>
    <row r="946" spans="6:8" x14ac:dyDescent="0.25">
      <c r="F946" t="str">
        <f>"Hypnotic Specter"</f>
        <v>Hypnotic Specter</v>
      </c>
      <c r="G946">
        <f>SUMIFS(Colección!$L$2:$L$10001,Colección!$F$2:$F$10001,$F946,Colección!$M$2:$M$10001,"Compra")</f>
        <v>96</v>
      </c>
      <c r="H946">
        <f>IF($G946=0,"",_xlfn.RANK.EQ($G946,$G$2:$G$2353,0)+COUNTIF($G$2:G946,$G946)-1)</f>
        <v>80</v>
      </c>
    </row>
    <row r="947" spans="6:8" x14ac:dyDescent="0.25">
      <c r="F947" t="str">
        <f>"I Bid 500 Million!! (OP05-096)"</f>
        <v>I Bid 500 Million!! (OP05-096)</v>
      </c>
      <c r="G947">
        <f>SUMIFS(Colección!$L$2:$L$10001,Colección!$F$2:$F$10001,$F947,Colección!$M$2:$M$10001,"Compra")</f>
        <v>6.7654260528893242E-2</v>
      </c>
      <c r="H947">
        <f>IF($G947=0,"",_xlfn.RANK.EQ($G947,$G$2:$G$2353,0)+COUNTIF($G$2:G947,$G947)-1)</f>
        <v>2243</v>
      </c>
    </row>
    <row r="948" spans="6:8" x14ac:dyDescent="0.25">
      <c r="F948" t="str">
        <f>"I'm Gonna Be King of the Pirates!! (P-024)"</f>
        <v>I'm Gonna Be King of the Pirates!! (P-024)</v>
      </c>
      <c r="G948">
        <f>SUMIFS(Colección!$L$2:$L$10001,Colección!$F$2:$F$10001,$F948,Colección!$M$2:$M$10001,"Compra")</f>
        <v>0.59496124031007747</v>
      </c>
      <c r="H948">
        <f>IF($G948=0,"",_xlfn.RANK.EQ($G948,$G$2:$G$2353,0)+COUNTIF($G$2:G948,$G948)-1)</f>
        <v>1825</v>
      </c>
    </row>
    <row r="949" spans="6:8" x14ac:dyDescent="0.25">
      <c r="F949" t="str">
        <f>"Ice Oni (OP04-047)"</f>
        <v>Ice Oni (OP04-047)</v>
      </c>
      <c r="G949">
        <f>SUMIFS(Colección!$L$2:$L$10001,Colección!$F$2:$F$10001,$F949,Colección!$M$2:$M$10001,"Compra")</f>
        <v>6.1898734177215198E-2</v>
      </c>
      <c r="H949">
        <f>IF($G949=0,"",_xlfn.RANK.EQ($G949,$G$2:$G$2353,0)+COUNTIF($G$2:G949,$G949)-1)</f>
        <v>2277</v>
      </c>
    </row>
    <row r="950" spans="6:8" x14ac:dyDescent="0.25">
      <c r="F950" t="str">
        <f>"Ice-Fang Coatl"</f>
        <v>Ice-Fang Coatl</v>
      </c>
      <c r="G950">
        <f>SUMIFS(Colección!$L$2:$L$10001,Colección!$F$2:$F$10001,$F950,Colección!$M$2:$M$10001,"Compra")</f>
        <v>6.58</v>
      </c>
      <c r="H950">
        <f>IF($G950=0,"",_xlfn.RANK.EQ($G950,$G$2:$G$2353,0)+COUNTIF($G$2:G950,$G950)-1)</f>
        <v>838</v>
      </c>
    </row>
    <row r="951" spans="6:8" x14ac:dyDescent="0.25">
      <c r="F951" t="str">
        <f>"Ice-Fang Coatl (V.1)"</f>
        <v>Ice-Fang Coatl (V.1)</v>
      </c>
      <c r="G951">
        <f>SUMIFS(Colección!$L$2:$L$10001,Colección!$F$2:$F$10001,$F951,Colección!$M$2:$M$10001,"Compra")</f>
        <v>14.95</v>
      </c>
      <c r="H951">
        <f>IF($G951=0,"",_xlfn.RANK.EQ($G951,$G$2:$G$2353,0)+COUNTIF($G$2:G951,$G951)-1)</f>
        <v>504</v>
      </c>
    </row>
    <row r="952" spans="6:8" x14ac:dyDescent="0.25">
      <c r="F952" t="str">
        <f>"Iceburg (OP03-058) (V.1)"</f>
        <v>Iceburg (OP03-058) (V.1)</v>
      </c>
      <c r="G952">
        <f>SUMIFS(Colección!$L$2:$L$10001,Colección!$F$2:$F$10001,$F952,Colección!$M$2:$M$10001,"Compra")</f>
        <v>0.35697674418604652</v>
      </c>
      <c r="H952">
        <f>IF($G952=0,"",_xlfn.RANK.EQ($G952,$G$2:$G$2353,0)+COUNTIF($G$2:G952,$G952)-1)</f>
        <v>1975</v>
      </c>
    </row>
    <row r="953" spans="6:8" x14ac:dyDescent="0.25">
      <c r="F953" t="str">
        <f>"Iceburg (OP04-059)"</f>
        <v>Iceburg (OP04-059)</v>
      </c>
      <c r="G953">
        <f>SUMIFS(Colección!$L$2:$L$10001,Colección!$F$2:$F$10001,$F953,Colección!$M$2:$M$10001,"Compra")</f>
        <v>6.1898734177215198E-2</v>
      </c>
      <c r="H953">
        <f>IF($G953=0,"",_xlfn.RANK.EQ($G953,$G$2:$G$2353,0)+COUNTIF($G$2:G953,$G953)-1)</f>
        <v>2278</v>
      </c>
    </row>
    <row r="954" spans="6:8" x14ac:dyDescent="0.25">
      <c r="F954" t="str">
        <f>"Igaram (OP04-002)"</f>
        <v>Igaram (OP04-002)</v>
      </c>
      <c r="G954">
        <f>SUMIFS(Colección!$L$2:$L$10001,Colección!$F$2:$F$10001,$F954,Colección!$M$2:$M$10001,"Compra")</f>
        <v>6.1898734177215198E-2</v>
      </c>
      <c r="H954">
        <f>IF($G954=0,"",_xlfn.RANK.EQ($G954,$G$2:$G$2353,0)+COUNTIF($G$2:G954,$G954)-1)</f>
        <v>2279</v>
      </c>
    </row>
    <row r="955" spans="6:8" x14ac:dyDescent="0.25">
      <c r="F955" t="str">
        <f>"Ignoble Hierarch"</f>
        <v>Ignoble Hierarch</v>
      </c>
      <c r="G955">
        <f>SUMIFS(Colección!$L$2:$L$10001,Colección!$F$2:$F$10001,$F955,Colección!$M$2:$M$10001,"Compra")</f>
        <v>2.1818181818181821</v>
      </c>
      <c r="H955">
        <f>IF($G955=0,"",_xlfn.RANK.EQ($G955,$G$2:$G$2353,0)+COUNTIF($G$2:G955,$G955)-1)</f>
        <v>1321</v>
      </c>
    </row>
    <row r="956" spans="6:8" x14ac:dyDescent="0.25">
      <c r="F956" t="str">
        <f>"Ignoble Hierarch [Playset]"</f>
        <v>Ignoble Hierarch [Playset]</v>
      </c>
      <c r="G956">
        <f>SUMIFS(Colección!$L$2:$L$10001,Colección!$F$2:$F$10001,$F956,Colección!$M$2:$M$10001,"Compra")</f>
        <v>16.18</v>
      </c>
      <c r="H956">
        <f>IF($G956=0,"",_xlfn.RANK.EQ($G956,$G$2:$G$2353,0)+COUNTIF($G$2:G956,$G956)-1)</f>
        <v>479</v>
      </c>
    </row>
    <row r="957" spans="6:8" x14ac:dyDescent="0.25">
      <c r="F957" t="str">
        <f>"Ikoku Sovereignty (OP03-118)"</f>
        <v>Ikoku Sovereignty (OP03-118)</v>
      </c>
      <c r="G957">
        <f>SUMIFS(Colección!$L$2:$L$10001,Colección!$F$2:$F$10001,$F957,Colección!$M$2:$M$10001,"Compra")</f>
        <v>0.22608527131782949</v>
      </c>
      <c r="H957">
        <f>IF($G957=0,"",_xlfn.RANK.EQ($G957,$G$2:$G$2353,0)+COUNTIF($G$2:G957,$G957)-1)</f>
        <v>2063</v>
      </c>
    </row>
    <row r="958" spans="6:8" x14ac:dyDescent="0.25">
      <c r="F958" t="str">
        <f>"Illness in the Ranks"</f>
        <v>Illness in the Ranks</v>
      </c>
      <c r="G958">
        <f>SUMIFS(Colección!$L$2:$L$10001,Colección!$F$2:$F$10001,$F958,Colección!$M$2:$M$10001,"Compra")</f>
        <v>0.2364779874213836</v>
      </c>
      <c r="H958">
        <f>IF($G958=0,"",_xlfn.RANK.EQ($G958,$G$2:$G$2353,0)+COUNTIF($G$2:G958,$G958)-1)</f>
        <v>2051</v>
      </c>
    </row>
    <row r="959" spans="6:8" x14ac:dyDescent="0.25">
      <c r="F959" t="str">
        <f>"Illuminator Virtuoso"</f>
        <v>Illuminator Virtuoso</v>
      </c>
      <c r="G959">
        <f>SUMIFS(Colección!$L$2:$L$10001,Colección!$F$2:$F$10001,$F959,Colección!$M$2:$M$10001,"Compra")</f>
        <v>1.1059080280592359</v>
      </c>
      <c r="H959">
        <f>IF($G959=0,"",_xlfn.RANK.EQ($G959,$G$2:$G$2353,0)+COUNTIF($G$2:G959,$G959)-1)</f>
        <v>1593</v>
      </c>
    </row>
    <row r="960" spans="6:8" x14ac:dyDescent="0.25">
      <c r="F960" t="str">
        <f>"Imodane's Recruiter // Train Troops"</f>
        <v>Imodane's Recruiter // Train Troops</v>
      </c>
      <c r="G960">
        <f>SUMIFS(Colección!$L$2:$L$10001,Colección!$F$2:$F$10001,$F960,Colección!$M$2:$M$10001,"Compra")</f>
        <v>2.8955268817204303</v>
      </c>
      <c r="H960">
        <f>IF($G960=0,"",_xlfn.RANK.EQ($G960,$G$2:$G$2353,0)+COUNTIF($G$2:G960,$G960)-1)</f>
        <v>1206</v>
      </c>
    </row>
    <row r="961" spans="6:8" x14ac:dyDescent="0.25">
      <c r="F961" t="str">
        <f>"Imperial Decree"</f>
        <v>Imperial Decree</v>
      </c>
      <c r="G961">
        <f>SUMIFS(Colección!$L$2:$L$10001,Colección!$F$2:$F$10001,$F961,Colección!$M$2:$M$10001,"Compra")</f>
        <v>10.8</v>
      </c>
      <c r="H961">
        <f>IF($G961=0,"",_xlfn.RANK.EQ($G961,$G$2:$G$2353,0)+COUNTIF($G$2:G961,$G961)-1)</f>
        <v>631</v>
      </c>
    </row>
    <row r="962" spans="6:8" x14ac:dyDescent="0.25">
      <c r="F962" t="str">
        <f>"Impulse"</f>
        <v>Impulse</v>
      </c>
      <c r="G962">
        <f>SUMIFS(Colección!$L$2:$L$10001,Colección!$F$2:$F$10001,$F962,Colección!$M$2:$M$10001,"Compra")</f>
        <v>1.3368237814675947</v>
      </c>
      <c r="H962">
        <f>IF($G962=0,"",_xlfn.RANK.EQ($G962,$G$2:$G$2353,0)+COUNTIF($G$2:G962,$G962)-1)</f>
        <v>1527</v>
      </c>
    </row>
    <row r="963" spans="6:8" x14ac:dyDescent="0.25">
      <c r="F963" t="str">
        <f>"Imskir Iron-Eater"</f>
        <v>Imskir Iron-Eater</v>
      </c>
      <c r="G963">
        <f>SUMIFS(Colección!$L$2:$L$10001,Colección!$F$2:$F$10001,$F963,Colección!$M$2:$M$10001,"Compra")</f>
        <v>1.4802413273001509</v>
      </c>
      <c r="H963">
        <f>IF($G963=0,"",_xlfn.RANK.EQ($G963,$G$2:$G$2353,0)+COUNTIF($G$2:G963,$G963)-1)</f>
        <v>1491</v>
      </c>
    </row>
    <row r="964" spans="6:8" x14ac:dyDescent="0.25">
      <c r="F964" t="str">
        <f>"Inazuma (OP05-003)"</f>
        <v>Inazuma (OP05-003)</v>
      </c>
      <c r="G964">
        <f>SUMIFS(Colección!$L$2:$L$10001,Colección!$F$2:$F$10001,$F964,Colección!$M$2:$M$10001,"Compra")</f>
        <v>0.1623702252693438</v>
      </c>
      <c r="H964">
        <f>IF($G964=0,"",_xlfn.RANK.EQ($G964,$G$2:$G$2353,0)+COUNTIF($G$2:G964,$G964)-1)</f>
        <v>2113</v>
      </c>
    </row>
    <row r="965" spans="6:8" x14ac:dyDescent="0.25">
      <c r="F965" t="str">
        <f>"Indatha Triome"</f>
        <v>Indatha Triome</v>
      </c>
      <c r="G965">
        <f>SUMIFS(Colección!$L$2:$L$10001,Colección!$F$2:$F$10001,$F965,Colección!$M$2:$M$10001,"Compra")</f>
        <v>16.567777777777781</v>
      </c>
      <c r="H965">
        <f>IF($G965=0,"",_xlfn.RANK.EQ($G965,$G$2:$G$2353,0)+COUNTIF($G$2:G965,$G965)-1)</f>
        <v>466</v>
      </c>
    </row>
    <row r="966" spans="6:8" x14ac:dyDescent="0.25">
      <c r="F966" t="str">
        <f>"Indomitable Creativity [Playset]"</f>
        <v>Indomitable Creativity [Playset]</v>
      </c>
      <c r="G966">
        <f>SUMIFS(Colección!$L$2:$L$10001,Colección!$F$2:$F$10001,$F966,Colección!$M$2:$M$10001,"Compra")</f>
        <v>42.323951141795007</v>
      </c>
      <c r="H966">
        <f>IF($G966=0,"",_xlfn.RANK.EQ($G966,$G$2:$G$2353,0)+COUNTIF($G$2:G966,$G966)-1)</f>
        <v>198</v>
      </c>
    </row>
    <row r="967" spans="6:8" x14ac:dyDescent="0.25">
      <c r="F967" t="str">
        <f>"Inevitable Betrayal (V.1)"</f>
        <v>Inevitable Betrayal (V.1)</v>
      </c>
      <c r="G967">
        <f>SUMIFS(Colección!$L$2:$L$10001,Colección!$F$2:$F$10001,$F967,Colección!$M$2:$M$10001,"Compra")</f>
        <v>1.5356736711990111</v>
      </c>
      <c r="H967">
        <f>IF($G967=0,"",_xlfn.RANK.EQ($G967,$G$2:$G$2353,0)+COUNTIF($G$2:G967,$G967)-1)</f>
        <v>1480</v>
      </c>
    </row>
    <row r="968" spans="6:8" x14ac:dyDescent="0.25">
      <c r="F968" t="str">
        <f>"Infestation Sage"</f>
        <v>Infestation Sage</v>
      </c>
      <c r="G968">
        <f>SUMIFS(Colección!$L$2:$L$10001,Colección!$F$2:$F$10001,$F968,Colección!$M$2:$M$10001,"Compra")</f>
        <v>0.4525714285714284</v>
      </c>
      <c r="H968">
        <f>IF($G968=0,"",_xlfn.RANK.EQ($G968,$G$2:$G$2353,0)+COUNTIF($G$2:G968,$G968)-1)</f>
        <v>1914</v>
      </c>
    </row>
    <row r="969" spans="6:8" x14ac:dyDescent="0.25">
      <c r="F969" t="str">
        <f>"Ingenious Smith"</f>
        <v>Ingenious Smith</v>
      </c>
      <c r="G969">
        <f>SUMIFS(Colección!$L$2:$L$10001,Colección!$F$2:$F$10001,$F969,Colección!$M$2:$M$10001,"Compra")</f>
        <v>8.785920665165424</v>
      </c>
      <c r="H969">
        <f>IF($G969=0,"",_xlfn.RANK.EQ($G969,$G$2:$G$2353,0)+COUNTIF($G$2:G969,$G969)-1)</f>
        <v>716</v>
      </c>
    </row>
    <row r="970" spans="6:8" x14ac:dyDescent="0.25">
      <c r="F970" t="str">
        <f>"Inscribed Tablet"</f>
        <v>Inscribed Tablet</v>
      </c>
      <c r="G970">
        <f>SUMIFS(Colección!$L$2:$L$10001,Colección!$F$2:$F$10001,$F970,Colección!$M$2:$M$10001,"Compra")</f>
        <v>0.83079315707620516</v>
      </c>
      <c r="H970">
        <f>IF($G970=0,"",_xlfn.RANK.EQ($G970,$G$2:$G$2353,0)+COUNTIF($G$2:G970,$G970)-1)</f>
        <v>1710</v>
      </c>
    </row>
    <row r="971" spans="6:8" x14ac:dyDescent="0.25">
      <c r="F971" t="str">
        <f>"Insect Token (White 2/1)"</f>
        <v>Insect Token (White 2/1)</v>
      </c>
      <c r="G971">
        <f>SUMIFS(Colección!$L$2:$L$10001,Colección!$F$2:$F$10001,$F971,Colección!$M$2:$M$10001,"Compra")</f>
        <v>1.2541666666666669</v>
      </c>
      <c r="H971">
        <f>IF($G971=0,"",_xlfn.RANK.EQ($G971,$G$2:$G$2353,0)+COUNTIF($G$2:G971,$G971)-1)</f>
        <v>1555</v>
      </c>
    </row>
    <row r="972" spans="6:8" x14ac:dyDescent="0.25">
      <c r="F972" t="str">
        <f>"Insidious Roots"</f>
        <v>Insidious Roots</v>
      </c>
      <c r="G972">
        <f>SUMIFS(Colección!$L$2:$L$10001,Colección!$F$2:$F$10001,$F972,Colección!$M$2:$M$10001,"Compra")</f>
        <v>10.571227364185113</v>
      </c>
      <c r="H972">
        <f>IF($G972=0,"",_xlfn.RANK.EQ($G972,$G$2:$G$2353,0)+COUNTIF($G$2:G972,$G972)-1)</f>
        <v>641</v>
      </c>
    </row>
    <row r="973" spans="6:8" x14ac:dyDescent="0.25">
      <c r="F973" t="str">
        <f>"Inspiring Vantage [Playset]"</f>
        <v>Inspiring Vantage [Playset]</v>
      </c>
      <c r="G973">
        <f>SUMIFS(Colección!$L$2:$L$10001,Colección!$F$2:$F$10001,$F973,Colección!$M$2:$M$10001,"Compra")</f>
        <v>33.28</v>
      </c>
      <c r="H973">
        <f>IF($G973=0,"",_xlfn.RANK.EQ($G973,$G$2:$G$2353,0)+COUNTIF($G$2:G973,$G973)-1)</f>
        <v>256</v>
      </c>
    </row>
    <row r="974" spans="6:8" x14ac:dyDescent="0.25">
      <c r="F974" t="str">
        <f>"Inti, Seneschal of the Sun"</f>
        <v>Inti, Seneschal of the Sun</v>
      </c>
      <c r="G974">
        <f>SUMIFS(Colección!$L$2:$L$10001,Colección!$F$2:$F$10001,$F974,Colección!$M$2:$M$10001,"Compra")</f>
        <v>20.666547725245319</v>
      </c>
      <c r="H974">
        <f>IF($G974=0,"",_xlfn.RANK.EQ($G974,$G$2:$G$2353,0)+COUNTIF($G$2:G974,$G974)-1)</f>
        <v>385</v>
      </c>
    </row>
    <row r="975" spans="6:8" x14ac:dyDescent="0.25">
      <c r="F975" t="str">
        <f>"Intimidation Tactics"</f>
        <v>Intimidation Tactics</v>
      </c>
      <c r="G975">
        <f>SUMIFS(Colección!$L$2:$L$10001,Colección!$F$2:$F$10001,$F975,Colección!$M$2:$M$10001,"Compra")</f>
        <v>1.2098141263940521</v>
      </c>
      <c r="H975">
        <f>IF($G975=0,"",_xlfn.RANK.EQ($G975,$G$2:$G$2353,0)+COUNTIF($G$2:G975,$G975)-1)</f>
        <v>1561</v>
      </c>
    </row>
    <row r="976" spans="6:8" x14ac:dyDescent="0.25">
      <c r="F976" t="str">
        <f>"Into the Flood Maw"</f>
        <v>Into the Flood Maw</v>
      </c>
      <c r="G976">
        <f>SUMIFS(Colección!$L$2:$L$10001,Colección!$F$2:$F$10001,$F976,Colección!$M$2:$M$10001,"Compra")</f>
        <v>2.144816247582205</v>
      </c>
      <c r="H976">
        <f>IF($G976=0,"",_xlfn.RANK.EQ($G976,$G$2:$G$2353,0)+COUNTIF($G$2:G976,$G976)-1)</f>
        <v>1331</v>
      </c>
    </row>
    <row r="977" spans="6:8" x14ac:dyDescent="0.25">
      <c r="F977" t="str">
        <f>"Intuition"</f>
        <v>Intuition</v>
      </c>
      <c r="G977">
        <f>SUMIFS(Colección!$L$2:$L$10001,Colección!$F$2:$F$10001,$F977,Colección!$M$2:$M$10001,"Compra")</f>
        <v>200</v>
      </c>
      <c r="H977">
        <f>IF($G977=0,"",_xlfn.RANK.EQ($G977,$G$2:$G$2353,0)+COUNTIF($G$2:G977,$G977)-1)</f>
        <v>23</v>
      </c>
    </row>
    <row r="978" spans="6:8" x14ac:dyDescent="0.25">
      <c r="F978" t="str">
        <f>"Invasion of Gobakhan // Lightshield Array [Playset]"</f>
        <v>Invasion of Gobakhan // Lightshield Array [Playset]</v>
      </c>
      <c r="G978">
        <f>SUMIFS(Colección!$L$2:$L$10001,Colección!$F$2:$F$10001,$F978,Colección!$M$2:$M$10001,"Compra")</f>
        <v>23.18</v>
      </c>
      <c r="H978">
        <f>IF($G978=0,"",_xlfn.RANK.EQ($G978,$G$2:$G$2353,0)+COUNTIF($G$2:G978,$G978)-1)</f>
        <v>339</v>
      </c>
    </row>
    <row r="979" spans="6:8" x14ac:dyDescent="0.25">
      <c r="F979" t="str">
        <f>"Invasion of New Phyrexia // Teferi Akosa of Zhalfir"</f>
        <v>Invasion of New Phyrexia // Teferi Akosa of Zhalfir</v>
      </c>
      <c r="G979">
        <f>SUMIFS(Colección!$L$2:$L$10001,Colección!$F$2:$F$10001,$F979,Colección!$M$2:$M$10001,"Compra")</f>
        <v>18.41</v>
      </c>
      <c r="H979">
        <f>IF($G979=0,"",_xlfn.RANK.EQ($G979,$G$2:$G$2353,0)+COUNTIF($G$2:G979,$G979)-1)</f>
        <v>424</v>
      </c>
    </row>
    <row r="980" spans="6:8" x14ac:dyDescent="0.25">
      <c r="F980" t="str">
        <f>"Invasive Surgery"</f>
        <v>Invasive Surgery</v>
      </c>
      <c r="G980">
        <f>SUMIFS(Colección!$L$2:$L$10001,Colección!$F$2:$F$10001,$F980,Colección!$M$2:$M$10001,"Compra")</f>
        <v>0.52193674641752419</v>
      </c>
      <c r="H980">
        <f>IF($G980=0,"",_xlfn.RANK.EQ($G980,$G$2:$G$2353,0)+COUNTIF($G$2:G980,$G980)-1)</f>
        <v>1873</v>
      </c>
    </row>
    <row r="981" spans="6:8" x14ac:dyDescent="0.25">
      <c r="F981" t="str">
        <f>"Invert Polarity"</f>
        <v>Invert Polarity</v>
      </c>
      <c r="G981">
        <f>SUMIFS(Colección!$L$2:$L$10001,Colección!$F$2:$F$10001,$F981,Colección!$M$2:$M$10001,"Compra")</f>
        <v>24.492549019607843</v>
      </c>
      <c r="H981">
        <f>IF($G981=0,"",_xlfn.RANK.EQ($G981,$G$2:$G$2353,0)+COUNTIF($G$2:G981,$G981)-1)</f>
        <v>319</v>
      </c>
    </row>
    <row r="982" spans="6:8" x14ac:dyDescent="0.25">
      <c r="F982" t="str">
        <f>"Invisible Stalker"</f>
        <v>Invisible Stalker</v>
      </c>
      <c r="G982">
        <f>SUMIFS(Colección!$L$2:$L$10001,Colección!$F$2:$F$10001,$F982,Colección!$M$2:$M$10001,"Compra")</f>
        <v>4.761111111111112</v>
      </c>
      <c r="H982">
        <f>IF($G982=0,"",_xlfn.RANK.EQ($G982,$G$2:$G$2353,0)+COUNTIF($G$2:G982,$G982)-1)</f>
        <v>982</v>
      </c>
    </row>
    <row r="983" spans="6:8" x14ac:dyDescent="0.25">
      <c r="F983" t="str">
        <f>"Irelia, Blade Dancer (V.2 - Showcase)"</f>
        <v>Irelia, Blade Dancer (V.2 - Showcase)</v>
      </c>
      <c r="G983">
        <f>SUMIFS(Colección!$L$2:$L$10001,Colección!$F$2:$F$10001,$F983,Colección!$M$2:$M$10001,"Compra")</f>
        <v>82.06</v>
      </c>
      <c r="H983">
        <f>IF($G983=0,"",_xlfn.RANK.EQ($G983,$G$2:$G$2353,0)+COUNTIF($G$2:G983,$G983)-1)</f>
        <v>96</v>
      </c>
    </row>
    <row r="984" spans="6:8" x14ac:dyDescent="0.25">
      <c r="F984" t="str">
        <f>"Irelia, Fervent (V.3 - Showcase)"</f>
        <v>Irelia, Fervent (V.3 - Showcase)</v>
      </c>
      <c r="G984">
        <f>SUMIFS(Colección!$L$2:$L$10001,Colección!$F$2:$F$10001,$F984,Colección!$M$2:$M$10001,"Compra")</f>
        <v>122.06</v>
      </c>
      <c r="H984">
        <f>IF($G984=0,"",_xlfn.RANK.EQ($G984,$G$2:$G$2353,0)+COUNTIF($G$2:G984,$G984)-1)</f>
        <v>54</v>
      </c>
    </row>
    <row r="985" spans="6:8" x14ac:dyDescent="0.25">
      <c r="F985" t="str">
        <f>"Iroh's Demonstration"</f>
        <v>Iroh's Demonstration</v>
      </c>
      <c r="G985">
        <f>SUMIFS(Colección!$L$2:$L$10001,Colección!$F$2:$F$10001,$F985,Colección!$M$2:$M$10001,"Compra")</f>
        <v>0.58947368421052637</v>
      </c>
      <c r="H985">
        <f>IF($G985=0,"",_xlfn.RANK.EQ($G985,$G$2:$G$2353,0)+COUNTIF($G$2:G985,$G985)-1)</f>
        <v>1830</v>
      </c>
    </row>
    <row r="986" spans="6:8" x14ac:dyDescent="0.25">
      <c r="F986" t="str">
        <f>"Irresistible Faefolk"</f>
        <v>Irresistible Faefolk</v>
      </c>
      <c r="G986">
        <f>SUMIFS(Colección!$L$2:$L$10001,Colección!$F$2:$F$10001,$F986,Colección!$M$2:$M$10001,"Compra")</f>
        <v>6.9439598997493741</v>
      </c>
      <c r="H986">
        <f>IF($G986=0,"",_xlfn.RANK.EQ($G986,$G$2:$G$2353,0)+COUNTIF($G$2:G986,$G986)-1)</f>
        <v>817</v>
      </c>
    </row>
    <row r="987" spans="6:8" x14ac:dyDescent="0.25">
      <c r="F987" t="str">
        <f>"Irrigated Farmland"</f>
        <v>Irrigated Farmland</v>
      </c>
      <c r="G987">
        <f>SUMIFS(Colección!$L$2:$L$10001,Colección!$F$2:$F$10001,$F987,Colección!$M$2:$M$10001,"Compra")</f>
        <v>3.9799999999999995</v>
      </c>
      <c r="H987">
        <f>IF($G987=0,"",_xlfn.RANK.EQ($G987,$G$2:$G$2353,0)+COUNTIF($G$2:G987,$G987)-1)</f>
        <v>1066</v>
      </c>
    </row>
    <row r="988" spans="6:8" x14ac:dyDescent="0.25">
      <c r="F988" t="str">
        <f>"Isamaru, Hound of Konda"</f>
        <v>Isamaru, Hound of Konda</v>
      </c>
      <c r="G988">
        <f>SUMIFS(Colección!$L$2:$L$10001,Colección!$F$2:$F$10001,$F988,Colección!$M$2:$M$10001,"Compra")</f>
        <v>0.48328498912255258</v>
      </c>
      <c r="H988">
        <f>IF($G988=0,"",_xlfn.RANK.EQ($G988,$G$2:$G$2353,0)+COUNTIF($G$2:G988,$G988)-1)</f>
        <v>1890</v>
      </c>
    </row>
    <row r="989" spans="6:8" x14ac:dyDescent="0.25">
      <c r="F989" t="str">
        <f>"Isildur's Fateful Strike"</f>
        <v>Isildur's Fateful Strike</v>
      </c>
      <c r="G989">
        <f>SUMIFS(Colección!$L$2:$L$10001,Colección!$F$2:$F$10001,$F989,Colección!$M$2:$M$10001,"Compra")</f>
        <v>0.46567956029621138</v>
      </c>
      <c r="H989">
        <f>IF($G989=0,"",_xlfn.RANK.EQ($G989,$G$2:$G$2353,0)+COUNTIF($G$2:G989,$G989)-1)</f>
        <v>1907</v>
      </c>
    </row>
    <row r="990" spans="6:8" x14ac:dyDescent="0.25">
      <c r="F990" t="str">
        <f>"Island"</f>
        <v>Island</v>
      </c>
      <c r="G990">
        <f>SUMIFS(Colección!$L$2:$L$10001,Colección!$F$2:$F$10001,$F990,Colección!$M$2:$M$10001,"Compra")</f>
        <v>85.123224667397068</v>
      </c>
      <c r="H990">
        <f>IF($G990=0,"",_xlfn.RANK.EQ($G990,$G$2:$G$2353,0)+COUNTIF($G$2:G990,$G990)-1)</f>
        <v>92</v>
      </c>
    </row>
    <row r="991" spans="6:8" x14ac:dyDescent="0.25">
      <c r="F991" t="str">
        <f>"Island (V.1)"</f>
        <v>Island (V.1)</v>
      </c>
      <c r="G991">
        <f>SUMIFS(Colección!$L$2:$L$10001,Colección!$F$2:$F$10001,$F991,Colección!$M$2:$M$10001,"Compra")</f>
        <v>15.130704323867652</v>
      </c>
      <c r="H991">
        <f>IF($G991=0,"",_xlfn.RANK.EQ($G991,$G$2:$G$2353,0)+COUNTIF($G$2:G991,$G991)-1)</f>
        <v>499</v>
      </c>
    </row>
    <row r="992" spans="6:8" x14ac:dyDescent="0.25">
      <c r="F992" t="str">
        <f>"Island (V.2)"</f>
        <v>Island (V.2)</v>
      </c>
      <c r="G992">
        <f>SUMIFS(Colección!$L$2:$L$10001,Colección!$F$2:$F$10001,$F992,Colección!$M$2:$M$10001,"Compra")</f>
        <v>24.451819102060711</v>
      </c>
      <c r="H992">
        <f>IF($G992=0,"",_xlfn.RANK.EQ($G992,$G$2:$G$2353,0)+COUNTIF($G$2:G992,$G992)-1)</f>
        <v>320</v>
      </c>
    </row>
    <row r="993" spans="6:8" x14ac:dyDescent="0.25">
      <c r="F993" t="str">
        <f>"Island (V.3)"</f>
        <v>Island (V.3)</v>
      </c>
      <c r="G993">
        <f>SUMIFS(Colección!$L$2:$L$10001,Colección!$F$2:$F$10001,$F993,Colección!$M$2:$M$10001,"Compra")</f>
        <v>2.3614542999111499</v>
      </c>
      <c r="H993">
        <f>IF($G993=0,"",_xlfn.RANK.EQ($G993,$G$2:$G$2353,0)+COUNTIF($G$2:G993,$G993)-1)</f>
        <v>1273</v>
      </c>
    </row>
    <row r="994" spans="6:8" x14ac:dyDescent="0.25">
      <c r="F994" t="str">
        <f>"Island (V.4)"</f>
        <v>Island (V.4)</v>
      </c>
      <c r="G994">
        <f>SUMIFS(Colección!$L$2:$L$10001,Colección!$F$2:$F$10001,$F994,Colección!$M$2:$M$10001,"Compra")</f>
        <v>1.347369402985074</v>
      </c>
      <c r="H994">
        <f>IF($G994=0,"",_xlfn.RANK.EQ($G994,$G$2:$G$2353,0)+COUNTIF($G$2:G994,$G994)-1)</f>
        <v>1521</v>
      </c>
    </row>
    <row r="995" spans="6:8" x14ac:dyDescent="0.25">
      <c r="F995" t="str">
        <f>"Island (V.9)"</f>
        <v>Island (V.9)</v>
      </c>
      <c r="G995">
        <f>SUMIFS(Colección!$L$2:$L$10001,Colección!$F$2:$F$10001,$F995,Colección!$M$2:$M$10001,"Compra")</f>
        <v>1.0624062031015509</v>
      </c>
      <c r="H995">
        <f>IF($G995=0,"",_xlfn.RANK.EQ($G995,$G$2:$G$2353,0)+COUNTIF($G$2:G995,$G995)-1)</f>
        <v>1621</v>
      </c>
    </row>
    <row r="996" spans="6:8" x14ac:dyDescent="0.25">
      <c r="F996" t="str">
        <f>"Isochron Scepter"</f>
        <v>Isochron Scepter</v>
      </c>
      <c r="G996">
        <f>SUMIFS(Colección!$L$2:$L$10001,Colección!$F$2:$F$10001,$F996,Colección!$M$2:$M$10001,"Compra")</f>
        <v>37.47</v>
      </c>
      <c r="H996">
        <f>IF($G996=0,"",_xlfn.RANK.EQ($G996,$G$2:$G$2353,0)+COUNTIF($G$2:G996,$G996)-1)</f>
        <v>224</v>
      </c>
    </row>
    <row r="997" spans="6:8" x14ac:dyDescent="0.25">
      <c r="F997" t="str">
        <f>"Issho (OP03-078) (V.1)"</f>
        <v>Issho (OP03-078) (V.1)</v>
      </c>
      <c r="G997">
        <f>SUMIFS(Colección!$L$2:$L$10001,Colección!$F$2:$F$10001,$F997,Colección!$M$2:$M$10001,"Compra")</f>
        <v>1.768067226890756</v>
      </c>
      <c r="H997">
        <f>IF($G997=0,"",_xlfn.RANK.EQ($G997,$G$2:$G$2353,0)+COUNTIF($G$2:G997,$G997)-1)</f>
        <v>1406</v>
      </c>
    </row>
    <row r="998" spans="6:8" x14ac:dyDescent="0.25">
      <c r="F998" t="str">
        <f>"Issho (OP04-020) (V.1)"</f>
        <v>Issho (OP04-020) (V.1)</v>
      </c>
      <c r="G998">
        <f>SUMIFS(Colección!$L$2:$L$10001,Colección!$F$2:$F$10001,$F998,Colección!$M$2:$M$10001,"Compra")</f>
        <v>6.1898734177215198E-2</v>
      </c>
      <c r="H998">
        <f>IF($G998=0,"",_xlfn.RANK.EQ($G998,$G$2:$G$2353,0)+COUNTIF($G$2:G998,$G998)-1)</f>
        <v>2280</v>
      </c>
    </row>
    <row r="999" spans="6:8" x14ac:dyDescent="0.25">
      <c r="F999" t="str">
        <f>"Issho (OP05-042)"</f>
        <v>Issho (OP05-042)</v>
      </c>
      <c r="G999">
        <f>SUMIFS(Colección!$L$2:$L$10001,Colección!$F$2:$F$10001,$F999,Colección!$M$2:$M$10001,"Compra")</f>
        <v>0.13530852105778651</v>
      </c>
      <c r="H999">
        <f>IF($G999=0,"",_xlfn.RANK.EQ($G999,$G$2:$G$2353,0)+COUNTIF($G$2:G999,$G999)-1)</f>
        <v>2133</v>
      </c>
    </row>
    <row r="1000" spans="6:8" x14ac:dyDescent="0.25">
      <c r="F1000" t="str">
        <f>"It'll Quench Ya!"</f>
        <v>It'll Quench Ya!</v>
      </c>
      <c r="G1000">
        <f>SUMIFS(Colección!$L$2:$L$10001,Colección!$F$2:$F$10001,$F1000,Colección!$M$2:$M$10001,"Compra")</f>
        <v>0.58947368421052637</v>
      </c>
      <c r="H1000">
        <f>IF($G1000=0,"",_xlfn.RANK.EQ($G1000,$G$2:$G$2353,0)+COUNTIF($G$2:G1000,$G1000)-1)</f>
        <v>1831</v>
      </c>
    </row>
    <row r="1001" spans="6:8" x14ac:dyDescent="0.25">
      <c r="F1001" t="str">
        <f>"It's a Waste of Human Life!! (OP05-058)"</f>
        <v>It's a Waste of Human Life!! (OP05-058)</v>
      </c>
      <c r="G1001">
        <f>SUMIFS(Colección!$L$2:$L$10001,Colección!$F$2:$F$10001,$F1001,Colección!$M$2:$M$10001,"Compra")</f>
        <v>8.1185112634671888E-2</v>
      </c>
      <c r="H1001">
        <f>IF($G1001=0,"",_xlfn.RANK.EQ($G1001,$G$2:$G$2353,0)+COUNTIF($G$2:G1001,$G1001)-1)</f>
        <v>2226</v>
      </c>
    </row>
    <row r="1002" spans="6:8" x14ac:dyDescent="0.25">
      <c r="F1002" t="str">
        <f>"Izo (OP03-003)"</f>
        <v>Izo (OP03-003)</v>
      </c>
      <c r="G1002">
        <f>SUMIFS(Colección!$L$2:$L$10001,Colección!$F$2:$F$10001,$F1002,Colección!$M$2:$M$10001,"Compra")</f>
        <v>0.94003875968992257</v>
      </c>
      <c r="H1002">
        <f>IF($G1002=0,"",_xlfn.RANK.EQ($G1002,$G$2:$G$2353,0)+COUNTIF($G$2:G1002,$G1002)-1)</f>
        <v>1677</v>
      </c>
    </row>
    <row r="1003" spans="6:8" x14ac:dyDescent="0.25">
      <c r="F1003" t="str">
        <f>"Jabra (OP03-085)"</f>
        <v>Jabra (OP03-085)</v>
      </c>
      <c r="G1003">
        <f>SUMIFS(Colección!$L$2:$L$10001,Colección!$F$2:$F$10001,$F1003,Colección!$M$2:$M$10001,"Compra")</f>
        <v>9.5193798449612399E-2</v>
      </c>
      <c r="H1003">
        <f>IF($G1003=0,"",_xlfn.RANK.EQ($G1003,$G$2:$G$2353,0)+COUNTIF($G$2:G1003,$G1003)-1)</f>
        <v>2177</v>
      </c>
    </row>
    <row r="1004" spans="6:8" x14ac:dyDescent="0.25">
      <c r="F1004" t="str">
        <f>"Jace Reawakened"</f>
        <v>Jace Reawakened</v>
      </c>
      <c r="G1004">
        <f>SUMIFS(Colección!$L$2:$L$10001,Colección!$F$2:$F$10001,$F1004,Colección!$M$2:$M$10001,"Compra")</f>
        <v>16.660000000000004</v>
      </c>
      <c r="H1004">
        <f>IF($G1004=0,"",_xlfn.RANK.EQ($G1004,$G$2:$G$2353,0)+COUNTIF($G$2:G1004,$G1004)-1)</f>
        <v>463</v>
      </c>
    </row>
    <row r="1005" spans="6:8" x14ac:dyDescent="0.25">
      <c r="F1005" t="str">
        <f>"Jace, the Mind Sculptor"</f>
        <v>Jace, the Mind Sculptor</v>
      </c>
      <c r="G1005">
        <f>SUMIFS(Colección!$L$2:$L$10001,Colección!$F$2:$F$10001,$F1005,Colección!$M$2:$M$10001,"Compra")</f>
        <v>42.421682378535174</v>
      </c>
      <c r="H1005">
        <f>IF($G1005=0,"",_xlfn.RANK.EQ($G1005,$G$2:$G$2353,0)+COUNTIF($G$2:G1005,$G1005)-1)</f>
        <v>196</v>
      </c>
    </row>
    <row r="1006" spans="6:8" x14ac:dyDescent="0.25">
      <c r="F1006" t="str">
        <f>"Jace, the Perfected Mind (V.2)"</f>
        <v>Jace, the Perfected Mind (V.2)</v>
      </c>
      <c r="G1006">
        <f>SUMIFS(Colección!$L$2:$L$10001,Colección!$F$2:$F$10001,$F1006,Colección!$M$2:$M$10001,"Compra")</f>
        <v>20.72</v>
      </c>
      <c r="H1006">
        <f>IF($G1006=0,"",_xlfn.RANK.EQ($G1006,$G$2:$G$2353,0)+COUNTIF($G$2:G1006,$G1006)-1)</f>
        <v>383</v>
      </c>
    </row>
    <row r="1007" spans="6:8" x14ac:dyDescent="0.25">
      <c r="F1007" t="str">
        <f>"Jace, Wielder of Mysteries"</f>
        <v>Jace, Wielder of Mysteries</v>
      </c>
      <c r="G1007">
        <f>SUMIFS(Colección!$L$2:$L$10001,Colección!$F$2:$F$10001,$F1007,Colección!$M$2:$M$10001,"Compra")</f>
        <v>4.3636363636363642</v>
      </c>
      <c r="H1007">
        <f>IF($G1007=0,"",_xlfn.RANK.EQ($G1007,$G$2:$G$2353,0)+COUNTIF($G$2:G1007,$G1007)-1)</f>
        <v>1018</v>
      </c>
    </row>
    <row r="1008" spans="6:8" x14ac:dyDescent="0.25">
      <c r="F1008" t="str">
        <f>"Jango (OP03-028)"</f>
        <v>Jango (OP03-028)</v>
      </c>
      <c r="G1008">
        <f>SUMIFS(Colección!$L$2:$L$10001,Colección!$F$2:$F$10001,$F1008,Colección!$M$2:$M$10001,"Compra")</f>
        <v>0.35697674418604652</v>
      </c>
      <c r="H1008">
        <f>IF($G1008=0,"",_xlfn.RANK.EQ($G1008,$G$2:$G$2353,0)+COUNTIF($G$2:G1008,$G1008)-1)</f>
        <v>1976</v>
      </c>
    </row>
    <row r="1009" spans="6:8" x14ac:dyDescent="0.25">
      <c r="F1009" t="str">
        <f>"Jaya, Venerated Firemage"</f>
        <v>Jaya, Venerated Firemage</v>
      </c>
      <c r="G1009">
        <f>SUMIFS(Colección!$L$2:$L$10001,Colección!$F$2:$F$10001,$F1009,Colección!$M$2:$M$10001,"Compra")</f>
        <v>0.16363636363636361</v>
      </c>
      <c r="H1009">
        <f>IF($G1009=0,"",_xlfn.RANK.EQ($G1009,$G$2:$G$2353,0)+COUNTIF($G$2:G1009,$G1009)-1)</f>
        <v>2104</v>
      </c>
    </row>
    <row r="1010" spans="6:8" x14ac:dyDescent="0.25">
      <c r="F1010" t="str">
        <f>"Jegantha, the Wellspring"</f>
        <v>Jegantha, the Wellspring</v>
      </c>
      <c r="G1010">
        <f>SUMIFS(Colección!$L$2:$L$10001,Colección!$F$2:$F$10001,$F1010,Colección!$M$2:$M$10001,"Compra")</f>
        <v>6.3724137931034477</v>
      </c>
      <c r="H1010">
        <f>IF($G1010=0,"",_xlfn.RANK.EQ($G1010,$G$2:$G$2353,0)+COUNTIF($G$2:G1010,$G1010)-1)</f>
        <v>859</v>
      </c>
    </row>
    <row r="1011" spans="6:8" x14ac:dyDescent="0.25">
      <c r="F1011" t="str">
        <f>"Jellyfish Pirates (P-012)"</f>
        <v>Jellyfish Pirates (P-012)</v>
      </c>
      <c r="G1011">
        <f>SUMIFS(Colección!$L$2:$L$10001,Colección!$F$2:$F$10001,$F1011,Colección!$M$2:$M$10001,"Compra")</f>
        <v>0.1189922480620155</v>
      </c>
      <c r="H1011">
        <f>IF($G1011=0,"",_xlfn.RANK.EQ($G1011,$G$2:$G$2353,0)+COUNTIF($G$2:G1011,$G1011)-1)</f>
        <v>2153</v>
      </c>
    </row>
    <row r="1012" spans="6:8" x14ac:dyDescent="0.25">
      <c r="F1012" t="str">
        <f>"Jerry (OP03-084)"</f>
        <v>Jerry (OP03-084)</v>
      </c>
      <c r="G1012">
        <f>SUMIFS(Colección!$L$2:$L$10001,Colección!$F$2:$F$10001,$F1012,Colección!$M$2:$M$10001,"Compra")</f>
        <v>9.5193798449612399E-2</v>
      </c>
      <c r="H1012">
        <f>IF($G1012=0,"",_xlfn.RANK.EQ($G1012,$G$2:$G$2353,0)+COUNTIF($G$2:G1012,$G1012)-1)</f>
        <v>2178</v>
      </c>
    </row>
    <row r="1013" spans="6:8" x14ac:dyDescent="0.25">
      <c r="F1013" t="str">
        <f>"Jeskai Ascendancy"</f>
        <v>Jeskai Ascendancy</v>
      </c>
      <c r="G1013">
        <f>SUMIFS(Colección!$L$2:$L$10001,Colección!$F$2:$F$10001,$F1013,Colección!$M$2:$M$10001,"Compra")</f>
        <v>6.5453968253968249</v>
      </c>
      <c r="H1013">
        <f>IF($G1013=0,"",_xlfn.RANK.EQ($G1013,$G$2:$G$2353,0)+COUNTIF($G$2:G1013,$G1013)-1)</f>
        <v>844</v>
      </c>
    </row>
    <row r="1014" spans="6:8" x14ac:dyDescent="0.25">
      <c r="F1014" t="str">
        <f>"Jiang Yanggu, Wildcrafter"</f>
        <v>Jiang Yanggu, Wildcrafter</v>
      </c>
      <c r="G1014">
        <f>SUMIFS(Colección!$L$2:$L$10001,Colección!$F$2:$F$10001,$F1014,Colección!$M$2:$M$10001,"Compra")</f>
        <v>0.16363636363636361</v>
      </c>
      <c r="H1014">
        <f>IF($G1014=0,"",_xlfn.RANK.EQ($G1014,$G$2:$G$2353,0)+COUNTIF($G$2:G1014,$G1014)-1)</f>
        <v>2105</v>
      </c>
    </row>
    <row r="1015" spans="6:8" x14ac:dyDescent="0.25">
      <c r="F1015" t="str">
        <f>"Jinbe (OP05-066)"</f>
        <v>Jinbe (OP05-066)</v>
      </c>
      <c r="G1015">
        <f>SUMIFS(Colección!$L$2:$L$10001,Colección!$F$2:$F$10001,$F1015,Colección!$M$2:$M$10001,"Compra")</f>
        <v>8.1185112634671888E-2</v>
      </c>
      <c r="H1015">
        <f>IF($G1015=0,"",_xlfn.RANK.EQ($G1015,$G$2:$G$2353,0)+COUNTIF($G$2:G1015,$G1015)-1)</f>
        <v>2227</v>
      </c>
    </row>
    <row r="1016" spans="6:8" x14ac:dyDescent="0.25">
      <c r="F1016" t="str">
        <f>"John Giant (OP05-044)"</f>
        <v>John Giant (OP05-044)</v>
      </c>
      <c r="G1016">
        <f>SUMIFS(Colección!$L$2:$L$10001,Colección!$F$2:$F$10001,$F1016,Colección!$M$2:$M$10001,"Compra")</f>
        <v>0.36533300685602349</v>
      </c>
      <c r="H1016">
        <f>IF($G1016=0,"",_xlfn.RANK.EQ($G1016,$G$2:$G$2353,0)+COUNTIF($G$2:G1016,$G1016)-1)</f>
        <v>1971</v>
      </c>
    </row>
    <row r="1017" spans="6:8" x14ac:dyDescent="0.25">
      <c r="F1017" t="str">
        <f>"Jolted Awake (V.1)"</f>
        <v>Jolted Awake (V.1)</v>
      </c>
      <c r="G1017">
        <f>SUMIFS(Colección!$L$2:$L$10001,Colección!$F$2:$F$10001,$F1017,Colección!$M$2:$M$10001,"Compra")</f>
        <v>2.3445480631276903</v>
      </c>
      <c r="H1017">
        <f>IF($G1017=0,"",_xlfn.RANK.EQ($G1017,$G$2:$G$2353,0)+COUNTIF($G$2:G1017,$G1017)-1)</f>
        <v>1277</v>
      </c>
    </row>
    <row r="1018" spans="6:8" x14ac:dyDescent="0.25">
      <c r="F1018" t="str">
        <f>"Jund Charm"</f>
        <v>Jund Charm</v>
      </c>
      <c r="G1018">
        <f>SUMIFS(Colección!$L$2:$L$10001,Colección!$F$2:$F$10001,$F1018,Colección!$M$2:$M$10001,"Compra")</f>
        <v>0.24325203252032521</v>
      </c>
      <c r="H1018">
        <f>IF($G1018=0,"",_xlfn.RANK.EQ($G1018,$G$2:$G$2353,0)+COUNTIF($G$2:G1018,$G1018)-1)</f>
        <v>2048</v>
      </c>
    </row>
    <row r="1019" spans="6:8" x14ac:dyDescent="0.25">
      <c r="F1019" t="str">
        <f>"Jwari Disruption // Jwari Ruins"</f>
        <v>Jwari Disruption // Jwari Ruins</v>
      </c>
      <c r="G1019">
        <f>SUMIFS(Colección!$L$2:$L$10001,Colección!$F$2:$F$10001,$F1019,Colección!$M$2:$M$10001,"Compra")</f>
        <v>1.1695205479452055</v>
      </c>
      <c r="H1019">
        <f>IF($G1019=0,"",_xlfn.RANK.EQ($G1019,$G$2:$G$2353,0)+COUNTIF($G$2:G1019,$G1019)-1)</f>
        <v>1572</v>
      </c>
    </row>
    <row r="1020" spans="6:8" x14ac:dyDescent="0.25">
      <c r="F1020" t="str">
        <f>"Kaheera, the Orphanguard"</f>
        <v>Kaheera, the Orphanguard</v>
      </c>
      <c r="G1020">
        <f>SUMIFS(Colección!$L$2:$L$10001,Colección!$F$2:$F$10001,$F1020,Colección!$M$2:$M$10001,"Compra")</f>
        <v>2.0275862068965518</v>
      </c>
      <c r="H1020">
        <f>IF($G1020=0,"",_xlfn.RANK.EQ($G1020,$G$2:$G$2353,0)+COUNTIF($G$2:G1020,$G1020)-1)</f>
        <v>1364</v>
      </c>
    </row>
    <row r="1021" spans="6:8" x14ac:dyDescent="0.25">
      <c r="F1021" t="str">
        <f>"Kaheera, the Orphanguard (V.1)"</f>
        <v>Kaheera, the Orphanguard (V.1)</v>
      </c>
      <c r="G1021">
        <f>SUMIFS(Colección!$L$2:$L$10001,Colección!$F$2:$F$10001,$F1021,Colección!$M$2:$M$10001,"Compra")</f>
        <v>0.21296703296703301</v>
      </c>
      <c r="H1021">
        <f>IF($G1021=0,"",_xlfn.RANK.EQ($G1021,$G$2:$G$2353,0)+COUNTIF($G$2:G1021,$G1021)-1)</f>
        <v>2085</v>
      </c>
    </row>
    <row r="1022" spans="6:8" x14ac:dyDescent="0.25">
      <c r="F1022" t="str">
        <f>"Kaido (OP01-094) (V.1)"</f>
        <v>Kaido (OP01-094) (V.1)</v>
      </c>
      <c r="G1022">
        <f>SUMIFS(Colección!$L$2:$L$10001,Colección!$F$2:$F$10001,$F1022,Colección!$M$2:$M$10001,"Compra")</f>
        <v>2.139890710382514</v>
      </c>
      <c r="H1022">
        <f>IF($G1022=0,"",_xlfn.RANK.EQ($G1022,$G$2:$G$2353,0)+COUNTIF($G$2:G1022,$G1022)-1)</f>
        <v>1335</v>
      </c>
    </row>
    <row r="1023" spans="6:8" x14ac:dyDescent="0.25">
      <c r="F1023" t="str">
        <f>"Kaido (OP04-044) (V.1)"</f>
        <v>Kaido (OP04-044) (V.1)</v>
      </c>
      <c r="G1023">
        <f>SUMIFS(Colección!$L$2:$L$10001,Colección!$F$2:$F$10001,$F1023,Colección!$M$2:$M$10001,"Compra")</f>
        <v>2.509885931558935</v>
      </c>
      <c r="H1023">
        <f>IF($G1023=0,"",_xlfn.RANK.EQ($G1023,$G$2:$G$2353,0)+COUNTIF($G$2:G1023,$G1023)-1)</f>
        <v>1254</v>
      </c>
    </row>
    <row r="1024" spans="6:8" x14ac:dyDescent="0.25">
      <c r="F1024" t="str">
        <f>"Kaido (OP05-118) (V.1)"</f>
        <v>Kaido (OP05-118) (V.1)</v>
      </c>
      <c r="G1024">
        <f>SUMIFS(Colección!$L$2:$L$10001,Colección!$F$2:$F$10001,$F1024,Colección!$M$2:$M$10001,"Compra")</f>
        <v>15.090731707317071</v>
      </c>
      <c r="H1024">
        <f>IF($G1024=0,"",_xlfn.RANK.EQ($G1024,$G$2:$G$2353,0)+COUNTIF($G$2:G1024,$G1024)-1)</f>
        <v>501</v>
      </c>
    </row>
    <row r="1025" spans="6:8" x14ac:dyDescent="0.25">
      <c r="F1025" t="str">
        <f>"Kaito, Bane of Nightmares (V.1)"</f>
        <v>Kaito, Bane of Nightmares (V.1)</v>
      </c>
      <c r="G1025">
        <f>SUMIFS(Colección!$L$2:$L$10001,Colección!$F$2:$F$10001,$F1025,Colección!$M$2:$M$10001,"Compra")</f>
        <v>67.479999999999976</v>
      </c>
      <c r="H1025">
        <f>IF($G1025=0,"",_xlfn.RANK.EQ($G1025,$G$2:$G$2353,0)+COUNTIF($G$2:G1025,$G1025)-1)</f>
        <v>121</v>
      </c>
    </row>
    <row r="1026" spans="6:8" x14ac:dyDescent="0.25">
      <c r="F1026" t="str">
        <f>"Kaku (OP03-059)"</f>
        <v>Kaku (OP03-059)</v>
      </c>
      <c r="G1026">
        <f>SUMIFS(Colección!$L$2:$L$10001,Colección!$F$2:$F$10001,$F1026,Colección!$M$2:$M$10001,"Compra")</f>
        <v>0.22608527131782949</v>
      </c>
      <c r="H1026">
        <f>IF($G1026=0,"",_xlfn.RANK.EQ($G1026,$G$2:$G$2353,0)+COUNTIF($G$2:G1026,$G1026)-1)</f>
        <v>2064</v>
      </c>
    </row>
    <row r="1027" spans="6:8" x14ac:dyDescent="0.25">
      <c r="F1027" t="str">
        <f>"Kaku (OP03-080) (V.1)"</f>
        <v>Kaku (OP03-080) (V.1)</v>
      </c>
      <c r="G1027">
        <f>SUMIFS(Colección!$L$2:$L$10001,Colección!$F$2:$F$10001,$F1027,Colección!$M$2:$M$10001,"Compra")</f>
        <v>0.44201680672268912</v>
      </c>
      <c r="H1027">
        <f>IF($G1027=0,"",_xlfn.RANK.EQ($G1027,$G$2:$G$2353,0)+COUNTIF($G$2:G1027,$G1027)-1)</f>
        <v>1923</v>
      </c>
    </row>
    <row r="1028" spans="6:8" x14ac:dyDescent="0.25">
      <c r="F1028" t="str">
        <f>"Kaldra Compleat"</f>
        <v>Kaldra Compleat</v>
      </c>
      <c r="G1028">
        <f>SUMIFS(Colección!$L$2:$L$10001,Colección!$F$2:$F$10001,$F1028,Colección!$M$2:$M$10001,"Compra")</f>
        <v>6.6115156764247356</v>
      </c>
      <c r="H1028">
        <f>IF($G1028=0,"",_xlfn.RANK.EQ($G1028,$G$2:$G$2353,0)+COUNTIF($G$2:G1028,$G1028)-1)</f>
        <v>834</v>
      </c>
    </row>
    <row r="1029" spans="6:8" x14ac:dyDescent="0.25">
      <c r="F1029" t="str">
        <f>"Kalifa (OP03-060)"</f>
        <v>Kalifa (OP03-060)</v>
      </c>
      <c r="G1029">
        <f>SUMIFS(Colección!$L$2:$L$10001,Colección!$F$2:$F$10001,$F1029,Colección!$M$2:$M$10001,"Compra")</f>
        <v>0.22608527131782949</v>
      </c>
      <c r="H1029">
        <f>IF($G1029=0,"",_xlfn.RANK.EQ($G1029,$G$2:$G$2353,0)+COUNTIF($G$2:G1029,$G1029)-1)</f>
        <v>2065</v>
      </c>
    </row>
    <row r="1030" spans="6:8" x14ac:dyDescent="0.25">
      <c r="F1030" t="str">
        <f>"Kalifa (OP03-081) (V.1)"</f>
        <v>Kalifa (OP03-081) (V.1)</v>
      </c>
      <c r="G1030">
        <f>SUMIFS(Colección!$L$2:$L$10001,Colección!$F$2:$F$10001,$F1030,Colección!$M$2:$M$10001,"Compra")</f>
        <v>0.83294573643410852</v>
      </c>
      <c r="H1030">
        <f>IF($G1030=0,"",_xlfn.RANK.EQ($G1030,$G$2:$G$2353,0)+COUNTIF($G$2:G1030,$G1030)-1)</f>
        <v>1709</v>
      </c>
    </row>
    <row r="1031" spans="6:8" x14ac:dyDescent="0.25">
      <c r="F1031" t="str">
        <f>"Kami of Ancient Law"</f>
        <v>Kami of Ancient Law</v>
      </c>
      <c r="G1031">
        <f>SUMIFS(Colección!$L$2:$L$10001,Colección!$F$2:$F$10001,$F1031,Colección!$M$2:$M$10001,"Compra")</f>
        <v>0.90293965961835998</v>
      </c>
      <c r="H1031">
        <f>IF($G1031=0,"",_xlfn.RANK.EQ($G1031,$G$2:$G$2353,0)+COUNTIF($G$2:G1031,$G1031)-1)</f>
        <v>1683</v>
      </c>
    </row>
    <row r="1032" spans="6:8" x14ac:dyDescent="0.25">
      <c r="F1032" t="str">
        <f>"Kami's Flare"</f>
        <v>Kami's Flare</v>
      </c>
      <c r="G1032">
        <f>SUMIFS(Colección!$L$2:$L$10001,Colección!$F$2:$F$10001,$F1032,Colección!$M$2:$M$10001,"Compra")</f>
        <v>0.43455027064378682</v>
      </c>
      <c r="H1032">
        <f>IF($G1032=0,"",_xlfn.RANK.EQ($G1032,$G$2:$G$2353,0)+COUNTIF($G$2:G1032,$G1032)-1)</f>
        <v>1926</v>
      </c>
    </row>
    <row r="1033" spans="6:8" x14ac:dyDescent="0.25">
      <c r="F1033" t="str">
        <f>"Kappa Cannoneer"</f>
        <v>Kappa Cannoneer</v>
      </c>
      <c r="G1033">
        <f>SUMIFS(Colección!$L$2:$L$10001,Colección!$F$2:$F$10001,$F1033,Colección!$M$2:$M$10001,"Compra")</f>
        <v>6.62</v>
      </c>
      <c r="H1033">
        <f>IF($G1033=0,"",_xlfn.RANK.EQ($G1033,$G$2:$G$2353,0)+COUNTIF($G$2:G1033,$G1033)-1)</f>
        <v>833</v>
      </c>
    </row>
    <row r="1034" spans="6:8" x14ac:dyDescent="0.25">
      <c r="F1034" t="str">
        <f>"Karakas"</f>
        <v>Karakas</v>
      </c>
      <c r="G1034">
        <f>SUMIFS(Colección!$L$2:$L$10001,Colección!$F$2:$F$10001,$F1034,Colección!$M$2:$M$10001,"Compra")</f>
        <v>53.38</v>
      </c>
      <c r="H1034">
        <f>IF($G1034=0,"",_xlfn.RANK.EQ($G1034,$G$2:$G$2353,0)+COUNTIF($G$2:G1034,$G1034)-1)</f>
        <v>163</v>
      </c>
    </row>
    <row r="1035" spans="6:8" x14ac:dyDescent="0.25">
      <c r="F1035" t="str">
        <f>"Karasu (OP05-005)"</f>
        <v>Karasu (OP05-005)</v>
      </c>
      <c r="G1035">
        <f>SUMIFS(Colección!$L$2:$L$10001,Colección!$F$2:$F$10001,$F1035,Colección!$M$2:$M$10001,"Compra")</f>
        <v>0.24979576951130561</v>
      </c>
      <c r="H1035">
        <f>IF($G1035=0,"",_xlfn.RANK.EQ($G1035,$G$2:$G$2353,0)+COUNTIF($G$2:G1035,$G1035)-1)</f>
        <v>2045</v>
      </c>
    </row>
    <row r="1036" spans="6:8" x14ac:dyDescent="0.25">
      <c r="F1036" t="str">
        <f>"Karn Liberated"</f>
        <v>Karn Liberated</v>
      </c>
      <c r="G1036">
        <f>SUMIFS(Colección!$L$2:$L$10001,Colección!$F$2:$F$10001,$F1036,Colección!$M$2:$M$10001,"Compra")</f>
        <v>83.040912996638241</v>
      </c>
      <c r="H1036">
        <f>IF($G1036=0,"",_xlfn.RANK.EQ($G1036,$G$2:$G$2353,0)+COUNTIF($G$2:G1036,$G1036)-1)</f>
        <v>94</v>
      </c>
    </row>
    <row r="1037" spans="6:8" x14ac:dyDescent="0.25">
      <c r="F1037" t="str">
        <f>"Karn's Sylex"</f>
        <v>Karn's Sylex</v>
      </c>
      <c r="G1037">
        <f>SUMIFS(Colección!$L$2:$L$10001,Colección!$F$2:$F$10001,$F1037,Colección!$M$2:$M$10001,"Compra")</f>
        <v>6.0449504950495054</v>
      </c>
      <c r="H1037">
        <f>IF($G1037=0,"",_xlfn.RANK.EQ($G1037,$G$2:$G$2353,0)+COUNTIF($G$2:G1037,$G1037)-1)</f>
        <v>884</v>
      </c>
    </row>
    <row r="1038" spans="6:8" x14ac:dyDescent="0.25">
      <c r="F1038" t="str">
        <f>"Karn, the Great Creator"</f>
        <v>Karn, the Great Creator</v>
      </c>
      <c r="G1038">
        <f>SUMIFS(Colección!$L$2:$L$10001,Colección!$F$2:$F$10001,$F1038,Colección!$M$2:$M$10001,"Compra")</f>
        <v>6.5454545454545459</v>
      </c>
      <c r="H1038">
        <f>IF($G1038=0,"",_xlfn.RANK.EQ($G1038,$G$2:$G$2353,0)+COUNTIF($G$2:G1038,$G1038)-1)</f>
        <v>840</v>
      </c>
    </row>
    <row r="1039" spans="6:8" x14ac:dyDescent="0.25">
      <c r="F1039" t="str">
        <f>"Karn, the Great Creator [Playset]"</f>
        <v>Karn, the Great Creator [Playset]</v>
      </c>
      <c r="G1039">
        <f>SUMIFS(Colección!$L$2:$L$10001,Colección!$F$2:$F$10001,$F1039,Colección!$M$2:$M$10001,"Compra")</f>
        <v>65.28</v>
      </c>
      <c r="H1039">
        <f>IF($G1039=0,"",_xlfn.RANK.EQ($G1039,$G$2:$G$2353,0)+COUNTIF($G$2:G1039,$G1039)-1)</f>
        <v>125</v>
      </c>
    </row>
    <row r="1040" spans="6:8" x14ac:dyDescent="0.25">
      <c r="F1040" t="str">
        <f>"Karoo (OP04-004)"</f>
        <v>Karoo (OP04-004)</v>
      </c>
      <c r="G1040">
        <f>SUMIFS(Colección!$L$2:$L$10001,Colección!$F$2:$F$10001,$F1040,Colección!$M$2:$M$10001,"Compra")</f>
        <v>6.1898734177215198E-2</v>
      </c>
      <c r="H1040">
        <f>IF($G1040=0,"",_xlfn.RANK.EQ($G1040,$G$2:$G$2353,0)+COUNTIF($G$2:G1040,$G1040)-1)</f>
        <v>2281</v>
      </c>
    </row>
    <row r="1041" spans="6:8" x14ac:dyDescent="0.25">
      <c r="F1041" t="str">
        <f>"Karplusan Forest"</f>
        <v>Karplusan Forest</v>
      </c>
      <c r="G1041">
        <f>SUMIFS(Colección!$L$2:$L$10001,Colección!$F$2:$F$10001,$F1041,Colección!$M$2:$M$10001,"Compra")</f>
        <v>12.800033514872226</v>
      </c>
      <c r="H1041">
        <f>IF($G1041=0,"",_xlfn.RANK.EQ($G1041,$G$2:$G$2353,0)+COUNTIF($G$2:G1041,$G1041)-1)</f>
        <v>557</v>
      </c>
    </row>
    <row r="1042" spans="6:8" x14ac:dyDescent="0.25">
      <c r="F1042" t="str">
        <f>"Karthus, Eternal"</f>
        <v>Karthus, Eternal</v>
      </c>
      <c r="G1042">
        <f>SUMIFS(Colección!$L$2:$L$10001,Colección!$F$2:$F$10001,$F1042,Colección!$M$2:$M$10001,"Compra")</f>
        <v>11.95</v>
      </c>
      <c r="H1042">
        <f>IF($G1042=0,"",_xlfn.RANK.EQ($G1042,$G$2:$G$2353,0)+COUNTIF($G$2:G1042,$G1042)-1)</f>
        <v>587</v>
      </c>
    </row>
    <row r="1043" spans="6:8" x14ac:dyDescent="0.25">
      <c r="F1043" t="str">
        <f>"Kasmina, Enigmatic Mentor"</f>
        <v>Kasmina, Enigmatic Mentor</v>
      </c>
      <c r="G1043">
        <f>SUMIFS(Colección!$L$2:$L$10001,Colección!$F$2:$F$10001,$F1043,Colección!$M$2:$M$10001,"Compra")</f>
        <v>0.27272727272727282</v>
      </c>
      <c r="H1043">
        <f>IF($G1043=0,"",_xlfn.RANK.EQ($G1043,$G$2:$G$2353,0)+COUNTIF($G$2:G1043,$G1043)-1)</f>
        <v>2035</v>
      </c>
    </row>
    <row r="1044" spans="6:8" x14ac:dyDescent="0.25">
      <c r="F1044" t="str">
        <f>"Kassandra, Eagle Bearer"</f>
        <v>Kassandra, Eagle Bearer</v>
      </c>
      <c r="G1044">
        <f>SUMIFS(Colección!$L$2:$L$10001,Colección!$F$2:$F$10001,$F1044,Colección!$M$2:$M$10001,"Compra")</f>
        <v>27.743921568627449</v>
      </c>
      <c r="H1044">
        <f>IF($G1044=0,"",_xlfn.RANK.EQ($G1044,$G$2:$G$2353,0)+COUNTIF($G$2:G1044,$G1044)-1)</f>
        <v>291</v>
      </c>
    </row>
    <row r="1045" spans="6:8" x14ac:dyDescent="0.25">
      <c r="F1045" t="str">
        <f>"Kataki, War's Wage"</f>
        <v>Kataki, War's Wage</v>
      </c>
      <c r="G1045">
        <f>SUMIFS(Colección!$L$2:$L$10001,Colección!$F$2:$F$10001,$F1045,Colección!$M$2:$M$10001,"Compra")</f>
        <v>8.1300000000000008</v>
      </c>
      <c r="H1045">
        <f>IF($G1045=0,"",_xlfn.RANK.EQ($G1045,$G$2:$G$2353,0)+COUNTIF($G$2:G1045,$G1045)-1)</f>
        <v>743</v>
      </c>
    </row>
    <row r="1046" spans="6:8" x14ac:dyDescent="0.25">
      <c r="F1046" t="str">
        <f>"Kaya (OP03-044)"</f>
        <v>Kaya (OP03-044)</v>
      </c>
      <c r="G1046">
        <f>SUMIFS(Colección!$L$2:$L$10001,Colección!$F$2:$F$10001,$F1046,Colección!$M$2:$M$10001,"Compra")</f>
        <v>0.58306201550387593</v>
      </c>
      <c r="H1046">
        <f>IF($G1046=0,"",_xlfn.RANK.EQ($G1046,$G$2:$G$2353,0)+COUNTIF($G$2:G1046,$G1046)-1)</f>
        <v>1835</v>
      </c>
    </row>
    <row r="1047" spans="6:8" x14ac:dyDescent="0.25">
      <c r="F1047" t="str">
        <f>"Kaya's Guile"</f>
        <v>Kaya's Guile</v>
      </c>
      <c r="G1047">
        <f>SUMIFS(Colección!$L$2:$L$10001,Colección!$F$2:$F$10001,$F1047,Colección!$M$2:$M$10001,"Compra")</f>
        <v>6.5583746385790995</v>
      </c>
      <c r="H1047">
        <f>IF($G1047=0,"",_xlfn.RANK.EQ($G1047,$G$2:$G$2353,0)+COUNTIF($G$2:G1047,$G1047)-1)</f>
        <v>839</v>
      </c>
    </row>
    <row r="1048" spans="6:8" x14ac:dyDescent="0.25">
      <c r="F1048" t="str">
        <f>"Kaya, Bane of the Dead"</f>
        <v>Kaya, Bane of the Dead</v>
      </c>
      <c r="G1048">
        <f>SUMIFS(Colección!$L$2:$L$10001,Colección!$F$2:$F$10001,$F1048,Colección!$M$2:$M$10001,"Compra")</f>
        <v>0.16363636363636361</v>
      </c>
      <c r="H1048">
        <f>IF($G1048=0,"",_xlfn.RANK.EQ($G1048,$G$2:$G$2353,0)+COUNTIF($G$2:G1048,$G1048)-1)</f>
        <v>2106</v>
      </c>
    </row>
    <row r="1049" spans="6:8" x14ac:dyDescent="0.25">
      <c r="F1049" t="str">
        <f>"Kaya, Orzhov Usurper"</f>
        <v>Kaya, Orzhov Usurper</v>
      </c>
      <c r="G1049">
        <f>SUMIFS(Colección!$L$2:$L$10001,Colección!$F$2:$F$10001,$F1049,Colección!$M$2:$M$10001,"Compra")</f>
        <v>3.4527777777777779</v>
      </c>
      <c r="H1049">
        <f>IF($G1049=0,"",_xlfn.RANK.EQ($G1049,$G$2:$G$2353,0)+COUNTIF($G$2:G1049,$G1049)-1)</f>
        <v>1125</v>
      </c>
    </row>
    <row r="1050" spans="6:8" x14ac:dyDescent="0.25">
      <c r="F1050" t="str">
        <f>"Kellan, Daring Traveler // Journey On"</f>
        <v>Kellan, Daring Traveler // Journey On</v>
      </c>
      <c r="G1050">
        <f>SUMIFS(Colección!$L$2:$L$10001,Colección!$F$2:$F$10001,$F1050,Colección!$M$2:$M$10001,"Compra")</f>
        <v>0.85690962099125356</v>
      </c>
      <c r="H1050">
        <f>IF($G1050=0,"",_xlfn.RANK.EQ($G1050,$G$2:$G$2353,0)+COUNTIF($G$2:G1050,$G1050)-1)</f>
        <v>1696</v>
      </c>
    </row>
    <row r="1051" spans="6:8" x14ac:dyDescent="0.25">
      <c r="F1051" t="str">
        <f>"Keranos, God of Storms"</f>
        <v>Keranos, God of Storms</v>
      </c>
      <c r="G1051">
        <f>SUMIFS(Colección!$L$2:$L$10001,Colección!$F$2:$F$10001,$F1051,Colección!$M$2:$M$10001,"Compra")</f>
        <v>7.31</v>
      </c>
      <c r="H1051">
        <f>IF($G1051=0,"",_xlfn.RANK.EQ($G1051,$G$2:$G$2353,0)+COUNTIF($G$2:G1051,$G1051)-1)</f>
        <v>791</v>
      </c>
    </row>
    <row r="1052" spans="6:8" x14ac:dyDescent="0.25">
      <c r="F1052" t="str">
        <f>"Ketria Triome"</f>
        <v>Ketria Triome</v>
      </c>
      <c r="G1052">
        <f>SUMIFS(Colección!$L$2:$L$10001,Colección!$F$2:$F$10001,$F1052,Colección!$M$2:$M$10001,"Compra")</f>
        <v>12.93</v>
      </c>
      <c r="H1052">
        <f>IF($G1052=0,"",_xlfn.RANK.EQ($G1052,$G$2:$G$2353,0)+COUNTIF($G$2:G1052,$G1052)-1)</f>
        <v>554</v>
      </c>
    </row>
    <row r="1053" spans="6:8" x14ac:dyDescent="0.25">
      <c r="F1053" t="str">
        <f>"Keyword Counter (Flying)"</f>
        <v>Keyword Counter (Flying)</v>
      </c>
      <c r="G1053">
        <f>SUMIFS(Colección!$L$2:$L$10001,Colección!$F$2:$F$10001,$F1053,Colección!$M$2:$M$10001,"Compra")</f>
        <v>1.636363636363636</v>
      </c>
      <c r="H1053">
        <f>IF($G1053=0,"",_xlfn.RANK.EQ($G1053,$G$2:$G$2353,0)+COUNTIF($G$2:G1053,$G1053)-1)</f>
        <v>1448</v>
      </c>
    </row>
    <row r="1054" spans="6:8" x14ac:dyDescent="0.25">
      <c r="F1054" t="str">
        <f>"Keyword Counter (Hexproof)"</f>
        <v>Keyword Counter (Hexproof)</v>
      </c>
      <c r="G1054">
        <f>SUMIFS(Colección!$L$2:$L$10001,Colección!$F$2:$F$10001,$F1054,Colección!$M$2:$M$10001,"Compra")</f>
        <v>1.636363636363636</v>
      </c>
      <c r="H1054">
        <f>IF($G1054=0,"",_xlfn.RANK.EQ($G1054,$G$2:$G$2353,0)+COUNTIF($G$2:G1054,$G1054)-1)</f>
        <v>1449</v>
      </c>
    </row>
    <row r="1055" spans="6:8" x14ac:dyDescent="0.25">
      <c r="F1055" t="str">
        <f>"Keyword Counter (Indestructible)"</f>
        <v>Keyword Counter (Indestructible)</v>
      </c>
      <c r="G1055">
        <f>SUMIFS(Colección!$L$2:$L$10001,Colección!$F$2:$F$10001,$F1055,Colección!$M$2:$M$10001,"Compra")</f>
        <v>1.636363636363636</v>
      </c>
      <c r="H1055">
        <f>IF($G1055=0,"",_xlfn.RANK.EQ($G1055,$G$2:$G$2353,0)+COUNTIF($G$2:G1055,$G1055)-1)</f>
        <v>1450</v>
      </c>
    </row>
    <row r="1056" spans="6:8" x14ac:dyDescent="0.25">
      <c r="F1056" t="str">
        <f>"Keyword Counter (Stun)"</f>
        <v>Keyword Counter (Stun)</v>
      </c>
      <c r="G1056">
        <f>SUMIFS(Colección!$L$2:$L$10001,Colección!$F$2:$F$10001,$F1056,Colección!$M$2:$M$10001,"Compra")</f>
        <v>1.636363636363636</v>
      </c>
      <c r="H1056">
        <f>IF($G1056=0,"",_xlfn.RANK.EQ($G1056,$G$2:$G$2353,0)+COUNTIF($G$2:G1056,$G1056)-1)</f>
        <v>1451</v>
      </c>
    </row>
    <row r="1057" spans="6:8" x14ac:dyDescent="0.25">
      <c r="F1057" t="str">
        <f>"Keyword Counter Set (Deathtouch, Finality, Goad, Lifelink)"</f>
        <v>Keyword Counter Set (Deathtouch, Finality, Goad, Lifelink)</v>
      </c>
      <c r="G1057">
        <f>SUMIFS(Colección!$L$2:$L$10001,Colección!$F$2:$F$10001,$F1057,Colección!$M$2:$M$10001,"Compra")</f>
        <v>5.454545454545455</v>
      </c>
      <c r="H1057">
        <f>IF($G1057=0,"",_xlfn.RANK.EQ($G1057,$G$2:$G$2353,0)+COUNTIF($G$2:G1057,$G1057)-1)</f>
        <v>930</v>
      </c>
    </row>
    <row r="1058" spans="6:8" x14ac:dyDescent="0.25">
      <c r="F1058" t="str">
        <f>"Kha'Zix, Mutating Horror (V.2 - Showcase)"</f>
        <v>Kha'Zix, Mutating Horror (V.2 - Showcase)</v>
      </c>
      <c r="G1058">
        <f>SUMIFS(Colección!$L$2:$L$10001,Colección!$F$2:$F$10001,$F1058,Colección!$M$2:$M$10001,"Compra")</f>
        <v>13.670784804367607</v>
      </c>
      <c r="H1058">
        <f>IF($G1058=0,"",_xlfn.RANK.EQ($G1058,$G$2:$G$2353,0)+COUNTIF($G$2:G1058,$G1058)-1)</f>
        <v>534</v>
      </c>
    </row>
    <row r="1059" spans="6:8" x14ac:dyDescent="0.25">
      <c r="F1059" t="str">
        <f>"Kiki-Jiki, Mirror Breaker"</f>
        <v>Kiki-Jiki, Mirror Breaker</v>
      </c>
      <c r="G1059">
        <f>SUMIFS(Colección!$L$2:$L$10001,Colección!$F$2:$F$10001,$F1059,Colección!$M$2:$M$10001,"Compra")</f>
        <v>6.78</v>
      </c>
      <c r="H1059">
        <f>IF($G1059=0,"",_xlfn.RANK.EQ($G1059,$G$2:$G$2353,0)+COUNTIF($G$2:G1059,$G1059)-1)</f>
        <v>823</v>
      </c>
    </row>
    <row r="1060" spans="6:8" x14ac:dyDescent="0.25">
      <c r="F1060" t="str">
        <f>"Killer (OP05-064)"</f>
        <v>Killer (OP05-064)</v>
      </c>
      <c r="G1060">
        <f>SUMIFS(Colección!$L$2:$L$10001,Colección!$F$2:$F$10001,$F1060,Colección!$M$2:$M$10001,"Compra")</f>
        <v>0.27061704211557303</v>
      </c>
      <c r="H1060">
        <f>IF($G1060=0,"",_xlfn.RANK.EQ($G1060,$G$2:$G$2353,0)+COUNTIF($G$2:G1060,$G1060)-1)</f>
        <v>2041</v>
      </c>
    </row>
    <row r="1061" spans="6:8" x14ac:dyDescent="0.25">
      <c r="F1061" t="str">
        <f>"Kiln Fiend"</f>
        <v>Kiln Fiend</v>
      </c>
      <c r="G1061">
        <f>SUMIFS(Colección!$L$2:$L$10001,Colección!$F$2:$F$10001,$F1061,Colección!$M$2:$M$10001,"Compra")</f>
        <v>0.68919786096256686</v>
      </c>
      <c r="H1061">
        <f>IF($G1061=0,"",_xlfn.RANK.EQ($G1061,$G$2:$G$2353,0)+COUNTIF($G$2:G1061,$G1061)-1)</f>
        <v>1762</v>
      </c>
    </row>
    <row r="1062" spans="6:8" x14ac:dyDescent="0.25">
      <c r="F1062" t="str">
        <f>"Kin'emon (OP01-040) (V.1)"</f>
        <v>Kin'emon (OP01-040) (V.1)</v>
      </c>
      <c r="G1062">
        <f>SUMIFS(Colección!$L$2:$L$10001,Colección!$F$2:$F$10001,$F1062,Colección!$M$2:$M$10001,"Compra")</f>
        <v>0.5349726775956285</v>
      </c>
      <c r="H1062">
        <f>IF($G1062=0,"",_xlfn.RANK.EQ($G1062,$G$2:$G$2353,0)+COUNTIF($G$2:G1062,$G1062)-1)</f>
        <v>1867</v>
      </c>
    </row>
    <row r="1063" spans="6:8" x14ac:dyDescent="0.25">
      <c r="F1063" t="str">
        <f>"Kin'emon (OP04-102)"</f>
        <v>Kin'emon (OP04-102)</v>
      </c>
      <c r="G1063">
        <f>SUMIFS(Colección!$L$2:$L$10001,Colección!$F$2:$F$10001,$F1063,Colección!$M$2:$M$10001,"Compra")</f>
        <v>9.2848101265822783E-2</v>
      </c>
      <c r="H1063">
        <f>IF($G1063=0,"",_xlfn.RANK.EQ($G1063,$G$2:$G$2353,0)+COUNTIF($G$2:G1063,$G1063)-1)</f>
        <v>2213</v>
      </c>
    </row>
    <row r="1064" spans="6:8" x14ac:dyDescent="0.25">
      <c r="F1064" t="str">
        <f>"King (OP01-096) (V.1)"</f>
        <v>King (OP01-096) (V.1)</v>
      </c>
      <c r="G1064">
        <f>SUMIFS(Colección!$L$2:$L$10001,Colección!$F$2:$F$10001,$F1064,Colección!$M$2:$M$10001,"Compra")</f>
        <v>2.0061475409836071</v>
      </c>
      <c r="H1064">
        <f>IF($G1064=0,"",_xlfn.RANK.EQ($G1064,$G$2:$G$2353,0)+COUNTIF($G$2:G1064,$G1064)-1)</f>
        <v>1369</v>
      </c>
    </row>
    <row r="1065" spans="6:8" x14ac:dyDescent="0.25">
      <c r="F1065" t="str">
        <f>"King (OP04-045)"</f>
        <v>King (OP04-045)</v>
      </c>
      <c r="G1065">
        <f>SUMIFS(Colección!$L$2:$L$10001,Colección!$F$2:$F$10001,$F1065,Colección!$M$2:$M$10001,"Compra")</f>
        <v>9.2848101265822783E-2</v>
      </c>
      <c r="H1065">
        <f>IF($G1065=0,"",_xlfn.RANK.EQ($G1065,$G$2:$G$2353,0)+COUNTIF($G$2:G1065,$G1065)-1)</f>
        <v>2214</v>
      </c>
    </row>
    <row r="1066" spans="6:8" x14ac:dyDescent="0.25">
      <c r="F1066" t="str">
        <f>"King of the Oathbreakers"</f>
        <v>King of the Oathbreakers</v>
      </c>
      <c r="G1066">
        <f>SUMIFS(Colección!$L$2:$L$10001,Colección!$F$2:$F$10001,$F1066,Colección!$M$2:$M$10001,"Compra")</f>
        <v>0.33561020036429873</v>
      </c>
      <c r="H1066">
        <f>IF($G1066=0,"",_xlfn.RANK.EQ($G1066,$G$2:$G$2353,0)+COUNTIF($G$2:G1066,$G1066)-1)</f>
        <v>1988</v>
      </c>
    </row>
    <row r="1067" spans="6:8" x14ac:dyDescent="0.25">
      <c r="F1067" t="str">
        <f>"Kingbaum (OP03-100)"</f>
        <v>Kingbaum (OP03-100)</v>
      </c>
      <c r="G1067">
        <f>SUMIFS(Colección!$L$2:$L$10001,Colección!$F$2:$F$10001,$F1067,Colección!$M$2:$M$10001,"Compra")</f>
        <v>9.5193798449612399E-2</v>
      </c>
      <c r="H1067">
        <f>IF($G1067=0,"",_xlfn.RANK.EQ($G1067,$G$2:$G$2353,0)+COUNTIF($G$2:G1067,$G1067)-1)</f>
        <v>2179</v>
      </c>
    </row>
    <row r="1068" spans="6:8" x14ac:dyDescent="0.25">
      <c r="F1068" t="str">
        <f>"Kinkou Monk"</f>
        <v>Kinkou Monk</v>
      </c>
      <c r="G1068">
        <f>SUMIFS(Colección!$L$2:$L$10001,Colección!$F$2:$F$10001,$F1068,Colección!$M$2:$M$10001,"Compra")</f>
        <v>0.5430167597765363</v>
      </c>
      <c r="H1068">
        <f>IF($G1068=0,"",_xlfn.RANK.EQ($G1068,$G$2:$G$2353,0)+COUNTIF($G$2:G1068,$G1068)-1)</f>
        <v>1860</v>
      </c>
    </row>
    <row r="1069" spans="6:8" x14ac:dyDescent="0.25">
      <c r="F1069" t="str">
        <f>"Kiora, Behemoth Beckoner"</f>
        <v>Kiora, Behemoth Beckoner</v>
      </c>
      <c r="G1069">
        <f>SUMIFS(Colección!$L$2:$L$10001,Colección!$F$2:$F$10001,$F1069,Colección!$M$2:$M$10001,"Compra")</f>
        <v>0.81818181818181823</v>
      </c>
      <c r="H1069">
        <f>IF($G1069=0,"",_xlfn.RANK.EQ($G1069,$G$2:$G$2353,0)+COUNTIF($G$2:G1069,$G1069)-1)</f>
        <v>1715</v>
      </c>
    </row>
    <row r="1070" spans="6:8" x14ac:dyDescent="0.25">
      <c r="F1070" t="str">
        <f>"Kiora, the Rising Tide (V.1)"</f>
        <v>Kiora, the Rising Tide (V.1)</v>
      </c>
      <c r="G1070">
        <f>SUMIFS(Colección!$L$2:$L$10001,Colección!$F$2:$F$10001,$F1070,Colección!$M$2:$M$10001,"Compra")</f>
        <v>7.58</v>
      </c>
      <c r="H1070">
        <f>IF($G1070=0,"",_xlfn.RANK.EQ($G1070,$G$2:$G$2353,0)+COUNTIF($G$2:G1070,$G1070)-1)</f>
        <v>771</v>
      </c>
    </row>
    <row r="1071" spans="6:8" x14ac:dyDescent="0.25">
      <c r="F1071" t="str">
        <f>"Kitchen Finks"</f>
        <v>Kitchen Finks</v>
      </c>
      <c r="G1071">
        <f>SUMIFS(Colección!$L$2:$L$10001,Colección!$F$2:$F$10001,$F1071,Colección!$M$2:$M$10001,"Compra")</f>
        <v>1.63</v>
      </c>
      <c r="H1071">
        <f>IF($G1071=0,"",_xlfn.RANK.EQ($G1071,$G$2:$G$2353,0)+COUNTIF($G$2:G1071,$G1071)-1)</f>
        <v>1454</v>
      </c>
    </row>
    <row r="1072" spans="6:8" x14ac:dyDescent="0.25">
      <c r="F1072" t="str">
        <f>"Kitsa, Otterball Elite"</f>
        <v>Kitsa, Otterball Elite</v>
      </c>
      <c r="G1072">
        <f>SUMIFS(Colección!$L$2:$L$10001,Colección!$F$2:$F$10001,$F1072,Colección!$M$2:$M$10001,"Compra")</f>
        <v>16.330000000000002</v>
      </c>
      <c r="H1072">
        <f>IF($G1072=0,"",_xlfn.RANK.EQ($G1072,$G$2:$G$2353,0)+COUNTIF($G$2:G1072,$G1072)-1)</f>
        <v>475</v>
      </c>
    </row>
    <row r="1073" spans="6:8" x14ac:dyDescent="0.25">
      <c r="F1073" t="str">
        <f>"Kiwi &amp; Mozu (OP03-061)"</f>
        <v>Kiwi &amp; Mozu (OP03-061)</v>
      </c>
      <c r="G1073">
        <f>SUMIFS(Colección!$L$2:$L$10001,Colección!$F$2:$F$10001,$F1073,Colección!$M$2:$M$10001,"Compra")</f>
        <v>9.5193798449612399E-2</v>
      </c>
      <c r="H1073">
        <f>IF($G1073=0,"",_xlfn.RANK.EQ($G1073,$G$2:$G$2353,0)+COUNTIF($G$2:G1073,$G1073)-1)</f>
        <v>2180</v>
      </c>
    </row>
    <row r="1074" spans="6:8" x14ac:dyDescent="0.25">
      <c r="F1074" t="str">
        <f>"Knight of Autumn"</f>
        <v>Knight of Autumn</v>
      </c>
      <c r="G1074">
        <f>SUMIFS(Colección!$L$2:$L$10001,Colección!$F$2:$F$10001,$F1074,Colección!$M$2:$M$10001,"Compra")</f>
        <v>1.143381389252949</v>
      </c>
      <c r="H1074">
        <f>IF($G1074=0,"",_xlfn.RANK.EQ($G1074,$G$2:$G$2353,0)+COUNTIF($G$2:G1074,$G1074)-1)</f>
        <v>1578</v>
      </c>
    </row>
    <row r="1075" spans="6:8" x14ac:dyDescent="0.25">
      <c r="F1075" t="str">
        <f>"Knight-Errant of Eos"</f>
        <v>Knight-Errant of Eos</v>
      </c>
      <c r="G1075">
        <f>SUMIFS(Colección!$L$2:$L$10001,Colección!$F$2:$F$10001,$F1075,Colección!$M$2:$M$10001,"Compra")</f>
        <v>25.420684026428294</v>
      </c>
      <c r="H1075">
        <f>IF($G1075=0,"",_xlfn.RANK.EQ($G1075,$G$2:$G$2353,0)+COUNTIF($G$2:G1075,$G1075)-1)</f>
        <v>305</v>
      </c>
    </row>
    <row r="1076" spans="6:8" x14ac:dyDescent="0.25">
      <c r="F1076" t="str">
        <f>"Knockout Blow"</f>
        <v>Knockout Blow</v>
      </c>
      <c r="G1076">
        <f>SUMIFS(Colección!$L$2:$L$10001,Colección!$F$2:$F$10001,$F1076,Colección!$M$2:$M$10001,"Compra")</f>
        <v>0.68507089241034202</v>
      </c>
      <c r="H1076">
        <f>IF($G1076=0,"",_xlfn.RANK.EQ($G1076,$G$2:$G$2353,0)+COUNTIF($G$2:G1076,$G1076)-1)</f>
        <v>1766</v>
      </c>
    </row>
    <row r="1077" spans="6:8" x14ac:dyDescent="0.25">
      <c r="F1077" t="str">
        <f>"Koala (OP05-006) (V.1)"</f>
        <v>Koala (OP05-006) (V.1)</v>
      </c>
      <c r="G1077">
        <f>SUMIFS(Colección!$L$2:$L$10001,Colección!$F$2:$F$10001,$F1077,Colección!$M$2:$M$10001,"Compra")</f>
        <v>2.5130434782608702</v>
      </c>
      <c r="H1077">
        <f>IF($G1077=0,"",_xlfn.RANK.EQ($G1077,$G$2:$G$2353,0)+COUNTIF($G$2:G1077,$G1077)-1)</f>
        <v>1253</v>
      </c>
    </row>
    <row r="1078" spans="6:8" x14ac:dyDescent="0.25">
      <c r="F1078" t="str">
        <f>"Koby (P-014)"</f>
        <v>Koby (P-014)</v>
      </c>
      <c r="G1078">
        <f>SUMIFS(Colección!$L$2:$L$10001,Colección!$F$2:$F$10001,$F1078,Colección!$M$2:$M$10001,"Compra")</f>
        <v>0.1189922480620155</v>
      </c>
      <c r="H1078">
        <f>IF($G1078=0,"",_xlfn.RANK.EQ($G1078,$G$2:$G$2353,0)+COUNTIF($G$2:G1078,$G1078)-1)</f>
        <v>2154</v>
      </c>
    </row>
    <row r="1079" spans="6:8" x14ac:dyDescent="0.25">
      <c r="F1079" t="str">
        <f>"Kokoro (OP03-062)"</f>
        <v>Kokoro (OP03-062)</v>
      </c>
      <c r="G1079">
        <f>SUMIFS(Colección!$L$2:$L$10001,Colección!$F$2:$F$10001,$F1079,Colección!$M$2:$M$10001,"Compra")</f>
        <v>0.34507751937984488</v>
      </c>
      <c r="H1079">
        <f>IF($G1079=0,"",_xlfn.RANK.EQ($G1079,$G$2:$G$2353,0)+COUNTIF($G$2:G1079,$G1079)-1)</f>
        <v>1983</v>
      </c>
    </row>
    <row r="1080" spans="6:8" x14ac:dyDescent="0.25">
      <c r="F1080" t="str">
        <f>"Kolaghan's Command"</f>
        <v>Kolaghan's Command</v>
      </c>
      <c r="G1080">
        <f>SUMIFS(Colección!$L$2:$L$10001,Colección!$F$2:$F$10001,$F1080,Colección!$M$2:$M$10001,"Compra")</f>
        <v>6.15</v>
      </c>
      <c r="H1080">
        <f>IF($G1080=0,"",_xlfn.RANK.EQ($G1080,$G$2:$G$2353,0)+COUNTIF($G$2:G1080,$G1080)-1)</f>
        <v>876</v>
      </c>
    </row>
    <row r="1081" spans="6:8" x14ac:dyDescent="0.25">
      <c r="F1081" t="str">
        <f>"Kolaghan's Command [Playset]"</f>
        <v>Kolaghan's Command [Playset]</v>
      </c>
      <c r="G1081">
        <f>SUMIFS(Colección!$L$2:$L$10001,Colección!$F$2:$F$10001,$F1081,Colección!$M$2:$M$10001,"Compra")</f>
        <v>5.7565789473684212</v>
      </c>
      <c r="H1081">
        <f>IF($G1081=0,"",_xlfn.RANK.EQ($G1081,$G$2:$G$2353,0)+COUNTIF($G$2:G1081,$G1081)-1)</f>
        <v>909</v>
      </c>
    </row>
    <row r="1082" spans="6:8" x14ac:dyDescent="0.25">
      <c r="F1082" t="str">
        <f>"Kor Duelist"</f>
        <v>Kor Duelist</v>
      </c>
      <c r="G1082">
        <f>SUMIFS(Colección!$L$2:$L$10001,Colección!$F$2:$F$10001,$F1082,Colección!$M$2:$M$10001,"Compra")</f>
        <v>6.0941337095673385</v>
      </c>
      <c r="H1082">
        <f>IF($G1082=0,"",_xlfn.RANK.EQ($G1082,$G$2:$G$2353,0)+COUNTIF($G$2:G1082,$G1082)-1)</f>
        <v>880</v>
      </c>
    </row>
    <row r="1083" spans="6:8" x14ac:dyDescent="0.25">
      <c r="F1083" t="str">
        <f>"Kor Firewalker [Playset]"</f>
        <v>Kor Firewalker [Playset]</v>
      </c>
      <c r="G1083">
        <f>SUMIFS(Colección!$L$2:$L$10001,Colección!$F$2:$F$10001,$F1083,Colección!$M$2:$M$10001,"Compra")</f>
        <v>1.0513043478260871</v>
      </c>
      <c r="H1083">
        <f>IF($G1083=0,"",_xlfn.RANK.EQ($G1083,$G$2:$G$2353,0)+COUNTIF($G$2:G1083,$G1083)-1)</f>
        <v>1630</v>
      </c>
    </row>
    <row r="1084" spans="6:8" x14ac:dyDescent="0.25">
      <c r="F1084" t="str">
        <f>"Kor Outfitter"</f>
        <v>Kor Outfitter</v>
      </c>
      <c r="G1084">
        <f>SUMIFS(Colección!$L$2:$L$10001,Colección!$F$2:$F$10001,$F1084,Colección!$M$2:$M$10001,"Compra")</f>
        <v>0.83885674692534196</v>
      </c>
      <c r="H1084">
        <f>IF($G1084=0,"",_xlfn.RANK.EQ($G1084,$G$2:$G$2353,0)+COUNTIF($G$2:G1084,$G1084)-1)</f>
        <v>1707</v>
      </c>
    </row>
    <row r="1085" spans="6:8" x14ac:dyDescent="0.25">
      <c r="F1085" t="str">
        <f>"Kor Skyfisher"</f>
        <v>Kor Skyfisher</v>
      </c>
      <c r="G1085">
        <f>SUMIFS(Colección!$L$2:$L$10001,Colección!$F$2:$F$10001,$F1085,Colección!$M$2:$M$10001,"Compra")</f>
        <v>5.4545454545454559</v>
      </c>
      <c r="H1085">
        <f>IF($G1085=0,"",_xlfn.RANK.EQ($G1085,$G$2:$G$2353,0)+COUNTIF($G$2:G1085,$G1085)-1)</f>
        <v>930</v>
      </c>
    </row>
    <row r="1086" spans="6:8" x14ac:dyDescent="0.25">
      <c r="F1086" t="str">
        <f>"Kotori (OP05-103)"</f>
        <v>Kotori (OP05-103)</v>
      </c>
      <c r="G1086">
        <f>SUMIFS(Colección!$L$2:$L$10001,Colección!$F$2:$F$10001,$F1086,Colección!$M$2:$M$10001,"Compra")</f>
        <v>6.7654260528893242E-2</v>
      </c>
      <c r="H1086">
        <f>IF($G1086=0,"",_xlfn.RANK.EQ($G1086,$G$2:$G$2353,0)+COUNTIF($G$2:G1086,$G1086)-1)</f>
        <v>2244</v>
      </c>
    </row>
    <row r="1087" spans="6:8" x14ac:dyDescent="0.25">
      <c r="F1087" t="str">
        <f>"Kouzuki Hiyori (OP04-103)"</f>
        <v>Kouzuki Hiyori (OP04-103)</v>
      </c>
      <c r="G1087">
        <f>SUMIFS(Colección!$L$2:$L$10001,Colección!$F$2:$F$10001,$F1087,Colección!$M$2:$M$10001,"Compra")</f>
        <v>6.1898734177215198E-2</v>
      </c>
      <c r="H1087">
        <f>IF($G1087=0,"",_xlfn.RANK.EQ($G1087,$G$2:$G$2353,0)+COUNTIF($G$2:G1087,$G1087)-1)</f>
        <v>2282</v>
      </c>
    </row>
    <row r="1088" spans="6:8" x14ac:dyDescent="0.25">
      <c r="F1088" t="str">
        <f>"Kouzuki Hiyori (OP06-106) (V.1)"</f>
        <v>Kouzuki Hiyori (OP06-106) (V.1)</v>
      </c>
      <c r="G1088">
        <f>SUMIFS(Colección!$L$2:$L$10001,Colección!$F$2:$F$10001,$F1088,Colección!$M$2:$M$10001,"Compra")</f>
        <v>9.2200000000000006</v>
      </c>
      <c r="H1088">
        <f>IF($G1088=0,"",_xlfn.RANK.EQ($G1088,$G$2:$G$2353,0)+COUNTIF($G$2:G1088,$G1088)-1)</f>
        <v>692</v>
      </c>
    </row>
    <row r="1089" spans="6:8" x14ac:dyDescent="0.25">
      <c r="F1089" t="str">
        <f>"Kouzuki Oden (OP02-030) (V.1)"</f>
        <v>Kouzuki Oden (OP02-030) (V.1)</v>
      </c>
      <c r="G1089">
        <f>SUMIFS(Colección!$L$2:$L$10001,Colección!$F$2:$F$10001,$F1089,Colección!$M$2:$M$10001,"Compra")</f>
        <v>2.0061475409836071</v>
      </c>
      <c r="H1089">
        <f>IF($G1089=0,"",_xlfn.RANK.EQ($G1089,$G$2:$G$2353,0)+COUNTIF($G$2:G1089,$G1089)-1)</f>
        <v>1370</v>
      </c>
    </row>
    <row r="1090" spans="6:8" x14ac:dyDescent="0.25">
      <c r="F1090" t="str">
        <f>"Kozilek's Command"</f>
        <v>Kozilek's Command</v>
      </c>
      <c r="G1090">
        <f>SUMIFS(Colección!$L$2:$L$10001,Colección!$F$2:$F$10001,$F1090,Colección!$M$2:$M$10001,"Compra")</f>
        <v>39.011743119266058</v>
      </c>
      <c r="H1090">
        <f>IF($G1090=0,"",_xlfn.RANK.EQ($G1090,$G$2:$G$2353,0)+COUNTIF($G$2:G1090,$G1090)-1)</f>
        <v>220</v>
      </c>
    </row>
    <row r="1091" spans="6:8" x14ac:dyDescent="0.25">
      <c r="F1091" t="str">
        <f>"Kozilek's Return"</f>
        <v>Kozilek's Return</v>
      </c>
      <c r="G1091">
        <f>SUMIFS(Colección!$L$2:$L$10001,Colección!$F$2:$F$10001,$F1091,Colección!$M$2:$M$10001,"Compra")</f>
        <v>6.9823016619629961</v>
      </c>
      <c r="H1091">
        <f>IF($G1091=0,"",_xlfn.RANK.EQ($G1091,$G$2:$G$2353,0)+COUNTIF($G$2:G1091,$G1091)-1)</f>
        <v>814</v>
      </c>
    </row>
    <row r="1092" spans="6:8" x14ac:dyDescent="0.25">
      <c r="F1092" t="str">
        <f>"Kraul Harpooner"</f>
        <v>Kraul Harpooner</v>
      </c>
      <c r="G1092">
        <f>SUMIFS(Colección!$L$2:$L$10001,Colección!$F$2:$F$10001,$F1092,Colección!$M$2:$M$10001,"Compra")</f>
        <v>0.60870967741935478</v>
      </c>
      <c r="H1092">
        <f>IF($G1092=0,"",_xlfn.RANK.EQ($G1092,$G$2:$G$2353,0)+COUNTIF($G$2:G1092,$G1092)-1)</f>
        <v>1822</v>
      </c>
    </row>
    <row r="1093" spans="6:8" x14ac:dyDescent="0.25">
      <c r="F1093" t="str">
        <f>"Krieg (OP03-025) (V.1)"</f>
        <v>Krieg (OP03-025) (V.1)</v>
      </c>
      <c r="G1093">
        <f>SUMIFS(Colección!$L$2:$L$10001,Colección!$F$2:$F$10001,$F1093,Colección!$M$2:$M$10001,"Compra")</f>
        <v>0.3536134453781512</v>
      </c>
      <c r="H1093">
        <f>IF($G1093=0,"",_xlfn.RANK.EQ($G1093,$G$2:$G$2353,0)+COUNTIF($G$2:G1093,$G1093)-1)</f>
        <v>1979</v>
      </c>
    </row>
    <row r="1094" spans="6:8" x14ac:dyDescent="0.25">
      <c r="F1094" t="str">
        <f>"Krosan Tusker"</f>
        <v>Krosan Tusker</v>
      </c>
      <c r="G1094">
        <f>SUMIFS(Colección!$L$2:$L$10001,Colección!$F$2:$F$10001,$F1094,Colección!$M$2:$M$10001,"Compra")</f>
        <v>1.0909090909090911</v>
      </c>
      <c r="H1094">
        <f>IF($G1094=0,"",_xlfn.RANK.EQ($G1094,$G$2:$G$2353,0)+COUNTIF($G$2:G1094,$G1094)-1)</f>
        <v>1613</v>
      </c>
    </row>
    <row r="1095" spans="6:8" x14ac:dyDescent="0.25">
      <c r="F1095" t="str">
        <f>"Kroxa, Titan of Death's Hunger"</f>
        <v>Kroxa, Titan of Death's Hunger</v>
      </c>
      <c r="G1095">
        <f>SUMIFS(Colección!$L$2:$L$10001,Colección!$F$2:$F$10001,$F1095,Colección!$M$2:$M$10001,"Compra")</f>
        <v>6.6300259403372239</v>
      </c>
      <c r="H1095">
        <f>IF($G1095=0,"",_xlfn.RANK.EQ($G1095,$G$2:$G$2353,0)+COUNTIF($G$2:G1095,$G1095)-1)</f>
        <v>832</v>
      </c>
    </row>
    <row r="1096" spans="6:8" x14ac:dyDescent="0.25">
      <c r="F1096" t="str">
        <f>"Kumadori (OP03-082)"</f>
        <v>Kumadori (OP03-082)</v>
      </c>
      <c r="G1096">
        <f>SUMIFS(Colección!$L$2:$L$10001,Colección!$F$2:$F$10001,$F1096,Colección!$M$2:$M$10001,"Compra")</f>
        <v>9.5193798449612399E-2</v>
      </c>
      <c r="H1096">
        <f>IF($G1096=0,"",_xlfn.RANK.EQ($G1096,$G$2:$G$2353,0)+COUNTIF($G$2:G1096,$G1096)-1)</f>
        <v>2181</v>
      </c>
    </row>
    <row r="1097" spans="6:8" x14ac:dyDescent="0.25">
      <c r="F1097" t="str">
        <f>"Kumano Faces Kakkazan // Etching of Kumano"</f>
        <v>Kumano Faces Kakkazan // Etching of Kumano</v>
      </c>
      <c r="G1097">
        <f>SUMIFS(Colección!$L$2:$L$10001,Colección!$F$2:$F$10001,$F1097,Colección!$M$2:$M$10001,"Compra")</f>
        <v>0.65182540596567995</v>
      </c>
      <c r="H1097">
        <f>IF($G1097=0,"",_xlfn.RANK.EQ($G1097,$G$2:$G$2353,0)+COUNTIF($G$2:G1097,$G1097)-1)</f>
        <v>1789</v>
      </c>
    </row>
    <row r="1098" spans="6:8" x14ac:dyDescent="0.25">
      <c r="F1098" t="str">
        <f>"Kuro (OP03-021) (V.1)"</f>
        <v>Kuro (OP03-021) (V.1)</v>
      </c>
      <c r="G1098">
        <f>SUMIFS(Colección!$L$2:$L$10001,Colección!$F$2:$F$10001,$F1098,Colección!$M$2:$M$10001,"Compra")</f>
        <v>0.40457364341085272</v>
      </c>
      <c r="H1098">
        <f>IF($G1098=0,"",_xlfn.RANK.EQ($G1098,$G$2:$G$2353,0)+COUNTIF($G$2:G1098,$G1098)-1)</f>
        <v>1953</v>
      </c>
    </row>
    <row r="1099" spans="6:8" x14ac:dyDescent="0.25">
      <c r="F1099" t="str">
        <f>"Kuro (OP04-023)"</f>
        <v>Kuro (OP04-023)</v>
      </c>
      <c r="G1099">
        <f>SUMIFS(Colección!$L$2:$L$10001,Colección!$F$2:$F$10001,$F1099,Colección!$M$2:$M$10001,"Compra")</f>
        <v>6.1898734177215198E-2</v>
      </c>
      <c r="H1099">
        <f>IF($G1099=0,"",_xlfn.RANK.EQ($G1099,$G$2:$G$2353,0)+COUNTIF($G$2:G1099,$G1099)-1)</f>
        <v>2283</v>
      </c>
    </row>
    <row r="1100" spans="6:8" x14ac:dyDescent="0.25">
      <c r="F1100" t="str">
        <f>"Kuroobi (OP03-026)"</f>
        <v>Kuroobi (OP03-026)</v>
      </c>
      <c r="G1100">
        <f>SUMIFS(Colección!$L$2:$L$10001,Colección!$F$2:$F$10001,$F1100,Colección!$M$2:$M$10001,"Compra")</f>
        <v>0.2966427626070281</v>
      </c>
      <c r="H1100">
        <f>IF($G1100=0,"",_xlfn.RANK.EQ($G1100,$G$2:$G$2353,0)+COUNTIF($G$2:G1100,$G1100)-1)</f>
        <v>2004</v>
      </c>
    </row>
    <row r="1101" spans="6:8" x14ac:dyDescent="0.25">
      <c r="F1101" t="str">
        <f>"Kuween (OP05-024)"</f>
        <v>Kuween (OP05-024)</v>
      </c>
      <c r="G1101">
        <f>SUMIFS(Colección!$L$2:$L$10001,Colección!$F$2:$F$10001,$F1101,Colección!$M$2:$M$10001,"Compra")</f>
        <v>8.1185112634671888E-2</v>
      </c>
      <c r="H1101">
        <f>IF($G1101=0,"",_xlfn.RANK.EQ($G1101,$G$2:$G$2353,0)+COUNTIF($G$2:G1101,$G1101)-1)</f>
        <v>2228</v>
      </c>
    </row>
    <row r="1102" spans="6:8" x14ac:dyDescent="0.25">
      <c r="F1102" t="str">
        <f>"Kuzan (OP02-096) (V.1)"</f>
        <v>Kuzan (OP02-096) (V.1)</v>
      </c>
      <c r="G1102">
        <f>SUMIFS(Colección!$L$2:$L$10001,Colección!$F$2:$F$10001,$F1102,Colección!$M$2:$M$10001,"Compra")</f>
        <v>2.6748633879781418</v>
      </c>
      <c r="H1102">
        <f>IF($G1102=0,"",_xlfn.RANK.EQ($G1102,$G$2:$G$2353,0)+COUNTIF($G$2:G1102,$G1102)-1)</f>
        <v>1231</v>
      </c>
    </row>
    <row r="1103" spans="6:8" x14ac:dyDescent="0.25">
      <c r="F1103" t="str">
        <f>"Kyros (OP04-082) (V.1)"</f>
        <v>Kyros (OP04-082) (V.1)</v>
      </c>
      <c r="G1103">
        <f>SUMIFS(Colección!$L$2:$L$10001,Colección!$F$2:$F$10001,$F1103,Colección!$M$2:$M$10001,"Compra")</f>
        <v>0.3853012048192771</v>
      </c>
      <c r="H1103">
        <f>IF($G1103=0,"",_xlfn.RANK.EQ($G1103,$G$2:$G$2353,0)+COUNTIF($G$2:G1103,$G1103)-1)</f>
        <v>1967</v>
      </c>
    </row>
    <row r="1104" spans="6:8" x14ac:dyDescent="0.25">
      <c r="F1104" t="str">
        <f>"Lair of the Hydra"</f>
        <v>Lair of the Hydra</v>
      </c>
      <c r="G1104">
        <f>SUMIFS(Colección!$L$2:$L$10001,Colección!$F$2:$F$10001,$F1104,Colección!$M$2:$M$10001,"Compra")</f>
        <v>10.648909730363425</v>
      </c>
      <c r="H1104">
        <f>IF($G1104=0,"",_xlfn.RANK.EQ($G1104,$G$2:$G$2353,0)+COUNTIF($G$2:G1104,$G1104)-1)</f>
        <v>638</v>
      </c>
    </row>
    <row r="1105" spans="6:8" x14ac:dyDescent="0.25">
      <c r="F1105" t="str">
        <f>"Lamplight Phoenix"</f>
        <v>Lamplight Phoenix</v>
      </c>
      <c r="G1105">
        <f>SUMIFS(Colección!$L$2:$L$10001,Colección!$F$2:$F$10001,$F1105,Colección!$M$2:$M$10001,"Compra")</f>
        <v>25.519999999999996</v>
      </c>
      <c r="H1105">
        <f>IF($G1105=0,"",_xlfn.RANK.EQ($G1105,$G$2:$G$2353,0)+COUNTIF($G$2:G1105,$G1105)-1)</f>
        <v>303</v>
      </c>
    </row>
    <row r="1106" spans="6:8" x14ac:dyDescent="0.25">
      <c r="F1106" t="str">
        <f>"Lao.G (OP04-034)"</f>
        <v>Lao.G (OP04-034)</v>
      </c>
      <c r="G1106">
        <f>SUMIFS(Colección!$L$2:$L$10001,Colección!$F$2:$F$10001,$F1106,Colección!$M$2:$M$10001,"Compra")</f>
        <v>6.1898734177215198E-2</v>
      </c>
      <c r="H1106">
        <f>IF($G1106=0,"",_xlfn.RANK.EQ($G1106,$G$2:$G$2353,0)+COUNTIF($G$2:G1106,$G1106)-1)</f>
        <v>2284</v>
      </c>
    </row>
    <row r="1107" spans="6:8" x14ac:dyDescent="0.25">
      <c r="F1107" t="str">
        <f>"Last March of the Ents"</f>
        <v>Last March of the Ents</v>
      </c>
      <c r="G1107">
        <f>SUMIFS(Colección!$L$2:$L$10001,Colección!$F$2:$F$10001,$F1107,Colección!$M$2:$M$10001,"Compra")</f>
        <v>29.009999999999998</v>
      </c>
      <c r="H1107">
        <f>IF($G1107=0,"",_xlfn.RANK.EQ($G1107,$G$2:$G$2353,0)+COUNTIF($G$2:G1107,$G1107)-1)</f>
        <v>284</v>
      </c>
    </row>
    <row r="1108" spans="6:8" x14ac:dyDescent="0.25">
      <c r="F1108" t="str">
        <f>"Last Rites"</f>
        <v>Last Rites</v>
      </c>
      <c r="G1108">
        <f>SUMIFS(Colección!$L$2:$L$10001,Colección!$F$2:$F$10001,$F1108,Colección!$M$2:$M$10001,"Compra")</f>
        <v>57</v>
      </c>
      <c r="H1108">
        <f>IF($G1108=0,"",_xlfn.RANK.EQ($G1108,$G$2:$G$2353,0)+COUNTIF($G$2:G1108,$G1108)-1)</f>
        <v>152</v>
      </c>
    </row>
    <row r="1109" spans="6:8" x14ac:dyDescent="0.25">
      <c r="F1109" t="str">
        <f>"Lasyd Prowler"</f>
        <v>Lasyd Prowler</v>
      </c>
      <c r="G1109">
        <f>SUMIFS(Colección!$L$2:$L$10001,Colección!$F$2:$F$10001,$F1109,Colección!$M$2:$M$10001,"Compra")</f>
        <v>1.4286532951289397</v>
      </c>
      <c r="H1109">
        <f>IF($G1109=0,"",_xlfn.RANK.EQ($G1109,$G$2:$G$2353,0)+COUNTIF($G$2:G1109,$G1109)-1)</f>
        <v>1505</v>
      </c>
    </row>
    <row r="1110" spans="6:8" x14ac:dyDescent="0.25">
      <c r="F1110" t="str">
        <f>"Late to Dinner"</f>
        <v>Late to Dinner</v>
      </c>
      <c r="G1110">
        <f>SUMIFS(Colección!$L$2:$L$10001,Colección!$F$2:$F$10001,$F1110,Colección!$M$2:$M$10001,"Compra")</f>
        <v>0.52090909090909077</v>
      </c>
      <c r="H1110">
        <f>IF($G1110=0,"",_xlfn.RANK.EQ($G1110,$G$2:$G$2353,0)+COUNTIF($G$2:G1110,$G1110)-1)</f>
        <v>1874</v>
      </c>
    </row>
    <row r="1111" spans="6:8" x14ac:dyDescent="0.25">
      <c r="F1111" t="str">
        <f>"Lava Dart"</f>
        <v>Lava Dart</v>
      </c>
      <c r="G1111">
        <f>SUMIFS(Colección!$L$2:$L$10001,Colección!$F$2:$F$10001,$F1111,Colección!$M$2:$M$10001,"Compra")</f>
        <v>5.5122994652406421</v>
      </c>
      <c r="H1111">
        <f>IF($G1111=0,"",_xlfn.RANK.EQ($G1111,$G$2:$G$2353,0)+COUNTIF($G$2:G1111,$G1111)-1)</f>
        <v>924</v>
      </c>
    </row>
    <row r="1112" spans="6:8" x14ac:dyDescent="0.25">
      <c r="F1112" t="str">
        <f>"Lavaspur Boots"</f>
        <v>Lavaspur Boots</v>
      </c>
      <c r="G1112">
        <f>SUMIFS(Colección!$L$2:$L$10001,Colección!$F$2:$F$10001,$F1112,Colección!$M$2:$M$10001,"Compra")</f>
        <v>2.6823076923076918</v>
      </c>
      <c r="H1112">
        <f>IF($G1112=0,"",_xlfn.RANK.EQ($G1112,$G$2:$G$2353,0)+COUNTIF($G$2:G1112,$G1112)-1)</f>
        <v>1229</v>
      </c>
    </row>
    <row r="1113" spans="6:8" x14ac:dyDescent="0.25">
      <c r="F1113" t="str">
        <f>"Lavinia, Azorius Renegade"</f>
        <v>Lavinia, Azorius Renegade</v>
      </c>
      <c r="G1113">
        <f>SUMIFS(Colección!$L$2:$L$10001,Colección!$F$2:$F$10001,$F1113,Colección!$M$2:$M$10001,"Compra")</f>
        <v>1.712087912087912</v>
      </c>
      <c r="H1113">
        <f>IF($G1113=0,"",_xlfn.RANK.EQ($G1113,$G$2:$G$2353,0)+COUNTIF($G$2:G1113,$G1113)-1)</f>
        <v>1421</v>
      </c>
    </row>
    <row r="1114" spans="6:8" x14ac:dyDescent="0.25">
      <c r="F1114" t="str">
        <f>"Lay Down Arms"</f>
        <v>Lay Down Arms</v>
      </c>
      <c r="G1114">
        <f>SUMIFS(Colección!$L$2:$L$10001,Colección!$F$2:$F$10001,$F1114,Colección!$M$2:$M$10001,"Compra")</f>
        <v>1.016470588235294</v>
      </c>
      <c r="H1114">
        <f>IF($G1114=0,"",_xlfn.RANK.EQ($G1114,$G$2:$G$2353,0)+COUNTIF($G$2:G1114,$G1114)-1)</f>
        <v>1652</v>
      </c>
    </row>
    <row r="1115" spans="6:8" x14ac:dyDescent="0.25">
      <c r="F1115" t="str">
        <f>"Leblanc, Fragmented (V.1 - Rare)"</f>
        <v>Leblanc, Fragmented (V.1 - Rare)</v>
      </c>
      <c r="G1115">
        <f>SUMIFS(Colección!$L$2:$L$10001,Colección!$F$2:$F$10001,$F1115,Colección!$M$2:$M$10001,"Compra")</f>
        <v>2.0299999999999998</v>
      </c>
      <c r="H1115">
        <f>IF($G1115=0,"",_xlfn.RANK.EQ($G1115,$G$2:$G$2353,0)+COUNTIF($G$2:G1115,$G1115)-1)</f>
        <v>1362</v>
      </c>
    </row>
    <row r="1116" spans="6:8" x14ac:dyDescent="0.25">
      <c r="F1116" t="str">
        <f>"Leblanc, Fragmented (V.2 - Showcase)"</f>
        <v>Leblanc, Fragmented (V.2 - Showcase)</v>
      </c>
      <c r="G1116">
        <f>SUMIFS(Colección!$L$2:$L$10001,Colección!$F$2:$F$10001,$F1116,Colección!$M$2:$M$10001,"Compra")</f>
        <v>5.4647435897435894</v>
      </c>
      <c r="H1116">
        <f>IF($G1116=0,"",_xlfn.RANK.EQ($G1116,$G$2:$G$2353,0)+COUNTIF($G$2:G1116,$G1116)-1)</f>
        <v>928</v>
      </c>
    </row>
    <row r="1117" spans="6:8" x14ac:dyDescent="0.25">
      <c r="F1117" t="str">
        <f>"Ledger Shredder"</f>
        <v>Ledger Shredder</v>
      </c>
      <c r="G1117">
        <f>SUMIFS(Colección!$L$2:$L$10001,Colección!$F$2:$F$10001,$F1117,Colección!$M$2:$M$10001,"Compra")</f>
        <v>57.300721737279119</v>
      </c>
      <c r="H1117">
        <f>IF($G1117=0,"",_xlfn.RANK.EQ($G1117,$G$2:$G$2353,0)+COUNTIF($G$2:G1117,$G1117)-1)</f>
        <v>149</v>
      </c>
    </row>
    <row r="1118" spans="6:8" x14ac:dyDescent="0.25">
      <c r="F1118" t="str">
        <f>"Legion Leadership // Legion Stronghold"</f>
        <v>Legion Leadership // Legion Stronghold</v>
      </c>
      <c r="G1118">
        <f>SUMIFS(Colección!$L$2:$L$10001,Colección!$F$2:$F$10001,$F1118,Colección!$M$2:$M$10001,"Compra")</f>
        <v>2.0499999999999998</v>
      </c>
      <c r="H1118">
        <f>IF($G1118=0,"",_xlfn.RANK.EQ($G1118,$G$2:$G$2353,0)+COUNTIF($G$2:G1118,$G1118)-1)</f>
        <v>1356</v>
      </c>
    </row>
    <row r="1119" spans="6:8" x14ac:dyDescent="0.25">
      <c r="F1119" t="str">
        <f>"Legion's End"</f>
        <v>Legion's End</v>
      </c>
      <c r="G1119">
        <f>SUMIFS(Colección!$L$2:$L$10001,Colección!$F$2:$F$10001,$F1119,Colección!$M$2:$M$10001,"Compra")</f>
        <v>0.61454545454545451</v>
      </c>
      <c r="H1119">
        <f>IF($G1119=0,"",_xlfn.RANK.EQ($G1119,$G$2:$G$2353,0)+COUNTIF($G$2:G1119,$G1119)-1)</f>
        <v>1820</v>
      </c>
    </row>
    <row r="1120" spans="6:8" x14ac:dyDescent="0.25">
      <c r="F1120" t="str">
        <f>"Legion's End (V.1)"</f>
        <v>Legion's End (V.1)</v>
      </c>
      <c r="G1120">
        <f>SUMIFS(Colección!$L$2:$L$10001,Colección!$F$2:$F$10001,$F1120,Colección!$M$2:$M$10001,"Compra")</f>
        <v>3.3411557788944721</v>
      </c>
      <c r="H1120">
        <f>IF($G1120=0,"",_xlfn.RANK.EQ($G1120,$G$2:$G$2353,0)+COUNTIF($G$2:G1120,$G1120)-1)</f>
        <v>1141</v>
      </c>
    </row>
    <row r="1121" spans="6:8" x14ac:dyDescent="0.25">
      <c r="F1121" t="str">
        <f>"Legions to Ashes (V.1)"</f>
        <v>Legions to Ashes (V.1)</v>
      </c>
      <c r="G1121">
        <f>SUMIFS(Colección!$L$2:$L$10001,Colección!$F$2:$F$10001,$F1121,Colección!$M$2:$M$10001,"Compra")</f>
        <v>1.8729251923391721</v>
      </c>
      <c r="H1121">
        <f>IF($G1121=0,"",_xlfn.RANK.EQ($G1121,$G$2:$G$2353,0)+COUNTIF($G$2:G1121,$G1121)-1)</f>
        <v>1389</v>
      </c>
    </row>
    <row r="1122" spans="6:8" x14ac:dyDescent="0.25">
      <c r="F1122" t="str">
        <f>"Legolas, Counter of Kills"</f>
        <v>Legolas, Counter of Kills</v>
      </c>
      <c r="G1122">
        <f>SUMIFS(Colección!$L$2:$L$10001,Colección!$F$2:$F$10001,$F1122,Colección!$M$2:$M$10001,"Compra")</f>
        <v>0.13424408014571951</v>
      </c>
      <c r="H1122">
        <f>IF($G1122=0,"",_xlfn.RANK.EQ($G1122,$G$2:$G$2353,0)+COUNTIF($G$2:G1122,$G1122)-1)</f>
        <v>2144</v>
      </c>
    </row>
    <row r="1123" spans="6:8" x14ac:dyDescent="0.25">
      <c r="F1123" t="str">
        <f>"Legolas, Master Archer"</f>
        <v>Legolas, Master Archer</v>
      </c>
      <c r="G1123">
        <f>SUMIFS(Colección!$L$2:$L$10001,Colección!$F$2:$F$10001,$F1123,Colección!$M$2:$M$10001,"Compra")</f>
        <v>0.40273224043715838</v>
      </c>
      <c r="H1123">
        <f>IF($G1123=0,"",_xlfn.RANK.EQ($G1123,$G$2:$G$2353,0)+COUNTIF($G$2:G1123,$G1123)-1)</f>
        <v>1960</v>
      </c>
    </row>
    <row r="1124" spans="6:8" x14ac:dyDescent="0.25">
      <c r="F1124" t="str">
        <f>"Legolas, Master Archer (V.1)"</f>
        <v>Legolas, Master Archer (V.1)</v>
      </c>
      <c r="G1124">
        <f>SUMIFS(Colección!$L$2:$L$10001,Colección!$F$2:$F$10001,$F1124,Colección!$M$2:$M$10001,"Compra")</f>
        <v>1.121052631578948</v>
      </c>
      <c r="H1124">
        <f>IF($G1124=0,"",_xlfn.RANK.EQ($G1124,$G$2:$G$2353,0)+COUNTIF($G$2:G1124,$G1124)-1)</f>
        <v>1590</v>
      </c>
    </row>
    <row r="1125" spans="6:8" x14ac:dyDescent="0.25">
      <c r="F1125" t="str">
        <f>"Legolas, Master Archer (V.2)"</f>
        <v>Legolas, Master Archer (V.2)</v>
      </c>
      <c r="G1125">
        <f>SUMIFS(Colección!$L$2:$L$10001,Colección!$F$2:$F$10001,$F1125,Colección!$M$2:$M$10001,"Compra")</f>
        <v>2.9484482758620691</v>
      </c>
      <c r="H1125">
        <f>IF($G1125=0,"",_xlfn.RANK.EQ($G1125,$G$2:$G$2353,0)+COUNTIF($G$2:G1125,$G1125)-1)</f>
        <v>1200</v>
      </c>
    </row>
    <row r="1126" spans="6:8" x14ac:dyDescent="0.25">
      <c r="F1126" t="str">
        <f>"Lembas"</f>
        <v>Lembas</v>
      </c>
      <c r="G1126">
        <f>SUMIFS(Colección!$L$2:$L$10001,Colección!$F$2:$F$10001,$F1126,Colección!$M$2:$M$10001,"Compra")</f>
        <v>1.3337060702875401</v>
      </c>
      <c r="H1126">
        <f>IF($G1126=0,"",_xlfn.RANK.EQ($G1126,$G$2:$G$2353,0)+COUNTIF($G$2:G1126,$G1126)-1)</f>
        <v>1530</v>
      </c>
    </row>
    <row r="1127" spans="6:8" x14ac:dyDescent="0.25">
      <c r="F1127" t="str">
        <f>"Leonardo, Cutting Edge"</f>
        <v>Leonardo, Cutting Edge</v>
      </c>
      <c r="G1127">
        <f>SUMIFS(Colección!$L$2:$L$10001,Colección!$F$2:$F$10001,$F1127,Colección!$M$2:$M$10001,"Compra")</f>
        <v>5.09</v>
      </c>
      <c r="H1127">
        <f>IF($G1127=0,"",_xlfn.RANK.EQ($G1127,$G$2:$G$2353,0)+COUNTIF($G$2:G1127,$G1127)-1)</f>
        <v>966</v>
      </c>
    </row>
    <row r="1128" spans="6:8" x14ac:dyDescent="0.25">
      <c r="F1128" t="str">
        <f>"Leonin Arbiter"</f>
        <v>Leonin Arbiter</v>
      </c>
      <c r="G1128">
        <f>SUMIFS(Colección!$L$2:$L$10001,Colección!$F$2:$F$10001,$F1128,Colección!$M$2:$M$10001,"Compra")</f>
        <v>2.3442010771992821</v>
      </c>
      <c r="H1128">
        <f>IF($G1128=0,"",_xlfn.RANK.EQ($G1128,$G$2:$G$2353,0)+COUNTIF($G$2:G1128,$G1128)-1)</f>
        <v>1278</v>
      </c>
    </row>
    <row r="1129" spans="6:8" x14ac:dyDescent="0.25">
      <c r="F1129" t="str">
        <f>"Let Us Begin the World of Violence!!! (OP05-059)"</f>
        <v>Let Us Begin the World of Violence!!! (OP05-059)</v>
      </c>
      <c r="G1129">
        <f>SUMIFS(Colección!$L$2:$L$10001,Colección!$F$2:$F$10001,$F1129,Colección!$M$2:$M$10001,"Compra")</f>
        <v>9.4715964740450548E-2</v>
      </c>
      <c r="H1129">
        <f>IF($G1129=0,"",_xlfn.RANK.EQ($G1129,$G$2:$G$2353,0)+COUNTIF($G$2:G1129,$G1129)-1)</f>
        <v>2202</v>
      </c>
    </row>
    <row r="1130" spans="6:8" x14ac:dyDescent="0.25">
      <c r="F1130" t="str">
        <f>"Leyline Axe (V.1)"</f>
        <v>Leyline Axe (V.1)</v>
      </c>
      <c r="G1130">
        <f>SUMIFS(Colección!$L$2:$L$10001,Colección!$F$2:$F$10001,$F1130,Colección!$M$2:$M$10001,"Compra")</f>
        <v>13.32</v>
      </c>
      <c r="H1130">
        <f>IF($G1130=0,"",_xlfn.RANK.EQ($G1130,$G$2:$G$2353,0)+COUNTIF($G$2:G1130,$G1130)-1)</f>
        <v>541</v>
      </c>
    </row>
    <row r="1131" spans="6:8" x14ac:dyDescent="0.25">
      <c r="F1131" t="str">
        <f>"Leyline Binding"</f>
        <v>Leyline Binding</v>
      </c>
      <c r="G1131">
        <f>SUMIFS(Colección!$L$2:$L$10001,Colección!$F$2:$F$10001,$F1131,Colección!$M$2:$M$10001,"Compra")</f>
        <v>35.460273972602735</v>
      </c>
      <c r="H1131">
        <f>IF($G1131=0,"",_xlfn.RANK.EQ($G1131,$G$2:$G$2353,0)+COUNTIF($G$2:G1131,$G1131)-1)</f>
        <v>237</v>
      </c>
    </row>
    <row r="1132" spans="6:8" x14ac:dyDescent="0.25">
      <c r="F1132" t="str">
        <f>"Leyline Binding (V.2)"</f>
        <v>Leyline Binding (V.2)</v>
      </c>
      <c r="G1132">
        <f>SUMIFS(Colección!$L$2:$L$10001,Colección!$F$2:$F$10001,$F1132,Colección!$M$2:$M$10001,"Compra")</f>
        <v>35.18</v>
      </c>
      <c r="H1132">
        <f>IF($G1132=0,"",_xlfn.RANK.EQ($G1132,$G$2:$G$2353,0)+COUNTIF($G$2:G1132,$G1132)-1)</f>
        <v>242</v>
      </c>
    </row>
    <row r="1133" spans="6:8" x14ac:dyDescent="0.25">
      <c r="F1133" t="str">
        <f>"Leyline of Sanctity [Playset]"</f>
        <v>Leyline of Sanctity [Playset]</v>
      </c>
      <c r="G1133">
        <f>SUMIFS(Colección!$L$2:$L$10001,Colección!$F$2:$F$10001,$F1133,Colección!$M$2:$M$10001,"Compra")</f>
        <v>32.590000000000003</v>
      </c>
      <c r="H1133">
        <f>IF($G1133=0,"",_xlfn.RANK.EQ($G1133,$G$2:$G$2353,0)+COUNTIF($G$2:G1133,$G1133)-1)</f>
        <v>260</v>
      </c>
    </row>
    <row r="1134" spans="6:8" x14ac:dyDescent="0.25">
      <c r="F1134" t="str">
        <f>"Leyline of the Guildpact"</f>
        <v>Leyline of the Guildpact</v>
      </c>
      <c r="G1134">
        <f>SUMIFS(Colección!$L$2:$L$10001,Colección!$F$2:$F$10001,$F1134,Colección!$M$2:$M$10001,"Compra")</f>
        <v>61.772413793103446</v>
      </c>
      <c r="H1134">
        <f>IF($G1134=0,"",_xlfn.RANK.EQ($G1134,$G$2:$G$2353,0)+COUNTIF($G$2:G1134,$G1134)-1)</f>
        <v>137</v>
      </c>
    </row>
    <row r="1135" spans="6:8" x14ac:dyDescent="0.25">
      <c r="F1135" t="str">
        <f>"Leyline of the Void"</f>
        <v>Leyline of the Void</v>
      </c>
      <c r="G1135">
        <f>SUMIFS(Colección!$L$2:$L$10001,Colección!$F$2:$F$10001,$F1135,Colección!$M$2:$M$10001,"Compra")</f>
        <v>16.130000000000003</v>
      </c>
      <c r="H1135">
        <f>IF($G1135=0,"",_xlfn.RANK.EQ($G1135,$G$2:$G$2353,0)+COUNTIF($G$2:G1135,$G1135)-1)</f>
        <v>481</v>
      </c>
    </row>
    <row r="1136" spans="6:8" x14ac:dyDescent="0.25">
      <c r="F1136" t="str">
        <f>"Leyline of the Void [Playset]"</f>
        <v>Leyline of the Void [Playset]</v>
      </c>
      <c r="G1136">
        <f>SUMIFS(Colección!$L$2:$L$10001,Colección!$F$2:$F$10001,$F1136,Colección!$M$2:$M$10001,"Compra")</f>
        <v>19.24923076923077</v>
      </c>
      <c r="H1136">
        <f>IF($G1136=0,"",_xlfn.RANK.EQ($G1136,$G$2:$G$2353,0)+COUNTIF($G$2:G1136,$G1136)-1)</f>
        <v>411</v>
      </c>
    </row>
    <row r="1137" spans="6:8" x14ac:dyDescent="0.25">
      <c r="F1137" t="str">
        <f>"Lieutenant Spacey (OP05-107)"</f>
        <v>Lieutenant Spacey (OP05-107)</v>
      </c>
      <c r="G1137">
        <f>SUMIFS(Colección!$L$2:$L$10001,Colección!$F$2:$F$10001,$F1137,Colección!$M$2:$M$10001,"Compra")</f>
        <v>2.7061704211557298E-2</v>
      </c>
      <c r="H1137">
        <f>IF($G1137=0,"",_xlfn.RANK.EQ($G1137,$G$2:$G$2353,0)+COUNTIF($G$2:G1137,$G1137)-1)</f>
        <v>2343</v>
      </c>
    </row>
    <row r="1138" spans="6:8" x14ac:dyDescent="0.25">
      <c r="F1138" t="str">
        <f>"Life from the Loam"</f>
        <v>Life from the Loam</v>
      </c>
      <c r="G1138">
        <f>SUMIFS(Colección!$L$2:$L$10001,Colección!$F$2:$F$10001,$F1138,Colección!$M$2:$M$10001,"Compra")</f>
        <v>7.3968749999999996</v>
      </c>
      <c r="H1138">
        <f>IF($G1138=0,"",_xlfn.RANK.EQ($G1138,$G$2:$G$2353,0)+COUNTIF($G$2:G1138,$G1138)-1)</f>
        <v>782</v>
      </c>
    </row>
    <row r="1139" spans="6:8" x14ac:dyDescent="0.25">
      <c r="F1139" t="str">
        <f>"Light of Hope"</f>
        <v>Light of Hope</v>
      </c>
      <c r="G1139">
        <f>SUMIFS(Colección!$L$2:$L$10001,Colección!$F$2:$F$10001,$F1139,Colección!$M$2:$M$10001,"Compra")</f>
        <v>0.27647700701480898</v>
      </c>
      <c r="H1139">
        <f>IF($G1139=0,"",_xlfn.RANK.EQ($G1139,$G$2:$G$2353,0)+COUNTIF($G$2:G1139,$G1139)-1)</f>
        <v>2021</v>
      </c>
    </row>
    <row r="1140" spans="6:8" x14ac:dyDescent="0.25">
      <c r="F1140" t="str">
        <f>"Light Up the Stage"</f>
        <v>Light Up the Stage</v>
      </c>
      <c r="G1140">
        <f>SUMIFS(Colección!$L$2:$L$10001,Colección!$F$2:$F$10001,$F1140,Colección!$M$2:$M$10001,"Compra")</f>
        <v>1.0438734928350484</v>
      </c>
      <c r="H1140">
        <f>IF($G1140=0,"",_xlfn.RANK.EQ($G1140,$G$2:$G$2353,0)+COUNTIF($G$2:G1140,$G1140)-1)</f>
        <v>1636</v>
      </c>
    </row>
    <row r="1141" spans="6:8" x14ac:dyDescent="0.25">
      <c r="F1141" t="str">
        <f>"Lightning Axe"</f>
        <v>Lightning Axe</v>
      </c>
      <c r="G1141">
        <f>SUMIFS(Colección!$L$2:$L$10001,Colección!$F$2:$F$10001,$F1141,Colección!$M$2:$M$10001,"Compra")</f>
        <v>0.67500000000000004</v>
      </c>
      <c r="H1141">
        <f>IF($G1141=0,"",_xlfn.RANK.EQ($G1141,$G$2:$G$2353,0)+COUNTIF($G$2:G1141,$G1141)-1)</f>
        <v>1775</v>
      </c>
    </row>
    <row r="1142" spans="6:8" x14ac:dyDescent="0.25">
      <c r="F1142" t="str">
        <f>"Lightning Bolt"</f>
        <v>Lightning Bolt</v>
      </c>
      <c r="G1142">
        <f>SUMIFS(Colección!$L$2:$L$10001,Colección!$F$2:$F$10001,$F1142,Colección!$M$2:$M$10001,"Compra")</f>
        <v>130.90909090909088</v>
      </c>
      <c r="H1142">
        <f>IF($G1142=0,"",_xlfn.RANK.EQ($G1142,$G$2:$G$2353,0)+COUNTIF($G$2:G1142,$G1142)-1)</f>
        <v>48</v>
      </c>
    </row>
    <row r="1143" spans="6:8" x14ac:dyDescent="0.25">
      <c r="F1143" t="str">
        <f>"Lightning Bolt (V.1) [Playset]"</f>
        <v>Lightning Bolt (V.1) [Playset]</v>
      </c>
      <c r="G1143">
        <f>SUMIFS(Colección!$L$2:$L$10001,Colección!$F$2:$F$10001,$F1143,Colección!$M$2:$M$10001,"Compra")</f>
        <v>18.649999999999999</v>
      </c>
      <c r="H1143">
        <f>IF($G1143=0,"",_xlfn.RANK.EQ($G1143,$G$2:$G$2353,0)+COUNTIF($G$2:G1143,$G1143)-1)</f>
        <v>422</v>
      </c>
    </row>
    <row r="1144" spans="6:8" x14ac:dyDescent="0.25">
      <c r="F1144" t="str">
        <f>"Lightning Bolt (V.2)"</f>
        <v>Lightning Bolt (V.2)</v>
      </c>
      <c r="G1144">
        <f>SUMIFS(Colección!$L$2:$L$10001,Colección!$F$2:$F$10001,$F1144,Colección!$M$2:$M$10001,"Compra")</f>
        <v>7.9863920671243323</v>
      </c>
      <c r="H1144">
        <f>IF($G1144=0,"",_xlfn.RANK.EQ($G1144,$G$2:$G$2353,0)+COUNTIF($G$2:G1144,$G1144)-1)</f>
        <v>751</v>
      </c>
    </row>
    <row r="1145" spans="6:8" x14ac:dyDescent="0.25">
      <c r="F1145" t="str">
        <f>"Lightning Bolt [Playset]"</f>
        <v>Lightning Bolt [Playset]</v>
      </c>
      <c r="G1145">
        <f>SUMIFS(Colección!$L$2:$L$10001,Colección!$F$2:$F$10001,$F1145,Colección!$M$2:$M$10001,"Compra")</f>
        <v>23.964680851063829</v>
      </c>
      <c r="H1145">
        <f>IF($G1145=0,"",_xlfn.RANK.EQ($G1145,$G$2:$G$2353,0)+COUNTIF($G$2:G1145,$G1145)-1)</f>
        <v>329</v>
      </c>
    </row>
    <row r="1146" spans="6:8" x14ac:dyDescent="0.25">
      <c r="F1146" t="str">
        <f>"Lightning Helix"</f>
        <v>Lightning Helix</v>
      </c>
      <c r="G1146">
        <f>SUMIFS(Colección!$L$2:$L$10001,Colección!$F$2:$F$10001,$F1146,Colección!$M$2:$M$10001,"Compra")</f>
        <v>4.4839515052665968</v>
      </c>
      <c r="H1146">
        <f>IF($G1146=0,"",_xlfn.RANK.EQ($G1146,$G$2:$G$2353,0)+COUNTIF($G$2:G1146,$G1146)-1)</f>
        <v>1001</v>
      </c>
    </row>
    <row r="1147" spans="6:8" x14ac:dyDescent="0.25">
      <c r="F1147" t="str">
        <f>"Lightning Helix (V.1) [Playset]"</f>
        <v>Lightning Helix (V.1) [Playset]</v>
      </c>
      <c r="G1147">
        <f>SUMIFS(Colección!$L$2:$L$10001,Colección!$F$2:$F$10001,$F1147,Colección!$M$2:$M$10001,"Compra")</f>
        <v>4.3999999999999986</v>
      </c>
      <c r="H1147">
        <f>IF($G1147=0,"",_xlfn.RANK.EQ($G1147,$G$2:$G$2353,0)+COUNTIF($G$2:G1147,$G1147)-1)</f>
        <v>1011</v>
      </c>
    </row>
    <row r="1148" spans="6:8" x14ac:dyDescent="0.25">
      <c r="F1148" t="str">
        <f>"Lightning Strike"</f>
        <v>Lightning Strike</v>
      </c>
      <c r="G1148">
        <f>SUMIFS(Colección!$L$2:$L$10001,Colección!$F$2:$F$10001,$F1148,Colección!$M$2:$M$10001,"Compra")</f>
        <v>0.85492909426617492</v>
      </c>
      <c r="H1148">
        <f>IF($G1148=0,"",_xlfn.RANK.EQ($G1148,$G$2:$G$2353,0)+COUNTIF($G$2:G1148,$G1148)-1)</f>
        <v>1698</v>
      </c>
    </row>
    <row r="1149" spans="6:8" x14ac:dyDescent="0.25">
      <c r="F1149" t="str">
        <f>"Lightning, Army of One (V.1)"</f>
        <v>Lightning, Army of One (V.1)</v>
      </c>
      <c r="G1149">
        <f>SUMIFS(Colección!$L$2:$L$10001,Colección!$F$2:$F$10001,$F1149,Colección!$M$2:$M$10001,"Compra")</f>
        <v>56.15</v>
      </c>
      <c r="H1149">
        <f>IF($G1149=0,"",_xlfn.RANK.EQ($G1149,$G$2:$G$2353,0)+COUNTIF($G$2:G1149,$G1149)-1)</f>
        <v>156</v>
      </c>
    </row>
    <row r="1150" spans="6:8" x14ac:dyDescent="0.25">
      <c r="F1150" t="str">
        <f>"Liliana of the Veil"</f>
        <v>Liliana of the Veil</v>
      </c>
      <c r="G1150">
        <f>SUMIFS(Colección!$L$2:$L$10001,Colección!$F$2:$F$10001,$F1150,Colección!$M$2:$M$10001,"Compra")</f>
        <v>56.290909090909082</v>
      </c>
      <c r="H1150">
        <f>IF($G1150=0,"",_xlfn.RANK.EQ($G1150,$G$2:$G$2353,0)+COUNTIF($G$2:G1150,$G1150)-1)</f>
        <v>155</v>
      </c>
    </row>
    <row r="1151" spans="6:8" x14ac:dyDescent="0.25">
      <c r="F1151" t="str">
        <f>"Lim (OP03-015)"</f>
        <v>Lim (OP03-015)</v>
      </c>
      <c r="G1151">
        <f>SUMIFS(Colección!$L$2:$L$10001,Colección!$F$2:$F$10001,$F1151,Colección!$M$2:$M$10001,"Compra")</f>
        <v>0.2855813953488372</v>
      </c>
      <c r="H1151">
        <f>IF($G1151=0,"",_xlfn.RANK.EQ($G1151,$G$2:$G$2353,0)+COUNTIF($G$2:G1151,$G1151)-1)</f>
        <v>2011</v>
      </c>
    </row>
    <row r="1152" spans="6:8" x14ac:dyDescent="0.25">
      <c r="F1152" t="str">
        <f>"Lindbergh (OP05-017)"</f>
        <v>Lindbergh (OP05-017)</v>
      </c>
      <c r="G1152">
        <f>SUMIFS(Colección!$L$2:$L$10001,Colección!$F$2:$F$10001,$F1152,Colección!$M$2:$M$10001,"Compra")</f>
        <v>0.40592556317335943</v>
      </c>
      <c r="H1152">
        <f>IF($G1152=0,"",_xlfn.RANK.EQ($G1152,$G$2:$G$2353,0)+COUNTIF($G$2:G1152,$G1152)-1)</f>
        <v>1946</v>
      </c>
    </row>
    <row r="1153" spans="6:8" x14ac:dyDescent="0.25">
      <c r="F1153" t="str">
        <f>"Lion Sash"</f>
        <v>Lion Sash</v>
      </c>
      <c r="G1153">
        <f>SUMIFS(Colección!$L$2:$L$10001,Colección!$F$2:$F$10001,$F1153,Colección!$M$2:$M$10001,"Compra")</f>
        <v>6.2423634871535896</v>
      </c>
      <c r="H1153">
        <f>IF($G1153=0,"",_xlfn.RANK.EQ($G1153,$G$2:$G$2353,0)+COUNTIF($G$2:G1153,$G1153)-1)</f>
        <v>866</v>
      </c>
    </row>
    <row r="1154" spans="6:8" x14ac:dyDescent="0.25">
      <c r="F1154" t="str">
        <f>"Lithomantic Barrage"</f>
        <v>Lithomantic Barrage</v>
      </c>
      <c r="G1154">
        <f>SUMIFS(Colección!$L$2:$L$10001,Colección!$F$2:$F$10001,$F1154,Colección!$M$2:$M$10001,"Compra")</f>
        <v>3.6953846153846155</v>
      </c>
      <c r="H1154">
        <f>IF($G1154=0,"",_xlfn.RANK.EQ($G1154,$G$2:$G$2353,0)+COUNTIF($G$2:G1154,$G1154)-1)</f>
        <v>1096</v>
      </c>
    </row>
    <row r="1155" spans="6:8" x14ac:dyDescent="0.25">
      <c r="F1155" t="str">
        <f>"Living End [Playset]"</f>
        <v>Living End [Playset]</v>
      </c>
      <c r="G1155">
        <f>SUMIFS(Colección!$L$2:$L$10001,Colección!$F$2:$F$10001,$F1155,Colección!$M$2:$M$10001,"Compra")</f>
        <v>32.869024390243901</v>
      </c>
      <c r="H1155">
        <f>IF($G1155=0,"",_xlfn.RANK.EQ($G1155,$G$2:$G$2353,0)+COUNTIF($G$2:G1155,$G1155)-1)</f>
        <v>259</v>
      </c>
    </row>
    <row r="1156" spans="6:8" x14ac:dyDescent="0.25">
      <c r="F1156" t="str">
        <f>"Living Wish"</f>
        <v>Living Wish</v>
      </c>
      <c r="G1156">
        <f>SUMIFS(Colección!$L$2:$L$10001,Colección!$F$2:$F$10001,$F1156,Colección!$M$2:$M$10001,"Compra")</f>
        <v>17.454545454545457</v>
      </c>
      <c r="H1156">
        <f>IF($G1156=0,"",_xlfn.RANK.EQ($G1156,$G$2:$G$2353,0)+COUNTIF($G$2:G1156,$G1156)-1)</f>
        <v>442</v>
      </c>
    </row>
    <row r="1157" spans="6:8" x14ac:dyDescent="0.25">
      <c r="F1157" t="str">
        <f>"Llanowar Elves"</f>
        <v>Llanowar Elves</v>
      </c>
      <c r="G1157">
        <f>SUMIFS(Colección!$L$2:$L$10001,Colección!$F$2:$F$10001,$F1157,Colección!$M$2:$M$10001,"Compra")</f>
        <v>0.96366843033509719</v>
      </c>
      <c r="H1157">
        <f>IF($G1157=0,"",_xlfn.RANK.EQ($G1157,$G$2:$G$2353,0)+COUNTIF($G$2:G1157,$G1157)-1)</f>
        <v>1670</v>
      </c>
    </row>
    <row r="1158" spans="6:8" x14ac:dyDescent="0.25">
      <c r="F1158" t="str">
        <f>"Llanowar Wastes"</f>
        <v>Llanowar Wastes</v>
      </c>
      <c r="G1158">
        <f>SUMIFS(Colección!$L$2:$L$10001,Colección!$F$2:$F$10001,$F1158,Colección!$M$2:$M$10001,"Compra")</f>
        <v>39.27272727272728</v>
      </c>
      <c r="H1158">
        <f>IF($G1158=0,"",_xlfn.RANK.EQ($G1158,$G$2:$G$2353,0)+COUNTIF($G$2:G1158,$G1158)-1)</f>
        <v>218</v>
      </c>
    </row>
    <row r="1159" spans="6:8" x14ac:dyDescent="0.25">
      <c r="F1159" t="str">
        <f>"Lobelia Sackville-Baggins"</f>
        <v>Lobelia Sackville-Baggins</v>
      </c>
      <c r="G1159">
        <f>SUMIFS(Colección!$L$2:$L$10001,Colección!$F$2:$F$10001,$F1159,Colección!$M$2:$M$10001,"Compra")</f>
        <v>1.0323021257349621</v>
      </c>
      <c r="H1159">
        <f>IF($G1159=0,"",_xlfn.RANK.EQ($G1159,$G$2:$G$2353,0)+COUNTIF($G$2:G1159,$G1159)-1)</f>
        <v>1643</v>
      </c>
    </row>
    <row r="1160" spans="6:8" x14ac:dyDescent="0.25">
      <c r="F1160" t="str">
        <f>"Lobelia Sackville-Baggins (V.1)"</f>
        <v>Lobelia Sackville-Baggins (V.1)</v>
      </c>
      <c r="G1160">
        <f>SUMIFS(Colección!$L$2:$L$10001,Colección!$F$2:$F$10001,$F1160,Colección!$M$2:$M$10001,"Compra")</f>
        <v>0.79018390804597705</v>
      </c>
      <c r="H1160">
        <f>IF($G1160=0,"",_xlfn.RANK.EQ($G1160,$G$2:$G$2353,0)+COUNTIF($G$2:G1160,$G1160)-1)</f>
        <v>1727</v>
      </c>
    </row>
    <row r="1161" spans="6:8" x14ac:dyDescent="0.25">
      <c r="F1161" t="str">
        <f>"Lobelia Sackville-Baggins (V.2)"</f>
        <v>Lobelia Sackville-Baggins (V.2)</v>
      </c>
      <c r="G1161">
        <f>SUMIFS(Colección!$L$2:$L$10001,Colección!$F$2:$F$10001,$F1161,Colección!$M$2:$M$10001,"Compra")</f>
        <v>5.18</v>
      </c>
      <c r="H1161">
        <f>IF($G1161=0,"",_xlfn.RANK.EQ($G1161,$G$2:$G$2353,0)+COUNTIF($G$2:G1161,$G1161)-1)</f>
        <v>960</v>
      </c>
    </row>
    <row r="1162" spans="6:8" x14ac:dyDescent="0.25">
      <c r="F1162" t="str">
        <f>"Lonely Poro"</f>
        <v>Lonely Poro</v>
      </c>
      <c r="G1162">
        <f>SUMIFS(Colección!$L$2:$L$10001,Colección!$F$2:$F$10001,$F1162,Colección!$M$2:$M$10001,"Compra")</f>
        <v>68.826082476777131</v>
      </c>
      <c r="H1162">
        <f>IF($G1162=0,"",_xlfn.RANK.EQ($G1162,$G$2:$G$2353,0)+COUNTIF($G$2:G1162,$G1162)-1)</f>
        <v>117</v>
      </c>
    </row>
    <row r="1163" spans="6:8" x14ac:dyDescent="0.25">
      <c r="F1163" t="str">
        <f>"Lonely Sandbar"</f>
        <v>Lonely Sandbar</v>
      </c>
      <c r="G1163">
        <f>SUMIFS(Colección!$L$2:$L$10001,Colección!$F$2:$F$10001,$F1163,Colección!$M$2:$M$10001,"Compra")</f>
        <v>0.63744372186093035</v>
      </c>
      <c r="H1163">
        <f>IF($G1163=0,"",_xlfn.RANK.EQ($G1163,$G$2:$G$2353,0)+COUNTIF($G$2:G1163,$G1163)-1)</f>
        <v>1804</v>
      </c>
    </row>
    <row r="1164" spans="6:8" x14ac:dyDescent="0.25">
      <c r="F1164" t="str">
        <f>"Loran of the Third Path"</f>
        <v>Loran of the Third Path</v>
      </c>
      <c r="G1164">
        <f>SUMIFS(Colección!$L$2:$L$10001,Colección!$F$2:$F$10001,$F1164,Colección!$M$2:$M$10001,"Compra")</f>
        <v>5.2893602693602704</v>
      </c>
      <c r="H1164">
        <f>IF($G1164=0,"",_xlfn.RANK.EQ($G1164,$G$2:$G$2353,0)+COUNTIF($G$2:G1164,$G1164)-1)</f>
        <v>945</v>
      </c>
    </row>
    <row r="1165" spans="6:8" x14ac:dyDescent="0.25">
      <c r="F1165" t="str">
        <f>"Loran's Escape"</f>
        <v>Loran's Escape</v>
      </c>
      <c r="G1165">
        <f>SUMIFS(Colección!$L$2:$L$10001,Colección!$F$2:$F$10001,$F1165,Colección!$M$2:$M$10001,"Compra")</f>
        <v>0.78335151987529239</v>
      </c>
      <c r="H1165">
        <f>IF($G1165=0,"",_xlfn.RANK.EQ($G1165,$G$2:$G$2353,0)+COUNTIF($G$2:G1165,$G1165)-1)</f>
        <v>1731</v>
      </c>
    </row>
    <row r="1166" spans="6:8" x14ac:dyDescent="0.25">
      <c r="F1166" t="str">
        <f>"Lord of Atlantis"</f>
        <v>Lord of Atlantis</v>
      </c>
      <c r="G1166">
        <f>SUMIFS(Colección!$L$2:$L$10001,Colección!$F$2:$F$10001,$F1166,Colección!$M$2:$M$10001,"Compra")</f>
        <v>52.363636363636367</v>
      </c>
      <c r="H1166">
        <f>IF($G1166=0,"",_xlfn.RANK.EQ($G1166,$G$2:$G$2353,0)+COUNTIF($G$2:G1166,$G1166)-1)</f>
        <v>168</v>
      </c>
    </row>
    <row r="1167" spans="6:8" x14ac:dyDescent="0.25">
      <c r="F1167" t="str">
        <f>"Lord Skitter, Sewer King"</f>
        <v>Lord Skitter, Sewer King</v>
      </c>
      <c r="G1167">
        <f>SUMIFS(Colección!$L$2:$L$10001,Colección!$F$2:$F$10001,$F1167,Colección!$M$2:$M$10001,"Compra")</f>
        <v>2.1232205367561261</v>
      </c>
      <c r="H1167">
        <f>IF($G1167=0,"",_xlfn.RANK.EQ($G1167,$G$2:$G$2353,0)+COUNTIF($G$2:G1167,$G1167)-1)</f>
        <v>1339</v>
      </c>
    </row>
    <row r="1168" spans="6:8" x14ac:dyDescent="0.25">
      <c r="F1168" t="str">
        <f>"Lose Focus"</f>
        <v>Lose Focus</v>
      </c>
      <c r="G1168">
        <f>SUMIFS(Colección!$L$2:$L$10001,Colección!$F$2:$F$10001,$F1168,Colección!$M$2:$M$10001,"Compra")</f>
        <v>0.31872186093046528</v>
      </c>
      <c r="H1168">
        <f>IF($G1168=0,"",_xlfn.RANK.EQ($G1168,$G$2:$G$2353,0)+COUNTIF($G$2:G1168,$G1168)-1)</f>
        <v>1995</v>
      </c>
    </row>
    <row r="1169" spans="6:8" x14ac:dyDescent="0.25">
      <c r="F1169" t="str">
        <f>"Lost Isle Calling"</f>
        <v>Lost Isle Calling</v>
      </c>
      <c r="G1169">
        <f>SUMIFS(Colección!$L$2:$L$10001,Colección!$F$2:$F$10001,$F1169,Colección!$M$2:$M$10001,"Compra")</f>
        <v>0.46985428051001821</v>
      </c>
      <c r="H1169">
        <f>IF($G1169=0,"",_xlfn.RANK.EQ($G1169,$G$2:$G$2353,0)+COUNTIF($G$2:G1169,$G1169)-1)</f>
        <v>1903</v>
      </c>
    </row>
    <row r="1170" spans="6:8" x14ac:dyDescent="0.25">
      <c r="F1170" t="str">
        <f>"Lotho, Corrupt Shirriff"</f>
        <v>Lotho, Corrupt Shirriff</v>
      </c>
      <c r="G1170">
        <f>SUMIFS(Colección!$L$2:$L$10001,Colección!$F$2:$F$10001,$F1170,Colección!$M$2:$M$10001,"Compra")</f>
        <v>2.9180203784570589</v>
      </c>
      <c r="H1170">
        <f>IF($G1170=0,"",_xlfn.RANK.EQ($G1170,$G$2:$G$2353,0)+COUNTIF($G$2:G1170,$G1170)-1)</f>
        <v>1203</v>
      </c>
    </row>
    <row r="1171" spans="6:8" x14ac:dyDescent="0.25">
      <c r="F1171" t="str">
        <f>"Lotus Field"</f>
        <v>Lotus Field</v>
      </c>
      <c r="G1171">
        <f>SUMIFS(Colección!$L$2:$L$10001,Colección!$F$2:$F$10001,$F1171,Colección!$M$2:$M$10001,"Compra")</f>
        <v>11.374975369458127</v>
      </c>
      <c r="H1171">
        <f>IF($G1171=0,"",_xlfn.RANK.EQ($G1171,$G$2:$G$2353,0)+COUNTIF($G$2:G1171,$G1171)-1)</f>
        <v>602</v>
      </c>
    </row>
    <row r="1172" spans="6:8" x14ac:dyDescent="0.25">
      <c r="F1172" t="str">
        <f>"Lotus Petal"</f>
        <v>Lotus Petal</v>
      </c>
      <c r="G1172">
        <f>SUMIFS(Colección!$L$2:$L$10001,Colección!$F$2:$F$10001,$F1172,Colección!$M$2:$M$10001,"Compra")</f>
        <v>103.75583631165117</v>
      </c>
      <c r="H1172">
        <f>IF($G1172=0,"",_xlfn.RANK.EQ($G1172,$G$2:$G$2353,0)+COUNTIF($G$2:G1172,$G1172)-1)</f>
        <v>72</v>
      </c>
    </row>
    <row r="1173" spans="6:8" x14ac:dyDescent="0.25">
      <c r="F1173" t="str">
        <f>"Lumra, Bellow of the Woods (V.1)"</f>
        <v>Lumra, Bellow of the Woods (V.1)</v>
      </c>
      <c r="G1173">
        <f>SUMIFS(Colección!$L$2:$L$10001,Colección!$F$2:$F$10001,$F1173,Colección!$M$2:$M$10001,"Compra")</f>
        <v>17.917898193760259</v>
      </c>
      <c r="H1173">
        <f>IF($G1173=0,"",_xlfn.RANK.EQ($G1173,$G$2:$G$2353,0)+COUNTIF($G$2:G1173,$G1173)-1)</f>
        <v>436</v>
      </c>
    </row>
    <row r="1174" spans="6:8" x14ac:dyDescent="0.25">
      <c r="F1174" t="str">
        <f>"Lunar Revel Bundle Playmat"</f>
        <v>Lunar Revel Bundle Playmat</v>
      </c>
      <c r="G1174">
        <f>SUMIFS(Colección!$L$2:$L$10001,Colección!$F$2:$F$10001,$F1174,Colección!$M$2:$M$10001,"Compra")</f>
        <v>24.15</v>
      </c>
      <c r="H1174">
        <f>IF($G1174=0,"",_xlfn.RANK.EQ($G1174,$G$2:$G$2353,0)+COUNTIF($G$2:G1174,$G1174)-1)</f>
        <v>325</v>
      </c>
    </row>
    <row r="1175" spans="6:8" x14ac:dyDescent="0.25">
      <c r="F1175" t="str">
        <f>"Lush Portico"</f>
        <v>Lush Portico</v>
      </c>
      <c r="G1175">
        <f>SUMIFS(Colección!$L$2:$L$10001,Colección!$F$2:$F$10001,$F1175,Colección!$M$2:$M$10001,"Compra")</f>
        <v>27.957271337313955</v>
      </c>
      <c r="H1175">
        <f>IF($G1175=0,"",_xlfn.RANK.EQ($G1175,$G$2:$G$2353,0)+COUNTIF($G$2:G1175,$G1175)-1)</f>
        <v>289</v>
      </c>
    </row>
    <row r="1176" spans="6:8" x14ac:dyDescent="0.25">
      <c r="F1176" t="str">
        <f>"Lórien Revealed"</f>
        <v>Lórien Revealed</v>
      </c>
      <c r="G1176">
        <f>SUMIFS(Colección!$L$2:$L$10001,Colección!$F$2:$F$10001,$F1176,Colección!$M$2:$M$10001,"Compra")</f>
        <v>1.6848275862068964</v>
      </c>
      <c r="H1176">
        <f>IF($G1176=0,"",_xlfn.RANK.EQ($G1176,$G$2:$G$2353,0)+COUNTIF($G$2:G1176,$G1176)-1)</f>
        <v>1437</v>
      </c>
    </row>
    <row r="1177" spans="6:8" x14ac:dyDescent="0.25">
      <c r="F1177" t="str">
        <f>"Maelstrom Pulse"</f>
        <v>Maelstrom Pulse</v>
      </c>
      <c r="G1177">
        <f>SUMIFS(Colección!$L$2:$L$10001,Colección!$F$2:$F$10001,$F1177,Colección!$M$2:$M$10001,"Compra")</f>
        <v>3.33</v>
      </c>
      <c r="H1177">
        <f>IF($G1177=0,"",_xlfn.RANK.EQ($G1177,$G$2:$G$2353,0)+COUNTIF($G$2:G1177,$G1177)-1)</f>
        <v>1143</v>
      </c>
    </row>
    <row r="1178" spans="6:8" x14ac:dyDescent="0.25">
      <c r="F1178" t="str">
        <f>"Maestros Theater"</f>
        <v>Maestros Theater</v>
      </c>
      <c r="G1178">
        <f>SUMIFS(Colección!$L$2:$L$10001,Colección!$F$2:$F$10001,$F1178,Colección!$M$2:$M$10001,"Compra")</f>
        <v>0.40319563522992979</v>
      </c>
      <c r="H1178">
        <f>IF($G1178=0,"",_xlfn.RANK.EQ($G1178,$G$2:$G$2353,0)+COUNTIF($G$2:G1178,$G1178)-1)</f>
        <v>1958</v>
      </c>
    </row>
    <row r="1179" spans="6:8" x14ac:dyDescent="0.25">
      <c r="F1179" t="str">
        <f>"Magebane Lizard"</f>
        <v>Magebane Lizard</v>
      </c>
      <c r="G1179">
        <f>SUMIFS(Colección!$L$2:$L$10001,Colección!$F$2:$F$10001,$F1179,Colección!$M$2:$M$10001,"Compra")</f>
        <v>9.8478260869565197</v>
      </c>
      <c r="H1179">
        <f>IF($G1179=0,"",_xlfn.RANK.EQ($G1179,$G$2:$G$2353,0)+COUNTIF($G$2:G1179,$G1179)-1)</f>
        <v>668</v>
      </c>
    </row>
    <row r="1180" spans="6:8" x14ac:dyDescent="0.25">
      <c r="F1180" t="str">
        <f>"Magellan (OP02-085) (V.1)"</f>
        <v>Magellan (OP02-085) (V.1)</v>
      </c>
      <c r="G1180">
        <f>SUMIFS(Colección!$L$2:$L$10001,Colección!$F$2:$F$10001,$F1180,Colección!$M$2:$M$10001,"Compra")</f>
        <v>1.3374316939890709</v>
      </c>
      <c r="H1180">
        <f>IF($G1180=0,"",_xlfn.RANK.EQ($G1180,$G$2:$G$2353,0)+COUNTIF($G$2:G1180,$G1180)-1)</f>
        <v>1526</v>
      </c>
    </row>
    <row r="1181" spans="6:8" x14ac:dyDescent="0.25">
      <c r="F1181" t="str">
        <f>"Magmatic Channeler"</f>
        <v>Magmatic Channeler</v>
      </c>
      <c r="G1181">
        <f>SUMIFS(Colección!$L$2:$L$10001,Colección!$F$2:$F$10001,$F1181,Colección!$M$2:$M$10001,"Compra")</f>
        <v>8.98</v>
      </c>
      <c r="H1181">
        <f>IF($G1181=0,"",_xlfn.RANK.EQ($G1181,$G$2:$G$2353,0)+COUNTIF($G$2:G1181,$G1181)-1)</f>
        <v>701</v>
      </c>
    </row>
    <row r="1182" spans="6:8" x14ac:dyDescent="0.25">
      <c r="F1182" t="str">
        <f>"Magmatic Hellkite (V.2)"</f>
        <v>Magmatic Hellkite (V.2)</v>
      </c>
      <c r="G1182">
        <f>SUMIFS(Colección!$L$2:$L$10001,Colección!$F$2:$F$10001,$F1182,Colección!$M$2:$M$10001,"Compra")</f>
        <v>7.7799999999999985</v>
      </c>
      <c r="H1182">
        <f>IF($G1182=0,"",_xlfn.RANK.EQ($G1182,$G$2:$G$2353,0)+COUNTIF($G$2:G1182,$G1182)-1)</f>
        <v>760</v>
      </c>
    </row>
    <row r="1183" spans="6:8" x14ac:dyDescent="0.25">
      <c r="F1183" t="str">
        <f>"Magnetic Theft"</f>
        <v>Magnetic Theft</v>
      </c>
      <c r="G1183">
        <f>SUMIFS(Colección!$L$2:$L$10001,Colección!$F$2:$F$10001,$F1183,Colección!$M$2:$M$10001,"Compra")</f>
        <v>6.16</v>
      </c>
      <c r="H1183">
        <f>IF($G1183=0,"",_xlfn.RANK.EQ($G1183,$G$2:$G$2353,0)+COUNTIF($G$2:G1183,$G1183)-1)</f>
        <v>875</v>
      </c>
    </row>
    <row r="1184" spans="6:8" x14ac:dyDescent="0.25">
      <c r="F1184" t="str">
        <f>"Magus of the Moon"</f>
        <v>Magus of the Moon</v>
      </c>
      <c r="G1184">
        <f>SUMIFS(Colección!$L$2:$L$10001,Colección!$F$2:$F$10001,$F1184,Colección!$M$2:$M$10001,"Compra")</f>
        <v>46.4</v>
      </c>
      <c r="H1184">
        <f>IF($G1184=0,"",_xlfn.RANK.EQ($G1184,$G$2:$G$2353,0)+COUNTIF($G$2:G1184,$G1184)-1)</f>
        <v>185</v>
      </c>
    </row>
    <row r="1185" spans="6:8" x14ac:dyDescent="0.25">
      <c r="F1185" t="str">
        <f>"Make Disappear"</f>
        <v>Make Disappear</v>
      </c>
      <c r="G1185">
        <f>SUMIFS(Colección!$L$2:$L$10001,Colección!$F$2:$F$10001,$F1185,Colección!$M$2:$M$10001,"Compra")</f>
        <v>6.4992385786802043</v>
      </c>
      <c r="H1185">
        <f>IF($G1185=0,"",_xlfn.RANK.EQ($G1185,$G$2:$G$2353,0)+COUNTIF($G$2:G1185,$G1185)-1)</f>
        <v>847</v>
      </c>
    </row>
    <row r="1186" spans="6:8" x14ac:dyDescent="0.25">
      <c r="F1186" t="str">
        <f>"Makeshift Munitions"</f>
        <v>Makeshift Munitions</v>
      </c>
      <c r="G1186">
        <f>SUMIFS(Colección!$L$2:$L$10001,Colección!$F$2:$F$10001,$F1186,Colección!$M$2:$M$10001,"Compra")</f>
        <v>1.823181818181818</v>
      </c>
      <c r="H1186">
        <f>IF($G1186=0,"",_xlfn.RANK.EQ($G1186,$G$2:$G$2353,0)+COUNTIF($G$2:G1186,$G1186)-1)</f>
        <v>1396</v>
      </c>
    </row>
    <row r="1187" spans="6:8" x14ac:dyDescent="0.25">
      <c r="F1187" t="str">
        <f>"Malakir Rebirth // Malakir Mire"</f>
        <v>Malakir Rebirth // Malakir Mire</v>
      </c>
      <c r="G1187">
        <f>SUMIFS(Colección!$L$2:$L$10001,Colección!$F$2:$F$10001,$F1187,Colección!$M$2:$M$10001,"Compra")</f>
        <v>10.95</v>
      </c>
      <c r="H1187">
        <f>IF($G1187=0,"",_xlfn.RANK.EQ($G1187,$G$2:$G$2353,0)+COUNTIF($G$2:G1187,$G1187)-1)</f>
        <v>623</v>
      </c>
    </row>
    <row r="1188" spans="6:8" x14ac:dyDescent="0.25">
      <c r="F1188" t="str">
        <f>"Malcolm, Alluring Scoundrel"</f>
        <v>Malcolm, Alluring Scoundrel</v>
      </c>
      <c r="G1188">
        <f>SUMIFS(Colección!$L$2:$L$10001,Colección!$F$2:$F$10001,$F1188,Colección!$M$2:$M$10001,"Compra")</f>
        <v>1.5422371967654991</v>
      </c>
      <c r="H1188">
        <f>IF($G1188=0,"",_xlfn.RANK.EQ($G1188,$G$2:$G$2353,0)+COUNTIF($G$2:G1188,$G1188)-1)</f>
        <v>1479</v>
      </c>
    </row>
    <row r="1189" spans="6:8" x14ac:dyDescent="0.25">
      <c r="F1189" t="str">
        <f>"Malevolent Rumble"</f>
        <v>Malevolent Rumble</v>
      </c>
      <c r="G1189">
        <f>SUMIFS(Colección!$L$2:$L$10001,Colección!$F$2:$F$10001,$F1189,Colección!$M$2:$M$10001,"Compra")</f>
        <v>0.65282608695652156</v>
      </c>
      <c r="H1189">
        <f>IF($G1189=0,"",_xlfn.RANK.EQ($G1189,$G$2:$G$2353,0)+COUNTIF($G$2:G1189,$G1189)-1)</f>
        <v>1788</v>
      </c>
    </row>
    <row r="1190" spans="6:8" x14ac:dyDescent="0.25">
      <c r="F1190" t="str">
        <f>"Mana Leak"</f>
        <v>Mana Leak</v>
      </c>
      <c r="G1190">
        <f>SUMIFS(Colección!$L$2:$L$10001,Colección!$F$2:$F$10001,$F1190,Colección!$M$2:$M$10001,"Compra")</f>
        <v>9.4451755132935951</v>
      </c>
      <c r="H1190">
        <f>IF($G1190=0,"",_xlfn.RANK.EQ($G1190,$G$2:$G$2353,0)+COUNTIF($G$2:G1190,$G1190)-1)</f>
        <v>685</v>
      </c>
    </row>
    <row r="1191" spans="6:8" x14ac:dyDescent="0.25">
      <c r="F1191" t="str">
        <f>"Mana Tithe"</f>
        <v>Mana Tithe</v>
      </c>
      <c r="G1191">
        <f>SUMIFS(Colección!$L$2:$L$10001,Colección!$F$2:$F$10001,$F1191,Colección!$M$2:$M$10001,"Compra")</f>
        <v>0.6907894736842104</v>
      </c>
      <c r="H1191">
        <f>IF($G1191=0,"",_xlfn.RANK.EQ($G1191,$G$2:$G$2353,0)+COUNTIF($G$2:G1191,$G1191)-1)</f>
        <v>1761</v>
      </c>
    </row>
    <row r="1192" spans="6:8" x14ac:dyDescent="0.25">
      <c r="F1192" t="str">
        <f>"Manifest Token (Colorless 2/2)"</f>
        <v>Manifest Token (Colorless 2/2)</v>
      </c>
      <c r="G1192">
        <f>SUMIFS(Colección!$L$2:$L$10001,Colección!$F$2:$F$10001,$F1192,Colección!$M$2:$M$10001,"Compra")</f>
        <v>0.62708333333333344</v>
      </c>
      <c r="H1192">
        <f>IF($G1192=0,"",_xlfn.RANK.EQ($G1192,$G$2:$G$2353,0)+COUNTIF($G$2:G1192,$G1192)-1)</f>
        <v>1814</v>
      </c>
    </row>
    <row r="1193" spans="6:8" x14ac:dyDescent="0.25">
      <c r="F1193" t="str">
        <f>"Mansherry (OP05-088) (V.1)"</f>
        <v>Mansherry (OP05-088) (V.1)</v>
      </c>
      <c r="G1193">
        <f>SUMIFS(Colección!$L$2:$L$10001,Colección!$F$2:$F$10001,$F1193,Colección!$M$2:$M$10001,"Compra")</f>
        <v>0.6765426052889324</v>
      </c>
      <c r="H1193">
        <f>IF($G1193=0,"",_xlfn.RANK.EQ($G1193,$G$2:$G$2353,0)+COUNTIF($G$2:G1193,$G1193)-1)</f>
        <v>1773</v>
      </c>
    </row>
    <row r="1194" spans="6:8" x14ac:dyDescent="0.25">
      <c r="F1194" t="str">
        <f>"Many Partings"</f>
        <v>Many Partings</v>
      </c>
      <c r="G1194">
        <f>SUMIFS(Colección!$L$2:$L$10001,Colección!$F$2:$F$10001,$F1194,Colección!$M$2:$M$10001,"Compra")</f>
        <v>2.5539906103286391E-2</v>
      </c>
      <c r="H1194">
        <f>IF($G1194=0,"",_xlfn.RANK.EQ($G1194,$G$2:$G$2353,0)+COUNTIF($G$2:G1194,$G1194)-1)</f>
        <v>2351</v>
      </c>
    </row>
    <row r="1195" spans="6:8" x14ac:dyDescent="0.25">
      <c r="F1195" t="str">
        <f>"Map Token"</f>
        <v>Map Token</v>
      </c>
      <c r="G1195">
        <f>SUMIFS(Colección!$L$2:$L$10001,Colección!$F$2:$F$10001,$F1195,Colección!$M$2:$M$10001,"Compra")</f>
        <v>1.763333333333333</v>
      </c>
      <c r="H1195">
        <f>IF($G1195=0,"",_xlfn.RANK.EQ($G1195,$G$2:$G$2353,0)+COUNTIF($G$2:G1195,$G1195)-1)</f>
        <v>1407</v>
      </c>
    </row>
    <row r="1196" spans="6:8" x14ac:dyDescent="0.25">
      <c r="F1196" t="str">
        <f>"Marang River Regent // Coil and Catch"</f>
        <v>Marang River Regent // Coil and Catch</v>
      </c>
      <c r="G1196">
        <f>SUMIFS(Colección!$L$2:$L$10001,Colección!$F$2:$F$10001,$F1196,Colección!$M$2:$M$10001,"Compra")</f>
        <v>16.815169082125603</v>
      </c>
      <c r="H1196">
        <f>IF($G1196=0,"",_xlfn.RANK.EQ($G1196,$G$2:$G$2353,0)+COUNTIF($G$2:G1196,$G1196)-1)</f>
        <v>456</v>
      </c>
    </row>
    <row r="1197" spans="6:8" x14ac:dyDescent="0.25">
      <c r="F1197" t="str">
        <f>"March of Otherworldly Light"</f>
        <v>March of Otherworldly Light</v>
      </c>
      <c r="G1197">
        <f>SUMIFS(Colección!$L$2:$L$10001,Colección!$F$2:$F$10001,$F1197,Colección!$M$2:$M$10001,"Compra")</f>
        <v>35.524518716577539</v>
      </c>
      <c r="H1197">
        <f>IF($G1197=0,"",_xlfn.RANK.EQ($G1197,$G$2:$G$2353,0)+COUNTIF($G$2:G1197,$G1197)-1)</f>
        <v>233</v>
      </c>
    </row>
    <row r="1198" spans="6:8" x14ac:dyDescent="0.25">
      <c r="F1198" t="str">
        <f>"March of Reckless Joy"</f>
        <v>March of Reckless Joy</v>
      </c>
      <c r="G1198">
        <f>SUMIFS(Colección!$L$2:$L$10001,Colección!$F$2:$F$10001,$F1198,Colección!$M$2:$M$10001,"Compra")</f>
        <v>2.0499999999999998</v>
      </c>
      <c r="H1198">
        <f>IF($G1198=0,"",_xlfn.RANK.EQ($G1198,$G$2:$G$2353,0)+COUNTIF($G$2:G1198,$G1198)-1)</f>
        <v>1357</v>
      </c>
    </row>
    <row r="1199" spans="6:8" x14ac:dyDescent="0.25">
      <c r="F1199" t="str">
        <f>"Marco (OP03-013) (V.1)"</f>
        <v>Marco (OP03-013) (V.1)</v>
      </c>
      <c r="G1199">
        <f>SUMIFS(Colección!$L$2:$L$10001,Colección!$F$2:$F$10001,$F1199,Colección!$M$2:$M$10001,"Compra")</f>
        <v>3.8308123249299721</v>
      </c>
      <c r="H1199">
        <f>IF($G1199=0,"",_xlfn.RANK.EQ($G1199,$G$2:$G$2353,0)+COUNTIF($G$2:G1199,$G1199)-1)</f>
        <v>1077</v>
      </c>
    </row>
    <row r="1200" spans="6:8" x14ac:dyDescent="0.25">
      <c r="F1200" t="str">
        <f>"Marionette Apprentice"</f>
        <v>Marionette Apprentice</v>
      </c>
      <c r="G1200">
        <f>SUMIFS(Colección!$L$2:$L$10001,Colección!$F$2:$F$10001,$F1200,Colección!$M$2:$M$10001,"Compra")</f>
        <v>8.94</v>
      </c>
      <c r="H1200">
        <f>IF($G1200=0,"",_xlfn.RANK.EQ($G1200,$G$2:$G$2353,0)+COUNTIF($G$2:G1200,$G1200)-1)</f>
        <v>703</v>
      </c>
    </row>
    <row r="1201" spans="6:8" x14ac:dyDescent="0.25">
      <c r="F1201" t="str">
        <f>"Marsh Flats"</f>
        <v>Marsh Flats</v>
      </c>
      <c r="G1201">
        <f>SUMIFS(Colección!$L$2:$L$10001,Colección!$F$2:$F$10001,$F1201,Colección!$M$2:$M$10001,"Compra")</f>
        <v>61.311065989847719</v>
      </c>
      <c r="H1201">
        <f>IF($G1201=0,"",_xlfn.RANK.EQ($G1201,$G$2:$G$2353,0)+COUNTIF($G$2:G1201,$G1201)-1)</f>
        <v>140</v>
      </c>
    </row>
    <row r="1202" spans="6:8" x14ac:dyDescent="0.25">
      <c r="F1202" t="str">
        <f>"Marsh Flats (V.1)"</f>
        <v>Marsh Flats (V.1)</v>
      </c>
      <c r="G1202">
        <f>SUMIFS(Colección!$L$2:$L$10001,Colección!$F$2:$F$10001,$F1202,Colección!$M$2:$M$10001,"Compra")</f>
        <v>85.43</v>
      </c>
      <c r="H1202">
        <f>IF($G1202=0,"",_xlfn.RANK.EQ($G1202,$G$2:$G$2353,0)+COUNTIF($G$2:G1202,$G1202)-1)</f>
        <v>91</v>
      </c>
    </row>
    <row r="1203" spans="6:8" x14ac:dyDescent="0.25">
      <c r="F1203" t="str">
        <f>"Marshall.D.Teach (OP03-012)"</f>
        <v>Marshall.D.Teach (OP03-012)</v>
      </c>
      <c r="G1203">
        <f>SUMIFS(Colección!$L$2:$L$10001,Colección!$F$2:$F$10001,$F1203,Colección!$M$2:$M$10001,"Compra")</f>
        <v>0.46406976744186051</v>
      </c>
      <c r="H1203">
        <f>IF($G1203=0,"",_xlfn.RANK.EQ($G1203,$G$2:$G$2353,0)+COUNTIF($G$2:G1203,$G1203)-1)</f>
        <v>1910</v>
      </c>
    </row>
    <row r="1204" spans="6:8" x14ac:dyDescent="0.25">
      <c r="F1204" t="str">
        <f>"Mary Geoise (OP05-097)"</f>
        <v>Mary Geoise (OP05-097)</v>
      </c>
      <c r="G1204">
        <f>SUMIFS(Colección!$L$2:$L$10001,Colección!$F$2:$F$10001,$F1204,Colección!$M$2:$M$10001,"Compra")</f>
        <v>9.4715964740450548E-2</v>
      </c>
      <c r="H1204">
        <f>IF($G1204=0,"",_xlfn.RANK.EQ($G1204,$G$2:$G$2353,0)+COUNTIF($G$2:G1204,$G1204)-1)</f>
        <v>2203</v>
      </c>
    </row>
    <row r="1205" spans="6:8" x14ac:dyDescent="0.25">
      <c r="F1205" t="str">
        <f>"Maul of the Skyclaves"</f>
        <v>Maul of the Skyclaves</v>
      </c>
      <c r="G1205">
        <f>SUMIFS(Colección!$L$2:$L$10001,Colección!$F$2:$F$10001,$F1205,Colección!$M$2:$M$10001,"Compra")</f>
        <v>0.2263407333499626</v>
      </c>
      <c r="H1205">
        <f>IF($G1205=0,"",_xlfn.RANK.EQ($G1205,$G$2:$G$2353,0)+COUNTIF($G$2:G1205,$G1205)-1)</f>
        <v>2054</v>
      </c>
    </row>
    <row r="1206" spans="6:8" x14ac:dyDescent="0.25">
      <c r="F1206" t="str">
        <f>"Maynard (OP05-052)"</f>
        <v>Maynard (OP05-052)</v>
      </c>
      <c r="G1206">
        <f>SUMIFS(Colección!$L$2:$L$10001,Colección!$F$2:$F$10001,$F1206,Colección!$M$2:$M$10001,"Compra")</f>
        <v>4.0592556317335937E-2</v>
      </c>
      <c r="H1206">
        <f>IF($G1206=0,"",_xlfn.RANK.EQ($G1206,$G$2:$G$2353,0)+COUNTIF($G$2:G1206,$G1206)-1)</f>
        <v>2330</v>
      </c>
    </row>
    <row r="1207" spans="6:8" x14ac:dyDescent="0.25">
      <c r="F1207" t="str">
        <f>"Melira, Sylvok Outcast"</f>
        <v>Melira, Sylvok Outcast</v>
      </c>
      <c r="G1207">
        <f>SUMIFS(Colección!$L$2:$L$10001,Colección!$F$2:$F$10001,$F1207,Colección!$M$2:$M$10001,"Compra")</f>
        <v>7.18</v>
      </c>
      <c r="H1207">
        <f>IF($G1207=0,"",_xlfn.RANK.EQ($G1207,$G$2:$G$2353,0)+COUNTIF($G$2:G1207,$G1207)-1)</f>
        <v>801</v>
      </c>
    </row>
    <row r="1208" spans="6:8" x14ac:dyDescent="0.25">
      <c r="F1208" t="str">
        <f>"Melira, the Living Cure"</f>
        <v>Melira, the Living Cure</v>
      </c>
      <c r="G1208">
        <f>SUMIFS(Colección!$L$2:$L$10001,Colección!$F$2:$F$10001,$F1208,Colección!$M$2:$M$10001,"Compra")</f>
        <v>1.6392298980747453</v>
      </c>
      <c r="H1208">
        <f>IF($G1208=0,"",_xlfn.RANK.EQ($G1208,$G$2:$G$2353,0)+COUNTIF($G$2:G1208,$G1208)-1)</f>
        <v>1441</v>
      </c>
    </row>
    <row r="1209" spans="6:8" x14ac:dyDescent="0.25">
      <c r="F1209" t="str">
        <f>"Memnite"</f>
        <v>Memnite</v>
      </c>
      <c r="G1209">
        <f>SUMIFS(Colección!$L$2:$L$10001,Colección!$F$2:$F$10001,$F1209,Colección!$M$2:$M$10001,"Compra")</f>
        <v>41.819670329670323</v>
      </c>
      <c r="H1209">
        <f>IF($G1209=0,"",_xlfn.RANK.EQ($G1209,$G$2:$G$2353,0)+COUNTIF($G$2:G1209,$G1209)-1)</f>
        <v>203</v>
      </c>
    </row>
    <row r="1210" spans="6:8" x14ac:dyDescent="0.25">
      <c r="F1210" t="str">
        <f>"Memory Deluge"</f>
        <v>Memory Deluge</v>
      </c>
      <c r="G1210">
        <f>SUMIFS(Colección!$L$2:$L$10001,Colección!$F$2:$F$10001,$F1210,Colección!$M$2:$M$10001,"Compra")</f>
        <v>5.3883029001074112</v>
      </c>
      <c r="H1210">
        <f>IF($G1210=0,"",_xlfn.RANK.EQ($G1210,$G$2:$G$2353,0)+COUNTIF($G$2:G1210,$G1210)-1)</f>
        <v>936</v>
      </c>
    </row>
    <row r="1211" spans="6:8" x14ac:dyDescent="0.25">
      <c r="F1211" t="str">
        <f>"Memory Deluge [Playset]"</f>
        <v>Memory Deluge [Playset]</v>
      </c>
      <c r="G1211">
        <f>SUMIFS(Colección!$L$2:$L$10001,Colección!$F$2:$F$10001,$F1211,Colección!$M$2:$M$10001,"Compra")</f>
        <v>15.972527472527471</v>
      </c>
      <c r="H1211">
        <f>IF($G1211=0,"",_xlfn.RANK.EQ($G1211,$G$2:$G$2353,0)+COUNTIF($G$2:G1211,$G1211)-1)</f>
        <v>486</v>
      </c>
    </row>
    <row r="1212" spans="6:8" x14ac:dyDescent="0.25">
      <c r="F1212" t="str">
        <f>"Memory Guardian"</f>
        <v>Memory Guardian</v>
      </c>
      <c r="G1212">
        <f>SUMIFS(Colección!$L$2:$L$10001,Colección!$F$2:$F$10001,$F1212,Colección!$M$2:$M$10001,"Compra")</f>
        <v>1.0346739130434783</v>
      </c>
      <c r="H1212">
        <f>IF($G1212=0,"",_xlfn.RANK.EQ($G1212,$G$2:$G$2353,0)+COUNTIF($G$2:G1212,$G1212)-1)</f>
        <v>1642</v>
      </c>
    </row>
    <row r="1213" spans="6:8" x14ac:dyDescent="0.25">
      <c r="F1213" t="str">
        <f>"Mental Note"</f>
        <v>Mental Note</v>
      </c>
      <c r="G1213">
        <f>SUMIFS(Colección!$L$2:$L$10001,Colección!$F$2:$F$10001,$F1213,Colección!$M$2:$M$10001,"Compra")</f>
        <v>23</v>
      </c>
      <c r="H1213">
        <f>IF($G1213=0,"",_xlfn.RANK.EQ($G1213,$G$2:$G$2353,0)+COUNTIF($G$2:G1213,$G1213)-1)</f>
        <v>343</v>
      </c>
    </row>
    <row r="1214" spans="6:8" x14ac:dyDescent="0.25">
      <c r="F1214" t="str">
        <f>"Mercenary Token (R 1/1) // Meteorite Token"</f>
        <v>Mercenary Token (R 1/1) // Meteorite Token</v>
      </c>
      <c r="G1214">
        <f>SUMIFS(Colección!$L$2:$L$10001,Colección!$F$2:$F$10001,$F1214,Colección!$M$2:$M$10001,"Compra")</f>
        <v>1.059551569506727</v>
      </c>
      <c r="H1214">
        <f>IF($G1214=0,"",_xlfn.RANK.EQ($G1214,$G$2:$G$2353,0)+COUNTIF($G$2:G1214,$G1214)-1)</f>
        <v>1623</v>
      </c>
    </row>
    <row r="1215" spans="6:8" x14ac:dyDescent="0.25">
      <c r="F1215" t="str">
        <f>"Merfolk Looter"</f>
        <v>Merfolk Looter</v>
      </c>
      <c r="G1215">
        <f>SUMIFS(Colección!$L$2:$L$10001,Colección!$F$2:$F$10001,$F1215,Colección!$M$2:$M$10001,"Compra")</f>
        <v>3.3604545454545454</v>
      </c>
      <c r="H1215">
        <f>IF($G1215=0,"",_xlfn.RANK.EQ($G1215,$G$2:$G$2353,0)+COUNTIF($G$2:G1215,$G1215)-1)</f>
        <v>1138</v>
      </c>
    </row>
    <row r="1216" spans="6:8" x14ac:dyDescent="0.25">
      <c r="F1216" t="str">
        <f>"Merry (OP03-052)"</f>
        <v>Merry (OP03-052)</v>
      </c>
      <c r="G1216">
        <f>SUMIFS(Colección!$L$2:$L$10001,Colección!$F$2:$F$10001,$F1216,Colección!$M$2:$M$10001,"Compra")</f>
        <v>9.5193798449612399E-2</v>
      </c>
      <c r="H1216">
        <f>IF($G1216=0,"",_xlfn.RANK.EQ($G1216,$G$2:$G$2353,0)+COUNTIF($G$2:G1216,$G1216)-1)</f>
        <v>2182</v>
      </c>
    </row>
    <row r="1217" spans="6:8" x14ac:dyDescent="0.25">
      <c r="F1217" t="str">
        <f>"Merry, Esquire of Rohan"</f>
        <v>Merry, Esquire of Rohan</v>
      </c>
      <c r="G1217">
        <f>SUMIFS(Colección!$L$2:$L$10001,Colección!$F$2:$F$10001,$F1217,Colección!$M$2:$M$10001,"Compra")</f>
        <v>0.26848816029143902</v>
      </c>
      <c r="H1217">
        <f>IF($G1217=0,"",_xlfn.RANK.EQ($G1217,$G$2:$G$2353,0)+COUNTIF($G$2:G1217,$G1217)-1)</f>
        <v>2043</v>
      </c>
    </row>
    <row r="1218" spans="6:8" x14ac:dyDescent="0.25">
      <c r="F1218" t="str">
        <f>"Merry, Esquire of Rohan (V.1)"</f>
        <v>Merry, Esquire of Rohan (V.1)</v>
      </c>
      <c r="G1218">
        <f>SUMIFS(Colección!$L$2:$L$10001,Colección!$F$2:$F$10001,$F1218,Colección!$M$2:$M$10001,"Compra")</f>
        <v>1.008947368421053</v>
      </c>
      <c r="H1218">
        <f>IF($G1218=0,"",_xlfn.RANK.EQ($G1218,$G$2:$G$2353,0)+COUNTIF($G$2:G1218,$G1218)-1)</f>
        <v>1654</v>
      </c>
    </row>
    <row r="1219" spans="6:8" x14ac:dyDescent="0.25">
      <c r="F1219" t="str">
        <f>"Metallic Rebuke"</f>
        <v>Metallic Rebuke</v>
      </c>
      <c r="G1219">
        <f>SUMIFS(Colección!$L$2:$L$10001,Colección!$F$2:$F$10001,$F1219,Colección!$M$2:$M$10001,"Compra")</f>
        <v>2.2565562456866806</v>
      </c>
      <c r="H1219">
        <f>IF($G1219=0,"",_xlfn.RANK.EQ($G1219,$G$2:$G$2353,0)+COUNTIF($G$2:G1219,$G1219)-1)</f>
        <v>1296</v>
      </c>
    </row>
    <row r="1220" spans="6:8" x14ac:dyDescent="0.25">
      <c r="F1220" t="str">
        <f>"Meteor Sword"</f>
        <v>Meteor Sword</v>
      </c>
      <c r="G1220">
        <f>SUMIFS(Colección!$L$2:$L$10001,Colección!$F$2:$F$10001,$F1220,Colección!$M$2:$M$10001,"Compra")</f>
        <v>0.28942307692307689</v>
      </c>
      <c r="H1220">
        <f>IF($G1220=0,"",_xlfn.RANK.EQ($G1220,$G$2:$G$2353,0)+COUNTIF($G$2:G1220,$G1220)-1)</f>
        <v>2005</v>
      </c>
    </row>
    <row r="1221" spans="6:8" x14ac:dyDescent="0.25">
      <c r="F1221" t="str">
        <f>"Meticulous Archive"</f>
        <v>Meticulous Archive</v>
      </c>
      <c r="G1221">
        <f>SUMIFS(Colección!$L$2:$L$10001,Colección!$F$2:$F$10001,$F1221,Colección!$M$2:$M$10001,"Compra")</f>
        <v>19.845441916167665</v>
      </c>
      <c r="H1221">
        <f>IF($G1221=0,"",_xlfn.RANK.EQ($G1221,$G$2:$G$2353,0)+COUNTIF($G$2:G1221,$G1221)-1)</f>
        <v>398</v>
      </c>
    </row>
    <row r="1222" spans="6:8" x14ac:dyDescent="0.25">
      <c r="F1222" t="str">
        <f>"Might of Old Krosa"</f>
        <v>Might of Old Krosa</v>
      </c>
      <c r="G1222">
        <f>SUMIFS(Colección!$L$2:$L$10001,Colección!$F$2:$F$10001,$F1222,Colección!$M$2:$M$10001,"Compra")</f>
        <v>0.4450381679389312</v>
      </c>
      <c r="H1222">
        <f>IF($G1222=0,"",_xlfn.RANK.EQ($G1222,$G$2:$G$2353,0)+COUNTIF($G$2:G1222,$G1222)-1)</f>
        <v>1920</v>
      </c>
    </row>
    <row r="1223" spans="6:8" x14ac:dyDescent="0.25">
      <c r="F1223" t="str">
        <f>"Migloz, Maze Crusher (V.1)"</f>
        <v>Migloz, Maze Crusher (V.1)</v>
      </c>
      <c r="G1223">
        <f>SUMIFS(Colección!$L$2:$L$10001,Colección!$F$2:$F$10001,$F1223,Colección!$M$2:$M$10001,"Compra")</f>
        <v>1.7080016757436112</v>
      </c>
      <c r="H1223">
        <f>IF($G1223=0,"",_xlfn.RANK.EQ($G1223,$G$2:$G$2353,0)+COUNTIF($G$2:G1223,$G1223)-1)</f>
        <v>1424</v>
      </c>
    </row>
    <row r="1224" spans="6:8" x14ac:dyDescent="0.25">
      <c r="F1224" t="str">
        <f>"Minas Tirith"</f>
        <v>Minas Tirith</v>
      </c>
      <c r="G1224">
        <f>SUMIFS(Colección!$L$2:$L$10001,Colección!$F$2:$F$10001,$F1224,Colección!$M$2:$M$10001,"Compra")</f>
        <v>4.2657341186369377</v>
      </c>
      <c r="H1224">
        <f>IF($G1224=0,"",_xlfn.RANK.EQ($G1224,$G$2:$G$2353,0)+COUNTIF($G$2:G1224,$G1224)-1)</f>
        <v>1037</v>
      </c>
    </row>
    <row r="1225" spans="6:8" x14ac:dyDescent="0.25">
      <c r="F1225" t="str">
        <f>"Minas Tirith (V.1)"</f>
        <v>Minas Tirith (V.1)</v>
      </c>
      <c r="G1225">
        <f>SUMIFS(Colección!$L$2:$L$10001,Colección!$F$2:$F$10001,$F1225,Colección!$M$2:$M$10001,"Compra")</f>
        <v>5.2862688015526436</v>
      </c>
      <c r="H1225">
        <f>IF($G1225=0,"",_xlfn.RANK.EQ($G1225,$G$2:$G$2353,0)+COUNTIF($G$2:G1225,$G1225)-1)</f>
        <v>946</v>
      </c>
    </row>
    <row r="1226" spans="6:8" x14ac:dyDescent="0.25">
      <c r="F1226" t="str">
        <f>"Mind Funeral"</f>
        <v>Mind Funeral</v>
      </c>
      <c r="G1226">
        <f>SUMIFS(Colección!$L$2:$L$10001,Colección!$F$2:$F$10001,$F1226,Colección!$M$2:$M$10001,"Compra")</f>
        <v>2.23</v>
      </c>
      <c r="H1226">
        <f>IF($G1226=0,"",_xlfn.RANK.EQ($G1226,$G$2:$G$2353,0)+COUNTIF($G$2:G1226,$G1226)-1)</f>
        <v>1302</v>
      </c>
    </row>
    <row r="1227" spans="6:8" x14ac:dyDescent="0.25">
      <c r="F1227" t="str">
        <f>"Mind Rune (V.2 - Showcase)"</f>
        <v>Mind Rune (V.2 - Showcase)</v>
      </c>
      <c r="G1227">
        <f>SUMIFS(Colección!$L$2:$L$10001,Colección!$F$2:$F$10001,$F1227,Colección!$M$2:$M$10001,"Compra")</f>
        <v>51.244974916387967</v>
      </c>
      <c r="H1227">
        <f>IF($G1227=0,"",_xlfn.RANK.EQ($G1227,$G$2:$G$2353,0)+COUNTIF($G$2:G1227,$G1227)-1)</f>
        <v>170</v>
      </c>
    </row>
    <row r="1228" spans="6:8" x14ac:dyDescent="0.25">
      <c r="F1228" t="str">
        <f>"Mind Stone"</f>
        <v>Mind Stone</v>
      </c>
      <c r="G1228">
        <f>SUMIFS(Colección!$L$2:$L$10001,Colección!$F$2:$F$10001,$F1228,Colección!$M$2:$M$10001,"Compra")</f>
        <v>8.2799999999999994</v>
      </c>
      <c r="H1228">
        <f>IF($G1228=0,"",_xlfn.RANK.EQ($G1228,$G$2:$G$2353,0)+COUNTIF($G$2:G1228,$G1228)-1)</f>
        <v>737</v>
      </c>
    </row>
    <row r="1229" spans="6:8" x14ac:dyDescent="0.25">
      <c r="F1229" t="str">
        <f>"Mindbreak Trap"</f>
        <v>Mindbreak Trap</v>
      </c>
      <c r="G1229">
        <f>SUMIFS(Colección!$L$2:$L$10001,Colección!$F$2:$F$10001,$F1229,Colección!$M$2:$M$10001,"Compra")</f>
        <v>32.930000000000007</v>
      </c>
      <c r="H1229">
        <f>IF($G1229=0,"",_xlfn.RANK.EQ($G1229,$G$2:$G$2353,0)+COUNTIF($G$2:G1229,$G1229)-1)</f>
        <v>258</v>
      </c>
    </row>
    <row r="1230" spans="6:8" x14ac:dyDescent="0.25">
      <c r="F1230" t="str">
        <f>"Mindsplitter"</f>
        <v>Mindsplitter</v>
      </c>
      <c r="G1230">
        <f>SUMIFS(Colección!$L$2:$L$10001,Colección!$F$2:$F$10001,$F1230,Colección!$M$2:$M$10001,"Compra")</f>
        <v>5.5003376748673416</v>
      </c>
      <c r="H1230">
        <f>IF($G1230=0,"",_xlfn.RANK.EQ($G1230,$G$2:$G$2353,0)+COUNTIF($G$2:G1230,$G1230)-1)</f>
        <v>925</v>
      </c>
    </row>
    <row r="1231" spans="6:8" x14ac:dyDescent="0.25">
      <c r="F1231" t="str">
        <f>"Mindspring Merfolk"</f>
        <v>Mindspring Merfolk</v>
      </c>
      <c r="G1231">
        <f>SUMIFS(Colección!$L$2:$L$10001,Colección!$F$2:$F$10001,$F1231,Colección!$M$2:$M$10001,"Compra")</f>
        <v>9.8181818181818183</v>
      </c>
      <c r="H1231">
        <f>IF($G1231=0,"",_xlfn.RANK.EQ($G1231,$G$2:$G$2353,0)+COUNTIF($G$2:G1231,$G1231)-1)</f>
        <v>672</v>
      </c>
    </row>
    <row r="1232" spans="6:8" x14ac:dyDescent="0.25">
      <c r="F1232" t="str">
        <f>"Mines of Moria"</f>
        <v>Mines of Moria</v>
      </c>
      <c r="G1232">
        <f>SUMIFS(Colección!$L$2:$L$10001,Colección!$F$2:$F$10001,$F1232,Colección!$M$2:$M$10001,"Compra")</f>
        <v>2.9276343234061937</v>
      </c>
      <c r="H1232">
        <f>IF($G1232=0,"",_xlfn.RANK.EQ($G1232,$G$2:$G$2353,0)+COUNTIF($G$2:G1232,$G1232)-1)</f>
        <v>1201</v>
      </c>
    </row>
    <row r="1233" spans="6:8" x14ac:dyDescent="0.25">
      <c r="F1233" t="str">
        <f>"Minor Misstep"</f>
        <v>Minor Misstep</v>
      </c>
      <c r="G1233">
        <f>SUMIFS(Colección!$L$2:$L$10001,Colección!$F$2:$F$10001,$F1233,Colección!$M$2:$M$10001,"Compra")</f>
        <v>11.516357504215852</v>
      </c>
      <c r="H1233">
        <f>IF($G1233=0,"",_xlfn.RANK.EQ($G1233,$G$2:$G$2353,0)+COUNTIF($G$2:G1233,$G1233)-1)</f>
        <v>596</v>
      </c>
    </row>
    <row r="1234" spans="6:8" x14ac:dyDescent="0.25">
      <c r="F1234" t="str">
        <f>"Minorhinoceros (OP03-069)"</f>
        <v>Minorhinoceros (OP03-069)</v>
      </c>
      <c r="G1234">
        <f>SUMIFS(Colección!$L$2:$L$10001,Colección!$F$2:$F$10001,$F1234,Colección!$M$2:$M$10001,"Compra")</f>
        <v>9.5193798449612399E-2</v>
      </c>
      <c r="H1234">
        <f>IF($G1234=0,"",_xlfn.RANK.EQ($G1234,$G$2:$G$2353,0)+COUNTIF($G$2:G1234,$G1234)-1)</f>
        <v>2183</v>
      </c>
    </row>
    <row r="1235" spans="6:8" x14ac:dyDescent="0.25">
      <c r="F1235" t="str">
        <f>"Minozebra (OP03-068)"</f>
        <v>Minozebra (OP03-068)</v>
      </c>
      <c r="G1235">
        <f>SUMIFS(Colección!$L$2:$L$10001,Colección!$F$2:$F$10001,$F1235,Colección!$M$2:$M$10001,"Compra")</f>
        <v>9.5193798449612399E-2</v>
      </c>
      <c r="H1235">
        <f>IF($G1235=0,"",_xlfn.RANK.EQ($G1235,$G$2:$G$2353,0)+COUNTIF($G$2:G1235,$G1235)-1)</f>
        <v>2184</v>
      </c>
    </row>
    <row r="1236" spans="6:8" x14ac:dyDescent="0.25">
      <c r="F1236" t="str">
        <f>"Mirkwood Bats"</f>
        <v>Mirkwood Bats</v>
      </c>
      <c r="G1236">
        <f>SUMIFS(Colección!$L$2:$L$10001,Colección!$F$2:$F$10001,$F1236,Colección!$M$2:$M$10001,"Compra")</f>
        <v>0.71273885350318467</v>
      </c>
      <c r="H1236">
        <f>IF($G1236=0,"",_xlfn.RANK.EQ($G1236,$G$2:$G$2353,0)+COUNTIF($G$2:G1236,$G1236)-1)</f>
        <v>1754</v>
      </c>
    </row>
    <row r="1237" spans="6:8" x14ac:dyDescent="0.25">
      <c r="F1237" t="str">
        <f>"Mirran Crusader"</f>
        <v>Mirran Crusader</v>
      </c>
      <c r="G1237">
        <f>SUMIFS(Colección!$L$2:$L$10001,Colección!$F$2:$F$10001,$F1237,Colección!$M$2:$M$10001,"Compra")</f>
        <v>3.7919999999999998</v>
      </c>
      <c r="H1237">
        <f>IF($G1237=0,"",_xlfn.RANK.EQ($G1237,$G$2:$G$2353,0)+COUNTIF($G$2:G1237,$G1237)-1)</f>
        <v>1083</v>
      </c>
    </row>
    <row r="1238" spans="6:8" x14ac:dyDescent="0.25">
      <c r="F1238" t="str">
        <f>"Mirrex"</f>
        <v>Mirrex</v>
      </c>
      <c r="G1238">
        <f>SUMIFS(Colección!$L$2:$L$10001,Colección!$F$2:$F$10001,$F1238,Colección!$M$2:$M$10001,"Compra")</f>
        <v>16.47</v>
      </c>
      <c r="H1238">
        <f>IF($G1238=0,"",_xlfn.RANK.EQ($G1238,$G$2:$G$2353,0)+COUNTIF($G$2:G1238,$G1238)-1)</f>
        <v>468</v>
      </c>
    </row>
    <row r="1239" spans="6:8" x14ac:dyDescent="0.25">
      <c r="F1239" t="str">
        <f>"Mirror Image"</f>
        <v>Mirror Image</v>
      </c>
      <c r="G1239">
        <f>SUMIFS(Colección!$L$2:$L$10001,Colección!$F$2:$F$10001,$F1239,Colección!$M$2:$M$10001,"Compra")</f>
        <v>57.820325383993534</v>
      </c>
      <c r="H1239">
        <f>IF($G1239=0,"",_xlfn.RANK.EQ($G1239,$G$2:$G$2353,0)+COUNTIF($G$2:G1239,$G1239)-1)</f>
        <v>148</v>
      </c>
    </row>
    <row r="1240" spans="6:8" x14ac:dyDescent="0.25">
      <c r="F1240" t="str">
        <f>"Mirrorpool"</f>
        <v>Mirrorpool</v>
      </c>
      <c r="G1240">
        <f>SUMIFS(Colección!$L$2:$L$10001,Colección!$F$2:$F$10001,$F1240,Colección!$M$2:$M$10001,"Compra")</f>
        <v>1.76</v>
      </c>
      <c r="H1240">
        <f>IF($G1240=0,"",_xlfn.RANK.EQ($G1240,$G$2:$G$2353,0)+COUNTIF($G$2:G1240,$G1240)-1)</f>
        <v>1412</v>
      </c>
    </row>
    <row r="1241" spans="6:8" x14ac:dyDescent="0.25">
      <c r="F1241" t="str">
        <f>"Mishra's Bauble (V.1)"</f>
        <v>Mishra's Bauble (V.1)</v>
      </c>
      <c r="G1241">
        <f>SUMIFS(Colección!$L$2:$L$10001,Colección!$F$2:$F$10001,$F1241,Colección!$M$2:$M$10001,"Compra")</f>
        <v>10.836104513064132</v>
      </c>
      <c r="H1241">
        <f>IF($G1241=0,"",_xlfn.RANK.EQ($G1241,$G$2:$G$2353,0)+COUNTIF($G$2:G1241,$G1241)-1)</f>
        <v>630</v>
      </c>
    </row>
    <row r="1242" spans="6:8" x14ac:dyDescent="0.25">
      <c r="F1242" t="str">
        <f>"Mishra's Bauble [Playset]"</f>
        <v>Mishra's Bauble [Playset]</v>
      </c>
      <c r="G1242">
        <f>SUMIFS(Colección!$L$2:$L$10001,Colección!$F$2:$F$10001,$F1242,Colección!$M$2:$M$10001,"Compra")</f>
        <v>40.1</v>
      </c>
      <c r="H1242">
        <f>IF($G1242=0,"",_xlfn.RANK.EQ($G1242,$G$2:$G$2353,0)+COUNTIF($G$2:G1242,$G1242)-1)</f>
        <v>215</v>
      </c>
    </row>
    <row r="1243" spans="6:8" x14ac:dyDescent="0.25">
      <c r="F1243" t="str">
        <f>"Miss Doublefinger(Zala) (OP05-073)"</f>
        <v>Miss Doublefinger(Zala) (OP05-073)</v>
      </c>
      <c r="G1243">
        <f>SUMIFS(Colección!$L$2:$L$10001,Colección!$F$2:$F$10001,$F1243,Colección!$M$2:$M$10001,"Compra")</f>
        <v>0.1623702252693438</v>
      </c>
      <c r="H1243">
        <f>IF($G1243=0,"",_xlfn.RANK.EQ($G1243,$G$2:$G$2353,0)+COUNTIF($G$2:G1243,$G1243)-1)</f>
        <v>2114</v>
      </c>
    </row>
    <row r="1244" spans="6:8" x14ac:dyDescent="0.25">
      <c r="F1244" t="str">
        <f>"Miss.Goldenweek(Marianne) (OP04-065)"</f>
        <v>Miss.Goldenweek(Marianne) (OP04-065)</v>
      </c>
      <c r="G1244">
        <f>SUMIFS(Colección!$L$2:$L$10001,Colección!$F$2:$F$10001,$F1244,Colección!$M$2:$M$10001,"Compra")</f>
        <v>6.1898734177215198E-2</v>
      </c>
      <c r="H1244">
        <f>IF($G1244=0,"",_xlfn.RANK.EQ($G1244,$G$2:$G$2353,0)+COUNTIF($G$2:G1244,$G1244)-1)</f>
        <v>2285</v>
      </c>
    </row>
    <row r="1245" spans="6:8" x14ac:dyDescent="0.25">
      <c r="F1245" t="str">
        <f>"Miss.MerryChristmas(Drophy) (OP04-067)"</f>
        <v>Miss.MerryChristmas(Drophy) (OP04-067)</v>
      </c>
      <c r="G1245">
        <f>SUMIFS(Colección!$L$2:$L$10001,Colección!$F$2:$F$10001,$F1245,Colección!$M$2:$M$10001,"Compra")</f>
        <v>6.1898734177215198E-2</v>
      </c>
      <c r="H1245">
        <f>IF($G1245=0,"",_xlfn.RANK.EQ($G1245,$G$2:$G$2353,0)+COUNTIF($G$2:G1245,$G1245)-1)</f>
        <v>2286</v>
      </c>
    </row>
    <row r="1246" spans="6:8" x14ac:dyDescent="0.25">
      <c r="F1246" t="str">
        <f>"Miss.Valentine(Mikita) (OP04-066)"</f>
        <v>Miss.Valentine(Mikita) (OP04-066)</v>
      </c>
      <c r="G1246">
        <f>SUMIFS(Colección!$L$2:$L$10001,Colección!$F$2:$F$10001,$F1246,Colección!$M$2:$M$10001,"Compra")</f>
        <v>9.2848101265822783E-2</v>
      </c>
      <c r="H1246">
        <f>IF($G1246=0,"",_xlfn.RANK.EQ($G1246,$G$2:$G$2353,0)+COUNTIF($G$2:G1246,$G1246)-1)</f>
        <v>2215</v>
      </c>
    </row>
    <row r="1247" spans="6:8" x14ac:dyDescent="0.25">
      <c r="F1247" t="str">
        <f>"Mistcaller"</f>
        <v>Mistcaller</v>
      </c>
      <c r="G1247">
        <f>SUMIFS(Colección!$L$2:$L$10001,Colección!$F$2:$F$10001,$F1247,Colección!$M$2:$M$10001,"Compra")</f>
        <v>4.3499999999999996</v>
      </c>
      <c r="H1247">
        <f>IF($G1247=0,"",_xlfn.RANK.EQ($G1247,$G$2:$G$2353,0)+COUNTIF($G$2:G1247,$G1247)-1)</f>
        <v>1024</v>
      </c>
    </row>
    <row r="1248" spans="6:8" x14ac:dyDescent="0.25">
      <c r="F1248" t="str">
        <f>"Mistrise Village"</f>
        <v>Mistrise Village</v>
      </c>
      <c r="G1248">
        <f>SUMIFS(Colección!$L$2:$L$10001,Colección!$F$2:$F$10001,$F1248,Colección!$M$2:$M$10001,"Compra")</f>
        <v>14.991610446137109</v>
      </c>
      <c r="H1248">
        <f>IF($G1248=0,"",_xlfn.RANK.EQ($G1248,$G$2:$G$2353,0)+COUNTIF($G$2:G1248,$G1248)-1)</f>
        <v>503</v>
      </c>
    </row>
    <row r="1249" spans="6:8" x14ac:dyDescent="0.25">
      <c r="F1249" t="str">
        <f>"Mistvault Bridge"</f>
        <v>Mistvault Bridge</v>
      </c>
      <c r="G1249">
        <f>SUMIFS(Colección!$L$2:$L$10001,Colección!$F$2:$F$10001,$F1249,Colección!$M$2:$M$10001,"Compra")</f>
        <v>7.3469105145706619</v>
      </c>
      <c r="H1249">
        <f>IF($G1249=0,"",_xlfn.RANK.EQ($G1249,$G$2:$G$2353,0)+COUNTIF($G$2:G1249,$G1249)-1)</f>
        <v>787</v>
      </c>
    </row>
    <row r="1250" spans="6:8" x14ac:dyDescent="0.25">
      <c r="F1250" t="str">
        <f>"Misty Rainforest"</f>
        <v>Misty Rainforest</v>
      </c>
      <c r="G1250">
        <f>SUMIFS(Colección!$L$2:$L$10001,Colección!$F$2:$F$10001,$F1250,Colección!$M$2:$M$10001,"Compra")</f>
        <v>91.348612229952408</v>
      </c>
      <c r="H1250">
        <f>IF($G1250=0,"",_xlfn.RANK.EQ($G1250,$G$2:$G$2353,0)+COUNTIF($G$2:G1250,$G1250)-1)</f>
        <v>85</v>
      </c>
    </row>
    <row r="1251" spans="6:8" x14ac:dyDescent="0.25">
      <c r="F1251" t="str">
        <f>"Misty Rainforest (V.1)"</f>
        <v>Misty Rainforest (V.1)</v>
      </c>
      <c r="G1251">
        <f>SUMIFS(Colección!$L$2:$L$10001,Colección!$F$2:$F$10001,$F1251,Colección!$M$2:$M$10001,"Compra")</f>
        <v>171.25564814814811</v>
      </c>
      <c r="H1251">
        <f>IF($G1251=0,"",_xlfn.RANK.EQ($G1251,$G$2:$G$2353,0)+COUNTIF($G$2:G1251,$G1251)-1)</f>
        <v>29</v>
      </c>
    </row>
    <row r="1252" spans="6:8" x14ac:dyDescent="0.25">
      <c r="F1252" t="str">
        <f>"Mithril Coat"</f>
        <v>Mithril Coat</v>
      </c>
      <c r="G1252">
        <f>SUMIFS(Colección!$L$2:$L$10001,Colección!$F$2:$F$10001,$F1252,Colección!$M$2:$M$10001,"Compra")</f>
        <v>9.7521264367816087</v>
      </c>
      <c r="H1252">
        <f>IF($G1252=0,"",_xlfn.RANK.EQ($G1252,$G$2:$G$2353,0)+COUNTIF($G$2:G1252,$G1252)-1)</f>
        <v>674</v>
      </c>
    </row>
    <row r="1253" spans="6:8" x14ac:dyDescent="0.25">
      <c r="F1253" t="str">
        <f>"Mockingbird"</f>
        <v>Mockingbird</v>
      </c>
      <c r="G1253">
        <f>SUMIFS(Colección!$L$2:$L$10001,Colección!$F$2:$F$10001,$F1253,Colección!$M$2:$M$10001,"Compra")</f>
        <v>27.926593406593405</v>
      </c>
      <c r="H1253">
        <f>IF($G1253=0,"",_xlfn.RANK.EQ($G1253,$G$2:$G$2353,0)+COUNTIF($G$2:G1253,$G1253)-1)</f>
        <v>290</v>
      </c>
    </row>
    <row r="1254" spans="6:8" x14ac:dyDescent="0.25">
      <c r="F1254" t="str">
        <f>"Mogg Fanatic"</f>
        <v>Mogg Fanatic</v>
      </c>
      <c r="G1254">
        <f>SUMIFS(Colección!$L$2:$L$10001,Colección!$F$2:$F$10001,$F1254,Colección!$M$2:$M$10001,"Compra")</f>
        <v>4.3130183220829323</v>
      </c>
      <c r="H1254">
        <f>IF($G1254=0,"",_xlfn.RANK.EQ($G1254,$G$2:$G$2353,0)+COUNTIF($G$2:G1254,$G1254)-1)</f>
        <v>1032</v>
      </c>
    </row>
    <row r="1255" spans="6:8" x14ac:dyDescent="0.25">
      <c r="F1255" t="str">
        <f>"Mogg Flunkies"</f>
        <v>Mogg Flunkies</v>
      </c>
      <c r="G1255">
        <f>SUMIFS(Colección!$L$2:$L$10001,Colección!$F$2:$F$10001,$F1255,Colección!$M$2:$M$10001,"Compra")</f>
        <v>0.64325133689839564</v>
      </c>
      <c r="H1255">
        <f>IF($G1255=0,"",_xlfn.RANK.EQ($G1255,$G$2:$G$2353,0)+COUNTIF($G$2:G1255,$G1255)-1)</f>
        <v>1795</v>
      </c>
    </row>
    <row r="1256" spans="6:8" x14ac:dyDescent="0.25">
      <c r="F1256" t="str">
        <f>"Mogg War Marshal [Playset]"</f>
        <v>Mogg War Marshal [Playset]</v>
      </c>
      <c r="G1256">
        <f>SUMIFS(Colección!$L$2:$L$10001,Colección!$F$2:$F$10001,$F1256,Colección!$M$2:$M$10001,"Compra")</f>
        <v>0.79106280193236711</v>
      </c>
      <c r="H1256">
        <f>IF($G1256=0,"",_xlfn.RANK.EQ($G1256,$G$2:$G$2353,0)+COUNTIF($G$2:G1256,$G1256)-1)</f>
        <v>1726</v>
      </c>
    </row>
    <row r="1257" spans="6:8" x14ac:dyDescent="0.25">
      <c r="F1257" t="str">
        <f>"Molten Collapse"</f>
        <v>Molten Collapse</v>
      </c>
      <c r="G1257">
        <f>SUMIFS(Colección!$L$2:$L$10001,Colección!$F$2:$F$10001,$F1257,Colección!$M$2:$M$10001,"Compra")</f>
        <v>7.8135211267605644</v>
      </c>
      <c r="H1257">
        <f>IF($G1257=0,"",_xlfn.RANK.EQ($G1257,$G$2:$G$2353,0)+COUNTIF($G$2:G1257,$G1257)-1)</f>
        <v>759</v>
      </c>
    </row>
    <row r="1258" spans="6:8" x14ac:dyDescent="0.25">
      <c r="F1258" t="str">
        <f>"Molten Rain"</f>
        <v>Molten Rain</v>
      </c>
      <c r="G1258">
        <f>SUMIFS(Colección!$L$2:$L$10001,Colección!$F$2:$F$10001,$F1258,Colección!$M$2:$M$10001,"Compra")</f>
        <v>6.4018506131549602</v>
      </c>
      <c r="H1258">
        <f>IF($G1258=0,"",_xlfn.RANK.EQ($G1258,$G$2:$G$2353,0)+COUNTIF($G$2:G1258,$G1258)-1)</f>
        <v>854</v>
      </c>
    </row>
    <row r="1259" spans="6:8" x14ac:dyDescent="0.25">
      <c r="F1259" t="str">
        <f>"Momentum Breaker"</f>
        <v>Momentum Breaker</v>
      </c>
      <c r="G1259">
        <f>SUMIFS(Colección!$L$2:$L$10001,Colección!$F$2:$F$10001,$F1259,Colección!$M$2:$M$10001,"Compra")</f>
        <v>10.472727272727273</v>
      </c>
      <c r="H1259">
        <f>IF($G1259=0,"",_xlfn.RANK.EQ($G1259,$G$2:$G$2353,0)+COUNTIF($G$2:G1259,$G1259)-1)</f>
        <v>649</v>
      </c>
    </row>
    <row r="1260" spans="6:8" x14ac:dyDescent="0.25">
      <c r="F1260" t="str">
        <f>"Momoo (OP03-035)"</f>
        <v>Momoo (OP03-035)</v>
      </c>
      <c r="G1260">
        <f>SUMIFS(Colección!$L$2:$L$10001,Colección!$F$2:$F$10001,$F1260,Colección!$M$2:$M$10001,"Compra")</f>
        <v>9.5193798449612399E-2</v>
      </c>
      <c r="H1260">
        <f>IF($G1260=0,"",_xlfn.RANK.EQ($G1260,$G$2:$G$2353,0)+COUNTIF($G$2:G1260,$G1260)-1)</f>
        <v>2185</v>
      </c>
    </row>
    <row r="1261" spans="6:8" x14ac:dyDescent="0.25">
      <c r="F1261" t="str">
        <f>"Monastery Mentor"</f>
        <v>Monastery Mentor</v>
      </c>
      <c r="G1261">
        <f>SUMIFS(Colección!$L$2:$L$10001,Colección!$F$2:$F$10001,$F1261,Colección!$M$2:$M$10001,"Compra")</f>
        <v>8.7324661508704065</v>
      </c>
      <c r="H1261">
        <f>IF($G1261=0,"",_xlfn.RANK.EQ($G1261,$G$2:$G$2353,0)+COUNTIF($G$2:G1261,$G1261)-1)</f>
        <v>717</v>
      </c>
    </row>
    <row r="1262" spans="6:8" x14ac:dyDescent="0.25">
      <c r="F1262" t="str">
        <f>"Monastery Swiftspear"</f>
        <v>Monastery Swiftspear</v>
      </c>
      <c r="G1262">
        <f>SUMIFS(Colección!$L$2:$L$10001,Colección!$F$2:$F$10001,$F1262,Colección!$M$2:$M$10001,"Compra")</f>
        <v>6.7241530841075434</v>
      </c>
      <c r="H1262">
        <f>IF($G1262=0,"",_xlfn.RANK.EQ($G1262,$G$2:$G$2353,0)+COUNTIF($G$2:G1262,$G1262)-1)</f>
        <v>828</v>
      </c>
    </row>
    <row r="1263" spans="6:8" x14ac:dyDescent="0.25">
      <c r="F1263" t="str">
        <f>"Monastery Swiftspear [Playset]"</f>
        <v>Monastery Swiftspear [Playset]</v>
      </c>
      <c r="G1263">
        <f>SUMIFS(Colección!$L$2:$L$10001,Colección!$F$2:$F$10001,$F1263,Colección!$M$2:$M$10001,"Compra")</f>
        <v>3.7129707112970709</v>
      </c>
      <c r="H1263">
        <f>IF($G1263=0,"",_xlfn.RANK.EQ($G1263,$G$2:$G$2353,0)+COUNTIF($G$2:G1263,$G1263)-1)</f>
        <v>1093</v>
      </c>
    </row>
    <row r="1264" spans="6:8" x14ac:dyDescent="0.25">
      <c r="F1264" t="str">
        <f>"Monet (OP05-036)"</f>
        <v>Monet (OP05-036)</v>
      </c>
      <c r="G1264">
        <f>SUMIFS(Colección!$L$2:$L$10001,Colección!$F$2:$F$10001,$F1264,Colección!$M$2:$M$10001,"Compra")</f>
        <v>6.7654260528893242E-2</v>
      </c>
      <c r="H1264">
        <f>IF($G1264=0,"",_xlfn.RANK.EQ($G1264,$G$2:$G$2353,0)+COUNTIF($G$2:G1264,$G1264)-1)</f>
        <v>2245</v>
      </c>
    </row>
    <row r="1265" spans="6:8" x14ac:dyDescent="0.25">
      <c r="F1265" t="str">
        <f>"Monk Token (White 1/1 Prowess)"</f>
        <v>Monk Token (White 1/1 Prowess)</v>
      </c>
      <c r="G1265">
        <f>SUMIFS(Colección!$L$2:$L$10001,Colección!$F$2:$F$10001,$F1265,Colección!$M$2:$M$10001,"Compra")</f>
        <v>1.7501415628539072</v>
      </c>
      <c r="H1265">
        <f>IF($G1265=0,"",_xlfn.RANK.EQ($G1265,$G$2:$G$2353,0)+COUNTIF($G$2:G1265,$G1265)-1)</f>
        <v>1414</v>
      </c>
    </row>
    <row r="1266" spans="6:8" x14ac:dyDescent="0.25">
      <c r="F1266" t="str">
        <f>"Monkey.D.Garp (OP03-014)"</f>
        <v>Monkey.D.Garp (OP03-014)</v>
      </c>
      <c r="G1266">
        <f>SUMIFS(Colección!$L$2:$L$10001,Colección!$F$2:$F$10001,$F1266,Colección!$M$2:$M$10001,"Compra")</f>
        <v>0.2855813953488372</v>
      </c>
      <c r="H1266">
        <f>IF($G1266=0,"",_xlfn.RANK.EQ($G1266,$G$2:$G$2353,0)+COUNTIF($G$2:G1266,$G1266)-1)</f>
        <v>2012</v>
      </c>
    </row>
    <row r="1267" spans="6:8" x14ac:dyDescent="0.25">
      <c r="F1267" t="str">
        <f>"Monkey.D.Garp (OP05-054)"</f>
        <v>Monkey.D.Garp (OP05-054)</v>
      </c>
      <c r="G1267">
        <f>SUMIFS(Colección!$L$2:$L$10001,Colección!$F$2:$F$10001,$F1267,Colección!$M$2:$M$10001,"Compra")</f>
        <v>9.4715964740450548E-2</v>
      </c>
      <c r="H1267">
        <f>IF($G1267=0,"",_xlfn.RANK.EQ($G1267,$G$2:$G$2353,0)+COUNTIF($G$2:G1267,$G1267)-1)</f>
        <v>2204</v>
      </c>
    </row>
    <row r="1268" spans="6:8" x14ac:dyDescent="0.25">
      <c r="F1268" t="str">
        <f>"Monkey.D.Luffy (OP01-024) (V.1)"</f>
        <v>Monkey.D.Luffy (OP01-024) (V.1)</v>
      </c>
      <c r="G1268">
        <f>SUMIFS(Colección!$L$2:$L$10001,Colección!$F$2:$F$10001,$F1268,Colección!$M$2:$M$10001,"Compra")</f>
        <v>1.069945355191257</v>
      </c>
      <c r="H1268">
        <f>IF($G1268=0,"",_xlfn.RANK.EQ($G1268,$G$2:$G$2353,0)+COUNTIF($G$2:G1268,$G1268)-1)</f>
        <v>1617</v>
      </c>
    </row>
    <row r="1269" spans="6:8" x14ac:dyDescent="0.25">
      <c r="F1269" t="str">
        <f>"Monkey.D.Luffy (OP02-062) (V.1)"</f>
        <v>Monkey.D.Luffy (OP02-062) (V.1)</v>
      </c>
      <c r="G1269">
        <f>SUMIFS(Colección!$L$2:$L$10001,Colección!$F$2:$F$10001,$F1269,Colección!$M$2:$M$10001,"Compra")</f>
        <v>1.069945355191257</v>
      </c>
      <c r="H1269">
        <f>IF($G1269=0,"",_xlfn.RANK.EQ($G1269,$G$2:$G$2353,0)+COUNTIF($G$2:G1269,$G1269)-1)</f>
        <v>1618</v>
      </c>
    </row>
    <row r="1270" spans="6:8" x14ac:dyDescent="0.25">
      <c r="F1270" t="str">
        <f>"Monkey.D.Luffy (OP03-070)"</f>
        <v>Monkey.D.Luffy (OP03-070)</v>
      </c>
      <c r="G1270">
        <f>SUMIFS(Colección!$L$2:$L$10001,Colección!$F$2:$F$10001,$F1270,Colección!$M$2:$M$10001,"Compra")</f>
        <v>0.40457364341085272</v>
      </c>
      <c r="H1270">
        <f>IF($G1270=0,"",_xlfn.RANK.EQ($G1270,$G$2:$G$2353,0)+COUNTIF($G$2:G1270,$G1270)-1)</f>
        <v>1954</v>
      </c>
    </row>
    <row r="1271" spans="6:8" x14ac:dyDescent="0.25">
      <c r="F1271" t="str">
        <f>"Monkey.D.Luffy (OP04-014)"</f>
        <v>Monkey.D.Luffy (OP04-014)</v>
      </c>
      <c r="G1271">
        <f>SUMIFS(Colección!$L$2:$L$10001,Colección!$F$2:$F$10001,$F1271,Colección!$M$2:$M$10001,"Compra")</f>
        <v>6.1898734177215198E-2</v>
      </c>
      <c r="H1271">
        <f>IF($G1271=0,"",_xlfn.RANK.EQ($G1271,$G$2:$G$2353,0)+COUNTIF($G$2:G1271,$G1271)-1)</f>
        <v>2287</v>
      </c>
    </row>
    <row r="1272" spans="6:8" x14ac:dyDescent="0.25">
      <c r="F1272" t="str">
        <f>"Monkey.D.Luffy (OP04-090) (V.1)"</f>
        <v>Monkey.D.Luffy (OP04-090) (V.1)</v>
      </c>
      <c r="G1272">
        <f>SUMIFS(Colección!$L$2:$L$10001,Colección!$F$2:$F$10001,$F1272,Colección!$M$2:$M$10001,"Compra")</f>
        <v>3.43745247148289</v>
      </c>
      <c r="H1272">
        <f>IF($G1272=0,"",_xlfn.RANK.EQ($G1272,$G$2:$G$2353,0)+COUNTIF($G$2:G1272,$G1272)-1)</f>
        <v>1131</v>
      </c>
    </row>
    <row r="1273" spans="6:8" x14ac:dyDescent="0.25">
      <c r="F1273" t="str">
        <f>"Monkey.D.Luffy (OP05-060) (V.1)"</f>
        <v>Monkey.D.Luffy (OP05-060) (V.1)</v>
      </c>
      <c r="G1273">
        <f>SUMIFS(Colección!$L$2:$L$10001,Colección!$F$2:$F$10001,$F1273,Colección!$M$2:$M$10001,"Compra")</f>
        <v>6.7654260528893242E-2</v>
      </c>
      <c r="H1273">
        <f>IF($G1273=0,"",_xlfn.RANK.EQ($G1273,$G$2:$G$2353,0)+COUNTIF($G$2:G1273,$G1273)-1)</f>
        <v>2246</v>
      </c>
    </row>
    <row r="1274" spans="6:8" x14ac:dyDescent="0.25">
      <c r="F1274" t="str">
        <f>"Monkey.D.Luffy (OP05-119) (V.1)"</f>
        <v>Monkey.D.Luffy (OP05-119) (V.1)</v>
      </c>
      <c r="G1274">
        <f>SUMIFS(Colección!$L$2:$L$10001,Colección!$F$2:$F$10001,$F1274,Colección!$M$2:$M$10001,"Compra")</f>
        <v>21.78</v>
      </c>
      <c r="H1274">
        <f>IF($G1274=0,"",_xlfn.RANK.EQ($G1274,$G$2:$G$2353,0)+COUNTIF($G$2:G1274,$G1274)-1)</f>
        <v>364</v>
      </c>
    </row>
    <row r="1275" spans="6:8" x14ac:dyDescent="0.25">
      <c r="F1275" t="str">
        <f>"Monster Role / Sorcerer Role Token"</f>
        <v>Monster Role / Sorcerer Role Token</v>
      </c>
      <c r="G1275">
        <f>SUMIFS(Colección!$L$2:$L$10001,Colección!$F$2:$F$10001,$F1275,Colección!$M$2:$M$10001,"Compra")</f>
        <v>0.15064851881505209</v>
      </c>
      <c r="H1275">
        <f>IF($G1275=0,"",_xlfn.RANK.EQ($G1275,$G$2:$G$2353,0)+COUNTIF($G$2:G1275,$G1275)-1)</f>
        <v>2117</v>
      </c>
    </row>
    <row r="1276" spans="6:8" x14ac:dyDescent="0.25">
      <c r="F1276" t="str">
        <f>"Monstrous Rage"</f>
        <v>Monstrous Rage</v>
      </c>
      <c r="G1276">
        <f>SUMIFS(Colección!$L$2:$L$10001,Colección!$F$2:$F$10001,$F1276,Colección!$M$2:$M$10001,"Compra")</f>
        <v>1.209586905689789</v>
      </c>
      <c r="H1276">
        <f>IF($G1276=0,"",_xlfn.RANK.EQ($G1276,$G$2:$G$2353,0)+COUNTIF($G$2:G1276,$G1276)-1)</f>
        <v>1562</v>
      </c>
    </row>
    <row r="1277" spans="6:8" x14ac:dyDescent="0.25">
      <c r="F1277" t="str">
        <f>"Monument to Endurance"</f>
        <v>Monument to Endurance</v>
      </c>
      <c r="G1277">
        <f>SUMIFS(Colección!$L$2:$L$10001,Colección!$F$2:$F$10001,$F1277,Colección!$M$2:$M$10001,"Compra")</f>
        <v>31.93</v>
      </c>
      <c r="H1277">
        <f>IF($G1277=0,"",_xlfn.RANK.EQ($G1277,$G$2:$G$2353,0)+COUNTIF($G$2:G1277,$G1277)-1)</f>
        <v>265</v>
      </c>
    </row>
    <row r="1278" spans="6:8" x14ac:dyDescent="0.25">
      <c r="F1278" t="str">
        <f>"Monumental Henge"</f>
        <v>Monumental Henge</v>
      </c>
      <c r="G1278">
        <f>SUMIFS(Colección!$L$2:$L$10001,Colección!$F$2:$F$10001,$F1278,Colección!$M$2:$M$10001,"Compra")</f>
        <v>1.5938461538461539</v>
      </c>
      <c r="H1278">
        <f>IF($G1278=0,"",_xlfn.RANK.EQ($G1278,$G$2:$G$2353,0)+COUNTIF($G$2:G1278,$G1278)-1)</f>
        <v>1463</v>
      </c>
    </row>
    <row r="1279" spans="6:8" x14ac:dyDescent="0.25">
      <c r="F1279" t="str">
        <f>"Moon-Circuit Hacker"</f>
        <v>Moon-Circuit Hacker</v>
      </c>
      <c r="G1279">
        <f>SUMIFS(Colección!$L$2:$L$10001,Colección!$F$2:$F$10001,$F1279,Colección!$M$2:$M$10001,"Compra")</f>
        <v>0.63744372186093035</v>
      </c>
      <c r="H1279">
        <f>IF($G1279=0,"",_xlfn.RANK.EQ($G1279,$G$2:$G$2353,0)+COUNTIF($G$2:G1279,$G1279)-1)</f>
        <v>1805</v>
      </c>
    </row>
    <row r="1280" spans="6:8" x14ac:dyDescent="0.25">
      <c r="F1280" t="str">
        <f>"Moonfall"</f>
        <v>Moonfall</v>
      </c>
      <c r="G1280">
        <f>SUMIFS(Colección!$L$2:$L$10001,Colección!$F$2:$F$10001,$F1280,Colección!$M$2:$M$10001,"Compra")</f>
        <v>73.12</v>
      </c>
      <c r="H1280">
        <f>IF($G1280=0,"",_xlfn.RANK.EQ($G1280,$G$2:$G$2353,0)+COUNTIF($G$2:G1280,$G1280)-1)</f>
        <v>110</v>
      </c>
    </row>
    <row r="1281" spans="6:8" x14ac:dyDescent="0.25">
      <c r="F1281" t="str">
        <f>"Morgan (P-026)"</f>
        <v>Morgan (P-026)</v>
      </c>
      <c r="G1281">
        <f>SUMIFS(Colección!$L$2:$L$10001,Colección!$F$2:$F$10001,$F1281,Colección!$M$2:$M$10001,"Compra")</f>
        <v>0.29748062015503868</v>
      </c>
      <c r="H1281">
        <f>IF($G1281=0,"",_xlfn.RANK.EQ($G1281,$G$2:$G$2353,0)+COUNTIF($G$2:G1281,$G1281)-1)</f>
        <v>2002</v>
      </c>
    </row>
    <row r="1282" spans="6:8" x14ac:dyDescent="0.25">
      <c r="F1282" t="str">
        <f>"Moria Marauder"</f>
        <v>Moria Marauder</v>
      </c>
      <c r="G1282">
        <f>SUMIFS(Colección!$L$2:$L$10001,Colección!$F$2:$F$10001,$F1282,Colección!$M$2:$M$10001,"Compra")</f>
        <v>1.9517796908872569</v>
      </c>
      <c r="H1282">
        <f>IF($G1282=0,"",_xlfn.RANK.EQ($G1282,$G$2:$G$2353,0)+COUNTIF($G$2:G1282,$G1282)-1)</f>
        <v>1381</v>
      </c>
    </row>
    <row r="1283" spans="6:8" x14ac:dyDescent="0.25">
      <c r="F1283" t="str">
        <f>"Morley (OP05-016)"</f>
        <v>Morley (OP05-016)</v>
      </c>
      <c r="G1283">
        <f>SUMIFS(Colección!$L$2:$L$10001,Colección!$F$2:$F$10001,$F1283,Colección!$M$2:$M$10001,"Compra")</f>
        <v>0.16291028446389499</v>
      </c>
      <c r="H1283">
        <f>IF($G1283=0,"",_xlfn.RANK.EQ($G1283,$G$2:$G$2353,0)+COUNTIF($G$2:G1283,$G1283)-1)</f>
        <v>2112</v>
      </c>
    </row>
    <row r="1284" spans="6:8" x14ac:dyDescent="0.25">
      <c r="F1284" t="str">
        <f>"Mount Doom"</f>
        <v>Mount Doom</v>
      </c>
      <c r="G1284">
        <f>SUMIFS(Colección!$L$2:$L$10001,Colección!$F$2:$F$10001,$F1284,Colección!$M$2:$M$10001,"Compra")</f>
        <v>11.58</v>
      </c>
      <c r="H1284">
        <f>IF($G1284=0,"",_xlfn.RANK.EQ($G1284,$G$2:$G$2353,0)+COUNTIF($G$2:G1284,$G1284)-1)</f>
        <v>595</v>
      </c>
    </row>
    <row r="1285" spans="6:8" x14ac:dyDescent="0.25">
      <c r="F1285" t="str">
        <f>"Mountain"</f>
        <v>Mountain</v>
      </c>
      <c r="G1285">
        <f>SUMIFS(Colección!$L$2:$L$10001,Colección!$F$2:$F$10001,$F1285,Colección!$M$2:$M$10001,"Compra")</f>
        <v>63.71740397259093</v>
      </c>
      <c r="H1285">
        <f>IF($G1285=0,"",_xlfn.RANK.EQ($G1285,$G$2:$G$2353,0)+COUNTIF($G$2:G1285,$G1285)-1)</f>
        <v>130</v>
      </c>
    </row>
    <row r="1286" spans="6:8" x14ac:dyDescent="0.25">
      <c r="F1286" t="str">
        <f>"Mountain (V.1)"</f>
        <v>Mountain (V.1)</v>
      </c>
      <c r="G1286">
        <f>SUMIFS(Colección!$L$2:$L$10001,Colección!$F$2:$F$10001,$F1286,Colección!$M$2:$M$10001,"Compra")</f>
        <v>15.002202498690718</v>
      </c>
      <c r="H1286">
        <f>IF($G1286=0,"",_xlfn.RANK.EQ($G1286,$G$2:$G$2353,0)+COUNTIF($G$2:G1286,$G1286)-1)</f>
        <v>502</v>
      </c>
    </row>
    <row r="1287" spans="6:8" x14ac:dyDescent="0.25">
      <c r="F1287" t="str">
        <f>"Mountain (V.2)"</f>
        <v>Mountain (V.2)</v>
      </c>
      <c r="G1287">
        <f>SUMIFS(Colección!$L$2:$L$10001,Colección!$F$2:$F$10001,$F1287,Colección!$M$2:$M$10001,"Compra")</f>
        <v>21.596894390444398</v>
      </c>
      <c r="H1287">
        <f>IF($G1287=0,"",_xlfn.RANK.EQ($G1287,$G$2:$G$2353,0)+COUNTIF($G$2:G1287,$G1287)-1)</f>
        <v>365</v>
      </c>
    </row>
    <row r="1288" spans="6:8" x14ac:dyDescent="0.25">
      <c r="F1288" t="str">
        <f>"Mountain (V.3)"</f>
        <v>Mountain (V.3)</v>
      </c>
      <c r="G1288">
        <f>SUMIFS(Colección!$L$2:$L$10001,Colección!$F$2:$F$10001,$F1288,Colección!$M$2:$M$10001,"Compra")</f>
        <v>1.7001687185729106</v>
      </c>
      <c r="H1288">
        <f>IF($G1288=0,"",_xlfn.RANK.EQ($G1288,$G$2:$G$2353,0)+COUNTIF($G$2:G1288,$G1288)-1)</f>
        <v>1429</v>
      </c>
    </row>
    <row r="1289" spans="6:8" x14ac:dyDescent="0.25">
      <c r="F1289" t="str">
        <f>"Mountain (V.4)"</f>
        <v>Mountain (V.4)</v>
      </c>
      <c r="G1289">
        <f>SUMIFS(Colección!$L$2:$L$10001,Colección!$F$2:$F$10001,$F1289,Colección!$M$2:$M$10001,"Compra")</f>
        <v>1.359188432835821</v>
      </c>
      <c r="H1289">
        <f>IF($G1289=0,"",_xlfn.RANK.EQ($G1289,$G$2:$G$2353,0)+COUNTIF($G$2:G1289,$G1289)-1)</f>
        <v>1514</v>
      </c>
    </row>
    <row r="1290" spans="6:8" x14ac:dyDescent="0.25">
      <c r="F1290" t="str">
        <f>"Mox Amber (V.1)"</f>
        <v>Mox Amber (V.1)</v>
      </c>
      <c r="G1290">
        <f>SUMIFS(Colección!$L$2:$L$10001,Colección!$F$2:$F$10001,$F1290,Colección!$M$2:$M$10001,"Compra")</f>
        <v>95.224078711985698</v>
      </c>
      <c r="H1290">
        <f>IF($G1290=0,"",_xlfn.RANK.EQ($G1290,$G$2:$G$2353,0)+COUNTIF($G$2:G1290,$G1290)-1)</f>
        <v>81</v>
      </c>
    </row>
    <row r="1291" spans="6:8" x14ac:dyDescent="0.25">
      <c r="F1291" t="str">
        <f>"Mox Opal"</f>
        <v>Mox Opal</v>
      </c>
      <c r="G1291">
        <f>SUMIFS(Colección!$L$2:$L$10001,Colección!$F$2:$F$10001,$F1291,Colección!$M$2:$M$10001,"Compra")</f>
        <v>296.72727272727275</v>
      </c>
      <c r="H1291">
        <f>IF($G1291=0,"",_xlfn.RANK.EQ($G1291,$G$2:$G$2353,0)+COUNTIF($G$2:G1291,$G1291)-1)</f>
        <v>9</v>
      </c>
    </row>
    <row r="1292" spans="6:8" x14ac:dyDescent="0.25">
      <c r="F1292" t="str">
        <f>"Mozambia (OP05-053)"</f>
        <v>Mozambia (OP05-053)</v>
      </c>
      <c r="G1292">
        <f>SUMIFS(Colección!$L$2:$L$10001,Colección!$F$2:$F$10001,$F1292,Colección!$M$2:$M$10001,"Compra")</f>
        <v>4.0592556317335937E-2</v>
      </c>
      <c r="H1292">
        <f>IF($G1292=0,"",_xlfn.RANK.EQ($G1292,$G$2:$G$2353,0)+COUNTIF($G$2:G1292,$G1292)-1)</f>
        <v>2331</v>
      </c>
    </row>
    <row r="1293" spans="6:8" x14ac:dyDescent="0.25">
      <c r="F1293" t="str">
        <f>"Mr.1(Daz.Bonez) (OP05-075)"</f>
        <v>Mr.1(Daz.Bonez) (OP05-075)</v>
      </c>
      <c r="G1293">
        <f>SUMIFS(Colección!$L$2:$L$10001,Colección!$F$2:$F$10001,$F1293,Colección!$M$2:$M$10001,"Compra")</f>
        <v>9.4715964740450548E-2</v>
      </c>
      <c r="H1293">
        <f>IF($G1293=0,"",_xlfn.RANK.EQ($G1293,$G$2:$G$2353,0)+COUNTIF($G$2:G1293,$G1293)-1)</f>
        <v>2205</v>
      </c>
    </row>
    <row r="1294" spans="6:8" x14ac:dyDescent="0.25">
      <c r="F1294" t="str">
        <f>"Mr.3(Galdino) (OP04-070)"</f>
        <v>Mr.3(Galdino) (OP04-070)</v>
      </c>
      <c r="G1294">
        <f>SUMIFS(Colección!$L$2:$L$10001,Colección!$F$2:$F$10001,$F1294,Colección!$M$2:$M$10001,"Compra")</f>
        <v>6.1898734177215198E-2</v>
      </c>
      <c r="H1294">
        <f>IF($G1294=0,"",_xlfn.RANK.EQ($G1294,$G$2:$G$2353,0)+COUNTIF($G$2:G1294,$G1294)-1)</f>
        <v>2288</v>
      </c>
    </row>
    <row r="1295" spans="6:8" x14ac:dyDescent="0.25">
      <c r="F1295" t="str">
        <f>"Mr.4(Babe) (OP04-071)"</f>
        <v>Mr.4(Babe) (OP04-071)</v>
      </c>
      <c r="G1295">
        <f>SUMIFS(Colección!$L$2:$L$10001,Colección!$F$2:$F$10001,$F1295,Colección!$M$2:$M$10001,"Compra")</f>
        <v>2.5686746987951811E-2</v>
      </c>
      <c r="H1295">
        <f>IF($G1295=0,"",_xlfn.RANK.EQ($G1295,$G$2:$G$2353,0)+COUNTIF($G$2:G1295,$G1295)-1)</f>
        <v>2348</v>
      </c>
    </row>
    <row r="1296" spans="6:8" x14ac:dyDescent="0.25">
      <c r="F1296" t="str">
        <f>"Mr.5(Gem) (OP04-072) (V.1)"</f>
        <v>Mr.5(Gem) (OP04-072) (V.1)</v>
      </c>
      <c r="G1296">
        <f>SUMIFS(Colección!$L$2:$L$10001,Colección!$F$2:$F$10001,$F1296,Colección!$M$2:$M$10001,"Compra")</f>
        <v>9.2848101265822783E-2</v>
      </c>
      <c r="H1296">
        <f>IF($G1296=0,"",_xlfn.RANK.EQ($G1296,$G$2:$G$2353,0)+COUNTIF($G$2:G1296,$G1296)-1)</f>
        <v>2216</v>
      </c>
    </row>
    <row r="1297" spans="6:8" x14ac:dyDescent="0.25">
      <c r="F1297" t="str">
        <f>"Ms. All Sunday (OP01-079)"</f>
        <v>Ms. All Sunday (OP01-079)</v>
      </c>
      <c r="G1297">
        <f>SUMIFS(Colección!$L$2:$L$10001,Colección!$F$2:$F$10001,$F1297,Colección!$M$2:$M$10001,"Compra")</f>
        <v>0.1337431693989071</v>
      </c>
      <c r="H1297">
        <f>IF($G1297=0,"",_xlfn.RANK.EQ($G1297,$G$2:$G$2353,0)+COUNTIF($G$2:G1297,$G1297)-1)</f>
        <v>2147</v>
      </c>
    </row>
    <row r="1298" spans="6:8" x14ac:dyDescent="0.25">
      <c r="F1298" t="str">
        <f>"Murderous Cut"</f>
        <v>Murderous Cut</v>
      </c>
      <c r="G1298">
        <f>SUMIFS(Colección!$L$2:$L$10001,Colección!$F$2:$F$10001,$F1298,Colección!$M$2:$M$10001,"Compra")</f>
        <v>0.95168168168168177</v>
      </c>
      <c r="H1298">
        <f>IF($G1298=0,"",_xlfn.RANK.EQ($G1298,$G$2:$G$2353,0)+COUNTIF($G$2:G1298,$G1298)-1)</f>
        <v>1673</v>
      </c>
    </row>
    <row r="1299" spans="6:8" x14ac:dyDescent="0.25">
      <c r="F1299" t="str">
        <f>"Murktide Regent"</f>
        <v>Murktide Regent</v>
      </c>
      <c r="G1299">
        <f>SUMIFS(Colección!$L$2:$L$10001,Colección!$F$2:$F$10001,$F1299,Colección!$M$2:$M$10001,"Compra")</f>
        <v>60.78</v>
      </c>
      <c r="H1299">
        <f>IF($G1299=0,"",_xlfn.RANK.EQ($G1299,$G$2:$G$2353,0)+COUNTIF($G$2:G1299,$G1299)-1)</f>
        <v>141</v>
      </c>
    </row>
    <row r="1300" spans="6:8" x14ac:dyDescent="0.25">
      <c r="F1300" t="str">
        <f>"Murmuring Mystic"</f>
        <v>Murmuring Mystic</v>
      </c>
      <c r="G1300">
        <f>SUMIFS(Colección!$L$2:$L$10001,Colección!$F$2:$F$10001,$F1300,Colección!$M$2:$M$10001,"Compra")</f>
        <v>1.1011764705882352</v>
      </c>
      <c r="H1300">
        <f>IF($G1300=0,"",_xlfn.RANK.EQ($G1300,$G$2:$G$2353,0)+COUNTIF($G$2:G1300,$G1300)-1)</f>
        <v>1597</v>
      </c>
    </row>
    <row r="1301" spans="6:8" x14ac:dyDescent="0.25">
      <c r="F1301" t="str">
        <f>"Mutagenic Growth [Playset]"</f>
        <v>Mutagenic Growth [Playset]</v>
      </c>
      <c r="G1301">
        <f>SUMIFS(Colección!$L$2:$L$10001,Colección!$F$2:$F$10001,$F1301,Colección!$M$2:$M$10001,"Compra")</f>
        <v>16.707692307692309</v>
      </c>
      <c r="H1301">
        <f>IF($G1301=0,"",_xlfn.RANK.EQ($G1301,$G$2:$G$2353,0)+COUNTIF($G$2:G1301,$G1301)-1)</f>
        <v>460</v>
      </c>
    </row>
    <row r="1302" spans="6:8" x14ac:dyDescent="0.25">
      <c r="F1302" t="str">
        <f>"Mutated Mouser"</f>
        <v>Mutated Mouser</v>
      </c>
      <c r="G1302">
        <f>SUMIFS(Colección!$L$2:$L$10001,Colección!$F$2:$F$10001,$F1302,Colección!$M$2:$M$10001,"Compra")</f>
        <v>0.85901146131805162</v>
      </c>
      <c r="H1302">
        <f>IF($G1302=0,"",_xlfn.RANK.EQ($G1302,$G$2:$G$2353,0)+COUNTIF($G$2:G1302,$G1302)-1)</f>
        <v>1694</v>
      </c>
    </row>
    <row r="1303" spans="6:8" x14ac:dyDescent="0.25">
      <c r="F1303" t="str">
        <f>"Mutavault"</f>
        <v>Mutavault</v>
      </c>
      <c r="G1303">
        <f>SUMIFS(Colección!$L$2:$L$10001,Colección!$F$2:$F$10001,$F1303,Colección!$M$2:$M$10001,"Compra")</f>
        <v>50.239999999999995</v>
      </c>
      <c r="H1303">
        <f>IF($G1303=0,"",_xlfn.RANK.EQ($G1303,$G$2:$G$2353,0)+COUNTIF($G$2:G1303,$G1303)-1)</f>
        <v>173</v>
      </c>
    </row>
    <row r="1304" spans="6:8" x14ac:dyDescent="0.25">
      <c r="F1304" t="str">
        <f>"Mycosynth Lattice"</f>
        <v>Mycosynth Lattice</v>
      </c>
      <c r="G1304">
        <f>SUMIFS(Colección!$L$2:$L$10001,Colección!$F$2:$F$10001,$F1304,Colección!$M$2:$M$10001,"Compra")</f>
        <v>14.29</v>
      </c>
      <c r="H1304">
        <f>IF($G1304=0,"",_xlfn.RANK.EQ($G1304,$G$2:$G$2353,0)+COUNTIF($G$2:G1304,$G1304)-1)</f>
        <v>522</v>
      </c>
    </row>
    <row r="1305" spans="6:8" x14ac:dyDescent="0.25">
      <c r="F1305" t="str">
        <f>"Myr Enforcer"</f>
        <v>Myr Enforcer</v>
      </c>
      <c r="G1305">
        <f>SUMIFS(Colección!$L$2:$L$10001,Colección!$F$2:$F$10001,$F1305,Colección!$M$2:$M$10001,"Compra")</f>
        <v>10.447460317460319</v>
      </c>
      <c r="H1305">
        <f>IF($G1305=0,"",_xlfn.RANK.EQ($G1305,$G$2:$G$2353,0)+COUNTIF($G$2:G1305,$G1305)-1)</f>
        <v>651</v>
      </c>
    </row>
    <row r="1306" spans="6:8" x14ac:dyDescent="0.25">
      <c r="F1306" t="str">
        <f>"Mystic Forge"</f>
        <v>Mystic Forge</v>
      </c>
      <c r="G1306">
        <f>SUMIFS(Colección!$L$2:$L$10001,Colección!$F$2:$F$10001,$F1306,Colección!$M$2:$M$10001,"Compra")</f>
        <v>9.8181818181818183</v>
      </c>
      <c r="H1306">
        <f>IF($G1306=0,"",_xlfn.RANK.EQ($G1306,$G$2:$G$2353,0)+COUNTIF($G$2:G1306,$G1306)-1)</f>
        <v>673</v>
      </c>
    </row>
    <row r="1307" spans="6:8" x14ac:dyDescent="0.25">
      <c r="F1307" t="str">
        <f>"Mystic Gate"</f>
        <v>Mystic Gate</v>
      </c>
      <c r="G1307">
        <f>SUMIFS(Colección!$L$2:$L$10001,Colección!$F$2:$F$10001,$F1307,Colección!$M$2:$M$10001,"Compra")</f>
        <v>21.91549295774648</v>
      </c>
      <c r="H1307">
        <f>IF($G1307=0,"",_xlfn.RANK.EQ($G1307,$G$2:$G$2353,0)+COUNTIF($G$2:G1307,$G1307)-1)</f>
        <v>359</v>
      </c>
    </row>
    <row r="1308" spans="6:8" x14ac:dyDescent="0.25">
      <c r="F1308" t="str">
        <f>"Mystic Sanctuary"</f>
        <v>Mystic Sanctuary</v>
      </c>
      <c r="G1308">
        <f>SUMIFS(Colección!$L$2:$L$10001,Colección!$F$2:$F$10001,$F1308,Colección!$M$2:$M$10001,"Compra")</f>
        <v>0.37184217108554268</v>
      </c>
      <c r="H1308">
        <f>IF($G1308=0,"",_xlfn.RANK.EQ($G1308,$G$2:$G$2353,0)+COUNTIF($G$2:G1308,$G1308)-1)</f>
        <v>1970</v>
      </c>
    </row>
    <row r="1309" spans="6:8" x14ac:dyDescent="0.25">
      <c r="F1309" t="str">
        <f>"Mystical Archive: ""Brainstorm"" Playmat"</f>
        <v>Mystical Archive: "Brainstorm" Playmat</v>
      </c>
      <c r="G1309">
        <f>SUMIFS(Colección!$L$2:$L$10001,Colección!$F$2:$F$10001,$F1309,Colección!$M$2:$M$10001,"Compra")</f>
        <v>31.9</v>
      </c>
      <c r="H1309">
        <f>IF($G1309=0,"",_xlfn.RANK.EQ($G1309,$G$2:$G$2353,0)+COUNTIF($G$2:G1309,$G1309)-1)</f>
        <v>267</v>
      </c>
    </row>
    <row r="1310" spans="6:8" x14ac:dyDescent="0.25">
      <c r="F1310" t="str">
        <f>"Mystical Dispute"</f>
        <v>Mystical Dispute</v>
      </c>
      <c r="G1310">
        <f>SUMIFS(Colección!$L$2:$L$10001,Colección!$F$2:$F$10001,$F1310,Colección!$M$2:$M$10001,"Compra")</f>
        <v>10.278977399375439</v>
      </c>
      <c r="H1310">
        <f>IF($G1310=0,"",_xlfn.RANK.EQ($G1310,$G$2:$G$2353,0)+COUNTIF($G$2:G1310,$G1310)-1)</f>
        <v>656</v>
      </c>
    </row>
    <row r="1311" spans="6:8" x14ac:dyDescent="0.25">
      <c r="F1311" t="str">
        <f>"Mystical Dispute (V.2)"</f>
        <v>Mystical Dispute (V.2)</v>
      </c>
      <c r="G1311">
        <f>SUMIFS(Colección!$L$2:$L$10001,Colección!$F$2:$F$10001,$F1311,Colección!$M$2:$M$10001,"Compra")</f>
        <v>11.18</v>
      </c>
      <c r="H1311">
        <f>IF($G1311=0,"",_xlfn.RANK.EQ($G1311,$G$2:$G$2353,0)+COUNTIF($G$2:G1311,$G1311)-1)</f>
        <v>612</v>
      </c>
    </row>
    <row r="1312" spans="6:8" x14ac:dyDescent="0.25">
      <c r="F1312" t="str">
        <f>"Nadu, Winged Wisdom"</f>
        <v>Nadu, Winged Wisdom</v>
      </c>
      <c r="G1312">
        <f>SUMIFS(Colección!$L$2:$L$10001,Colección!$F$2:$F$10001,$F1312,Colección!$M$2:$M$10001,"Compra")</f>
        <v>129.45671191553544</v>
      </c>
      <c r="H1312">
        <f>IF($G1312=0,"",_xlfn.RANK.EQ($G1312,$G$2:$G$2353,0)+COUNTIF($G$2:G1312,$G1312)-1)</f>
        <v>50</v>
      </c>
    </row>
    <row r="1313" spans="6:8" x14ac:dyDescent="0.25">
      <c r="F1313" t="str">
        <f>"Nahiri, Storm of Stone"</f>
        <v>Nahiri, Storm of Stone</v>
      </c>
      <c r="G1313">
        <f>SUMIFS(Colección!$L$2:$L$10001,Colección!$F$2:$F$10001,$F1313,Colección!$M$2:$M$10001,"Compra")</f>
        <v>0.16363636363636361</v>
      </c>
      <c r="H1313">
        <f>IF($G1313=0,"",_xlfn.RANK.EQ($G1313,$G$2:$G$2353,0)+COUNTIF($G$2:G1313,$G1313)-1)</f>
        <v>2107</v>
      </c>
    </row>
    <row r="1314" spans="6:8" x14ac:dyDescent="0.25">
      <c r="F1314" t="str">
        <f>"Nahiri, the Unforgiving (V.2)"</f>
        <v>Nahiri, the Unforgiving (V.2)</v>
      </c>
      <c r="G1314">
        <f>SUMIFS(Colección!$L$2:$L$10001,Colección!$F$2:$F$10001,$F1314,Colección!$M$2:$M$10001,"Compra")</f>
        <v>16.444431599229286</v>
      </c>
      <c r="H1314">
        <f>IF($G1314=0,"",_xlfn.RANK.EQ($G1314,$G$2:$G$2353,0)+COUNTIF($G$2:G1314,$G1314)-1)</f>
        <v>469</v>
      </c>
    </row>
    <row r="1315" spans="6:8" x14ac:dyDescent="0.25">
      <c r="F1315" t="str">
        <f>"Nami (OP03-030)"</f>
        <v>Nami (OP03-030)</v>
      </c>
      <c r="G1315">
        <f>SUMIFS(Colección!$L$2:$L$10001,Colección!$F$2:$F$10001,$F1315,Colección!$M$2:$M$10001,"Compra")</f>
        <v>0.35697674418604652</v>
      </c>
      <c r="H1315">
        <f>IF($G1315=0,"",_xlfn.RANK.EQ($G1315,$G$2:$G$2353,0)+COUNTIF($G$2:G1315,$G1315)-1)</f>
        <v>1977</v>
      </c>
    </row>
    <row r="1316" spans="6:8" x14ac:dyDescent="0.25">
      <c r="F1316" t="str">
        <f>"Nami (OP03-040) (V.1)"</f>
        <v>Nami (OP03-040) (V.1)</v>
      </c>
      <c r="G1316">
        <f>SUMIFS(Colección!$L$2:$L$10001,Colección!$F$2:$F$10001,$F1316,Colección!$M$2:$M$10001,"Compra")</f>
        <v>0.47596899224806211</v>
      </c>
      <c r="H1316">
        <f>IF($G1316=0,"",_xlfn.RANK.EQ($G1316,$G$2:$G$2353,0)+COUNTIF($G$2:G1316,$G1316)-1)</f>
        <v>1897</v>
      </c>
    </row>
    <row r="1317" spans="6:8" x14ac:dyDescent="0.25">
      <c r="F1317" t="str">
        <f>"Nami (OP04-011)"</f>
        <v>Nami (OP04-011)</v>
      </c>
      <c r="G1317">
        <f>SUMIFS(Colección!$L$2:$L$10001,Colección!$F$2:$F$10001,$F1317,Colección!$M$2:$M$10001,"Compra")</f>
        <v>6.1898734177215198E-2</v>
      </c>
      <c r="H1317">
        <f>IF($G1317=0,"",_xlfn.RANK.EQ($G1317,$G$2:$G$2353,0)+COUNTIF($G$2:G1317,$G1317)-1)</f>
        <v>2289</v>
      </c>
    </row>
    <row r="1318" spans="6:8" x14ac:dyDescent="0.25">
      <c r="F1318" t="str">
        <f>"Namule (OP03-007)"</f>
        <v>Namule (OP03-007)</v>
      </c>
      <c r="G1318">
        <f>SUMIFS(Colección!$L$2:$L$10001,Colección!$F$2:$F$10001,$F1318,Colección!$M$2:$M$10001,"Compra")</f>
        <v>0.1427906976744186</v>
      </c>
      <c r="H1318">
        <f>IF($G1318=0,"",_xlfn.RANK.EQ($G1318,$G$2:$G$2353,0)+COUNTIF($G$2:G1318,$G1318)-1)</f>
        <v>2124</v>
      </c>
    </row>
    <row r="1319" spans="6:8" x14ac:dyDescent="0.25">
      <c r="F1319" t="str">
        <f>"Nantuko Shade"</f>
        <v>Nantuko Shade</v>
      </c>
      <c r="G1319">
        <f>SUMIFS(Colección!$L$2:$L$10001,Colección!$F$2:$F$10001,$F1319,Colección!$M$2:$M$10001,"Compra")</f>
        <v>27</v>
      </c>
      <c r="H1319">
        <f>IF($G1319=0,"",_xlfn.RANK.EQ($G1319,$G$2:$G$2353,0)+COUNTIF($G$2:G1319,$G1319)-1)</f>
        <v>294</v>
      </c>
    </row>
    <row r="1320" spans="6:8" x14ac:dyDescent="0.25">
      <c r="F1320" t="str">
        <f>"Napoleon (OP03-117)"</f>
        <v>Napoleon (OP03-117)</v>
      </c>
      <c r="G1320">
        <f>SUMIFS(Colección!$L$2:$L$10001,Colección!$F$2:$F$10001,$F1320,Colección!$M$2:$M$10001,"Compra")</f>
        <v>0.22608527131782949</v>
      </c>
      <c r="H1320">
        <f>IF($G1320=0,"",_xlfn.RANK.EQ($G1320,$G$2:$G$2353,0)+COUNTIF($G$2:G1320,$G1320)-1)</f>
        <v>2066</v>
      </c>
    </row>
    <row r="1321" spans="6:8" x14ac:dyDescent="0.25">
      <c r="F1321" t="str">
        <f>"Narcomoeba"</f>
        <v>Narcomoeba</v>
      </c>
      <c r="G1321">
        <f>SUMIFS(Colección!$L$2:$L$10001,Colección!$F$2:$F$10001,$F1321,Colección!$M$2:$M$10001,"Compra")</f>
        <v>11.454941373534336</v>
      </c>
      <c r="H1321">
        <f>IF($G1321=0,"",_xlfn.RANK.EQ($G1321,$G$2:$G$2353,0)+COUNTIF($G$2:G1321,$G1321)-1)</f>
        <v>598</v>
      </c>
    </row>
    <row r="1322" spans="6:8" x14ac:dyDescent="0.25">
      <c r="F1322" t="str">
        <f>"Narset's Reversal"</f>
        <v>Narset's Reversal</v>
      </c>
      <c r="G1322">
        <f>SUMIFS(Colección!$L$2:$L$10001,Colección!$F$2:$F$10001,$F1322,Colección!$M$2:$M$10001,"Compra")</f>
        <v>3.6103669724770642</v>
      </c>
      <c r="H1322">
        <f>IF($G1322=0,"",_xlfn.RANK.EQ($G1322,$G$2:$G$2353,0)+COUNTIF($G$2:G1322,$G1322)-1)</f>
        <v>1101</v>
      </c>
    </row>
    <row r="1323" spans="6:8" x14ac:dyDescent="0.25">
      <c r="F1323" t="str">
        <f>"Narset, Jeskai Waymaster"</f>
        <v>Narset, Jeskai Waymaster</v>
      </c>
      <c r="G1323">
        <f>SUMIFS(Colección!$L$2:$L$10001,Colección!$F$2:$F$10001,$F1323,Colección!$M$2:$M$10001,"Compra")</f>
        <v>2.1018280739934712</v>
      </c>
      <c r="H1323">
        <f>IF($G1323=0,"",_xlfn.RANK.EQ($G1323,$G$2:$G$2353,0)+COUNTIF($G$2:G1323,$G1323)-1)</f>
        <v>1343</v>
      </c>
    </row>
    <row r="1324" spans="6:8" x14ac:dyDescent="0.25">
      <c r="F1324" t="str">
        <f>"Narset, Jeskai Waymaster (V.2)"</f>
        <v>Narset, Jeskai Waymaster (V.2)</v>
      </c>
      <c r="G1324">
        <f>SUMIFS(Colección!$L$2:$L$10001,Colección!$F$2:$F$10001,$F1324,Colección!$M$2:$M$10001,"Compra")</f>
        <v>31.07</v>
      </c>
      <c r="H1324">
        <f>IF($G1324=0,"",_xlfn.RANK.EQ($G1324,$G$2:$G$2353,0)+COUNTIF($G$2:G1324,$G1324)-1)</f>
        <v>270</v>
      </c>
    </row>
    <row r="1325" spans="6:8" x14ac:dyDescent="0.25">
      <c r="F1325" t="str">
        <f>"Narset, Parter of Veils"</f>
        <v>Narset, Parter of Veils</v>
      </c>
      <c r="G1325">
        <f>SUMIFS(Colección!$L$2:$L$10001,Colección!$F$2:$F$10001,$F1325,Colección!$M$2:$M$10001,"Compra")</f>
        <v>111.47673873952743</v>
      </c>
      <c r="H1325">
        <f>IF($G1325=0,"",_xlfn.RANK.EQ($G1325,$G$2:$G$2353,0)+COUNTIF($G$2:G1325,$G1325)-1)</f>
        <v>65</v>
      </c>
    </row>
    <row r="1326" spans="6:8" x14ac:dyDescent="0.25">
      <c r="F1326" t="str">
        <f>"Naturalize"</f>
        <v>Naturalize</v>
      </c>
      <c r="G1326">
        <f>SUMIFS(Colección!$L$2:$L$10001,Colección!$F$2:$F$10001,$F1326,Colección!$M$2:$M$10001,"Compra")</f>
        <v>5.2839639639639628</v>
      </c>
      <c r="H1326">
        <f>IF($G1326=0,"",_xlfn.RANK.EQ($G1326,$G$2:$G$2353,0)+COUNTIF($G$2:G1326,$G1326)-1)</f>
        <v>947</v>
      </c>
    </row>
    <row r="1327" spans="6:8" x14ac:dyDescent="0.25">
      <c r="F1327" t="str">
        <f>"Nature's Claim"</f>
        <v>Nature's Claim</v>
      </c>
      <c r="G1327">
        <f>SUMIFS(Colección!$L$2:$L$10001,Colección!$F$2:$F$10001,$F1327,Colección!$M$2:$M$10001,"Compra")</f>
        <v>2.1957671957671958</v>
      </c>
      <c r="H1327">
        <f>IF($G1327=0,"",_xlfn.RANK.EQ($G1327,$G$2:$G$2353,0)+COUNTIF($G$2:G1327,$G1327)-1)</f>
        <v>1315</v>
      </c>
    </row>
    <row r="1328" spans="6:8" x14ac:dyDescent="0.25">
      <c r="F1328" t="str">
        <f>"Navigator's Compass"</f>
        <v>Navigator's Compass</v>
      </c>
      <c r="G1328">
        <f>SUMIFS(Colección!$L$2:$L$10001,Colección!$F$2:$F$10001,$F1328,Colección!$M$2:$M$10001,"Compra")</f>
        <v>1.3022727272727272</v>
      </c>
      <c r="H1328">
        <f>IF($G1328=0,"",_xlfn.RANK.EQ($G1328,$G$2:$G$2353,0)+COUNTIF($G$2:G1328,$G1328)-1)</f>
        <v>1543</v>
      </c>
    </row>
    <row r="1329" spans="6:8" x14ac:dyDescent="0.25">
      <c r="F1329" t="str">
        <f>"Nazgûl (V.2)"</f>
        <v>Nazgûl (V.2)</v>
      </c>
      <c r="G1329">
        <f>SUMIFS(Colección!$L$2:$L$10001,Colección!$F$2:$F$10001,$F1329,Colección!$M$2:$M$10001,"Compra")</f>
        <v>8.0727272727272723</v>
      </c>
      <c r="H1329">
        <f>IF($G1329=0,"",_xlfn.RANK.EQ($G1329,$G$2:$G$2353,0)+COUNTIF($G$2:G1329,$G1329)-1)</f>
        <v>745</v>
      </c>
    </row>
    <row r="1330" spans="6:8" x14ac:dyDescent="0.25">
      <c r="F1330" t="str">
        <f>"Nazgûl (V.4)"</f>
        <v>Nazgûl (V.4)</v>
      </c>
      <c r="G1330">
        <f>SUMIFS(Colección!$L$2:$L$10001,Colección!$F$2:$F$10001,$F1330,Colección!$M$2:$M$10001,"Compra")</f>
        <v>13.370230094959821</v>
      </c>
      <c r="H1330">
        <f>IF($G1330=0,"",_xlfn.RANK.EQ($G1330,$G$2:$G$2353,0)+COUNTIF($G$2:G1330,$G1330)-1)</f>
        <v>540</v>
      </c>
    </row>
    <row r="1331" spans="6:8" x14ac:dyDescent="0.25">
      <c r="F1331" t="str">
        <f>"Nazgûl (V.6)"</f>
        <v>Nazgûl (V.6)</v>
      </c>
      <c r="G1331">
        <f>SUMIFS(Colección!$L$2:$L$10001,Colección!$F$2:$F$10001,$F1331,Colección!$M$2:$M$10001,"Compra")</f>
        <v>12.15364864864865</v>
      </c>
      <c r="H1331">
        <f>IF($G1331=0,"",_xlfn.RANK.EQ($G1331,$G$2:$G$2353,0)+COUNTIF($G$2:G1331,$G1331)-1)</f>
        <v>576</v>
      </c>
    </row>
    <row r="1332" spans="6:8" x14ac:dyDescent="0.25">
      <c r="F1332" t="str">
        <f>"Necrodominance"</f>
        <v>Necrodominance</v>
      </c>
      <c r="G1332">
        <f>SUMIFS(Colección!$L$2:$L$10001,Colección!$F$2:$F$10001,$F1332,Colección!$M$2:$M$10001,"Compra")</f>
        <v>100.72070687668077</v>
      </c>
      <c r="H1332">
        <f>IF($G1332=0,"",_xlfn.RANK.EQ($G1332,$G$2:$G$2353,0)+COUNTIF($G$2:G1332,$G1332)-1)</f>
        <v>74</v>
      </c>
    </row>
    <row r="1333" spans="6:8" x14ac:dyDescent="0.25">
      <c r="F1333" t="str">
        <f>"Necromentia"</f>
        <v>Necromentia</v>
      </c>
      <c r="G1333">
        <f>SUMIFS(Colección!$L$2:$L$10001,Colección!$F$2:$F$10001,$F1333,Colección!$M$2:$M$10001,"Compra")</f>
        <v>0.48571428571428571</v>
      </c>
      <c r="H1333">
        <f>IF($G1333=0,"",_xlfn.RANK.EQ($G1333,$G$2:$G$2353,0)+COUNTIF($G$2:G1333,$G1333)-1)</f>
        <v>1889</v>
      </c>
    </row>
    <row r="1334" spans="6:8" x14ac:dyDescent="0.25">
      <c r="F1334" t="str">
        <f>"Necromentia (V.1)"</f>
        <v>Necromentia (V.1)</v>
      </c>
      <c r="G1334">
        <f>SUMIFS(Colección!$L$2:$L$10001,Colección!$F$2:$F$10001,$F1334,Colección!$M$2:$M$10001,"Compra")</f>
        <v>0.56666666666666665</v>
      </c>
      <c r="H1334">
        <f>IF($G1334=0,"",_xlfn.RANK.EQ($G1334,$G$2:$G$2353,0)+COUNTIF($G$2:G1334,$G1334)-1)</f>
        <v>1845</v>
      </c>
    </row>
    <row r="1335" spans="6:8" x14ac:dyDescent="0.25">
      <c r="F1335" t="str">
        <f>"Necroplasm"</f>
        <v>Necroplasm</v>
      </c>
      <c r="G1335">
        <f>SUMIFS(Colección!$L$2:$L$10001,Colección!$F$2:$F$10001,$F1335,Colección!$M$2:$M$10001,"Compra")</f>
        <v>0.55626205191594558</v>
      </c>
      <c r="H1335">
        <f>IF($G1335=0,"",_xlfn.RANK.EQ($G1335,$G$2:$G$2353,0)+COUNTIF($G$2:G1335,$G1335)-1)</f>
        <v>1849</v>
      </c>
    </row>
    <row r="1336" spans="6:8" x14ac:dyDescent="0.25">
      <c r="F1336" t="str">
        <f>"Needleverge Pathway // Pillarverge Pathway"</f>
        <v>Needleverge Pathway // Pillarverge Pathway</v>
      </c>
      <c r="G1336">
        <f>SUMIFS(Colección!$L$2:$L$10001,Colección!$F$2:$F$10001,$F1336,Colección!$M$2:$M$10001,"Compra")</f>
        <v>19.447710843373493</v>
      </c>
      <c r="H1336">
        <f>IF($G1336=0,"",_xlfn.RANK.EQ($G1336,$G$2:$G$2353,0)+COUNTIF($G$2:G1336,$G1336)-1)</f>
        <v>405</v>
      </c>
    </row>
    <row r="1337" spans="6:8" x14ac:dyDescent="0.25">
      <c r="F1337" t="str">
        <f>"Nefeltari Cobra (OP04-012)"</f>
        <v>Nefeltari Cobra (OP04-012)</v>
      </c>
      <c r="G1337">
        <f>SUMIFS(Colección!$L$2:$L$10001,Colección!$F$2:$F$10001,$F1337,Colección!$M$2:$M$10001,"Compra")</f>
        <v>6.1898734177215198E-2</v>
      </c>
      <c r="H1337">
        <f>IF($G1337=0,"",_xlfn.RANK.EQ($G1337,$G$2:$G$2353,0)+COUNTIF($G$2:G1337,$G1337)-1)</f>
        <v>2290</v>
      </c>
    </row>
    <row r="1338" spans="6:8" x14ac:dyDescent="0.25">
      <c r="F1338" t="str">
        <f>"Nefeltari Cobra (OP05-085)"</f>
        <v>Nefeltari Cobra (OP05-085)</v>
      </c>
      <c r="G1338">
        <f>SUMIFS(Colección!$L$2:$L$10001,Colección!$F$2:$F$10001,$F1338,Colección!$M$2:$M$10001,"Compra")</f>
        <v>6.7654260528893242E-2</v>
      </c>
      <c r="H1338">
        <f>IF($G1338=0,"",_xlfn.RANK.EQ($G1338,$G$2:$G$2353,0)+COUNTIF($G$2:G1338,$G1338)-1)</f>
        <v>2247</v>
      </c>
    </row>
    <row r="1339" spans="6:8" x14ac:dyDescent="0.25">
      <c r="F1339" t="str">
        <f>"Nefeltari Vivi (OP04-001) (V.1)"</f>
        <v>Nefeltari Vivi (OP04-001) (V.1)</v>
      </c>
      <c r="G1339">
        <f>SUMIFS(Colección!$L$2:$L$10001,Colección!$F$2:$F$10001,$F1339,Colección!$M$2:$M$10001,"Compra")</f>
        <v>6.1898734177215198E-2</v>
      </c>
      <c r="H1339">
        <f>IF($G1339=0,"",_xlfn.RANK.EQ($G1339,$G$2:$G$2353,0)+COUNTIF($G$2:G1339,$G1339)-1)</f>
        <v>2291</v>
      </c>
    </row>
    <row r="1340" spans="6:8" x14ac:dyDescent="0.25">
      <c r="F1340" t="str">
        <f>"Nefeltari Vivi (OP05-086)"</f>
        <v>Nefeltari Vivi (OP05-086)</v>
      </c>
      <c r="G1340">
        <f>SUMIFS(Colección!$L$2:$L$10001,Colección!$F$2:$F$10001,$F1340,Colección!$M$2:$M$10001,"Compra")</f>
        <v>0.20296278158667971</v>
      </c>
      <c r="H1340">
        <f>IF($G1340=0,"",_xlfn.RANK.EQ($G1340,$G$2:$G$2353,0)+COUNTIF($G$2:G1340,$G1340)-1)</f>
        <v>2090</v>
      </c>
    </row>
    <row r="1341" spans="6:8" x14ac:dyDescent="0.25">
      <c r="F1341" t="str">
        <f>"Negate"</f>
        <v>Negate</v>
      </c>
      <c r="G1341">
        <f>SUMIFS(Colección!$L$2:$L$10001,Colección!$F$2:$F$10001,$F1341,Colección!$M$2:$M$10001,"Compra")</f>
        <v>0.23554216867469879</v>
      </c>
      <c r="H1341">
        <f>IF($G1341=0,"",_xlfn.RANK.EQ($G1341,$G$2:$G$2353,0)+COUNTIF($G$2:G1341,$G1341)-1)</f>
        <v>2052</v>
      </c>
    </row>
    <row r="1342" spans="6:8" x14ac:dyDescent="0.25">
      <c r="F1342" t="str">
        <f>"Nero (OP03-087)"</f>
        <v>Nero (OP03-087)</v>
      </c>
      <c r="G1342">
        <f>SUMIFS(Colección!$L$2:$L$10001,Colección!$F$2:$F$10001,$F1342,Colección!$M$2:$M$10001,"Compra")</f>
        <v>9.5193798449612399E-2</v>
      </c>
      <c r="H1342">
        <f>IF($G1342=0,"",_xlfn.RANK.EQ($G1342,$G$2:$G$2353,0)+COUNTIF($G$2:G1342,$G1342)-1)</f>
        <v>2186</v>
      </c>
    </row>
    <row r="1343" spans="6:8" x14ac:dyDescent="0.25">
      <c r="F1343" t="str">
        <f>"Nesting Bot"</f>
        <v>Nesting Bot</v>
      </c>
      <c r="G1343">
        <f>SUMIFS(Colección!$L$2:$L$10001,Colección!$F$2:$F$10001,$F1343,Colección!$M$2:$M$10001,"Compra")</f>
        <v>1.9668571428571429</v>
      </c>
      <c r="H1343">
        <f>IF($G1343=0,"",_xlfn.RANK.EQ($G1343,$G$2:$G$2353,0)+COUNTIF($G$2:G1343,$G1343)-1)</f>
        <v>1379</v>
      </c>
    </row>
    <row r="1344" spans="6:8" x14ac:dyDescent="0.25">
      <c r="F1344" t="str">
        <f>"Nettlecyst"</f>
        <v>Nettlecyst</v>
      </c>
      <c r="G1344">
        <f>SUMIFS(Colección!$L$2:$L$10001,Colección!$F$2:$F$10001,$F1344,Colección!$M$2:$M$10001,"Compra")</f>
        <v>2.2827838827838831</v>
      </c>
      <c r="H1344">
        <f>IF($G1344=0,"",_xlfn.RANK.EQ($G1344,$G$2:$G$2353,0)+COUNTIF($G$2:G1344,$G1344)-1)</f>
        <v>1291</v>
      </c>
    </row>
    <row r="1345" spans="6:8" x14ac:dyDescent="0.25">
      <c r="F1345" t="str">
        <f>"Nevermore"</f>
        <v>Nevermore</v>
      </c>
      <c r="G1345">
        <f>SUMIFS(Colección!$L$2:$L$10001,Colección!$F$2:$F$10001,$F1345,Colección!$M$2:$M$10001,"Compra")</f>
        <v>1.25</v>
      </c>
      <c r="H1345">
        <f>IF($G1345=0,"",_xlfn.RANK.EQ($G1345,$G$2:$G$2353,0)+COUNTIF($G$2:G1345,$G1345)-1)</f>
        <v>1556</v>
      </c>
    </row>
    <row r="1346" spans="6:8" x14ac:dyDescent="0.25">
      <c r="F1346" t="str">
        <f>"Nez-Palm Cannon (OP04-075)"</f>
        <v>Nez-Palm Cannon (OP04-075)</v>
      </c>
      <c r="G1346">
        <f>SUMIFS(Colección!$L$2:$L$10001,Colección!$F$2:$F$10001,$F1346,Colección!$M$2:$M$10001,"Compra")</f>
        <v>6.1898734177215198E-2</v>
      </c>
      <c r="H1346">
        <f>IF($G1346=0,"",_xlfn.RANK.EQ($G1346,$G$2:$G$2353,0)+COUNTIF($G$2:G1346,$G1346)-1)</f>
        <v>2292</v>
      </c>
    </row>
    <row r="1347" spans="6:8" x14ac:dyDescent="0.25">
      <c r="F1347" t="str">
        <f>"Nico Robin (OP05-010)"</f>
        <v>Nico Robin (OP05-010)</v>
      </c>
      <c r="G1347">
        <f>SUMIFS(Colección!$L$2:$L$10001,Colección!$F$2:$F$10001,$F1347,Colección!$M$2:$M$10001,"Compra")</f>
        <v>0.13530852105778651</v>
      </c>
      <c r="H1347">
        <f>IF($G1347=0,"",_xlfn.RANK.EQ($G1347,$G$2:$G$2353,0)+COUNTIF($G$2:G1347,$G1347)-1)</f>
        <v>2134</v>
      </c>
    </row>
    <row r="1348" spans="6:8" x14ac:dyDescent="0.25">
      <c r="F1348" t="str">
        <f>"Nicol Bolas, Dragon-God"</f>
        <v>Nicol Bolas, Dragon-God</v>
      </c>
      <c r="G1348">
        <f>SUMIFS(Colección!$L$2:$L$10001,Colección!$F$2:$F$10001,$F1348,Colección!$M$2:$M$10001,"Compra")</f>
        <v>2.1818181818181821</v>
      </c>
      <c r="H1348">
        <f>IF($G1348=0,"",_xlfn.RANK.EQ($G1348,$G$2:$G$2353,0)+COUNTIF($G$2:G1348,$G1348)-1)</f>
        <v>1322</v>
      </c>
    </row>
    <row r="1349" spans="6:8" x14ac:dyDescent="0.25">
      <c r="F1349" t="str">
        <f>"Night of Souls' Betrayal"</f>
        <v>Night of Souls' Betrayal</v>
      </c>
      <c r="G1349">
        <f>SUMIFS(Colección!$L$2:$L$10001,Colección!$F$2:$F$10001,$F1349,Colección!$M$2:$M$10001,"Compra")</f>
        <v>2.23</v>
      </c>
      <c r="H1349">
        <f>IF($G1349=0,"",_xlfn.RANK.EQ($G1349,$G$2:$G$2353,0)+COUNTIF($G$2:G1349,$G1349)-1)</f>
        <v>1303</v>
      </c>
    </row>
    <row r="1350" spans="6:8" x14ac:dyDescent="0.25">
      <c r="F1350" t="str">
        <f>"Night's Whisper"</f>
        <v>Night's Whisper</v>
      </c>
      <c r="G1350">
        <f>SUMIFS(Colección!$L$2:$L$10001,Colección!$F$2:$F$10001,$F1350,Colección!$M$2:$M$10001,"Compra")</f>
        <v>4.2442019950124683</v>
      </c>
      <c r="H1350">
        <f>IF($G1350=0,"",_xlfn.RANK.EQ($G1350,$G$2:$G$2353,0)+COUNTIF($G$2:G1350,$G1350)-1)</f>
        <v>1039</v>
      </c>
    </row>
    <row r="1351" spans="6:8" x14ac:dyDescent="0.25">
      <c r="F1351" t="str">
        <f>"Nihil Spellbomb"</f>
        <v>Nihil Spellbomb</v>
      </c>
      <c r="G1351">
        <f>SUMIFS(Colección!$L$2:$L$10001,Colección!$F$2:$F$10001,$F1351,Colección!$M$2:$M$10001,"Compra")</f>
        <v>18.908076418453959</v>
      </c>
      <c r="H1351">
        <f>IF($G1351=0,"",_xlfn.RANK.EQ($G1351,$G$2:$G$2353,0)+COUNTIF($G$2:G1351,$G1351)-1)</f>
        <v>418</v>
      </c>
    </row>
    <row r="1352" spans="6:8" x14ac:dyDescent="0.25">
      <c r="F1352" t="str">
        <f>"Nimble Obstructionist"</f>
        <v>Nimble Obstructionist</v>
      </c>
      <c r="G1352">
        <f>SUMIFS(Colección!$L$2:$L$10001,Colección!$F$2:$F$10001,$F1352,Colección!$M$2:$M$10001,"Compra")</f>
        <v>0.31154743390357698</v>
      </c>
      <c r="H1352">
        <f>IF($G1352=0,"",_xlfn.RANK.EQ($G1352,$G$2:$G$2353,0)+COUNTIF($G$2:G1352,$G1352)-1)</f>
        <v>1999</v>
      </c>
    </row>
    <row r="1353" spans="6:8" x14ac:dyDescent="0.25">
      <c r="F1353" t="str">
        <f>"Nine Lives"</f>
        <v>Nine Lives</v>
      </c>
      <c r="G1353">
        <f>SUMIFS(Colección!$L$2:$L$10001,Colección!$F$2:$F$10001,$F1353,Colección!$M$2:$M$10001,"Compra")</f>
        <v>2.1799999999999997</v>
      </c>
      <c r="H1353">
        <f>IF($G1353=0,"",_xlfn.RANK.EQ($G1353,$G$2:$G$2353,0)+COUNTIF($G$2:G1353,$G1353)-1)</f>
        <v>1327</v>
      </c>
    </row>
    <row r="1354" spans="6:8" x14ac:dyDescent="0.25">
      <c r="F1354" t="str">
        <f>"Ninja of the Deep Hours"</f>
        <v>Ninja of the Deep Hours</v>
      </c>
      <c r="G1354">
        <f>SUMIFS(Colección!$L$2:$L$10001,Colección!$F$2:$F$10001,$F1354,Colección!$M$2:$M$10001,"Compra")</f>
        <v>22.246343029120723</v>
      </c>
      <c r="H1354">
        <f>IF($G1354=0,"",_xlfn.RANK.EQ($G1354,$G$2:$G$2353,0)+COUNTIF($G$2:G1354,$G1354)-1)</f>
        <v>350</v>
      </c>
    </row>
    <row r="1355" spans="6:8" x14ac:dyDescent="0.25">
      <c r="F1355" t="str">
        <f>"Nishoba Brawler [Playset]"</f>
        <v>Nishoba Brawler [Playset]</v>
      </c>
      <c r="G1355">
        <f>SUMIFS(Colección!$L$2:$L$10001,Colección!$F$2:$F$10001,$F1355,Colección!$M$2:$M$10001,"Compra")</f>
        <v>0.72517923362175529</v>
      </c>
      <c r="H1355">
        <f>IF($G1355=0,"",_xlfn.RANK.EQ($G1355,$G$2:$G$2353,0)+COUNTIF($G$2:G1355,$G1355)-1)</f>
        <v>1749</v>
      </c>
    </row>
    <row r="1356" spans="6:8" x14ac:dyDescent="0.25">
      <c r="F1356" t="str">
        <f>"Nissa, Ascended Animist (V.2)"</f>
        <v>Nissa, Ascended Animist (V.2)</v>
      </c>
      <c r="G1356">
        <f>SUMIFS(Colección!$L$2:$L$10001,Colección!$F$2:$F$10001,$F1356,Colección!$M$2:$M$10001,"Compra")</f>
        <v>13.615253456221199</v>
      </c>
      <c r="H1356">
        <f>IF($G1356=0,"",_xlfn.RANK.EQ($G1356,$G$2:$G$2353,0)+COUNTIF($G$2:G1356,$G1356)-1)</f>
        <v>536</v>
      </c>
    </row>
    <row r="1357" spans="6:8" x14ac:dyDescent="0.25">
      <c r="F1357" t="str">
        <f>"Nissa, Resurgent Animist (V.1)"</f>
        <v>Nissa, Resurgent Animist (V.1)</v>
      </c>
      <c r="G1357">
        <f>SUMIFS(Colección!$L$2:$L$10001,Colección!$F$2:$F$10001,$F1357,Colección!$M$2:$M$10001,"Compra")</f>
        <v>34.244272608125819</v>
      </c>
      <c r="H1357">
        <f>IF($G1357=0,"",_xlfn.RANK.EQ($G1357,$G$2:$G$2353,0)+COUNTIF($G$2:G1357,$G1357)-1)</f>
        <v>248</v>
      </c>
    </row>
    <row r="1358" spans="6:8" x14ac:dyDescent="0.25">
      <c r="F1358" t="str">
        <f>"Nissa, Who Shakes the World"</f>
        <v>Nissa, Who Shakes the World</v>
      </c>
      <c r="G1358">
        <f>SUMIFS(Colección!$L$2:$L$10001,Colección!$F$2:$F$10001,$F1358,Colección!$M$2:$M$10001,"Compra")</f>
        <v>2.727272727272728</v>
      </c>
      <c r="H1358">
        <f>IF($G1358=0,"",_xlfn.RANK.EQ($G1358,$G$2:$G$2353,0)+COUNTIF($G$2:G1358,$G1358)-1)</f>
        <v>1222</v>
      </c>
    </row>
    <row r="1359" spans="6:8" x14ac:dyDescent="0.25">
      <c r="F1359" t="str">
        <f>"No More Lies"</f>
        <v>No More Lies</v>
      </c>
      <c r="G1359">
        <f>SUMIFS(Colección!$L$2:$L$10001,Colección!$F$2:$F$10001,$F1359,Colección!$M$2:$M$10001,"Compra")</f>
        <v>8.4484909456740436</v>
      </c>
      <c r="H1359">
        <f>IF($G1359=0,"",_xlfn.RANK.EQ($G1359,$G$2:$G$2353,0)+COUNTIF($G$2:G1359,$G1359)-1)</f>
        <v>732</v>
      </c>
    </row>
    <row r="1360" spans="6:8" x14ac:dyDescent="0.25">
      <c r="F1360" t="str">
        <f>"Noble Hierarch"</f>
        <v>Noble Hierarch</v>
      </c>
      <c r="G1360">
        <f>SUMIFS(Colección!$L$2:$L$10001,Colección!$F$2:$F$10001,$F1360,Colección!$M$2:$M$10001,"Compra")</f>
        <v>45.28</v>
      </c>
      <c r="H1360">
        <f>IF($G1360=0,"",_xlfn.RANK.EQ($G1360,$G$2:$G$2353,0)+COUNTIF($G$2:G1360,$G1360)-1)</f>
        <v>191</v>
      </c>
    </row>
    <row r="1361" spans="6:8" x14ac:dyDescent="0.25">
      <c r="F1361" t="str">
        <f>"Nojiko (OP03-048)"</f>
        <v>Nojiko (OP03-048)</v>
      </c>
      <c r="G1361">
        <f>SUMIFS(Colección!$L$2:$L$10001,Colección!$F$2:$F$10001,$F1361,Colección!$M$2:$M$10001,"Compra")</f>
        <v>0.22608527131782949</v>
      </c>
      <c r="H1361">
        <f>IF($G1361=0,"",_xlfn.RANK.EQ($G1361,$G$2:$G$2353,0)+COUNTIF($G$2:G1361,$G1361)-1)</f>
        <v>2067</v>
      </c>
    </row>
    <row r="1362" spans="6:8" x14ac:dyDescent="0.25">
      <c r="F1362" t="str">
        <f>"Nola (OP05-108)"</f>
        <v>Nola (OP05-108)</v>
      </c>
      <c r="G1362">
        <f>SUMIFS(Colección!$L$2:$L$10001,Colección!$F$2:$F$10001,$F1362,Colección!$M$2:$M$10001,"Compra")</f>
        <v>5.4123408423114597E-2</v>
      </c>
      <c r="H1362">
        <f>IF($G1362=0,"",_xlfn.RANK.EQ($G1362,$G$2:$G$2353,0)+COUNTIF($G$2:G1362,$G1362)-1)</f>
        <v>2318</v>
      </c>
    </row>
    <row r="1363" spans="6:8" x14ac:dyDescent="0.25">
      <c r="F1363" t="str">
        <f>"Nomads en-Kor"</f>
        <v>Nomads en-Kor</v>
      </c>
      <c r="G1363">
        <f>SUMIFS(Colección!$L$2:$L$10001,Colección!$F$2:$F$10001,$F1363,Colección!$M$2:$M$10001,"Compra")</f>
        <v>8.5391269443050675</v>
      </c>
      <c r="H1363">
        <f>IF($G1363=0,"",_xlfn.RANK.EQ($G1363,$G$2:$G$2353,0)+COUNTIF($G$2:G1363,$G1363)-1)</f>
        <v>728</v>
      </c>
    </row>
    <row r="1364" spans="6:8" x14ac:dyDescent="0.25">
      <c r="F1364" t="str">
        <f>"Not Dead After All"</f>
        <v>Not Dead After All</v>
      </c>
      <c r="G1364">
        <f>SUMIFS(Colección!$L$2:$L$10001,Colección!$F$2:$F$10001,$F1364,Colección!$M$2:$M$10001,"Compra")</f>
        <v>5.0999999999999996</v>
      </c>
      <c r="H1364">
        <f>IF($G1364=0,"",_xlfn.RANK.EQ($G1364,$G$2:$G$2353,0)+COUNTIF($G$2:G1364,$G1364)-1)</f>
        <v>965</v>
      </c>
    </row>
    <row r="1365" spans="6:8" x14ac:dyDescent="0.25">
      <c r="F1365" t="str">
        <f>"Not on My Watch"</f>
        <v>Not on My Watch</v>
      </c>
      <c r="G1365">
        <f>SUMIFS(Colección!$L$2:$L$10001,Colección!$F$2:$F$10001,$F1365,Colección!$M$2:$M$10001,"Compra")</f>
        <v>0.53609195402298837</v>
      </c>
      <c r="H1365">
        <f>IF($G1365=0,"",_xlfn.RANK.EQ($G1365,$G$2:$G$2353,0)+COUNTIF($G$2:G1365,$G1365)-1)</f>
        <v>1866</v>
      </c>
    </row>
    <row r="1366" spans="6:8" x14ac:dyDescent="0.25">
      <c r="F1366" t="str">
        <f>"Not So Fast"</f>
        <v>Not So Fast</v>
      </c>
      <c r="G1366">
        <f>SUMIFS(Colección!$L$2:$L$10001,Colección!$F$2:$F$10001,$F1366,Colección!$M$2:$M$10001,"Compra")</f>
        <v>10.670000000000002</v>
      </c>
      <c r="H1366">
        <f>IF($G1366=0,"",_xlfn.RANK.EQ($G1366,$G$2:$G$2353,0)+COUNTIF($G$2:G1366,$G1366)-1)</f>
        <v>637</v>
      </c>
    </row>
    <row r="1367" spans="6:8" x14ac:dyDescent="0.25">
      <c r="F1367" t="str">
        <f>"Novice Inspector"</f>
        <v>Novice Inspector</v>
      </c>
      <c r="G1367">
        <f>SUMIFS(Colección!$L$2:$L$10001,Colección!$F$2:$F$10001,$F1367,Colección!$M$2:$M$10001,"Compra")</f>
        <v>7.4084801960817686</v>
      </c>
      <c r="H1367">
        <f>IF($G1367=0,"",_xlfn.RANK.EQ($G1367,$G$2:$G$2353,0)+COUNTIF($G$2:G1367,$G1367)-1)</f>
        <v>780</v>
      </c>
    </row>
    <row r="1368" spans="6:8" x14ac:dyDescent="0.25">
      <c r="F1368" t="str">
        <f>"Nowhere to Run"</f>
        <v>Nowhere to Run</v>
      </c>
      <c r="G1368">
        <f>SUMIFS(Colección!$L$2:$L$10001,Colección!$F$2:$F$10001,$F1368,Colección!$M$2:$M$10001,"Compra")</f>
        <v>5.998661710037176</v>
      </c>
      <c r="H1368">
        <f>IF($G1368=0,"",_xlfn.RANK.EQ($G1368,$G$2:$G$2353,0)+COUNTIF($G$2:G1368,$G1368)-1)</f>
        <v>893</v>
      </c>
    </row>
    <row r="1369" spans="6:8" x14ac:dyDescent="0.25">
      <c r="F1369" t="str">
        <f>"Null Rod"</f>
        <v>Null Rod</v>
      </c>
      <c r="G1369">
        <f>SUMIFS(Colección!$L$2:$L$10001,Colección!$F$2:$F$10001,$F1369,Colección!$M$2:$M$10001,"Compra")</f>
        <v>116.99</v>
      </c>
      <c r="H1369">
        <f>IF($G1369=0,"",_xlfn.RANK.EQ($G1369,$G$2:$G$2353,0)+COUNTIF($G$2:G1369,$G1369)-1)</f>
        <v>61</v>
      </c>
    </row>
    <row r="1370" spans="6:8" x14ac:dyDescent="0.25">
      <c r="F1370" t="str">
        <f>"Nulldrifter"</f>
        <v>Nulldrifter</v>
      </c>
      <c r="G1370">
        <f>SUMIFS(Colección!$L$2:$L$10001,Colección!$F$2:$F$10001,$F1370,Colección!$M$2:$M$10001,"Compra")</f>
        <v>32.230000000000004</v>
      </c>
      <c r="H1370">
        <f>IF($G1370=0,"",_xlfn.RANK.EQ($G1370,$G$2:$G$2353,0)+COUNTIF($G$2:G1370,$G1370)-1)</f>
        <v>262</v>
      </c>
    </row>
    <row r="1371" spans="6:8" x14ac:dyDescent="0.25">
      <c r="F1371" t="str">
        <f>"Nurturing Pixie"</f>
        <v>Nurturing Pixie</v>
      </c>
      <c r="G1371">
        <f>SUMIFS(Colección!$L$2:$L$10001,Colección!$F$2:$F$10001,$F1371,Colección!$M$2:$M$10001,"Compra")</f>
        <v>2.33</v>
      </c>
      <c r="H1371">
        <f>IF($G1371=0,"",_xlfn.RANK.EQ($G1371,$G$2:$G$2353,0)+COUNTIF($G$2:G1371,$G1371)-1)</f>
        <v>1282</v>
      </c>
    </row>
    <row r="1372" spans="6:8" x14ac:dyDescent="0.25">
      <c r="F1372" t="str">
        <f>"O-Nami (OP05-062)"</f>
        <v>O-Nami (OP05-062)</v>
      </c>
      <c r="G1372">
        <f>SUMIFS(Colección!$L$2:$L$10001,Colección!$F$2:$F$10001,$F1372,Colección!$M$2:$M$10001,"Compra")</f>
        <v>6.7654260528893242E-2</v>
      </c>
      <c r="H1372">
        <f>IF($G1372=0,"",_xlfn.RANK.EQ($G1372,$G$2:$G$2353,0)+COUNTIF($G$2:G1372,$G1372)-1)</f>
        <v>2248</v>
      </c>
    </row>
    <row r="1373" spans="6:8" x14ac:dyDescent="0.25">
      <c r="F1373" t="str">
        <f>"O-Robi (OP05-063)"</f>
        <v>O-Robi (OP05-063)</v>
      </c>
      <c r="G1373">
        <f>SUMIFS(Colección!$L$2:$L$10001,Colección!$F$2:$F$10001,$F1373,Colección!$M$2:$M$10001,"Compra")</f>
        <v>4.0592556317335937E-2</v>
      </c>
      <c r="H1373">
        <f>IF($G1373=0,"",_xlfn.RANK.EQ($G1373,$G$2:$G$2353,0)+COUNTIF($G$2:G1373,$G1373)-1)</f>
        <v>2332</v>
      </c>
    </row>
    <row r="1374" spans="6:8" x14ac:dyDescent="0.25">
      <c r="F1374" t="str">
        <f>"Ob Nixilis, the Adversary"</f>
        <v>Ob Nixilis, the Adversary</v>
      </c>
      <c r="G1374">
        <f>SUMIFS(Colección!$L$2:$L$10001,Colección!$F$2:$F$10001,$F1374,Colección!$M$2:$M$10001,"Compra")</f>
        <v>26.9</v>
      </c>
      <c r="H1374">
        <f>IF($G1374=0,"",_xlfn.RANK.EQ($G1374,$G$2:$G$2353,0)+COUNTIF($G$2:G1374,$G1374)-1)</f>
        <v>295</v>
      </c>
    </row>
    <row r="1375" spans="6:8" x14ac:dyDescent="0.25">
      <c r="F1375" t="str">
        <f>"Ob Nixilis, the Hate-Twisted"</f>
        <v>Ob Nixilis, the Hate-Twisted</v>
      </c>
      <c r="G1375">
        <f>SUMIFS(Colección!$L$2:$L$10001,Colección!$F$2:$F$10001,$F1375,Colección!$M$2:$M$10001,"Compra")</f>
        <v>0.16363636363636361</v>
      </c>
      <c r="H1375">
        <f>IF($G1375=0,"",_xlfn.RANK.EQ($G1375,$G$2:$G$2353,0)+COUNTIF($G$2:G1375,$G1375)-1)</f>
        <v>2108</v>
      </c>
    </row>
    <row r="1376" spans="6:8" x14ac:dyDescent="0.25">
      <c r="F1376" t="str">
        <f>"Oblation"</f>
        <v>Oblation</v>
      </c>
      <c r="G1376">
        <f>SUMIFS(Colección!$L$2:$L$10001,Colección!$F$2:$F$10001,$F1376,Colección!$M$2:$M$10001,"Compra")</f>
        <v>2.2573491490459001</v>
      </c>
      <c r="H1376">
        <f>IF($G1376=0,"",_xlfn.RANK.EQ($G1376,$G$2:$G$2353,0)+COUNTIF($G$2:G1376,$G1376)-1)</f>
        <v>1294</v>
      </c>
    </row>
    <row r="1377" spans="6:8" x14ac:dyDescent="0.25">
      <c r="F1377" t="str">
        <f>"Oblivion Stone"</f>
        <v>Oblivion Stone</v>
      </c>
      <c r="G1377">
        <f>SUMIFS(Colección!$L$2:$L$10001,Colección!$F$2:$F$10001,$F1377,Colección!$M$2:$M$10001,"Compra")</f>
        <v>3.2676615451672659</v>
      </c>
      <c r="H1377">
        <f>IF($G1377=0,"",_xlfn.RANK.EQ($G1377,$G$2:$G$2353,0)+COUNTIF($G$2:G1377,$G1377)-1)</f>
        <v>1165</v>
      </c>
    </row>
    <row r="1378" spans="6:8" x14ac:dyDescent="0.25">
      <c r="F1378" t="str">
        <f>"Obsidian Charmaw"</f>
        <v>Obsidian Charmaw</v>
      </c>
      <c r="G1378">
        <f>SUMIFS(Colección!$L$2:$L$10001,Colección!$F$2:$F$10001,$F1378,Colección!$M$2:$M$10001,"Compra")</f>
        <v>4.241182279156658</v>
      </c>
      <c r="H1378">
        <f>IF($G1378=0,"",_xlfn.RANK.EQ($G1378,$G$2:$G$2353,0)+COUNTIF($G$2:G1378,$G1378)-1)</f>
        <v>1040</v>
      </c>
    </row>
    <row r="1379" spans="6:8" x14ac:dyDescent="0.25">
      <c r="F1379" t="str">
        <f>"Ocelot Pride"</f>
        <v>Ocelot Pride</v>
      </c>
      <c r="G1379">
        <f>SUMIFS(Colección!$L$2:$L$10001,Colección!$F$2:$F$10001,$F1379,Colección!$M$2:$M$10001,"Compra")</f>
        <v>69.03</v>
      </c>
      <c r="H1379">
        <f>IF($G1379=0,"",_xlfn.RANK.EQ($G1379,$G$2:$G$2353,0)+COUNTIF($G$2:G1379,$G1379)-1)</f>
        <v>116</v>
      </c>
    </row>
    <row r="1380" spans="6:8" x14ac:dyDescent="0.25">
      <c r="F1380" t="str">
        <f>"Ocelot Pride (V.1)"</f>
        <v>Ocelot Pride (V.1)</v>
      </c>
      <c r="G1380">
        <f>SUMIFS(Colección!$L$2:$L$10001,Colección!$F$2:$F$10001,$F1380,Colección!$M$2:$M$10001,"Compra")</f>
        <v>232.96278916469259</v>
      </c>
      <c r="H1380">
        <f>IF($G1380=0,"",_xlfn.RANK.EQ($G1380,$G$2:$G$2353,0)+COUNTIF($G$2:G1380,$G1380)-1)</f>
        <v>16</v>
      </c>
    </row>
    <row r="1381" spans="6:8" x14ac:dyDescent="0.25">
      <c r="F1381" t="str">
        <f>"Octopus Form"</f>
        <v>Octopus Form</v>
      </c>
      <c r="G1381">
        <f>SUMIFS(Colección!$L$2:$L$10001,Colección!$F$2:$F$10001,$F1381,Colección!$M$2:$M$10001,"Compra")</f>
        <v>0.58947368421052637</v>
      </c>
      <c r="H1381">
        <f>IF($G1381=0,"",_xlfn.RANK.EQ($G1381,$G$2:$G$2353,0)+COUNTIF($G$2:G1381,$G1381)-1)</f>
        <v>1832</v>
      </c>
    </row>
    <row r="1382" spans="6:8" x14ac:dyDescent="0.25">
      <c r="F1382" t="str">
        <f>"Octopus Token (Blue 8/8)"</f>
        <v>Octopus Token (Blue 8/8)</v>
      </c>
      <c r="G1382">
        <f>SUMIFS(Colección!$L$2:$L$10001,Colección!$F$2:$F$10001,$F1382,Colección!$M$2:$M$10001,"Compra")</f>
        <v>1.763333333333333</v>
      </c>
      <c r="H1382">
        <f>IF($G1382=0,"",_xlfn.RANK.EQ($G1382,$G$2:$G$2353,0)+COUNTIF($G$2:G1382,$G1382)-1)</f>
        <v>1408</v>
      </c>
    </row>
    <row r="1383" spans="6:8" x14ac:dyDescent="0.25">
      <c r="F1383" t="str">
        <f>"Of One Mind"</f>
        <v>Of One Mind</v>
      </c>
      <c r="G1383">
        <f>SUMIFS(Colección!$L$2:$L$10001,Colección!$F$2:$F$10001,$F1383,Colección!$M$2:$M$10001,"Compra")</f>
        <v>4.3588235294117643</v>
      </c>
      <c r="H1383">
        <f>IF($G1383=0,"",_xlfn.RANK.EQ($G1383,$G$2:$G$2353,0)+COUNTIF($G$2:G1383,$G1383)-1)</f>
        <v>1020</v>
      </c>
    </row>
    <row r="1384" spans="6:8" x14ac:dyDescent="0.25">
      <c r="F1384" t="str">
        <f>"Ohm (OP05-101)"</f>
        <v>Ohm (OP05-101)</v>
      </c>
      <c r="G1384">
        <f>SUMIFS(Colección!$L$2:$L$10001,Colección!$F$2:$F$10001,$F1384,Colección!$M$2:$M$10001,"Compra")</f>
        <v>0.37695652173913041</v>
      </c>
      <c r="H1384">
        <f>IF($G1384=0,"",_xlfn.RANK.EQ($G1384,$G$2:$G$2353,0)+COUNTIF($G$2:G1384,$G1384)-1)</f>
        <v>1968</v>
      </c>
    </row>
    <row r="1385" spans="6:8" x14ac:dyDescent="0.25">
      <c r="F1385" t="str">
        <f>"Oimo &amp; Kashii (OP04-078)"</f>
        <v>Oimo &amp; Kashii (OP04-078)</v>
      </c>
      <c r="G1385">
        <f>SUMIFS(Colección!$L$2:$L$10001,Colección!$F$2:$F$10001,$F1385,Colección!$M$2:$M$10001,"Compra")</f>
        <v>6.1898734177215198E-2</v>
      </c>
      <c r="H1385">
        <f>IF($G1385=0,"",_xlfn.RANK.EQ($G1385,$G$2:$G$2353,0)+COUNTIF($G$2:G1385,$G1385)-1)</f>
        <v>2293</v>
      </c>
    </row>
    <row r="1386" spans="6:8" x14ac:dyDescent="0.25">
      <c r="F1386" t="str">
        <f>"Olin (OP04-099)"</f>
        <v>Olin (OP04-099)</v>
      </c>
      <c r="G1386">
        <f>SUMIFS(Colección!$L$2:$L$10001,Colección!$F$2:$F$10001,$F1386,Colección!$M$2:$M$10001,"Compra")</f>
        <v>9.2848101265822783E-2</v>
      </c>
      <c r="H1386">
        <f>IF($G1386=0,"",_xlfn.RANK.EQ($G1386,$G$2:$G$2353,0)+COUNTIF($G$2:G1386,$G1386)-1)</f>
        <v>2217</v>
      </c>
    </row>
    <row r="1387" spans="6:8" x14ac:dyDescent="0.25">
      <c r="F1387" t="str">
        <f>"Oliphaunt"</f>
        <v>Oliphaunt</v>
      </c>
      <c r="G1387">
        <f>SUMIFS(Colección!$L$2:$L$10001,Colección!$F$2:$F$10001,$F1387,Colección!$M$2:$M$10001,"Compra")</f>
        <v>0.89107981220657284</v>
      </c>
      <c r="H1387">
        <f>IF($G1387=0,"",_xlfn.RANK.EQ($G1387,$G$2:$G$2353,0)+COUNTIF($G$2:G1387,$G1387)-1)</f>
        <v>1685</v>
      </c>
    </row>
    <row r="1388" spans="6:8" x14ac:dyDescent="0.25">
      <c r="F1388" t="str">
        <f>"Olivia Voldaren"</f>
        <v>Olivia Voldaren</v>
      </c>
      <c r="G1388">
        <f>SUMIFS(Colección!$L$2:$L$10001,Colección!$F$2:$F$10001,$F1388,Colección!$M$2:$M$10001,"Compra")</f>
        <v>4.53</v>
      </c>
      <c r="H1388">
        <f>IF($G1388=0,"",_xlfn.RANK.EQ($G1388,$G$2:$G$2353,0)+COUNTIF($G$2:G1388,$G1388)-1)</f>
        <v>998</v>
      </c>
    </row>
    <row r="1389" spans="6:8" x14ac:dyDescent="0.25">
      <c r="F1389" t="str">
        <f>"Omen of the Dead"</f>
        <v>Omen of the Dead</v>
      </c>
      <c r="G1389">
        <f>SUMIFS(Colección!$L$2:$L$10001,Colección!$F$2:$F$10001,$F1389,Colección!$M$2:$M$10001,"Compra")</f>
        <v>1.89</v>
      </c>
      <c r="H1389">
        <f>IF($G1389=0,"",_xlfn.RANK.EQ($G1389,$G$2:$G$2353,0)+COUNTIF($G$2:G1389,$G1389)-1)</f>
        <v>1387</v>
      </c>
    </row>
    <row r="1390" spans="6:8" x14ac:dyDescent="0.25">
      <c r="F1390" t="str">
        <f>"Omen of the Sea"</f>
        <v>Omen of the Sea</v>
      </c>
      <c r="G1390">
        <f>SUMIFS(Colección!$L$2:$L$10001,Colección!$F$2:$F$10001,$F1390,Colección!$M$2:$M$10001,"Compra")</f>
        <v>0.13970149253731343</v>
      </c>
      <c r="H1390">
        <f>IF($G1390=0,"",_xlfn.RANK.EQ($G1390,$G$2:$G$2353,0)+COUNTIF($G$2:G1390,$G1390)-1)</f>
        <v>2130</v>
      </c>
    </row>
    <row r="1391" spans="6:8" x14ac:dyDescent="0.25">
      <c r="F1391" t="str">
        <f>"Omnath, Locus of Creation [Playset]"</f>
        <v>Omnath, Locus of Creation [Playset]</v>
      </c>
      <c r="G1391">
        <f>SUMIFS(Colección!$L$2:$L$10001,Colección!$F$2:$F$10001,$F1391,Colección!$M$2:$M$10001,"Compra")</f>
        <v>48.47</v>
      </c>
      <c r="H1391">
        <f>IF($G1391=0,"",_xlfn.RANK.EQ($G1391,$G$2:$G$2353,0)+COUNTIF($G$2:G1391,$G1391)-1)</f>
        <v>178</v>
      </c>
    </row>
    <row r="1392" spans="6:8" x14ac:dyDescent="0.25">
      <c r="F1392" t="str">
        <f>"Omnivorous Flytrap"</f>
        <v>Omnivorous Flytrap</v>
      </c>
      <c r="G1392">
        <f>SUMIFS(Colección!$L$2:$L$10001,Colección!$F$2:$F$10001,$F1392,Colección!$M$2:$M$10001,"Compra")</f>
        <v>4.9384615384615396</v>
      </c>
      <c r="H1392">
        <f>IF($G1392=0,"",_xlfn.RANK.EQ($G1392,$G$2:$G$2353,0)+COUNTIF($G$2:G1392,$G1392)-1)</f>
        <v>974</v>
      </c>
    </row>
    <row r="1393" spans="6:8" x14ac:dyDescent="0.25">
      <c r="F1393" t="str">
        <f>"On Thin Ice"</f>
        <v>On Thin Ice</v>
      </c>
      <c r="G1393">
        <f>SUMIFS(Colección!$L$2:$L$10001,Colección!$F$2:$F$10001,$F1393,Colección!$M$2:$M$10001,"Compra")</f>
        <v>27.137906295754021</v>
      </c>
      <c r="H1393">
        <f>IF($G1393=0,"",_xlfn.RANK.EQ($G1393,$G$2:$G$2353,0)+COUNTIF($G$2:G1393,$G1393)-1)</f>
        <v>292</v>
      </c>
    </row>
    <row r="1394" spans="6:8" x14ac:dyDescent="0.25">
      <c r="F1394" t="str">
        <f>"Once Upon a Time"</f>
        <v>Once Upon a Time</v>
      </c>
      <c r="G1394">
        <f>SUMIFS(Colección!$L$2:$L$10001,Colección!$F$2:$F$10001,$F1394,Colección!$M$2:$M$10001,"Compra")</f>
        <v>14.445388760585065</v>
      </c>
      <c r="H1394">
        <f>IF($G1394=0,"",_xlfn.RANK.EQ($G1394,$G$2:$G$2353,0)+COUNTIF($G$2:G1394,$G1394)-1)</f>
        <v>516</v>
      </c>
    </row>
    <row r="1395" spans="6:8" x14ac:dyDescent="0.25">
      <c r="F1395" t="str">
        <f>"One Ring to Rule Them All"</f>
        <v>One Ring to Rule Them All</v>
      </c>
      <c r="G1395">
        <f>SUMIFS(Colección!$L$2:$L$10001,Colección!$F$2:$F$10001,$F1395,Colección!$M$2:$M$10001,"Compra")</f>
        <v>0.33561020036429873</v>
      </c>
      <c r="H1395">
        <f>IF($G1395=0,"",_xlfn.RANK.EQ($G1395,$G$2:$G$2353,0)+COUNTIF($G$2:G1395,$G1395)-1)</f>
        <v>1989</v>
      </c>
    </row>
    <row r="1396" spans="6:8" x14ac:dyDescent="0.25">
      <c r="F1396" t="str">
        <f>"One, Two, Jango (OP03-039)"</f>
        <v>One, Two, Jango (OP03-039)</v>
      </c>
      <c r="G1396">
        <f>SUMIFS(Colección!$L$2:$L$10001,Colección!$F$2:$F$10001,$F1396,Colección!$M$2:$M$10001,"Compra")</f>
        <v>0.22608527131782949</v>
      </c>
      <c r="H1396">
        <f>IF($G1396=0,"",_xlfn.RANK.EQ($G1396,$G$2:$G$2353,0)+COUNTIF($G$2:G1396,$G1396)-1)</f>
        <v>2068</v>
      </c>
    </row>
    <row r="1397" spans="6:8" x14ac:dyDescent="0.25">
      <c r="F1397" t="str">
        <f>"One-Legged Toy Soldier (OP05-081)"</f>
        <v>One-Legged Toy Soldier (OP05-081)</v>
      </c>
      <c r="G1397">
        <f>SUMIFS(Colección!$L$2:$L$10001,Colección!$F$2:$F$10001,$F1397,Colección!$M$2:$M$10001,"Compra")</f>
        <v>0.10824681684622919</v>
      </c>
      <c r="H1397">
        <f>IF($G1397=0,"",_xlfn.RANK.EQ($G1397,$G$2:$G$2353,0)+COUNTIF($G$2:G1397,$G1397)-1)</f>
        <v>2160</v>
      </c>
    </row>
    <row r="1398" spans="6:8" x14ac:dyDescent="0.25">
      <c r="F1398" t="str">
        <f>"Open the Armory"</f>
        <v>Open the Armory</v>
      </c>
      <c r="G1398">
        <f>SUMIFS(Colección!$L$2:$L$10001,Colección!$F$2:$F$10001,$F1398,Colección!$M$2:$M$10001,"Compra")</f>
        <v>4.3708851550320436</v>
      </c>
      <c r="H1398">
        <f>IF($G1398=0,"",_xlfn.RANK.EQ($G1398,$G$2:$G$2353,0)+COUNTIF($G$2:G1398,$G1398)-1)</f>
        <v>1015</v>
      </c>
    </row>
    <row r="1399" spans="6:8" x14ac:dyDescent="0.25">
      <c r="F1399" t="str">
        <f>"Opt"</f>
        <v>Opt</v>
      </c>
      <c r="G1399">
        <f>SUMIFS(Colección!$L$2:$L$10001,Colección!$F$2:$F$10001,$F1399,Colección!$M$2:$M$10001,"Compra")</f>
        <v>1.2951565843221164</v>
      </c>
      <c r="H1399">
        <f>IF($G1399=0,"",_xlfn.RANK.EQ($G1399,$G$2:$G$2353,0)+COUNTIF($G$2:G1399,$G1399)-1)</f>
        <v>1545</v>
      </c>
    </row>
    <row r="1400" spans="6:8" x14ac:dyDescent="0.25">
      <c r="F1400" t="str">
        <f>"Orc Army Token (B 0/0) // Food Token (V.3)"</f>
        <v>Orc Army Token (B 0/0) // Food Token (V.3)</v>
      </c>
      <c r="G1400">
        <f>SUMIFS(Colección!$L$2:$L$10001,Colección!$F$2:$F$10001,$F1400,Colección!$M$2:$M$10001,"Compra")</f>
        <v>1.408709677419355</v>
      </c>
      <c r="H1400">
        <f>IF($G1400=0,"",_xlfn.RANK.EQ($G1400,$G$2:$G$2353,0)+COUNTIF($G$2:G1400,$G1400)-1)</f>
        <v>1511</v>
      </c>
    </row>
    <row r="1401" spans="6:8" x14ac:dyDescent="0.25">
      <c r="F1401" t="str">
        <f>"Orc Army Token (Black 0/0) (V.2)"</f>
        <v>Orc Army Token (Black 0/0) (V.2)</v>
      </c>
      <c r="G1401">
        <f>SUMIFS(Colección!$L$2:$L$10001,Colección!$F$2:$F$10001,$F1401,Colección!$M$2:$M$10001,"Compra")</f>
        <v>0.16630573248407651</v>
      </c>
      <c r="H1401">
        <f>IF($G1401=0,"",_xlfn.RANK.EQ($G1401,$G$2:$G$2353,0)+COUNTIF($G$2:G1401,$G1401)-1)</f>
        <v>2100</v>
      </c>
    </row>
    <row r="1402" spans="6:8" x14ac:dyDescent="0.25">
      <c r="F1402" t="str">
        <f>"Orcish Bowmasters"</f>
        <v>Orcish Bowmasters</v>
      </c>
      <c r="G1402">
        <f>SUMIFS(Colección!$L$2:$L$10001,Colección!$F$2:$F$10001,$F1402,Colección!$M$2:$M$10001,"Compra")</f>
        <v>272.64999999999998</v>
      </c>
      <c r="H1402">
        <f>IF($G1402=0,"",_xlfn.RANK.EQ($G1402,$G$2:$G$2353,0)+COUNTIF($G$2:G1402,$G1402)-1)</f>
        <v>10</v>
      </c>
    </row>
    <row r="1403" spans="6:8" x14ac:dyDescent="0.25">
      <c r="F1403" t="str">
        <f>"Order Rune (V.2 - Showcase)"</f>
        <v>Order Rune (V.2 - Showcase)</v>
      </c>
      <c r="G1403">
        <f>SUMIFS(Colección!$L$2:$L$10001,Colección!$F$2:$F$10001,$F1403,Colección!$M$2:$M$10001,"Compra")</f>
        <v>46.135042735042731</v>
      </c>
      <c r="H1403">
        <f>IF($G1403=0,"",_xlfn.RANK.EQ($G1403,$G$2:$G$2353,0)+COUNTIF($G$2:G1403,$G1403)-1)</f>
        <v>186</v>
      </c>
    </row>
    <row r="1404" spans="6:8" x14ac:dyDescent="0.25">
      <c r="F1404" t="str">
        <f>"Orim's Chant"</f>
        <v>Orim's Chant</v>
      </c>
      <c r="G1404">
        <f>SUMIFS(Colección!$L$2:$L$10001,Colección!$F$2:$F$10001,$F1404,Colección!$M$2:$M$10001,"Compra")</f>
        <v>15.14</v>
      </c>
      <c r="H1404">
        <f>IF($G1404=0,"",_xlfn.RANK.EQ($G1404,$G$2:$G$2353,0)+COUNTIF($G$2:G1404,$G1404)-1)</f>
        <v>498</v>
      </c>
    </row>
    <row r="1405" spans="6:8" x14ac:dyDescent="0.25">
      <c r="F1405" t="str">
        <f>"Ornithopter"</f>
        <v>Ornithopter</v>
      </c>
      <c r="G1405">
        <f>SUMIFS(Colección!$L$2:$L$10001,Colección!$F$2:$F$10001,$F1405,Colección!$M$2:$M$10001,"Compra")</f>
        <v>3.3112766326000345</v>
      </c>
      <c r="H1405">
        <f>IF($G1405=0,"",_xlfn.RANK.EQ($G1405,$G$2:$G$2353,0)+COUNTIF($G$2:G1405,$G1405)-1)</f>
        <v>1148</v>
      </c>
    </row>
    <row r="1406" spans="6:8" x14ac:dyDescent="0.25">
      <c r="F1406" t="str">
        <f>"Ornithopter (V.2) [Playset]"</f>
        <v>Ornithopter (V.2) [Playset]</v>
      </c>
      <c r="G1406">
        <f>SUMIFS(Colección!$L$2:$L$10001,Colección!$F$2:$F$10001,$F1406,Colección!$M$2:$M$10001,"Compra")</f>
        <v>2.0419431279620852</v>
      </c>
      <c r="H1406">
        <f>IF($G1406=0,"",_xlfn.RANK.EQ($G1406,$G$2:$G$2353,0)+COUNTIF($G$2:G1406,$G1406)-1)</f>
        <v>1360</v>
      </c>
    </row>
    <row r="1407" spans="6:8" x14ac:dyDescent="0.25">
      <c r="F1407" t="str">
        <f>"Ornithopter [Playset]"</f>
        <v>Ornithopter [Playset]</v>
      </c>
      <c r="G1407">
        <f>SUMIFS(Colección!$L$2:$L$10001,Colección!$F$2:$F$10001,$F1407,Colección!$M$2:$M$10001,"Compra")</f>
        <v>0.95790654205607484</v>
      </c>
      <c r="H1407">
        <f>IF($G1407=0,"",_xlfn.RANK.EQ($G1407,$G$2:$G$2353,0)+COUNTIF($G$2:G1407,$G1407)-1)</f>
        <v>1671</v>
      </c>
    </row>
    <row r="1408" spans="6:8" x14ac:dyDescent="0.25">
      <c r="F1408" t="str">
        <f>"Orvar, the All-Form"</f>
        <v>Orvar, the All-Form</v>
      </c>
      <c r="G1408">
        <f>SUMIFS(Colección!$L$2:$L$10001,Colección!$F$2:$F$10001,$F1408,Colección!$M$2:$M$10001,"Compra")</f>
        <v>13.597240868706812</v>
      </c>
      <c r="H1408">
        <f>IF($G1408=0,"",_xlfn.RANK.EQ($G1408,$G$2:$G$2353,0)+COUNTIF($G$2:G1408,$G1408)-1)</f>
        <v>538</v>
      </c>
    </row>
    <row r="1409" spans="6:8" x14ac:dyDescent="0.25">
      <c r="F1409" t="str">
        <f>"Orzhov Basilica"</f>
        <v>Orzhov Basilica</v>
      </c>
      <c r="G1409">
        <f>SUMIFS(Colección!$L$2:$L$10001,Colección!$F$2:$F$10001,$F1409,Colección!$M$2:$M$10001,"Compra")</f>
        <v>1.0909090909090913</v>
      </c>
      <c r="H1409">
        <f>IF($G1409=0,"",_xlfn.RANK.EQ($G1409,$G$2:$G$2353,0)+COUNTIF($G$2:G1409,$G1409)-1)</f>
        <v>1611</v>
      </c>
    </row>
    <row r="1410" spans="6:8" x14ac:dyDescent="0.25">
      <c r="F1410" t="str">
        <f>"Orzhov Pontiff"</f>
        <v>Orzhov Pontiff</v>
      </c>
      <c r="G1410">
        <f>SUMIFS(Colección!$L$2:$L$10001,Colección!$F$2:$F$10001,$F1410,Colección!$M$2:$M$10001,"Compra")</f>
        <v>0.58153846153846156</v>
      </c>
      <c r="H1410">
        <f>IF($G1410=0,"",_xlfn.RANK.EQ($G1410,$G$2:$G$2353,0)+COUNTIF($G$2:G1410,$G1410)-1)</f>
        <v>1836</v>
      </c>
    </row>
    <row r="1411" spans="6:8" x14ac:dyDescent="0.25">
      <c r="F1411" t="str">
        <f>"Osteomancer Adept"</f>
        <v>Osteomancer Adept</v>
      </c>
      <c r="G1411">
        <f>SUMIFS(Colección!$L$2:$L$10001,Colección!$F$2:$F$10001,$F1411,Colección!$M$2:$M$10001,"Compra")</f>
        <v>2.7</v>
      </c>
      <c r="H1411">
        <f>IF($G1411=0,"",_xlfn.RANK.EQ($G1411,$G$2:$G$2353,0)+COUNTIF($G$2:G1411,$G1411)-1)</f>
        <v>1228</v>
      </c>
    </row>
    <row r="1412" spans="6:8" x14ac:dyDescent="0.25">
      <c r="F1412" t="str">
        <f>"Otama (OP04-097)"</f>
        <v>Otama (OP04-097)</v>
      </c>
      <c r="G1412">
        <f>SUMIFS(Colección!$L$2:$L$10001,Colección!$F$2:$F$10001,$F1412,Colección!$M$2:$M$10001,"Compra")</f>
        <v>6.1898734177215198E-2</v>
      </c>
      <c r="H1412">
        <f>IF($G1412=0,"",_xlfn.RANK.EQ($G1412,$G$2:$G$2353,0)+COUNTIF($G$2:G1412,$G1412)-1)</f>
        <v>2294</v>
      </c>
    </row>
    <row r="1413" spans="6:8" x14ac:dyDescent="0.25">
      <c r="F1413" t="str">
        <f>"Otawara, Soaring City"</f>
        <v>Otawara, Soaring City</v>
      </c>
      <c r="G1413">
        <f>SUMIFS(Colección!$L$2:$L$10001,Colección!$F$2:$F$10001,$F1413,Colección!$M$2:$M$10001,"Compra")</f>
        <v>70.477886977886996</v>
      </c>
      <c r="H1413">
        <f>IF($G1413=0,"",_xlfn.RANK.EQ($G1413,$G$2:$G$2353,0)+COUNTIF($G$2:G1413,$G1413)-1)</f>
        <v>112</v>
      </c>
    </row>
    <row r="1414" spans="6:8" x14ac:dyDescent="0.25">
      <c r="F1414" t="str">
        <f>"Otherworldly Gaze"</f>
        <v>Otherworldly Gaze</v>
      </c>
      <c r="G1414">
        <f>SUMIFS(Colección!$L$2:$L$10001,Colección!$F$2:$F$10001,$F1414,Colección!$M$2:$M$10001,"Compra")</f>
        <v>0.81454545454545435</v>
      </c>
      <c r="H1414">
        <f>IF($G1414=0,"",_xlfn.RANK.EQ($G1414,$G$2:$G$2353,0)+COUNTIF($G$2:G1414,$G1414)-1)</f>
        <v>1717</v>
      </c>
    </row>
    <row r="1415" spans="6:8" x14ac:dyDescent="0.25">
      <c r="F1415" t="str">
        <f>"Otter Token (Blue and Red 1/1)"</f>
        <v>Otter Token (Blue and Red 1/1)</v>
      </c>
      <c r="G1415">
        <f>SUMIFS(Colección!$L$2:$L$10001,Colección!$F$2:$F$10001,$F1415,Colección!$M$2:$M$10001,"Compra")</f>
        <v>8.8166666666666647</v>
      </c>
      <c r="H1415">
        <f>IF($G1415=0,"",_xlfn.RANK.EQ($G1415,$G$2:$G$2353,0)+COUNTIF($G$2:G1415,$G1415)-1)</f>
        <v>710</v>
      </c>
    </row>
    <row r="1416" spans="6:8" x14ac:dyDescent="0.25">
      <c r="F1416" t="str">
        <f>"Ouroboroid"</f>
        <v>Ouroboroid</v>
      </c>
      <c r="G1416">
        <f>SUMIFS(Colección!$L$2:$L$10001,Colección!$F$2:$F$10001,$F1416,Colección!$M$2:$M$10001,"Compra")</f>
        <v>33.43</v>
      </c>
      <c r="H1416">
        <f>IF($G1416=0,"",_xlfn.RANK.EQ($G1416,$G$2:$G$2353,0)+COUNTIF($G$2:G1416,$G1416)-1)</f>
        <v>255</v>
      </c>
    </row>
    <row r="1417" spans="6:8" x14ac:dyDescent="0.25">
      <c r="F1417" t="str">
        <f>"Out-of-the-Bag (OP03-036)"</f>
        <v>Out-of-the-Bag (OP03-036)</v>
      </c>
      <c r="G1417">
        <f>SUMIFS(Colección!$L$2:$L$10001,Colección!$F$2:$F$10001,$F1417,Colección!$M$2:$M$10001,"Compra")</f>
        <v>9.5193798449612399E-2</v>
      </c>
      <c r="H1417">
        <f>IF($G1417=0,"",_xlfn.RANK.EQ($G1417,$G$2:$G$2353,0)+COUNTIF($G$2:G1417,$G1417)-1)</f>
        <v>2187</v>
      </c>
    </row>
    <row r="1418" spans="6:8" x14ac:dyDescent="0.25">
      <c r="F1418" t="str">
        <f>"Outcaster Trailblazer"</f>
        <v>Outcaster Trailblazer</v>
      </c>
      <c r="G1418">
        <f>SUMIFS(Colección!$L$2:$L$10001,Colección!$F$2:$F$10001,$F1418,Colección!$M$2:$M$10001,"Compra")</f>
        <v>6.022927689594356</v>
      </c>
      <c r="H1418">
        <f>IF($G1418=0,"",_xlfn.RANK.EQ($G1418,$G$2:$G$2353,0)+COUNTIF($G$2:G1418,$G1418)-1)</f>
        <v>886</v>
      </c>
    </row>
    <row r="1419" spans="6:8" x14ac:dyDescent="0.25">
      <c r="F1419" t="str">
        <f>"Outland Liberator // Frenzied Trapbreaker"</f>
        <v>Outland Liberator // Frenzied Trapbreaker</v>
      </c>
      <c r="G1419">
        <f>SUMIFS(Colección!$L$2:$L$10001,Colección!$F$2:$F$10001,$F1419,Colección!$M$2:$M$10001,"Compra")</f>
        <v>1.042920649545088</v>
      </c>
      <c r="H1419">
        <f>IF($G1419=0,"",_xlfn.RANK.EQ($G1419,$G$2:$G$2353,0)+COUNTIF($G$2:G1419,$G1419)-1)</f>
        <v>1637</v>
      </c>
    </row>
    <row r="1420" spans="6:8" x14ac:dyDescent="0.25">
      <c r="F1420" t="str">
        <f>"Outpost Siege"</f>
        <v>Outpost Siege</v>
      </c>
      <c r="G1420">
        <f>SUMIFS(Colección!$L$2:$L$10001,Colección!$F$2:$F$10001,$F1420,Colección!$M$2:$M$10001,"Compra")</f>
        <v>0.3648780487804878</v>
      </c>
      <c r="H1420">
        <f>IF($G1420=0,"",_xlfn.RANK.EQ($G1420,$G$2:$G$2353,0)+COUNTIF($G$2:G1420,$G1420)-1)</f>
        <v>1972</v>
      </c>
    </row>
    <row r="1421" spans="6:8" x14ac:dyDescent="0.25">
      <c r="F1421" t="str">
        <f>"Outrageous Robbery"</f>
        <v>Outrageous Robbery</v>
      </c>
      <c r="G1421">
        <f>SUMIFS(Colección!$L$2:$L$10001,Colección!$F$2:$F$10001,$F1421,Colección!$M$2:$M$10001,"Compra")</f>
        <v>0.96923076923076923</v>
      </c>
      <c r="H1421">
        <f>IF($G1421=0,"",_xlfn.RANK.EQ($G1421,$G$2:$G$2353,0)+COUNTIF($G$2:G1421,$G1421)-1)</f>
        <v>1669</v>
      </c>
    </row>
    <row r="1422" spans="6:8" x14ac:dyDescent="0.25">
      <c r="F1422" t="str">
        <f>"Outrider en-Kor"</f>
        <v>Outrider en-Kor</v>
      </c>
      <c r="G1422">
        <f>SUMIFS(Colección!$L$2:$L$10001,Colección!$F$2:$F$10001,$F1422,Colección!$M$2:$M$10001,"Compra")</f>
        <v>0.66332179930795843</v>
      </c>
      <c r="H1422">
        <f>IF($G1422=0,"",_xlfn.RANK.EQ($G1422,$G$2:$G$2353,0)+COUNTIF($G$2:G1422,$G1422)-1)</f>
        <v>1780</v>
      </c>
    </row>
    <row r="1423" spans="6:8" x14ac:dyDescent="0.25">
      <c r="F1423" t="str">
        <f>"Overgrown Tomb"</f>
        <v>Overgrown Tomb</v>
      </c>
      <c r="G1423">
        <f>SUMIFS(Colección!$L$2:$L$10001,Colección!$F$2:$F$10001,$F1423,Colección!$M$2:$M$10001,"Compra")</f>
        <v>37.24</v>
      </c>
      <c r="H1423">
        <f>IF($G1423=0,"",_xlfn.RANK.EQ($G1423,$G$2:$G$2353,0)+COUNTIF($G$2:G1423,$G1423)-1)</f>
        <v>226</v>
      </c>
    </row>
    <row r="1424" spans="6:8" x14ac:dyDescent="0.25">
      <c r="F1424" t="str">
        <f>"Overlord of the Balemurk (V.2)"</f>
        <v>Overlord of the Balemurk (V.2)</v>
      </c>
      <c r="G1424">
        <f>SUMIFS(Colección!$L$2:$L$10001,Colección!$F$2:$F$10001,$F1424,Colección!$M$2:$M$10001,"Compra")</f>
        <v>141.81111074160293</v>
      </c>
      <c r="H1424">
        <f>IF($G1424=0,"",_xlfn.RANK.EQ($G1424,$G$2:$G$2353,0)+COUNTIF($G$2:G1424,$G1424)-1)</f>
        <v>43</v>
      </c>
    </row>
    <row r="1425" spans="6:8" x14ac:dyDescent="0.25">
      <c r="F1425" t="str">
        <f>"Overlord of the Boilerbilges"</f>
        <v>Overlord of the Boilerbilges</v>
      </c>
      <c r="G1425">
        <f>SUMIFS(Colección!$L$2:$L$10001,Colección!$F$2:$F$10001,$F1425,Colección!$M$2:$M$10001,"Compra")</f>
        <v>16.22</v>
      </c>
      <c r="H1425">
        <f>IF($G1425=0,"",_xlfn.RANK.EQ($G1425,$G$2:$G$2353,0)+COUNTIF($G$2:G1425,$G1425)-1)</f>
        <v>478</v>
      </c>
    </row>
    <row r="1426" spans="6:8" x14ac:dyDescent="0.25">
      <c r="F1426" t="str">
        <f>"Overlord of the Floodpits"</f>
        <v>Overlord of the Floodpits</v>
      </c>
      <c r="G1426">
        <f>SUMIFS(Colección!$L$2:$L$10001,Colección!$F$2:$F$10001,$F1426,Colección!$M$2:$M$10001,"Compra")</f>
        <v>14.703768198686841</v>
      </c>
      <c r="H1426">
        <f>IF($G1426=0,"",_xlfn.RANK.EQ($G1426,$G$2:$G$2353,0)+COUNTIF($G$2:G1426,$G1426)-1)</f>
        <v>509</v>
      </c>
    </row>
    <row r="1427" spans="6:8" x14ac:dyDescent="0.25">
      <c r="F1427" t="str">
        <f>"Overlord of the Hauntwoods"</f>
        <v>Overlord of the Hauntwoods</v>
      </c>
      <c r="G1427">
        <f>SUMIFS(Colección!$L$2:$L$10001,Colección!$F$2:$F$10001,$F1427,Colección!$M$2:$M$10001,"Compra")</f>
        <v>74.874507564944324</v>
      </c>
      <c r="H1427">
        <f>IF($G1427=0,"",_xlfn.RANK.EQ($G1427,$G$2:$G$2353,0)+COUNTIF($G$2:G1427,$G1427)-1)</f>
        <v>106</v>
      </c>
    </row>
    <row r="1428" spans="6:8" x14ac:dyDescent="0.25">
      <c r="F1428" t="str">
        <f>"Overlord of the Mistmoors"</f>
        <v>Overlord of the Mistmoors</v>
      </c>
      <c r="G1428">
        <f>SUMIFS(Colección!$L$2:$L$10001,Colección!$F$2:$F$10001,$F1428,Colección!$M$2:$M$10001,"Compra")</f>
        <v>24.871267485012847</v>
      </c>
      <c r="H1428">
        <f>IF($G1428=0,"",_xlfn.RANK.EQ($G1428,$G$2:$G$2353,0)+COUNTIF($G$2:G1428,$G1428)-1)</f>
        <v>315</v>
      </c>
    </row>
    <row r="1429" spans="6:8" x14ac:dyDescent="0.25">
      <c r="F1429" t="str">
        <f>"Overlord of the Mistmoors [Foil]"</f>
        <v>Overlord of the Mistmoors [Foil]</v>
      </c>
      <c r="G1429">
        <f>SUMIFS(Colección!$L$2:$L$10001,Colección!$F$2:$F$10001,$F1429,Colección!$M$2:$M$10001,"Compra")</f>
        <v>16.36363636363636</v>
      </c>
      <c r="H1429">
        <f>IF($G1429=0,"",_xlfn.RANK.EQ($G1429,$G$2:$G$2353,0)+COUNTIF($G$2:G1429,$G1429)-1)</f>
        <v>473</v>
      </c>
    </row>
    <row r="1430" spans="6:8" x14ac:dyDescent="0.25">
      <c r="F1430" t="str">
        <f>"Ox of Agonas"</f>
        <v>Ox of Agonas</v>
      </c>
      <c r="G1430">
        <f>SUMIFS(Colección!$L$2:$L$10001,Colección!$F$2:$F$10001,$F1430,Colección!$M$2:$M$10001,"Compra")</f>
        <v>4.9461064425770314</v>
      </c>
      <c r="H1430">
        <f>IF($G1430=0,"",_xlfn.RANK.EQ($G1430,$G$2:$G$2353,0)+COUNTIF($G$2:G1430,$G1430)-1)</f>
        <v>973</v>
      </c>
    </row>
    <row r="1431" spans="6:8" x14ac:dyDescent="0.25">
      <c r="F1431" t="str">
        <f>"Ozolith, the Shattered Spire"</f>
        <v>Ozolith, the Shattered Spire</v>
      </c>
      <c r="G1431">
        <f>SUMIFS(Colección!$L$2:$L$10001,Colección!$F$2:$F$10001,$F1431,Colección!$M$2:$M$10001,"Compra")</f>
        <v>13.8426148409894</v>
      </c>
      <c r="H1431">
        <f>IF($G1431=0,"",_xlfn.RANK.EQ($G1431,$G$2:$G$2353,0)+COUNTIF($G$2:G1431,$G1431)-1)</f>
        <v>530</v>
      </c>
    </row>
    <row r="1432" spans="6:8" x14ac:dyDescent="0.25">
      <c r="F1432" t="str">
        <f>"Pacifism"</f>
        <v>Pacifism</v>
      </c>
      <c r="G1432">
        <f>SUMIFS(Colección!$L$2:$L$10001,Colección!$F$2:$F$10001,$F1432,Colección!$M$2:$M$10001,"Compra")</f>
        <v>0.65463125322331095</v>
      </c>
      <c r="H1432">
        <f>IF($G1432=0,"",_xlfn.RANK.EQ($G1432,$G$2:$G$2353,0)+COUNTIF($G$2:G1432,$G1432)-1)</f>
        <v>1784</v>
      </c>
    </row>
    <row r="1433" spans="6:8" x14ac:dyDescent="0.25">
      <c r="F1433" t="str">
        <f>"Pagaya (OP05-109)"</f>
        <v>Pagaya (OP05-109)</v>
      </c>
      <c r="G1433">
        <f>SUMIFS(Colección!$L$2:$L$10001,Colección!$F$2:$F$10001,$F1433,Colección!$M$2:$M$10001,"Compra")</f>
        <v>5.4123408423114597E-2</v>
      </c>
      <c r="H1433">
        <f>IF($G1433=0,"",_xlfn.RANK.EQ($G1433,$G$2:$G$2353,0)+COUNTIF($G$2:G1433,$G1433)-1)</f>
        <v>2319</v>
      </c>
    </row>
    <row r="1434" spans="6:8" x14ac:dyDescent="0.25">
      <c r="F1434" t="str">
        <f>"Page One (OP04-053)"</f>
        <v>Page One (OP04-053)</v>
      </c>
      <c r="G1434">
        <f>SUMIFS(Colección!$L$2:$L$10001,Colección!$F$2:$F$10001,$F1434,Colección!$M$2:$M$10001,"Compra")</f>
        <v>6.1898734177215198E-2</v>
      </c>
      <c r="H1434">
        <f>IF($G1434=0,"",_xlfn.RANK.EQ($G1434,$G$2:$G$2353,0)+COUNTIF($G$2:G1434,$G1434)-1)</f>
        <v>2295</v>
      </c>
    </row>
    <row r="1435" spans="6:8" x14ac:dyDescent="0.25">
      <c r="F1435" t="str">
        <f>"Palantír of Orthanc"</f>
        <v>Palantír of Orthanc</v>
      </c>
      <c r="G1435">
        <f>SUMIFS(Colección!$L$2:$L$10001,Colección!$F$2:$F$10001,$F1435,Colección!$M$2:$M$10001,"Compra")</f>
        <v>68.2507464033731</v>
      </c>
      <c r="H1435">
        <f>IF($G1435=0,"",_xlfn.RANK.EQ($G1435,$G$2:$G$2353,0)+COUNTIF($G$2:G1435,$G1435)-1)</f>
        <v>118</v>
      </c>
    </row>
    <row r="1436" spans="6:8" x14ac:dyDescent="0.25">
      <c r="F1436" t="str">
        <f>"Parallax Nexus"</f>
        <v>Parallax Nexus</v>
      </c>
      <c r="G1436">
        <f>SUMIFS(Colección!$L$2:$L$10001,Colección!$F$2:$F$10001,$F1436,Colección!$M$2:$M$10001,"Compra")</f>
        <v>3.9272727272727277</v>
      </c>
      <c r="H1436">
        <f>IF($G1436=0,"",_xlfn.RANK.EQ($G1436,$G$2:$G$2353,0)+COUNTIF($G$2:G1436,$G1436)-1)</f>
        <v>1071</v>
      </c>
    </row>
    <row r="1437" spans="6:8" x14ac:dyDescent="0.25">
      <c r="F1437" t="str">
        <f>"Parallax Wave"</f>
        <v>Parallax Wave</v>
      </c>
      <c r="G1437">
        <f>SUMIFS(Colección!$L$2:$L$10001,Colección!$F$2:$F$10001,$F1437,Colección!$M$2:$M$10001,"Compra")</f>
        <v>54.927272727272715</v>
      </c>
      <c r="H1437">
        <f>IF($G1437=0,"",_xlfn.RANK.EQ($G1437,$G$2:$G$2353,0)+COUNTIF($G$2:G1437,$G1437)-1)</f>
        <v>158</v>
      </c>
    </row>
    <row r="1438" spans="6:8" x14ac:dyDescent="0.25">
      <c r="F1438" t="str">
        <f>"Parhelion II"</f>
        <v>Parhelion II</v>
      </c>
      <c r="G1438">
        <f>SUMIFS(Colección!$L$2:$L$10001,Colección!$F$2:$F$10001,$F1438,Colección!$M$2:$M$10001,"Compra")</f>
        <v>2.5083333333333333</v>
      </c>
      <c r="H1438">
        <f>IF($G1438=0,"",_xlfn.RANK.EQ($G1438,$G$2:$G$2353,0)+COUNTIF($G$2:G1438,$G1438)-1)</f>
        <v>1257</v>
      </c>
    </row>
    <row r="1439" spans="6:8" x14ac:dyDescent="0.25">
      <c r="F1439" t="str">
        <f>"Past in Flames [Playset]"</f>
        <v>Past in Flames [Playset]</v>
      </c>
      <c r="G1439">
        <f>SUMIFS(Colección!$L$2:$L$10001,Colección!$F$2:$F$10001,$F1439,Colección!$M$2:$M$10001,"Compra")</f>
        <v>8.02</v>
      </c>
      <c r="H1439">
        <f>IF($G1439=0,"",_xlfn.RANK.EQ($G1439,$G$2:$G$2353,0)+COUNTIF($G$2:G1439,$G1439)-1)</f>
        <v>748</v>
      </c>
    </row>
    <row r="1440" spans="6:8" x14ac:dyDescent="0.25">
      <c r="F1440" t="str">
        <f>"Patchwork Automaton"</f>
        <v>Patchwork Automaton</v>
      </c>
      <c r="G1440">
        <f>SUMIFS(Colección!$L$2:$L$10001,Colección!$F$2:$F$10001,$F1440,Colección!$M$2:$M$10001,"Compra")</f>
        <v>7.18</v>
      </c>
      <c r="H1440">
        <f>IF($G1440=0,"",_xlfn.RANK.EQ($G1440,$G$2:$G$2353,0)+COUNTIF($G$2:G1440,$G1440)-1)</f>
        <v>802</v>
      </c>
    </row>
    <row r="1441" spans="6:8" x14ac:dyDescent="0.25">
      <c r="F1441" t="str">
        <f>"Path to Exile"</f>
        <v>Path to Exile</v>
      </c>
      <c r="G1441">
        <f>SUMIFS(Colección!$L$2:$L$10001,Colección!$F$2:$F$10001,$F1441,Colección!$M$2:$M$10001,"Compra")</f>
        <v>15.503529411764704</v>
      </c>
      <c r="H1441">
        <f>IF($G1441=0,"",_xlfn.RANK.EQ($G1441,$G$2:$G$2353,0)+COUNTIF($G$2:G1441,$G1441)-1)</f>
        <v>490</v>
      </c>
    </row>
    <row r="1442" spans="6:8" x14ac:dyDescent="0.25">
      <c r="F1442" t="str">
        <f>"Patty (OP03-049)"</f>
        <v>Patty (OP03-049)</v>
      </c>
      <c r="G1442">
        <f>SUMIFS(Colección!$L$2:$L$10001,Colección!$F$2:$F$10001,$F1442,Colección!$M$2:$M$10001,"Compra")</f>
        <v>0.22608527131782949</v>
      </c>
      <c r="H1442">
        <f>IF($G1442=0,"",_xlfn.RANK.EQ($G1442,$G$2:$G$2353,0)+COUNTIF($G$2:G1442,$G1442)-1)</f>
        <v>2069</v>
      </c>
    </row>
    <row r="1443" spans="6:8" x14ac:dyDescent="0.25">
      <c r="F1443" t="str">
        <f>"Paulie (OP03-066) (V.1)"</f>
        <v>Paulie (OP03-066) (V.1)</v>
      </c>
      <c r="G1443">
        <f>SUMIFS(Colección!$L$2:$L$10001,Colección!$F$2:$F$10001,$F1443,Colección!$M$2:$M$10001,"Compra")</f>
        <v>0.28222996515679438</v>
      </c>
      <c r="H1443">
        <f>IF($G1443=0,"",_xlfn.RANK.EQ($G1443,$G$2:$G$2353,0)+COUNTIF($G$2:G1443,$G1443)-1)</f>
        <v>2017</v>
      </c>
    </row>
    <row r="1444" spans="6:8" x14ac:dyDescent="0.25">
      <c r="F1444" t="str">
        <f>"Pawpatch Formation"</f>
        <v>Pawpatch Formation</v>
      </c>
      <c r="G1444">
        <f>SUMIFS(Colección!$L$2:$L$10001,Colección!$F$2:$F$10001,$F1444,Colección!$M$2:$M$10001,"Compra")</f>
        <v>10.514942528735633</v>
      </c>
      <c r="H1444">
        <f>IF($G1444=0,"",_xlfn.RANK.EQ($G1444,$G$2:$G$2353,0)+COUNTIF($G$2:G1444,$G1444)-1)</f>
        <v>644</v>
      </c>
    </row>
    <row r="1445" spans="6:8" x14ac:dyDescent="0.25">
      <c r="F1445" t="str">
        <f>"Pearl (OP03-031)"</f>
        <v>Pearl (OP03-031)</v>
      </c>
      <c r="G1445">
        <f>SUMIFS(Colección!$L$2:$L$10001,Colección!$F$2:$F$10001,$F1445,Colección!$M$2:$M$10001,"Compra")</f>
        <v>0.1427906976744186</v>
      </c>
      <c r="H1445">
        <f>IF($G1445=0,"",_xlfn.RANK.EQ($G1445,$G$2:$G$2353,0)+COUNTIF($G$2:G1445,$G1445)-1)</f>
        <v>2125</v>
      </c>
    </row>
    <row r="1446" spans="6:8" x14ac:dyDescent="0.25">
      <c r="F1446" t="str">
        <f>"Peepley Lulu (OP03-067)"</f>
        <v>Peepley Lulu (OP03-067)</v>
      </c>
      <c r="G1446">
        <f>SUMIFS(Colección!$L$2:$L$10001,Colección!$F$2:$F$10001,$F1446,Colección!$M$2:$M$10001,"Compra")</f>
        <v>0.22608527131782949</v>
      </c>
      <c r="H1446">
        <f>IF($G1446=0,"",_xlfn.RANK.EQ($G1446,$G$2:$G$2353,0)+COUNTIF($G$2:G1446,$G1446)-1)</f>
        <v>2070</v>
      </c>
    </row>
    <row r="1447" spans="6:8" x14ac:dyDescent="0.25">
      <c r="F1447" t="str">
        <f>"Pell (OP04-013) (V.1)"</f>
        <v>Pell (OP04-013) (V.1)</v>
      </c>
      <c r="G1447">
        <f>SUMIFS(Colección!$L$2:$L$10001,Colección!$F$2:$F$10001,$F1447,Colección!$M$2:$M$10001,"Compra")</f>
        <v>1.6259695817490489</v>
      </c>
      <c r="H1447">
        <f>IF($G1447=0,"",_xlfn.RANK.EQ($G1447,$G$2:$G$2353,0)+COUNTIF($G$2:G1447,$G1447)-1)</f>
        <v>1457</v>
      </c>
    </row>
    <row r="1448" spans="6:8" x14ac:dyDescent="0.25">
      <c r="F1448" t="str">
        <f>"Pell (OP05-014)"</f>
        <v>Pell (OP05-014)</v>
      </c>
      <c r="G1448">
        <f>SUMIFS(Colección!$L$2:$L$10001,Colección!$F$2:$F$10001,$F1448,Colección!$M$2:$M$10001,"Compra")</f>
        <v>4.0592556317335937E-2</v>
      </c>
      <c r="H1448">
        <f>IF($G1448=0,"",_xlfn.RANK.EQ($G1448,$G$2:$G$2353,0)+COUNTIF($G$2:G1448,$G1448)-1)</f>
        <v>2333</v>
      </c>
    </row>
    <row r="1449" spans="6:8" x14ac:dyDescent="0.25">
      <c r="F1449" t="str">
        <f>"Pendelhaven"</f>
        <v>Pendelhaven</v>
      </c>
      <c r="G1449">
        <f>SUMIFS(Colección!$L$2:$L$10001,Colección!$F$2:$F$10001,$F1449,Colección!$M$2:$M$10001,"Compra")</f>
        <v>9.5943602693602692</v>
      </c>
      <c r="H1449">
        <f>IF($G1449=0,"",_xlfn.RANK.EQ($G1449,$G$2:$G$2353,0)+COUNTIF($G$2:G1449,$G1449)-1)</f>
        <v>680</v>
      </c>
    </row>
    <row r="1450" spans="6:8" x14ac:dyDescent="0.25">
      <c r="F1450" t="str">
        <f>"Pensive Professor"</f>
        <v>Pensive Professor</v>
      </c>
      <c r="G1450">
        <f>SUMIFS(Colección!$L$2:$L$10001,Colección!$F$2:$F$10001,$F1450,Colección!$M$2:$M$10001,"Compra")</f>
        <v>6.511764705882352</v>
      </c>
      <c r="H1450">
        <f>IF($G1450=0,"",_xlfn.RANK.EQ($G1450,$G$2:$G$2353,0)+COUNTIF($G$2:G1450,$G1450)-1)</f>
        <v>845</v>
      </c>
    </row>
    <row r="1451" spans="6:8" x14ac:dyDescent="0.25">
      <c r="F1451" t="str">
        <f>"Perish"</f>
        <v>Perish</v>
      </c>
      <c r="G1451">
        <f>SUMIFS(Colección!$L$2:$L$10001,Colección!$F$2:$F$10001,$F1451,Colección!$M$2:$M$10001,"Compra")</f>
        <v>3.272727272727272</v>
      </c>
      <c r="H1451">
        <f>IF($G1451=0,"",_xlfn.RANK.EQ($G1451,$G$2:$G$2353,0)+COUNTIF($G$2:G1451,$G1451)-1)</f>
        <v>1171</v>
      </c>
    </row>
    <row r="1452" spans="6:8" x14ac:dyDescent="0.25">
      <c r="F1452" t="str">
        <f>"Pernicious Deed"</f>
        <v>Pernicious Deed</v>
      </c>
      <c r="G1452">
        <f>SUMIFS(Colección!$L$2:$L$10001,Colección!$F$2:$F$10001,$F1452,Colección!$M$2:$M$10001,"Compra")</f>
        <v>8.1818181818181817</v>
      </c>
      <c r="H1452">
        <f>IF($G1452=0,"",_xlfn.RANK.EQ($G1452,$G$2:$G$2353,0)+COUNTIF($G$2:G1452,$G1452)-1)</f>
        <v>739</v>
      </c>
    </row>
    <row r="1453" spans="6:8" x14ac:dyDescent="0.25">
      <c r="F1453" t="str">
        <f>"Persist"</f>
        <v>Persist</v>
      </c>
      <c r="G1453">
        <f>SUMIFS(Colección!$L$2:$L$10001,Colección!$F$2:$F$10001,$F1453,Colección!$M$2:$M$10001,"Compra")</f>
        <v>23.545425235243311</v>
      </c>
      <c r="H1453">
        <f>IF($G1453=0,"",_xlfn.RANK.EQ($G1453,$G$2:$G$2353,0)+COUNTIF($G$2:G1453,$G1453)-1)</f>
        <v>332</v>
      </c>
    </row>
    <row r="1454" spans="6:8" x14ac:dyDescent="0.25">
      <c r="F1454" t="str">
        <f>"Pest Control (V.1)"</f>
        <v>Pest Control (V.1)</v>
      </c>
      <c r="G1454">
        <f>SUMIFS(Colección!$L$2:$L$10001,Colección!$F$2:$F$10001,$F1454,Colección!$M$2:$M$10001,"Compra")</f>
        <v>21.014439461883409</v>
      </c>
      <c r="H1454">
        <f>IF($G1454=0,"",_xlfn.RANK.EQ($G1454,$G$2:$G$2353,0)+COUNTIF($G$2:G1454,$G1454)-1)</f>
        <v>378</v>
      </c>
    </row>
    <row r="1455" spans="6:8" x14ac:dyDescent="0.25">
      <c r="F1455" t="str">
        <f>"Pestermite"</f>
        <v>Pestermite</v>
      </c>
      <c r="G1455">
        <f>SUMIFS(Colección!$L$2:$L$10001,Colección!$F$2:$F$10001,$F1455,Colección!$M$2:$M$10001,"Compra")</f>
        <v>2.4855645161290321</v>
      </c>
      <c r="H1455">
        <f>IF($G1455=0,"",_xlfn.RANK.EQ($G1455,$G$2:$G$2353,0)+COUNTIF($G$2:G1455,$G1455)-1)</f>
        <v>1261</v>
      </c>
    </row>
    <row r="1456" spans="6:8" x14ac:dyDescent="0.25">
      <c r="F1456" t="str">
        <f>"Phantasmal Shieldback"</f>
        <v>Phantasmal Shieldback</v>
      </c>
      <c r="G1456">
        <f>SUMIFS(Colección!$L$2:$L$10001,Colección!$F$2:$F$10001,$F1456,Colección!$M$2:$M$10001,"Compra")</f>
        <v>1.8</v>
      </c>
      <c r="H1456">
        <f>IF($G1456=0,"",_xlfn.RANK.EQ($G1456,$G$2:$G$2353,0)+COUNTIF($G$2:G1456,$G1456)-1)</f>
        <v>1402</v>
      </c>
    </row>
    <row r="1457" spans="6:8" x14ac:dyDescent="0.25">
      <c r="F1457" t="str">
        <f>"Phelia, Exuberant Shepherd (V.2)"</f>
        <v>Phelia, Exuberant Shepherd (V.2)</v>
      </c>
      <c r="G1457">
        <f>SUMIFS(Colección!$L$2:$L$10001,Colección!$F$2:$F$10001,$F1457,Colección!$M$2:$M$10001,"Compra")</f>
        <v>18.062068273092372</v>
      </c>
      <c r="H1457">
        <f>IF($G1457=0,"",_xlfn.RANK.EQ($G1457,$G$2:$G$2353,0)+COUNTIF($G$2:G1457,$G1457)-1)</f>
        <v>430</v>
      </c>
    </row>
    <row r="1458" spans="6:8" x14ac:dyDescent="0.25">
      <c r="F1458" t="str">
        <f>"Phial of Galadriel"</f>
        <v>Phial of Galadriel</v>
      </c>
      <c r="G1458">
        <f>SUMIFS(Colección!$L$2:$L$10001,Colección!$F$2:$F$10001,$F1458,Colección!$M$2:$M$10001,"Compra")</f>
        <v>1.3827793288313011</v>
      </c>
      <c r="H1458">
        <f>IF($G1458=0,"",_xlfn.RANK.EQ($G1458,$G$2:$G$2353,0)+COUNTIF($G$2:G1458,$G1458)-1)</f>
        <v>1513</v>
      </c>
    </row>
    <row r="1459" spans="6:8" x14ac:dyDescent="0.25">
      <c r="F1459" t="str">
        <f>"Phlage, Titan of Fire's Fury"</f>
        <v>Phlage, Titan of Fire's Fury</v>
      </c>
      <c r="G1459">
        <f>SUMIFS(Colección!$L$2:$L$10001,Colección!$F$2:$F$10001,$F1459,Colección!$M$2:$M$10001,"Compra")</f>
        <v>103.99</v>
      </c>
      <c r="H1459">
        <f>IF($G1459=0,"",_xlfn.RANK.EQ($G1459,$G$2:$G$2353,0)+COUNTIF($G$2:G1459,$G1459)-1)</f>
        <v>71</v>
      </c>
    </row>
    <row r="1460" spans="6:8" x14ac:dyDescent="0.25">
      <c r="F1460" t="str">
        <f>"Phlage, Titan of Fire's Fury (V.1)"</f>
        <v>Phlage, Titan of Fire's Fury (V.1)</v>
      </c>
      <c r="G1460">
        <f>SUMIFS(Colección!$L$2:$L$10001,Colección!$F$2:$F$10001,$F1460,Colección!$M$2:$M$10001,"Compra")</f>
        <v>208.81</v>
      </c>
      <c r="H1460">
        <f>IF($G1460=0,"",_xlfn.RANK.EQ($G1460,$G$2:$G$2353,0)+COUNTIF($G$2:G1460,$G1460)-1)</f>
        <v>20</v>
      </c>
    </row>
    <row r="1461" spans="6:8" x14ac:dyDescent="0.25">
      <c r="F1461" t="str">
        <f>"Phoenix Chick"</f>
        <v>Phoenix Chick</v>
      </c>
      <c r="G1461">
        <f>SUMIFS(Colección!$L$2:$L$10001,Colección!$F$2:$F$10001,$F1461,Colección!$M$2:$M$10001,"Compra")</f>
        <v>1.3036508119313599</v>
      </c>
      <c r="H1461">
        <f>IF($G1461=0,"",_xlfn.RANK.EQ($G1461,$G$2:$G$2353,0)+COUNTIF($G$2:G1461,$G1461)-1)</f>
        <v>1542</v>
      </c>
    </row>
    <row r="1462" spans="6:8" x14ac:dyDescent="0.25">
      <c r="F1462" t="str">
        <f>"Phoenix Down"</f>
        <v>Phoenix Down</v>
      </c>
      <c r="G1462">
        <f>SUMIFS(Colección!$L$2:$L$10001,Colección!$F$2:$F$10001,$F1462,Colección!$M$2:$M$10001,"Compra")</f>
        <v>2.2172392638036809</v>
      </c>
      <c r="H1462">
        <f>IF($G1462=0,"",_xlfn.RANK.EQ($G1462,$G$2:$G$2353,0)+COUNTIF($G$2:G1462,$G1462)-1)</f>
        <v>1308</v>
      </c>
    </row>
    <row r="1463" spans="6:8" x14ac:dyDescent="0.25">
      <c r="F1463" t="str">
        <f>"Phyrexian Arena"</f>
        <v>Phyrexian Arena</v>
      </c>
      <c r="G1463">
        <f>SUMIFS(Colección!$L$2:$L$10001,Colección!$F$2:$F$10001,$F1463,Colección!$M$2:$M$10001,"Compra")</f>
        <v>19.5</v>
      </c>
      <c r="H1463">
        <f>IF($G1463=0,"",_xlfn.RANK.EQ($G1463,$G$2:$G$2353,0)+COUNTIF($G$2:G1463,$G1463)-1)</f>
        <v>403</v>
      </c>
    </row>
    <row r="1464" spans="6:8" x14ac:dyDescent="0.25">
      <c r="F1464" t="str">
        <f>"Phyrexian Fleshgorger"</f>
        <v>Phyrexian Fleshgorger</v>
      </c>
      <c r="G1464">
        <f>SUMIFS(Colección!$L$2:$L$10001,Colección!$F$2:$F$10001,$F1464,Colección!$M$2:$M$10001,"Compra")</f>
        <v>10.74063973063973</v>
      </c>
      <c r="H1464">
        <f>IF($G1464=0,"",_xlfn.RANK.EQ($G1464,$G$2:$G$2353,0)+COUNTIF($G$2:G1464,$G1464)-1)</f>
        <v>633</v>
      </c>
    </row>
    <row r="1465" spans="6:8" x14ac:dyDescent="0.25">
      <c r="F1465" t="str">
        <f>"Phyrexian Furnace"</f>
        <v>Phyrexian Furnace</v>
      </c>
      <c r="G1465">
        <f>SUMIFS(Colección!$L$2:$L$10001,Colección!$F$2:$F$10001,$F1465,Colección!$M$2:$M$10001,"Compra")</f>
        <v>16.363636363636367</v>
      </c>
      <c r="H1465">
        <f>IF($G1465=0,"",_xlfn.RANK.EQ($G1465,$G$2:$G$2353,0)+COUNTIF($G$2:G1465,$G1465)-1)</f>
        <v>473</v>
      </c>
    </row>
    <row r="1466" spans="6:8" x14ac:dyDescent="0.25">
      <c r="F1466" t="str">
        <f>"Phyrexian Germ Token (Black 0/0)"</f>
        <v>Phyrexian Germ Token (Black 0/0)</v>
      </c>
      <c r="G1466">
        <f>SUMIFS(Colección!$L$2:$L$10001,Colección!$F$2:$F$10001,$F1466,Colección!$M$2:$M$10001,"Compra")</f>
        <v>0.27447089947089948</v>
      </c>
      <c r="H1466">
        <f>IF($G1466=0,"",_xlfn.RANK.EQ($G1466,$G$2:$G$2353,0)+COUNTIF($G$2:G1466,$G1466)-1)</f>
        <v>2031</v>
      </c>
    </row>
    <row r="1467" spans="6:8" x14ac:dyDescent="0.25">
      <c r="F1467" t="str">
        <f>"Phyrexian Rager"</f>
        <v>Phyrexian Rager</v>
      </c>
      <c r="G1467">
        <f>SUMIFS(Colección!$L$2:$L$10001,Colección!$F$2:$F$10001,$F1467,Colección!$M$2:$M$10001,"Compra")</f>
        <v>2.1818181818181821</v>
      </c>
      <c r="H1467">
        <f>IF($G1467=0,"",_xlfn.RANK.EQ($G1467,$G$2:$G$2353,0)+COUNTIF($G$2:G1467,$G1467)-1)</f>
        <v>1323</v>
      </c>
    </row>
    <row r="1468" spans="6:8" x14ac:dyDescent="0.25">
      <c r="F1468" t="str">
        <f>"Phyrexian Revoker (V.1)"</f>
        <v>Phyrexian Revoker (V.1)</v>
      </c>
      <c r="G1468">
        <f>SUMIFS(Colección!$L$2:$L$10001,Colección!$F$2:$F$10001,$F1468,Colección!$M$2:$M$10001,"Compra")</f>
        <v>1.5507692307692307</v>
      </c>
      <c r="H1468">
        <f>IF($G1468=0,"",_xlfn.RANK.EQ($G1468,$G$2:$G$2353,0)+COUNTIF($G$2:G1468,$G1468)-1)</f>
        <v>1476</v>
      </c>
    </row>
    <row r="1469" spans="6:8" x14ac:dyDescent="0.25">
      <c r="F1469" t="str">
        <f>"Phyrexian Unlife"</f>
        <v>Phyrexian Unlife</v>
      </c>
      <c r="G1469">
        <f>SUMIFS(Colección!$L$2:$L$10001,Colección!$F$2:$F$10001,$F1469,Colección!$M$2:$M$10001,"Compra")</f>
        <v>4.18</v>
      </c>
      <c r="H1469">
        <f>IF($G1469=0,"",_xlfn.RANK.EQ($G1469,$G$2:$G$2353,0)+COUNTIF($G$2:G1469,$G1469)-1)</f>
        <v>1050</v>
      </c>
    </row>
    <row r="1470" spans="6:8" x14ac:dyDescent="0.25">
      <c r="F1470" t="str">
        <f>"Pia and Kiran Nalaar"</f>
        <v>Pia and Kiran Nalaar</v>
      </c>
      <c r="G1470">
        <f>SUMIFS(Colección!$L$2:$L$10001,Colección!$F$2:$F$10001,$F1470,Colección!$M$2:$M$10001,"Compra")</f>
        <v>0.75377345378735228</v>
      </c>
      <c r="H1470">
        <f>IF($G1470=0,"",_xlfn.RANK.EQ($G1470,$G$2:$G$2353,0)+COUNTIF($G$2:G1470,$G1470)-1)</f>
        <v>1741</v>
      </c>
    </row>
    <row r="1471" spans="6:8" x14ac:dyDescent="0.25">
      <c r="F1471" t="str">
        <f>"Pica (OP05-032) (V.1)"</f>
        <v>Pica (OP05-032) (V.1)</v>
      </c>
      <c r="G1471">
        <f>SUMIFS(Colección!$L$2:$L$10001,Colección!$F$2:$F$10001,$F1471,Colección!$M$2:$M$10001,"Compra")</f>
        <v>0.93362879529872667</v>
      </c>
      <c r="H1471">
        <f>IF($G1471=0,"",_xlfn.RANK.EQ($G1471,$G$2:$G$2353,0)+COUNTIF($G$2:G1471,$G1471)-1)</f>
        <v>1678</v>
      </c>
    </row>
    <row r="1472" spans="6:8" x14ac:dyDescent="0.25">
      <c r="F1472" t="str">
        <f>"Pick Your Poison"</f>
        <v>Pick Your Poison</v>
      </c>
      <c r="G1472">
        <f>SUMIFS(Colección!$L$2:$L$10001,Colección!$F$2:$F$10001,$F1472,Colección!$M$2:$M$10001,"Compra")</f>
        <v>2.0802816901408452</v>
      </c>
      <c r="H1472">
        <f>IF($G1472=0,"",_xlfn.RANK.EQ($G1472,$G$2:$G$2353,0)+COUNTIF($G$2:G1472,$G1472)-1)</f>
        <v>1348</v>
      </c>
    </row>
    <row r="1473" spans="6:8" x14ac:dyDescent="0.25">
      <c r="F1473" t="str">
        <f>"Picklock Prankster // Free the Fae"</f>
        <v>Picklock Prankster // Free the Fae</v>
      </c>
      <c r="G1473">
        <f>SUMIFS(Colección!$L$2:$L$10001,Colección!$F$2:$F$10001,$F1473,Colección!$M$2:$M$10001,"Compra")</f>
        <v>4.42</v>
      </c>
      <c r="H1473">
        <f>IF($G1473=0,"",_xlfn.RANK.EQ($G1473,$G$2:$G$2353,0)+COUNTIF($G$2:G1473,$G1473)-1)</f>
        <v>1008</v>
      </c>
    </row>
    <row r="1474" spans="6:8" x14ac:dyDescent="0.25">
      <c r="F1474" t="str">
        <f>"Pieces of the Puzzle"</f>
        <v>Pieces of the Puzzle</v>
      </c>
      <c r="G1474">
        <f>SUMIFS(Colección!$L$2:$L$10001,Colección!$F$2:$F$10001,$F1474,Colección!$M$2:$M$10001,"Compra")</f>
        <v>4.1896008787989762</v>
      </c>
      <c r="H1474">
        <f>IF($G1474=0,"",_xlfn.RANK.EQ($G1474,$G$2:$G$2353,0)+COUNTIF($G$2:G1474,$G1474)-1)</f>
        <v>1049</v>
      </c>
    </row>
    <row r="1475" spans="6:8" x14ac:dyDescent="0.25">
      <c r="F1475" t="str">
        <f>"Pillage the Bog"</f>
        <v>Pillage the Bog</v>
      </c>
      <c r="G1475">
        <f>SUMIFS(Colección!$L$2:$L$10001,Colección!$F$2:$F$10001,$F1475,Colección!$M$2:$M$10001,"Compra")</f>
        <v>7.22</v>
      </c>
      <c r="H1475">
        <f>IF($G1475=0,"",_xlfn.RANK.EQ($G1475,$G$2:$G$2353,0)+COUNTIF($G$2:G1475,$G1475)-1)</f>
        <v>797</v>
      </c>
    </row>
    <row r="1476" spans="6:8" x14ac:dyDescent="0.25">
      <c r="F1476" t="str">
        <f>"Pinnacle Emissary"</f>
        <v>Pinnacle Emissary</v>
      </c>
      <c r="G1476">
        <f>SUMIFS(Colección!$L$2:$L$10001,Colección!$F$2:$F$10001,$F1476,Colección!$M$2:$M$10001,"Compra")</f>
        <v>24.93</v>
      </c>
      <c r="H1476">
        <f>IF($G1476=0,"",_xlfn.RANK.EQ($G1476,$G$2:$G$2353,0)+COUNTIF($G$2:G1476,$G1476)-1)</f>
        <v>314</v>
      </c>
    </row>
    <row r="1477" spans="6:8" x14ac:dyDescent="0.25">
      <c r="F1477" t="str">
        <f>"Pippin, Guard of the Citadel"</f>
        <v>Pippin, Guard of the Citadel</v>
      </c>
      <c r="G1477">
        <f>SUMIFS(Colección!$L$2:$L$10001,Colección!$F$2:$F$10001,$F1477,Colección!$M$2:$M$10001,"Compra")</f>
        <v>0.40273224043715838</v>
      </c>
      <c r="H1477">
        <f>IF($G1477=0,"",_xlfn.RANK.EQ($G1477,$G$2:$G$2353,0)+COUNTIF($G$2:G1477,$G1477)-1)</f>
        <v>1961</v>
      </c>
    </row>
    <row r="1478" spans="6:8" x14ac:dyDescent="0.25">
      <c r="F1478" t="str">
        <f>"Pippin, Guard of the Citadel (V.1)"</f>
        <v>Pippin, Guard of the Citadel (V.1)</v>
      </c>
      <c r="G1478">
        <f>SUMIFS(Colección!$L$2:$L$10001,Colección!$F$2:$F$10001,$F1478,Colección!$M$2:$M$10001,"Compra")</f>
        <v>2.1399196787148589</v>
      </c>
      <c r="H1478">
        <f>IF($G1478=0,"",_xlfn.RANK.EQ($G1478,$G$2:$G$2353,0)+COUNTIF($G$2:G1478,$G1478)-1)</f>
        <v>1334</v>
      </c>
    </row>
    <row r="1479" spans="6:8" x14ac:dyDescent="0.25">
      <c r="F1479" t="str">
        <f>"Pippin, Guard of the Citadel (V.2)"</f>
        <v>Pippin, Guard of the Citadel (V.2)</v>
      </c>
      <c r="G1479">
        <f>SUMIFS(Colección!$L$2:$L$10001,Colección!$F$2:$F$10001,$F1479,Colección!$M$2:$M$10001,"Compra")</f>
        <v>2.3164012738853499</v>
      </c>
      <c r="H1479">
        <f>IF($G1479=0,"",_xlfn.RANK.EQ($G1479,$G$2:$G$2353,0)+COUNTIF($G$2:G1479,$G1479)-1)</f>
        <v>1286</v>
      </c>
    </row>
    <row r="1480" spans="6:8" x14ac:dyDescent="0.25">
      <c r="F1480" t="str">
        <f>"Pit Rookie"</f>
        <v>Pit Rookie</v>
      </c>
      <c r="G1480">
        <f>SUMIFS(Colección!$L$2:$L$10001,Colección!$F$2:$F$10001,$F1480,Colección!$M$2:$M$10001,"Compra")</f>
        <v>3.419624060150376</v>
      </c>
      <c r="H1480">
        <f>IF($G1480=0,"",_xlfn.RANK.EQ($G1480,$G$2:$G$2353,0)+COUNTIF($G$2:G1480,$G1480)-1)</f>
        <v>1135</v>
      </c>
    </row>
    <row r="1481" spans="6:8" x14ac:dyDescent="0.25">
      <c r="F1481" t="str">
        <f>"Pithing Needle"</f>
        <v>Pithing Needle</v>
      </c>
      <c r="G1481">
        <f>SUMIFS(Colección!$L$2:$L$10001,Colección!$F$2:$F$10001,$F1481,Colección!$M$2:$M$10001,"Compra")</f>
        <v>0.67920000000000003</v>
      </c>
      <c r="H1481">
        <f>IF($G1481=0,"",_xlfn.RANK.EQ($G1481,$G$2:$G$2353,0)+COUNTIF($G$2:G1481,$G1481)-1)</f>
        <v>1771</v>
      </c>
    </row>
    <row r="1482" spans="6:8" x14ac:dyDescent="0.25">
      <c r="F1482" t="str">
        <f>"Plague Engineer (V.1)"</f>
        <v>Plague Engineer (V.1)</v>
      </c>
      <c r="G1482">
        <f>SUMIFS(Colección!$L$2:$L$10001,Colección!$F$2:$F$10001,$F1482,Colección!$M$2:$M$10001,"Compra")</f>
        <v>5.78</v>
      </c>
      <c r="H1482">
        <f>IF($G1482=0,"",_xlfn.RANK.EQ($G1482,$G$2:$G$2353,0)+COUNTIF($G$2:G1482,$G1482)-1)</f>
        <v>905</v>
      </c>
    </row>
    <row r="1483" spans="6:8" x14ac:dyDescent="0.25">
      <c r="F1483" t="str">
        <f>"Plague Rounds (OP04-055)"</f>
        <v>Plague Rounds (OP04-055)</v>
      </c>
      <c r="G1483">
        <f>SUMIFS(Colección!$L$2:$L$10001,Colección!$F$2:$F$10001,$F1483,Colección!$M$2:$M$10001,"Compra")</f>
        <v>6.1898734177215198E-2</v>
      </c>
      <c r="H1483">
        <f>IF($G1483=0,"",_xlfn.RANK.EQ($G1483,$G$2:$G$2353,0)+COUNTIF($G$2:G1483,$G1483)-1)</f>
        <v>2296</v>
      </c>
    </row>
    <row r="1484" spans="6:8" x14ac:dyDescent="0.25">
      <c r="F1484" t="str">
        <f>"Plague Stinger"</f>
        <v>Plague Stinger</v>
      </c>
      <c r="G1484">
        <f>SUMIFS(Colección!$L$2:$L$10001,Colección!$F$2:$F$10001,$F1484,Colección!$M$2:$M$10001,"Compra")</f>
        <v>1.335114503816794</v>
      </c>
      <c r="H1484">
        <f>IF($G1484=0,"",_xlfn.RANK.EQ($G1484,$G$2:$G$2353,0)+COUNTIF($G$2:G1484,$G1484)-1)</f>
        <v>1529</v>
      </c>
    </row>
    <row r="1485" spans="6:8" x14ac:dyDescent="0.25">
      <c r="F1485" t="str">
        <f>"Plains"</f>
        <v>Plains</v>
      </c>
      <c r="G1485">
        <f>SUMIFS(Colección!$L$2:$L$10001,Colección!$F$2:$F$10001,$F1485,Colección!$M$2:$M$10001,"Compra")</f>
        <v>61.710326251450709</v>
      </c>
      <c r="H1485">
        <f>IF($G1485=0,"",_xlfn.RANK.EQ($G1485,$G$2:$G$2353,0)+COUNTIF($G$2:G1485,$G1485)-1)</f>
        <v>138</v>
      </c>
    </row>
    <row r="1486" spans="6:8" x14ac:dyDescent="0.25">
      <c r="F1486" t="str">
        <f>"Plains (V.1)"</f>
        <v>Plains (V.1)</v>
      </c>
      <c r="G1486">
        <f>SUMIFS(Colección!$L$2:$L$10001,Colección!$F$2:$F$10001,$F1486,Colección!$M$2:$M$10001,"Compra")</f>
        <v>12.166372689928645</v>
      </c>
      <c r="H1486">
        <f>IF($G1486=0,"",_xlfn.RANK.EQ($G1486,$G$2:$G$2353,0)+COUNTIF($G$2:G1486,$G1486)-1)</f>
        <v>575</v>
      </c>
    </row>
    <row r="1487" spans="6:8" x14ac:dyDescent="0.25">
      <c r="F1487" t="str">
        <f>"Plains (V.2)"</f>
        <v>Plains (V.2)</v>
      </c>
      <c r="G1487">
        <f>SUMIFS(Colección!$L$2:$L$10001,Colección!$F$2:$F$10001,$F1487,Colección!$M$2:$M$10001,"Compra")</f>
        <v>16.895494323974461</v>
      </c>
      <c r="H1487">
        <f>IF($G1487=0,"",_xlfn.RANK.EQ($G1487,$G$2:$G$2353,0)+COUNTIF($G$2:G1487,$G1487)-1)</f>
        <v>454</v>
      </c>
    </row>
    <row r="1488" spans="6:8" x14ac:dyDescent="0.25">
      <c r="F1488" t="str">
        <f>"Plains (V.3)"</f>
        <v>Plains (V.3)</v>
      </c>
      <c r="G1488">
        <f>SUMIFS(Colección!$L$2:$L$10001,Colección!$F$2:$F$10001,$F1488,Colección!$M$2:$M$10001,"Compra")</f>
        <v>1.7444374745021669</v>
      </c>
      <c r="H1488">
        <f>IF($G1488=0,"",_xlfn.RANK.EQ($G1488,$G$2:$G$2353,0)+COUNTIF($G$2:G1488,$G1488)-1)</f>
        <v>1415</v>
      </c>
    </row>
    <row r="1489" spans="6:8" x14ac:dyDescent="0.25">
      <c r="F1489" t="str">
        <f>"Plains (V.4)"</f>
        <v>Plains (V.4)</v>
      </c>
      <c r="G1489">
        <f>SUMIFS(Colección!$L$2:$L$10001,Colección!$F$2:$F$10001,$F1489,Colección!$M$2:$M$10001,"Compra")</f>
        <v>2.6797376850276726</v>
      </c>
      <c r="H1489">
        <f>IF($G1489=0,"",_xlfn.RANK.EQ($G1489,$G$2:$G$2353,0)+COUNTIF($G$2:G1489,$G1489)-1)</f>
        <v>1230</v>
      </c>
    </row>
    <row r="1490" spans="6:8" x14ac:dyDescent="0.25">
      <c r="F1490" t="str">
        <f>"Planar Genesis"</f>
        <v>Planar Genesis</v>
      </c>
      <c r="G1490">
        <f>SUMIFS(Colección!$L$2:$L$10001,Colección!$F$2:$F$10001,$F1490,Colección!$M$2:$M$10001,"Compra")</f>
        <v>0.98478260869565215</v>
      </c>
      <c r="H1490">
        <f>IF($G1490=0,"",_xlfn.RANK.EQ($G1490,$G$2:$G$2353,0)+COUNTIF($G$2:G1490,$G1490)-1)</f>
        <v>1664</v>
      </c>
    </row>
    <row r="1491" spans="6:8" x14ac:dyDescent="0.25">
      <c r="F1491" t="str">
        <f>"Planar Nexus"</f>
        <v>Planar Nexus</v>
      </c>
      <c r="G1491">
        <f>SUMIFS(Colección!$L$2:$L$10001,Colección!$F$2:$F$10001,$F1491,Colección!$M$2:$M$10001,"Compra")</f>
        <v>19.290000000000003</v>
      </c>
      <c r="H1491">
        <f>IF($G1491=0,"",_xlfn.RANK.EQ($G1491,$G$2:$G$2353,0)+COUNTIF($G$2:G1491,$G1491)-1)</f>
        <v>409</v>
      </c>
    </row>
    <row r="1492" spans="6:8" x14ac:dyDescent="0.25">
      <c r="F1492" t="str">
        <f>"Planar Void"</f>
        <v>Planar Void</v>
      </c>
      <c r="G1492">
        <f>SUMIFS(Colección!$L$2:$L$10001,Colección!$F$2:$F$10001,$F1492,Colección!$M$2:$M$10001,"Compra")</f>
        <v>8.7272727272727284</v>
      </c>
      <c r="H1492">
        <f>IF($G1492=0,"",_xlfn.RANK.EQ($G1492,$G$2:$G$2353,0)+COUNTIF($G$2:G1492,$G1492)-1)</f>
        <v>719</v>
      </c>
    </row>
    <row r="1493" spans="6:8" x14ac:dyDescent="0.25">
      <c r="F1493" t="str">
        <f>"Plant Token (Green 0/1)"</f>
        <v>Plant Token (Green 0/1)</v>
      </c>
      <c r="G1493">
        <f>SUMIFS(Colección!$L$2:$L$10001,Colección!$F$2:$F$10001,$F1493,Colección!$M$2:$M$10001,"Compra")</f>
        <v>0.20955223880597013</v>
      </c>
      <c r="H1493">
        <f>IF($G1493=0,"",_xlfn.RANK.EQ($G1493,$G$2:$G$2353,0)+COUNTIF($G$2:G1493,$G1493)-1)</f>
        <v>2088</v>
      </c>
    </row>
    <row r="1494" spans="6:8" x14ac:dyDescent="0.25">
      <c r="F1494" t="str">
        <f>"Plaza of Heroes"</f>
        <v>Plaza of Heroes</v>
      </c>
      <c r="G1494">
        <f>SUMIFS(Colección!$L$2:$L$10001,Colección!$F$2:$F$10001,$F1494,Colección!$M$2:$M$10001,"Compra")</f>
        <v>7.71</v>
      </c>
      <c r="H1494">
        <f>IF($G1494=0,"",_xlfn.RANK.EQ($G1494,$G$2:$G$2353,0)+COUNTIF($G$2:G1494,$G1494)-1)</f>
        <v>764</v>
      </c>
    </row>
    <row r="1495" spans="6:8" x14ac:dyDescent="0.25">
      <c r="F1495" t="str">
        <f>"Plundering Poro"</f>
        <v>Plundering Poro</v>
      </c>
      <c r="G1495">
        <f>SUMIFS(Colección!$L$2:$L$10001,Colección!$F$2:$F$10001,$F1495,Colección!$M$2:$M$10001,"Compra")</f>
        <v>2.8</v>
      </c>
      <c r="H1495">
        <f>IF($G1495=0,"",_xlfn.RANK.EQ($G1495,$G$2:$G$2353,0)+COUNTIF($G$2:G1495,$G1495)-1)</f>
        <v>1216</v>
      </c>
    </row>
    <row r="1496" spans="6:8" x14ac:dyDescent="0.25">
      <c r="F1496" t="str">
        <f>"Polluted Delta"</f>
        <v>Polluted Delta</v>
      </c>
      <c r="G1496">
        <f>SUMIFS(Colección!$L$2:$L$10001,Colección!$F$2:$F$10001,$F1496,Colección!$M$2:$M$10001,"Compra")</f>
        <v>60.08</v>
      </c>
      <c r="H1496">
        <f>IF($G1496=0,"",_xlfn.RANK.EQ($G1496,$G$2:$G$2353,0)+COUNTIF($G$2:G1496,$G1496)-1)</f>
        <v>143</v>
      </c>
    </row>
    <row r="1497" spans="6:8" x14ac:dyDescent="0.25">
      <c r="F1497" t="str">
        <f>"Ponder"</f>
        <v>Ponder</v>
      </c>
      <c r="G1497">
        <f>SUMIFS(Colección!$L$2:$L$10001,Colección!$F$2:$F$10001,$F1497,Colección!$M$2:$M$10001,"Compra")</f>
        <v>7.06</v>
      </c>
      <c r="H1497">
        <f>IF($G1497=0,"",_xlfn.RANK.EQ($G1497,$G$2:$G$2353,0)+COUNTIF($G$2:G1497,$G1497)-1)</f>
        <v>809</v>
      </c>
    </row>
    <row r="1498" spans="6:8" x14ac:dyDescent="0.25">
      <c r="F1498" t="str">
        <f>"Portable Hole"</f>
        <v>Portable Hole</v>
      </c>
      <c r="G1498">
        <f>SUMIFS(Colección!$L$2:$L$10001,Colección!$F$2:$F$10001,$F1498,Colección!$M$2:$M$10001,"Compra")</f>
        <v>5.3901340040340795</v>
      </c>
      <c r="H1498">
        <f>IF($G1498=0,"",_xlfn.RANK.EQ($G1498,$G$2:$G$2353,0)+COUNTIF($G$2:G1498,$G1498)-1)</f>
        <v>935</v>
      </c>
    </row>
    <row r="1499" spans="6:8" x14ac:dyDescent="0.25">
      <c r="F1499" t="str">
        <f>"Portent"</f>
        <v>Portent</v>
      </c>
      <c r="G1499">
        <f>SUMIFS(Colección!$L$2:$L$10001,Colección!$F$2:$F$10001,$F1499,Colección!$M$2:$M$10001,"Compra")</f>
        <v>12.41416368834882</v>
      </c>
      <c r="H1499">
        <f>IF($G1499=0,"",_xlfn.RANK.EQ($G1499,$G$2:$G$2353,0)+COUNTIF($G$2:G1499,$G1499)-1)</f>
        <v>567</v>
      </c>
    </row>
    <row r="1500" spans="6:8" x14ac:dyDescent="0.25">
      <c r="F1500" t="str">
        <f>"Portent of Calamity"</f>
        <v>Portent of Calamity</v>
      </c>
      <c r="G1500">
        <f>SUMIFS(Colección!$L$2:$L$10001,Colección!$F$2:$F$10001,$F1500,Colección!$M$2:$M$10001,"Compra")</f>
        <v>0.98657236126224157</v>
      </c>
      <c r="H1500">
        <f>IF($G1500=0,"",_xlfn.RANK.EQ($G1500,$G$2:$G$2353,0)+COUNTIF($G$2:G1500,$G1500)-1)</f>
        <v>1663</v>
      </c>
    </row>
    <row r="1501" spans="6:8" x14ac:dyDescent="0.25">
      <c r="F1501" t="str">
        <f>"Portgas.D.Ace (OP02-013) (V.1)"</f>
        <v>Portgas.D.Ace (OP02-013) (V.1)</v>
      </c>
      <c r="G1501">
        <f>SUMIFS(Colección!$L$2:$L$10001,Colección!$F$2:$F$10001,$F1501,Colección!$M$2:$M$10001,"Compra")</f>
        <v>2.4073770491803281</v>
      </c>
      <c r="H1501">
        <f>IF($G1501=0,"",_xlfn.RANK.EQ($G1501,$G$2:$G$2353,0)+COUNTIF($G$2:G1501,$G1501)-1)</f>
        <v>1268</v>
      </c>
    </row>
    <row r="1502" spans="6:8" x14ac:dyDescent="0.25">
      <c r="F1502" t="str">
        <f>"Portgas.D.Ace (OP03-001) (V.1)"</f>
        <v>Portgas.D.Ace (OP03-001) (V.1)</v>
      </c>
      <c r="G1502">
        <f>SUMIFS(Colección!$L$2:$L$10001,Colección!$F$2:$F$10001,$F1502,Colección!$M$2:$M$10001,"Compra")</f>
        <v>0.34507751937984488</v>
      </c>
      <c r="H1502">
        <f>IF($G1502=0,"",_xlfn.RANK.EQ($G1502,$G$2:$G$2353,0)+COUNTIF($G$2:G1502,$G1502)-1)</f>
        <v>1984</v>
      </c>
    </row>
    <row r="1503" spans="6:8" x14ac:dyDescent="0.25">
      <c r="F1503" t="str">
        <f>"Postmortem Lunge"</f>
        <v>Postmortem Lunge</v>
      </c>
      <c r="G1503">
        <f>SUMIFS(Colección!$L$2:$L$10001,Colección!$F$2:$F$10001,$F1503,Colección!$M$2:$M$10001,"Compra")</f>
        <v>3.1861195779601399</v>
      </c>
      <c r="H1503">
        <f>IF($G1503=0,"",_xlfn.RANK.EQ($G1503,$G$2:$G$2353,0)+COUNTIF($G$2:G1503,$G1503)-1)</f>
        <v>1175</v>
      </c>
    </row>
    <row r="1504" spans="6:8" x14ac:dyDescent="0.25">
      <c r="F1504" t="str">
        <f>"Pound (OP04-110)"</f>
        <v>Pound (OP04-110)</v>
      </c>
      <c r="G1504">
        <f>SUMIFS(Colección!$L$2:$L$10001,Colección!$F$2:$F$10001,$F1504,Colección!$M$2:$M$10001,"Compra")</f>
        <v>6.1898734177215198E-2</v>
      </c>
      <c r="H1504">
        <f>IF($G1504=0,"",_xlfn.RANK.EQ($G1504,$G$2:$G$2353,0)+COUNTIF($G$2:G1504,$G1504)-1)</f>
        <v>2297</v>
      </c>
    </row>
    <row r="1505" spans="6:8" x14ac:dyDescent="0.25">
      <c r="F1505" t="str">
        <f>"Powder Keg"</f>
        <v>Powder Keg</v>
      </c>
      <c r="G1505">
        <f>SUMIFS(Colección!$L$2:$L$10001,Colección!$F$2:$F$10001,$F1505,Colección!$M$2:$M$10001,"Compra")</f>
        <v>34.690909090909102</v>
      </c>
      <c r="H1505">
        <f>IF($G1505=0,"",_xlfn.RANK.EQ($G1505,$G$2:$G$2353,0)+COUNTIF($G$2:G1505,$G1505)-1)</f>
        <v>245</v>
      </c>
    </row>
    <row r="1506" spans="6:8" x14ac:dyDescent="0.25">
      <c r="F1506" t="str">
        <f>"Prairie Stream"</f>
        <v>Prairie Stream</v>
      </c>
      <c r="G1506">
        <f>SUMIFS(Colección!$L$2:$L$10001,Colección!$F$2:$F$10001,$F1506,Colección!$M$2:$M$10001,"Compra")</f>
        <v>0.76197969543147204</v>
      </c>
      <c r="H1506">
        <f>IF($G1506=0,"",_xlfn.RANK.EQ($G1506,$G$2:$G$2353,0)+COUNTIF($G$2:G1506,$G1506)-1)</f>
        <v>1738</v>
      </c>
    </row>
    <row r="1507" spans="6:8" x14ac:dyDescent="0.25">
      <c r="F1507" t="str">
        <f>"Preacher of the Schism"</f>
        <v>Preacher of the Schism</v>
      </c>
      <c r="G1507">
        <f>SUMIFS(Colección!$L$2:$L$10001,Colección!$F$2:$F$10001,$F1507,Colección!$M$2:$M$10001,"Compra")</f>
        <v>18.682309721929823</v>
      </c>
      <c r="H1507">
        <f>IF($G1507=0,"",_xlfn.RANK.EQ($G1507,$G$2:$G$2353,0)+COUNTIF($G$2:G1507,$G1507)-1)</f>
        <v>421</v>
      </c>
    </row>
    <row r="1508" spans="6:8" x14ac:dyDescent="0.25">
      <c r="F1508" t="str">
        <f>"Preordain"</f>
        <v>Preordain</v>
      </c>
      <c r="G1508">
        <f>SUMIFS(Colección!$L$2:$L$10001,Colección!$F$2:$F$10001,$F1508,Colección!$M$2:$M$10001,"Compra")</f>
        <v>23.40721860930465</v>
      </c>
      <c r="H1508">
        <f>IF($G1508=0,"",_xlfn.RANK.EQ($G1508,$G$2:$G$2353,0)+COUNTIF($G$2:G1508,$G1508)-1)</f>
        <v>334</v>
      </c>
    </row>
    <row r="1509" spans="6:8" x14ac:dyDescent="0.25">
      <c r="F1509" t="str">
        <f>"Press the Enemy"</f>
        <v>Press the Enemy</v>
      </c>
      <c r="G1509">
        <f>SUMIFS(Colección!$L$2:$L$10001,Colección!$F$2:$F$10001,$F1509,Colección!$M$2:$M$10001,"Compra")</f>
        <v>1.3512049926551435</v>
      </c>
      <c r="H1509">
        <f>IF($G1509=0,"",_xlfn.RANK.EQ($G1509,$G$2:$G$2353,0)+COUNTIF($G$2:G1509,$G1509)-1)</f>
        <v>1518</v>
      </c>
    </row>
    <row r="1510" spans="6:8" x14ac:dyDescent="0.25">
      <c r="F1510" t="str">
        <f>"Price of Freedom"</f>
        <v>Price of Freedom</v>
      </c>
      <c r="G1510">
        <f>SUMIFS(Colección!$L$2:$L$10001,Colección!$F$2:$F$10001,$F1510,Colección!$M$2:$M$10001,"Compra")</f>
        <v>2.014891304347826</v>
      </c>
      <c r="H1510">
        <f>IF($G1510=0,"",_xlfn.RANK.EQ($G1510,$G$2:$G$2353,0)+COUNTIF($G$2:G1510,$G1510)-1)</f>
        <v>1367</v>
      </c>
    </row>
    <row r="1511" spans="6:8" x14ac:dyDescent="0.25">
      <c r="F1511" t="str">
        <f>"Priest of Fell Rites"</f>
        <v>Priest of Fell Rites</v>
      </c>
      <c r="G1511">
        <f>SUMIFS(Colección!$L$2:$L$10001,Colección!$F$2:$F$10001,$F1511,Colección!$M$2:$M$10001,"Compra")</f>
        <v>1.4518032125568432</v>
      </c>
      <c r="H1511">
        <f>IF($G1511=0,"",_xlfn.RANK.EQ($G1511,$G$2:$G$2353,0)+COUNTIF($G$2:G1511,$G1511)-1)</f>
        <v>1500</v>
      </c>
    </row>
    <row r="1512" spans="6:8" x14ac:dyDescent="0.25">
      <c r="F1512" t="str">
        <f>"Primeval Titan [Playset]"</f>
        <v>Primeval Titan [Playset]</v>
      </c>
      <c r="G1512">
        <f>SUMIFS(Colección!$L$2:$L$10001,Colección!$F$2:$F$10001,$F1512,Colección!$M$2:$M$10001,"Compra")</f>
        <v>21.21</v>
      </c>
      <c r="H1512">
        <f>IF($G1512=0,"",_xlfn.RANK.EQ($G1512,$G$2:$G$2353,0)+COUNTIF($G$2:G1512,$G1512)-1)</f>
        <v>376</v>
      </c>
    </row>
    <row r="1513" spans="6:8" x14ac:dyDescent="0.25">
      <c r="F1513" t="str">
        <f>"Prince Imrahil the Fair"</f>
        <v>Prince Imrahil the Fair</v>
      </c>
      <c r="G1513">
        <f>SUMIFS(Colección!$L$2:$L$10001,Colección!$F$2:$F$10001,$F1513,Colección!$M$2:$M$10001,"Compra")</f>
        <v>7.0848056537102466E-2</v>
      </c>
      <c r="H1513">
        <f>IF($G1513=0,"",_xlfn.RANK.EQ($G1513,$G$2:$G$2353,0)+COUNTIF($G$2:G1513,$G1513)-1)</f>
        <v>2232</v>
      </c>
    </row>
    <row r="1514" spans="6:8" x14ac:dyDescent="0.25">
      <c r="F1514" t="str">
        <f>"Prismari Command"</f>
        <v>Prismari Command</v>
      </c>
      <c r="G1514">
        <f>SUMIFS(Colección!$L$2:$L$10001,Colección!$F$2:$F$10001,$F1514,Colección!$M$2:$M$10001,"Compra")</f>
        <v>5.15987969924812</v>
      </c>
      <c r="H1514">
        <f>IF($G1514=0,"",_xlfn.RANK.EQ($G1514,$G$2:$G$2353,0)+COUNTIF($G$2:G1514,$G1514)-1)</f>
        <v>963</v>
      </c>
    </row>
    <row r="1515" spans="6:8" x14ac:dyDescent="0.25">
      <c r="F1515" t="str">
        <f>"Prismatic Ending"</f>
        <v>Prismatic Ending</v>
      </c>
      <c r="G1515">
        <f>SUMIFS(Colección!$L$2:$L$10001,Colección!$F$2:$F$10001,$F1515,Colección!$M$2:$M$10001,"Compra")</f>
        <v>10.366890250501246</v>
      </c>
      <c r="H1515">
        <f>IF($G1515=0,"",_xlfn.RANK.EQ($G1515,$G$2:$G$2353,0)+COUNTIF($G$2:G1515,$G1515)-1)</f>
        <v>652</v>
      </c>
    </row>
    <row r="1516" spans="6:8" x14ac:dyDescent="0.25">
      <c r="F1516" t="str">
        <f>"Prismatic Ending (V.1)"</f>
        <v>Prismatic Ending (V.1)</v>
      </c>
      <c r="G1516">
        <f>SUMIFS(Colección!$L$2:$L$10001,Colección!$F$2:$F$10001,$F1516,Colección!$M$2:$M$10001,"Compra")</f>
        <v>7.76</v>
      </c>
      <c r="H1516">
        <f>IF($G1516=0,"",_xlfn.RANK.EQ($G1516,$G$2:$G$2353,0)+COUNTIF($G$2:G1516,$G1516)-1)</f>
        <v>761</v>
      </c>
    </row>
    <row r="1517" spans="6:8" x14ac:dyDescent="0.25">
      <c r="F1517" t="str">
        <f>"Prismatic Ending (V.1) [Playset]"</f>
        <v>Prismatic Ending (V.1) [Playset]</v>
      </c>
      <c r="G1517">
        <f>SUMIFS(Colección!$L$2:$L$10001,Colección!$F$2:$F$10001,$F1517,Colección!$M$2:$M$10001,"Compra")</f>
        <v>2.6553672316384178</v>
      </c>
      <c r="H1517">
        <f>IF($G1517=0,"",_xlfn.RANK.EQ($G1517,$G$2:$G$2353,0)+COUNTIF($G$2:G1517,$G1517)-1)</f>
        <v>1233</v>
      </c>
    </row>
    <row r="1518" spans="6:8" x14ac:dyDescent="0.25">
      <c r="F1518" t="str">
        <f>"Prismatic Ending [Foil]"</f>
        <v>Prismatic Ending [Foil]</v>
      </c>
      <c r="G1518">
        <f>SUMIFS(Colección!$L$2:$L$10001,Colección!$F$2:$F$10001,$F1518,Colección!$M$2:$M$10001,"Compra")</f>
        <v>8.7272727272727284</v>
      </c>
      <c r="H1518">
        <f>IF($G1518=0,"",_xlfn.RANK.EQ($G1518,$G$2:$G$2353,0)+COUNTIF($G$2:G1518,$G1518)-1)</f>
        <v>720</v>
      </c>
    </row>
    <row r="1519" spans="6:8" x14ac:dyDescent="0.25">
      <c r="F1519" t="str">
        <f>"Prismatic Vista (V.1)"</f>
        <v>Prismatic Vista (V.1)</v>
      </c>
      <c r="G1519">
        <f>SUMIFS(Colección!$L$2:$L$10001,Colección!$F$2:$F$10001,$F1519,Colección!$M$2:$M$10001,"Compra")</f>
        <v>160.55000000000001</v>
      </c>
      <c r="H1519">
        <f>IF($G1519=0,"",_xlfn.RANK.EQ($G1519,$G$2:$G$2353,0)+COUNTIF($G$2:G1519,$G1519)-1)</f>
        <v>31</v>
      </c>
    </row>
    <row r="1520" spans="6:8" x14ac:dyDescent="0.25">
      <c r="F1520" t="str">
        <f>"Prized Amalgam"</f>
        <v>Prized Amalgam</v>
      </c>
      <c r="G1520">
        <f>SUMIFS(Colección!$L$2:$L$10001,Colección!$F$2:$F$10001,$F1520,Colección!$M$2:$M$10001,"Compra")</f>
        <v>6.5909837192352869</v>
      </c>
      <c r="H1520">
        <f>IF($G1520=0,"",_xlfn.RANK.EQ($G1520,$G$2:$G$2353,0)+COUNTIF($G$2:G1520,$G1520)-1)</f>
        <v>837</v>
      </c>
    </row>
    <row r="1521" spans="6:8" x14ac:dyDescent="0.25">
      <c r="F1521" t="str">
        <f>"Profane Memento"</f>
        <v>Profane Memento</v>
      </c>
      <c r="G1521">
        <f>SUMIFS(Colección!$L$2:$L$10001,Colección!$F$2:$F$10001,$F1521,Colección!$M$2:$M$10001,"Compra")</f>
        <v>2.31</v>
      </c>
      <c r="H1521">
        <f>IF($G1521=0,"",_xlfn.RANK.EQ($G1521,$G$2:$G$2353,0)+COUNTIF($G$2:G1521,$G1521)-1)</f>
        <v>1288</v>
      </c>
    </row>
    <row r="1522" spans="6:8" x14ac:dyDescent="0.25">
      <c r="F1522" t="str">
        <f>"Proft's Eidetic Memory"</f>
        <v>Proft's Eidetic Memory</v>
      </c>
      <c r="G1522">
        <f>SUMIFS(Colección!$L$2:$L$10001,Colección!$F$2:$F$10001,$F1522,Colección!$M$2:$M$10001,"Compra")</f>
        <v>19.130000000000003</v>
      </c>
      <c r="H1522">
        <f>IF($G1522=0,"",_xlfn.RANK.EQ($G1522,$G$2:$G$2353,0)+COUNTIF($G$2:G1522,$G1522)-1)</f>
        <v>415</v>
      </c>
    </row>
    <row r="1523" spans="6:8" x14ac:dyDescent="0.25">
      <c r="F1523" t="str">
        <f>"Propaganda"</f>
        <v>Propaganda</v>
      </c>
      <c r="G1523">
        <f>SUMIFS(Colección!$L$2:$L$10001,Colección!$F$2:$F$10001,$F1523,Colección!$M$2:$M$10001,"Compra")</f>
        <v>6.69</v>
      </c>
      <c r="H1523">
        <f>IF($G1523=0,"",_xlfn.RANK.EQ($G1523,$G$2:$G$2353,0)+COUNTIF($G$2:G1523,$G1523)-1)</f>
        <v>829</v>
      </c>
    </row>
    <row r="1524" spans="6:8" x14ac:dyDescent="0.25">
      <c r="F1524" t="str">
        <f>"Prosperous Innkeeper"</f>
        <v>Prosperous Innkeeper</v>
      </c>
      <c r="G1524">
        <f>SUMIFS(Colección!$L$2:$L$10001,Colección!$F$2:$F$10001,$F1524,Colección!$M$2:$M$10001,"Compra")</f>
        <v>7.8684393063583817</v>
      </c>
      <c r="H1524">
        <f>IF($G1524=0,"",_xlfn.RANK.EQ($G1524,$G$2:$G$2353,0)+COUNTIF($G$2:G1524,$G1524)-1)</f>
        <v>757</v>
      </c>
    </row>
    <row r="1525" spans="6:8" x14ac:dyDescent="0.25">
      <c r="F1525" t="str">
        <f>"Protect the Negotiators"</f>
        <v>Protect the Negotiators</v>
      </c>
      <c r="G1525">
        <f>SUMIFS(Colección!$L$2:$L$10001,Colección!$F$2:$F$10001,$F1525,Colección!$M$2:$M$10001,"Compra")</f>
        <v>1.8578155990351108</v>
      </c>
      <c r="H1525">
        <f>IF($G1525=0,"",_xlfn.RANK.EQ($G1525,$G$2:$G$2353,0)+COUNTIF($G$2:G1525,$G1525)-1)</f>
        <v>1391</v>
      </c>
    </row>
    <row r="1526" spans="6:8" x14ac:dyDescent="0.25">
      <c r="F1526" t="str">
        <f>"Psychic Frog (V.1)"</f>
        <v>Psychic Frog (V.1)</v>
      </c>
      <c r="G1526">
        <f>SUMIFS(Colección!$L$2:$L$10001,Colección!$F$2:$F$10001,$F1526,Colección!$M$2:$M$10001,"Compra")</f>
        <v>149.30258426966293</v>
      </c>
      <c r="H1526">
        <f>IF($G1526=0,"",_xlfn.RANK.EQ($G1526,$G$2:$G$2353,0)+COUNTIF($G$2:G1526,$G1526)-1)</f>
        <v>36</v>
      </c>
    </row>
    <row r="1527" spans="6:8" x14ac:dyDescent="0.25">
      <c r="F1527" t="str">
        <f>"Punch First"</f>
        <v>Punch First</v>
      </c>
      <c r="G1527">
        <f>SUMIFS(Colección!$L$2:$L$10001,Colección!$F$2:$F$10001,$F1527,Colección!$M$2:$M$10001,"Compra")</f>
        <v>1.6907954545454551</v>
      </c>
      <c r="H1527">
        <f>IF($G1527=0,"",_xlfn.RANK.EQ($G1527,$G$2:$G$2353,0)+COUNTIF($G$2:G1527,$G1527)-1)</f>
        <v>1435</v>
      </c>
    </row>
    <row r="1528" spans="6:8" x14ac:dyDescent="0.25">
      <c r="F1528" t="str">
        <f>"Punk Rotten (OP05-078)"</f>
        <v>Punk Rotten (OP05-078)</v>
      </c>
      <c r="G1528">
        <f>SUMIFS(Colección!$L$2:$L$10001,Colección!$F$2:$F$10001,$F1528,Colección!$M$2:$M$10001,"Compra")</f>
        <v>6.7654260528893242E-2</v>
      </c>
      <c r="H1528">
        <f>IF($G1528=0,"",_xlfn.RANK.EQ($G1528,$G$2:$G$2353,0)+COUNTIF($G$2:G1528,$G1528)-1)</f>
        <v>2249</v>
      </c>
    </row>
    <row r="1529" spans="6:8" x14ac:dyDescent="0.25">
      <c r="F1529" t="str">
        <f>"Puresteel Paladin [Playset]"</f>
        <v>Puresteel Paladin [Playset]</v>
      </c>
      <c r="G1529">
        <f>SUMIFS(Colección!$L$2:$L$10001,Colección!$F$2:$F$10001,$F1529,Colección!$M$2:$M$10001,"Compra")</f>
        <v>36.524542124542123</v>
      </c>
      <c r="H1529">
        <f>IF($G1529=0,"",_xlfn.RANK.EQ($G1529,$G$2:$G$2353,0)+COUNTIF($G$2:G1529,$G1529)-1)</f>
        <v>231</v>
      </c>
    </row>
    <row r="1530" spans="6:8" x14ac:dyDescent="0.25">
      <c r="F1530" t="str">
        <f>"Pyke, Returned (V.2 - Showcase)"</f>
        <v>Pyke, Returned (V.2 - Showcase)</v>
      </c>
      <c r="G1530">
        <f>SUMIFS(Colección!$L$2:$L$10001,Colección!$F$2:$F$10001,$F1530,Colección!$M$2:$M$10001,"Compra")</f>
        <v>11.356173794358508</v>
      </c>
      <c r="H1530">
        <f>IF($G1530=0,"",_xlfn.RANK.EQ($G1530,$G$2:$G$2353,0)+COUNTIF($G$2:G1530,$G1530)-1)</f>
        <v>603</v>
      </c>
    </row>
    <row r="1531" spans="6:8" x14ac:dyDescent="0.25">
      <c r="F1531" t="str">
        <f>"Pyrite Spellbomb"</f>
        <v>Pyrite Spellbomb</v>
      </c>
      <c r="G1531">
        <f>SUMIFS(Colección!$L$2:$L$10001,Colección!$F$2:$F$10001,$F1531,Colección!$M$2:$M$10001,"Compra")</f>
        <v>0.62024915062287678</v>
      </c>
      <c r="H1531">
        <f>IF($G1531=0,"",_xlfn.RANK.EQ($G1531,$G$2:$G$2353,0)+COUNTIF($G$2:G1531,$G1531)-1)</f>
        <v>1816</v>
      </c>
    </row>
    <row r="1532" spans="6:8" x14ac:dyDescent="0.25">
      <c r="F1532" t="str">
        <f>"Pyroclasm"</f>
        <v>Pyroclasm</v>
      </c>
      <c r="G1532">
        <f>SUMIFS(Colección!$L$2:$L$10001,Colección!$F$2:$F$10001,$F1532,Colección!$M$2:$M$10001,"Compra")</f>
        <v>4.1112788632326822</v>
      </c>
      <c r="H1532">
        <f>IF($G1532=0,"",_xlfn.RANK.EQ($G1532,$G$2:$G$2353,0)+COUNTIF($G$2:G1532,$G1532)-1)</f>
        <v>1061</v>
      </c>
    </row>
    <row r="1533" spans="6:8" x14ac:dyDescent="0.25">
      <c r="F1533" t="str">
        <f>"Pyrogoyf (V.1)"</f>
        <v>Pyrogoyf (V.1)</v>
      </c>
      <c r="G1533">
        <f>SUMIFS(Colección!$L$2:$L$10001,Colección!$F$2:$F$10001,$F1533,Colección!$M$2:$M$10001,"Compra")</f>
        <v>24.29</v>
      </c>
      <c r="H1533">
        <f>IF($G1533=0,"",_xlfn.RANK.EQ($G1533,$G$2:$G$2353,0)+COUNTIF($G$2:G1533,$G1533)-1)</f>
        <v>322</v>
      </c>
    </row>
    <row r="1534" spans="6:8" x14ac:dyDescent="0.25">
      <c r="F1534" t="str">
        <f>"Pyrokinesis"</f>
        <v>Pyrokinesis</v>
      </c>
      <c r="G1534">
        <f>SUMIFS(Colección!$L$2:$L$10001,Colección!$F$2:$F$10001,$F1534,Colección!$M$2:$M$10001,"Compra")</f>
        <v>7.418181818181818</v>
      </c>
      <c r="H1534">
        <f>IF($G1534=0,"",_xlfn.RANK.EQ($G1534,$G$2:$G$2353,0)+COUNTIF($G$2:G1534,$G1534)-1)</f>
        <v>778</v>
      </c>
    </row>
    <row r="1535" spans="6:8" x14ac:dyDescent="0.25">
      <c r="F1535" t="str">
        <f>"Qarsi Revenant"</f>
        <v>Qarsi Revenant</v>
      </c>
      <c r="G1535">
        <f>SUMIFS(Colección!$L$2:$L$10001,Colección!$F$2:$F$10001,$F1535,Colección!$M$2:$M$10001,"Compra")</f>
        <v>3.609565217391304</v>
      </c>
      <c r="H1535">
        <f>IF($G1535=0,"",_xlfn.RANK.EQ($G1535,$G$2:$G$2353,0)+COUNTIF($G$2:G1535,$G1535)-1)</f>
        <v>1102</v>
      </c>
    </row>
    <row r="1536" spans="6:8" x14ac:dyDescent="0.25">
      <c r="F1536" t="str">
        <f>"Quag Feast"</f>
        <v>Quag Feast</v>
      </c>
      <c r="G1536">
        <f>SUMIFS(Colección!$L$2:$L$10001,Colección!$F$2:$F$10001,$F1536,Colección!$M$2:$M$10001,"Compra")</f>
        <v>1.458285714285714</v>
      </c>
      <c r="H1536">
        <f>IF($G1536=0,"",_xlfn.RANK.EQ($G1536,$G$2:$G$2353,0)+COUNTIF($G$2:G1536,$G1536)-1)</f>
        <v>1498</v>
      </c>
    </row>
    <row r="1537" spans="6:8" x14ac:dyDescent="0.25">
      <c r="F1537" t="str">
        <f>"Quantum Riddler"</f>
        <v>Quantum Riddler</v>
      </c>
      <c r="G1537">
        <f>SUMIFS(Colección!$L$2:$L$10001,Colección!$F$2:$F$10001,$F1537,Colección!$M$2:$M$10001,"Compra")</f>
        <v>61.68</v>
      </c>
      <c r="H1537">
        <f>IF($G1537=0,"",_xlfn.RANK.EQ($G1537,$G$2:$G$2353,0)+COUNTIF($G$2:G1537,$G1537)-1)</f>
        <v>139</v>
      </c>
    </row>
    <row r="1538" spans="6:8" x14ac:dyDescent="0.25">
      <c r="F1538" t="str">
        <f>"Queen (OP04-040) (V.1)"</f>
        <v>Queen (OP04-040) (V.1)</v>
      </c>
      <c r="G1538">
        <f>SUMIFS(Colección!$L$2:$L$10001,Colección!$F$2:$F$10001,$F1538,Colección!$M$2:$M$10001,"Compra")</f>
        <v>6.1898734177215198E-2</v>
      </c>
      <c r="H1538">
        <f>IF($G1538=0,"",_xlfn.RANK.EQ($G1538,$G$2:$G$2353,0)+COUNTIF($G$2:G1538,$G1538)-1)</f>
        <v>2298</v>
      </c>
    </row>
    <row r="1539" spans="6:8" x14ac:dyDescent="0.25">
      <c r="F1539" t="str">
        <f>"Queen (OP04-046)"</f>
        <v>Queen (OP04-046)</v>
      </c>
      <c r="G1539">
        <f>SUMIFS(Colección!$L$2:$L$10001,Colección!$F$2:$F$10001,$F1539,Colección!$M$2:$M$10001,"Compra")</f>
        <v>6.1898734177215198E-2</v>
      </c>
      <c r="H1539">
        <f>IF($G1539=0,"",_xlfn.RANK.EQ($G1539,$G$2:$G$2353,0)+COUNTIF($G$2:G1539,$G1539)-1)</f>
        <v>2299</v>
      </c>
    </row>
    <row r="1540" spans="6:8" x14ac:dyDescent="0.25">
      <c r="F1540" t="str">
        <f>"Questing Druid // Seek the Beast"</f>
        <v>Questing Druid // Seek the Beast</v>
      </c>
      <c r="G1540">
        <f>SUMIFS(Colección!$L$2:$L$10001,Colección!$F$2:$F$10001,$F1540,Colección!$M$2:$M$10001,"Compra")</f>
        <v>8.5224019215372273</v>
      </c>
      <c r="H1540">
        <f>IF($G1540=0,"",_xlfn.RANK.EQ($G1540,$G$2:$G$2353,0)+COUNTIF($G$2:G1540,$G1540)-1)</f>
        <v>730</v>
      </c>
    </row>
    <row r="1541" spans="6:8" x14ac:dyDescent="0.25">
      <c r="F1541" t="str">
        <f>"Quicksand"</f>
        <v>Quicksand</v>
      </c>
      <c r="G1541">
        <f>SUMIFS(Colección!$L$2:$L$10001,Colección!$F$2:$F$10001,$F1541,Colección!$M$2:$M$10001,"Compra")</f>
        <v>16.892857142857142</v>
      </c>
      <c r="H1541">
        <f>IF($G1541=0,"",_xlfn.RANK.EQ($G1541,$G$2:$G$2353,0)+COUNTIF($G$2:G1541,$G1541)-1)</f>
        <v>455</v>
      </c>
    </row>
    <row r="1542" spans="6:8" x14ac:dyDescent="0.25">
      <c r="F1542" t="str">
        <f>"Quirion Beastcaller"</f>
        <v>Quirion Beastcaller</v>
      </c>
      <c r="G1542">
        <f>SUMIFS(Colección!$L$2:$L$10001,Colección!$F$2:$F$10001,$F1542,Colección!$M$2:$M$10001,"Compra")</f>
        <v>6.1923413566739587</v>
      </c>
      <c r="H1542">
        <f>IF($G1542=0,"",_xlfn.RANK.EQ($G1542,$G$2:$G$2353,0)+COUNTIF($G$2:G1542,$G1542)-1)</f>
        <v>871</v>
      </c>
    </row>
    <row r="1543" spans="6:8" x14ac:dyDescent="0.25">
      <c r="F1543" t="str">
        <f>"Rabadon's Deathcrown"</f>
        <v>Rabadon's Deathcrown</v>
      </c>
      <c r="G1543">
        <f>SUMIFS(Colección!$L$2:$L$10001,Colección!$F$2:$F$10001,$F1543,Colección!$M$2:$M$10001,"Compra")</f>
        <v>1.65</v>
      </c>
      <c r="H1543">
        <f>IF($G1543=0,"",_xlfn.RANK.EQ($G1543,$G$2:$G$2353,0)+COUNTIF($G$2:G1543,$G1543)-1)</f>
        <v>1439</v>
      </c>
    </row>
    <row r="1544" spans="6:8" x14ac:dyDescent="0.25">
      <c r="F1544" t="str">
        <f>"Rabiyan (OP04-113)"</f>
        <v>Rabiyan (OP04-113)</v>
      </c>
      <c r="G1544">
        <f>SUMIFS(Colección!$L$2:$L$10001,Colección!$F$2:$F$10001,$F1544,Colección!$M$2:$M$10001,"Compra")</f>
        <v>6.1898734177215198E-2</v>
      </c>
      <c r="H1544">
        <f>IF($G1544=0,"",_xlfn.RANK.EQ($G1544,$G$2:$G$2353,0)+COUNTIF($G$2:G1544,$G1544)-1)</f>
        <v>2300</v>
      </c>
    </row>
    <row r="1545" spans="6:8" x14ac:dyDescent="0.25">
      <c r="F1545" t="str">
        <f>"Racers' Ring"</f>
        <v>Racers' Ring</v>
      </c>
      <c r="G1545">
        <f>SUMIFS(Colección!$L$2:$L$10001,Colección!$F$2:$F$10001,$F1545,Colección!$M$2:$M$10001,"Compra")</f>
        <v>0.43455027064378682</v>
      </c>
      <c r="H1545">
        <f>IF($G1545=0,"",_xlfn.RANK.EQ($G1545,$G$2:$G$2353,0)+COUNTIF($G$2:G1545,$G1545)-1)</f>
        <v>1927</v>
      </c>
    </row>
    <row r="1546" spans="6:8" x14ac:dyDescent="0.25">
      <c r="F1546" t="str">
        <f>"Radagast the Brown"</f>
        <v>Radagast the Brown</v>
      </c>
      <c r="G1546">
        <f>SUMIFS(Colección!$L$2:$L$10001,Colección!$F$2:$F$10001,$F1546,Colección!$M$2:$M$10001,"Compra")</f>
        <v>2.1383401175938488</v>
      </c>
      <c r="H1546">
        <f>IF($G1546=0,"",_xlfn.RANK.EQ($G1546,$G$2:$G$2353,0)+COUNTIF($G$2:G1546,$G1546)-1)</f>
        <v>1336</v>
      </c>
    </row>
    <row r="1547" spans="6:8" x14ac:dyDescent="0.25">
      <c r="F1547" t="str">
        <f>"Radha's Firebrand"</f>
        <v>Radha's Firebrand</v>
      </c>
      <c r="G1547">
        <f>SUMIFS(Colección!$L$2:$L$10001,Colección!$F$2:$F$10001,$F1547,Colección!$M$2:$M$10001,"Compra")</f>
        <v>1.434015893124496</v>
      </c>
      <c r="H1547">
        <f>IF($G1547=0,"",_xlfn.RANK.EQ($G1547,$G$2:$G$2353,0)+COUNTIF($G$2:G1547,$G1547)-1)</f>
        <v>1503</v>
      </c>
    </row>
    <row r="1548" spans="6:8" x14ac:dyDescent="0.25">
      <c r="F1548" t="str">
        <f>"Radiant Fountain"</f>
        <v>Radiant Fountain</v>
      </c>
      <c r="G1548">
        <f>SUMIFS(Colección!$L$2:$L$10001,Colección!$F$2:$F$10001,$F1548,Colección!$M$2:$M$10001,"Compra")</f>
        <v>0.27602708803611742</v>
      </c>
      <c r="H1548">
        <f>IF($G1548=0,"",_xlfn.RANK.EQ($G1548,$G$2:$G$2353,0)+COUNTIF($G$2:G1548,$G1548)-1)</f>
        <v>2024</v>
      </c>
    </row>
    <row r="1549" spans="6:8" x14ac:dyDescent="0.25">
      <c r="F1549" t="str">
        <f>"Raffine's Informant"</f>
        <v>Raffine's Informant</v>
      </c>
      <c r="G1549">
        <f>SUMIFS(Colección!$L$2:$L$10001,Colección!$F$2:$F$10001,$F1549,Colección!$M$2:$M$10001,"Compra")</f>
        <v>1.0033333333333336</v>
      </c>
      <c r="H1549">
        <f>IF($G1549=0,"",_xlfn.RANK.EQ($G1549,$G$2:$G$2353,0)+COUNTIF($G$2:G1549,$G1549)-1)</f>
        <v>1657</v>
      </c>
    </row>
    <row r="1550" spans="6:8" x14ac:dyDescent="0.25">
      <c r="F1550" t="str">
        <f>"Raffine's Tower"</f>
        <v>Raffine's Tower</v>
      </c>
      <c r="G1550">
        <f>SUMIFS(Colección!$L$2:$L$10001,Colección!$F$2:$F$10001,$F1550,Colección!$M$2:$M$10001,"Compra")</f>
        <v>38.103636095547031</v>
      </c>
      <c r="H1550">
        <f>IF($G1550=0,"",_xlfn.RANK.EQ($G1550,$G$2:$G$2353,0)+COUNTIF($G$2:G1550,$G1550)-1)</f>
        <v>223</v>
      </c>
    </row>
    <row r="1551" spans="6:8" x14ac:dyDescent="0.25">
      <c r="F1551" t="str">
        <f>"Raffine, Scheming Seer (V.1) [Playset]"</f>
        <v>Raffine, Scheming Seer (V.1) [Playset]</v>
      </c>
      <c r="G1551">
        <f>SUMIFS(Colección!$L$2:$L$10001,Colección!$F$2:$F$10001,$F1551,Colección!$M$2:$M$10001,"Compra")</f>
        <v>20.382917152858809</v>
      </c>
      <c r="H1551">
        <f>IF($G1551=0,"",_xlfn.RANK.EQ($G1551,$G$2:$G$2353,0)+COUNTIF($G$2:G1551,$G1551)-1)</f>
        <v>390</v>
      </c>
    </row>
    <row r="1552" spans="6:8" x14ac:dyDescent="0.25">
      <c r="F1552" t="str">
        <f>"Ragavan, Nimble Pilferer"</f>
        <v>Ragavan, Nimble Pilferer</v>
      </c>
      <c r="G1552">
        <f>SUMIFS(Colección!$L$2:$L$10001,Colección!$F$2:$F$10001,$F1552,Colección!$M$2:$M$10001,"Compra")</f>
        <v>175.04</v>
      </c>
      <c r="H1552">
        <f>IF($G1552=0,"",_xlfn.RANK.EQ($G1552,$G$2:$G$2353,0)+COUNTIF($G$2:G1552,$G1552)-1)</f>
        <v>27</v>
      </c>
    </row>
    <row r="1553" spans="6:8" x14ac:dyDescent="0.25">
      <c r="F1553" t="str">
        <f>"Ragavan, Nimble Pilferer [Playset]"</f>
        <v>Ragavan, Nimble Pilferer [Playset]</v>
      </c>
      <c r="G1553">
        <f>SUMIFS(Colección!$L$2:$L$10001,Colección!$F$2:$F$10001,$F1553,Colección!$M$2:$M$10001,"Compra")</f>
        <v>207.48</v>
      </c>
      <c r="H1553">
        <f>IF($G1553=0,"",_xlfn.RANK.EQ($G1553,$G$2:$G$2353,0)+COUNTIF($G$2:G1553,$G1553)-1)</f>
        <v>21</v>
      </c>
    </row>
    <row r="1554" spans="6:8" x14ac:dyDescent="0.25">
      <c r="F1554" t="str">
        <f>"Raging Ravine"</f>
        <v>Raging Ravine</v>
      </c>
      <c r="G1554">
        <f>SUMIFS(Colección!$L$2:$L$10001,Colección!$F$2:$F$10001,$F1554,Colección!$M$2:$M$10001,"Compra")</f>
        <v>2.4325203252032521</v>
      </c>
      <c r="H1554">
        <f>IF($G1554=0,"",_xlfn.RANK.EQ($G1554,$G$2:$G$2353,0)+COUNTIF($G$2:G1554,$G1554)-1)</f>
        <v>1266</v>
      </c>
    </row>
    <row r="1555" spans="6:8" x14ac:dyDescent="0.25">
      <c r="F1555" t="str">
        <f>"Raise the Past"</f>
        <v>Raise the Past</v>
      </c>
      <c r="G1555">
        <f>SUMIFS(Colección!$L$2:$L$10001,Colección!$F$2:$F$10001,$F1555,Colección!$M$2:$M$10001,"Compra")</f>
        <v>7.1999999999999993</v>
      </c>
      <c r="H1555">
        <f>IF($G1555=0,"",_xlfn.RANK.EQ($G1555,$G$2:$G$2353,0)+COUNTIF($G$2:G1555,$G1555)-1)</f>
        <v>799</v>
      </c>
    </row>
    <row r="1556" spans="6:8" x14ac:dyDescent="0.25">
      <c r="F1556" t="str">
        <f>"Rakshasa's Bargain"</f>
        <v>Rakshasa's Bargain</v>
      </c>
      <c r="G1556">
        <f>SUMIFS(Colección!$L$2:$L$10001,Colección!$F$2:$F$10001,$F1556,Colección!$M$2:$M$10001,"Compra")</f>
        <v>7.7382747603833879</v>
      </c>
      <c r="H1556">
        <f>IF($G1556=0,"",_xlfn.RANK.EQ($G1556,$G$2:$G$2353,0)+COUNTIF($G$2:G1556,$G1556)-1)</f>
        <v>762</v>
      </c>
    </row>
    <row r="1557" spans="6:8" x14ac:dyDescent="0.25">
      <c r="F1557" t="str">
        <f>"Ral, Crackling Wit (V.1)"</f>
        <v>Ral, Crackling Wit (V.1)</v>
      </c>
      <c r="G1557">
        <f>SUMIFS(Colección!$L$2:$L$10001,Colección!$F$2:$F$10001,$F1557,Colección!$M$2:$M$10001,"Compra")</f>
        <v>18.310000000000002</v>
      </c>
      <c r="H1557">
        <f>IF($G1557=0,"",_xlfn.RANK.EQ($G1557,$G$2:$G$2353,0)+COUNTIF($G$2:G1557,$G1557)-1)</f>
        <v>427</v>
      </c>
    </row>
    <row r="1558" spans="6:8" x14ac:dyDescent="0.25">
      <c r="F1558" t="str">
        <f>"Ral, Monsoon Mage // Ral, Leyline Prodigy"</f>
        <v>Ral, Monsoon Mage // Ral, Leyline Prodigy</v>
      </c>
      <c r="G1558">
        <f>SUMIFS(Colección!$L$2:$L$10001,Colección!$F$2:$F$10001,$F1558,Colección!$M$2:$M$10001,"Compra")</f>
        <v>34.85451380552221</v>
      </c>
      <c r="H1558">
        <f>IF($G1558=0,"",_xlfn.RANK.EQ($G1558,$G$2:$G$2353,0)+COUNTIF($G$2:G1558,$G1558)-1)</f>
        <v>243</v>
      </c>
    </row>
    <row r="1559" spans="6:8" x14ac:dyDescent="0.25">
      <c r="F1559" t="str">
        <f>"Ral, Storm Conduit"</f>
        <v>Ral, Storm Conduit</v>
      </c>
      <c r="G1559">
        <f>SUMIFS(Colección!$L$2:$L$10001,Colección!$F$2:$F$10001,$F1559,Colección!$M$2:$M$10001,"Compra")</f>
        <v>0.54545454545454553</v>
      </c>
      <c r="H1559">
        <f>IF($G1559=0,"",_xlfn.RANK.EQ($G1559,$G$2:$G$2353,0)+COUNTIF($G$2:G1559,$G1559)-1)</f>
        <v>1858</v>
      </c>
    </row>
    <row r="1560" spans="6:8" x14ac:dyDescent="0.25">
      <c r="F1560" t="str">
        <f>"Rancor"</f>
        <v>Rancor</v>
      </c>
      <c r="G1560">
        <f>SUMIFS(Colección!$L$2:$L$10001,Colección!$F$2:$F$10001,$F1560,Colección!$M$2:$M$10001,"Compra")</f>
        <v>1.6852283200670297</v>
      </c>
      <c r="H1560">
        <f>IF($G1560=0,"",_xlfn.RANK.EQ($G1560,$G$2:$G$2353,0)+COUNTIF($G$2:G1560,$G1560)-1)</f>
        <v>1436</v>
      </c>
    </row>
    <row r="1561" spans="6:8" x14ac:dyDescent="0.25">
      <c r="F1561" t="str">
        <f>"Randolph (OP04-114)"</f>
        <v>Randolph (OP04-114)</v>
      </c>
      <c r="G1561">
        <f>SUMIFS(Colección!$L$2:$L$10001,Colección!$F$2:$F$10001,$F1561,Colección!$M$2:$M$10001,"Compra")</f>
        <v>6.1898734177215198E-2</v>
      </c>
      <c r="H1561">
        <f>IF($G1561=0,"",_xlfn.RANK.EQ($G1561,$G$2:$G$2353,0)+COUNTIF($G$2:G1561,$G1561)-1)</f>
        <v>2301</v>
      </c>
    </row>
    <row r="1562" spans="6:8" x14ac:dyDescent="0.25">
      <c r="F1562" t="str">
        <f>"Ranger-Captain of Eos"</f>
        <v>Ranger-Captain of Eos</v>
      </c>
      <c r="G1562">
        <f>SUMIFS(Colección!$L$2:$L$10001,Colección!$F$2:$F$10001,$F1562,Colección!$M$2:$M$10001,"Compra")</f>
        <v>18.055917926565879</v>
      </c>
      <c r="H1562">
        <f>IF($G1562=0,"",_xlfn.RANK.EQ($G1562,$G$2:$G$2353,0)+COUNTIF($G$2:G1562,$G1562)-1)</f>
        <v>431</v>
      </c>
    </row>
    <row r="1563" spans="6:8" x14ac:dyDescent="0.25">
      <c r="F1563" t="str">
        <f>"Rangers of Ithilien"</f>
        <v>Rangers of Ithilien</v>
      </c>
      <c r="G1563">
        <f>SUMIFS(Colección!$L$2:$L$10001,Colección!$F$2:$F$10001,$F1563,Colección!$M$2:$M$10001,"Compra")</f>
        <v>0.43121860243871313</v>
      </c>
      <c r="H1563">
        <f>IF($G1563=0,"",_xlfn.RANK.EQ($G1563,$G$2:$G$2353,0)+COUNTIF($G$2:G1563,$G1563)-1)</f>
        <v>1933</v>
      </c>
    </row>
    <row r="1564" spans="6:8" x14ac:dyDescent="0.25">
      <c r="F1564" t="str">
        <f>"Ratchet Bomb"</f>
        <v>Ratchet Bomb</v>
      </c>
      <c r="G1564">
        <f>SUMIFS(Colección!$L$2:$L$10001,Colección!$F$2:$F$10001,$F1564,Colección!$M$2:$M$10001,"Compra")</f>
        <v>0.62842105263157899</v>
      </c>
      <c r="H1564">
        <f>IF($G1564=0,"",_xlfn.RANK.EQ($G1564,$G$2:$G$2353,0)+COUNTIF($G$2:G1564,$G1564)-1)</f>
        <v>1813</v>
      </c>
    </row>
    <row r="1565" spans="6:8" x14ac:dyDescent="0.25">
      <c r="F1565" t="str">
        <f>"Raubahn, Bull of Ala Mhigo"</f>
        <v>Raubahn, Bull of Ala Mhigo</v>
      </c>
      <c r="G1565">
        <f>SUMIFS(Colección!$L$2:$L$10001,Colección!$F$2:$F$10001,$F1565,Colección!$M$2:$M$10001,"Compra")</f>
        <v>4.33</v>
      </c>
      <c r="H1565">
        <f>IF($G1565=0,"",_xlfn.RANK.EQ($G1565,$G$2:$G$2353,0)+COUNTIF($G$2:G1565,$G1565)-1)</f>
        <v>1029</v>
      </c>
    </row>
    <row r="1566" spans="6:8" x14ac:dyDescent="0.25">
      <c r="F1566" t="str">
        <f>"Raucous Theater"</f>
        <v>Raucous Theater</v>
      </c>
      <c r="G1566">
        <f>SUMIFS(Colección!$L$2:$L$10001,Colección!$F$2:$F$10001,$F1566,Colección!$M$2:$M$10001,"Compra")</f>
        <v>4.7254419161676653</v>
      </c>
      <c r="H1566">
        <f>IF($G1566=0,"",_xlfn.RANK.EQ($G1566,$G$2:$G$2353,0)+COUNTIF($G$2:G1566,$G1566)-1)</f>
        <v>985</v>
      </c>
    </row>
    <row r="1567" spans="6:8" x14ac:dyDescent="0.25">
      <c r="F1567" t="str">
        <f>"Raugrin Triome"</f>
        <v>Raugrin Triome</v>
      </c>
      <c r="G1567">
        <f>SUMIFS(Colección!$L$2:$L$10001,Colección!$F$2:$F$10001,$F1567,Colección!$M$2:$M$10001,"Compra")</f>
        <v>14.18</v>
      </c>
      <c r="H1567">
        <f>IF($G1567=0,"",_xlfn.RANK.EQ($G1567,$G$2:$G$2353,0)+COUNTIF($G$2:G1567,$G1567)-1)</f>
        <v>524</v>
      </c>
    </row>
    <row r="1568" spans="6:8" x14ac:dyDescent="0.25">
      <c r="F1568" t="str">
        <f>"Ravenbloom Student"</f>
        <v>Ravenbloom Student</v>
      </c>
      <c r="G1568">
        <f>SUMIFS(Colección!$L$2:$L$10001,Colección!$F$2:$F$10001,$F1568,Colección!$M$2:$M$10001,"Compra")</f>
        <v>2.094915254237288</v>
      </c>
      <c r="H1568">
        <f>IF($G1568=0,"",_xlfn.RANK.EQ($G1568,$G$2:$G$2353,0)+COUNTIF($G$2:G1568,$G1568)-1)</f>
        <v>1345</v>
      </c>
    </row>
    <row r="1569" spans="6:8" x14ac:dyDescent="0.25">
      <c r="F1569" t="str">
        <f>"Ravenous Trap"</f>
        <v>Ravenous Trap</v>
      </c>
      <c r="G1569">
        <f>SUMIFS(Colección!$L$2:$L$10001,Colección!$F$2:$F$10001,$F1569,Colección!$M$2:$M$10001,"Compra")</f>
        <v>3.5344303797468353</v>
      </c>
      <c r="H1569">
        <f>IF($G1569=0,"",_xlfn.RANK.EQ($G1569,$G$2:$G$2353,0)+COUNTIF($G$2:G1569,$G1569)-1)</f>
        <v>1110</v>
      </c>
    </row>
    <row r="1570" spans="6:8" x14ac:dyDescent="0.25">
      <c r="F1570" t="str">
        <f>"Ray of Enfeeblement"</f>
        <v>Ray of Enfeeblement</v>
      </c>
      <c r="G1570">
        <f>SUMIFS(Colección!$L$2:$L$10001,Colección!$F$2:$F$10001,$F1570,Colección!$M$2:$M$10001,"Compra")</f>
        <v>0.63130434782608702</v>
      </c>
      <c r="H1570">
        <f>IF($G1570=0,"",_xlfn.RANK.EQ($G1570,$G$2:$G$2353,0)+COUNTIF($G$2:G1570,$G1570)-1)</f>
        <v>1811</v>
      </c>
    </row>
    <row r="1571" spans="6:8" x14ac:dyDescent="0.25">
      <c r="F1571" t="str">
        <f>"Razorgrass Ambush // Razorgrass Field"</f>
        <v>Razorgrass Ambush // Razorgrass Field</v>
      </c>
      <c r="G1571">
        <f>SUMIFS(Colección!$L$2:$L$10001,Colección!$F$2:$F$10001,$F1571,Colección!$M$2:$M$10001,"Compra")</f>
        <v>1.8114285714285712</v>
      </c>
      <c r="H1571">
        <f>IF($G1571=0,"",_xlfn.RANK.EQ($G1571,$G$2:$G$2353,0)+COUNTIF($G$2:G1571,$G1571)-1)</f>
        <v>1398</v>
      </c>
    </row>
    <row r="1572" spans="6:8" x14ac:dyDescent="0.25">
      <c r="F1572" t="str">
        <f>"Razortide Bridge"</f>
        <v>Razortide Bridge</v>
      </c>
      <c r="G1572">
        <f>SUMIFS(Colección!$L$2:$L$10001,Colección!$F$2:$F$10001,$F1572,Colección!$M$2:$M$10001,"Compra")</f>
        <v>10.33</v>
      </c>
      <c r="H1572">
        <f>IF($G1572=0,"",_xlfn.RANK.EQ($G1572,$G$2:$G$2353,0)+COUNTIF($G$2:G1572,$G1572)-1)</f>
        <v>654</v>
      </c>
    </row>
    <row r="1573" spans="6:8" x14ac:dyDescent="0.25">
      <c r="F1573" t="str">
        <f>"Reality Heist"</f>
        <v>Reality Heist</v>
      </c>
      <c r="G1573">
        <f>SUMIFS(Colección!$L$2:$L$10001,Colección!$F$2:$F$10001,$F1573,Colección!$M$2:$M$10001,"Compra")</f>
        <v>0.98809523809523825</v>
      </c>
      <c r="H1573">
        <f>IF($G1573=0,"",_xlfn.RANK.EQ($G1573,$G$2:$G$2353,0)+COUNTIF($G$2:G1573,$G1573)-1)</f>
        <v>1661</v>
      </c>
    </row>
    <row r="1574" spans="6:8" x14ac:dyDescent="0.25">
      <c r="F1574" t="str">
        <f>"Rebecca (OP04-039) (V.1)"</f>
        <v>Rebecca (OP04-039) (V.1)</v>
      </c>
      <c r="G1574">
        <f>SUMIFS(Colección!$L$2:$L$10001,Colección!$F$2:$F$10001,$F1574,Colección!$M$2:$M$10001,"Compra")</f>
        <v>6.1898734177215198E-2</v>
      </c>
      <c r="H1574">
        <f>IF($G1574=0,"",_xlfn.RANK.EQ($G1574,$G$2:$G$2353,0)+COUNTIF($G$2:G1574,$G1574)-1)</f>
        <v>2302</v>
      </c>
    </row>
    <row r="1575" spans="6:8" x14ac:dyDescent="0.25">
      <c r="F1575" t="str">
        <f>"Rebecca (OP04-092)"</f>
        <v>Rebecca (OP04-092)</v>
      </c>
      <c r="G1575">
        <f>SUMIFS(Colección!$L$2:$L$10001,Colección!$F$2:$F$10001,$F1575,Colección!$M$2:$M$10001,"Compra")</f>
        <v>0.51373493975903617</v>
      </c>
      <c r="H1575">
        <f>IF($G1575=0,"",_xlfn.RANK.EQ($G1575,$G$2:$G$2353,0)+COUNTIF($G$2:G1575,$G1575)-1)</f>
        <v>1877</v>
      </c>
    </row>
    <row r="1576" spans="6:8" x14ac:dyDescent="0.25">
      <c r="F1576" t="str">
        <f>"Rebecca (OP05-091) (V.1)"</f>
        <v>Rebecca (OP05-091) (V.1)</v>
      </c>
      <c r="G1576">
        <f>SUMIFS(Colección!$L$2:$L$10001,Colección!$F$2:$F$10001,$F1576,Colección!$M$2:$M$10001,"Compra")</f>
        <v>8.688548504741064</v>
      </c>
      <c r="H1576">
        <f>IF($G1576=0,"",_xlfn.RANK.EQ($G1576,$G$2:$G$2353,0)+COUNTIF($G$2:G1576,$G1576)-1)</f>
        <v>724</v>
      </c>
    </row>
    <row r="1577" spans="6:8" x14ac:dyDescent="0.25">
      <c r="F1577" t="str">
        <f>"Rebuke"</f>
        <v>Rebuke</v>
      </c>
      <c r="G1577">
        <f>SUMIFS(Colección!$L$2:$L$10001,Colección!$F$2:$F$10001,$F1577,Colección!$M$2:$M$10001,"Compra")</f>
        <v>11.630390449629278</v>
      </c>
      <c r="H1577">
        <f>IF($G1577=0,"",_xlfn.RANK.EQ($G1577,$G$2:$G$2353,0)+COUNTIF($G$2:G1577,$G1577)-1)</f>
        <v>594</v>
      </c>
    </row>
    <row r="1578" spans="6:8" x14ac:dyDescent="0.25">
      <c r="F1578" t="str">
        <f>"Reckless Bushwhacker [Playset]"</f>
        <v>Reckless Bushwhacker [Playset]</v>
      </c>
      <c r="G1578">
        <f>SUMIFS(Colección!$L$2:$L$10001,Colección!$F$2:$F$10001,$F1578,Colección!$M$2:$M$10001,"Compra")</f>
        <v>6.0316666666666663</v>
      </c>
      <c r="H1578">
        <f>IF($G1578=0,"",_xlfn.RANK.EQ($G1578,$G$2:$G$2353,0)+COUNTIF($G$2:G1578,$G1578)-1)</f>
        <v>885</v>
      </c>
    </row>
    <row r="1579" spans="6:8" x14ac:dyDescent="0.25">
      <c r="F1579" t="str">
        <f>"Reckless Impulse"</f>
        <v>Reckless Impulse</v>
      </c>
      <c r="G1579">
        <f>SUMIFS(Colección!$L$2:$L$10001,Colección!$F$2:$F$10001,$F1579,Colección!$M$2:$M$10001,"Compra")</f>
        <v>11.146299465240642</v>
      </c>
      <c r="H1579">
        <f>IF($G1579=0,"",_xlfn.RANK.EQ($G1579,$G$2:$G$2353,0)+COUNTIF($G$2:G1579,$G1579)-1)</f>
        <v>614</v>
      </c>
    </row>
    <row r="1580" spans="6:8" x14ac:dyDescent="0.25">
      <c r="F1580" t="str">
        <f>"Reckless Rage"</f>
        <v>Reckless Rage</v>
      </c>
      <c r="G1580">
        <f>SUMIFS(Colección!$L$2:$L$10001,Colección!$F$2:$F$10001,$F1580,Colección!$M$2:$M$10001,"Compra")</f>
        <v>3.3407638347622761</v>
      </c>
      <c r="H1580">
        <f>IF($G1580=0,"",_xlfn.RANK.EQ($G1580,$G$2:$G$2353,0)+COUNTIF($G$2:G1580,$G1580)-1)</f>
        <v>1142</v>
      </c>
    </row>
    <row r="1581" spans="6:8" x14ac:dyDescent="0.25">
      <c r="F1581" t="str">
        <f>"Reckless Stormseeker // Storm-Charged Slasher"</f>
        <v>Reckless Stormseeker // Storm-Charged Slasher</v>
      </c>
      <c r="G1581">
        <f>SUMIFS(Colección!$L$2:$L$10001,Colección!$F$2:$F$10001,$F1581,Colección!$M$2:$M$10001,"Compra")</f>
        <v>11.787176091212716</v>
      </c>
      <c r="H1581">
        <f>IF($G1581=0,"",_xlfn.RANK.EQ($G1581,$G$2:$G$2353,0)+COUNTIF($G$2:G1581,$G1581)-1)</f>
        <v>590</v>
      </c>
    </row>
    <row r="1582" spans="6:8" x14ac:dyDescent="0.25">
      <c r="F1582" t="str">
        <f>"Reckoner's Bargain"</f>
        <v>Reckoner's Bargain</v>
      </c>
      <c r="G1582">
        <f>SUMIFS(Colección!$L$2:$L$10001,Colección!$F$2:$F$10001,$F1582,Colección!$M$2:$M$10001,"Compra")</f>
        <v>6.09</v>
      </c>
      <c r="H1582">
        <f>IF($G1582=0,"",_xlfn.RANK.EQ($G1582,$G$2:$G$2353,0)+COUNTIF($G$2:G1582,$G1582)-1)</f>
        <v>881</v>
      </c>
    </row>
    <row r="1583" spans="6:8" x14ac:dyDescent="0.25">
      <c r="F1583" t="str">
        <f>"Reclamation Sage"</f>
        <v>Reclamation Sage</v>
      </c>
      <c r="G1583">
        <f>SUMIFS(Colección!$L$2:$L$10001,Colección!$F$2:$F$10001,$F1583,Colección!$M$2:$M$10001,"Compra")</f>
        <v>1.052592592592593</v>
      </c>
      <c r="H1583">
        <f>IF($G1583=0,"",_xlfn.RANK.EQ($G1583,$G$2:$G$2353,0)+COUNTIF($G$2:G1583,$G1583)-1)</f>
        <v>1629</v>
      </c>
    </row>
    <row r="1584" spans="6:8" x14ac:dyDescent="0.25">
      <c r="F1584" t="str">
        <f>"Recommission"</f>
        <v>Recommission</v>
      </c>
      <c r="G1584">
        <f>SUMIFS(Colección!$L$2:$L$10001,Colección!$F$2:$F$10001,$F1584,Colección!$M$2:$M$10001,"Compra")</f>
        <v>1.0505222437137332</v>
      </c>
      <c r="H1584">
        <f>IF($G1584=0,"",_xlfn.RANK.EQ($G1584,$G$2:$G$2353,0)+COUNTIF($G$2:G1584,$G1584)-1)</f>
        <v>1634</v>
      </c>
    </row>
    <row r="1585" spans="6:8" x14ac:dyDescent="0.25">
      <c r="F1585" t="str">
        <f>"Recruiter of the Guard"</f>
        <v>Recruiter of the Guard</v>
      </c>
      <c r="G1585">
        <f>SUMIFS(Colección!$L$2:$L$10001,Colección!$F$2:$F$10001,$F1585,Colección!$M$2:$M$10001,"Compra")</f>
        <v>31.490000000000002</v>
      </c>
      <c r="H1585">
        <f>IF($G1585=0,"",_xlfn.RANK.EQ($G1585,$G$2:$G$2353,0)+COUNTIF($G$2:G1585,$G1585)-1)</f>
        <v>269</v>
      </c>
    </row>
    <row r="1586" spans="6:8" x14ac:dyDescent="0.25">
      <c r="F1586" t="str">
        <f>"Recurring Nightmare"</f>
        <v>Recurring Nightmare</v>
      </c>
      <c r="G1586">
        <f>SUMIFS(Colección!$L$2:$L$10001,Colección!$F$2:$F$10001,$F1586,Colección!$M$2:$M$10001,"Compra")</f>
        <v>30</v>
      </c>
      <c r="H1586">
        <f>IF($G1586=0,"",_xlfn.RANK.EQ($G1586,$G$2:$G$2353,0)+COUNTIF($G$2:G1586,$G1586)-1)</f>
        <v>281</v>
      </c>
    </row>
    <row r="1587" spans="6:8" x14ac:dyDescent="0.25">
      <c r="F1587" t="str">
        <f>"Reflecting Pool"</f>
        <v>Reflecting Pool</v>
      </c>
      <c r="G1587">
        <f>SUMIFS(Colección!$L$2:$L$10001,Colección!$F$2:$F$10001,$F1587,Colección!$M$2:$M$10001,"Compra")</f>
        <v>21.81818181818182</v>
      </c>
      <c r="H1587">
        <f>IF($G1587=0,"",_xlfn.RANK.EQ($G1587,$G$2:$G$2353,0)+COUNTIF($G$2:G1587,$G1587)-1)</f>
        <v>362</v>
      </c>
    </row>
    <row r="1588" spans="6:8" x14ac:dyDescent="0.25">
      <c r="F1588" t="str">
        <f>"Reflection"</f>
        <v>Reflection</v>
      </c>
      <c r="G1588">
        <f>SUMIFS(Colección!$L$2:$L$10001,Colección!$F$2:$F$10001,$F1588,Colección!$M$2:$M$10001,"Compra")</f>
        <v>0.68347447795823657</v>
      </c>
      <c r="H1588">
        <f>IF($G1588=0,"",_xlfn.RANK.EQ($G1588,$G$2:$G$2353,0)+COUNTIF($G$2:G1588,$G1588)-1)</f>
        <v>1767</v>
      </c>
    </row>
    <row r="1589" spans="6:8" x14ac:dyDescent="0.25">
      <c r="F1589" t="str">
        <f>"Regal Bunnicorn"</f>
        <v>Regal Bunnicorn</v>
      </c>
      <c r="G1589">
        <f>SUMIFS(Colección!$L$2:$L$10001,Colección!$F$2:$F$10001,$F1589,Colección!$M$2:$M$10001,"Compra")</f>
        <v>7.6153190827827446</v>
      </c>
      <c r="H1589">
        <f>IF($G1589=0,"",_xlfn.RANK.EQ($G1589,$G$2:$G$2353,0)+COUNTIF($G$2:G1589,$G1589)-1)</f>
        <v>768</v>
      </c>
    </row>
    <row r="1590" spans="6:8" x14ac:dyDescent="0.25">
      <c r="F1590" t="str">
        <f>"Regal Caracal"</f>
        <v>Regal Caracal</v>
      </c>
      <c r="G1590">
        <f>SUMIFS(Colección!$L$2:$L$10001,Colección!$F$2:$F$10001,$F1590,Colección!$M$2:$M$10001,"Compra")</f>
        <v>1.0085025380710659</v>
      </c>
      <c r="H1590">
        <f>IF($G1590=0,"",_xlfn.RANK.EQ($G1590,$G$2:$G$2353,0)+COUNTIF($G$2:G1590,$G1590)-1)</f>
        <v>1655</v>
      </c>
    </row>
    <row r="1591" spans="6:8" x14ac:dyDescent="0.25">
      <c r="F1591" t="str">
        <f>"Reidane, God of the Worthy // Valkmira, Protector's Shield"</f>
        <v>Reidane, God of the Worthy // Valkmira, Protector's Shield</v>
      </c>
      <c r="G1591">
        <f>SUMIFS(Colección!$L$2:$L$10001,Colección!$F$2:$F$10001,$F1591,Colección!$M$2:$M$10001,"Compra")</f>
        <v>3.1893066459385935</v>
      </c>
      <c r="H1591">
        <f>IF($G1591=0,"",_xlfn.RANK.EQ($G1591,$G$2:$G$2353,0)+COUNTIF($G$2:G1591,$G1591)-1)</f>
        <v>1172</v>
      </c>
    </row>
    <row r="1592" spans="6:8" x14ac:dyDescent="0.25">
      <c r="F1592" t="str">
        <f>"Reiterating Bolt"</f>
        <v>Reiterating Bolt</v>
      </c>
      <c r="G1592">
        <f>SUMIFS(Colección!$L$2:$L$10001,Colección!$F$2:$F$10001,$F1592,Colección!$M$2:$M$10001,"Compra")</f>
        <v>0.75476190476190474</v>
      </c>
      <c r="H1592">
        <f>IF($G1592=0,"",_xlfn.RANK.EQ($G1592,$G$2:$G$2353,0)+COUNTIF($G$2:G1592,$G1592)-1)</f>
        <v>1740</v>
      </c>
    </row>
    <row r="1593" spans="6:8" x14ac:dyDescent="0.25">
      <c r="F1593" t="str">
        <f>"Relic of Progenitus"</f>
        <v>Relic of Progenitus</v>
      </c>
      <c r="G1593">
        <f>SUMIFS(Colección!$L$2:$L$10001,Colección!$F$2:$F$10001,$F1593,Colección!$M$2:$M$10001,"Compra")</f>
        <v>29.922753995541619</v>
      </c>
      <c r="H1593">
        <f>IF($G1593=0,"",_xlfn.RANK.EQ($G1593,$G$2:$G$2353,0)+COUNTIF($G$2:G1593,$G1593)-1)</f>
        <v>282</v>
      </c>
    </row>
    <row r="1594" spans="6:8" x14ac:dyDescent="0.25">
      <c r="F1594" t="str">
        <f>"Remand"</f>
        <v>Remand</v>
      </c>
      <c r="G1594">
        <f>SUMIFS(Colección!$L$2:$L$10001,Colección!$F$2:$F$10001,$F1594,Colección!$M$2:$M$10001,"Compra")</f>
        <v>6.9731707317073157</v>
      </c>
      <c r="H1594">
        <f>IF($G1594=0,"",_xlfn.RANK.EQ($G1594,$G$2:$G$2353,0)+COUNTIF($G$2:G1594,$G1594)-1)</f>
        <v>815</v>
      </c>
    </row>
    <row r="1595" spans="6:8" x14ac:dyDescent="0.25">
      <c r="F1595" t="str">
        <f>"Rending Flame"</f>
        <v>Rending Flame</v>
      </c>
      <c r="G1595">
        <f>SUMIFS(Colección!$L$2:$L$10001,Colección!$F$2:$F$10001,$F1595,Colección!$M$2:$M$10001,"Compra")</f>
        <v>0.48886905447425999</v>
      </c>
      <c r="H1595">
        <f>IF($G1595=0,"",_xlfn.RANK.EQ($G1595,$G$2:$G$2353,0)+COUNTIF($G$2:G1595,$G1595)-1)</f>
        <v>1886</v>
      </c>
    </row>
    <row r="1596" spans="6:8" x14ac:dyDescent="0.25">
      <c r="F1596" t="str">
        <f>"Rending Volley"</f>
        <v>Rending Volley</v>
      </c>
      <c r="G1596">
        <f>SUMIFS(Colección!$L$2:$L$10001,Colección!$F$2:$F$10001,$F1596,Colección!$M$2:$M$10001,"Compra")</f>
        <v>6.9698630136986299</v>
      </c>
      <c r="H1596">
        <f>IF($G1596=0,"",_xlfn.RANK.EQ($G1596,$G$2:$G$2353,0)+COUNTIF($G$2:G1596,$G1596)-1)</f>
        <v>816</v>
      </c>
    </row>
    <row r="1597" spans="6:8" x14ac:dyDescent="0.25">
      <c r="F1597" t="str">
        <f>"Renegade Rallier"</f>
        <v>Renegade Rallier</v>
      </c>
      <c r="G1597">
        <f>SUMIFS(Colección!$L$2:$L$10001,Colección!$F$2:$F$10001,$F1597,Colección!$M$2:$M$10001,"Compra")</f>
        <v>1.3</v>
      </c>
      <c r="H1597">
        <f>IF($G1597=0,"",_xlfn.RANK.EQ($G1597,$G$2:$G$2353,0)+COUNTIF($G$2:G1597,$G1597)-1)</f>
        <v>1544</v>
      </c>
    </row>
    <row r="1598" spans="6:8" x14ac:dyDescent="0.25">
      <c r="F1598" t="str">
        <f>"Renewed Faith"</f>
        <v>Renewed Faith</v>
      </c>
      <c r="G1598">
        <f>SUMIFS(Colección!$L$2:$L$10001,Colección!$F$2:$F$10001,$F1598,Colección!$M$2:$M$10001,"Compra")</f>
        <v>0.90293965961835998</v>
      </c>
      <c r="H1598">
        <f>IF($G1598=0,"",_xlfn.RANK.EQ($G1598,$G$2:$G$2353,0)+COUNTIF($G$2:G1598,$G1598)-1)</f>
        <v>1684</v>
      </c>
    </row>
    <row r="1599" spans="6:8" x14ac:dyDescent="0.25">
      <c r="F1599" t="str">
        <f>"Repeal"</f>
        <v>Repeal</v>
      </c>
      <c r="G1599">
        <f>SUMIFS(Colección!$L$2:$L$10001,Colección!$F$2:$F$10001,$F1599,Colección!$M$2:$M$10001,"Compra")</f>
        <v>4.5517752808988758</v>
      </c>
      <c r="H1599">
        <f>IF($G1599=0,"",_xlfn.RANK.EQ($G1599,$G$2:$G$2353,0)+COUNTIF($G$2:G1599,$G1599)-1)</f>
        <v>996</v>
      </c>
    </row>
    <row r="1600" spans="6:8" x14ac:dyDescent="0.25">
      <c r="F1600" t="str">
        <f>"Replenish"</f>
        <v>Replenish</v>
      </c>
      <c r="G1600">
        <f>SUMIFS(Colección!$L$2:$L$10001,Colección!$F$2:$F$10001,$F1600,Colección!$M$2:$M$10001,"Compra")</f>
        <v>121.9220532646048</v>
      </c>
      <c r="H1600">
        <f>IF($G1600=0,"",_xlfn.RANK.EQ($G1600,$G$2:$G$2353,0)+COUNTIF($G$2:G1600,$G1600)-1)</f>
        <v>55</v>
      </c>
    </row>
    <row r="1601" spans="6:8" x14ac:dyDescent="0.25">
      <c r="F1601" t="str">
        <f>"Reprieve"</f>
        <v>Reprieve</v>
      </c>
      <c r="G1601">
        <f>SUMIFS(Colección!$L$2:$L$10001,Colección!$F$2:$F$10001,$F1601,Colección!$M$2:$M$10001,"Compra")</f>
        <v>4.2201459854014587</v>
      </c>
      <c r="H1601">
        <f>IF($G1601=0,"",_xlfn.RANK.EQ($G1601,$G$2:$G$2353,0)+COUNTIF($G$2:G1601,$G1601)-1)</f>
        <v>1044</v>
      </c>
    </row>
    <row r="1602" spans="6:8" x14ac:dyDescent="0.25">
      <c r="F1602" t="str">
        <f>"Repulse"</f>
        <v>Repulse</v>
      </c>
      <c r="G1602">
        <f>SUMIFS(Colección!$L$2:$L$10001,Colección!$F$2:$F$10001,$F1602,Colección!$M$2:$M$10001,"Compra")</f>
        <v>9.6409431399728387</v>
      </c>
      <c r="H1602">
        <f>IF($G1602=0,"",_xlfn.RANK.EQ($G1602,$G$2:$G$2353,0)+COUNTIF($G$2:G1602,$G1602)-1)</f>
        <v>677</v>
      </c>
    </row>
    <row r="1603" spans="6:8" x14ac:dyDescent="0.25">
      <c r="F1603" t="str">
        <f>"Requisition Raid"</f>
        <v>Requisition Raid</v>
      </c>
      <c r="G1603">
        <f>SUMIFS(Colección!$L$2:$L$10001,Colección!$F$2:$F$10001,$F1603,Colección!$M$2:$M$10001,"Compra")</f>
        <v>0.70444444444444465</v>
      </c>
      <c r="H1603">
        <f>IF($G1603=0,"",_xlfn.RANK.EQ($G1603,$G$2:$G$2353,0)+COUNTIF($G$2:G1603,$G1603)-1)</f>
        <v>1756</v>
      </c>
    </row>
    <row r="1604" spans="6:8" x14ac:dyDescent="0.25">
      <c r="F1604" t="str">
        <f>"Resolute Reinforcements"</f>
        <v>Resolute Reinforcements</v>
      </c>
      <c r="G1604">
        <f>SUMIFS(Colección!$L$2:$L$10001,Colección!$F$2:$F$10001,$F1604,Colección!$M$2:$M$10001,"Compra")</f>
        <v>2.0564135372017143</v>
      </c>
      <c r="H1604">
        <f>IF($G1604=0,"",_xlfn.RANK.EQ($G1604,$G$2:$G$2353,0)+COUNTIF($G$2:G1604,$G1604)-1)</f>
        <v>1355</v>
      </c>
    </row>
    <row r="1605" spans="6:8" x14ac:dyDescent="0.25">
      <c r="F1605" t="str">
        <f>"Rest in Peace"</f>
        <v>Rest in Peace</v>
      </c>
      <c r="G1605">
        <f>SUMIFS(Colección!$L$2:$L$10001,Colección!$F$2:$F$10001,$F1605,Colección!$M$2:$M$10001,"Compra")</f>
        <v>20.856592386844259</v>
      </c>
      <c r="H1605">
        <f>IF($G1605=0,"",_xlfn.RANK.EQ($G1605,$G$2:$G$2353,0)+COUNTIF($G$2:G1605,$G1605)-1)</f>
        <v>381</v>
      </c>
    </row>
    <row r="1606" spans="6:8" x14ac:dyDescent="0.25">
      <c r="F1606" t="str">
        <f>"Restless Anchorage"</f>
        <v>Restless Anchorage</v>
      </c>
      <c r="G1606">
        <f>SUMIFS(Colección!$L$2:$L$10001,Colección!$F$2:$F$10001,$F1606,Colección!$M$2:$M$10001,"Compra")</f>
        <v>7.08</v>
      </c>
      <c r="H1606">
        <f>IF($G1606=0,"",_xlfn.RANK.EQ($G1606,$G$2:$G$2353,0)+COUNTIF($G$2:G1606,$G1606)-1)</f>
        <v>808</v>
      </c>
    </row>
    <row r="1607" spans="6:8" x14ac:dyDescent="0.25">
      <c r="F1607" t="str">
        <f>"Restless Fortress"</f>
        <v>Restless Fortress</v>
      </c>
      <c r="G1607">
        <f>SUMIFS(Colección!$L$2:$L$10001,Colección!$F$2:$F$10001,$F1607,Colección!$M$2:$M$10001,"Compra")</f>
        <v>3.9272727272727277</v>
      </c>
      <c r="H1607">
        <f>IF($G1607=0,"",_xlfn.RANK.EQ($G1607,$G$2:$G$2353,0)+COUNTIF($G$2:G1607,$G1607)-1)</f>
        <v>1072</v>
      </c>
    </row>
    <row r="1608" spans="6:8" x14ac:dyDescent="0.25">
      <c r="F1608" t="str">
        <f>"Restless Prairie"</f>
        <v>Restless Prairie</v>
      </c>
      <c r="G1608">
        <f>SUMIFS(Colección!$L$2:$L$10001,Colección!$F$2:$F$10001,$F1608,Colección!$M$2:$M$10001,"Compra")</f>
        <v>0.85690962099125356</v>
      </c>
      <c r="H1608">
        <f>IF($G1608=0,"",_xlfn.RANK.EQ($G1608,$G$2:$G$2353,0)+COUNTIF($G$2:G1608,$G1608)-1)</f>
        <v>1697</v>
      </c>
    </row>
    <row r="1609" spans="6:8" x14ac:dyDescent="0.25">
      <c r="F1609" t="str">
        <f>"Restless Reef"</f>
        <v>Restless Reef</v>
      </c>
      <c r="G1609">
        <f>SUMIFS(Colección!$L$2:$L$10001,Colección!$F$2:$F$10001,$F1609,Colección!$M$2:$M$10001,"Compra")</f>
        <v>5.2090909090909081</v>
      </c>
      <c r="H1609">
        <f>IF($G1609=0,"",_xlfn.RANK.EQ($G1609,$G$2:$G$2353,0)+COUNTIF($G$2:G1609,$G1609)-1)</f>
        <v>956</v>
      </c>
    </row>
    <row r="1610" spans="6:8" x14ac:dyDescent="0.25">
      <c r="F1610" t="str">
        <f>"Restoration Angel"</f>
        <v>Restoration Angel</v>
      </c>
      <c r="G1610">
        <f>SUMIFS(Colección!$L$2:$L$10001,Colección!$F$2:$F$10001,$F1610,Colección!$M$2:$M$10001,"Compra")</f>
        <v>3.6961966156325543</v>
      </c>
      <c r="H1610">
        <f>IF($G1610=0,"",_xlfn.RANK.EQ($G1610,$G$2:$G$2353,0)+COUNTIF($G$2:G1610,$G1610)-1)</f>
        <v>1095</v>
      </c>
    </row>
    <row r="1611" spans="6:8" x14ac:dyDescent="0.25">
      <c r="F1611" t="str">
        <f>"Restoration Magic"</f>
        <v>Restoration Magic</v>
      </c>
      <c r="G1611">
        <f>SUMIFS(Colección!$L$2:$L$10001,Colección!$F$2:$F$10001,$F1611,Colección!$M$2:$M$10001,"Compra")</f>
        <v>3.8138461538461539</v>
      </c>
      <c r="H1611">
        <f>IF($G1611=0,"",_xlfn.RANK.EQ($G1611,$G$2:$G$2353,0)+COUNTIF($G$2:G1611,$G1611)-1)</f>
        <v>1080</v>
      </c>
    </row>
    <row r="1612" spans="6:8" x14ac:dyDescent="0.25">
      <c r="F1612" t="str">
        <f>"Revolutionary Army HQ (OP05-021)"</f>
        <v>Revolutionary Army HQ (OP05-021)</v>
      </c>
      <c r="G1612">
        <f>SUMIFS(Colección!$L$2:$L$10001,Colección!$F$2:$F$10001,$F1612,Colección!$M$2:$M$10001,"Compra")</f>
        <v>9.4715964740450548E-2</v>
      </c>
      <c r="H1612">
        <f>IF($G1612=0,"",_xlfn.RANK.EQ($G1612,$G$2:$G$2353,0)+COUNTIF($G$2:G1612,$G1612)-1)</f>
        <v>2206</v>
      </c>
    </row>
    <row r="1613" spans="6:8" x14ac:dyDescent="0.25">
      <c r="F1613" t="str">
        <f>"Rhino Token (Green 4/4)"</f>
        <v>Rhino Token (Green 4/4)</v>
      </c>
      <c r="G1613">
        <f>SUMIFS(Colección!$L$2:$L$10001,Colección!$F$2:$F$10001,$F1613,Colección!$M$2:$M$10001,"Compra")</f>
        <v>0.27940298507462685</v>
      </c>
      <c r="H1613">
        <f>IF($G1613=0,"",_xlfn.RANK.EQ($G1613,$G$2:$G$2353,0)+COUNTIF($G$2:G1613,$G1613)-1)</f>
        <v>2020</v>
      </c>
    </row>
    <row r="1614" spans="6:8" x14ac:dyDescent="0.25">
      <c r="F1614" t="str">
        <f>"Ride the Wind"</f>
        <v>Ride the Wind</v>
      </c>
      <c r="G1614">
        <f>SUMIFS(Colección!$L$2:$L$10001,Colección!$F$2:$F$10001,$F1614,Colección!$M$2:$M$10001,"Compra")</f>
        <v>10.630084604252477</v>
      </c>
      <c r="H1614">
        <f>IF($G1614=0,"",_xlfn.RANK.EQ($G1614,$G$2:$G$2353,0)+COUNTIF($G$2:G1614,$G1614)-1)</f>
        <v>639</v>
      </c>
    </row>
    <row r="1615" spans="6:8" x14ac:dyDescent="0.25">
      <c r="F1615" t="str">
        <f>"Rift Herald (V.2 - Showcase)"</f>
        <v>Rift Herald (V.2 - Showcase)</v>
      </c>
      <c r="G1615">
        <f>SUMIFS(Colección!$L$2:$L$10001,Colección!$F$2:$F$10001,$F1615,Colección!$M$2:$M$10001,"Compra")</f>
        <v>30.624920634920642</v>
      </c>
      <c r="H1615">
        <f>IF($G1615=0,"",_xlfn.RANK.EQ($G1615,$G$2:$G$2353,0)+COUNTIF($G$2:G1615,$G1615)-1)</f>
        <v>275</v>
      </c>
    </row>
    <row r="1616" spans="6:8" x14ac:dyDescent="0.25">
      <c r="F1616" t="str">
        <f>"Riku Doldo III (OP05-090)"</f>
        <v>Riku Doldo III (OP05-090)</v>
      </c>
      <c r="G1616">
        <f>SUMIFS(Colección!$L$2:$L$10001,Colección!$F$2:$F$10001,$F1616,Colección!$M$2:$M$10001,"Compra")</f>
        <v>5.4123408423114597E-2</v>
      </c>
      <c r="H1616">
        <f>IF($G1616=0,"",_xlfn.RANK.EQ($G1616,$G$2:$G$2353,0)+COUNTIF($G$2:G1616,$G1616)-1)</f>
        <v>2320</v>
      </c>
    </row>
    <row r="1617" spans="6:8" x14ac:dyDescent="0.25">
      <c r="F1617" t="str">
        <f>"Ringwraiths (V.1)"</f>
        <v>Ringwraiths (V.1)</v>
      </c>
      <c r="G1617">
        <f>SUMIFS(Colección!$L$2:$L$10001,Colección!$F$2:$F$10001,$F1617,Colección!$M$2:$M$10001,"Compra")</f>
        <v>1.6362586605080831</v>
      </c>
      <c r="H1617">
        <f>IF($G1617=0,"",_xlfn.RANK.EQ($G1617,$G$2:$G$2353,0)+COUNTIF($G$2:G1617,$G1617)-1)</f>
        <v>1453</v>
      </c>
    </row>
    <row r="1618" spans="6:8" x14ac:dyDescent="0.25">
      <c r="F1618" t="str">
        <f>"Ringwraiths (V.2)"</f>
        <v>Ringwraiths (V.2)</v>
      </c>
      <c r="G1618">
        <f>SUMIFS(Colección!$L$2:$L$10001,Colección!$F$2:$F$10001,$F1618,Colección!$M$2:$M$10001,"Compra")</f>
        <v>8.83</v>
      </c>
      <c r="H1618">
        <f>IF($G1618=0,"",_xlfn.RANK.EQ($G1618,$G$2:$G$2353,0)+COUNTIF($G$2:G1618,$G1618)-1)</f>
        <v>709</v>
      </c>
    </row>
    <row r="1619" spans="6:8" x14ac:dyDescent="0.25">
      <c r="F1619" t="str">
        <f>"Risen Reef"</f>
        <v>Risen Reef</v>
      </c>
      <c r="G1619">
        <f>SUMIFS(Colección!$L$2:$L$10001,Colección!$F$2:$F$10001,$F1619,Colección!$M$2:$M$10001,"Compra")</f>
        <v>4.5544469525959359</v>
      </c>
      <c r="H1619">
        <f>IF($G1619=0,"",_xlfn.RANK.EQ($G1619,$G$2:$G$2353,0)+COUNTIF($G$2:G1619,$G1619)-1)</f>
        <v>995</v>
      </c>
    </row>
    <row r="1620" spans="6:8" x14ac:dyDescent="0.25">
      <c r="F1620" t="str">
        <f>"Rishadan Dockhand"</f>
        <v>Rishadan Dockhand</v>
      </c>
      <c r="G1620">
        <f>SUMIFS(Colección!$L$2:$L$10001,Colección!$F$2:$F$10001,$F1620,Colección!$M$2:$M$10001,"Compra")</f>
        <v>0.43197307530500639</v>
      </c>
      <c r="H1620">
        <f>IF($G1620=0,"",_xlfn.RANK.EQ($G1620,$G$2:$G$2353,0)+COUNTIF($G$2:G1620,$G1620)-1)</f>
        <v>1931</v>
      </c>
    </row>
    <row r="1621" spans="6:8" x14ac:dyDescent="0.25">
      <c r="F1621" t="str">
        <f>"Rishadan Port"</f>
        <v>Rishadan Port</v>
      </c>
      <c r="G1621">
        <f>SUMIFS(Colección!$L$2:$L$10001,Colección!$F$2:$F$10001,$F1621,Colección!$M$2:$M$10001,"Compra")</f>
        <v>99.054545454545476</v>
      </c>
      <c r="H1621">
        <f>IF($G1621=0,"",_xlfn.RANK.EQ($G1621,$G$2:$G$2353,0)+COUNTIF($G$2:G1621,$G1621)-1)</f>
        <v>76</v>
      </c>
    </row>
    <row r="1622" spans="6:8" x14ac:dyDescent="0.25">
      <c r="F1622" t="str">
        <f>"Rising of the Day"</f>
        <v>Rising of the Day</v>
      </c>
      <c r="G1622">
        <f>SUMIFS(Colección!$L$2:$L$10001,Colección!$F$2:$F$10001,$F1622,Colección!$M$2:$M$10001,"Compra")</f>
        <v>0.28509554140127391</v>
      </c>
      <c r="H1622">
        <f>IF($G1622=0,"",_xlfn.RANK.EQ($G1622,$G$2:$G$2353,0)+COUNTIF($G$2:G1622,$G1622)-1)</f>
        <v>2016</v>
      </c>
    </row>
    <row r="1623" spans="6:8" x14ac:dyDescent="0.25">
      <c r="F1623" t="str">
        <f>"Rivendell"</f>
        <v>Rivendell</v>
      </c>
      <c r="G1623">
        <f>SUMIFS(Colección!$L$2:$L$10001,Colección!$F$2:$F$10001,$F1623,Colección!$M$2:$M$10001,"Compra")</f>
        <v>4.3478053990168615</v>
      </c>
      <c r="H1623">
        <f>IF($G1623=0,"",_xlfn.RANK.EQ($G1623,$G$2:$G$2353,0)+COUNTIF($G$2:G1623,$G1623)-1)</f>
        <v>1025</v>
      </c>
    </row>
    <row r="1624" spans="6:8" x14ac:dyDescent="0.25">
      <c r="F1624" t="str">
        <f>"Riverpyre Verge"</f>
        <v>Riverpyre Verge</v>
      </c>
      <c r="G1624">
        <f>SUMIFS(Colección!$L$2:$L$10001,Colección!$F$2:$F$10001,$F1624,Colección!$M$2:$M$10001,"Compra")</f>
        <v>44.047860014187762</v>
      </c>
      <c r="H1624">
        <f>IF($G1624=0,"",_xlfn.RANK.EQ($G1624,$G$2:$G$2353,0)+COUNTIF($G$2:G1624,$G1624)-1)</f>
        <v>193</v>
      </c>
    </row>
    <row r="1625" spans="6:8" x14ac:dyDescent="0.25">
      <c r="F1625" t="str">
        <f>"Roar of the Wurm"</f>
        <v>Roar of the Wurm</v>
      </c>
      <c r="G1625">
        <f>SUMIFS(Colección!$L$2:$L$10001,Colección!$F$2:$F$10001,$F1625,Colección!$M$2:$M$10001,"Compra")</f>
        <v>2.7170236299648058</v>
      </c>
      <c r="H1625">
        <f>IF($G1625=0,"",_xlfn.RANK.EQ($G1625,$G$2:$G$2353,0)+COUNTIF($G$2:G1625,$G1625)-1)</f>
        <v>1225</v>
      </c>
    </row>
    <row r="1626" spans="6:8" x14ac:dyDescent="0.25">
      <c r="F1626" t="str">
        <f>"Roast"</f>
        <v>Roast</v>
      </c>
      <c r="G1626">
        <f>SUMIFS(Colección!$L$2:$L$10001,Colección!$F$2:$F$10001,$F1626,Colección!$M$2:$M$10001,"Compra")</f>
        <v>0.220909090909091</v>
      </c>
      <c r="H1626">
        <f>IF($G1626=0,"",_xlfn.RANK.EQ($G1626,$G$2:$G$2353,0)+COUNTIF($G$2:G1626,$G1626)-1)</f>
        <v>2081</v>
      </c>
    </row>
    <row r="1627" spans="6:8" x14ac:dyDescent="0.25">
      <c r="F1627" t="str">
        <f>"Rob Lucci (OP03-071)"</f>
        <v>Rob Lucci (OP03-071)</v>
      </c>
      <c r="G1627">
        <f>SUMIFS(Colección!$L$2:$L$10001,Colección!$F$2:$F$10001,$F1627,Colección!$M$2:$M$10001,"Compra")</f>
        <v>0.2855813953488372</v>
      </c>
      <c r="H1627">
        <f>IF($G1627=0,"",_xlfn.RANK.EQ($G1627,$G$2:$G$2353,0)+COUNTIF($G$2:G1627,$G1627)-1)</f>
        <v>2013</v>
      </c>
    </row>
    <row r="1628" spans="6:8" x14ac:dyDescent="0.25">
      <c r="F1628" t="str">
        <f>"Rob Lucci (OP03-076) (V.1)"</f>
        <v>Rob Lucci (OP03-076) (V.1)</v>
      </c>
      <c r="G1628">
        <f>SUMIFS(Colección!$L$2:$L$10001,Colección!$F$2:$F$10001,$F1628,Colección!$M$2:$M$10001,"Compra")</f>
        <v>0.40457364341085272</v>
      </c>
      <c r="H1628">
        <f>IF($G1628=0,"",_xlfn.RANK.EQ($G1628,$G$2:$G$2353,0)+COUNTIF($G$2:G1628,$G1628)-1)</f>
        <v>1955</v>
      </c>
    </row>
    <row r="1629" spans="6:8" x14ac:dyDescent="0.25">
      <c r="F1629" t="str">
        <f>"Rob Lucci (OP03-092) (V.1)"</f>
        <v>Rob Lucci (OP03-092) (V.1)</v>
      </c>
      <c r="G1629">
        <f>SUMIFS(Colección!$L$2:$L$10001,Colección!$F$2:$F$10001,$F1629,Colección!$M$2:$M$10001,"Compra")</f>
        <v>0.50095238095238104</v>
      </c>
      <c r="H1629">
        <f>IF($G1629=0,"",_xlfn.RANK.EQ($G1629,$G$2:$G$2353,0)+COUNTIF($G$2:G1629,$G1629)-1)</f>
        <v>1882</v>
      </c>
    </row>
    <row r="1630" spans="6:8" x14ac:dyDescent="0.25">
      <c r="F1630" t="str">
        <f>"Rob Lucci (OP05-093) (V.1)"</f>
        <v>Rob Lucci (OP05-093) (V.1)</v>
      </c>
      <c r="G1630">
        <f>SUMIFS(Colección!$L$2:$L$10001,Colección!$F$2:$F$10001,$F1630,Colección!$M$2:$M$10001,"Compra")</f>
        <v>5.4123408423114592</v>
      </c>
      <c r="H1630">
        <f>IF($G1630=0,"",_xlfn.RANK.EQ($G1630,$G$2:$G$2353,0)+COUNTIF($G$2:G1630,$G1630)-1)</f>
        <v>933</v>
      </c>
    </row>
    <row r="1631" spans="6:8" x14ac:dyDescent="0.25">
      <c r="F1631" t="str">
        <f>"Rockfall Path"</f>
        <v>Rockfall Path</v>
      </c>
      <c r="G1631">
        <f>SUMIFS(Colección!$L$2:$L$10001,Colección!$F$2:$F$10001,$F1631,Colección!$M$2:$M$10001,"Compra")</f>
        <v>1.1117703810902071</v>
      </c>
      <c r="H1631">
        <f>IF($G1631=0,"",_xlfn.RANK.EQ($G1631,$G$2:$G$2353,0)+COUNTIF($G$2:G1631,$G1631)-1)</f>
        <v>1591</v>
      </c>
    </row>
    <row r="1632" spans="6:8" x14ac:dyDescent="0.25">
      <c r="F1632" t="str">
        <f>"Rockfall Vale"</f>
        <v>Rockfall Vale</v>
      </c>
      <c r="G1632">
        <f>SUMIFS(Colección!$L$2:$L$10001,Colección!$F$2:$F$10001,$F1632,Colección!$M$2:$M$10001,"Compra")</f>
        <v>1.5030414746543781</v>
      </c>
      <c r="H1632">
        <f>IF($G1632=0,"",_xlfn.RANK.EQ($G1632,$G$2:$G$2353,0)+COUNTIF($G$2:G1632,$G1632)-1)</f>
        <v>1487</v>
      </c>
    </row>
    <row r="1633" spans="6:8" x14ac:dyDescent="0.25">
      <c r="F1633" t="str">
        <f>"Roiling Dragonstorm"</f>
        <v>Roiling Dragonstorm</v>
      </c>
      <c r="G1633">
        <f>SUMIFS(Colección!$L$2:$L$10001,Colección!$F$2:$F$10001,$F1633,Colección!$M$2:$M$10001,"Compra")</f>
        <v>0.84498402555910557</v>
      </c>
      <c r="H1633">
        <f>IF($G1633=0,"",_xlfn.RANK.EQ($G1633,$G$2:$G$2353,0)+COUNTIF($G$2:G1633,$G1633)-1)</f>
        <v>1704</v>
      </c>
    </row>
    <row r="1634" spans="6:8" x14ac:dyDescent="0.25">
      <c r="F1634" t="str">
        <f>"Roiling Vortex"</f>
        <v>Roiling Vortex</v>
      </c>
      <c r="G1634">
        <f>SUMIFS(Colección!$L$2:$L$10001,Colección!$F$2:$F$10001,$F1634,Colección!$M$2:$M$10001,"Compra")</f>
        <v>5.3527012383900923</v>
      </c>
      <c r="H1634">
        <f>IF($G1634=0,"",_xlfn.RANK.EQ($G1634,$G$2:$G$2353,0)+COUNTIF($G$2:G1634,$G1634)-1)</f>
        <v>940</v>
      </c>
    </row>
    <row r="1635" spans="6:8" x14ac:dyDescent="0.25">
      <c r="F1635" t="str">
        <f>"Rokki (OP04-054)"</f>
        <v>Rokki (OP04-054)</v>
      </c>
      <c r="G1635">
        <f>SUMIFS(Colección!$L$2:$L$10001,Colección!$F$2:$F$10001,$F1635,Colección!$M$2:$M$10001,"Compra")</f>
        <v>6.1898734177215198E-2</v>
      </c>
      <c r="H1635">
        <f>IF($G1635=0,"",_xlfn.RANK.EQ($G1635,$G$2:$G$2353,0)+COUNTIF($G$2:G1635,$G1635)-1)</f>
        <v>2303</v>
      </c>
    </row>
    <row r="1636" spans="6:8" x14ac:dyDescent="0.25">
      <c r="F1636" t="str">
        <f>"Roronoa Zoro (OP01-025) (V.1)"</f>
        <v>Roronoa Zoro (OP01-025) (V.1)</v>
      </c>
      <c r="G1636">
        <f>SUMIFS(Colección!$L$2:$L$10001,Colección!$F$2:$F$10001,$F1636,Colección!$M$2:$M$10001,"Compra")</f>
        <v>9.3620218579234979</v>
      </c>
      <c r="H1636">
        <f>IF($G1636=0,"",_xlfn.RANK.EQ($G1636,$G$2:$G$2353,0)+COUNTIF($G$2:G1636,$G1636)-1)</f>
        <v>686</v>
      </c>
    </row>
    <row r="1637" spans="6:8" x14ac:dyDescent="0.25">
      <c r="F1637" t="str">
        <f>"Roronoa Zoro (OP04-015)"</f>
        <v>Roronoa Zoro (OP04-015)</v>
      </c>
      <c r="G1637">
        <f>SUMIFS(Colección!$L$2:$L$10001,Colección!$F$2:$F$10001,$F1637,Colección!$M$2:$M$10001,"Compra")</f>
        <v>9.2848101265822783E-2</v>
      </c>
      <c r="H1637">
        <f>IF($G1637=0,"",_xlfn.RANK.EQ($G1637,$G$2:$G$2353,0)+COUNTIF($G$2:G1637,$G1637)-1)</f>
        <v>2218</v>
      </c>
    </row>
    <row r="1638" spans="6:8" x14ac:dyDescent="0.25">
      <c r="F1638" t="str">
        <f>"Roronoa Zoro (OP06-118) (V.1)"</f>
        <v>Roronoa Zoro (OP06-118) (V.1)</v>
      </c>
      <c r="G1638">
        <f>SUMIFS(Colección!$L$2:$L$10001,Colección!$F$2:$F$10001,$F1638,Colección!$M$2:$M$10001,"Compra")</f>
        <v>20.642067916877849</v>
      </c>
      <c r="H1638">
        <f>IF($G1638=0,"",_xlfn.RANK.EQ($G1638,$G$2:$G$2353,0)+COUNTIF($G$2:G1638,$G1638)-1)</f>
        <v>387</v>
      </c>
    </row>
    <row r="1639" spans="6:8" x14ac:dyDescent="0.25">
      <c r="F1639" t="str">
        <f>"Rosie Cotton of South Lane"</f>
        <v>Rosie Cotton of South Lane</v>
      </c>
      <c r="G1639">
        <f>SUMIFS(Colección!$L$2:$L$10001,Colección!$F$2:$F$10001,$F1639,Colección!$M$2:$M$10001,"Compra")</f>
        <v>1.6373287671232872</v>
      </c>
      <c r="H1639">
        <f>IF($G1639=0,"",_xlfn.RANK.EQ($G1639,$G$2:$G$2353,0)+COUNTIF($G$2:G1639,$G1639)-1)</f>
        <v>1444</v>
      </c>
    </row>
    <row r="1640" spans="6:8" x14ac:dyDescent="0.25">
      <c r="F1640" t="str">
        <f>"Rotten Reunion"</f>
        <v>Rotten Reunion</v>
      </c>
      <c r="G1640">
        <f>SUMIFS(Colección!$L$2:$L$10001,Colección!$F$2:$F$10001,$F1640,Colección!$M$2:$M$10001,"Compra")</f>
        <v>0.2752941176470588</v>
      </c>
      <c r="H1640">
        <f>IF($G1640=0,"",_xlfn.RANK.EQ($G1640,$G$2:$G$2353,0)+COUNTIF($G$2:G1640,$G1640)-1)</f>
        <v>2029</v>
      </c>
    </row>
    <row r="1641" spans="6:8" x14ac:dyDescent="0.25">
      <c r="F1641" t="str">
        <f>"Rough // Tumble"</f>
        <v>Rough // Tumble</v>
      </c>
      <c r="G1641">
        <f>SUMIFS(Colección!$L$2:$L$10001,Colección!$F$2:$F$10001,$F1641,Colección!$M$2:$M$10001,"Compra")</f>
        <v>0.67500000000000004</v>
      </c>
      <c r="H1641">
        <f>IF($G1641=0,"",_xlfn.RANK.EQ($G1641,$G$2:$G$2353,0)+COUNTIF($G$2:G1641,$G1641)-1)</f>
        <v>1776</v>
      </c>
    </row>
    <row r="1642" spans="6:8" x14ac:dyDescent="0.25">
      <c r="F1642" t="str">
        <f>"Royal Role / Young Hero Role Token"</f>
        <v>Royal Role / Young Hero Role Token</v>
      </c>
      <c r="G1642">
        <f>SUMIFS(Colección!$L$2:$L$10001,Colección!$F$2:$F$10001,$F1642,Colección!$M$2:$M$10001,"Compra")</f>
        <v>0.15064851881505209</v>
      </c>
      <c r="H1642">
        <f>IF($G1642=0,"",_xlfn.RANK.EQ($G1642,$G$2:$G$2353,0)+COUNTIF($G$2:G1642,$G1642)-1)</f>
        <v>2118</v>
      </c>
    </row>
    <row r="1643" spans="6:8" x14ac:dyDescent="0.25">
      <c r="F1643" t="str">
        <f>"Ruby Medallion"</f>
        <v>Ruby Medallion</v>
      </c>
      <c r="G1643">
        <f>SUMIFS(Colección!$L$2:$L$10001,Colección!$F$2:$F$10001,$F1643,Colección!$M$2:$M$10001,"Compra")</f>
        <v>23.02</v>
      </c>
      <c r="H1643">
        <f>IF($G1643=0,"",_xlfn.RANK.EQ($G1643,$G$2:$G$2353,0)+COUNTIF($G$2:G1643,$G1643)-1)</f>
        <v>341</v>
      </c>
    </row>
    <row r="1644" spans="6:8" x14ac:dyDescent="0.25">
      <c r="F1644" t="str">
        <f>"Ruby, Daring Tracker"</f>
        <v>Ruby, Daring Tracker</v>
      </c>
      <c r="G1644">
        <f>SUMIFS(Colección!$L$2:$L$10001,Colección!$F$2:$F$10001,$F1644,Colección!$M$2:$M$10001,"Compra")</f>
        <v>0.48183421516754837</v>
      </c>
      <c r="H1644">
        <f>IF($G1644=0,"",_xlfn.RANK.EQ($G1644,$G$2:$G$2353,0)+COUNTIF($G$2:G1644,$G1644)-1)</f>
        <v>1891</v>
      </c>
    </row>
    <row r="1645" spans="6:8" x14ac:dyDescent="0.25">
      <c r="F1645" t="str">
        <f>"Ruin Crab [Playset]"</f>
        <v>Ruin Crab [Playset]</v>
      </c>
      <c r="G1645">
        <f>SUMIFS(Colección!$L$2:$L$10001,Colección!$F$2:$F$10001,$F1645,Colección!$M$2:$M$10001,"Compra")</f>
        <v>2.1487323943661969</v>
      </c>
      <c r="H1645">
        <f>IF($G1645=0,"",_xlfn.RANK.EQ($G1645,$G$2:$G$2353,0)+COUNTIF($G$2:G1645,$G1645)-1)</f>
        <v>1329</v>
      </c>
    </row>
    <row r="1646" spans="6:8" x14ac:dyDescent="0.25">
      <c r="F1646" t="str">
        <f>"Ruined Rex"</f>
        <v>Ruined Rex</v>
      </c>
      <c r="G1646">
        <f>SUMIFS(Colección!$L$2:$L$10001,Colección!$F$2:$F$10001,$F1646,Colección!$M$2:$M$10001,"Compra")</f>
        <v>1.3322448979591837</v>
      </c>
      <c r="H1646">
        <f>IF($G1646=0,"",_xlfn.RANK.EQ($G1646,$G$2:$G$2353,0)+COUNTIF($G$2:G1646,$G1646)-1)</f>
        <v>1533</v>
      </c>
    </row>
    <row r="1647" spans="6:8" x14ac:dyDescent="0.25">
      <c r="F1647" t="str">
        <f>"Rushing River"</f>
        <v>Rushing River</v>
      </c>
      <c r="G1647">
        <f>SUMIFS(Colección!$L$2:$L$10001,Colección!$F$2:$F$10001,$F1647,Colección!$M$2:$M$10001,"Compra")</f>
        <v>2.7229598796389167</v>
      </c>
      <c r="H1647">
        <f>IF($G1647=0,"",_xlfn.RANK.EQ($G1647,$G$2:$G$2353,0)+COUNTIF($G$2:G1647,$G1647)-1)</f>
        <v>1224</v>
      </c>
    </row>
    <row r="1648" spans="6:8" x14ac:dyDescent="0.25">
      <c r="F1648" t="str">
        <f>"Rydia, Summoner of Mist"</f>
        <v>Rydia, Summoner of Mist</v>
      </c>
      <c r="G1648">
        <f>SUMIFS(Colección!$L$2:$L$10001,Colección!$F$2:$F$10001,$F1648,Colección!$M$2:$M$10001,"Compra")</f>
        <v>1.4430769230769231</v>
      </c>
      <c r="H1648">
        <f>IF($G1648=0,"",_xlfn.RANK.EQ($G1648,$G$2:$G$2353,0)+COUNTIF($G$2:G1648,$G1648)-1)</f>
        <v>1501</v>
      </c>
    </row>
    <row r="1649" spans="6:8" x14ac:dyDescent="0.25">
      <c r="F1649" t="str">
        <f>"Sabo (OP04-083) (V.1)"</f>
        <v>Sabo (OP04-083) (V.1)</v>
      </c>
      <c r="G1649">
        <f>SUMIFS(Colección!$L$2:$L$10001,Colección!$F$2:$F$10001,$F1649,Colección!$M$2:$M$10001,"Compra")</f>
        <v>9.5375665399239544</v>
      </c>
      <c r="H1649">
        <f>IF($G1649=0,"",_xlfn.RANK.EQ($G1649,$G$2:$G$2353,0)+COUNTIF($G$2:G1649,$G1649)-1)</f>
        <v>682</v>
      </c>
    </row>
    <row r="1650" spans="6:8" x14ac:dyDescent="0.25">
      <c r="F1650" t="str">
        <f>"Sabo (OP05-001) (V.1)"</f>
        <v>Sabo (OP05-001) (V.1)</v>
      </c>
      <c r="G1650">
        <f>SUMIFS(Colección!$L$2:$L$10001,Colección!$F$2:$F$10001,$F1650,Colección!$M$2:$M$10001,"Compra")</f>
        <v>6.7654260528893242E-2</v>
      </c>
      <c r="H1650">
        <f>IF($G1650=0,"",_xlfn.RANK.EQ($G1650,$G$2:$G$2353,0)+COUNTIF($G$2:G1650,$G1650)-1)</f>
        <v>2250</v>
      </c>
    </row>
    <row r="1651" spans="6:8" x14ac:dyDescent="0.25">
      <c r="F1651" t="str">
        <f>"Sabo (OP05-007) (V.1)"</f>
        <v>Sabo (OP05-007) (V.1)</v>
      </c>
      <c r="G1651">
        <f>SUMIFS(Colección!$L$2:$L$10001,Colección!$F$2:$F$10001,$F1651,Colección!$M$2:$M$10001,"Compra")</f>
        <v>2.0296278158667969</v>
      </c>
      <c r="H1651">
        <f>IF($G1651=0,"",_xlfn.RANK.EQ($G1651,$G$2:$G$2353,0)+COUNTIF($G$2:G1651,$G1651)-1)</f>
        <v>1363</v>
      </c>
    </row>
    <row r="1652" spans="6:8" x14ac:dyDescent="0.25">
      <c r="F1652" t="str">
        <f>"Sabotage"</f>
        <v>Sabotage</v>
      </c>
      <c r="G1652">
        <f>SUMIFS(Colección!$L$2:$L$10001,Colección!$F$2:$F$10001,$F1652,Colección!$M$2:$M$10001,"Compra")</f>
        <v>39.476910502656324</v>
      </c>
      <c r="H1652">
        <f>IF($G1652=0,"",_xlfn.RANK.EQ($G1652,$G$2:$G$2353,0)+COUNTIF($G$2:G1652,$G1652)-1)</f>
        <v>217</v>
      </c>
    </row>
    <row r="1653" spans="6:8" x14ac:dyDescent="0.25">
      <c r="F1653" t="str">
        <f>"Sacred Foundry"</f>
        <v>Sacred Foundry</v>
      </c>
      <c r="G1653">
        <f>SUMIFS(Colección!$L$2:$L$10001,Colección!$F$2:$F$10001,$F1653,Colección!$M$2:$M$10001,"Compra")</f>
        <v>35.28</v>
      </c>
      <c r="H1653">
        <f>IF($G1653=0,"",_xlfn.RANK.EQ($G1653,$G$2:$G$2353,0)+COUNTIF($G$2:G1653,$G1653)-1)</f>
        <v>241</v>
      </c>
    </row>
    <row r="1654" spans="6:8" x14ac:dyDescent="0.25">
      <c r="F1654" t="str">
        <f>"Sacred Foundry (V.2)"</f>
        <v>Sacred Foundry (V.2)</v>
      </c>
      <c r="G1654">
        <f>SUMIFS(Colección!$L$2:$L$10001,Colección!$F$2:$F$10001,$F1654,Colección!$M$2:$M$10001,"Compra")</f>
        <v>91.915625000000006</v>
      </c>
      <c r="H1654">
        <f>IF($G1654=0,"",_xlfn.RANK.EQ($G1654,$G$2:$G$2353,0)+COUNTIF($G$2:G1654,$G1654)-1)</f>
        <v>84</v>
      </c>
    </row>
    <row r="1655" spans="6:8" x14ac:dyDescent="0.25">
      <c r="F1655" t="str">
        <f>"Sacrifice"</f>
        <v>Sacrifice</v>
      </c>
      <c r="G1655">
        <f>SUMIFS(Colección!$L$2:$L$10001,Colección!$F$2:$F$10001,$F1655,Colección!$M$2:$M$10001,"Compra")</f>
        <v>15.849676870748301</v>
      </c>
      <c r="H1655">
        <f>IF($G1655=0,"",_xlfn.RANK.EQ($G1655,$G$2:$G$2353,0)+COUNTIF($G$2:G1655,$G1655)-1)</f>
        <v>489</v>
      </c>
    </row>
    <row r="1656" spans="6:8" x14ac:dyDescent="0.25">
      <c r="F1656" t="str">
        <f>"Safety Inspector"</f>
        <v>Safety Inspector</v>
      </c>
      <c r="G1656">
        <f>SUMIFS(Colección!$L$2:$L$10001,Colección!$F$2:$F$10001,$F1656,Colección!$M$2:$M$10001,"Compra")</f>
        <v>3.6047766821345704</v>
      </c>
      <c r="H1656">
        <f>IF($G1656=0,"",_xlfn.RANK.EQ($G1656,$G$2:$G$2353,0)+COUNTIF($G$2:G1656,$G1656)-1)</f>
        <v>1105</v>
      </c>
    </row>
    <row r="1657" spans="6:8" x14ac:dyDescent="0.25">
      <c r="F1657" t="str">
        <f>"Saheeli, Sublime Artificer"</f>
        <v>Saheeli, Sublime Artificer</v>
      </c>
      <c r="G1657">
        <f>SUMIFS(Colección!$L$2:$L$10001,Colección!$F$2:$F$10001,$F1657,Colección!$M$2:$M$10001,"Compra")</f>
        <v>0.54545454545454553</v>
      </c>
      <c r="H1657">
        <f>IF($G1657=0,"",_xlfn.RANK.EQ($G1657,$G$2:$G$2353,0)+COUNTIF($G$2:G1657,$G1657)-1)</f>
        <v>1859</v>
      </c>
    </row>
    <row r="1658" spans="6:8" x14ac:dyDescent="0.25">
      <c r="F1658" t="str">
        <f>"Saint Charlos (OP05-084)"</f>
        <v>Saint Charlos (OP05-084)</v>
      </c>
      <c r="G1658">
        <f>SUMIFS(Colección!$L$2:$L$10001,Colección!$F$2:$F$10001,$F1658,Colección!$M$2:$M$10001,"Compra")</f>
        <v>6.7654260528893242E-2</v>
      </c>
      <c r="H1658">
        <f>IF($G1658=0,"",_xlfn.RANK.EQ($G1658,$G$2:$G$2353,0)+COUNTIF($G$2:G1658,$G1658)-1)</f>
        <v>2251</v>
      </c>
    </row>
    <row r="1659" spans="6:8" x14ac:dyDescent="0.25">
      <c r="F1659" t="str">
        <f>"Saint Mjosgard (OP05-089)"</f>
        <v>Saint Mjosgard (OP05-089)</v>
      </c>
      <c r="G1659">
        <f>SUMIFS(Colección!$L$2:$L$10001,Colección!$F$2:$F$10001,$F1659,Colección!$M$2:$M$10001,"Compra")</f>
        <v>0.1217776689520078</v>
      </c>
      <c r="H1659">
        <f>IF($G1659=0,"",_xlfn.RANK.EQ($G1659,$G$2:$G$2353,0)+COUNTIF($G$2:G1659,$G1659)-1)</f>
        <v>2150</v>
      </c>
    </row>
    <row r="1660" spans="6:8" x14ac:dyDescent="0.25">
      <c r="F1660" t="str">
        <f>"Saint Rosward (OP05-092)"</f>
        <v>Saint Rosward (OP05-092)</v>
      </c>
      <c r="G1660">
        <f>SUMIFS(Colección!$L$2:$L$10001,Colección!$F$2:$F$10001,$F1660,Colección!$M$2:$M$10001,"Compra")</f>
        <v>8.1185112634671888E-2</v>
      </c>
      <c r="H1660">
        <f>IF($G1660=0,"",_xlfn.RANK.EQ($G1660,$G$2:$G$2353,0)+COUNTIF($G$2:G1660,$G1660)-1)</f>
        <v>2229</v>
      </c>
    </row>
    <row r="1661" spans="6:8" x14ac:dyDescent="0.25">
      <c r="F1661" t="str">
        <f>"Sakazuki (OP02-099) (V.1)"</f>
        <v>Sakazuki (OP02-099) (V.1)</v>
      </c>
      <c r="G1661">
        <f>SUMIFS(Colección!$L$2:$L$10001,Colección!$F$2:$F$10001,$F1661,Colección!$M$2:$M$10001,"Compra")</f>
        <v>2.6748633879781418</v>
      </c>
      <c r="H1661">
        <f>IF($G1661=0,"",_xlfn.RANK.EQ($G1661,$G$2:$G$2353,0)+COUNTIF($G$2:G1661,$G1661)-1)</f>
        <v>1232</v>
      </c>
    </row>
    <row r="1662" spans="6:8" x14ac:dyDescent="0.25">
      <c r="F1662" t="str">
        <f>"Sakazuki (OP05-041) (V.1)"</f>
        <v>Sakazuki (OP05-041) (V.1)</v>
      </c>
      <c r="G1662">
        <f>SUMIFS(Colección!$L$2:$L$10001,Colección!$F$2:$F$10001,$F1662,Colección!$M$2:$M$10001,"Compra")</f>
        <v>6.7654260528893242E-2</v>
      </c>
      <c r="H1662">
        <f>IF($G1662=0,"",_xlfn.RANK.EQ($G1662,$G$2:$G$2353,0)+COUNTIF($G$2:G1662,$G1662)-1)</f>
        <v>2252</v>
      </c>
    </row>
    <row r="1663" spans="6:8" x14ac:dyDescent="0.25">
      <c r="F1663" t="str">
        <f>"Salvage"</f>
        <v>Salvage</v>
      </c>
      <c r="G1663">
        <f>SUMIFS(Colección!$L$2:$L$10001,Colección!$F$2:$F$10001,$F1663,Colección!$M$2:$M$10001,"Compra")</f>
        <v>22.0425</v>
      </c>
      <c r="H1663">
        <f>IF($G1663=0,"",_xlfn.RANK.EQ($G1663,$G$2:$G$2353,0)+COUNTIF($G$2:G1663,$G1663)-1)</f>
        <v>354</v>
      </c>
    </row>
    <row r="1664" spans="6:8" x14ac:dyDescent="0.25">
      <c r="F1664" t="str">
        <f>"Samurai Token (White 2/2)"</f>
        <v>Samurai Token (White 2/2)</v>
      </c>
      <c r="G1664">
        <f>SUMIFS(Colección!$L$2:$L$10001,Colección!$F$2:$F$10001,$F1664,Colección!$M$2:$M$10001,"Compra")</f>
        <v>0.56917562724014314</v>
      </c>
      <c r="H1664">
        <f>IF($G1664=0,"",_xlfn.RANK.EQ($G1664,$G$2:$G$2353,0)+COUNTIF($G$2:G1664,$G1664)-1)</f>
        <v>1844</v>
      </c>
    </row>
    <row r="1665" spans="6:8" x14ac:dyDescent="0.25">
      <c r="F1665" t="str">
        <f>"Samut, Tyrant Smasher"</f>
        <v>Samut, Tyrant Smasher</v>
      </c>
      <c r="G1665">
        <f>SUMIFS(Colección!$L$2:$L$10001,Colección!$F$2:$F$10001,$F1665,Colección!$M$2:$M$10001,"Compra")</f>
        <v>0.16363636363636361</v>
      </c>
      <c r="H1665">
        <f>IF($G1665=0,"",_xlfn.RANK.EQ($G1665,$G$2:$G$2353,0)+COUNTIF($G$2:G1665,$G1665)-1)</f>
        <v>2109</v>
      </c>
    </row>
    <row r="1666" spans="6:8" x14ac:dyDescent="0.25">
      <c r="F1666" t="str">
        <f>"Samwise Gamgee"</f>
        <v>Samwise Gamgee</v>
      </c>
      <c r="G1666">
        <f>SUMIFS(Colección!$L$2:$L$10001,Colección!$F$2:$F$10001,$F1666,Colección!$M$2:$M$10001,"Compra")</f>
        <v>24.149958313274102</v>
      </c>
      <c r="H1666">
        <f>IF($G1666=0,"",_xlfn.RANK.EQ($G1666,$G$2:$G$2353,0)+COUNTIF($G$2:G1666,$G1666)-1)</f>
        <v>326</v>
      </c>
    </row>
    <row r="1667" spans="6:8" x14ac:dyDescent="0.25">
      <c r="F1667" t="str">
        <f>"San-Gorou (OP05-065)"</f>
        <v>San-Gorou (OP05-065)</v>
      </c>
      <c r="G1667">
        <f>SUMIFS(Colección!$L$2:$L$10001,Colección!$F$2:$F$10001,$F1667,Colección!$M$2:$M$10001,"Compra")</f>
        <v>4.0592556317335937E-2</v>
      </c>
      <c r="H1667">
        <f>IF($G1667=0,"",_xlfn.RANK.EQ($G1667,$G$2:$G$2353,0)+COUNTIF($G$2:G1667,$G1667)-1)</f>
        <v>2334</v>
      </c>
    </row>
    <row r="1668" spans="6:8" x14ac:dyDescent="0.25">
      <c r="F1668" t="str">
        <f>"Sanctifier en-Vec"</f>
        <v>Sanctifier en-Vec</v>
      </c>
      <c r="G1668">
        <f>SUMIFS(Colección!$L$2:$L$10001,Colección!$F$2:$F$10001,$F1668,Colección!$M$2:$M$10001,"Compra")</f>
        <v>8.2450788151740859</v>
      </c>
      <c r="H1668">
        <f>IF($G1668=0,"",_xlfn.RANK.EQ($G1668,$G$2:$G$2353,0)+COUNTIF($G$2:G1668,$G1668)-1)</f>
        <v>738</v>
      </c>
    </row>
    <row r="1669" spans="6:8" x14ac:dyDescent="0.25">
      <c r="F1669" t="str">
        <f>"Sanctifier en-Vec (V.1)"</f>
        <v>Sanctifier en-Vec (V.1)</v>
      </c>
      <c r="G1669">
        <f>SUMIFS(Colección!$L$2:$L$10001,Colección!$F$2:$F$10001,$F1669,Colección!$M$2:$M$10001,"Compra")</f>
        <v>10.33</v>
      </c>
      <c r="H1669">
        <f>IF($G1669=0,"",_xlfn.RANK.EQ($G1669,$G$2:$G$2353,0)+COUNTIF($G$2:G1669,$G1669)-1)</f>
        <v>655</v>
      </c>
    </row>
    <row r="1670" spans="6:8" x14ac:dyDescent="0.25">
      <c r="F1670" t="str">
        <f>"Sanctifier en-Vec [Foil]"</f>
        <v>Sanctifier en-Vec [Foil]</v>
      </c>
      <c r="G1670">
        <f>SUMIFS(Colección!$L$2:$L$10001,Colección!$F$2:$F$10001,$F1670,Colección!$M$2:$M$10001,"Compra")</f>
        <v>1.0909090909090911</v>
      </c>
      <c r="H1670">
        <f>IF($G1670=0,"",_xlfn.RANK.EQ($G1670,$G$2:$G$2353,0)+COUNTIF($G$2:G1670,$G1670)-1)</f>
        <v>1615</v>
      </c>
    </row>
    <row r="1671" spans="6:8" x14ac:dyDescent="0.25">
      <c r="F1671" t="str">
        <f>"Sanctum of Ugin"</f>
        <v>Sanctum of Ugin</v>
      </c>
      <c r="G1671">
        <f>SUMIFS(Colección!$L$2:$L$10001,Colección!$F$2:$F$10001,$F1671,Colección!$M$2:$M$10001,"Compra")</f>
        <v>2.8622950819672131</v>
      </c>
      <c r="H1671">
        <f>IF($G1671=0,"",_xlfn.RANK.EQ($G1671,$G$2:$G$2353,0)+COUNTIF($G$2:G1671,$G1671)-1)</f>
        <v>1209</v>
      </c>
    </row>
    <row r="1672" spans="6:8" x14ac:dyDescent="0.25">
      <c r="F1672" t="str">
        <f>"Sanctum Prelate"</f>
        <v>Sanctum Prelate</v>
      </c>
      <c r="G1672">
        <f>SUMIFS(Colección!$L$2:$L$10001,Colección!$F$2:$F$10001,$F1672,Colección!$M$2:$M$10001,"Compra")</f>
        <v>2.6025773195876281</v>
      </c>
      <c r="H1672">
        <f>IF($G1672=0,"",_xlfn.RANK.EQ($G1672,$G$2:$G$2353,0)+COUNTIF($G$2:G1672,$G1672)-1)</f>
        <v>1242</v>
      </c>
    </row>
    <row r="1673" spans="6:8" x14ac:dyDescent="0.25">
      <c r="F1673" t="str">
        <f>"Sanctum Weaver"</f>
        <v>Sanctum Weaver</v>
      </c>
      <c r="G1673">
        <f>SUMIFS(Colección!$L$2:$L$10001,Colección!$F$2:$F$10001,$F1673,Colección!$M$2:$M$10001,"Compra")</f>
        <v>7.342157149829184</v>
      </c>
      <c r="H1673">
        <f>IF($G1673=0,"",_xlfn.RANK.EQ($G1673,$G$2:$G$2353,0)+COUNTIF($G$2:G1673,$G1673)-1)</f>
        <v>788</v>
      </c>
    </row>
    <row r="1674" spans="6:8" x14ac:dyDescent="0.25">
      <c r="F1674" t="str">
        <f>"Sand Soldier"</f>
        <v>Sand Soldier</v>
      </c>
      <c r="G1674">
        <f>SUMIFS(Colección!$L$2:$L$10001,Colección!$F$2:$F$10001,$F1674,Colección!$M$2:$M$10001,"Compra")</f>
        <v>1.1023781902552203</v>
      </c>
      <c r="H1674">
        <f>IF($G1674=0,"",_xlfn.RANK.EQ($G1674,$G$2:$G$2353,0)+COUNTIF($G$2:G1674,$G1674)-1)</f>
        <v>1596</v>
      </c>
    </row>
    <row r="1675" spans="6:8" x14ac:dyDescent="0.25">
      <c r="F1675" t="str">
        <f>"Sanji (OP03-102)"</f>
        <v>Sanji (OP03-102)</v>
      </c>
      <c r="G1675">
        <f>SUMIFS(Colección!$L$2:$L$10001,Colección!$F$2:$F$10001,$F1675,Colección!$M$2:$M$10001,"Compra")</f>
        <v>0.47596899224806211</v>
      </c>
      <c r="H1675">
        <f>IF($G1675=0,"",_xlfn.RANK.EQ($G1675,$G$2:$G$2353,0)+COUNTIF($G$2:G1675,$G1675)-1)</f>
        <v>1898</v>
      </c>
    </row>
    <row r="1676" spans="6:8" x14ac:dyDescent="0.25">
      <c r="F1676" t="str">
        <f>"Sanji (OP04-007)"</f>
        <v>Sanji (OP04-007)</v>
      </c>
      <c r="G1676">
        <f>SUMIFS(Colección!$L$2:$L$10001,Colección!$F$2:$F$10001,$F1676,Colección!$M$2:$M$10001,"Compra")</f>
        <v>6.1898734177215198E-2</v>
      </c>
      <c r="H1676">
        <f>IF($G1676=0,"",_xlfn.RANK.EQ($G1676,$G$2:$G$2353,0)+COUNTIF($G$2:G1676,$G1676)-1)</f>
        <v>2304</v>
      </c>
    </row>
    <row r="1677" spans="6:8" x14ac:dyDescent="0.25">
      <c r="F1677" t="str">
        <f>"Sanji (OP04-104) (V.1)"</f>
        <v>Sanji (OP04-104) (V.1)</v>
      </c>
      <c r="G1677">
        <f>SUMIFS(Colección!$L$2:$L$10001,Colección!$F$2:$F$10001,$F1677,Colección!$M$2:$M$10001,"Compra")</f>
        <v>9.8103802281368822</v>
      </c>
      <c r="H1677">
        <f>IF($G1677=0,"",_xlfn.RANK.EQ($G1677,$G$2:$G$2353,0)+COUNTIF($G$2:G1677,$G1677)-1)</f>
        <v>673</v>
      </c>
    </row>
    <row r="1678" spans="6:8" x14ac:dyDescent="0.25">
      <c r="F1678" t="str">
        <f>"Sanji's Pilaf (OP03-056)"</f>
        <v>Sanji's Pilaf (OP03-056)</v>
      </c>
      <c r="G1678">
        <f>SUMIFS(Colección!$L$2:$L$10001,Colección!$F$2:$F$10001,$F1678,Colección!$M$2:$M$10001,"Compra")</f>
        <v>0.22608527131782949</v>
      </c>
      <c r="H1678">
        <f>IF($G1678=0,"",_xlfn.RANK.EQ($G1678,$G$2:$G$2353,0)+COUNTIF($G$2:G1678,$G1678)-1)</f>
        <v>2071</v>
      </c>
    </row>
    <row r="1679" spans="6:8" x14ac:dyDescent="0.25">
      <c r="F1679" t="str">
        <f>"Saradoc, Master of Buckland (V.1)"</f>
        <v>Saradoc, Master of Buckland (V.1)</v>
      </c>
      <c r="G1679">
        <f>SUMIFS(Colección!$L$2:$L$10001,Colección!$F$2:$F$10001,$F1679,Colección!$M$2:$M$10001,"Compra")</f>
        <v>0.30647887323943662</v>
      </c>
      <c r="H1679">
        <f>IF($G1679=0,"",_xlfn.RANK.EQ($G1679,$G$2:$G$2353,0)+COUNTIF($G$2:G1679,$G1679)-1)</f>
        <v>2000</v>
      </c>
    </row>
    <row r="1680" spans="6:8" x14ac:dyDescent="0.25">
      <c r="F1680" t="str">
        <f>"Saradoc, Master of Buckland (V.2)"</f>
        <v>Saradoc, Master of Buckland (V.2)</v>
      </c>
      <c r="G1680">
        <f>SUMIFS(Colección!$L$2:$L$10001,Colección!$F$2:$F$10001,$F1680,Colección!$M$2:$M$10001,"Compra")</f>
        <v>5.28</v>
      </c>
      <c r="H1680">
        <f>IF($G1680=0,"",_xlfn.RANK.EQ($G1680,$G$2:$G$2353,0)+COUNTIF($G$2:G1680,$G1680)-1)</f>
        <v>948</v>
      </c>
    </row>
    <row r="1681" spans="6:8" x14ac:dyDescent="0.25">
      <c r="F1681" t="str">
        <f>"Sarinth Steelseeker"</f>
        <v>Sarinth Steelseeker</v>
      </c>
      <c r="G1681">
        <f>SUMIFS(Colección!$L$2:$L$10001,Colección!$F$2:$F$10001,$F1681,Colección!$M$2:$M$10001,"Compra")</f>
        <v>0.70171232876712319</v>
      </c>
      <c r="H1681">
        <f>IF($G1681=0,"",_xlfn.RANK.EQ($G1681,$G$2:$G$2353,0)+COUNTIF($G$2:G1681,$G1681)-1)</f>
        <v>1758</v>
      </c>
    </row>
    <row r="1682" spans="6:8" x14ac:dyDescent="0.25">
      <c r="F1682" t="str">
        <f>"Sarkhan the Masterless"</f>
        <v>Sarkhan the Masterless</v>
      </c>
      <c r="G1682">
        <f>SUMIFS(Colección!$L$2:$L$10001,Colección!$F$2:$F$10001,$F1682,Colección!$M$2:$M$10001,"Compra")</f>
        <v>0.27272727272727282</v>
      </c>
      <c r="H1682">
        <f>IF($G1682=0,"",_xlfn.RANK.EQ($G1682,$G$2:$G$2353,0)+COUNTIF($G$2:G1682,$G1682)-1)</f>
        <v>2036</v>
      </c>
    </row>
    <row r="1683" spans="6:8" x14ac:dyDescent="0.25">
      <c r="F1683" t="str">
        <f>"Sarquiss (OP05-026)"</f>
        <v>Sarquiss (OP05-026)</v>
      </c>
      <c r="G1683">
        <f>SUMIFS(Colección!$L$2:$L$10001,Colección!$F$2:$F$10001,$F1683,Colección!$M$2:$M$10001,"Compra")</f>
        <v>4.0592556317335937E-2</v>
      </c>
      <c r="H1683">
        <f>IF($G1683=0,"",_xlfn.RANK.EQ($G1683,$G$2:$G$2353,0)+COUNTIF($G$2:G1683,$G1683)-1)</f>
        <v>2335</v>
      </c>
    </row>
    <row r="1684" spans="6:8" x14ac:dyDescent="0.25">
      <c r="F1684" t="str">
        <f>"Saruman of Many Colors"</f>
        <v>Saruman of Many Colors</v>
      </c>
      <c r="G1684">
        <f>SUMIFS(Colección!$L$2:$L$10001,Colección!$F$2:$F$10001,$F1684,Colección!$M$2:$M$10001,"Compra")</f>
        <v>2.6228900949796481</v>
      </c>
      <c r="H1684">
        <f>IF($G1684=0,"",_xlfn.RANK.EQ($G1684,$G$2:$G$2353,0)+COUNTIF($G$2:G1684,$G1684)-1)</f>
        <v>1238</v>
      </c>
    </row>
    <row r="1685" spans="6:8" x14ac:dyDescent="0.25">
      <c r="F1685" t="str">
        <f>"Saruman of Many Colors (V.2)"</f>
        <v>Saruman of Many Colors (V.2)</v>
      </c>
      <c r="G1685">
        <f>SUMIFS(Colección!$L$2:$L$10001,Colección!$F$2:$F$10001,$F1685,Colección!$M$2:$M$10001,"Compra")</f>
        <v>13.01197850087159</v>
      </c>
      <c r="H1685">
        <f>IF($G1685=0,"",_xlfn.RANK.EQ($G1685,$G$2:$G$2353,0)+COUNTIF($G$2:G1685,$G1685)-1)</f>
        <v>553</v>
      </c>
    </row>
    <row r="1686" spans="6:8" x14ac:dyDescent="0.25">
      <c r="F1686" t="str">
        <f>"Sasaki (OP04-048)"</f>
        <v>Sasaki (OP04-048)</v>
      </c>
      <c r="G1686">
        <f>SUMIFS(Colección!$L$2:$L$10001,Colección!$F$2:$F$10001,$F1686,Colección!$M$2:$M$10001,"Compra")</f>
        <v>2.5686746987951811E-2</v>
      </c>
      <c r="H1686">
        <f>IF($G1686=0,"",_xlfn.RANK.EQ($G1686,$G$2:$G$2353,0)+COUNTIF($G$2:G1686,$G1686)-1)</f>
        <v>2349</v>
      </c>
    </row>
    <row r="1687" spans="6:8" x14ac:dyDescent="0.25">
      <c r="F1687" t="str">
        <f>"Satori (OP05-105)"</f>
        <v>Satori (OP05-105)</v>
      </c>
      <c r="G1687">
        <f>SUMIFS(Colección!$L$2:$L$10001,Colección!$F$2:$F$10001,$F1687,Colección!$M$2:$M$10001,"Compra")</f>
        <v>0.47787016776075858</v>
      </c>
      <c r="H1687">
        <f>IF($G1687=0,"",_xlfn.RANK.EQ($G1687,$G$2:$G$2353,0)+COUNTIF($G$2:G1687,$G1687)-1)</f>
        <v>1892</v>
      </c>
    </row>
    <row r="1688" spans="6:8" x14ac:dyDescent="0.25">
      <c r="F1688" t="str">
        <f>"Sauron's Ransom"</f>
        <v>Sauron's Ransom</v>
      </c>
      <c r="G1688">
        <f>SUMIFS(Colección!$L$2:$L$10001,Colección!$F$2:$F$10001,$F1688,Colección!$M$2:$M$10001,"Compra")</f>
        <v>2.54900098080426</v>
      </c>
      <c r="H1688">
        <f>IF($G1688=0,"",_xlfn.RANK.EQ($G1688,$G$2:$G$2353,0)+COUNTIF($G$2:G1688,$G1688)-1)</f>
        <v>1244</v>
      </c>
    </row>
    <row r="1689" spans="6:8" x14ac:dyDescent="0.25">
      <c r="F1689" t="str">
        <f>"Sauron's Ransom [Playset]"</f>
        <v>Sauron's Ransom [Playset]</v>
      </c>
      <c r="G1689">
        <f>SUMIFS(Colección!$L$2:$L$10001,Colección!$F$2:$F$10001,$F1689,Colección!$M$2:$M$10001,"Compra")</f>
        <v>30.2</v>
      </c>
      <c r="H1689">
        <f>IF($G1689=0,"",_xlfn.RANK.EQ($G1689,$G$2:$G$2353,0)+COUNTIF($G$2:G1689,$G1689)-1)</f>
        <v>279</v>
      </c>
    </row>
    <row r="1690" spans="6:8" x14ac:dyDescent="0.25">
      <c r="F1690" t="str">
        <f>"Sauron, the Dark Lord"</f>
        <v>Sauron, the Dark Lord</v>
      </c>
      <c r="G1690">
        <f>SUMIFS(Colección!$L$2:$L$10001,Colección!$F$2:$F$10001,$F1690,Colección!$M$2:$M$10001,"Compra")</f>
        <v>12.389505494505494</v>
      </c>
      <c r="H1690">
        <f>IF($G1690=0,"",_xlfn.RANK.EQ($G1690,$G$2:$G$2353,0)+COUNTIF($G$2:G1690,$G1690)-1)</f>
        <v>569</v>
      </c>
    </row>
    <row r="1691" spans="6:8" x14ac:dyDescent="0.25">
      <c r="F1691" t="str">
        <f>"Sauron, the Necromancer"</f>
        <v>Sauron, the Necromancer</v>
      </c>
      <c r="G1691">
        <f>SUMIFS(Colección!$L$2:$L$10001,Colección!$F$2:$F$10001,$F1691,Colección!$M$2:$M$10001,"Compra")</f>
        <v>0.4027322404371585</v>
      </c>
      <c r="H1691">
        <f>IF($G1691=0,"",_xlfn.RANK.EQ($G1691,$G$2:$G$2353,0)+COUNTIF($G$2:G1691,$G1691)-1)</f>
        <v>1961</v>
      </c>
    </row>
    <row r="1692" spans="6:8" x14ac:dyDescent="0.25">
      <c r="F1692" t="str">
        <f>"Savai Triome"</f>
        <v>Savai Triome</v>
      </c>
      <c r="G1692">
        <f>SUMIFS(Colección!$L$2:$L$10001,Colección!$F$2:$F$10001,$F1692,Colección!$M$2:$M$10001,"Compra")</f>
        <v>12.02535135135135</v>
      </c>
      <c r="H1692">
        <f>IF($G1692=0,"",_xlfn.RANK.EQ($G1692,$G$2:$G$2353,0)+COUNTIF($G$2:G1692,$G1692)-1)</f>
        <v>581</v>
      </c>
    </row>
    <row r="1693" spans="6:8" x14ac:dyDescent="0.25">
      <c r="F1693" t="str">
        <f>"Savannah Lions"</f>
        <v>Savannah Lions</v>
      </c>
      <c r="G1693">
        <f>SUMIFS(Colección!$L$2:$L$10001,Colección!$F$2:$F$10001,$F1693,Colección!$M$2:$M$10001,"Compra")</f>
        <v>2.2573491490459001</v>
      </c>
      <c r="H1693">
        <f>IF($G1693=0,"",_xlfn.RANK.EQ($G1693,$G$2:$G$2353,0)+COUNTIF($G$2:G1693,$G1693)-1)</f>
        <v>1295</v>
      </c>
    </row>
    <row r="1694" spans="6:8" x14ac:dyDescent="0.25">
      <c r="F1694" t="str">
        <f>"Saw It Coming"</f>
        <v>Saw It Coming</v>
      </c>
      <c r="G1694">
        <f>SUMIFS(Colección!$L$2:$L$10001,Colección!$F$2:$F$10001,$F1694,Colección!$M$2:$M$10001,"Compra")</f>
        <v>0.32102564102564102</v>
      </c>
      <c r="H1694">
        <f>IF($G1694=0,"",_xlfn.RANK.EQ($G1694,$G$2:$G$2353,0)+COUNTIF($G$2:G1694,$G1694)-1)</f>
        <v>1993</v>
      </c>
    </row>
    <row r="1695" spans="6:8" x14ac:dyDescent="0.25">
      <c r="F1695" t="str">
        <f>"Say Its Name"</f>
        <v>Say Its Name</v>
      </c>
      <c r="G1695">
        <f>SUMIFS(Colección!$L$2:$L$10001,Colección!$F$2:$F$10001,$F1695,Colección!$M$2:$M$10001,"Compra")</f>
        <v>0.98769230769230765</v>
      </c>
      <c r="H1695">
        <f>IF($G1695=0,"",_xlfn.RANK.EQ($G1695,$G$2:$G$2353,0)+COUNTIF($G$2:G1695,$G1695)-1)</f>
        <v>1662</v>
      </c>
    </row>
    <row r="1696" spans="6:8" x14ac:dyDescent="0.25">
      <c r="F1696" t="str">
        <f>"Scalding Tarn"</f>
        <v>Scalding Tarn</v>
      </c>
      <c r="G1696">
        <f>SUMIFS(Colección!$L$2:$L$10001,Colección!$F$2:$F$10001,$F1696,Colección!$M$2:$M$10001,"Compra")</f>
        <v>119.55109644453907</v>
      </c>
      <c r="H1696">
        <f>IF($G1696=0,"",_xlfn.RANK.EQ($G1696,$G$2:$G$2353,0)+COUNTIF($G$2:G1696,$G1696)-1)</f>
        <v>58</v>
      </c>
    </row>
    <row r="1697" spans="6:8" x14ac:dyDescent="0.25">
      <c r="F1697" t="str">
        <f>"Scalding Tarn (V.1)"</f>
        <v>Scalding Tarn (V.1)</v>
      </c>
      <c r="G1697">
        <f>SUMIFS(Colección!$L$2:$L$10001,Colección!$F$2:$F$10001,$F1697,Colección!$M$2:$M$10001,"Compra")</f>
        <v>174.108197581779</v>
      </c>
      <c r="H1697">
        <f>IF($G1697=0,"",_xlfn.RANK.EQ($G1697,$G$2:$G$2353,0)+COUNTIF($G$2:G1697,$G1697)-1)</f>
        <v>28</v>
      </c>
    </row>
    <row r="1698" spans="6:8" x14ac:dyDescent="0.25">
      <c r="F1698" t="str">
        <f>"Scale Up"</f>
        <v>Scale Up</v>
      </c>
      <c r="G1698">
        <f>SUMIFS(Colección!$L$2:$L$10001,Colección!$F$2:$F$10001,$F1698,Colección!$M$2:$M$10001,"Compra")</f>
        <v>1.0680916030534351</v>
      </c>
      <c r="H1698">
        <f>IF($G1698=0,"",_xlfn.RANK.EQ($G1698,$G$2:$G$2353,0)+COUNTIF($G$2:G1698,$G1698)-1)</f>
        <v>1619</v>
      </c>
    </row>
    <row r="1699" spans="6:8" x14ac:dyDescent="0.25">
      <c r="F1699" t="str">
        <f>"Scapeshift"</f>
        <v>Scapeshift</v>
      </c>
      <c r="G1699">
        <f>SUMIFS(Colección!$L$2:$L$10001,Colección!$F$2:$F$10001,$F1699,Colección!$M$2:$M$10001,"Compra")</f>
        <v>21.33</v>
      </c>
      <c r="H1699">
        <f>IF($G1699=0,"",_xlfn.RANK.EQ($G1699,$G$2:$G$2353,0)+COUNTIF($G$2:G1699,$G1699)-1)</f>
        <v>371</v>
      </c>
    </row>
    <row r="1700" spans="6:8" x14ac:dyDescent="0.25">
      <c r="F1700" t="str">
        <f>"Scavenging Ooze"</f>
        <v>Scavenging Ooze</v>
      </c>
      <c r="G1700">
        <f>SUMIFS(Colección!$L$2:$L$10001,Colección!$F$2:$F$10001,$F1700,Colección!$M$2:$M$10001,"Compra")</f>
        <v>0.85138211382113815</v>
      </c>
      <c r="H1700">
        <f>IF($G1700=0,"",_xlfn.RANK.EQ($G1700,$G$2:$G$2353,0)+COUNTIF($G$2:G1700,$G1700)-1)</f>
        <v>1699</v>
      </c>
    </row>
    <row r="1701" spans="6:8" x14ac:dyDescent="0.25">
      <c r="F1701" t="str">
        <f>"Scavenging Ooze [Playset]"</f>
        <v>Scavenging Ooze [Playset]</v>
      </c>
      <c r="G1701">
        <f>SUMIFS(Colección!$L$2:$L$10001,Colección!$F$2:$F$10001,$F1701,Colección!$M$2:$M$10001,"Compra")</f>
        <v>0.66384180790960445</v>
      </c>
      <c r="H1701">
        <f>IF($G1701=0,"",_xlfn.RANK.EQ($G1701,$G$2:$G$2353,0)+COUNTIF($G$2:G1701,$G1701)-1)</f>
        <v>1779</v>
      </c>
    </row>
    <row r="1702" spans="6:8" x14ac:dyDescent="0.25">
      <c r="F1702" t="str">
        <f>"Scion of Draco"</f>
        <v>Scion of Draco</v>
      </c>
      <c r="G1702">
        <f>SUMIFS(Colección!$L$2:$L$10001,Colección!$F$2:$F$10001,$F1702,Colección!$M$2:$M$10001,"Compra")</f>
        <v>19.149999999999999</v>
      </c>
      <c r="H1702">
        <f>IF($G1702=0,"",_xlfn.RANK.EQ($G1702,$G$2:$G$2353,0)+COUNTIF($G$2:G1702,$G1702)-1)</f>
        <v>414</v>
      </c>
    </row>
    <row r="1703" spans="6:8" x14ac:dyDescent="0.25">
      <c r="F1703" t="str">
        <f>"Scion of Draco (V.2)"</f>
        <v>Scion of Draco (V.2)</v>
      </c>
      <c r="G1703">
        <f>SUMIFS(Colección!$L$2:$L$10001,Colección!$F$2:$F$10001,$F1703,Colección!$M$2:$M$10001,"Compra")</f>
        <v>30.690266535044422</v>
      </c>
      <c r="H1703">
        <f>IF($G1703=0,"",_xlfn.RANK.EQ($G1703,$G$2:$G$2353,0)+COUNTIF($G$2:G1703,$G1703)-1)</f>
        <v>274</v>
      </c>
    </row>
    <row r="1704" spans="6:8" x14ac:dyDescent="0.25">
      <c r="F1704" t="str">
        <f>"Scrapwork Mutt"</f>
        <v>Scrapwork Mutt</v>
      </c>
      <c r="G1704">
        <f>SUMIFS(Colección!$L$2:$L$10001,Colección!$F$2:$F$10001,$F1704,Colección!$M$2:$M$10001,"Compra")</f>
        <v>0.46780821917808219</v>
      </c>
      <c r="H1704">
        <f>IF($G1704=0,"",_xlfn.RANK.EQ($G1704,$G$2:$G$2353,0)+COUNTIF($G$2:G1704,$G1704)-1)</f>
        <v>1905</v>
      </c>
    </row>
    <row r="1705" spans="6:8" x14ac:dyDescent="0.25">
      <c r="F1705" t="str">
        <f>"Scroll of Isildur"</f>
        <v>Scroll of Isildur</v>
      </c>
      <c r="G1705">
        <f>SUMIFS(Colección!$L$2:$L$10001,Colección!$F$2:$F$10001,$F1705,Colección!$M$2:$M$10001,"Compra")</f>
        <v>0.13424408014571951</v>
      </c>
      <c r="H1705">
        <f>IF($G1705=0,"",_xlfn.RANK.EQ($G1705,$G$2:$G$2353,0)+COUNTIF($G$2:G1705,$G1705)-1)</f>
        <v>2145</v>
      </c>
    </row>
    <row r="1706" spans="6:8" x14ac:dyDescent="0.25">
      <c r="F1706" t="str">
        <f>"Scrubland"</f>
        <v>Scrubland</v>
      </c>
      <c r="G1706">
        <f>SUMIFS(Colección!$L$2:$L$10001,Colección!$F$2:$F$10001,$F1706,Colección!$M$2:$M$10001,"Compra")</f>
        <v>425</v>
      </c>
      <c r="H1706">
        <f>IF($G1706=0,"",_xlfn.RANK.EQ($G1706,$G$2:$G$2353,0)+COUNTIF($G$2:G1706,$G1706)-1)</f>
        <v>4</v>
      </c>
    </row>
    <row r="1707" spans="6:8" x14ac:dyDescent="0.25">
      <c r="F1707" t="str">
        <f>"Scurry Oak"</f>
        <v>Scurry Oak</v>
      </c>
      <c r="G1707">
        <f>SUMIFS(Colección!$L$2:$L$10001,Colección!$F$2:$F$10001,$F1707,Colección!$M$2:$M$10001,"Compra")</f>
        <v>1.1695205479452055</v>
      </c>
      <c r="H1707">
        <f>IF($G1707=0,"",_xlfn.RANK.EQ($G1707,$G$2:$G$2353,0)+COUNTIF($G$2:G1707,$G1707)-1)</f>
        <v>1573</v>
      </c>
    </row>
    <row r="1708" spans="6:8" x14ac:dyDescent="0.25">
      <c r="F1708" t="str">
        <f>"Scuttle Crab"</f>
        <v>Scuttle Crab</v>
      </c>
      <c r="G1708">
        <f>SUMIFS(Colección!$L$2:$L$10001,Colección!$F$2:$F$10001,$F1708,Colección!$M$2:$M$10001,"Compra")</f>
        <v>3.5108538350217087</v>
      </c>
      <c r="H1708">
        <f>IF($G1708=0,"",_xlfn.RANK.EQ($G1708,$G$2:$G$2353,0)+COUNTIF($G$2:G1708,$G1708)-1)</f>
        <v>1117</v>
      </c>
    </row>
    <row r="1709" spans="6:8" x14ac:dyDescent="0.25">
      <c r="F1709" t="str">
        <f>"Sea Gate Restoration // Sea Gate, Reborn"</f>
        <v>Sea Gate Restoration // Sea Gate, Reborn</v>
      </c>
      <c r="G1709">
        <f>SUMIFS(Colección!$L$2:$L$10001,Colección!$F$2:$F$10001,$F1709,Colección!$M$2:$M$10001,"Compra")</f>
        <v>144.69999999999999</v>
      </c>
      <c r="H1709">
        <f>IF($G1709=0,"",_xlfn.RANK.EQ($G1709,$G$2:$G$2353,0)+COUNTIF($G$2:G1709,$G1709)-1)</f>
        <v>41</v>
      </c>
    </row>
    <row r="1710" spans="6:8" x14ac:dyDescent="0.25">
      <c r="F1710" t="str">
        <f>"Seachrome Coast"</f>
        <v>Seachrome Coast</v>
      </c>
      <c r="G1710">
        <f>SUMIFS(Colección!$L$2:$L$10001,Colección!$F$2:$F$10001,$F1710,Colección!$M$2:$M$10001,"Compra")</f>
        <v>19.18</v>
      </c>
      <c r="H1710">
        <f>IF($G1710=0,"",_xlfn.RANK.EQ($G1710,$G$2:$G$2353,0)+COUNTIF($G$2:G1710,$G1710)-1)</f>
        <v>413</v>
      </c>
    </row>
    <row r="1711" spans="6:8" x14ac:dyDescent="0.25">
      <c r="F1711" t="str">
        <f>"Seal of Cleansing"</f>
        <v>Seal of Cleansing</v>
      </c>
      <c r="G1711">
        <f>SUMIFS(Colección!$L$2:$L$10001,Colección!$F$2:$F$10001,$F1711,Colección!$M$2:$M$10001,"Compra")</f>
        <v>12</v>
      </c>
      <c r="H1711">
        <f>IF($G1711=0,"",_xlfn.RANK.EQ($G1711,$G$2:$G$2353,0)+COUNTIF($G$2:G1711,$G1711)-1)</f>
        <v>584</v>
      </c>
    </row>
    <row r="1712" spans="6:8" x14ac:dyDescent="0.25">
      <c r="F1712" t="str">
        <f>"Seal of Discord"</f>
        <v>Seal of Discord</v>
      </c>
      <c r="G1712">
        <f>SUMIFS(Colección!$L$2:$L$10001,Colección!$F$2:$F$10001,$F1712,Colección!$M$2:$M$10001,"Compra")</f>
        <v>21.15</v>
      </c>
      <c r="H1712">
        <f>IF($G1712=0,"",_xlfn.RANK.EQ($G1712,$G$2:$G$2353,0)+COUNTIF($G$2:G1712,$G1712)-1)</f>
        <v>377</v>
      </c>
    </row>
    <row r="1713" spans="6:8" x14ac:dyDescent="0.25">
      <c r="F1713" t="str">
        <f>"Seal of Primordium"</f>
        <v>Seal of Primordium</v>
      </c>
      <c r="G1713">
        <f>SUMIFS(Colección!$L$2:$L$10001,Colección!$F$2:$F$10001,$F1713,Colección!$M$2:$M$10001,"Compra")</f>
        <v>1.0499999999999998</v>
      </c>
      <c r="H1713">
        <f>IF($G1713=0,"",_xlfn.RANK.EQ($G1713,$G$2:$G$2353,0)+COUNTIF($G$2:G1713,$G1713)-1)</f>
        <v>1635</v>
      </c>
    </row>
    <row r="1714" spans="6:8" x14ac:dyDescent="0.25">
      <c r="F1714" t="str">
        <f>"Seaquake (OP02-021)"</f>
        <v>Seaquake (OP02-021)</v>
      </c>
      <c r="G1714">
        <f>SUMIFS(Colección!$L$2:$L$10001,Colección!$F$2:$F$10001,$F1714,Colección!$M$2:$M$10001,"Compra")</f>
        <v>1.2</v>
      </c>
      <c r="H1714">
        <f>IF($G1714=0,"",_xlfn.RANK.EQ($G1714,$G$2:$G$2353,0)+COUNTIF($G$2:G1714,$G1714)-1)</f>
        <v>1564</v>
      </c>
    </row>
    <row r="1715" spans="6:8" x14ac:dyDescent="0.25">
      <c r="F1715" t="str">
        <f>"Seasoned Pyromancer"</f>
        <v>Seasoned Pyromancer</v>
      </c>
      <c r="G1715">
        <f>SUMIFS(Colección!$L$2:$L$10001,Colección!$F$2:$F$10001,$F1715,Colección!$M$2:$M$10001,"Compra")</f>
        <v>129.46492639622431</v>
      </c>
      <c r="H1715">
        <f>IF($G1715=0,"",_xlfn.RANK.EQ($G1715,$G$2:$G$2353,0)+COUNTIF($G$2:G1715,$G1715)-1)</f>
        <v>49</v>
      </c>
    </row>
    <row r="1716" spans="6:8" x14ac:dyDescent="0.25">
      <c r="F1716" t="str">
        <f>"Seat of Power"</f>
        <v>Seat of Power</v>
      </c>
      <c r="G1716">
        <f>SUMIFS(Colección!$L$2:$L$10001,Colección!$F$2:$F$10001,$F1716,Colección!$M$2:$M$10001,"Compra")</f>
        <v>0.71654582366589326</v>
      </c>
      <c r="H1716">
        <f>IF($G1716=0,"",_xlfn.RANK.EQ($G1716,$G$2:$G$2353,0)+COUNTIF($G$2:G1716,$G1716)-1)</f>
        <v>1753</v>
      </c>
    </row>
    <row r="1717" spans="6:8" x14ac:dyDescent="0.25">
      <c r="F1717" t="str">
        <f>"Secluded Steppe"</f>
        <v>Secluded Steppe</v>
      </c>
      <c r="G1717">
        <f>SUMIFS(Colección!$L$2:$L$10001,Colección!$F$2:$F$10001,$F1717,Colección!$M$2:$M$10001,"Compra")</f>
        <v>0.632057761732852</v>
      </c>
      <c r="H1717">
        <f>IF($G1717=0,"",_xlfn.RANK.EQ($G1717,$G$2:$G$2353,0)+COUNTIF($G$2:G1717,$G1717)-1)</f>
        <v>1809</v>
      </c>
    </row>
    <row r="1718" spans="6:8" x14ac:dyDescent="0.25">
      <c r="F1718" t="str">
        <f>"Sejiri Shelter // Sejiri Glacier"</f>
        <v>Sejiri Shelter // Sejiri Glacier</v>
      </c>
      <c r="G1718">
        <f>SUMIFS(Colección!$L$2:$L$10001,Colección!$F$2:$F$10001,$F1718,Colección!$M$2:$M$10001,"Compra")</f>
        <v>0.55295401402961808</v>
      </c>
      <c r="H1718">
        <f>IF($G1718=0,"",_xlfn.RANK.EQ($G1718,$G$2:$G$2353,0)+COUNTIF($G$2:G1718,$G1718)-1)</f>
        <v>1853</v>
      </c>
    </row>
    <row r="1719" spans="6:8" x14ac:dyDescent="0.25">
      <c r="F1719" t="str">
        <f>"Selesnya Sanctuary"</f>
        <v>Selesnya Sanctuary</v>
      </c>
      <c r="G1719">
        <f>SUMIFS(Colección!$L$2:$L$10001,Colección!$F$2:$F$10001,$F1719,Colección!$M$2:$M$10001,"Compra")</f>
        <v>2.2333062956261314</v>
      </c>
      <c r="H1719">
        <f>IF($G1719=0,"",_xlfn.RANK.EQ($G1719,$G$2:$G$2353,0)+COUNTIF($G$2:G1719,$G1719)-1)</f>
        <v>1301</v>
      </c>
    </row>
    <row r="1720" spans="6:8" x14ac:dyDescent="0.25">
      <c r="F1720" t="str">
        <f>"Senor Pink (OP04-026)"</f>
        <v>Senor Pink (OP04-026)</v>
      </c>
      <c r="G1720">
        <f>SUMIFS(Colección!$L$2:$L$10001,Colección!$F$2:$F$10001,$F1720,Colección!$M$2:$M$10001,"Compra")</f>
        <v>9.2848101265822783E-2</v>
      </c>
      <c r="H1720">
        <f>IF($G1720=0,"",_xlfn.RANK.EQ($G1720,$G$2:$G$2353,0)+COUNTIF($G$2:G1720,$G1720)-1)</f>
        <v>2219</v>
      </c>
    </row>
    <row r="1721" spans="6:8" x14ac:dyDescent="0.25">
      <c r="F1721" t="str">
        <f>"Sephiroth, Fabled SOLDIER // Sephiroth, One-Winged Angel (V.1)"</f>
        <v>Sephiroth, Fabled SOLDIER // Sephiroth, One-Winged Angel (V.1)</v>
      </c>
      <c r="G1721">
        <f>SUMIFS(Colección!$L$2:$L$10001,Colección!$F$2:$F$10001,$F1721,Colección!$M$2:$M$10001,"Compra")</f>
        <v>146.84</v>
      </c>
      <c r="H1721">
        <f>IF($G1721=0,"",_xlfn.RANK.EQ($G1721,$G$2:$G$2353,0)+COUNTIF($G$2:G1721,$G1721)-1)</f>
        <v>38</v>
      </c>
    </row>
    <row r="1722" spans="6:8" x14ac:dyDescent="0.25">
      <c r="F1722" t="str">
        <f>"Sephiroth, One-Winged Angel Emblem // Robot Warrior Token"</f>
        <v>Sephiroth, One-Winged Angel Emblem // Robot Warrior Token</v>
      </c>
      <c r="G1722">
        <f>SUMIFS(Colección!$L$2:$L$10001,Colección!$F$2:$F$10001,$F1722,Colección!$M$2:$M$10001,"Compra")</f>
        <v>1.1048952879581151</v>
      </c>
      <c r="H1722">
        <f>IF($G1722=0,"",_xlfn.RANK.EQ($G1722,$G$2:$G$2353,0)+COUNTIF($G$2:G1722,$G1722)-1)</f>
        <v>1594</v>
      </c>
    </row>
    <row r="1723" spans="6:8" x14ac:dyDescent="0.25">
      <c r="F1723" t="str">
        <f>"Serenity"</f>
        <v>Serenity</v>
      </c>
      <c r="G1723">
        <f>SUMIFS(Colección!$L$2:$L$10001,Colección!$F$2:$F$10001,$F1723,Colección!$M$2:$M$10001,"Compra")</f>
        <v>6.4258003010536884</v>
      </c>
      <c r="H1723">
        <f>IF($G1723=0,"",_xlfn.RANK.EQ($G1723,$G$2:$G$2353,0)+COUNTIF($G$2:G1723,$G1723)-1)</f>
        <v>852</v>
      </c>
    </row>
    <row r="1724" spans="6:8" x14ac:dyDescent="0.25">
      <c r="F1724" t="str">
        <f>"Serpent of the Pass"</f>
        <v>Serpent of the Pass</v>
      </c>
      <c r="G1724">
        <f>SUMIFS(Colección!$L$2:$L$10001,Colección!$F$2:$F$10001,$F1724,Colección!$M$2:$M$10001,"Compra")</f>
        <v>0.58947368421052637</v>
      </c>
      <c r="H1724">
        <f>IF($G1724=0,"",_xlfn.RANK.EQ($G1724,$G$2:$G$2353,0)+COUNTIF($G$2:G1724,$G1724)-1)</f>
        <v>1833</v>
      </c>
    </row>
    <row r="1725" spans="6:8" x14ac:dyDescent="0.25">
      <c r="F1725" t="str">
        <f>"Serra Paragon"</f>
        <v>Serra Paragon</v>
      </c>
      <c r="G1725">
        <f>SUMIFS(Colección!$L$2:$L$10001,Colección!$F$2:$F$10001,$F1725,Colección!$M$2:$M$10001,"Compra")</f>
        <v>22.18</v>
      </c>
      <c r="H1725">
        <f>IF($G1725=0,"",_xlfn.RANK.EQ($G1725,$G$2:$G$2353,0)+COUNTIF($G$2:G1725,$G1725)-1)</f>
        <v>352</v>
      </c>
    </row>
    <row r="1726" spans="6:8" x14ac:dyDescent="0.25">
      <c r="F1726" t="str">
        <f>"Serra's Sanctum"</f>
        <v>Serra's Sanctum</v>
      </c>
      <c r="G1726">
        <f>SUMIFS(Colección!$L$2:$L$10001,Colección!$F$2:$F$10001,$F1726,Colección!$M$2:$M$10001,"Compra")</f>
        <v>1030</v>
      </c>
      <c r="H1726">
        <f>IF($G1726=0,"",_xlfn.RANK.EQ($G1726,$G$2:$G$2353,0)+COUNTIF($G$2:G1726,$G1726)-1)</f>
        <v>2</v>
      </c>
    </row>
    <row r="1727" spans="6:8" x14ac:dyDescent="0.25">
      <c r="F1727" t="str">
        <f>"Serum Powder"</f>
        <v>Serum Powder</v>
      </c>
      <c r="G1727">
        <f>SUMIFS(Colección!$L$2:$L$10001,Colección!$F$2:$F$10001,$F1727,Colección!$M$2:$M$10001,"Compra")</f>
        <v>5.29</v>
      </c>
      <c r="H1727">
        <f>IF($G1727=0,"",_xlfn.RANK.EQ($G1727,$G$2:$G$2353,0)+COUNTIF($G$2:G1727,$G1727)-1)</f>
        <v>943</v>
      </c>
    </row>
    <row r="1728" spans="6:8" x14ac:dyDescent="0.25">
      <c r="F1728" t="str">
        <f>"Serum Visions"</f>
        <v>Serum Visions</v>
      </c>
      <c r="G1728">
        <f>SUMIFS(Colección!$L$2:$L$10001,Colección!$F$2:$F$10001,$F1728,Colección!$M$2:$M$10001,"Compra")</f>
        <v>8.8586816370880115</v>
      </c>
      <c r="H1728">
        <f>IF($G1728=0,"",_xlfn.RANK.EQ($G1728,$G$2:$G$2353,0)+COUNTIF($G$2:G1728,$G1728)-1)</f>
        <v>705</v>
      </c>
    </row>
    <row r="1729" spans="6:8" x14ac:dyDescent="0.25">
      <c r="F1729" t="str">
        <f>"Sett, Brawler (V.2 - Showcase)"</f>
        <v>Sett, Brawler (V.2 - Showcase)</v>
      </c>
      <c r="G1729">
        <f>SUMIFS(Colección!$L$2:$L$10001,Colección!$F$2:$F$10001,$F1729,Colección!$M$2:$M$10001,"Compra")</f>
        <v>65.510000000000005</v>
      </c>
      <c r="H1729">
        <f>IF($G1729=0,"",_xlfn.RANK.EQ($G1729,$G$2:$G$2353,0)+COUNTIF($G$2:G1729,$G1729)-1)</f>
        <v>123</v>
      </c>
    </row>
    <row r="1730" spans="6:8" x14ac:dyDescent="0.25">
      <c r="F1730" t="str">
        <f>"Severance Priest"</f>
        <v>Severance Priest</v>
      </c>
      <c r="G1730">
        <f>SUMIFS(Colección!$L$2:$L$10001,Colección!$F$2:$F$10001,$F1730,Colección!$M$2:$M$10001,"Compra")</f>
        <v>1.4286532951289397</v>
      </c>
      <c r="H1730">
        <f>IF($G1730=0,"",_xlfn.RANK.EQ($G1730,$G$2:$G$2353,0)+COUNTIF($G$2:G1730,$G1730)-1)</f>
        <v>1506</v>
      </c>
    </row>
    <row r="1731" spans="6:8" x14ac:dyDescent="0.25">
      <c r="F1731" t="str">
        <f>"Sevinne's Reclamation"</f>
        <v>Sevinne's Reclamation</v>
      </c>
      <c r="G1731">
        <f>SUMIFS(Colección!$L$2:$L$10001,Colección!$F$2:$F$10001,$F1731,Colección!$M$2:$M$10001,"Compra")</f>
        <v>1.143381389252949</v>
      </c>
      <c r="H1731">
        <f>IF($G1731=0,"",_xlfn.RANK.EQ($G1731,$G$2:$G$2353,0)+COUNTIF($G$2:G1731,$G1731)-1)</f>
        <v>1579</v>
      </c>
    </row>
    <row r="1732" spans="6:8" x14ac:dyDescent="0.25">
      <c r="F1732" t="str">
        <f>"Sewer-veillance Cam"</f>
        <v>Sewer-veillance Cam</v>
      </c>
      <c r="G1732">
        <f>SUMIFS(Colección!$L$2:$L$10001,Colección!$F$2:$F$10001,$F1732,Colección!$M$2:$M$10001,"Compra")</f>
        <v>1.0033333333333336</v>
      </c>
      <c r="H1732">
        <f>IF($G1732=0,"",_xlfn.RANK.EQ($G1732,$G$2:$G$2353,0)+COUNTIF($G$2:G1732,$G1732)-1)</f>
        <v>1658</v>
      </c>
    </row>
    <row r="1733" spans="6:8" x14ac:dyDescent="0.25">
      <c r="F1733" t="str">
        <f>"Shadow of the Enemy"</f>
        <v>Shadow of the Enemy</v>
      </c>
      <c r="G1733">
        <f>SUMIFS(Colección!$L$2:$L$10001,Colección!$F$2:$F$10001,$F1733,Colección!$M$2:$M$10001,"Compra")</f>
        <v>1.527385798281321</v>
      </c>
      <c r="H1733">
        <f>IF($G1733=0,"",_xlfn.RANK.EQ($G1733,$G$2:$G$2353,0)+COUNTIF($G$2:G1733,$G1733)-1)</f>
        <v>1483</v>
      </c>
    </row>
    <row r="1734" spans="6:8" x14ac:dyDescent="0.25">
      <c r="F1734" t="str">
        <f>"Shadow Prophecy"</f>
        <v>Shadow Prophecy</v>
      </c>
      <c r="G1734">
        <f>SUMIFS(Colección!$L$2:$L$10001,Colección!$F$2:$F$10001,$F1734,Colección!$M$2:$M$10001,"Compra")</f>
        <v>0.62024915062287678</v>
      </c>
      <c r="H1734">
        <f>IF($G1734=0,"",_xlfn.RANK.EQ($G1734,$G$2:$G$2353,0)+COUNTIF($G$2:G1734,$G1734)-1)</f>
        <v>1817</v>
      </c>
    </row>
    <row r="1735" spans="6:8" x14ac:dyDescent="0.25">
      <c r="F1735" t="str">
        <f>"Shadow's Call"</f>
        <v>Shadow's Call</v>
      </c>
      <c r="G1735">
        <f>SUMIFS(Colección!$L$2:$L$10001,Colección!$F$2:$F$10001,$F1735,Colección!$M$2:$M$10001,"Compra")</f>
        <v>6.257900232018561</v>
      </c>
      <c r="H1735">
        <f>IF($G1735=0,"",_xlfn.RANK.EQ($G1735,$G$2:$G$2353,0)+COUNTIF($G$2:G1735,$G1735)-1)</f>
        <v>865</v>
      </c>
    </row>
    <row r="1736" spans="6:8" x14ac:dyDescent="0.25">
      <c r="F1736" t="str">
        <f>"Shadowspear"</f>
        <v>Shadowspear</v>
      </c>
      <c r="G1736">
        <f>SUMIFS(Colección!$L$2:$L$10001,Colección!$F$2:$F$10001,$F1736,Colección!$M$2:$M$10001,"Compra")</f>
        <v>20.858356396750288</v>
      </c>
      <c r="H1736">
        <f>IF($G1736=0,"",_xlfn.RANK.EQ($G1736,$G$2:$G$2353,0)+COUNTIF($G$2:G1736,$G1736)-1)</f>
        <v>380</v>
      </c>
    </row>
    <row r="1737" spans="6:8" x14ac:dyDescent="0.25">
      <c r="F1737" t="str">
        <f>"Shadowy Backstreet"</f>
        <v>Shadowy Backstreet</v>
      </c>
      <c r="G1737">
        <f>SUMIFS(Colección!$L$2:$L$10001,Colección!$F$2:$F$10001,$F1737,Colección!$M$2:$M$10001,"Compra")</f>
        <v>35.46544191616767</v>
      </c>
      <c r="H1737">
        <f>IF($G1737=0,"",_xlfn.RANK.EQ($G1737,$G$2:$G$2353,0)+COUNTIF($G$2:G1737,$G1737)-1)</f>
        <v>236</v>
      </c>
    </row>
    <row r="1738" spans="6:8" x14ac:dyDescent="0.25">
      <c r="F1738" t="str">
        <f>"Shagrat, Loot Bearer"</f>
        <v>Shagrat, Loot Bearer</v>
      </c>
      <c r="G1738">
        <f>SUMIFS(Colección!$L$2:$L$10001,Colección!$F$2:$F$10001,$F1738,Colección!$M$2:$M$10001,"Compra")</f>
        <v>0.75057220514571954</v>
      </c>
      <c r="H1738">
        <f>IF($G1738=0,"",_xlfn.RANK.EQ($G1738,$G$2:$G$2353,0)+COUNTIF($G$2:G1738,$G1738)-1)</f>
        <v>1743</v>
      </c>
    </row>
    <row r="1739" spans="6:8" x14ac:dyDescent="0.25">
      <c r="F1739" t="str">
        <f>"Sham (OP03-027)"</f>
        <v>Sham (OP03-027)</v>
      </c>
      <c r="G1739">
        <f>SUMIFS(Colección!$L$2:$L$10001,Colección!$F$2:$F$10001,$F1739,Colección!$M$2:$M$10001,"Compra")</f>
        <v>0.1427906976744186</v>
      </c>
      <c r="H1739">
        <f>IF($G1739=0,"",_xlfn.RANK.EQ($G1739,$G$2:$G$2353,0)+COUNTIF($G$2:G1739,$G1739)-1)</f>
        <v>2126</v>
      </c>
    </row>
    <row r="1740" spans="6:8" x14ac:dyDescent="0.25">
      <c r="F1740" t="str">
        <f>"Shambling Vent"</f>
        <v>Shambling Vent</v>
      </c>
      <c r="G1740">
        <f>SUMIFS(Colección!$L$2:$L$10001,Colección!$F$2:$F$10001,$F1740,Colección!$M$2:$M$10001,"Compra")</f>
        <v>1.1792647058823531</v>
      </c>
      <c r="H1740">
        <f>IF($G1740=0,"",_xlfn.RANK.EQ($G1740,$G$2:$G$2353,0)+COUNTIF($G$2:G1740,$G1740)-1)</f>
        <v>1568</v>
      </c>
    </row>
    <row r="1741" spans="6:8" x14ac:dyDescent="0.25">
      <c r="F1741" t="str">
        <f>"Shanks (P-016) (V.1)"</f>
        <v>Shanks (P-016) (V.1)</v>
      </c>
      <c r="G1741">
        <f>SUMIFS(Colección!$L$2:$L$10001,Colección!$F$2:$F$10001,$F1741,Colección!$M$2:$M$10001,"Compra")</f>
        <v>0.41647286821705432</v>
      </c>
      <c r="H1741">
        <f>IF($G1741=0,"",_xlfn.RANK.EQ($G1741,$G$2:$G$2353,0)+COUNTIF($G$2:G1741,$G1741)-1)</f>
        <v>1943</v>
      </c>
    </row>
    <row r="1742" spans="6:8" x14ac:dyDescent="0.25">
      <c r="F1742" t="str">
        <f>"Shardless Agent (V.1)"</f>
        <v>Shardless Agent (V.1)</v>
      </c>
      <c r="G1742">
        <f>SUMIFS(Colección!$L$2:$L$10001,Colección!$F$2:$F$10001,$F1742,Colección!$M$2:$M$10001,"Compra")</f>
        <v>1.3230318564628341</v>
      </c>
      <c r="H1742">
        <f>IF($G1742=0,"",_xlfn.RANK.EQ($G1742,$G$2:$G$2353,0)+COUNTIF($G$2:G1742,$G1742)-1)</f>
        <v>1537</v>
      </c>
    </row>
    <row r="1743" spans="6:8" x14ac:dyDescent="0.25">
      <c r="F1743" t="str">
        <f>"Shardless Agent (V.1) [Playset]"</f>
        <v>Shardless Agent (V.1) [Playset]</v>
      </c>
      <c r="G1743">
        <f>SUMIFS(Colección!$L$2:$L$10001,Colección!$F$2:$F$10001,$F1743,Colección!$M$2:$M$10001,"Compra")</f>
        <v>13.6009756097561</v>
      </c>
      <c r="H1743">
        <f>IF($G1743=0,"",_xlfn.RANK.EQ($G1743,$G$2:$G$2353,0)+COUNTIF($G$2:G1743,$G1743)-1)</f>
        <v>537</v>
      </c>
    </row>
    <row r="1744" spans="6:8" x14ac:dyDescent="0.25">
      <c r="F1744" t="str">
        <f>"Shardless Agent (V.2)"</f>
        <v>Shardless Agent (V.2)</v>
      </c>
      <c r="G1744">
        <f>SUMIFS(Colección!$L$2:$L$10001,Colección!$F$2:$F$10001,$F1744,Colección!$M$2:$M$10001,"Compra")</f>
        <v>9.51</v>
      </c>
      <c r="H1744">
        <f>IF($G1744=0,"",_xlfn.RANK.EQ($G1744,$G$2:$G$2353,0)+COUNTIF($G$2:G1744,$G1744)-1)</f>
        <v>684</v>
      </c>
    </row>
    <row r="1745" spans="6:8" x14ac:dyDescent="0.25">
      <c r="F1745" t="str">
        <f>"Shark Token (U */*) // Shark Token (U */*)"</f>
        <v>Shark Token (U */*) // Shark Token (U */*)</v>
      </c>
      <c r="G1745">
        <f>SUMIFS(Colección!$L$2:$L$10001,Colección!$F$2:$F$10001,$F1745,Colección!$M$2:$M$10001,"Compra")</f>
        <v>1.9028894472361808</v>
      </c>
      <c r="H1745">
        <f>IF($G1745=0,"",_xlfn.RANK.EQ($G1745,$G$2:$G$2353,0)+COUNTIF($G$2:G1745,$G1745)-1)</f>
        <v>1385</v>
      </c>
    </row>
    <row r="1746" spans="6:8" x14ac:dyDescent="0.25">
      <c r="F1746" t="str">
        <f>"Shark Typhoon"</f>
        <v>Shark Typhoon</v>
      </c>
      <c r="G1746">
        <f>SUMIFS(Colección!$L$2:$L$10001,Colección!$F$2:$F$10001,$F1746,Colección!$M$2:$M$10001,"Compra")</f>
        <v>43.901882709370277</v>
      </c>
      <c r="H1746">
        <f>IF($G1746=0,"",_xlfn.RANK.EQ($G1746,$G$2:$G$2353,0)+COUNTIF($G$2:G1746,$G1746)-1)</f>
        <v>194</v>
      </c>
    </row>
    <row r="1747" spans="6:8" x14ac:dyDescent="0.25">
      <c r="F1747" t="str">
        <f>"Sharkey, Tyrant of the Shire"</f>
        <v>Sharkey, Tyrant of the Shire</v>
      </c>
      <c r="G1747">
        <f>SUMIFS(Colección!$L$2:$L$10001,Colección!$F$2:$F$10001,$F1747,Colección!$M$2:$M$10001,"Compra")</f>
        <v>0.79018390804597705</v>
      </c>
      <c r="H1747">
        <f>IF($G1747=0,"",_xlfn.RANK.EQ($G1747,$G$2:$G$2353,0)+COUNTIF($G$2:G1747,$G1747)-1)</f>
        <v>1728</v>
      </c>
    </row>
    <row r="1748" spans="6:8" x14ac:dyDescent="0.25">
      <c r="F1748" t="str">
        <f>"Shatter Assumptions"</f>
        <v>Shatter Assumptions</v>
      </c>
      <c r="G1748">
        <f>SUMIFS(Colección!$L$2:$L$10001,Colección!$F$2:$F$10001,$F1748,Colección!$M$2:$M$10001,"Compra")</f>
        <v>0.63130434782608702</v>
      </c>
      <c r="H1748">
        <f>IF($G1748=0,"",_xlfn.RANK.EQ($G1748,$G$2:$G$2353,0)+COUNTIF($G$2:G1748,$G1748)-1)</f>
        <v>1812</v>
      </c>
    </row>
    <row r="1749" spans="6:8" x14ac:dyDescent="0.25">
      <c r="F1749" t="str">
        <f>"Shattered Sanctum"</f>
        <v>Shattered Sanctum</v>
      </c>
      <c r="G1749">
        <f>SUMIFS(Colección!$L$2:$L$10001,Colección!$F$2:$F$10001,$F1749,Colección!$M$2:$M$10001,"Compra")</f>
        <v>41.402800466744438</v>
      </c>
      <c r="H1749">
        <f>IF($G1749=0,"",_xlfn.RANK.EQ($G1749,$G$2:$G$2353,0)+COUNTIF($G$2:G1749,$G1749)-1)</f>
        <v>207</v>
      </c>
    </row>
    <row r="1750" spans="6:8" x14ac:dyDescent="0.25">
      <c r="F1750" t="str">
        <f>"Shattering Spree"</f>
        <v>Shattering Spree</v>
      </c>
      <c r="G1750">
        <f>SUMIFS(Colección!$L$2:$L$10001,Colección!$F$2:$F$10001,$F1750,Colección!$M$2:$M$10001,"Compra")</f>
        <v>6.2894376004284949</v>
      </c>
      <c r="H1750">
        <f>IF($G1750=0,"",_xlfn.RANK.EQ($G1750,$G$2:$G$2353,0)+COUNTIF($G$2:G1750,$G1750)-1)</f>
        <v>864</v>
      </c>
    </row>
    <row r="1751" spans="6:8" x14ac:dyDescent="0.25">
      <c r="F1751" t="str">
        <f>"Shatterstorm"</f>
        <v>Shatterstorm</v>
      </c>
      <c r="G1751">
        <f>SUMIFS(Colección!$L$2:$L$10001,Colección!$F$2:$F$10001,$F1751,Colección!$M$2:$M$10001,"Compra")</f>
        <v>2.209090909090909</v>
      </c>
      <c r="H1751">
        <f>IF($G1751=0,"",_xlfn.RANK.EQ($G1751,$G$2:$G$2353,0)+COUNTIF($G$2:G1751,$G1751)-1)</f>
        <v>1310</v>
      </c>
    </row>
    <row r="1752" spans="6:8" x14ac:dyDescent="0.25">
      <c r="F1752" t="str">
        <f>"Shefet Dunes"</f>
        <v>Shefet Dunes</v>
      </c>
      <c r="G1752">
        <f>SUMIFS(Colección!$L$2:$L$10001,Colección!$F$2:$F$10001,$F1752,Colección!$M$2:$M$10001,"Compra")</f>
        <v>1.7605263157894739</v>
      </c>
      <c r="H1752">
        <f>IF($G1752=0,"",_xlfn.RANK.EQ($G1752,$G$2:$G$2353,0)+COUNTIF($G$2:G1752,$G1752)-1)</f>
        <v>1411</v>
      </c>
    </row>
    <row r="1753" spans="6:8" x14ac:dyDescent="0.25">
      <c r="F1753" t="str">
        <f>"Shelldock Isle"</f>
        <v>Shelldock Isle</v>
      </c>
      <c r="G1753">
        <f>SUMIFS(Colección!$L$2:$L$10001,Colección!$F$2:$F$10001,$F1753,Colección!$M$2:$M$10001,"Compra")</f>
        <v>5.317241379310345</v>
      </c>
      <c r="H1753">
        <f>IF($G1753=0,"",_xlfn.RANK.EQ($G1753,$G$2:$G$2353,0)+COUNTIF($G$2:G1753,$G1753)-1)</f>
        <v>941</v>
      </c>
    </row>
    <row r="1754" spans="6:8" x14ac:dyDescent="0.25">
      <c r="F1754" t="str">
        <f>"Shelob, Child of Ungoliant"</f>
        <v>Shelob, Child of Ungoliant</v>
      </c>
      <c r="G1754">
        <f>SUMIFS(Colección!$L$2:$L$10001,Colección!$F$2:$F$10001,$F1754,Colección!$M$2:$M$10001,"Compra")</f>
        <v>1.1668744368198518</v>
      </c>
      <c r="H1754">
        <f>IF($G1754=0,"",_xlfn.RANK.EQ($G1754,$G$2:$G$2353,0)+COUNTIF($G$2:G1754,$G1754)-1)</f>
        <v>1574</v>
      </c>
    </row>
    <row r="1755" spans="6:8" x14ac:dyDescent="0.25">
      <c r="F1755" t="str">
        <f>"Sheltered by Ghosts"</f>
        <v>Sheltered by Ghosts</v>
      </c>
      <c r="G1755">
        <f>SUMIFS(Colección!$L$2:$L$10001,Colección!$F$2:$F$10001,$F1755,Colección!$M$2:$M$10001,"Compra")</f>
        <v>11.123908045977013</v>
      </c>
      <c r="H1755">
        <f>IF($G1755=0,"",_xlfn.RANK.EQ($G1755,$G$2:$G$2353,0)+COUNTIF($G$2:G1755,$G1755)-1)</f>
        <v>616</v>
      </c>
    </row>
    <row r="1756" spans="6:8" x14ac:dyDescent="0.25">
      <c r="F1756" t="str">
        <f>"Sheoldred, the Apocalypse"</f>
        <v>Sheoldred, the Apocalypse</v>
      </c>
      <c r="G1756">
        <f>SUMIFS(Colección!$L$2:$L$10001,Colección!$F$2:$F$10001,$F1756,Colección!$M$2:$M$10001,"Compra")</f>
        <v>134.75</v>
      </c>
      <c r="H1756">
        <f>IF($G1756=0,"",_xlfn.RANK.EQ($G1756,$G$2:$G$2353,0)+COUNTIF($G$2:G1756,$G1756)-1)</f>
        <v>45</v>
      </c>
    </row>
    <row r="1757" spans="6:8" x14ac:dyDescent="0.25">
      <c r="F1757" t="str">
        <f>"Shepherd's Heirloom"</f>
        <v>Shepherd's Heirloom</v>
      </c>
      <c r="G1757">
        <f>SUMIFS(Colección!$L$2:$L$10001,Colección!$F$2:$F$10001,$F1757,Colección!$M$2:$M$10001,"Compra")</f>
        <v>0.92684920310584418</v>
      </c>
      <c r="H1757">
        <f>IF($G1757=0,"",_xlfn.RANK.EQ($G1757,$G$2:$G$2353,0)+COUNTIF($G$2:G1757,$G1757)-1)</f>
        <v>1679</v>
      </c>
    </row>
    <row r="1758" spans="6:8" x14ac:dyDescent="0.25">
      <c r="F1758" t="str">
        <f>"Shipwreck Marsh"</f>
        <v>Shipwreck Marsh</v>
      </c>
      <c r="G1758">
        <f>SUMIFS(Colección!$L$2:$L$10001,Colección!$F$2:$F$10001,$F1758,Colección!$M$2:$M$10001,"Compra")</f>
        <v>6.9945674740484431</v>
      </c>
      <c r="H1758">
        <f>IF($G1758=0,"",_xlfn.RANK.EQ($G1758,$G$2:$G$2353,0)+COUNTIF($G$2:G1758,$G1758)-1)</f>
        <v>813</v>
      </c>
    </row>
    <row r="1759" spans="6:8" x14ac:dyDescent="0.25">
      <c r="F1759" t="str">
        <f>"Shirahoshi (OP03-116)"</f>
        <v>Shirahoshi (OP03-116)</v>
      </c>
      <c r="G1759">
        <f>SUMIFS(Colección!$L$2:$L$10001,Colección!$F$2:$F$10001,$F1759,Colección!$M$2:$M$10001,"Compra")</f>
        <v>0.22608527131782949</v>
      </c>
      <c r="H1759">
        <f>IF($G1759=0,"",_xlfn.RANK.EQ($G1759,$G$2:$G$2353,0)+COUNTIF($G$2:G1759,$G1759)-1)</f>
        <v>2072</v>
      </c>
    </row>
    <row r="1760" spans="6:8" x14ac:dyDescent="0.25">
      <c r="F1760" t="str">
        <f>"Shirahoshi (OP05-082)"</f>
        <v>Shirahoshi (OP05-082)</v>
      </c>
      <c r="G1760">
        <f>SUMIFS(Colección!$L$2:$L$10001,Colección!$F$2:$F$10001,$F1760,Colección!$M$2:$M$10001,"Compra")</f>
        <v>0.13530852105778651</v>
      </c>
      <c r="H1760">
        <f>IF($G1760=0,"",_xlfn.RANK.EQ($G1760,$G$2:$G$2353,0)+COUNTIF($G$2:G1760,$G1760)-1)</f>
        <v>2135</v>
      </c>
    </row>
    <row r="1761" spans="6:8" x14ac:dyDescent="0.25">
      <c r="F1761" t="str">
        <f>"Shirley (OP03-104)"</f>
        <v>Shirley (OP03-104)</v>
      </c>
      <c r="G1761">
        <f>SUMIFS(Colección!$L$2:$L$10001,Colección!$F$2:$F$10001,$F1761,Colección!$M$2:$M$10001,"Compra")</f>
        <v>0.22608527131782949</v>
      </c>
      <c r="H1761">
        <f>IF($G1761=0,"",_xlfn.RANK.EQ($G1761,$G$2:$G$2353,0)+COUNTIF($G$2:G1761,$G1761)-1)</f>
        <v>2073</v>
      </c>
    </row>
    <row r="1762" spans="6:8" x14ac:dyDescent="0.25">
      <c r="F1762" t="str">
        <f>"Shivan Reef"</f>
        <v>Shivan Reef</v>
      </c>
      <c r="G1762">
        <f>SUMIFS(Colección!$L$2:$L$10001,Colección!$F$2:$F$10001,$F1762,Colección!$M$2:$M$10001,"Compra")</f>
        <v>10.533784860557772</v>
      </c>
      <c r="H1762">
        <f>IF($G1762=0,"",_xlfn.RANK.EQ($G1762,$G$2:$G$2353,0)+COUNTIF($G$2:G1762,$G1762)-1)</f>
        <v>643</v>
      </c>
    </row>
    <row r="1763" spans="6:8" x14ac:dyDescent="0.25">
      <c r="F1763" t="str">
        <f>"Shoot the Sheriff"</f>
        <v>Shoot the Sheriff</v>
      </c>
      <c r="G1763">
        <f>SUMIFS(Colección!$L$2:$L$10001,Colección!$F$2:$F$10001,$F1763,Colección!$M$2:$M$10001,"Compra")</f>
        <v>3.0024081237911027</v>
      </c>
      <c r="H1763">
        <f>IF($G1763=0,"",_xlfn.RANK.EQ($G1763,$G$2:$G$2353,0)+COUNTIF($G$2:G1763,$G1763)-1)</f>
        <v>1197</v>
      </c>
    </row>
    <row r="1764" spans="6:8" x14ac:dyDescent="0.25">
      <c r="F1764" t="str">
        <f>"Shore Up"</f>
        <v>Shore Up</v>
      </c>
      <c r="G1764">
        <f>SUMIFS(Colección!$L$2:$L$10001,Colección!$F$2:$F$10001,$F1764,Colección!$M$2:$M$10001,"Compra")</f>
        <v>0.42496248124062042</v>
      </c>
      <c r="H1764">
        <f>IF($G1764=0,"",_xlfn.RANK.EQ($G1764,$G$2:$G$2353,0)+COUNTIF($G$2:G1764,$G1764)-1)</f>
        <v>1939</v>
      </c>
    </row>
    <row r="1765" spans="6:8" x14ac:dyDescent="0.25">
      <c r="F1765" t="str">
        <f>"Showdown of the Skalds"</f>
        <v>Showdown of the Skalds</v>
      </c>
      <c r="G1765">
        <f>SUMIFS(Colección!$L$2:$L$10001,Colección!$F$2:$F$10001,$F1765,Colección!$M$2:$M$10001,"Compra")</f>
        <v>1.42875</v>
      </c>
      <c r="H1765">
        <f>IF($G1765=0,"",_xlfn.RANK.EQ($G1765,$G$2:$G$2353,0)+COUNTIF($G$2:G1765,$G1765)-1)</f>
        <v>1504</v>
      </c>
    </row>
    <row r="1766" spans="6:8" x14ac:dyDescent="0.25">
      <c r="F1766" t="str">
        <f>"Shrapnel Blast"</f>
        <v>Shrapnel Blast</v>
      </c>
      <c r="G1766">
        <f>SUMIFS(Colección!$L$2:$L$10001,Colección!$F$2:$F$10001,$F1766,Colección!$M$2:$M$10001,"Compra")</f>
        <v>1.1796690307328603</v>
      </c>
      <c r="H1766">
        <f>IF($G1766=0,"",_xlfn.RANK.EQ($G1766,$G$2:$G$2353,0)+COUNTIF($G$2:G1766,$G1766)-1)</f>
        <v>1567</v>
      </c>
    </row>
    <row r="1767" spans="6:8" x14ac:dyDescent="0.25">
      <c r="F1767" t="str">
        <f>"Shriekmaw"</f>
        <v>Shriekmaw</v>
      </c>
      <c r="G1767">
        <f>SUMIFS(Colección!$L$2:$L$10001,Colección!$F$2:$F$10001,$F1767,Colección!$M$2:$M$10001,"Compra")</f>
        <v>0.52921274258513362</v>
      </c>
      <c r="H1767">
        <f>IF($G1767=0,"",_xlfn.RANK.EQ($G1767,$G$2:$G$2353,0)+COUNTIF($G$2:G1767,$G1767)-1)</f>
        <v>1868</v>
      </c>
    </row>
    <row r="1768" spans="6:8" x14ac:dyDescent="0.25">
      <c r="F1768" t="str">
        <f>"Shuko"</f>
        <v>Shuko</v>
      </c>
      <c r="G1768">
        <f>SUMIFS(Colección!$L$2:$L$10001,Colección!$F$2:$F$10001,$F1768,Colección!$M$2:$M$10001,"Compra")</f>
        <v>6.415072754641244</v>
      </c>
      <c r="H1768">
        <f>IF($G1768=0,"",_xlfn.RANK.EQ($G1768,$G$2:$G$2353,0)+COUNTIF($G$2:G1768,$G1768)-1)</f>
        <v>853</v>
      </c>
    </row>
    <row r="1769" spans="6:8" x14ac:dyDescent="0.25">
      <c r="F1769" t="str">
        <f>"Shuko [Playset]"</f>
        <v>Shuko [Playset]</v>
      </c>
      <c r="G1769">
        <f>SUMIFS(Colección!$L$2:$L$10001,Colección!$F$2:$F$10001,$F1769,Colección!$M$2:$M$10001,"Compra")</f>
        <v>24.22</v>
      </c>
      <c r="H1769">
        <f>IF($G1769=0,"",_xlfn.RANK.EQ($G1769,$G$2:$G$2353,0)+COUNTIF($G$2:G1769,$G1769)-1)</f>
        <v>323</v>
      </c>
    </row>
    <row r="1770" spans="6:8" x14ac:dyDescent="0.25">
      <c r="F1770" t="str">
        <f>"Shura (OP05-106)"</f>
        <v>Shura (OP05-106)</v>
      </c>
      <c r="G1770">
        <f>SUMIFS(Colección!$L$2:$L$10001,Colección!$F$2:$F$10001,$F1770,Colección!$M$2:$M$10001,"Compra")</f>
        <v>0.3382713026444662</v>
      </c>
      <c r="H1770">
        <f>IF($G1770=0,"",_xlfn.RANK.EQ($G1770,$G$2:$G$2353,0)+COUNTIF($G$2:G1770,$G1770)-1)</f>
        <v>1985</v>
      </c>
    </row>
    <row r="1771" spans="6:8" x14ac:dyDescent="0.25">
      <c r="F1771" t="str">
        <f>"Shuraiya (OP06-009) (V.1)"</f>
        <v>Shuraiya (OP06-009) (V.1)</v>
      </c>
      <c r="G1771">
        <f>SUMIFS(Colección!$L$2:$L$10001,Colección!$F$2:$F$10001,$F1771,Colección!$M$2:$M$10001,"Compra")</f>
        <v>5.2385601577909267</v>
      </c>
      <c r="H1771">
        <f>IF($G1771=0,"",_xlfn.RANK.EQ($G1771,$G$2:$G$2353,0)+COUNTIF($G$2:G1771,$G1771)-1)</f>
        <v>949</v>
      </c>
    </row>
    <row r="1772" spans="6:8" x14ac:dyDescent="0.25">
      <c r="F1772" t="str">
        <f>"Siege-Gang Commander"</f>
        <v>Siege-Gang Commander</v>
      </c>
      <c r="G1772">
        <f>SUMIFS(Colección!$L$2:$L$10001,Colección!$F$2:$F$10001,$F1772,Colección!$M$2:$M$10001,"Compra")</f>
        <v>3.8930665380906468</v>
      </c>
      <c r="H1772">
        <f>IF($G1772=0,"",_xlfn.RANK.EQ($G1772,$G$2:$G$2353,0)+COUNTIF($G$2:G1772,$G1772)-1)</f>
        <v>1075</v>
      </c>
    </row>
    <row r="1773" spans="6:8" x14ac:dyDescent="0.25">
      <c r="F1773" t="str">
        <f>"Sigarda's Aid [Playset]"</f>
        <v>Sigarda's Aid [Playset]</v>
      </c>
      <c r="G1773">
        <f>SUMIFS(Colección!$L$2:$L$10001,Colección!$F$2:$F$10001,$F1773,Colección!$M$2:$M$10001,"Compra")</f>
        <v>38.807326007325997</v>
      </c>
      <c r="H1773">
        <f>IF($G1773=0,"",_xlfn.RANK.EQ($G1773,$G$2:$G$2353,0)+COUNTIF($G$2:G1773,$G1773)-1)</f>
        <v>221</v>
      </c>
    </row>
    <row r="1774" spans="6:8" x14ac:dyDescent="0.25">
      <c r="F1774" t="str">
        <f>"Sigil of the Empty Throne"</f>
        <v>Sigil of the Empty Throne</v>
      </c>
      <c r="G1774">
        <f>SUMIFS(Colección!$L$2:$L$10001,Colección!$F$2:$F$10001,$F1774,Colección!$M$2:$M$10001,"Compra")</f>
        <v>4.1379209370424599</v>
      </c>
      <c r="H1774">
        <f>IF($G1774=0,"",_xlfn.RANK.EQ($G1774,$G$2:$G$2353,0)+COUNTIF($G$2:G1774,$G1774)-1)</f>
        <v>1059</v>
      </c>
    </row>
    <row r="1775" spans="6:8" x14ac:dyDescent="0.25">
      <c r="F1775" t="str">
        <f>"Silence"</f>
        <v>Silence</v>
      </c>
      <c r="G1775">
        <f>SUMIFS(Colección!$L$2:$L$10001,Colección!$F$2:$F$10001,$F1775,Colección!$M$2:$M$10001,"Compra")</f>
        <v>7.9661016949152543</v>
      </c>
      <c r="H1775">
        <f>IF($G1775=0,"",_xlfn.RANK.EQ($G1775,$G$2:$G$2353,0)+COUNTIF($G$2:G1775,$G1775)-1)</f>
        <v>753</v>
      </c>
    </row>
    <row r="1776" spans="6:8" x14ac:dyDescent="0.25">
      <c r="F1776" t="str">
        <f>"Silent Clearing"</f>
        <v>Silent Clearing</v>
      </c>
      <c r="G1776">
        <f>SUMIFS(Colección!$L$2:$L$10001,Colección!$F$2:$F$10001,$F1776,Colección!$M$2:$M$10001,"Compra")</f>
        <v>43.811370494286962</v>
      </c>
      <c r="H1776">
        <f>IF($G1776=0,"",_xlfn.RANK.EQ($G1776,$G$2:$G$2353,0)+COUNTIF($G$2:G1776,$G1776)-1)</f>
        <v>195</v>
      </c>
    </row>
    <row r="1777" spans="6:8" x14ac:dyDescent="0.25">
      <c r="F1777" t="str">
        <f>"Silver Knight"</f>
        <v>Silver Knight</v>
      </c>
      <c r="G1777">
        <f>SUMIFS(Colección!$L$2:$L$10001,Colección!$F$2:$F$10001,$F1777,Colección!$M$2:$M$10001,"Compra")</f>
        <v>3.036134605466736</v>
      </c>
      <c r="H1777">
        <f>IF($G1777=0,"",_xlfn.RANK.EQ($G1777,$G$2:$G$2353,0)+COUNTIF($G$2:G1777,$G1777)-1)</f>
        <v>1193</v>
      </c>
    </row>
    <row r="1778" spans="6:8" x14ac:dyDescent="0.25">
      <c r="F1778" t="str">
        <f>"Silverbluff Bridge"</f>
        <v>Silverbluff Bridge</v>
      </c>
      <c r="G1778">
        <f>SUMIFS(Colección!$L$2:$L$10001,Colección!$F$2:$F$10001,$F1778,Colección!$M$2:$M$10001,"Compra")</f>
        <v>11.003299105937137</v>
      </c>
      <c r="H1778">
        <f>IF($G1778=0,"",_xlfn.RANK.EQ($G1778,$G$2:$G$2353,0)+COUNTIF($G$2:G1778,$G1778)-1)</f>
        <v>621</v>
      </c>
    </row>
    <row r="1779" spans="6:8" x14ac:dyDescent="0.25">
      <c r="F1779" t="str">
        <f>"Silverbluff Bridge [Playset]"</f>
        <v>Silverbluff Bridge [Playset]</v>
      </c>
      <c r="G1779">
        <f>SUMIFS(Colección!$L$2:$L$10001,Colección!$F$2:$F$10001,$F1779,Colección!$M$2:$M$10001,"Compra")</f>
        <v>1.0607142857142859</v>
      </c>
      <c r="H1779">
        <f>IF($G1779=0,"",_xlfn.RANK.EQ($G1779,$G$2:$G$2353,0)+COUNTIF($G$2:G1779,$G1779)-1)</f>
        <v>1622</v>
      </c>
    </row>
    <row r="1780" spans="6:8" x14ac:dyDescent="0.25">
      <c r="F1780" t="str">
        <f>"Silvergill Adept"</f>
        <v>Silvergill Adept</v>
      </c>
      <c r="G1780">
        <f>SUMIFS(Colección!$L$2:$L$10001,Colección!$F$2:$F$10001,$F1780,Colección!$M$2:$M$10001,"Compra")</f>
        <v>0.86394615061001279</v>
      </c>
      <c r="H1780">
        <f>IF($G1780=0,"",_xlfn.RANK.EQ($G1780,$G$2:$G$2353,0)+COUNTIF($G$2:G1780,$G1780)-1)</f>
        <v>1692</v>
      </c>
    </row>
    <row r="1781" spans="6:8" x14ac:dyDescent="0.25">
      <c r="F1781" t="str">
        <f>"Silversmote Ghoul"</f>
        <v>Silversmote Ghoul</v>
      </c>
      <c r="G1781">
        <f>SUMIFS(Colección!$L$2:$L$10001,Colección!$F$2:$F$10001,$F1781,Colección!$M$2:$M$10001,"Compra")</f>
        <v>0.54134948656699378</v>
      </c>
      <c r="H1781">
        <f>IF($G1781=0,"",_xlfn.RANK.EQ($G1781,$G$2:$G$2353,0)+COUNTIF($G$2:G1781,$G1781)-1)</f>
        <v>1861</v>
      </c>
    </row>
    <row r="1782" spans="6:8" x14ac:dyDescent="0.25">
      <c r="F1782" t="str">
        <f>"Simian Spirit Guide"</f>
        <v>Simian Spirit Guide</v>
      </c>
      <c r="G1782">
        <f>SUMIFS(Colección!$L$2:$L$10001,Colección!$F$2:$F$10001,$F1782,Colección!$M$2:$M$10001,"Compra")</f>
        <v>1.53</v>
      </c>
      <c r="H1782">
        <f>IF($G1782=0,"",_xlfn.RANK.EQ($G1782,$G$2:$G$2353,0)+COUNTIF($G$2:G1782,$G1782)-1)</f>
        <v>1482</v>
      </c>
    </row>
    <row r="1783" spans="6:8" x14ac:dyDescent="0.25">
      <c r="F1783" t="str">
        <f>"Simic Growth Chamber"</f>
        <v>Simic Growth Chamber</v>
      </c>
      <c r="G1783">
        <f>SUMIFS(Colección!$L$2:$L$10001,Colección!$F$2:$F$10001,$F1783,Colección!$M$2:$M$10001,"Compra")</f>
        <v>9</v>
      </c>
      <c r="H1783">
        <f>IF($G1783=0,"",_xlfn.RANK.EQ($G1783,$G$2:$G$2353,0)+COUNTIF($G$2:G1783,$G1783)-1)</f>
        <v>700</v>
      </c>
    </row>
    <row r="1784" spans="6:8" x14ac:dyDescent="0.25">
      <c r="F1784" t="str">
        <f>"Simic Growth Chamber [Playset]"</f>
        <v>Simic Growth Chamber [Playset]</v>
      </c>
      <c r="G1784">
        <f>SUMIFS(Colección!$L$2:$L$10001,Colección!$F$2:$F$10001,$F1784,Colección!$M$2:$M$10001,"Compra")</f>
        <v>1.1513157894736841</v>
      </c>
      <c r="H1784">
        <f>IF($G1784=0,"",_xlfn.RANK.EQ($G1784,$G$2:$G$2353,0)+COUNTIF($G$2:G1784,$G1784)-1)</f>
        <v>1577</v>
      </c>
    </row>
    <row r="1785" spans="6:8" x14ac:dyDescent="0.25">
      <c r="F1785" t="str">
        <f>"Singularity"</f>
        <v>Singularity</v>
      </c>
      <c r="G1785">
        <f>SUMIFS(Colección!$L$2:$L$10001,Colección!$F$2:$F$10001,$F1785,Colección!$M$2:$M$10001,"Compra")</f>
        <v>22.200000000000003</v>
      </c>
      <c r="H1785">
        <f>IF($G1785=0,"",_xlfn.RANK.EQ($G1785,$G$2:$G$2353,0)+COUNTIF($G$2:G1785,$G1785)-1)</f>
        <v>351</v>
      </c>
    </row>
    <row r="1786" spans="6:8" x14ac:dyDescent="0.25">
      <c r="F1786" t="str">
        <f>"Sink into Stupor // Soporific Springs"</f>
        <v>Sink into Stupor // Soporific Springs</v>
      </c>
      <c r="G1786">
        <f>SUMIFS(Colección!$L$2:$L$10001,Colección!$F$2:$F$10001,$F1786,Colección!$M$2:$M$10001,"Compra")</f>
        <v>15.361121673003801</v>
      </c>
      <c r="H1786">
        <f>IF($G1786=0,"",_xlfn.RANK.EQ($G1786,$G$2:$G$2353,0)+COUNTIF($G$2:G1786,$G1786)-1)</f>
        <v>492</v>
      </c>
    </row>
    <row r="1787" spans="6:8" x14ac:dyDescent="0.25">
      <c r="F1787" t="str">
        <f>"Sink into Stupor // Soporific Springs [Playset]"</f>
        <v>Sink into Stupor // Soporific Springs [Playset]</v>
      </c>
      <c r="G1787">
        <f>SUMIFS(Colección!$L$2:$L$10001,Colección!$F$2:$F$10001,$F1787,Colección!$M$2:$M$10001,"Compra")</f>
        <v>8.7200000000000006</v>
      </c>
      <c r="H1787">
        <f>IF($G1787=0,"",_xlfn.RANK.EQ($G1787,$G$2:$G$2353,0)+COUNTIF($G$2:G1787,$G1787)-1)</f>
        <v>721</v>
      </c>
    </row>
    <row r="1788" spans="6:8" x14ac:dyDescent="0.25">
      <c r="F1788" t="str">
        <f>"Sire of Seven Deaths"</f>
        <v>Sire of Seven Deaths</v>
      </c>
      <c r="G1788">
        <f>SUMIFS(Colección!$L$2:$L$10001,Colección!$F$2:$F$10001,$F1788,Colección!$M$2:$M$10001,"Compra")</f>
        <v>23.33</v>
      </c>
      <c r="H1788">
        <f>IF($G1788=0,"",_xlfn.RANK.EQ($G1788,$G$2:$G$2353,0)+COUNTIF($G$2:G1788,$G1788)-1)</f>
        <v>335</v>
      </c>
    </row>
    <row r="1789" spans="6:8" x14ac:dyDescent="0.25">
      <c r="F1789" t="str">
        <f>"Six"</f>
        <v>Six</v>
      </c>
      <c r="G1789">
        <f>SUMIFS(Colección!$L$2:$L$10001,Colección!$F$2:$F$10001,$F1789,Colección!$M$2:$M$10001,"Compra")</f>
        <v>19.915486194477793</v>
      </c>
      <c r="H1789">
        <f>IF($G1789=0,"",_xlfn.RANK.EQ($G1789,$G$2:$G$2353,0)+COUNTIF($G$2:G1789,$G1789)-1)</f>
        <v>396</v>
      </c>
    </row>
    <row r="1790" spans="6:8" x14ac:dyDescent="0.25">
      <c r="F1790" t="str">
        <f>"Six (V.2)"</f>
        <v>Six (V.2)</v>
      </c>
      <c r="G1790">
        <f>SUMIFS(Colección!$L$2:$L$10001,Colección!$F$2:$F$10001,$F1790,Colección!$M$2:$M$10001,"Compra")</f>
        <v>23.18</v>
      </c>
      <c r="H1790">
        <f>IF($G1790=0,"",_xlfn.RANK.EQ($G1790,$G$2:$G$2353,0)+COUNTIF($G$2:G1790,$G1790)-1)</f>
        <v>340</v>
      </c>
    </row>
    <row r="1791" spans="6:8" x14ac:dyDescent="0.25">
      <c r="F1791" t="str">
        <f>"Six King Pistol (OP03-097)"</f>
        <v>Six King Pistol (OP03-097)</v>
      </c>
      <c r="G1791">
        <f>SUMIFS(Colección!$L$2:$L$10001,Colección!$F$2:$F$10001,$F1791,Colección!$M$2:$M$10001,"Compra")</f>
        <v>0.47596899224806211</v>
      </c>
      <c r="H1791">
        <f>IF($G1791=0,"",_xlfn.RANK.EQ($G1791,$G$2:$G$2353,0)+COUNTIF($G$2:G1791,$G1791)-1)</f>
        <v>1899</v>
      </c>
    </row>
    <row r="1792" spans="6:8" x14ac:dyDescent="0.25">
      <c r="F1792" t="str">
        <f>"Skateboard"</f>
        <v>Skateboard</v>
      </c>
      <c r="G1792">
        <f>SUMIFS(Colección!$L$2:$L$10001,Colección!$F$2:$F$10001,$F1792,Colección!$M$2:$M$10001,"Compra")</f>
        <v>1.71724358974359</v>
      </c>
      <c r="H1792">
        <f>IF($G1792=0,"",_xlfn.RANK.EQ($G1792,$G$2:$G$2353,0)+COUNTIF($G$2:G1792,$G1792)-1)</f>
        <v>1417</v>
      </c>
    </row>
    <row r="1793" spans="6:8" x14ac:dyDescent="0.25">
      <c r="F1793" t="str">
        <f>"Skeletal Scrying"</f>
        <v>Skeletal Scrying</v>
      </c>
      <c r="G1793">
        <f>SUMIFS(Colección!$L$2:$L$10001,Colección!$F$2:$F$10001,$F1793,Colección!$M$2:$M$10001,"Compra")</f>
        <v>40</v>
      </c>
      <c r="H1793">
        <f>IF($G1793=0,"",_xlfn.RANK.EQ($G1793,$G$2:$G$2353,0)+COUNTIF($G$2:G1793,$G1793)-1)</f>
        <v>216</v>
      </c>
    </row>
    <row r="1794" spans="6:8" x14ac:dyDescent="0.25">
      <c r="F1794" t="str">
        <f>"Skewer the Critics"</f>
        <v>Skewer the Critics</v>
      </c>
      <c r="G1794">
        <f>SUMIFS(Colección!$L$2:$L$10001,Colección!$F$2:$F$10001,$F1794,Colección!$M$2:$M$10001,"Compra")</f>
        <v>3.11547433903577</v>
      </c>
      <c r="H1794">
        <f>IF($G1794=0,"",_xlfn.RANK.EQ($G1794,$G$2:$G$2353,0)+COUNTIF($G$2:G1794,$G1794)-1)</f>
        <v>1186</v>
      </c>
    </row>
    <row r="1795" spans="6:8" x14ac:dyDescent="0.25">
      <c r="F1795" t="str">
        <f>"Skirk Prospector"</f>
        <v>Skirk Prospector</v>
      </c>
      <c r="G1795">
        <f>SUMIFS(Colección!$L$2:$L$10001,Colección!$F$2:$F$10001,$F1795,Colección!$M$2:$M$10001,"Compra")</f>
        <v>3.7325133689839576</v>
      </c>
      <c r="H1795">
        <f>IF($G1795=0,"",_xlfn.RANK.EQ($G1795,$G$2:$G$2353,0)+COUNTIF($G$2:G1795,$G1795)-1)</f>
        <v>1089</v>
      </c>
    </row>
    <row r="1796" spans="6:8" x14ac:dyDescent="0.25">
      <c r="F1796" t="str">
        <f>"Skirmish Rhino"</f>
        <v>Skirmish Rhino</v>
      </c>
      <c r="G1796">
        <f>SUMIFS(Colección!$L$2:$L$10001,Colección!$F$2:$F$10001,$F1796,Colección!$M$2:$M$10001,"Compra")</f>
        <v>1.5120766773162939</v>
      </c>
      <c r="H1796">
        <f>IF($G1796=0,"",_xlfn.RANK.EQ($G1796,$G$2:$G$2353,0)+COUNTIF($G$2:G1796,$G1796)-1)</f>
        <v>1484</v>
      </c>
    </row>
    <row r="1797" spans="6:8" x14ac:dyDescent="0.25">
      <c r="F1797" t="str">
        <f>"Skyclave Apparition"</f>
        <v>Skyclave Apparition</v>
      </c>
      <c r="G1797">
        <f>SUMIFS(Colección!$L$2:$L$10001,Colección!$F$2:$F$10001,$F1797,Colección!$M$2:$M$10001,"Compra")</f>
        <v>10.14</v>
      </c>
      <c r="H1797">
        <f>IF($G1797=0,"",_xlfn.RANK.EQ($G1797,$G$2:$G$2353,0)+COUNTIF($G$2:G1797,$G1797)-1)</f>
        <v>661</v>
      </c>
    </row>
    <row r="1798" spans="6:8" x14ac:dyDescent="0.25">
      <c r="F1798" t="str">
        <f>"Skycoach Conductor // All Aboard"</f>
        <v>Skycoach Conductor // All Aboard</v>
      </c>
      <c r="G1798">
        <f>SUMIFS(Colección!$L$2:$L$10001,Colección!$F$2:$F$10001,$F1798,Colección!$M$2:$M$10001,"Compra")</f>
        <v>4.9909090909090885</v>
      </c>
      <c r="H1798">
        <f>IF($G1798=0,"",_xlfn.RANK.EQ($G1798,$G$2:$G$2353,0)+COUNTIF($G$2:G1798,$G1798)-1)</f>
        <v>970</v>
      </c>
    </row>
    <row r="1799" spans="6:8" x14ac:dyDescent="0.25">
      <c r="F1799" t="str">
        <f>"Skysovereign, Consul Flagship"</f>
        <v>Skysovereign, Consul Flagship</v>
      </c>
      <c r="G1799">
        <f>SUMIFS(Colección!$L$2:$L$10001,Colección!$F$2:$F$10001,$F1799,Colección!$M$2:$M$10001,"Compra")</f>
        <v>3.180327868852459</v>
      </c>
      <c r="H1799">
        <f>IF($G1799=0,"",_xlfn.RANK.EQ($G1799,$G$2:$G$2353,0)+COUNTIF($G$2:G1799,$G1799)-1)</f>
        <v>1177</v>
      </c>
    </row>
    <row r="1800" spans="6:8" x14ac:dyDescent="0.25">
      <c r="F1800" t="str">
        <f>"Slaughter Pact"</f>
        <v>Slaughter Pact</v>
      </c>
      <c r="G1800">
        <f>SUMIFS(Colección!$L$2:$L$10001,Colección!$F$2:$F$10001,$F1800,Colección!$M$2:$M$10001,"Compra")</f>
        <v>4.2300000000000004</v>
      </c>
      <c r="H1800">
        <f>IF($G1800=0,"",_xlfn.RANK.EQ($G1800,$G$2:$G$2353,0)+COUNTIF($G$2:G1800,$G1800)-1)</f>
        <v>1043</v>
      </c>
    </row>
    <row r="1801" spans="6:8" x14ac:dyDescent="0.25">
      <c r="F1801" t="str">
        <f>"Sleight of Hand"</f>
        <v>Sleight of Hand</v>
      </c>
      <c r="G1801">
        <f>SUMIFS(Colección!$L$2:$L$10001,Colección!$F$2:$F$10001,$F1801,Colección!$M$2:$M$10001,"Compra")</f>
        <v>6.6065121332850438</v>
      </c>
      <c r="H1801">
        <f>IF($G1801=0,"",_xlfn.RANK.EQ($G1801,$G$2:$G$2353,0)+COUNTIF($G$2:G1801,$G1801)-1)</f>
        <v>835</v>
      </c>
    </row>
    <row r="1802" spans="6:8" x14ac:dyDescent="0.25">
      <c r="F1802" t="str">
        <f>"Slickshot Show-Off"</f>
        <v>Slickshot Show-Off</v>
      </c>
      <c r="G1802">
        <f>SUMIFS(Colección!$L$2:$L$10001,Colección!$F$2:$F$10001,$F1802,Colección!$M$2:$M$10001,"Compra")</f>
        <v>46.459999999999994</v>
      </c>
      <c r="H1802">
        <f>IF($G1802=0,"",_xlfn.RANK.EQ($G1802,$G$2:$G$2353,0)+COUNTIF($G$2:G1802,$G1802)-1)</f>
        <v>184</v>
      </c>
    </row>
    <row r="1803" spans="6:8" x14ac:dyDescent="0.25">
      <c r="F1803" t="str">
        <f>"Smash to Smithereens"</f>
        <v>Smash to Smithereens</v>
      </c>
      <c r="G1803">
        <f>SUMIFS(Colección!$L$2:$L$10001,Colección!$F$2:$F$10001,$F1803,Colección!$M$2:$M$10001,"Compra")</f>
        <v>0.85764705882352965</v>
      </c>
      <c r="H1803">
        <f>IF($G1803=0,"",_xlfn.RANK.EQ($G1803,$G$2:$G$2353,0)+COUNTIF($G$2:G1803,$G1803)-1)</f>
        <v>1695</v>
      </c>
    </row>
    <row r="1804" spans="6:8" x14ac:dyDescent="0.25">
      <c r="F1804" t="str">
        <f>"Smaug Token (Red 6/6)"</f>
        <v>Smaug Token (Red 6/6)</v>
      </c>
      <c r="G1804">
        <f>SUMIFS(Colección!$L$2:$L$10001,Colección!$F$2:$F$10001,$F1804,Colección!$M$2:$M$10001,"Compra")</f>
        <v>0.57464788732394367</v>
      </c>
      <c r="H1804">
        <f>IF($G1804=0,"",_xlfn.RANK.EQ($G1804,$G$2:$G$2353,0)+COUNTIF($G$2:G1804,$G1804)-1)</f>
        <v>1839</v>
      </c>
    </row>
    <row r="1805" spans="6:8" x14ac:dyDescent="0.25">
      <c r="F1805" t="str">
        <f>"Smoke Screen"</f>
        <v>Smoke Screen</v>
      </c>
      <c r="G1805">
        <f>SUMIFS(Colección!$L$2:$L$10001,Colección!$F$2:$F$10001,$F1805,Colección!$M$2:$M$10001,"Compra")</f>
        <v>3.55</v>
      </c>
      <c r="H1805">
        <f>IF($G1805=0,"",_xlfn.RANK.EQ($G1805,$G$2:$G$2353,0)+COUNTIF($G$2:G1805,$G1805)-1)</f>
        <v>1108</v>
      </c>
    </row>
    <row r="1806" spans="6:8" x14ac:dyDescent="0.25">
      <c r="F1806" t="str">
        <f>"Smuggler's Surprise"</f>
        <v>Smuggler's Surprise</v>
      </c>
      <c r="G1806">
        <f>SUMIFS(Colección!$L$2:$L$10001,Colección!$F$2:$F$10001,$F1806,Colección!$M$2:$M$10001,"Compra")</f>
        <v>14.598110027601804</v>
      </c>
      <c r="H1806">
        <f>IF($G1806=0,"",_xlfn.RANK.EQ($G1806,$G$2:$G$2353,0)+COUNTIF($G$2:G1806,$G1806)-1)</f>
        <v>512</v>
      </c>
    </row>
    <row r="1807" spans="6:8" x14ac:dyDescent="0.25">
      <c r="F1807" t="str">
        <f>"Sméagol, Helpful Guide"</f>
        <v>Sméagol, Helpful Guide</v>
      </c>
      <c r="G1807">
        <f>SUMIFS(Colección!$L$2:$L$10001,Colección!$F$2:$F$10001,$F1807,Colección!$M$2:$M$10001,"Compra")</f>
        <v>1.31198006219133</v>
      </c>
      <c r="H1807">
        <f>IF($G1807=0,"",_xlfn.RANK.EQ($G1807,$G$2:$G$2353,0)+COUNTIF($G$2:G1807,$G1807)-1)</f>
        <v>1540</v>
      </c>
    </row>
    <row r="1808" spans="6:8" x14ac:dyDescent="0.25">
      <c r="F1808" t="str">
        <f>"Snake Token (B 1/1) // Zombie Token (B 2/2)"</f>
        <v>Snake Token (B 1/1) // Zombie Token (B 2/2)</v>
      </c>
      <c r="G1808">
        <f>SUMIFS(Colección!$L$2:$L$10001,Colección!$F$2:$F$10001,$F1808,Colección!$M$2:$M$10001,"Compra")</f>
        <v>0.83820895522388061</v>
      </c>
      <c r="H1808">
        <f>IF($G1808=0,"",_xlfn.RANK.EQ($G1808,$G$2:$G$2353,0)+COUNTIF($G$2:G1808,$G1808)-1)</f>
        <v>1708</v>
      </c>
    </row>
    <row r="1809" spans="6:8" x14ac:dyDescent="0.25">
      <c r="F1809" t="str">
        <f>"Snakeskin Veil (V.1)"</f>
        <v>Snakeskin Veil (V.1)</v>
      </c>
      <c r="G1809">
        <f>SUMIFS(Colección!$L$2:$L$10001,Colección!$F$2:$F$10001,$F1809,Colección!$M$2:$M$10001,"Compra")</f>
        <v>0.72138047138047123</v>
      </c>
      <c r="H1809">
        <f>IF($G1809=0,"",_xlfn.RANK.EQ($G1809,$G$2:$G$2353,0)+COUNTIF($G$2:G1809,$G1809)-1)</f>
        <v>1751</v>
      </c>
    </row>
    <row r="1810" spans="6:8" x14ac:dyDescent="0.25">
      <c r="F1810" t="str">
        <f>"Snap"</f>
        <v>Snap</v>
      </c>
      <c r="G1810">
        <f>SUMIFS(Colección!$L$2:$L$10001,Colección!$F$2:$F$10001,$F1810,Colección!$M$2:$M$10001,"Compra")</f>
        <v>22.841733366683343</v>
      </c>
      <c r="H1810">
        <f>IF($G1810=0,"",_xlfn.RANK.EQ($G1810,$G$2:$G$2353,0)+COUNTIF($G$2:G1810,$G1810)-1)</f>
        <v>344</v>
      </c>
    </row>
    <row r="1811" spans="6:8" x14ac:dyDescent="0.25">
      <c r="F1811" t="str">
        <f>"Snapcaster Mage"</f>
        <v>Snapcaster Mage</v>
      </c>
      <c r="G1811">
        <f>SUMIFS(Colección!$L$2:$L$10001,Colección!$F$2:$F$10001,$F1811,Colección!$M$2:$M$10001,"Compra")</f>
        <v>81.163636363636371</v>
      </c>
      <c r="H1811">
        <f>IF($G1811=0,"",_xlfn.RANK.EQ($G1811,$G$2:$G$2353,0)+COUNTIF($G$2:G1811,$G1811)-1)</f>
        <v>99</v>
      </c>
    </row>
    <row r="1812" spans="6:8" x14ac:dyDescent="0.25">
      <c r="F1812" t="str">
        <f>"Snapcaster Mage [Foil]"</f>
        <v>Snapcaster Mage [Foil]</v>
      </c>
      <c r="G1812">
        <f>SUMIFS(Colección!$L$2:$L$10001,Colección!$F$2:$F$10001,$F1812,Colección!$M$2:$M$10001,"Compra")</f>
        <v>87.27272727272728</v>
      </c>
      <c r="H1812">
        <f>IF($G1812=0,"",_xlfn.RANK.EQ($G1812,$G$2:$G$2353,0)+COUNTIF($G$2:G1812,$G1812)-1)</f>
        <v>89</v>
      </c>
    </row>
    <row r="1813" spans="6:8" x14ac:dyDescent="0.25">
      <c r="F1813" t="str">
        <f>"Snapcaster Mage [Playset]"</f>
        <v>Snapcaster Mage [Playset]</v>
      </c>
      <c r="G1813">
        <f>SUMIFS(Colección!$L$2:$L$10001,Colección!$F$2:$F$10001,$F1813,Colección!$M$2:$M$10001,"Compra")</f>
        <v>90.088028169014081</v>
      </c>
      <c r="H1813">
        <f>IF($G1813=0,"",_xlfn.RANK.EQ($G1813,$G$2:$G$2353,0)+COUNTIF($G$2:G1813,$G1813)-1)</f>
        <v>86</v>
      </c>
    </row>
    <row r="1814" spans="6:8" x14ac:dyDescent="0.25">
      <c r="F1814" t="str">
        <f>"Sneaky Deckhand"</f>
        <v>Sneaky Deckhand</v>
      </c>
      <c r="G1814">
        <f>SUMIFS(Colección!$L$2:$L$10001,Colección!$F$2:$F$10001,$F1814,Colección!$M$2:$M$10001,"Compra")</f>
        <v>3.2901750324764358</v>
      </c>
      <c r="H1814">
        <f>IF($G1814=0,"",_xlfn.RANK.EQ($G1814,$G$2:$G$2353,0)+COUNTIF($G$2:G1814,$G1814)-1)</f>
        <v>1151</v>
      </c>
    </row>
    <row r="1815" spans="6:8" x14ac:dyDescent="0.25">
      <c r="F1815" t="str">
        <f>"Sneaky Snacker"</f>
        <v>Sneaky Snacker</v>
      </c>
      <c r="G1815">
        <f>SUMIFS(Colección!$L$2:$L$10001,Colección!$F$2:$F$10001,$F1815,Colección!$M$2:$M$10001,"Compra")</f>
        <v>1.3315217391304348</v>
      </c>
      <c r="H1815">
        <f>IF($G1815=0,"",_xlfn.RANK.EQ($G1815,$G$2:$G$2353,0)+COUNTIF($G$2:G1815,$G1815)-1)</f>
        <v>1534</v>
      </c>
    </row>
    <row r="1816" spans="6:8" x14ac:dyDescent="0.25">
      <c r="F1816" t="str">
        <f>"Snow-Covered Forest"</f>
        <v>Snow-Covered Forest</v>
      </c>
      <c r="G1816">
        <f>SUMIFS(Colección!$L$2:$L$10001,Colección!$F$2:$F$10001,$F1816,Colección!$M$2:$M$10001,"Compra")</f>
        <v>10.510255683904866</v>
      </c>
      <c r="H1816">
        <f>IF($G1816=0,"",_xlfn.RANK.EQ($G1816,$G$2:$G$2353,0)+COUNTIF($G$2:G1816,$G1816)-1)</f>
        <v>645</v>
      </c>
    </row>
    <row r="1817" spans="6:8" x14ac:dyDescent="0.25">
      <c r="F1817" t="str">
        <f>"Snow-Covered Island"</f>
        <v>Snow-Covered Island</v>
      </c>
      <c r="G1817">
        <f>SUMIFS(Colección!$L$2:$L$10001,Colección!$F$2:$F$10001,$F1817,Colección!$M$2:$M$10001,"Compra")</f>
        <v>14.334963638192473</v>
      </c>
      <c r="H1817">
        <f>IF($G1817=0,"",_xlfn.RANK.EQ($G1817,$G$2:$G$2353,0)+COUNTIF($G$2:G1817,$G1817)-1)</f>
        <v>519</v>
      </c>
    </row>
    <row r="1818" spans="6:8" x14ac:dyDescent="0.25">
      <c r="F1818" t="str">
        <f>"Snow-Covered Mountain"</f>
        <v>Snow-Covered Mountain</v>
      </c>
      <c r="G1818">
        <f>SUMIFS(Colección!$L$2:$L$10001,Colección!$F$2:$F$10001,$F1818,Colección!$M$2:$M$10001,"Compra")</f>
        <v>2.0748565689031739</v>
      </c>
      <c r="H1818">
        <f>IF($G1818=0,"",_xlfn.RANK.EQ($G1818,$G$2:$G$2353,0)+COUNTIF($G$2:G1818,$G1818)-1)</f>
        <v>1351</v>
      </c>
    </row>
    <row r="1819" spans="6:8" x14ac:dyDescent="0.25">
      <c r="F1819" t="str">
        <f>"Snow-Covered Plains"</f>
        <v>Snow-Covered Plains</v>
      </c>
      <c r="G1819">
        <f>SUMIFS(Colección!$L$2:$L$10001,Colección!$F$2:$F$10001,$F1819,Colección!$M$2:$M$10001,"Compra")</f>
        <v>2.8647144948755492</v>
      </c>
      <c r="H1819">
        <f>IF($G1819=0,"",_xlfn.RANK.EQ($G1819,$G$2:$G$2353,0)+COUNTIF($G$2:G1819,$G1819)-1)</f>
        <v>1208</v>
      </c>
    </row>
    <row r="1820" spans="6:8" x14ac:dyDescent="0.25">
      <c r="F1820" t="str">
        <f>"Snow-Covered Swamp"</f>
        <v>Snow-Covered Swamp</v>
      </c>
      <c r="G1820">
        <f>SUMIFS(Colección!$L$2:$L$10001,Colección!$F$2:$F$10001,$F1820,Colección!$M$2:$M$10001,"Compra")</f>
        <v>2.3450381679389314</v>
      </c>
      <c r="H1820">
        <f>IF($G1820=0,"",_xlfn.RANK.EQ($G1820,$G$2:$G$2353,0)+COUNTIF($G$2:G1820,$G1820)-1)</f>
        <v>1276</v>
      </c>
    </row>
    <row r="1821" spans="6:8" x14ac:dyDescent="0.25">
      <c r="F1821" t="str">
        <f>"Snuff Out"</f>
        <v>Snuff Out</v>
      </c>
      <c r="G1821">
        <f>SUMIFS(Colección!$L$2:$L$10001,Colección!$F$2:$F$10001,$F1821,Colección!$M$2:$M$10001,"Compra")</f>
        <v>45.363737948084037</v>
      </c>
      <c r="H1821">
        <f>IF($G1821=0,"",_xlfn.RANK.EQ($G1821,$G$2:$G$2353,0)+COUNTIF($G$2:G1821,$G1821)-1)</f>
        <v>190</v>
      </c>
    </row>
    <row r="1822" spans="6:8" x14ac:dyDescent="0.25">
      <c r="F1822" t="str">
        <f>"Soap Sheep (OP03-095)"</f>
        <v>Soap Sheep (OP03-095)</v>
      </c>
      <c r="G1822">
        <f>SUMIFS(Colección!$L$2:$L$10001,Colección!$F$2:$F$10001,$F1822,Colección!$M$2:$M$10001,"Compra")</f>
        <v>9.5193798449612399E-2</v>
      </c>
      <c r="H1822">
        <f>IF($G1822=0,"",_xlfn.RANK.EQ($G1822,$G$2:$G$2353,0)+COUNTIF($G$2:G1822,$G1822)-1)</f>
        <v>2188</v>
      </c>
    </row>
    <row r="1823" spans="6:8" x14ac:dyDescent="0.25">
      <c r="F1823" t="str">
        <f>"Soaring Scout"</f>
        <v>Soaring Scout</v>
      </c>
      <c r="G1823">
        <f>SUMIFS(Colección!$L$2:$L$10001,Colección!$F$2:$F$10001,$F1823,Colección!$M$2:$M$10001,"Compra")</f>
        <v>3.9076030412164879</v>
      </c>
      <c r="H1823">
        <f>IF($G1823=0,"",_xlfn.RANK.EQ($G1823,$G$2:$G$2353,0)+COUNTIF($G$2:G1823,$G1823)-1)</f>
        <v>1073</v>
      </c>
    </row>
    <row r="1824" spans="6:8" x14ac:dyDescent="0.25">
      <c r="F1824" t="str">
        <f>"Sojourner's Companion"</f>
        <v>Sojourner's Companion</v>
      </c>
      <c r="G1824">
        <f>SUMIFS(Colección!$L$2:$L$10001,Colección!$F$2:$F$10001,$F1824,Colección!$M$2:$M$10001,"Compra")</f>
        <v>0.53610972568578563</v>
      </c>
      <c r="H1824">
        <f>IF($G1824=0,"",_xlfn.RANK.EQ($G1824,$G$2:$G$2353,0)+COUNTIF($G$2:G1824,$G1824)-1)</f>
        <v>1865</v>
      </c>
    </row>
    <row r="1825" spans="6:8" x14ac:dyDescent="0.25">
      <c r="F1825" t="str">
        <f>"Sokenzan, Crucible of Defiance"</f>
        <v>Sokenzan, Crucible of Defiance</v>
      </c>
      <c r="G1825">
        <f>SUMIFS(Colección!$L$2:$L$10001,Colección!$F$2:$F$10001,$F1825,Colección!$M$2:$M$10001,"Compra")</f>
        <v>4.2911839226073942</v>
      </c>
      <c r="H1825">
        <f>IF($G1825=0,"",_xlfn.RANK.EQ($G1825,$G$2:$G$2353,0)+COUNTIF($G$2:G1825,$G1825)-1)</f>
        <v>1034</v>
      </c>
    </row>
    <row r="1826" spans="6:8" x14ac:dyDescent="0.25">
      <c r="F1826" t="str">
        <f>"Solemnity"</f>
        <v>Solemnity</v>
      </c>
      <c r="G1826">
        <f>SUMIFS(Colección!$L$2:$L$10001,Colección!$F$2:$F$10001,$F1826,Colección!$M$2:$M$10001,"Compra")</f>
        <v>6.36</v>
      </c>
      <c r="H1826">
        <f>IF($G1826=0,"",_xlfn.RANK.EQ($G1826,$G$2:$G$2353,0)+COUNTIF($G$2:G1826,$G1826)-1)</f>
        <v>862</v>
      </c>
    </row>
    <row r="1827" spans="6:8" x14ac:dyDescent="0.25">
      <c r="F1827" t="str">
        <f>"Solitary Confinement"</f>
        <v>Solitary Confinement</v>
      </c>
      <c r="G1827">
        <f>SUMIFS(Colección!$L$2:$L$10001,Colección!$F$2:$F$10001,$F1827,Colección!$M$2:$M$10001,"Compra")</f>
        <v>14.500214899713468</v>
      </c>
      <c r="H1827">
        <f>IF($G1827=0,"",_xlfn.RANK.EQ($G1827,$G$2:$G$2353,0)+COUNTIF($G$2:G1827,$G1827)-1)</f>
        <v>514</v>
      </c>
    </row>
    <row r="1828" spans="6:8" x14ac:dyDescent="0.25">
      <c r="F1828" t="str">
        <f>"Solitary Confinement (V.1)"</f>
        <v>Solitary Confinement (V.1)</v>
      </c>
      <c r="G1828">
        <f>SUMIFS(Colección!$L$2:$L$10001,Colección!$F$2:$F$10001,$F1828,Colección!$M$2:$M$10001,"Compra")</f>
        <v>0.63660322108345524</v>
      </c>
      <c r="H1828">
        <f>IF($G1828=0,"",_xlfn.RANK.EQ($G1828,$G$2:$G$2353,0)+COUNTIF($G$2:G1828,$G1828)-1)</f>
        <v>1806</v>
      </c>
    </row>
    <row r="1829" spans="6:8" x14ac:dyDescent="0.25">
      <c r="F1829" t="str">
        <f>"Solitude [Playset]"</f>
        <v>Solitude [Playset]</v>
      </c>
      <c r="G1829">
        <f>SUMIFS(Colección!$L$2:$L$10001,Colección!$F$2:$F$10001,$F1829,Colección!$M$2:$M$10001,"Compra")</f>
        <v>192.2265625</v>
      </c>
      <c r="H1829">
        <f>IF($G1829=0,"",_xlfn.RANK.EQ($G1829,$G$2:$G$2353,0)+COUNTIF($G$2:G1829,$G1829)-1)</f>
        <v>24</v>
      </c>
    </row>
    <row r="1830" spans="6:8" x14ac:dyDescent="0.25">
      <c r="F1830" t="str">
        <f>"Sona, Harmonious"</f>
        <v>Sona, Harmonious</v>
      </c>
      <c r="G1830">
        <f>SUMIFS(Colección!$L$2:$L$10001,Colección!$F$2:$F$10001,$F1830,Colección!$M$2:$M$10001,"Compra")</f>
        <v>25.3</v>
      </c>
      <c r="H1830">
        <f>IF($G1830=0,"",_xlfn.RANK.EQ($G1830,$G$2:$G$2353,0)+COUNTIF($G$2:G1830,$G1830)-1)</f>
        <v>308</v>
      </c>
    </row>
    <row r="1831" spans="6:8" x14ac:dyDescent="0.25">
      <c r="F1831" t="str">
        <f>"Song of Creation"</f>
        <v>Song of Creation</v>
      </c>
      <c r="G1831">
        <f>SUMIFS(Colección!$L$2:$L$10001,Colección!$F$2:$F$10001,$F1831,Colección!$M$2:$M$10001,"Compra")</f>
        <v>7.13</v>
      </c>
      <c r="H1831">
        <f>IF($G1831=0,"",_xlfn.RANK.EQ($G1831,$G$2:$G$2353,0)+COUNTIF($G$2:G1831,$G1831)-1)</f>
        <v>804</v>
      </c>
    </row>
    <row r="1832" spans="6:8" x14ac:dyDescent="0.25">
      <c r="F1832" t="str">
        <f>"Sorin of House Markov // Sorin, Ravenous Neonate"</f>
        <v>Sorin of House Markov // Sorin, Ravenous Neonate</v>
      </c>
      <c r="G1832">
        <f>SUMIFS(Colección!$L$2:$L$10001,Colección!$F$2:$F$10001,$F1832,Colección!$M$2:$M$10001,"Compra")</f>
        <v>56.57</v>
      </c>
      <c r="H1832">
        <f>IF($G1832=0,"",_xlfn.RANK.EQ($G1832,$G$2:$G$2353,0)+COUNTIF($G$2:G1832,$G1832)-1)</f>
        <v>153</v>
      </c>
    </row>
    <row r="1833" spans="6:8" x14ac:dyDescent="0.25">
      <c r="F1833" t="str">
        <f>"Sorin, Vengeful Bloodlord"</f>
        <v>Sorin, Vengeful Bloodlord</v>
      </c>
      <c r="G1833">
        <f>SUMIFS(Colección!$L$2:$L$10001,Colección!$F$2:$F$10001,$F1833,Colección!$M$2:$M$10001,"Compra")</f>
        <v>0.81818181818181823</v>
      </c>
      <c r="H1833">
        <f>IF($G1833=0,"",_xlfn.RANK.EQ($G1833,$G$2:$G$2353,0)+COUNTIF($G$2:G1833,$G1833)-1)</f>
        <v>1716</v>
      </c>
    </row>
    <row r="1834" spans="6:8" x14ac:dyDescent="0.25">
      <c r="F1834" t="str">
        <f>"Soul Partition"</f>
        <v>Soul Partition</v>
      </c>
      <c r="G1834">
        <f>SUMIFS(Colección!$L$2:$L$10001,Colección!$F$2:$F$10001,$F1834,Colección!$M$2:$M$10001,"Compra")</f>
        <v>4.8992560886940542</v>
      </c>
      <c r="H1834">
        <f>IF($G1834=0,"",_xlfn.RANK.EQ($G1834,$G$2:$G$2353,0)+COUNTIF($G$2:G1834,$G1834)-1)</f>
        <v>978</v>
      </c>
    </row>
    <row r="1835" spans="6:8" x14ac:dyDescent="0.25">
      <c r="F1835" t="str">
        <f>"Soul Sword"</f>
        <v>Soul Sword</v>
      </c>
      <c r="G1835">
        <f>SUMIFS(Colección!$L$2:$L$10001,Colección!$F$2:$F$10001,$F1835,Colección!$M$2:$M$10001,"Compra")</f>
        <v>1.4192070263488084</v>
      </c>
      <c r="H1835">
        <f>IF($G1835=0,"",_xlfn.RANK.EQ($G1835,$G$2:$G$2353,0)+COUNTIF($G$2:G1835,$G1835)-1)</f>
        <v>1509</v>
      </c>
    </row>
    <row r="1836" spans="6:8" x14ac:dyDescent="0.25">
      <c r="F1836" t="str">
        <f>"Soul-Guide Lantern (V.1)"</f>
        <v>Soul-Guide Lantern (V.1)</v>
      </c>
      <c r="G1836">
        <f>SUMIFS(Colección!$L$2:$L$10001,Colección!$F$2:$F$10001,$F1836,Colección!$M$2:$M$10001,"Compra")</f>
        <v>1.1814814814814816</v>
      </c>
      <c r="H1836">
        <f>IF($G1836=0,"",_xlfn.RANK.EQ($G1836,$G$2:$G$2353,0)+COUNTIF($G$2:G1836,$G1836)-1)</f>
        <v>1566</v>
      </c>
    </row>
    <row r="1837" spans="6:8" x14ac:dyDescent="0.25">
      <c r="F1837" t="str">
        <f>"Soul-Scar Mage"</f>
        <v>Soul-Scar Mage</v>
      </c>
      <c r="G1837">
        <f>SUMIFS(Colección!$L$2:$L$10001,Colección!$F$2:$F$10001,$F1837,Colección!$M$2:$M$10001,"Compra")</f>
        <v>12.484726974307179</v>
      </c>
      <c r="H1837">
        <f>IF($G1837=0,"",_xlfn.RANK.EQ($G1837,$G$2:$G$2353,0)+COUNTIF($G$2:G1837,$G1837)-1)</f>
        <v>565</v>
      </c>
    </row>
    <row r="1838" spans="6:8" x14ac:dyDescent="0.25">
      <c r="F1838" t="str">
        <f>"Soulless Jailer"</f>
        <v>Soulless Jailer</v>
      </c>
      <c r="G1838">
        <f>SUMIFS(Colección!$L$2:$L$10001,Colección!$F$2:$F$10001,$F1838,Colección!$M$2:$M$10001,"Compra")</f>
        <v>14.350840615258825</v>
      </c>
      <c r="H1838">
        <f>IF($G1838=0,"",_xlfn.RANK.EQ($G1838,$G$2:$G$2353,0)+COUNTIF($G$2:G1838,$G1838)-1)</f>
        <v>518</v>
      </c>
    </row>
    <row r="1839" spans="6:8" x14ac:dyDescent="0.25">
      <c r="F1839" t="str">
        <f>"Souls of the Lost"</f>
        <v>Souls of the Lost</v>
      </c>
      <c r="G1839">
        <f>SUMIFS(Colección!$L$2:$L$10001,Colección!$F$2:$F$10001,$F1839,Colección!$M$2:$M$10001,"Compra")</f>
        <v>10.97011976047904</v>
      </c>
      <c r="H1839">
        <f>IF($G1839=0,"",_xlfn.RANK.EQ($G1839,$G$2:$G$2353,0)+COUNTIF($G$2:G1839,$G1839)-1)</f>
        <v>622</v>
      </c>
    </row>
    <row r="1840" spans="6:8" x14ac:dyDescent="0.25">
      <c r="F1840" t="str">
        <f>"Soulstone Sanctuary (V.1)"</f>
        <v>Soulstone Sanctuary (V.1)</v>
      </c>
      <c r="G1840">
        <f>SUMIFS(Colección!$L$2:$L$10001,Colección!$F$2:$F$10001,$F1840,Colección!$M$2:$M$10001,"Compra")</f>
        <v>9.31</v>
      </c>
      <c r="H1840">
        <f>IF($G1840=0,"",_xlfn.RANK.EQ($G1840,$G$2:$G$2353,0)+COUNTIF($G$2:G1840,$G1840)-1)</f>
        <v>688</v>
      </c>
    </row>
    <row r="1841" spans="6:8" x14ac:dyDescent="0.25">
      <c r="F1841" t="str">
        <f>"Sowing Mycospawn"</f>
        <v>Sowing Mycospawn</v>
      </c>
      <c r="G1841">
        <f>SUMIFS(Colección!$L$2:$L$10001,Colección!$F$2:$F$10001,$F1841,Colección!$M$2:$M$10001,"Compra")</f>
        <v>22.838181818181816</v>
      </c>
      <c r="H1841">
        <f>IF($G1841=0,"",_xlfn.RANK.EQ($G1841,$G$2:$G$2353,0)+COUNTIF($G$2:G1841,$G1841)-1)</f>
        <v>345</v>
      </c>
    </row>
    <row r="1842" spans="6:8" x14ac:dyDescent="0.25">
      <c r="F1842" t="str">
        <f>"Spandam (OP03-086) (V.1)"</f>
        <v>Spandam (OP03-086) (V.1)</v>
      </c>
      <c r="G1842">
        <f>SUMIFS(Colección!$L$2:$L$10001,Colección!$F$2:$F$10001,$F1842,Colección!$M$2:$M$10001,"Compra")</f>
        <v>0.40457364341085272</v>
      </c>
      <c r="H1842">
        <f>IF($G1842=0,"",_xlfn.RANK.EQ($G1842,$G$2:$G$2353,0)+COUNTIF($G$2:G1842,$G1842)-1)</f>
        <v>1956</v>
      </c>
    </row>
    <row r="1843" spans="6:8" x14ac:dyDescent="0.25">
      <c r="F1843" t="str">
        <f>"Spara's Headquarters (V.1)"</f>
        <v>Spara's Headquarters (V.1)</v>
      </c>
      <c r="G1843">
        <f>SUMIFS(Colección!$L$2:$L$10001,Colección!$F$2:$F$10001,$F1843,Colección!$M$2:$M$10001,"Compra")</f>
        <v>16.399999999999999</v>
      </c>
      <c r="H1843">
        <f>IF($G1843=0,"",_xlfn.RANK.EQ($G1843,$G$2:$G$2353,0)+COUNTIF($G$2:G1843,$G1843)-1)</f>
        <v>471</v>
      </c>
    </row>
    <row r="1844" spans="6:8" x14ac:dyDescent="0.25">
      <c r="F1844" t="str">
        <f>"Speed Jil (OP03-006)"</f>
        <v>Speed Jil (OP03-006)</v>
      </c>
      <c r="G1844">
        <f>SUMIFS(Colección!$L$2:$L$10001,Colección!$F$2:$F$10001,$F1844,Colección!$M$2:$M$10001,"Compra")</f>
        <v>0.1427906976744186</v>
      </c>
      <c r="H1844">
        <f>IF($G1844=0,"",_xlfn.RANK.EQ($G1844,$G$2:$G$2353,0)+COUNTIF($G$2:G1844,$G1844)-1)</f>
        <v>2127</v>
      </c>
    </row>
    <row r="1845" spans="6:8" x14ac:dyDescent="0.25">
      <c r="F1845" t="str">
        <f>"Spell Pierce"</f>
        <v>Spell Pierce</v>
      </c>
      <c r="G1845">
        <f>SUMIFS(Colección!$L$2:$L$10001,Colección!$F$2:$F$10001,$F1845,Colección!$M$2:$M$10001,"Compra")</f>
        <v>4.6896899816896749</v>
      </c>
      <c r="H1845">
        <f>IF($G1845=0,"",_xlfn.RANK.EQ($G1845,$G$2:$G$2353,0)+COUNTIF($G$2:G1845,$G1845)-1)</f>
        <v>986</v>
      </c>
    </row>
    <row r="1846" spans="6:8" x14ac:dyDescent="0.25">
      <c r="F1846" t="str">
        <f>"Spell Snare"</f>
        <v>Spell Snare</v>
      </c>
      <c r="G1846">
        <f>SUMIFS(Colección!$L$2:$L$10001,Colección!$F$2:$F$10001,$F1846,Colección!$M$2:$M$10001,"Compra")</f>
        <v>1.0739666424945613</v>
      </c>
      <c r="H1846">
        <f>IF($G1846=0,"",_xlfn.RANK.EQ($G1846,$G$2:$G$2353,0)+COUNTIF($G$2:G1846,$G1846)-1)</f>
        <v>1615</v>
      </c>
    </row>
    <row r="1847" spans="6:8" x14ac:dyDescent="0.25">
      <c r="F1847" t="str">
        <f>"Spell Snare [Playset]"</f>
        <v>Spell Snare [Playset]</v>
      </c>
      <c r="G1847">
        <f>SUMIFS(Colección!$L$2:$L$10001,Colección!$F$2:$F$10001,$F1847,Colección!$M$2:$M$10001,"Compra")</f>
        <v>3.01</v>
      </c>
      <c r="H1847">
        <f>IF($G1847=0,"",_xlfn.RANK.EQ($G1847,$G$2:$G$2353,0)+COUNTIF($G$2:G1847,$G1847)-1)</f>
        <v>1196</v>
      </c>
    </row>
    <row r="1848" spans="6:8" x14ac:dyDescent="0.25">
      <c r="F1848" t="str">
        <f>"Spellskite"</f>
        <v>Spellskite</v>
      </c>
      <c r="G1848">
        <f>SUMIFS(Colección!$L$2:$L$10001,Colección!$F$2:$F$10001,$F1848,Colección!$M$2:$M$10001,"Compra")</f>
        <v>7.18</v>
      </c>
      <c r="H1848">
        <f>IF($G1848=0,"",_xlfn.RANK.EQ($G1848,$G$2:$G$2353,0)+COUNTIF($G$2:G1848,$G1848)-1)</f>
        <v>803</v>
      </c>
    </row>
    <row r="1849" spans="6:8" x14ac:dyDescent="0.25">
      <c r="F1849" t="str">
        <f>"Spellstutter Sprite"</f>
        <v>Spellstutter Sprite</v>
      </c>
      <c r="G1849">
        <f>SUMIFS(Colección!$L$2:$L$10001,Colección!$F$2:$F$10001,$F1849,Colección!$M$2:$M$10001,"Compra")</f>
        <v>30.26795272636318</v>
      </c>
      <c r="H1849">
        <f>IF($G1849=0,"",_xlfn.RANK.EQ($G1849,$G$2:$G$2353,0)+COUNTIF($G$2:G1849,$G1849)-1)</f>
        <v>278</v>
      </c>
    </row>
    <row r="1850" spans="6:8" x14ac:dyDescent="0.25">
      <c r="F1850" t="str">
        <f>"Spelunking"</f>
        <v>Spelunking</v>
      </c>
      <c r="G1850">
        <f>SUMIFS(Colección!$L$2:$L$10001,Colección!$F$2:$F$10001,$F1850,Colección!$M$2:$M$10001,"Compra")</f>
        <v>4.5774492099322801</v>
      </c>
      <c r="H1850">
        <f>IF($G1850=0,"",_xlfn.RANK.EQ($G1850,$G$2:$G$2353,0)+COUNTIF($G$2:G1850,$G1850)-1)</f>
        <v>993</v>
      </c>
    </row>
    <row r="1851" spans="6:8" x14ac:dyDescent="0.25">
      <c r="F1851" t="str">
        <f>"Sphinx's Revelation"</f>
        <v>Sphinx's Revelation</v>
      </c>
      <c r="G1851">
        <f>SUMIFS(Colección!$L$2:$L$10001,Colección!$F$2:$F$10001,$F1851,Colección!$M$2:$M$10001,"Compra")</f>
        <v>2.651785714285714</v>
      </c>
      <c r="H1851">
        <f>IF($G1851=0,"",_xlfn.RANK.EQ($G1851,$G$2:$G$2353,0)+COUNTIF($G$2:G1851,$G1851)-1)</f>
        <v>1234</v>
      </c>
    </row>
    <row r="1852" spans="6:8" x14ac:dyDescent="0.25">
      <c r="F1852" t="str">
        <f>"Spiderweb (OP04-035)"</f>
        <v>Spiderweb (OP04-035)</v>
      </c>
      <c r="G1852">
        <f>SUMIFS(Colección!$L$2:$L$10001,Colección!$F$2:$F$10001,$F1852,Colección!$M$2:$M$10001,"Compra")</f>
        <v>0.64216867469879513</v>
      </c>
      <c r="H1852">
        <f>IF($G1852=0,"",_xlfn.RANK.EQ($G1852,$G$2:$G$2353,0)+COUNTIF($G$2:G1852,$G1852)-1)</f>
        <v>1799</v>
      </c>
    </row>
    <row r="1853" spans="6:8" x14ac:dyDescent="0.25">
      <c r="F1853" t="str">
        <f>"Spike Feeder"</f>
        <v>Spike Feeder</v>
      </c>
      <c r="G1853">
        <f>SUMIFS(Colección!$L$2:$L$10001,Colección!$F$2:$F$10001,$F1853,Colección!$M$2:$M$10001,"Compra")</f>
        <v>1.60037037037037</v>
      </c>
      <c r="H1853">
        <f>IF($G1853=0,"",_xlfn.RANK.EQ($G1853,$G$2:$G$2353,0)+COUNTIF($G$2:G1853,$G1853)-1)</f>
        <v>1462</v>
      </c>
    </row>
    <row r="1854" spans="6:8" x14ac:dyDescent="0.25">
      <c r="F1854" t="str">
        <f>"Spikefield Hazard // Spikefield Cave"</f>
        <v>Spikefield Hazard // Spikefield Cave</v>
      </c>
      <c r="G1854">
        <f>SUMIFS(Colección!$L$2:$L$10001,Colección!$F$2:$F$10001,$F1854,Colección!$M$2:$M$10001,"Compra")</f>
        <v>0.74879189399844115</v>
      </c>
      <c r="H1854">
        <f>IF($G1854=0,"",_xlfn.RANK.EQ($G1854,$G$2:$G$2353,0)+COUNTIF($G$2:G1854,$G1854)-1)</f>
        <v>1744</v>
      </c>
    </row>
    <row r="1855" spans="6:8" x14ac:dyDescent="0.25">
      <c r="F1855" t="str">
        <f>"Spire Golem"</f>
        <v>Spire Golem</v>
      </c>
      <c r="G1855">
        <f>SUMIFS(Colección!$L$2:$L$10001,Colección!$F$2:$F$10001,$F1855,Colección!$M$2:$M$10001,"Compra")</f>
        <v>3.1872186093046522</v>
      </c>
      <c r="H1855">
        <f>IF($G1855=0,"",_xlfn.RANK.EQ($G1855,$G$2:$G$2353,0)+COUNTIF($G$2:G1855,$G1855)-1)</f>
        <v>1174</v>
      </c>
    </row>
    <row r="1856" spans="6:8" x14ac:dyDescent="0.25">
      <c r="F1856" t="str">
        <f>"Spire of Industry"</f>
        <v>Spire of Industry</v>
      </c>
      <c r="G1856">
        <f>SUMIFS(Colección!$L$2:$L$10001,Colección!$F$2:$F$10001,$F1856,Colección!$M$2:$M$10001,"Compra")</f>
        <v>7.09</v>
      </c>
      <c r="H1856">
        <f>IF($G1856=0,"",_xlfn.RANK.EQ($G1856,$G$2:$G$2353,0)+COUNTIF($G$2:G1856,$G1856)-1)</f>
        <v>807</v>
      </c>
    </row>
    <row r="1857" spans="6:8" x14ac:dyDescent="0.25">
      <c r="F1857" t="str">
        <f>"Spirebluff Canal"</f>
        <v>Spirebluff Canal</v>
      </c>
      <c r="G1857">
        <f>SUMIFS(Colección!$L$2:$L$10001,Colección!$F$2:$F$10001,$F1857,Colección!$M$2:$M$10001,"Compra")</f>
        <v>81.917703081232489</v>
      </c>
      <c r="H1857">
        <f>IF($G1857=0,"",_xlfn.RANK.EQ($G1857,$G$2:$G$2353,0)+COUNTIF($G$2:G1857,$G1857)-1)</f>
        <v>97</v>
      </c>
    </row>
    <row r="1858" spans="6:8" x14ac:dyDescent="0.25">
      <c r="F1858" t="str">
        <f>"Spirit Token (White 1/1)"</f>
        <v>Spirit Token (White 1/1)</v>
      </c>
      <c r="G1858">
        <f>SUMIFS(Colección!$L$2:$L$10001,Colección!$F$2:$F$10001,$F1858,Colección!$M$2:$M$10001,"Compra")</f>
        <v>5.1079812206572768E-2</v>
      </c>
      <c r="H1858">
        <f>IF($G1858=0,"",_xlfn.RANK.EQ($G1858,$G$2:$G$2353,0)+COUNTIF($G$2:G1858,$G1858)-1)</f>
        <v>2324</v>
      </c>
    </row>
    <row r="1859" spans="6:8" x14ac:dyDescent="0.25">
      <c r="F1859" t="str">
        <f>"Spiteful Banditry"</f>
        <v>Spiteful Banditry</v>
      </c>
      <c r="G1859">
        <f>SUMIFS(Colección!$L$2:$L$10001,Colección!$F$2:$F$10001,$F1859,Colección!$M$2:$M$10001,"Compra")</f>
        <v>5.5619047619047617</v>
      </c>
      <c r="H1859">
        <f>IF($G1859=0,"",_xlfn.RANK.EQ($G1859,$G$2:$G$2353,0)+COUNTIF($G$2:G1859,$G1859)-1)</f>
        <v>923</v>
      </c>
    </row>
    <row r="1860" spans="6:8" x14ac:dyDescent="0.25">
      <c r="F1860" t="str">
        <f>"Spiteful Hexmage"</f>
        <v>Spiteful Hexmage</v>
      </c>
      <c r="G1860">
        <f>SUMIFS(Colección!$L$2:$L$10001,Colección!$F$2:$F$10001,$F1860,Colección!$M$2:$M$10001,"Compra")</f>
        <v>4.33</v>
      </c>
      <c r="H1860">
        <f>IF($G1860=0,"",_xlfn.RANK.EQ($G1860,$G$2:$G$2353,0)+COUNTIF($G$2:G1860,$G1860)-1)</f>
        <v>1030</v>
      </c>
    </row>
    <row r="1861" spans="6:8" x14ac:dyDescent="0.25">
      <c r="F1861" t="str">
        <f>"Splash Portal"</f>
        <v>Splash Portal</v>
      </c>
      <c r="G1861">
        <f>SUMIFS(Colección!$L$2:$L$10001,Colección!$F$2:$F$10001,$F1861,Colección!$M$2:$M$10001,"Compra")</f>
        <v>3.33</v>
      </c>
      <c r="H1861">
        <f>IF($G1861=0,"",_xlfn.RANK.EQ($G1861,$G$2:$G$2353,0)+COUNTIF($G$2:G1861,$G1861)-1)</f>
        <v>1144</v>
      </c>
    </row>
    <row r="1862" spans="6:8" x14ac:dyDescent="0.25">
      <c r="F1862" t="str">
        <f>"Split Up"</f>
        <v>Split Up</v>
      </c>
      <c r="G1862">
        <f>SUMIFS(Colección!$L$2:$L$10001,Colección!$F$2:$F$10001,$F1862,Colección!$M$2:$M$10001,"Compra")</f>
        <v>12.108463129164548</v>
      </c>
      <c r="H1862">
        <f>IF($G1862=0,"",_xlfn.RANK.EQ($G1862,$G$2:$G$2353,0)+COUNTIF($G$2:G1862,$G1862)-1)</f>
        <v>577</v>
      </c>
    </row>
    <row r="1863" spans="6:8" x14ac:dyDescent="0.25">
      <c r="F1863" t="str">
        <f>"Splitskin Doll"</f>
        <v>Splitskin Doll</v>
      </c>
      <c r="G1863">
        <f>SUMIFS(Colección!$L$2:$L$10001,Colección!$F$2:$F$10001,$F1863,Colección!$M$2:$M$10001,"Compra")</f>
        <v>0.70399999999999996</v>
      </c>
      <c r="H1863">
        <f>IF($G1863=0,"",_xlfn.RANK.EQ($G1863,$G$2:$G$2353,0)+COUNTIF($G$2:G1863,$G1863)-1)</f>
        <v>1757</v>
      </c>
    </row>
    <row r="1864" spans="6:8" x14ac:dyDescent="0.25">
      <c r="F1864" t="str">
        <f>"Spreading Seas"</f>
        <v>Spreading Seas</v>
      </c>
      <c r="G1864">
        <f>SUMIFS(Colección!$L$2:$L$10001,Colección!$F$2:$F$10001,$F1864,Colección!$M$2:$M$10001,"Compra")</f>
        <v>2.2445606229143489</v>
      </c>
      <c r="H1864">
        <f>IF($G1864=0,"",_xlfn.RANK.EQ($G1864,$G$2:$G$2353,0)+COUNTIF($G$2:G1864,$G1864)-1)</f>
        <v>1299</v>
      </c>
    </row>
    <row r="1865" spans="6:8" x14ac:dyDescent="0.25">
      <c r="F1865" t="str">
        <f>"Spreading Seas [Playset]"</f>
        <v>Spreading Seas [Playset]</v>
      </c>
      <c r="G1865">
        <f>SUMIFS(Colección!$L$2:$L$10001,Colección!$F$2:$F$10001,$F1865,Colección!$M$2:$M$10001,"Compra")</f>
        <v>6.3933333333333344</v>
      </c>
      <c r="H1865">
        <f>IF($G1865=0,"",_xlfn.RANK.EQ($G1865,$G$2:$G$2353,0)+COUNTIF($G$2:G1865,$G1865)-1)</f>
        <v>856</v>
      </c>
    </row>
    <row r="1866" spans="6:8" x14ac:dyDescent="0.25">
      <c r="F1866" t="str">
        <f>"Springheart Nantuko"</f>
        <v>Springheart Nantuko</v>
      </c>
      <c r="G1866">
        <f>SUMIFS(Colección!$L$2:$L$10001,Colección!$F$2:$F$10001,$F1866,Colección!$M$2:$M$10001,"Compra")</f>
        <v>19.475095057034221</v>
      </c>
      <c r="H1866">
        <f>IF($G1866=0,"",_xlfn.RANK.EQ($G1866,$G$2:$G$2353,0)+COUNTIF($G$2:G1866,$G1866)-1)</f>
        <v>404</v>
      </c>
    </row>
    <row r="1867" spans="6:8" x14ac:dyDescent="0.25">
      <c r="F1867" t="str">
        <f>"Springleaf Drum"</f>
        <v>Springleaf Drum</v>
      </c>
      <c r="G1867">
        <f>SUMIFS(Colección!$L$2:$L$10001,Colección!$F$2:$F$10001,$F1867,Colección!$M$2:$M$10001,"Compra")</f>
        <v>2.196480166291356</v>
      </c>
      <c r="H1867">
        <f>IF($G1867=0,"",_xlfn.RANK.EQ($G1867,$G$2:$G$2353,0)+COUNTIF($G$2:G1867,$G1867)-1)</f>
        <v>1312</v>
      </c>
    </row>
    <row r="1868" spans="6:8" x14ac:dyDescent="0.25">
      <c r="F1868" t="str">
        <f>"Springleaf Drum (V.1)"</f>
        <v>Springleaf Drum (V.1)</v>
      </c>
      <c r="G1868">
        <f>SUMIFS(Colección!$L$2:$L$10001,Colección!$F$2:$F$10001,$F1868,Colección!$M$2:$M$10001,"Compra")</f>
        <v>0.87207729468599038</v>
      </c>
      <c r="H1868">
        <f>IF($G1868=0,"",_xlfn.RANK.EQ($G1868,$G$2:$G$2353,0)+COUNTIF($G$2:G1868,$G1868)-1)</f>
        <v>1691</v>
      </c>
    </row>
    <row r="1869" spans="6:8" x14ac:dyDescent="0.25">
      <c r="F1869" t="str">
        <f>"Sprite"</f>
        <v>Sprite</v>
      </c>
      <c r="G1869">
        <f>SUMIFS(Colección!$L$2:$L$10001,Colección!$F$2:$F$10001,$F1869,Colección!$M$2:$M$10001,"Compra")</f>
        <v>0.61733178654292364</v>
      </c>
      <c r="H1869">
        <f>IF($G1869=0,"",_xlfn.RANK.EQ($G1869,$G$2:$G$2353,0)+COUNTIF($G$2:G1869,$G1869)-1)</f>
        <v>1819</v>
      </c>
    </row>
    <row r="1870" spans="6:8" x14ac:dyDescent="0.25">
      <c r="F1870" t="str">
        <f>"Sprite Burst"</f>
        <v>Sprite Burst</v>
      </c>
      <c r="G1870">
        <f>SUMIFS(Colección!$L$2:$L$10001,Colección!$F$2:$F$10001,$F1870,Colección!$M$2:$M$10001,"Compra")</f>
        <v>1.5543532482598608</v>
      </c>
      <c r="H1870">
        <f>IF($G1870=0,"",_xlfn.RANK.EQ($G1870,$G$2:$G$2353,0)+COUNTIF($G$2:G1870,$G1870)-1)</f>
        <v>1475</v>
      </c>
    </row>
    <row r="1871" spans="6:8" x14ac:dyDescent="0.25">
      <c r="F1871" t="str">
        <f>"Sprite Dragon"</f>
        <v>Sprite Dragon</v>
      </c>
      <c r="G1871">
        <f>SUMIFS(Colección!$L$2:$L$10001,Colección!$F$2:$F$10001,$F1871,Colección!$M$2:$M$10001,"Compra")</f>
        <v>5.2193674641752397</v>
      </c>
      <c r="H1871">
        <f>IF($G1871=0,"",_xlfn.RANK.EQ($G1871,$G$2:$G$2353,0)+COUNTIF($G$2:G1871,$G1871)-1)</f>
        <v>953</v>
      </c>
    </row>
    <row r="1872" spans="6:8" x14ac:dyDescent="0.25">
      <c r="F1872" t="str">
        <f>"Sprite Fountain"</f>
        <v>Sprite Fountain</v>
      </c>
      <c r="G1872">
        <f>SUMIFS(Colección!$L$2:$L$10001,Colección!$F$2:$F$10001,$F1872,Colección!$M$2:$M$10001,"Compra")</f>
        <v>13.27</v>
      </c>
      <c r="H1872">
        <f>IF($G1872=0,"",_xlfn.RANK.EQ($G1872,$G$2:$G$2353,0)+COUNTIF($G$2:G1872,$G1872)-1)</f>
        <v>543</v>
      </c>
    </row>
    <row r="1873" spans="6:8" x14ac:dyDescent="0.25">
      <c r="F1873" t="str">
        <f>"Spyglass Siren"</f>
        <v>Spyglass Siren</v>
      </c>
      <c r="G1873">
        <f>SUMIFS(Colección!$L$2:$L$10001,Colección!$F$2:$F$10001,$F1873,Colección!$M$2:$M$10001,"Compra")</f>
        <v>6.1096675651392642</v>
      </c>
      <c r="H1873">
        <f>IF($G1873=0,"",_xlfn.RANK.EQ($G1873,$G$2:$G$2353,0)+COUNTIF($G$2:G1873,$G1873)-1)</f>
        <v>878</v>
      </c>
    </row>
    <row r="1874" spans="6:8" x14ac:dyDescent="0.25">
      <c r="F1874" t="str">
        <f>"Spymaster's Vault"</f>
        <v>Spymaster's Vault</v>
      </c>
      <c r="G1874">
        <f>SUMIFS(Colección!$L$2:$L$10001,Colección!$F$2:$F$10001,$F1874,Colección!$M$2:$M$10001,"Compra")</f>
        <v>6.8910931311538839</v>
      </c>
      <c r="H1874">
        <f>IF($G1874=0,"",_xlfn.RANK.EQ($G1874,$G$2:$G$2353,0)+COUNTIF($G$2:G1874,$G1874)-1)</f>
        <v>818</v>
      </c>
    </row>
    <row r="1875" spans="6:8" x14ac:dyDescent="0.25">
      <c r="F1875" t="str">
        <f>"Squee, Dubious Monarch (V.1)"</f>
        <v>Squee, Dubious Monarch (V.1)</v>
      </c>
      <c r="G1875">
        <f>SUMIFS(Colección!$L$2:$L$10001,Colección!$F$2:$F$10001,$F1875,Colección!$M$2:$M$10001,"Compra")</f>
        <v>1.032056892778993</v>
      </c>
      <c r="H1875">
        <f>IF($G1875=0,"",_xlfn.RANK.EQ($G1875,$G$2:$G$2353,0)+COUNTIF($G$2:G1875,$G1875)-1)</f>
        <v>1644</v>
      </c>
    </row>
    <row r="1876" spans="6:8" x14ac:dyDescent="0.25">
      <c r="F1876" t="str">
        <f>"Squee, Goblin Nabob"</f>
        <v>Squee, Goblin Nabob</v>
      </c>
      <c r="G1876">
        <f>SUMIFS(Colección!$L$2:$L$10001,Colección!$F$2:$F$10001,$F1876,Colección!$M$2:$M$10001,"Compra")</f>
        <v>2.0675935828877003</v>
      </c>
      <c r="H1876">
        <f>IF($G1876=0,"",_xlfn.RANK.EQ($G1876,$G$2:$G$2353,0)+COUNTIF($G$2:G1876,$G1876)-1)</f>
        <v>1352</v>
      </c>
    </row>
    <row r="1877" spans="6:8" x14ac:dyDescent="0.25">
      <c r="F1877" t="str">
        <f>"Squirrel Token (Green 1/1)"</f>
        <v>Squirrel Token (Green 1/1)</v>
      </c>
      <c r="G1877">
        <f>SUMIFS(Colección!$L$2:$L$10001,Colección!$F$2:$F$10001,$F1877,Colección!$M$2:$M$10001,"Compra")</f>
        <v>0.46780821917808219</v>
      </c>
      <c r="H1877">
        <f>IF($G1877=0,"",_xlfn.RANK.EQ($G1877,$G$2:$G$2353,0)+COUNTIF($G$2:G1877,$G1877)-1)</f>
        <v>1906</v>
      </c>
    </row>
    <row r="1878" spans="6:8" x14ac:dyDescent="0.25">
      <c r="F1878" t="str">
        <f>"Stacked Deck"</f>
        <v>Stacked Deck</v>
      </c>
      <c r="G1878">
        <f>SUMIFS(Colección!$L$2:$L$10001,Colección!$F$2:$F$10001,$F1878,Colección!$M$2:$M$10001,"Compra")</f>
        <v>35.729878048780485</v>
      </c>
      <c r="H1878">
        <f>IF($G1878=0,"",_xlfn.RANK.EQ($G1878,$G$2:$G$2353,0)+COUNTIF($G$2:G1878,$G1878)-1)</f>
        <v>232</v>
      </c>
    </row>
    <row r="1879" spans="6:8" x14ac:dyDescent="0.25">
      <c r="F1879" t="str">
        <f>"Stainless (OP05-045)"</f>
        <v>Stainless (OP05-045)</v>
      </c>
      <c r="G1879">
        <f>SUMIFS(Colección!$L$2:$L$10001,Colección!$F$2:$F$10001,$F1879,Colección!$M$2:$M$10001,"Compra")</f>
        <v>4.0592556317335937E-2</v>
      </c>
      <c r="H1879">
        <f>IF($G1879=0,"",_xlfn.RANK.EQ($G1879,$G$2:$G$2353,0)+COUNTIF($G$2:G1879,$G1879)-1)</f>
        <v>2336</v>
      </c>
    </row>
    <row r="1880" spans="6:8" x14ac:dyDescent="0.25">
      <c r="F1880" t="str">
        <f>"Stalactite Stalker"</f>
        <v>Stalactite Stalker</v>
      </c>
      <c r="G1880">
        <f>SUMIFS(Colección!$L$2:$L$10001,Colección!$F$2:$F$10001,$F1880,Colección!$M$2:$M$10001,"Compra")</f>
        <v>8.6754325259515568</v>
      </c>
      <c r="H1880">
        <f>IF($G1880=0,"",_xlfn.RANK.EQ($G1880,$G$2:$G$2353,0)+COUNTIF($G$2:G1880,$G1880)-1)</f>
        <v>726</v>
      </c>
    </row>
    <row r="1881" spans="6:8" x14ac:dyDescent="0.25">
      <c r="F1881" t="str">
        <f>"Standstill"</f>
        <v>Standstill</v>
      </c>
      <c r="G1881">
        <f>SUMIFS(Colección!$L$2:$L$10001,Colección!$F$2:$F$10001,$F1881,Colección!$M$2:$M$10001,"Compra")</f>
        <v>17.454545454545457</v>
      </c>
      <c r="H1881">
        <f>IF($G1881=0,"",_xlfn.RANK.EQ($G1881,$G$2:$G$2353,0)+COUNTIF($G$2:G1881,$G1881)-1)</f>
        <v>443</v>
      </c>
    </row>
    <row r="1882" spans="6:8" x14ac:dyDescent="0.25">
      <c r="F1882" t="str">
        <f>"Star Spring"</f>
        <v>Star Spring</v>
      </c>
      <c r="G1882">
        <f>SUMIFS(Colección!$L$2:$L$10001,Colección!$F$2:$F$10001,$F1882,Colección!$M$2:$M$10001,"Compra")</f>
        <v>0.56590909090909092</v>
      </c>
      <c r="H1882">
        <f>IF($G1882=0,"",_xlfn.RANK.EQ($G1882,$G$2:$G$2353,0)+COUNTIF($G$2:G1882,$G1882)-1)</f>
        <v>1846</v>
      </c>
    </row>
    <row r="1883" spans="6:8" x14ac:dyDescent="0.25">
      <c r="F1883" t="str">
        <f>"Star-Crossed"</f>
        <v>Star-Crossed</v>
      </c>
      <c r="G1883">
        <f>SUMIFS(Colección!$L$2:$L$10001,Colección!$F$2:$F$10001,$F1883,Colección!$M$2:$M$10001,"Compra")</f>
        <v>2.0446601941747575</v>
      </c>
      <c r="H1883">
        <f>IF($G1883=0,"",_xlfn.RANK.EQ($G1883,$G$2:$G$2353,0)+COUNTIF($G$2:G1883,$G1883)-1)</f>
        <v>1359</v>
      </c>
    </row>
    <row r="1884" spans="6:8" x14ac:dyDescent="0.25">
      <c r="F1884" t="str">
        <f>"Start Your Engines! // Max Speed"</f>
        <v>Start Your Engines! // Max Speed</v>
      </c>
      <c r="G1884">
        <f>SUMIFS(Colección!$L$2:$L$10001,Colección!$F$2:$F$10001,$F1884,Colección!$M$2:$M$10001,"Compra")</f>
        <v>1.763333333333333</v>
      </c>
      <c r="H1884">
        <f>IF($G1884=0,"",_xlfn.RANK.EQ($G1884,$G$2:$G$2353,0)+COUNTIF($G$2:G1884,$G1884)-1)</f>
        <v>1409</v>
      </c>
    </row>
    <row r="1885" spans="6:8" x14ac:dyDescent="0.25">
      <c r="F1885" t="str">
        <f>"Starter Deck: Absolute Justice"</f>
        <v>Starter Deck: Absolute Justice</v>
      </c>
      <c r="G1885">
        <f>SUMIFS(Colección!$L$2:$L$10001,Colección!$F$2:$F$10001,$F1885,Colección!$M$2:$M$10001,"Compra")</f>
        <v>17.925000000000001</v>
      </c>
      <c r="H1885">
        <f>IF($G1885=0,"",_xlfn.RANK.EQ($G1885,$G$2:$G$2353,0)+COUNTIF($G$2:G1885,$G1885)-1)</f>
        <v>434</v>
      </c>
    </row>
    <row r="1886" spans="6:8" x14ac:dyDescent="0.25">
      <c r="F1886" t="str">
        <f>"Starter Deck: ONE PIECE FILM edition"</f>
        <v>Starter Deck: ONE PIECE FILM edition</v>
      </c>
      <c r="G1886">
        <f>SUMIFS(Colección!$L$2:$L$10001,Colección!$F$2:$F$10001,$F1886,Colección!$M$2:$M$10001,"Compra")</f>
        <v>17.925000000000001</v>
      </c>
      <c r="H1886">
        <f>IF($G1886=0,"",_xlfn.RANK.EQ($G1886,$G$2:$G$2353,0)+COUNTIF($G$2:G1886,$G1886)-1)</f>
        <v>435</v>
      </c>
    </row>
    <row r="1887" spans="6:8" x14ac:dyDescent="0.25">
      <c r="F1887" t="str">
        <f>"Starting Town"</f>
        <v>Starting Town</v>
      </c>
      <c r="G1887">
        <f>SUMIFS(Colección!$L$2:$L$10001,Colección!$F$2:$F$10001,$F1887,Colección!$M$2:$M$10001,"Compra")</f>
        <v>52.605343511450357</v>
      </c>
      <c r="H1887">
        <f>IF($G1887=0,"",_xlfn.RANK.EQ($G1887,$G$2:$G$2353,0)+COUNTIF($G$2:G1887,$G1887)-1)</f>
        <v>167</v>
      </c>
    </row>
    <row r="1888" spans="6:8" x14ac:dyDescent="0.25">
      <c r="F1888" t="str">
        <f>"Startipped Peak"</f>
        <v>Startipped Peak</v>
      </c>
      <c r="G1888">
        <f>SUMIFS(Colección!$L$2:$L$10001,Colección!$F$2:$F$10001,$F1888,Colección!$M$2:$M$10001,"Compra")</f>
        <v>1.697727272727273</v>
      </c>
      <c r="H1888">
        <f>IF($G1888=0,"",_xlfn.RANK.EQ($G1888,$G$2:$G$2353,0)+COUNTIF($G$2:G1888,$G1888)-1)</f>
        <v>1431</v>
      </c>
    </row>
    <row r="1889" spans="6:8" x14ac:dyDescent="0.25">
      <c r="F1889" t="str">
        <f>"Static Prison"</f>
        <v>Static Prison</v>
      </c>
      <c r="G1889">
        <f>SUMIFS(Colección!$L$2:$L$10001,Colección!$F$2:$F$10001,$F1889,Colección!$M$2:$M$10001,"Compra")</f>
        <v>1.0941064638783269</v>
      </c>
      <c r="H1889">
        <f>IF($G1889=0,"",_xlfn.RANK.EQ($G1889,$G$2:$G$2353,0)+COUNTIF($G$2:G1889,$G1889)-1)</f>
        <v>1601</v>
      </c>
    </row>
    <row r="1890" spans="6:8" x14ac:dyDescent="0.25">
      <c r="F1890" t="str">
        <f>"Steam Vents"</f>
        <v>Steam Vents</v>
      </c>
      <c r="G1890">
        <f>SUMIFS(Colección!$L$2:$L$10001,Colección!$F$2:$F$10001,$F1890,Colección!$M$2:$M$10001,"Compra")</f>
        <v>106.77758189677675</v>
      </c>
      <c r="H1890">
        <f>IF($G1890=0,"",_xlfn.RANK.EQ($G1890,$G$2:$G$2353,0)+COUNTIF($G$2:G1890,$G1890)-1)</f>
        <v>70</v>
      </c>
    </row>
    <row r="1891" spans="6:8" x14ac:dyDescent="0.25">
      <c r="F1891" t="str">
        <f>"Steel Sabotage"</f>
        <v>Steel Sabotage</v>
      </c>
      <c r="G1891">
        <f>SUMIFS(Colección!$L$2:$L$10001,Colección!$F$2:$F$10001,$F1891,Colección!$M$2:$M$10001,"Compra")</f>
        <v>0.31872186093046528</v>
      </c>
      <c r="H1891">
        <f>IF($G1891=0,"",_xlfn.RANK.EQ($G1891,$G$2:$G$2353,0)+COUNTIF($G$2:G1891,$G1891)-1)</f>
        <v>1996</v>
      </c>
    </row>
    <row r="1892" spans="6:8" x14ac:dyDescent="0.25">
      <c r="F1892" t="str">
        <f>"Steelshaper's Gift"</f>
        <v>Steelshaper's Gift</v>
      </c>
      <c r="G1892">
        <f>SUMIFS(Colección!$L$2:$L$10001,Colección!$F$2:$F$10001,$F1892,Colección!$M$2:$M$10001,"Compra")</f>
        <v>14.451468926553671</v>
      </c>
      <c r="H1892">
        <f>IF($G1892=0,"",_xlfn.RANK.EQ($G1892,$G$2:$G$2353,0)+COUNTIF($G$2:G1892,$G1892)-1)</f>
        <v>515</v>
      </c>
    </row>
    <row r="1893" spans="6:8" x14ac:dyDescent="0.25">
      <c r="F1893" t="str">
        <f>"Stellacorn Herder"</f>
        <v>Stellacorn Herder</v>
      </c>
      <c r="G1893">
        <f>SUMIFS(Colección!$L$2:$L$10001,Colección!$F$2:$F$10001,$F1893,Colección!$M$2:$M$10001,"Compra")</f>
        <v>5.8643312101910823</v>
      </c>
      <c r="H1893">
        <f>IF($G1893=0,"",_xlfn.RANK.EQ($G1893,$G$2:$G$2353,0)+COUNTIF($G$2:G1893,$G1893)-1)</f>
        <v>899</v>
      </c>
    </row>
    <row r="1894" spans="6:8" x14ac:dyDescent="0.25">
      <c r="F1894" t="str">
        <f>"Sterling Grove"</f>
        <v>Sterling Grove</v>
      </c>
      <c r="G1894">
        <f>SUMIFS(Colección!$L$2:$L$10001,Colección!$F$2:$F$10001,$F1894,Colección!$M$2:$M$10001,"Compra")</f>
        <v>19.349785100286532</v>
      </c>
      <c r="H1894">
        <f>IF($G1894=0,"",_xlfn.RANK.EQ($G1894,$G$2:$G$2353,0)+COUNTIF($G$2:G1894,$G1894)-1)</f>
        <v>406</v>
      </c>
    </row>
    <row r="1895" spans="6:8" x14ac:dyDescent="0.25">
      <c r="F1895" t="str">
        <f>"Sterling Grove (V.1)"</f>
        <v>Sterling Grove (V.1)</v>
      </c>
      <c r="G1895">
        <f>SUMIFS(Colección!$L$2:$L$10001,Colección!$F$2:$F$10001,$F1895,Colección!$M$2:$M$10001,"Compra")</f>
        <v>3.9469399707174233</v>
      </c>
      <c r="H1895">
        <f>IF($G1895=0,"",_xlfn.RANK.EQ($G1895,$G$2:$G$2353,0)+COUNTIF($G$2:G1895,$G1895)-1)</f>
        <v>1068</v>
      </c>
    </row>
    <row r="1896" spans="6:8" x14ac:dyDescent="0.25">
      <c r="F1896" t="str">
        <f>"Stern Scolding"</f>
        <v>Stern Scolding</v>
      </c>
      <c r="G1896">
        <f>SUMIFS(Colección!$L$2:$L$10001,Colección!$F$2:$F$10001,$F1896,Colección!$M$2:$M$10001,"Compra")</f>
        <v>10.125454545454545</v>
      </c>
      <c r="H1896">
        <f>IF($G1896=0,"",_xlfn.RANK.EQ($G1896,$G$2:$G$2353,0)+COUNTIF($G$2:G1896,$G1896)-1)</f>
        <v>662</v>
      </c>
    </row>
    <row r="1897" spans="6:8" x14ac:dyDescent="0.25">
      <c r="F1897" t="str">
        <f>"Sterry (OP05-083)"</f>
        <v>Sterry (OP05-083)</v>
      </c>
      <c r="G1897">
        <f>SUMIFS(Colección!$L$2:$L$10001,Colección!$F$2:$F$10001,$F1897,Colección!$M$2:$M$10001,"Compra")</f>
        <v>8.1185112634671888E-2</v>
      </c>
      <c r="H1897">
        <f>IF($G1897=0,"",_xlfn.RANK.EQ($G1897,$G$2:$G$2353,0)+COUNTIF($G$2:G1897,$G1897)-1)</f>
        <v>2230</v>
      </c>
    </row>
    <row r="1898" spans="6:8" x14ac:dyDescent="0.25">
      <c r="F1898" t="str">
        <f>"Stick-Stickem Meteora (OP05-039)"</f>
        <v>Stick-Stickem Meteora (OP05-039)</v>
      </c>
      <c r="G1898">
        <f>SUMIFS(Colección!$L$2:$L$10001,Colección!$F$2:$F$10001,$F1898,Colección!$M$2:$M$10001,"Compra")</f>
        <v>6.7654260528893242E-2</v>
      </c>
      <c r="H1898">
        <f>IF($G1898=0,"",_xlfn.RANK.EQ($G1898,$G$2:$G$2353,0)+COUNTIF($G$2:G1898,$G1898)-1)</f>
        <v>2253</v>
      </c>
    </row>
    <row r="1899" spans="6:8" x14ac:dyDescent="0.25">
      <c r="F1899" t="str">
        <f>"Stifle"</f>
        <v>Stifle</v>
      </c>
      <c r="G1899">
        <f>SUMIFS(Colección!$L$2:$L$10001,Colección!$F$2:$F$10001,$F1899,Colección!$M$2:$M$10001,"Compra")</f>
        <v>150</v>
      </c>
      <c r="H1899">
        <f>IF($G1899=0,"",_xlfn.RANK.EQ($G1899,$G$2:$G$2353,0)+COUNTIF($G$2:G1899,$G1899)-1)</f>
        <v>35</v>
      </c>
    </row>
    <row r="1900" spans="6:8" x14ac:dyDescent="0.25">
      <c r="F1900" t="str">
        <f>"Sting, the Glinting Dagger"</f>
        <v>Sting, the Glinting Dagger</v>
      </c>
      <c r="G1900">
        <f>SUMIFS(Colección!$L$2:$L$10001,Colección!$F$2:$F$10001,$F1900,Colección!$M$2:$M$10001,"Compra")</f>
        <v>1.128503184713376</v>
      </c>
      <c r="H1900">
        <f>IF($G1900=0,"",_xlfn.RANK.EQ($G1900,$G$2:$G$2353,0)+COUNTIF($G$2:G1900,$G1900)-1)</f>
        <v>1586</v>
      </c>
    </row>
    <row r="1901" spans="6:8" x14ac:dyDescent="0.25">
      <c r="F1901" t="str">
        <f>"Stinkweed Imp"</f>
        <v>Stinkweed Imp</v>
      </c>
      <c r="G1901">
        <f>SUMIFS(Colección!$L$2:$L$10001,Colección!$F$2:$F$10001,$F1901,Colección!$M$2:$M$10001,"Compra")</f>
        <v>20.698822436418531</v>
      </c>
      <c r="H1901">
        <f>IF($G1901=0,"",_xlfn.RANK.EQ($G1901,$G$2:$G$2353,0)+COUNTIF($G$2:G1901,$G1901)-1)</f>
        <v>384</v>
      </c>
    </row>
    <row r="1902" spans="6:8" x14ac:dyDescent="0.25">
      <c r="F1902" t="str">
        <f>"Stitcher's Supplier [Playset]"</f>
        <v>Stitcher's Supplier [Playset]</v>
      </c>
      <c r="G1902">
        <f>SUMIFS(Colección!$L$2:$L$10001,Colección!$F$2:$F$10001,$F1902,Colección!$M$2:$M$10001,"Compra")</f>
        <v>9.2200000000000006</v>
      </c>
      <c r="H1902">
        <f>IF($G1902=0,"",_xlfn.RANK.EQ($G1902,$G$2:$G$2353,0)+COUNTIF($G$2:G1902,$G1902)-1)</f>
        <v>693</v>
      </c>
    </row>
    <row r="1903" spans="6:8" x14ac:dyDescent="0.25">
      <c r="F1903" t="str">
        <f>"Stock Up"</f>
        <v>Stock Up</v>
      </c>
      <c r="G1903">
        <f>SUMIFS(Colección!$L$2:$L$10001,Colección!$F$2:$F$10001,$F1903,Colección!$M$2:$M$10001,"Compra")</f>
        <v>8.2899999999999991</v>
      </c>
      <c r="H1903">
        <f>IF($G1903=0,"",_xlfn.RANK.EQ($G1903,$G$2:$G$2353,0)+COUNTIF($G$2:G1903,$G1903)-1)</f>
        <v>736</v>
      </c>
    </row>
    <row r="1904" spans="6:8" x14ac:dyDescent="0.25">
      <c r="F1904" t="str">
        <f>"Stolen Uniform"</f>
        <v>Stolen Uniform</v>
      </c>
      <c r="G1904">
        <f>SUMIFS(Colección!$L$2:$L$10001,Colección!$F$2:$F$10001,$F1904,Colección!$M$2:$M$10001,"Compra")</f>
        <v>4.4797283085013158</v>
      </c>
      <c r="H1904">
        <f>IF($G1904=0,"",_xlfn.RANK.EQ($G1904,$G$2:$G$2353,0)+COUNTIF($G$2:G1904,$G1904)-1)</f>
        <v>1002</v>
      </c>
    </row>
    <row r="1905" spans="6:8" x14ac:dyDescent="0.25">
      <c r="F1905" t="str">
        <f>"Stomping Ground"</f>
        <v>Stomping Ground</v>
      </c>
      <c r="G1905">
        <f>SUMIFS(Colección!$L$2:$L$10001,Colección!$F$2:$F$10001,$F1905,Colección!$M$2:$M$10001,"Compra")</f>
        <v>35.368421052631575</v>
      </c>
      <c r="H1905">
        <f>IF($G1905=0,"",_xlfn.RANK.EQ($G1905,$G$2:$G$2353,0)+COUNTIF($G$2:G1905,$G1905)-1)</f>
        <v>239</v>
      </c>
    </row>
    <row r="1906" spans="6:8" x14ac:dyDescent="0.25">
      <c r="F1906" t="str">
        <f>"Stone of Erech"</f>
        <v>Stone of Erech</v>
      </c>
      <c r="G1906">
        <f>SUMIFS(Colección!$L$2:$L$10001,Colección!$F$2:$F$10001,$F1906,Colección!$M$2:$M$10001,"Compra")</f>
        <v>1.4229390681003584</v>
      </c>
      <c r="H1906">
        <f>IF($G1906=0,"",_xlfn.RANK.EQ($G1906,$G$2:$G$2353,0)+COUNTIF($G$2:G1906,$G1906)-1)</f>
        <v>1507</v>
      </c>
    </row>
    <row r="1907" spans="6:8" x14ac:dyDescent="0.25">
      <c r="F1907" t="str">
        <f>"Stone Rain"</f>
        <v>Stone Rain</v>
      </c>
      <c r="G1907">
        <f>SUMIFS(Colección!$L$2:$L$10001,Colección!$F$2:$F$10001,$F1907,Colección!$M$2:$M$10001,"Compra")</f>
        <v>2.2199016100178892</v>
      </c>
      <c r="H1907">
        <f>IF($G1907=0,"",_xlfn.RANK.EQ($G1907,$G$2:$G$2353,0)+COUNTIF($G$2:G1907,$G1907)-1)</f>
        <v>1307</v>
      </c>
    </row>
    <row r="1908" spans="6:8" x14ac:dyDescent="0.25">
      <c r="F1908" t="str">
        <f>"Stonecoil Serpent"</f>
        <v>Stonecoil Serpent</v>
      </c>
      <c r="G1908">
        <f>SUMIFS(Colección!$L$2:$L$10001,Colección!$F$2:$F$10001,$F1908,Colección!$M$2:$M$10001,"Compra")</f>
        <v>3.02</v>
      </c>
      <c r="H1908">
        <f>IF($G1908=0,"",_xlfn.RANK.EQ($G1908,$G$2:$G$2353,0)+COUNTIF($G$2:G1908,$G1908)-1)</f>
        <v>1194</v>
      </c>
    </row>
    <row r="1909" spans="6:8" x14ac:dyDescent="0.25">
      <c r="F1909" t="str">
        <f>"Stoneforge Mystic"</f>
        <v>Stoneforge Mystic</v>
      </c>
      <c r="G1909">
        <f>SUMIFS(Colección!$L$2:$L$10001,Colección!$F$2:$F$10001,$F1909,Colección!$M$2:$M$10001,"Compra")</f>
        <v>54.76</v>
      </c>
      <c r="H1909">
        <f>IF($G1909=0,"",_xlfn.RANK.EQ($G1909,$G$2:$G$2353,0)+COUNTIF($G$2:G1909,$G1909)-1)</f>
        <v>159</v>
      </c>
    </row>
    <row r="1910" spans="6:8" x14ac:dyDescent="0.25">
      <c r="F1910" t="str">
        <f>"Stoneforge Mystic [Playset]"</f>
        <v>Stoneforge Mystic [Playset]</v>
      </c>
      <c r="G1910">
        <f>SUMIFS(Colección!$L$2:$L$10001,Colección!$F$2:$F$10001,$F1910,Colección!$M$2:$M$10001,"Compra")</f>
        <v>132.9082706766917</v>
      </c>
      <c r="H1910">
        <f>IF($G1910=0,"",_xlfn.RANK.EQ($G1910,$G$2:$G$2353,0)+COUNTIF($G$2:G1910,$G1910)-1)</f>
        <v>47</v>
      </c>
    </row>
    <row r="1911" spans="6:8" x14ac:dyDescent="0.25">
      <c r="F1911" t="str">
        <f>"Storage box for 400 cards"</f>
        <v>Storage box for 400 cards</v>
      </c>
      <c r="G1911">
        <f>SUMIFS(Colección!$L$2:$L$10001,Colección!$F$2:$F$10001,$F1911,Colección!$M$2:$M$10001,"Compra")</f>
        <v>2.1430416068866571</v>
      </c>
      <c r="H1911">
        <f>IF($G1911=0,"",_xlfn.RANK.EQ($G1911,$G$2:$G$2353,0)+COUNTIF($G$2:G1911,$G1911)-1)</f>
        <v>1333</v>
      </c>
    </row>
    <row r="1912" spans="6:8" x14ac:dyDescent="0.25">
      <c r="F1912" t="str">
        <f>"Stormchaser's Talent"</f>
        <v>Stormchaser's Talent</v>
      </c>
      <c r="G1912">
        <f>SUMIFS(Colección!$L$2:$L$10001,Colección!$F$2:$F$10001,$F1912,Colección!$M$2:$M$10001,"Compra")</f>
        <v>46.62469026548672</v>
      </c>
      <c r="H1912">
        <f>IF($G1912=0,"",_xlfn.RANK.EQ($G1912,$G$2:$G$2353,0)+COUNTIF($G$2:G1912,$G1912)-1)</f>
        <v>183</v>
      </c>
    </row>
    <row r="1913" spans="6:8" x14ac:dyDescent="0.25">
      <c r="F1913" t="str">
        <f>"Stormscale Scion"</f>
        <v>Stormscale Scion</v>
      </c>
      <c r="G1913">
        <f>SUMIFS(Colección!$L$2:$L$10001,Colección!$F$2:$F$10001,$F1913,Colección!$M$2:$M$10001,"Compra")</f>
        <v>7.5970588235294123</v>
      </c>
      <c r="H1913">
        <f>IF($G1913=0,"",_xlfn.RANK.EQ($G1913,$G$2:$G$2353,0)+COUNTIF($G$2:G1913,$G1913)-1)</f>
        <v>769</v>
      </c>
    </row>
    <row r="1914" spans="6:8" x14ac:dyDescent="0.25">
      <c r="F1914" t="str">
        <f>"Strangle"</f>
        <v>Strangle</v>
      </c>
      <c r="G1914">
        <f>SUMIFS(Colección!$L$2:$L$10001,Colección!$F$2:$F$10001,$F1914,Colección!$M$2:$M$10001,"Compra")</f>
        <v>0.63765395894428156</v>
      </c>
      <c r="H1914">
        <f>IF($G1914=0,"",_xlfn.RANK.EQ($G1914,$G$2:$G$2353,0)+COUNTIF($G$2:G1914,$G1914)-1)</f>
        <v>1802</v>
      </c>
    </row>
    <row r="1915" spans="6:8" x14ac:dyDescent="0.25">
      <c r="F1915" t="str">
        <f>"Strangleroot Geist [Playset]"</f>
        <v>Strangleroot Geist [Playset]</v>
      </c>
      <c r="G1915">
        <f>SUMIFS(Colección!$L$2:$L$10001,Colección!$F$2:$F$10001,$F1915,Colección!$M$2:$M$10001,"Compra")</f>
        <v>1.261560693641619</v>
      </c>
      <c r="H1915">
        <f>IF($G1915=0,"",_xlfn.RANK.EQ($G1915,$G$2:$G$2353,0)+COUNTIF($G$2:G1915,$G1915)-1)</f>
        <v>1552</v>
      </c>
    </row>
    <row r="1916" spans="6:8" x14ac:dyDescent="0.25">
      <c r="F1916" t="str">
        <f>"Strategic Betrayal"</f>
        <v>Strategic Betrayal</v>
      </c>
      <c r="G1916">
        <f>SUMIFS(Colección!$L$2:$L$10001,Colección!$F$2:$F$10001,$F1916,Colección!$M$2:$M$10001,"Compra")</f>
        <v>0.77347826086956539</v>
      </c>
      <c r="H1916">
        <f>IF($G1916=0,"",_xlfn.RANK.EQ($G1916,$G$2:$G$2353,0)+COUNTIF($G$2:G1916,$G1916)-1)</f>
        <v>1735</v>
      </c>
    </row>
    <row r="1917" spans="6:8" x14ac:dyDescent="0.25">
      <c r="F1917" t="str">
        <f>"Street Wraith (V.2)"</f>
        <v>Street Wraith (V.2)</v>
      </c>
      <c r="G1917">
        <f>SUMIFS(Colección!$L$2:$L$10001,Colección!$F$2:$F$10001,$F1917,Colección!$M$2:$M$10001,"Compra")</f>
        <v>2.1446486486486487</v>
      </c>
      <c r="H1917">
        <f>IF($G1917=0,"",_xlfn.RANK.EQ($G1917,$G$2:$G$2353,0)+COUNTIF($G$2:G1917,$G1917)-1)</f>
        <v>1332</v>
      </c>
    </row>
    <row r="1918" spans="6:8" x14ac:dyDescent="0.25">
      <c r="F1918" t="str">
        <f>"Streusen (OP03-115)"</f>
        <v>Streusen (OP03-115)</v>
      </c>
      <c r="G1918">
        <f>SUMIFS(Colección!$L$2:$L$10001,Colección!$F$2:$F$10001,$F1918,Colección!$M$2:$M$10001,"Compra")</f>
        <v>0.35697674418604652</v>
      </c>
      <c r="H1918">
        <f>IF($G1918=0,"",_xlfn.RANK.EQ($G1918,$G$2:$G$2353,0)+COUNTIF($G$2:G1918,$G1918)-1)</f>
        <v>1978</v>
      </c>
    </row>
    <row r="1919" spans="6:8" x14ac:dyDescent="0.25">
      <c r="F1919" t="str">
        <f>"Strict Proctor"</f>
        <v>Strict Proctor</v>
      </c>
      <c r="G1919">
        <f>SUMIFS(Colección!$L$2:$L$10001,Colección!$F$2:$F$10001,$F1919,Colección!$M$2:$M$10001,"Compra")</f>
        <v>7.7120879120879122</v>
      </c>
      <c r="H1919">
        <f>IF($G1919=0,"",_xlfn.RANK.EQ($G1919,$G$2:$G$2353,0)+COUNTIF($G$2:G1919,$G1919)-1)</f>
        <v>763</v>
      </c>
    </row>
    <row r="1920" spans="6:8" x14ac:dyDescent="0.25">
      <c r="F1920" t="str">
        <f>"Strike It Rich"</f>
        <v>Strike It Rich</v>
      </c>
      <c r="G1920">
        <f>SUMIFS(Colección!$L$2:$L$10001,Colección!$F$2:$F$10001,$F1920,Colección!$M$2:$M$10001,"Compra")</f>
        <v>0.67519788918205803</v>
      </c>
      <c r="H1920">
        <f>IF($G1920=0,"",_xlfn.RANK.EQ($G1920,$G$2:$G$2353,0)+COUNTIF($G$2:G1920,$G1920)-1)</f>
        <v>1774</v>
      </c>
    </row>
    <row r="1921" spans="6:8" x14ac:dyDescent="0.25">
      <c r="F1921" t="str">
        <f>"Striker (OP03-020)"</f>
        <v>Striker (OP03-020)</v>
      </c>
      <c r="G1921">
        <f>SUMIFS(Colección!$L$2:$L$10001,Colección!$F$2:$F$10001,$F1921,Colección!$M$2:$M$10001,"Compra")</f>
        <v>0.1427906976744186</v>
      </c>
      <c r="H1921">
        <f>IF($G1921=0,"",_xlfn.RANK.EQ($G1921,$G$2:$G$2353,0)+COUNTIF($G$2:G1921,$G1921)-1)</f>
        <v>2128</v>
      </c>
    </row>
    <row r="1922" spans="6:8" x14ac:dyDescent="0.25">
      <c r="F1922" t="str">
        <f>"Striped Riverwinder"</f>
        <v>Striped Riverwinder</v>
      </c>
      <c r="G1922">
        <f>SUMIFS(Colección!$L$2:$L$10001,Colección!$F$2:$F$10001,$F1922,Colección!$M$2:$M$10001,"Compra")</f>
        <v>1.5435371658733064</v>
      </c>
      <c r="H1922">
        <f>IF($G1922=0,"",_xlfn.RANK.EQ($G1922,$G$2:$G$2353,0)+COUNTIF($G$2:G1922,$G1922)-1)</f>
        <v>1478</v>
      </c>
    </row>
    <row r="1923" spans="6:8" x14ac:dyDescent="0.25">
      <c r="F1923" t="str">
        <f>"Stubborn Denial"</f>
        <v>Stubborn Denial</v>
      </c>
      <c r="G1923">
        <f>SUMIFS(Colección!$L$2:$L$10001,Colección!$F$2:$F$10001,$F1923,Colección!$M$2:$M$10001,"Compra")</f>
        <v>10.697586206896553</v>
      </c>
      <c r="H1923">
        <f>IF($G1923=0,"",_xlfn.RANK.EQ($G1923,$G$2:$G$2353,0)+COUNTIF($G$2:G1923,$G1923)-1)</f>
        <v>635</v>
      </c>
    </row>
    <row r="1924" spans="6:8" x14ac:dyDescent="0.25">
      <c r="F1924" t="str">
        <f>"Stubborn Denial [Playset]"</f>
        <v>Stubborn Denial [Playset]</v>
      </c>
      <c r="G1924">
        <f>SUMIFS(Colección!$L$2:$L$10001,Colección!$F$2:$F$10001,$F1924,Colección!$M$2:$M$10001,"Compra")</f>
        <v>4.3015999999999996</v>
      </c>
      <c r="H1924">
        <f>IF($G1924=0,"",_xlfn.RANK.EQ($G1924,$G$2:$G$2353,0)+COUNTIF($G$2:G1924,$G1924)-1)</f>
        <v>1033</v>
      </c>
    </row>
    <row r="1925" spans="6:8" x14ac:dyDescent="0.25">
      <c r="F1925" t="str">
        <f>"Stupefy"</f>
        <v>Stupefy</v>
      </c>
      <c r="G1925">
        <f>SUMIFS(Colección!$L$2:$L$10001,Colección!$F$2:$F$10001,$F1925,Colección!$M$2:$M$10001,"Compra")</f>
        <v>3.4915254237288122</v>
      </c>
      <c r="H1925">
        <f>IF($G1925=0,"",_xlfn.RANK.EQ($G1925,$G$2:$G$2353,0)+COUNTIF($G$2:G1925,$G1925)-1)</f>
        <v>1121</v>
      </c>
    </row>
    <row r="1926" spans="6:8" x14ac:dyDescent="0.25">
      <c r="F1926" t="str">
        <f>"Stussy (OP04-084)"</f>
        <v>Stussy (OP04-084)</v>
      </c>
      <c r="G1926">
        <f>SUMIFS(Colección!$L$2:$L$10001,Colección!$F$2:$F$10001,$F1926,Colección!$M$2:$M$10001,"Compra")</f>
        <v>6.1898734177215198E-2</v>
      </c>
      <c r="H1926">
        <f>IF($G1926=0,"",_xlfn.RANK.EQ($G1926,$G$2:$G$2353,0)+COUNTIF($G$2:G1926,$G1926)-1)</f>
        <v>2305</v>
      </c>
    </row>
    <row r="1927" spans="6:8" x14ac:dyDescent="0.25">
      <c r="F1927" t="str">
        <f>"Submerge"</f>
        <v>Submerge</v>
      </c>
      <c r="G1927">
        <f>SUMIFS(Colección!$L$2:$L$10001,Colección!$F$2:$F$10001,$F1927,Colección!$M$2:$M$10001,"Compra")</f>
        <v>6.7359268098647576</v>
      </c>
      <c r="H1927">
        <f>IF($G1927=0,"",_xlfn.RANK.EQ($G1927,$G$2:$G$2353,0)+COUNTIF($G$2:G1927,$G1927)-1)</f>
        <v>826</v>
      </c>
    </row>
    <row r="1928" spans="6:8" x14ac:dyDescent="0.25">
      <c r="F1928" t="str">
        <f>"Subterranean Schooner [Playset]"</f>
        <v>Subterranean Schooner [Playset]</v>
      </c>
      <c r="G1928">
        <f>SUMIFS(Colección!$L$2:$L$10001,Colección!$F$2:$F$10001,$F1928,Colección!$M$2:$M$10001,"Compra")</f>
        <v>13.13</v>
      </c>
      <c r="H1928">
        <f>IF($G1928=0,"",_xlfn.RANK.EQ($G1928,$G$2:$G$2353,0)+COUNTIF($G$2:G1928,$G1928)-1)</f>
        <v>548</v>
      </c>
    </row>
    <row r="1929" spans="6:8" x14ac:dyDescent="0.25">
      <c r="F1929" t="str">
        <f>"Subtlety"</f>
        <v>Subtlety</v>
      </c>
      <c r="G1929">
        <f>SUMIFS(Colección!$L$2:$L$10001,Colección!$F$2:$F$10001,$F1929,Colección!$M$2:$M$10001,"Compra")</f>
        <v>147.06026259098846</v>
      </c>
      <c r="H1929">
        <f>IF($G1929=0,"",_xlfn.RANK.EQ($G1929,$G$2:$G$2353,0)+COUNTIF($G$2:G1929,$G1929)-1)</f>
        <v>37</v>
      </c>
    </row>
    <row r="1930" spans="6:8" x14ac:dyDescent="0.25">
      <c r="F1930" t="str">
        <f>"Suffocating Fumes"</f>
        <v>Suffocating Fumes</v>
      </c>
      <c r="G1930">
        <f>SUMIFS(Colección!$L$2:$L$10001,Colección!$F$2:$F$10001,$F1930,Colección!$M$2:$M$10001,"Compra")</f>
        <v>3.0875656184074964</v>
      </c>
      <c r="H1930">
        <f>IF($G1930=0,"",_xlfn.RANK.EQ($G1930,$G$2:$G$2353,0)+COUNTIF($G$2:G1930,$G1930)-1)</f>
        <v>1190</v>
      </c>
    </row>
    <row r="1931" spans="6:8" x14ac:dyDescent="0.25">
      <c r="F1931" t="str">
        <f>"Sugar (OP04-024) (V.1)"</f>
        <v>Sugar (OP04-024) (V.1)</v>
      </c>
      <c r="G1931">
        <f>SUMIFS(Colección!$L$2:$L$10001,Colección!$F$2:$F$10001,$F1931,Colección!$M$2:$M$10001,"Compra")</f>
        <v>4.3541064638783276</v>
      </c>
      <c r="H1931">
        <f>IF($G1931=0,"",_xlfn.RANK.EQ($G1931,$G$2:$G$2353,0)+COUNTIF($G$2:G1931,$G1931)-1)</f>
        <v>1023</v>
      </c>
    </row>
    <row r="1932" spans="6:8" x14ac:dyDescent="0.25">
      <c r="F1932" t="str">
        <f>"Suleiman (OP04-085)"</f>
        <v>Suleiman (OP04-085)</v>
      </c>
      <c r="G1932">
        <f>SUMIFS(Colección!$L$2:$L$10001,Colección!$F$2:$F$10001,$F1932,Colección!$M$2:$M$10001,"Compra")</f>
        <v>6.1898734177215198E-2</v>
      </c>
      <c r="H1932">
        <f>IF($G1932=0,"",_xlfn.RANK.EQ($G1932,$G$2:$G$2353,0)+COUNTIF($G$2:G1932,$G1932)-1)</f>
        <v>2306</v>
      </c>
    </row>
    <row r="1933" spans="6:8" x14ac:dyDescent="0.25">
      <c r="F1933" t="str">
        <f>"Sulfur Falls"</f>
        <v>Sulfur Falls</v>
      </c>
      <c r="G1933">
        <f>SUMIFS(Colección!$L$2:$L$10001,Colección!$F$2:$F$10001,$F1933,Colección!$M$2:$M$10001,"Compra")</f>
        <v>16.593873596523</v>
      </c>
      <c r="H1933">
        <f>IF($G1933=0,"",_xlfn.RANK.EQ($G1933,$G$2:$G$2353,0)+COUNTIF($G$2:G1933,$G1933)-1)</f>
        <v>465</v>
      </c>
    </row>
    <row r="1934" spans="6:8" x14ac:dyDescent="0.25">
      <c r="F1934" t="str">
        <f>"Sulfurous Springs"</f>
        <v>Sulfurous Springs</v>
      </c>
      <c r="G1934">
        <f>SUMIFS(Colección!$L$2:$L$10001,Colección!$F$2:$F$10001,$F1934,Colección!$M$2:$M$10001,"Compra")</f>
        <v>15.272727272727272</v>
      </c>
      <c r="H1934">
        <f>IF($G1934=0,"",_xlfn.RANK.EQ($G1934,$G$2:$G$2353,0)+COUNTIF($G$2:G1934,$G1934)-1)</f>
        <v>493</v>
      </c>
    </row>
    <row r="1935" spans="6:8" x14ac:dyDescent="0.25">
      <c r="F1935" t="str">
        <f>"Summoner's Pact"</f>
        <v>Summoner's Pact</v>
      </c>
      <c r="G1935">
        <f>SUMIFS(Colección!$L$2:$L$10001,Colección!$F$2:$F$10001,$F1935,Colección!$M$2:$M$10001,"Compra")</f>
        <v>13.458944591029024</v>
      </c>
      <c r="H1935">
        <f>IF($G1935=0,"",_xlfn.RANK.EQ($G1935,$G$2:$G$2353,0)+COUNTIF($G$2:G1935,$G1935)-1)</f>
        <v>539</v>
      </c>
    </row>
    <row r="1936" spans="6:8" x14ac:dyDescent="0.25">
      <c r="F1936" t="str">
        <f>"Summoner's Pact [Playset]"</f>
        <v>Summoner's Pact [Playset]</v>
      </c>
      <c r="G1936">
        <f>SUMIFS(Colección!$L$2:$L$10001,Colección!$F$2:$F$10001,$F1936,Colección!$M$2:$M$10001,"Compra")</f>
        <v>12.786666666666671</v>
      </c>
      <c r="H1936">
        <f>IF($G1936=0,"",_xlfn.RANK.EQ($G1936,$G$2:$G$2353,0)+COUNTIF($G$2:G1936,$G1936)-1)</f>
        <v>558</v>
      </c>
    </row>
    <row r="1937" spans="6:8" x14ac:dyDescent="0.25">
      <c r="F1937" t="str">
        <f>"Sun Quan, Lord of Wu"</f>
        <v>Sun Quan, Lord of Wu</v>
      </c>
      <c r="G1937">
        <f>SUMIFS(Colección!$L$2:$L$10001,Colección!$F$2:$F$10001,$F1937,Colección!$M$2:$M$10001,"Compra")</f>
        <v>12.18</v>
      </c>
      <c r="H1937">
        <f>IF($G1937=0,"",_xlfn.RANK.EQ($G1937,$G$2:$G$2353,0)+COUNTIF($G$2:G1937,$G1937)-1)</f>
        <v>573</v>
      </c>
    </row>
    <row r="1938" spans="6:8" x14ac:dyDescent="0.25">
      <c r="F1938" t="str">
        <f>"Suncleanser"</f>
        <v>Suncleanser</v>
      </c>
      <c r="G1938">
        <f>SUMIFS(Colección!$L$2:$L$10001,Colección!$F$2:$F$10001,$F1938,Colección!$M$2:$M$10001,"Compra")</f>
        <v>2.62</v>
      </c>
      <c r="H1938">
        <f>IF($G1938=0,"",_xlfn.RANK.EQ($G1938,$G$2:$G$2353,0)+COUNTIF($G$2:G1938,$G1938)-1)</f>
        <v>1240</v>
      </c>
    </row>
    <row r="1939" spans="6:8" x14ac:dyDescent="0.25">
      <c r="F1939" t="str">
        <f>"Sunderflock"</f>
        <v>Sunderflock</v>
      </c>
      <c r="G1939">
        <f>SUMIFS(Colección!$L$2:$L$10001,Colección!$F$2:$F$10001,$F1939,Colección!$M$2:$M$10001,"Compra")</f>
        <v>11.9</v>
      </c>
      <c r="H1939">
        <f>IF($G1939=0,"",_xlfn.RANK.EQ($G1939,$G$2:$G$2353,0)+COUNTIF($G$2:G1939,$G1939)-1)</f>
        <v>588</v>
      </c>
    </row>
    <row r="1940" spans="6:8" x14ac:dyDescent="0.25">
      <c r="F1940" t="str">
        <f>"Sundering Eruption // Volcanic Fissure"</f>
        <v>Sundering Eruption // Volcanic Fissure</v>
      </c>
      <c r="G1940">
        <f>SUMIFS(Colección!$L$2:$L$10001,Colección!$F$2:$F$10001,$F1940,Colección!$M$2:$M$10001,"Compra")</f>
        <v>1.5317490494296575</v>
      </c>
      <c r="H1940">
        <f>IF($G1940=0,"",_xlfn.RANK.EQ($G1940,$G$2:$G$2353,0)+COUNTIF($G$2:G1940,$G1940)-1)</f>
        <v>1481</v>
      </c>
    </row>
    <row r="1941" spans="6:8" x14ac:dyDescent="0.25">
      <c r="F1941" t="str">
        <f>"Sundown Pass"</f>
        <v>Sundown Pass</v>
      </c>
      <c r="G1941">
        <f>SUMIFS(Colección!$L$2:$L$10001,Colección!$F$2:$F$10001,$F1941,Colección!$M$2:$M$10001,"Compra")</f>
        <v>11.393148936170213</v>
      </c>
      <c r="H1941">
        <f>IF($G1941=0,"",_xlfn.RANK.EQ($G1941,$G$2:$G$2353,0)+COUNTIF($G$2:G1941,$G1941)-1)</f>
        <v>601</v>
      </c>
    </row>
    <row r="1942" spans="6:8" x14ac:dyDescent="0.25">
      <c r="F1942" t="str">
        <f>"Sunfall"</f>
        <v>Sunfall</v>
      </c>
      <c r="G1942">
        <f>SUMIFS(Colección!$L$2:$L$10001,Colección!$F$2:$F$10001,$F1942,Colección!$M$2:$M$10001,"Compra")</f>
        <v>10.149279609279608</v>
      </c>
      <c r="H1942">
        <f>IF($G1942=0,"",_xlfn.RANK.EQ($G1942,$G$2:$G$2353,0)+COUNTIF($G$2:G1942,$G1942)-1)</f>
        <v>660</v>
      </c>
    </row>
    <row r="1943" spans="6:8" x14ac:dyDescent="0.25">
      <c r="F1943" t="str">
        <f>"Sunhome, Fortress of the Legion"</f>
        <v>Sunhome, Fortress of the Legion</v>
      </c>
      <c r="G1943">
        <f>SUMIFS(Colección!$L$2:$L$10001,Colección!$F$2:$F$10001,$F1943,Colección!$M$2:$M$10001,"Compra")</f>
        <v>0.14635552505147559</v>
      </c>
      <c r="H1943">
        <f>IF($G1943=0,"",_xlfn.RANK.EQ($G1943,$G$2:$G$2353,0)+COUNTIF($G$2:G1943,$G1943)-1)</f>
        <v>2119</v>
      </c>
    </row>
    <row r="1944" spans="6:8" x14ac:dyDescent="0.25">
      <c r="F1944" t="str">
        <f>"Sunken Citadel"</f>
        <v>Sunken Citadel</v>
      </c>
      <c r="G1944">
        <f>SUMIFS(Colección!$L$2:$L$10001,Colección!$F$2:$F$10001,$F1944,Colección!$M$2:$M$10001,"Compra")</f>
        <v>8.02</v>
      </c>
      <c r="H1944">
        <f>IF($G1944=0,"",_xlfn.RANK.EQ($G1944,$G$2:$G$2353,0)+COUNTIF($G$2:G1944,$G1944)-1)</f>
        <v>749</v>
      </c>
    </row>
    <row r="1945" spans="6:8" x14ac:dyDescent="0.25">
      <c r="F1945" t="str">
        <f>"Sunken Ruins"</f>
        <v>Sunken Ruins</v>
      </c>
      <c r="G1945">
        <f>SUMIFS(Colección!$L$2:$L$10001,Colección!$F$2:$F$10001,$F1945,Colección!$M$2:$M$10001,"Compra")</f>
        <v>14.17</v>
      </c>
      <c r="H1945">
        <f>IF($G1945=0,"",_xlfn.RANK.EQ($G1945,$G$2:$G$2353,0)+COUNTIF($G$2:G1945,$G1945)-1)</f>
        <v>525</v>
      </c>
    </row>
    <row r="1946" spans="6:8" x14ac:dyDescent="0.25">
      <c r="F1946" t="str">
        <f>"Sunken Temple"</f>
        <v>Sunken Temple</v>
      </c>
      <c r="G1946">
        <f>SUMIFS(Colección!$L$2:$L$10001,Colección!$F$2:$F$10001,$F1946,Colección!$M$2:$M$10001,"Compra")</f>
        <v>1.2287988422575979</v>
      </c>
      <c r="H1946">
        <f>IF($G1946=0,"",_xlfn.RANK.EQ($G1946,$G$2:$G$2353,0)+COUNTIF($G$2:G1946,$G1946)-1)</f>
        <v>1559</v>
      </c>
    </row>
    <row r="1947" spans="6:8" x14ac:dyDescent="0.25">
      <c r="F1947" t="str">
        <f>"Sunpearl Kirin"</f>
        <v>Sunpearl Kirin</v>
      </c>
      <c r="G1947">
        <f>SUMIFS(Colección!$L$2:$L$10001,Colección!$F$2:$F$10001,$F1947,Colección!$M$2:$M$10001,"Compra")</f>
        <v>3.2909904153354632</v>
      </c>
      <c r="H1947">
        <f>IF($G1947=0,"",_xlfn.RANK.EQ($G1947,$G$2:$G$2353,0)+COUNTIF($G$2:G1947,$G1947)-1)</f>
        <v>1150</v>
      </c>
    </row>
    <row r="1948" spans="6:8" x14ac:dyDescent="0.25">
      <c r="F1948" t="str">
        <f>"Super Spot-Billed Duck Troops (OP04-009)"</f>
        <v>Super Spot-Billed Duck Troops (OP04-009)</v>
      </c>
      <c r="G1948">
        <f>SUMIFS(Colección!$L$2:$L$10001,Colección!$F$2:$F$10001,$F1948,Colección!$M$2:$M$10001,"Compra")</f>
        <v>6.1898734177215198E-2</v>
      </c>
      <c r="H1948">
        <f>IF($G1948=0,"",_xlfn.RANK.EQ($G1948,$G$2:$G$2353,0)+COUNTIF($G$2:G1948,$G1948)-1)</f>
        <v>2307</v>
      </c>
    </row>
    <row r="1949" spans="6:8" x14ac:dyDescent="0.25">
      <c r="F1949" t="str">
        <f>"Super-Soldier Serum"</f>
        <v>Super-Soldier Serum</v>
      </c>
      <c r="G1949">
        <f>SUMIFS(Colección!$L$2:$L$10001,Colección!$F$2:$F$10001,$F1949,Colección!$M$2:$M$10001,"Compra")</f>
        <v>4.41</v>
      </c>
      <c r="H1949">
        <f>IF($G1949=0,"",_xlfn.RANK.EQ($G1949,$G$2:$G$2353,0)+COUNTIF($G$2:G1949,$G1949)-1)</f>
        <v>1010</v>
      </c>
    </row>
    <row r="1950" spans="6:8" x14ac:dyDescent="0.25">
      <c r="F1950" t="str">
        <f>"Superior Spider-Man"</f>
        <v>Superior Spider-Man</v>
      </c>
      <c r="G1950">
        <f>SUMIFS(Colección!$L$2:$L$10001,Colección!$F$2:$F$10001,$F1950,Colección!$M$2:$M$10001,"Compra")</f>
        <v>2.33</v>
      </c>
      <c r="H1950">
        <f>IF($G1950=0,"",_xlfn.RANK.EQ($G1950,$G$2:$G$2353,0)+COUNTIF($G$2:G1950,$G1950)-1)</f>
        <v>1283</v>
      </c>
    </row>
    <row r="1951" spans="6:8" x14ac:dyDescent="0.25">
      <c r="F1951" t="str">
        <f>"Supernatural Stamina [Playset]"</f>
        <v>Supernatural Stamina [Playset]</v>
      </c>
      <c r="G1951">
        <f>SUMIFS(Colección!$L$2:$L$10001,Colección!$F$2:$F$10001,$F1951,Colección!$M$2:$M$10001,"Compra")</f>
        <v>2.2186311787072241E-2</v>
      </c>
      <c r="H1951">
        <f>IF($G1951=0,"",_xlfn.RANK.EQ($G1951,$G$2:$G$2353,0)+COUNTIF($G$2:G1951,$G1951)-1)</f>
        <v>2352</v>
      </c>
    </row>
    <row r="1952" spans="6:8" x14ac:dyDescent="0.25">
      <c r="F1952" t="str">
        <f>"Suppression Ray // Orderly Plaza"</f>
        <v>Suppression Ray // Orderly Plaza</v>
      </c>
      <c r="G1952">
        <f>SUMIFS(Colección!$L$2:$L$10001,Colección!$F$2:$F$10001,$F1952,Colección!$M$2:$M$10001,"Compra")</f>
        <v>0.77634782608695641</v>
      </c>
      <c r="H1952">
        <f>IF($G1952=0,"",_xlfn.RANK.EQ($G1952,$G$2:$G$2353,0)+COUNTIF($G$2:G1952,$G1952)-1)</f>
        <v>1734</v>
      </c>
    </row>
    <row r="1953" spans="6:8" x14ac:dyDescent="0.25">
      <c r="F1953" t="str">
        <f>"Supreme Verdict"</f>
        <v>Supreme Verdict</v>
      </c>
      <c r="G1953">
        <f>SUMIFS(Colección!$L$2:$L$10001,Colección!$F$2:$F$10001,$F1953,Colección!$M$2:$M$10001,"Compra")</f>
        <v>28.551549815498156</v>
      </c>
      <c r="H1953">
        <f>IF($G1953=0,"",_xlfn.RANK.EQ($G1953,$G$2:$G$2353,0)+COUNTIF($G$2:G1953,$G1953)-1)</f>
        <v>287</v>
      </c>
    </row>
    <row r="1954" spans="6:8" x14ac:dyDescent="0.25">
      <c r="F1954" t="str">
        <f>"Surgical Extraction (V.1)"</f>
        <v>Surgical Extraction (V.1)</v>
      </c>
      <c r="G1954">
        <f>SUMIFS(Colección!$L$2:$L$10001,Colección!$F$2:$F$10001,$F1954,Colección!$M$2:$M$10001,"Compra")</f>
        <v>16.764282141070534</v>
      </c>
      <c r="H1954">
        <f>IF($G1954=0,"",_xlfn.RANK.EQ($G1954,$G$2:$G$2353,0)+COUNTIF($G$2:G1954,$G1954)-1)</f>
        <v>457</v>
      </c>
    </row>
    <row r="1955" spans="6:8" x14ac:dyDescent="0.25">
      <c r="F1955" t="str">
        <f>"Surgical Suite // Hospital Room"</f>
        <v>Surgical Suite // Hospital Room</v>
      </c>
      <c r="G1955">
        <f>SUMIFS(Colección!$L$2:$L$10001,Colección!$F$2:$F$10001,$F1955,Colección!$M$2:$M$10001,"Compra")</f>
        <v>0.70572490706319724</v>
      </c>
      <c r="H1955">
        <f>IF($G1955=0,"",_xlfn.RANK.EQ($G1955,$G$2:$G$2353,0)+COUNTIF($G$2:G1955,$G1955)-1)</f>
        <v>1755</v>
      </c>
    </row>
    <row r="1956" spans="6:8" x14ac:dyDescent="0.25">
      <c r="F1956" t="str">
        <f>"Svyelun of Sea and Sky"</f>
        <v>Svyelun of Sea and Sky</v>
      </c>
      <c r="G1956">
        <f>SUMIFS(Colección!$L$2:$L$10001,Colección!$F$2:$F$10001,$F1956,Colección!$M$2:$M$10001,"Compra")</f>
        <v>3.2727272727272729</v>
      </c>
      <c r="H1956">
        <f>IF($G1956=0,"",_xlfn.RANK.EQ($G1956,$G$2:$G$2353,0)+COUNTIF($G$2:G1956,$G1956)-1)</f>
        <v>1164</v>
      </c>
    </row>
    <row r="1957" spans="6:8" x14ac:dyDescent="0.25">
      <c r="F1957" t="str">
        <f>"Svyelun of Sea and Sky [Foil]"</f>
        <v>Svyelun of Sea and Sky [Foil]</v>
      </c>
      <c r="G1957">
        <f>SUMIFS(Colección!$L$2:$L$10001,Colección!$F$2:$F$10001,$F1957,Colección!$M$2:$M$10001,"Compra")</f>
        <v>6.5454545454545459</v>
      </c>
      <c r="H1957">
        <f>IF($G1957=0,"",_xlfn.RANK.EQ($G1957,$G$2:$G$2353,0)+COUNTIF($G$2:G1957,$G1957)-1)</f>
        <v>841</v>
      </c>
    </row>
    <row r="1958" spans="6:8" x14ac:dyDescent="0.25">
      <c r="F1958" t="str">
        <f>"Swamp"</f>
        <v>Swamp</v>
      </c>
      <c r="G1958">
        <f>SUMIFS(Colección!$L$2:$L$10001,Colección!$F$2:$F$10001,$F1958,Colección!$M$2:$M$10001,"Compra")</f>
        <v>64.644343615031602</v>
      </c>
      <c r="H1958">
        <f>IF($G1958=0,"",_xlfn.RANK.EQ($G1958,$G$2:$G$2353,0)+COUNTIF($G$2:G1958,$G1958)-1)</f>
        <v>129</v>
      </c>
    </row>
    <row r="1959" spans="6:8" x14ac:dyDescent="0.25">
      <c r="F1959" t="str">
        <f>"Swamp (V.1)"</f>
        <v>Swamp (V.1)</v>
      </c>
      <c r="G1959">
        <f>SUMIFS(Colección!$L$2:$L$10001,Colección!$F$2:$F$10001,$F1959,Colección!$M$2:$M$10001,"Compra")</f>
        <v>18.745821764888994</v>
      </c>
      <c r="H1959">
        <f>IF($G1959=0,"",_xlfn.RANK.EQ($G1959,$G$2:$G$2353,0)+COUNTIF($G$2:G1959,$G1959)-1)</f>
        <v>419</v>
      </c>
    </row>
    <row r="1960" spans="6:8" x14ac:dyDescent="0.25">
      <c r="F1960" t="str">
        <f>"Swamp (V.2)"</f>
        <v>Swamp (V.2)</v>
      </c>
      <c r="G1960">
        <f>SUMIFS(Colección!$L$2:$L$10001,Colección!$F$2:$F$10001,$F1960,Colección!$M$2:$M$10001,"Compra")</f>
        <v>23.002079284641535</v>
      </c>
      <c r="H1960">
        <f>IF($G1960=0,"",_xlfn.RANK.EQ($G1960,$G$2:$G$2353,0)+COUNTIF($G$2:G1960,$G1960)-1)</f>
        <v>342</v>
      </c>
    </row>
    <row r="1961" spans="6:8" x14ac:dyDescent="0.25">
      <c r="F1961" t="str">
        <f>"Swamp (V.3)"</f>
        <v>Swamp (V.3)</v>
      </c>
      <c r="G1961">
        <f>SUMIFS(Colección!$L$2:$L$10001,Colección!$F$2:$F$10001,$F1961,Colección!$M$2:$M$10001,"Compra")</f>
        <v>0.72040233231008066</v>
      </c>
      <c r="H1961">
        <f>IF($G1961=0,"",_xlfn.RANK.EQ($G1961,$G$2:$G$2353,0)+COUNTIF($G$2:G1961,$G1961)-1)</f>
        <v>1752</v>
      </c>
    </row>
    <row r="1962" spans="6:8" x14ac:dyDescent="0.25">
      <c r="F1962" t="str">
        <f>"Swamp (V.4)"</f>
        <v>Swamp (V.4)</v>
      </c>
      <c r="G1962">
        <f>SUMIFS(Colección!$L$2:$L$10001,Colección!$F$2:$F$10001,$F1962,Colección!$M$2:$M$10001,"Compra")</f>
        <v>1.477378731343284</v>
      </c>
      <c r="H1962">
        <f>IF($G1962=0,"",_xlfn.RANK.EQ($G1962,$G$2:$G$2353,0)+COUNTIF($G$2:G1962,$G1962)-1)</f>
        <v>1492</v>
      </c>
    </row>
    <row r="1963" spans="6:8" x14ac:dyDescent="0.25">
      <c r="F1963" t="str">
        <f>"Switcheroo"</f>
        <v>Switcheroo</v>
      </c>
      <c r="G1963">
        <f>SUMIFS(Colección!$L$2:$L$10001,Colección!$F$2:$F$10001,$F1963,Colección!$M$2:$M$10001,"Compra")</f>
        <v>2.5</v>
      </c>
      <c r="H1963">
        <f>IF($G1963=0,"",_xlfn.RANK.EQ($G1963,$G$2:$G$2353,0)+COUNTIF($G$2:G1963,$G1963)-1)</f>
        <v>1258</v>
      </c>
    </row>
    <row r="1964" spans="6:8" x14ac:dyDescent="0.25">
      <c r="F1964" t="str">
        <f>"Sword of Fire and Ice"</f>
        <v>Sword of Fire and Ice</v>
      </c>
      <c r="G1964">
        <f>SUMIFS(Colección!$L$2:$L$10001,Colección!$F$2:$F$10001,$F1964,Colección!$M$2:$M$10001,"Compra")</f>
        <v>32.108161764705883</v>
      </c>
      <c r="H1964">
        <f>IF($G1964=0,"",_xlfn.RANK.EQ($G1964,$G$2:$G$2353,0)+COUNTIF($G$2:G1964,$G1964)-1)</f>
        <v>263</v>
      </c>
    </row>
    <row r="1965" spans="6:8" x14ac:dyDescent="0.25">
      <c r="F1965" t="str">
        <f>"Sword of Hearth and Home"</f>
        <v>Sword of Hearth and Home</v>
      </c>
      <c r="G1965">
        <f>SUMIFS(Colección!$L$2:$L$10001,Colección!$F$2:$F$10001,$F1965,Colección!$M$2:$M$10001,"Compra")</f>
        <v>7.4508088235294121</v>
      </c>
      <c r="H1965">
        <f>IF($G1965=0,"",_xlfn.RANK.EQ($G1965,$G$2:$G$2353,0)+COUNTIF($G$2:G1965,$G1965)-1)</f>
        <v>776</v>
      </c>
    </row>
    <row r="1966" spans="6:8" x14ac:dyDescent="0.25">
      <c r="F1966" t="str">
        <f>"Swords to Plowshares"</f>
        <v>Swords to Plowshares</v>
      </c>
      <c r="G1966">
        <f>SUMIFS(Colección!$L$2:$L$10001,Colección!$F$2:$F$10001,$F1966,Colección!$M$2:$M$10001,"Compra")</f>
        <v>205.72</v>
      </c>
      <c r="H1966">
        <f>IF($G1966=0,"",_xlfn.RANK.EQ($G1966,$G$2:$G$2353,0)+COUNTIF($G$2:G1966,$G1966)-1)</f>
        <v>22</v>
      </c>
    </row>
    <row r="1967" spans="6:8" x14ac:dyDescent="0.25">
      <c r="F1967" t="str">
        <f>"Sylvan Scrying"</f>
        <v>Sylvan Scrying</v>
      </c>
      <c r="G1967">
        <f>SUMIFS(Colección!$L$2:$L$10001,Colección!$F$2:$F$10001,$F1967,Colección!$M$2:$M$10001,"Compra")</f>
        <v>11.069014626635873</v>
      </c>
      <c r="H1967">
        <f>IF($G1967=0,"",_xlfn.RANK.EQ($G1967,$G$2:$G$2353,0)+COUNTIF($G$2:G1967,$G1967)-1)</f>
        <v>619</v>
      </c>
    </row>
    <row r="1968" spans="6:8" x14ac:dyDescent="0.25">
      <c r="F1968" t="str">
        <f>"Sylvan Scrying [Playset]"</f>
        <v>Sylvan Scrying [Playset]</v>
      </c>
      <c r="G1968">
        <f>SUMIFS(Colección!$L$2:$L$10001,Colección!$F$2:$F$10001,$F1968,Colección!$M$2:$M$10001,"Compra")</f>
        <v>1.5901639344262291</v>
      </c>
      <c r="H1968">
        <f>IF($G1968=0,"",_xlfn.RANK.EQ($G1968,$G$2:$G$2353,0)+COUNTIF($G$2:G1968,$G1968)-1)</f>
        <v>1465</v>
      </c>
    </row>
    <row r="1969" spans="6:8" x14ac:dyDescent="0.25">
      <c r="F1969" t="str">
        <f>"Sythis, Harvest's Hand"</f>
        <v>Sythis, Harvest's Hand</v>
      </c>
      <c r="G1969">
        <f>SUMIFS(Colección!$L$2:$L$10001,Colección!$F$2:$F$10001,$F1969,Colección!$M$2:$M$10001,"Compra")</f>
        <v>4.965505124450952</v>
      </c>
      <c r="H1969">
        <f>IF($G1969=0,"",_xlfn.RANK.EQ($G1969,$G$2:$G$2353,0)+COUNTIF($G$2:G1969,$G1969)-1)</f>
        <v>972</v>
      </c>
    </row>
    <row r="1970" spans="6:8" x14ac:dyDescent="0.25">
      <c r="F1970" t="str">
        <f>"Tainted Field"</f>
        <v>Tainted Field</v>
      </c>
      <c r="G1970">
        <f>SUMIFS(Colección!$L$2:$L$10001,Colección!$F$2:$F$10001,$F1970,Colección!$M$2:$M$10001,"Compra")</f>
        <v>8</v>
      </c>
      <c r="H1970">
        <f>IF($G1970=0,"",_xlfn.RANK.EQ($G1970,$G$2:$G$2353,0)+COUNTIF($G$2:G1970,$G1970)-1)</f>
        <v>750</v>
      </c>
    </row>
    <row r="1971" spans="6:8" x14ac:dyDescent="0.25">
      <c r="F1971" t="str">
        <f>"Tainted Indulgence"</f>
        <v>Tainted Indulgence</v>
      </c>
      <c r="G1971">
        <f>SUMIFS(Colección!$L$2:$L$10001,Colección!$F$2:$F$10001,$F1971,Colección!$M$2:$M$10001,"Compra")</f>
        <v>2.2151755379388449</v>
      </c>
      <c r="H1971">
        <f>IF($G1971=0,"",_xlfn.RANK.EQ($G1971,$G$2:$G$2353,0)+COUNTIF($G$2:G1971,$G1971)-1)</f>
        <v>1309</v>
      </c>
    </row>
    <row r="1972" spans="6:8" x14ac:dyDescent="0.25">
      <c r="F1972" t="str">
        <f>"Tajuru Preserver"</f>
        <v>Tajuru Preserver</v>
      </c>
      <c r="G1972">
        <f>SUMIFS(Colección!$L$2:$L$10001,Colección!$F$2:$F$10001,$F1972,Colección!$M$2:$M$10001,"Compra")</f>
        <v>1.72</v>
      </c>
      <c r="H1972">
        <f>IF($G1972=0,"",_xlfn.RANK.EQ($G1972,$G$2:$G$2353,0)+COUNTIF($G$2:G1972,$G1972)-1)</f>
        <v>1416</v>
      </c>
    </row>
    <row r="1973" spans="6:8" x14ac:dyDescent="0.25">
      <c r="F1973" t="str">
        <f>"Takenuma, Abandoned Mire (V.2)"</f>
        <v>Takenuma, Abandoned Mire (V.2)</v>
      </c>
      <c r="G1973">
        <f>SUMIFS(Colección!$L$2:$L$10001,Colección!$F$2:$F$10001,$F1973,Colección!$M$2:$M$10001,"Compra")</f>
        <v>10.93381104883907</v>
      </c>
      <c r="H1973">
        <f>IF($G1973=0,"",_xlfn.RANK.EQ($G1973,$G$2:$G$2353,0)+COUNTIF($G$2:G1973,$G1973)-1)</f>
        <v>625</v>
      </c>
    </row>
    <row r="1974" spans="6:8" x14ac:dyDescent="0.25">
      <c r="F1974" t="str">
        <f>"Talisman of Creativity (V.1)"</f>
        <v>Talisman of Creativity (V.1)</v>
      </c>
      <c r="G1974">
        <f>SUMIFS(Colección!$L$2:$L$10001,Colección!$F$2:$F$10001,$F1974,Colección!$M$2:$M$10001,"Compra")</f>
        <v>21.25</v>
      </c>
      <c r="H1974">
        <f>IF($G1974=0,"",_xlfn.RANK.EQ($G1974,$G$2:$G$2353,0)+COUNTIF($G$2:G1974,$G1974)-1)</f>
        <v>373</v>
      </c>
    </row>
    <row r="1975" spans="6:8" x14ac:dyDescent="0.25">
      <c r="F1975" t="str">
        <f>"Talisman of Curiosity (V.1)"</f>
        <v>Talisman of Curiosity (V.1)</v>
      </c>
      <c r="G1975">
        <f>SUMIFS(Colección!$L$2:$L$10001,Colección!$F$2:$F$10001,$F1975,Colección!$M$2:$M$10001,"Compra")</f>
        <v>15.260000000000002</v>
      </c>
      <c r="H1975">
        <f>IF($G1975=0,"",_xlfn.RANK.EQ($G1975,$G$2:$G$2353,0)+COUNTIF($G$2:G1975,$G1975)-1)</f>
        <v>495</v>
      </c>
    </row>
    <row r="1976" spans="6:8" x14ac:dyDescent="0.25">
      <c r="F1976" t="str">
        <f>"Talisman of Impulse"</f>
        <v>Talisman of Impulse</v>
      </c>
      <c r="G1976">
        <f>SUMIFS(Colección!$L$2:$L$10001,Colección!$F$2:$F$10001,$F1976,Colección!$M$2:$M$10001,"Compra")</f>
        <v>4.6392474129821242</v>
      </c>
      <c r="H1976">
        <f>IF($G1976=0,"",_xlfn.RANK.EQ($G1976,$G$2:$G$2353,0)+COUNTIF($G$2:G1976,$G1976)-1)</f>
        <v>992</v>
      </c>
    </row>
    <row r="1977" spans="6:8" x14ac:dyDescent="0.25">
      <c r="F1977" t="str">
        <f>"Talisman of Resilience (V.1)"</f>
        <v>Talisman of Resilience (V.1)</v>
      </c>
      <c r="G1977">
        <f>SUMIFS(Colección!$L$2:$L$10001,Colección!$F$2:$F$10001,$F1977,Colección!$M$2:$M$10001,"Compra")</f>
        <v>12.405097192224622</v>
      </c>
      <c r="H1977">
        <f>IF($G1977=0,"",_xlfn.RANK.EQ($G1977,$G$2:$G$2353,0)+COUNTIF($G$2:G1977,$G1977)-1)</f>
        <v>568</v>
      </c>
    </row>
    <row r="1978" spans="6:8" x14ac:dyDescent="0.25">
      <c r="F1978" t="str">
        <f>"Tameshi, Reality Architect"</f>
        <v>Tameshi, Reality Architect</v>
      </c>
      <c r="G1978">
        <f>SUMIFS(Colección!$L$2:$L$10001,Colección!$F$2:$F$10001,$F1978,Colección!$M$2:$M$10001,"Compra")</f>
        <v>3.33</v>
      </c>
      <c r="H1978">
        <f>IF($G1978=0,"",_xlfn.RANK.EQ($G1978,$G$2:$G$2353,0)+COUNTIF($G$2:G1978,$G1978)-1)</f>
        <v>1145</v>
      </c>
    </row>
    <row r="1979" spans="6:8" x14ac:dyDescent="0.25">
      <c r="F1979" t="str">
        <f>"Tamiyo's Safekeeping"</f>
        <v>Tamiyo's Safekeeping</v>
      </c>
      <c r="G1979">
        <f>SUMIFS(Colección!$L$2:$L$10001,Colección!$F$2:$F$10001,$F1979,Colección!$M$2:$M$10001,"Compra")</f>
        <v>2.1184325693884603</v>
      </c>
      <c r="H1979">
        <f>IF($G1979=0,"",_xlfn.RANK.EQ($G1979,$G$2:$G$2353,0)+COUNTIF($G$2:G1979,$G1979)-1)</f>
        <v>1340</v>
      </c>
    </row>
    <row r="1980" spans="6:8" x14ac:dyDescent="0.25">
      <c r="F1980" t="str">
        <f>"Tamiyo, Collector of Tales"</f>
        <v>Tamiyo, Collector of Tales</v>
      </c>
      <c r="G1980">
        <f>SUMIFS(Colección!$L$2:$L$10001,Colección!$F$2:$F$10001,$F1980,Colección!$M$2:$M$10001,"Compra")</f>
        <v>1.636363636363636</v>
      </c>
      <c r="H1980">
        <f>IF($G1980=0,"",_xlfn.RANK.EQ($G1980,$G$2:$G$2353,0)+COUNTIF($G$2:G1980,$G1980)-1)</f>
        <v>1452</v>
      </c>
    </row>
    <row r="1981" spans="6:8" x14ac:dyDescent="0.25">
      <c r="F1981" t="str">
        <f>"Tamiyo, Inquisitive Student // Tamiyo, Seasoned Scholar"</f>
        <v>Tamiyo, Inquisitive Student // Tamiyo, Seasoned Scholar</v>
      </c>
      <c r="G1981">
        <f>SUMIFS(Colección!$L$2:$L$10001,Colección!$F$2:$F$10001,$F1981,Colección!$M$2:$M$10001,"Compra")</f>
        <v>114.62</v>
      </c>
      <c r="H1981">
        <f>IF($G1981=0,"",_xlfn.RANK.EQ($G1981,$G$2:$G$2353,0)+COUNTIF($G$2:G1981,$G1981)-1)</f>
        <v>62</v>
      </c>
    </row>
    <row r="1982" spans="6:8" x14ac:dyDescent="0.25">
      <c r="F1982" t="str">
        <f>"Tamiyo, Inquisitive Student // Tamiyo, Seasoned Scholar (V.1)"</f>
        <v>Tamiyo, Inquisitive Student // Tamiyo, Seasoned Scholar (V.1)</v>
      </c>
      <c r="G1982">
        <f>SUMIFS(Colección!$L$2:$L$10001,Colección!$F$2:$F$10001,$F1982,Colección!$M$2:$M$10001,"Compra")</f>
        <v>136.22741573033707</v>
      </c>
      <c r="H1982">
        <f>IF($G1982=0,"",_xlfn.RANK.EQ($G1982,$G$2:$G$2353,0)+COUNTIF($G$2:G1982,$G1982)-1)</f>
        <v>44</v>
      </c>
    </row>
    <row r="1983" spans="6:8" x14ac:dyDescent="0.25">
      <c r="F1983" t="str">
        <f>"Tanglepool Bridge"</f>
        <v>Tanglepool Bridge</v>
      </c>
      <c r="G1983">
        <f>SUMIFS(Colección!$L$2:$L$10001,Colección!$F$2:$F$10001,$F1983,Colección!$M$2:$M$10001,"Compra")</f>
        <v>0.4467581047381548</v>
      </c>
      <c r="H1983">
        <f>IF($G1983=0,"",_xlfn.RANK.EQ($G1983,$G$2:$G$2353,0)+COUNTIF($G$2:G1983,$G1983)-1)</f>
        <v>1919</v>
      </c>
    </row>
    <row r="1984" spans="6:8" x14ac:dyDescent="0.25">
      <c r="F1984" t="str">
        <f>"Tarfire"</f>
        <v>Tarfire</v>
      </c>
      <c r="G1984">
        <f>SUMIFS(Colección!$L$2:$L$10001,Colección!$F$2:$F$10001,$F1984,Colección!$M$2:$M$10001,"Compra")</f>
        <v>2.2199999999999998</v>
      </c>
      <c r="H1984">
        <f>IF($G1984=0,"",_xlfn.RANK.EQ($G1984,$G$2:$G$2353,0)+COUNTIF($G$2:G1984,$G1984)-1)</f>
        <v>1306</v>
      </c>
    </row>
    <row r="1985" spans="6:8" x14ac:dyDescent="0.25">
      <c r="F1985" t="str">
        <f>"Targon's Peak"</f>
        <v>Targon's Peak</v>
      </c>
      <c r="G1985">
        <f>SUMIFS(Colección!$L$2:$L$10001,Colección!$F$2:$F$10001,$F1985,Colección!$M$2:$M$10001,"Compra")</f>
        <v>1.826003110419907</v>
      </c>
      <c r="H1985">
        <f>IF($G1985=0,"",_xlfn.RANK.EQ($G1985,$G$2:$G$2353,0)+COUNTIF($G$2:G1985,$G1985)-1)</f>
        <v>1395</v>
      </c>
    </row>
    <row r="1986" spans="6:8" x14ac:dyDescent="0.25">
      <c r="F1986" t="str">
        <f>"Tarmogoyf"</f>
        <v>Tarmogoyf</v>
      </c>
      <c r="G1986">
        <f>SUMIFS(Colección!$L$2:$L$10001,Colección!$F$2:$F$10001,$F1986,Colección!$M$2:$M$10001,"Compra")</f>
        <v>106.90909090909096</v>
      </c>
      <c r="H1986">
        <f>IF($G1986=0,"",_xlfn.RANK.EQ($G1986,$G$2:$G$2353,0)+COUNTIF($G$2:G1986,$G1986)-1)</f>
        <v>69</v>
      </c>
    </row>
    <row r="1987" spans="6:8" x14ac:dyDescent="0.25">
      <c r="F1987" t="str">
        <f>"Tasigur, the Golden Fang"</f>
        <v>Tasigur, the Golden Fang</v>
      </c>
      <c r="G1987">
        <f>SUMIFS(Colección!$L$2:$L$10001,Colección!$F$2:$F$10001,$F1987,Colección!$M$2:$M$10001,"Compra")</f>
        <v>2.4500000000000002</v>
      </c>
      <c r="H1987">
        <f>IF($G1987=0,"",_xlfn.RANK.EQ($G1987,$G$2:$G$2353,0)+COUNTIF($G$2:G1987,$G1987)-1)</f>
        <v>1265</v>
      </c>
    </row>
    <row r="1988" spans="6:8" x14ac:dyDescent="0.25">
      <c r="F1988" t="str">
        <f>"Tear Asunder"</f>
        <v>Tear Asunder</v>
      </c>
      <c r="G1988">
        <f>SUMIFS(Colección!$L$2:$L$10001,Colección!$F$2:$F$10001,$F1988,Colección!$M$2:$M$10001,"Compra")</f>
        <v>2.5167985166872682</v>
      </c>
      <c r="H1988">
        <f>IF($G1988=0,"",_xlfn.RANK.EQ($G1988,$G$2:$G$2353,0)+COUNTIF($G$2:G1988,$G1988)-1)</f>
        <v>1251</v>
      </c>
    </row>
    <row r="1989" spans="6:8" x14ac:dyDescent="0.25">
      <c r="F1989" t="str">
        <f>"Teemo, Scout (V.1 - Rare)"</f>
        <v>Teemo, Scout (V.1 - Rare)</v>
      </c>
      <c r="G1989">
        <f>SUMIFS(Colección!$L$2:$L$10001,Colección!$F$2:$F$10001,$F1989,Colección!$M$2:$M$10001,"Compra")</f>
        <v>2.4629226361031513</v>
      </c>
      <c r="H1989">
        <f>IF($G1989=0,"",_xlfn.RANK.EQ($G1989,$G$2:$G$2353,0)+COUNTIF($G$2:G1989,$G1989)-1)</f>
        <v>1264</v>
      </c>
    </row>
    <row r="1990" spans="6:8" x14ac:dyDescent="0.25">
      <c r="F1990" t="str">
        <f>"Teferi, Hero of Dominaria"</f>
        <v>Teferi, Hero of Dominaria</v>
      </c>
      <c r="G1990">
        <f>SUMIFS(Colección!$L$2:$L$10001,Colección!$F$2:$F$10001,$F1990,Colección!$M$2:$M$10001,"Compra")</f>
        <v>142.98209345794393</v>
      </c>
      <c r="H1990">
        <f>IF($G1990=0,"",_xlfn.RANK.EQ($G1990,$G$2:$G$2353,0)+COUNTIF($G$2:G1990,$G1990)-1)</f>
        <v>42</v>
      </c>
    </row>
    <row r="1991" spans="6:8" x14ac:dyDescent="0.25">
      <c r="F1991" t="str">
        <f>"Teferi, Time Raveler"</f>
        <v>Teferi, Time Raveler</v>
      </c>
      <c r="G1991">
        <f>SUMIFS(Colección!$L$2:$L$10001,Colección!$F$2:$F$10001,$F1991,Colección!$M$2:$M$10001,"Compra")</f>
        <v>162.89943706000457</v>
      </c>
      <c r="H1991">
        <f>IF($G1991=0,"",_xlfn.RANK.EQ($G1991,$G$2:$G$2353,0)+COUNTIF($G$2:G1991,$G1991)-1)</f>
        <v>30</v>
      </c>
    </row>
    <row r="1992" spans="6:8" x14ac:dyDescent="0.25">
      <c r="F1992" t="str">
        <f>"Tempest Kick Sky Slicer (OP03-096)"</f>
        <v>Tempest Kick Sky Slicer (OP03-096)</v>
      </c>
      <c r="G1992">
        <f>SUMIFS(Colección!$L$2:$L$10001,Colección!$F$2:$F$10001,$F1992,Colección!$M$2:$M$10001,"Compra")</f>
        <v>0.22608527131782949</v>
      </c>
      <c r="H1992">
        <f>IF($G1992=0,"",_xlfn.RANK.EQ($G1992,$G$2:$G$2353,0)+COUNTIF($G$2:G1992,$G1992)-1)</f>
        <v>2074</v>
      </c>
    </row>
    <row r="1993" spans="6:8" x14ac:dyDescent="0.25">
      <c r="F1993" t="str">
        <f>"Temple Garden [Playset]"</f>
        <v>Temple Garden [Playset]</v>
      </c>
      <c r="G1993">
        <f>SUMIFS(Colección!$L$2:$L$10001,Colección!$F$2:$F$10001,$F1993,Colección!$M$2:$M$10001,"Compra")</f>
        <v>37.1</v>
      </c>
      <c r="H1993">
        <f>IF($G1993=0,"",_xlfn.RANK.EQ($G1993,$G$2:$G$2353,0)+COUNTIF($G$2:G1993,$G1993)-1)</f>
        <v>228</v>
      </c>
    </row>
    <row r="1994" spans="6:8" x14ac:dyDescent="0.25">
      <c r="F1994" t="str">
        <f>"Temple of the False God"</f>
        <v>Temple of the False God</v>
      </c>
      <c r="G1994">
        <f>SUMIFS(Colección!$L$2:$L$10001,Colección!$F$2:$F$10001,$F1994,Colección!$M$2:$M$10001,"Compra")</f>
        <v>0.632057761732852</v>
      </c>
      <c r="H1994">
        <f>IF($G1994=0,"",_xlfn.RANK.EQ($G1994,$G$2:$G$2353,0)+COUNTIF($G$2:G1994,$G1994)-1)</f>
        <v>1810</v>
      </c>
    </row>
    <row r="1995" spans="6:8" x14ac:dyDescent="0.25">
      <c r="F1995" t="str">
        <f>"Temporary Lockdown"</f>
        <v>Temporary Lockdown</v>
      </c>
      <c r="G1995">
        <f>SUMIFS(Colección!$L$2:$L$10001,Colección!$F$2:$F$10001,$F1995,Colección!$M$2:$M$10001,"Compra")</f>
        <v>6.0146703296703299</v>
      </c>
      <c r="H1995">
        <f>IF($G1995=0,"",_xlfn.RANK.EQ($G1995,$G$2:$G$2353,0)+COUNTIF($G$2:G1995,$G1995)-1)</f>
        <v>889</v>
      </c>
    </row>
    <row r="1996" spans="6:8" x14ac:dyDescent="0.25">
      <c r="F1996" t="str">
        <f>"Temur Battle Rage"</f>
        <v>Temur Battle Rage</v>
      </c>
      <c r="G1996">
        <f>SUMIFS(Colección!$L$2:$L$10001,Colección!$F$2:$F$10001,$F1996,Colección!$M$2:$M$10001,"Compra")</f>
        <v>1.4702887700534759</v>
      </c>
      <c r="H1996">
        <f>IF($G1996=0,"",_xlfn.RANK.EQ($G1996,$G$2:$G$2353,0)+COUNTIF($G$2:G1996,$G1996)-1)</f>
        <v>1494</v>
      </c>
    </row>
    <row r="1997" spans="6:8" x14ac:dyDescent="0.25">
      <c r="F1997" t="str">
        <f>"Tentacle Token (Blue 1/1)"</f>
        <v>Tentacle Token (Blue 1/1)</v>
      </c>
      <c r="G1997">
        <f>SUMIFS(Colección!$L$2:$L$10001,Colección!$F$2:$F$10001,$F1997,Colección!$M$2:$M$10001,"Compra")</f>
        <v>0.43417840375586858</v>
      </c>
      <c r="H1997">
        <f>IF($G1997=0,"",_xlfn.RANK.EQ($G1997,$G$2:$G$2353,0)+COUNTIF($G$2:G1997,$G1997)-1)</f>
        <v>1929</v>
      </c>
    </row>
    <row r="1998" spans="6:8" x14ac:dyDescent="0.25">
      <c r="F1998" t="str">
        <f>"Tenth District Legionnaire"</f>
        <v>Tenth District Legionnaire</v>
      </c>
      <c r="G1998">
        <f>SUMIFS(Colección!$L$2:$L$10001,Colección!$F$2:$F$10001,$F1998,Colección!$M$2:$M$10001,"Compra")</f>
        <v>0.64511301636788798</v>
      </c>
      <c r="H1998">
        <f>IF($G1998=0,"",_xlfn.RANK.EQ($G1998,$G$2:$G$2353,0)+COUNTIF($G$2:G1998,$G1998)-1)</f>
        <v>1792</v>
      </c>
    </row>
    <row r="1999" spans="6:8" x14ac:dyDescent="0.25">
      <c r="F1999" t="str">
        <f>"Terastodon"</f>
        <v>Terastodon</v>
      </c>
      <c r="G1999">
        <f>SUMIFS(Colección!$L$2:$L$10001,Colección!$F$2:$F$10001,$F1999,Colección!$M$2:$M$10001,"Compra")</f>
        <v>0.2178754578754579</v>
      </c>
      <c r="H1999">
        <f>IF($G1999=0,"",_xlfn.RANK.EQ($G1999,$G$2:$G$2353,0)+COUNTIF($G$2:G1999,$G1999)-1)</f>
        <v>2082</v>
      </c>
    </row>
    <row r="2000" spans="6:8" x14ac:dyDescent="0.25">
      <c r="F2000" t="str">
        <f>"Terminate"</f>
        <v>Terminate</v>
      </c>
      <c r="G2000">
        <f>SUMIFS(Colección!$L$2:$L$10001,Colección!$F$2:$F$10001,$F2000,Colección!$M$2:$M$10001,"Compra")</f>
        <v>5.3784334874165385</v>
      </c>
      <c r="H2000">
        <f>IF($G2000=0,"",_xlfn.RANK.EQ($G2000,$G$2:$G$2353,0)+COUNTIF($G$2:G2000,$G2000)-1)</f>
        <v>938</v>
      </c>
    </row>
    <row r="2001" spans="6:8" x14ac:dyDescent="0.25">
      <c r="F2001" t="str">
        <f>"Terminate [Playset]"</f>
        <v>Terminate [Playset]</v>
      </c>
      <c r="G2001">
        <f>SUMIFS(Colección!$L$2:$L$10001,Colección!$F$2:$F$10001,$F2001,Colección!$M$2:$M$10001,"Compra")</f>
        <v>1.5783312731767609</v>
      </c>
      <c r="H2001">
        <f>IF($G2001=0,"",_xlfn.RANK.EQ($G2001,$G$2:$G$2353,0)+COUNTIF($G$2:G2001,$G2001)-1)</f>
        <v>1469</v>
      </c>
    </row>
    <row r="2002" spans="6:8" x14ac:dyDescent="0.25">
      <c r="F2002" t="str">
        <f>"Terminus"</f>
        <v>Terminus</v>
      </c>
      <c r="G2002">
        <f>SUMIFS(Colección!$L$2:$L$10001,Colección!$F$2:$F$10001,$F2002,Colección!$M$2:$M$10001,"Compra")</f>
        <v>3.20958904109589</v>
      </c>
      <c r="H2002">
        <f>IF($G2002=0,"",_xlfn.RANK.EQ($G2002,$G$2:$G$2353,0)+COUNTIF($G$2:G2002,$G2002)-1)</f>
        <v>1171</v>
      </c>
    </row>
    <row r="2003" spans="6:8" x14ac:dyDescent="0.25">
      <c r="F2003" t="str">
        <f>"Territorial Kavu"</f>
        <v>Territorial Kavu</v>
      </c>
      <c r="G2003">
        <f>SUMIFS(Colección!$L$2:$L$10001,Colección!$F$2:$F$10001,$F2003,Colección!$M$2:$M$10001,"Compra")</f>
        <v>6.0711174892369133</v>
      </c>
      <c r="H2003">
        <f>IF($G2003=0,"",_xlfn.RANK.EQ($G2003,$G$2:$G$2353,0)+COUNTIF($G$2:G2003,$G2003)-1)</f>
        <v>883</v>
      </c>
    </row>
    <row r="2004" spans="6:8" x14ac:dyDescent="0.25">
      <c r="F2004" t="str">
        <f>"Tersa Lightshatter"</f>
        <v>Tersa Lightshatter</v>
      </c>
      <c r="G2004">
        <f>SUMIFS(Colección!$L$2:$L$10001,Colección!$F$2:$F$10001,$F2004,Colección!$M$2:$M$10001,"Compra")</f>
        <v>6.4707987220447292</v>
      </c>
      <c r="H2004">
        <f>IF($G2004=0,"",_xlfn.RANK.EQ($G2004,$G$2:$G$2353,0)+COUNTIF($G$2:G2004,$G2004)-1)</f>
        <v>848</v>
      </c>
    </row>
    <row r="2005" spans="6:8" x14ac:dyDescent="0.25">
      <c r="F2005" t="str">
        <f>"Test of Talents"</f>
        <v>Test of Talents</v>
      </c>
      <c r="G2005">
        <f>SUMIFS(Colección!$L$2:$L$10001,Colección!$F$2:$F$10001,$F2005,Colección!$M$2:$M$10001,"Compra")</f>
        <v>0.40340101522842642</v>
      </c>
      <c r="H2005">
        <f>IF($G2005=0,"",_xlfn.RANK.EQ($G2005,$G$2:$G$2353,0)+COUNTIF($G$2:G2005,$G2005)-1)</f>
        <v>1957</v>
      </c>
    </row>
    <row r="2006" spans="6:8" x14ac:dyDescent="0.25">
      <c r="F2006" t="str">
        <f>"Teyo, the Shieldmage"</f>
        <v>Teyo, the Shieldmage</v>
      </c>
      <c r="G2006">
        <f>SUMIFS(Colección!$L$2:$L$10001,Colección!$F$2:$F$10001,$F2006,Colección!$M$2:$M$10001,"Compra")</f>
        <v>0.16363636363636361</v>
      </c>
      <c r="H2006">
        <f>IF($G2006=0,"",_xlfn.RANK.EQ($G2006,$G$2:$G$2353,0)+COUNTIF($G$2:G2006,$G2006)-1)</f>
        <v>2110</v>
      </c>
    </row>
    <row r="2007" spans="6:8" x14ac:dyDescent="0.25">
      <c r="F2007" t="str">
        <f>"Tezzeret the Seeker"</f>
        <v>Tezzeret the Seeker</v>
      </c>
      <c r="G2007">
        <f>SUMIFS(Colección!$L$2:$L$10001,Colección!$F$2:$F$10001,$F2007,Colección!$M$2:$M$10001,"Compra")</f>
        <v>19.329999999999998</v>
      </c>
      <c r="H2007">
        <f>IF($G2007=0,"",_xlfn.RANK.EQ($G2007,$G$2:$G$2353,0)+COUNTIF($G$2:G2007,$G2007)-1)</f>
        <v>407</v>
      </c>
    </row>
    <row r="2008" spans="6:8" x14ac:dyDescent="0.25">
      <c r="F2008" t="str">
        <f>"Thalia, Guardian of Thraben"</f>
        <v>Thalia, Guardian of Thraben</v>
      </c>
      <c r="G2008">
        <f>SUMIFS(Colección!$L$2:$L$10001,Colección!$F$2:$F$10001,$F2008,Colección!$M$2:$M$10001,"Compra")</f>
        <v>2.6480789946140035</v>
      </c>
      <c r="H2008">
        <f>IF($G2008=0,"",_xlfn.RANK.EQ($G2008,$G$2:$G$2353,0)+COUNTIF($G$2:G2008,$G2008)-1)</f>
        <v>1236</v>
      </c>
    </row>
    <row r="2009" spans="6:8" x14ac:dyDescent="0.25">
      <c r="F2009" t="str">
        <f>"Thassa's Oracle"</f>
        <v>Thassa's Oracle</v>
      </c>
      <c r="G2009">
        <f>SUMIFS(Colección!$L$2:$L$10001,Colección!$F$2:$F$10001,$F2009,Colección!$M$2:$M$10001,"Compra")</f>
        <v>12.21</v>
      </c>
      <c r="H2009">
        <f>IF($G2009=0,"",_xlfn.RANK.EQ($G2009,$G$2:$G$2353,0)+COUNTIF($G$2:G2009,$G2009)-1)</f>
        <v>571</v>
      </c>
    </row>
    <row r="2010" spans="6:8" x14ac:dyDescent="0.25">
      <c r="F2010" t="str">
        <f>"Thatch (OP03-005)"</f>
        <v>Thatch (OP03-005)</v>
      </c>
      <c r="G2010">
        <f>SUMIFS(Colección!$L$2:$L$10001,Colección!$F$2:$F$10001,$F2010,Colección!$M$2:$M$10001,"Compra")</f>
        <v>0.2855813953488372</v>
      </c>
      <c r="H2010">
        <f>IF($G2010=0,"",_xlfn.RANK.EQ($G2010,$G$2:$G$2353,0)+COUNTIF($G$2:G2010,$G2010)-1)</f>
        <v>2014</v>
      </c>
    </row>
    <row r="2011" spans="6:8" x14ac:dyDescent="0.25">
      <c r="F2011" t="str">
        <f>"The Balrog, Durin's Bane"</f>
        <v>The Balrog, Durin's Bane</v>
      </c>
      <c r="G2011">
        <f>SUMIFS(Colección!$L$2:$L$10001,Colección!$F$2:$F$10001,$F2011,Colección!$M$2:$M$10001,"Compra")</f>
        <v>3.069639071176173</v>
      </c>
      <c r="H2011">
        <f>IF($G2011=0,"",_xlfn.RANK.EQ($G2011,$G$2:$G$2353,0)+COUNTIF($G$2:G2011,$G2011)-1)</f>
        <v>1191</v>
      </c>
    </row>
    <row r="2012" spans="6:8" x14ac:dyDescent="0.25">
      <c r="F2012" t="str">
        <f>"The Battle of Bywater"</f>
        <v>The Battle of Bywater</v>
      </c>
      <c r="G2012">
        <f>SUMIFS(Colección!$L$2:$L$10001,Colección!$F$2:$F$10001,$F2012,Colección!$M$2:$M$10001,"Compra")</f>
        <v>0.68721494420184381</v>
      </c>
      <c r="H2012">
        <f>IF($G2012=0,"",_xlfn.RANK.EQ($G2012,$G$2:$G$2353,0)+COUNTIF($G$2:G2012,$G2012)-1)</f>
        <v>1765</v>
      </c>
    </row>
    <row r="2013" spans="6:8" x14ac:dyDescent="0.25">
      <c r="F2013" t="str">
        <f>"The Candlelit Sanctum"</f>
        <v>The Candlelit Sanctum</v>
      </c>
      <c r="G2013">
        <f>SUMIFS(Colección!$L$2:$L$10001,Colección!$F$2:$F$10001,$F2013,Colección!$M$2:$M$10001,"Compra")</f>
        <v>1.6477192982456139</v>
      </c>
      <c r="H2013">
        <f>IF($G2013=0,"",_xlfn.RANK.EQ($G2013,$G$2:$G$2353,0)+COUNTIF($G$2:G2013,$G2013)-1)</f>
        <v>1440</v>
      </c>
    </row>
    <row r="2014" spans="6:8" x14ac:dyDescent="0.25">
      <c r="F2014" t="str">
        <f>"The Eternal Wanderer"</f>
        <v>The Eternal Wanderer</v>
      </c>
      <c r="G2014">
        <f>SUMIFS(Colección!$L$2:$L$10001,Colección!$F$2:$F$10001,$F2014,Colección!$M$2:$M$10001,"Compra")</f>
        <v>1.2949999999999999</v>
      </c>
      <c r="H2014">
        <f>IF($G2014=0,"",_xlfn.RANK.EQ($G2014,$G$2:$G$2353,0)+COUNTIF($G$2:G2014,$G2014)-1)</f>
        <v>1546</v>
      </c>
    </row>
    <row r="2015" spans="6:8" x14ac:dyDescent="0.25">
      <c r="F2015" t="str">
        <f>"The Grey Havens"</f>
        <v>The Grey Havens</v>
      </c>
      <c r="G2015">
        <f>SUMIFS(Colección!$L$2:$L$10001,Colección!$F$2:$F$10001,$F2015,Colección!$M$2:$M$10001,"Compra")</f>
        <v>0.65334394904458604</v>
      </c>
      <c r="H2015">
        <f>IF($G2015=0,"",_xlfn.RANK.EQ($G2015,$G$2:$G$2353,0)+COUNTIF($G$2:G2015,$G2015)-1)</f>
        <v>1787</v>
      </c>
    </row>
    <row r="2016" spans="6:8" x14ac:dyDescent="0.25">
      <c r="F2016" t="str">
        <f>"The Lord of the Rings: Tales of Middle-earth: Art Series Set"</f>
        <v>The Lord of the Rings: Tales of Middle-earth: Art Series Set</v>
      </c>
      <c r="G2016">
        <f>SUMIFS(Colección!$L$2:$L$10001,Colección!$F$2:$F$10001,$F2016,Colección!$M$2:$M$10001,"Compra")</f>
        <v>23.3</v>
      </c>
      <c r="H2016">
        <f>IF($G2016=0,"",_xlfn.RANK.EQ($G2016,$G$2:$G$2353,0)+COUNTIF($G$2:G2016,$G2016)-1)</f>
        <v>336</v>
      </c>
    </row>
    <row r="2017" spans="6:8" x14ac:dyDescent="0.25">
      <c r="F2017" t="str">
        <f>"The Lord of the Rings: Tales of Middle-earth: Common Set"</f>
        <v>The Lord of the Rings: Tales of Middle-earth: Common Set</v>
      </c>
      <c r="G2017">
        <f>SUMIFS(Colección!$L$2:$L$10001,Colección!$F$2:$F$10001,$F2017,Colección!$M$2:$M$10001,"Compra")</f>
        <v>6.5108378870673951</v>
      </c>
      <c r="H2017">
        <f>IF($G2017=0,"",_xlfn.RANK.EQ($G2017,$G$2:$G$2353,0)+COUNTIF($G$2:G2017,$G2017)-1)</f>
        <v>846</v>
      </c>
    </row>
    <row r="2018" spans="6:8" x14ac:dyDescent="0.25">
      <c r="F2018" t="str">
        <f>"The Lord of the Rings: Tales of Middle-earth: Full-art Map Basic..."</f>
        <v>The Lord of the Rings: Tales of Middle-earth: Full-art Map Basic...</v>
      </c>
      <c r="G2018">
        <f>SUMIFS(Colección!$L$2:$L$10001,Colección!$F$2:$F$10001,$F2018,Colección!$M$2:$M$10001,"Compra")</f>
        <v>7.3834244080145721</v>
      </c>
      <c r="H2018">
        <f>IF($G2018=0,"",_xlfn.RANK.EQ($G2018,$G$2:$G$2353,0)+COUNTIF($G$2:G2018,$G2018)-1)</f>
        <v>783</v>
      </c>
    </row>
    <row r="2019" spans="6:8" x14ac:dyDescent="0.25">
      <c r="F2019" t="str">
        <f>"The Lord of the Rings: Tales of Middle-earth: Uncommon Set"</f>
        <v>The Lord of the Rings: Tales of Middle-earth: Uncommon Set</v>
      </c>
      <c r="G2019">
        <f>SUMIFS(Colección!$L$2:$L$10001,Colección!$F$2:$F$10001,$F2019,Colección!$M$2:$M$10001,"Compra")</f>
        <v>13.29016393442623</v>
      </c>
      <c r="H2019">
        <f>IF($G2019=0,"",_xlfn.RANK.EQ($G2019,$G$2:$G$2353,0)+COUNTIF($G$2:G2019,$G2019)-1)</f>
        <v>542</v>
      </c>
    </row>
    <row r="2020" spans="6:8" x14ac:dyDescent="0.25">
      <c r="F2020" t="str">
        <f>"The Meathook Massacre (V.1)"</f>
        <v>The Meathook Massacre (V.1)</v>
      </c>
      <c r="G2020">
        <f>SUMIFS(Colección!$L$2:$L$10001,Colección!$F$2:$F$10001,$F2020,Colección!$M$2:$M$10001,"Compra")</f>
        <v>22</v>
      </c>
      <c r="H2020">
        <f>IF($G2020=0,"",_xlfn.RANK.EQ($G2020,$G$2:$G$2353,0)+COUNTIF($G$2:G2020,$G2020)-1)</f>
        <v>356</v>
      </c>
    </row>
    <row r="2021" spans="6:8" x14ac:dyDescent="0.25">
      <c r="F2021" t="str">
        <f>"The Meathook Massacre (V.2)"</f>
        <v>The Meathook Massacre (V.2)</v>
      </c>
      <c r="G2021">
        <f>SUMIFS(Colección!$L$2:$L$10001,Colección!$F$2:$F$10001,$F2021,Colección!$M$2:$M$10001,"Compra")</f>
        <v>48.97</v>
      </c>
      <c r="H2021">
        <f>IF($G2021=0,"",_xlfn.RANK.EQ($G2021,$G$2:$G$2353,0)+COUNTIF($G$2:G2021,$G2021)-1)</f>
        <v>177</v>
      </c>
    </row>
    <row r="2022" spans="6:8" x14ac:dyDescent="0.25">
      <c r="F2022" t="str">
        <f>"The Modern Age // Vector Glider"</f>
        <v>The Modern Age // Vector Glider</v>
      </c>
      <c r="G2022">
        <f>SUMIFS(Colección!$L$2:$L$10001,Colección!$F$2:$F$10001,$F2022,Colección!$M$2:$M$10001,"Compra")</f>
        <v>0.42496248124062042</v>
      </c>
      <c r="H2022">
        <f>IF($G2022=0,"",_xlfn.RANK.EQ($G2022,$G$2:$G$2353,0)+COUNTIF($G$2:G2022,$G2022)-1)</f>
        <v>1940</v>
      </c>
    </row>
    <row r="2023" spans="6:8" x14ac:dyDescent="0.25">
      <c r="F2023" t="str">
        <f>"The Mycosynth Gardens"</f>
        <v>The Mycosynth Gardens</v>
      </c>
      <c r="G2023">
        <f>SUMIFS(Colección!$L$2:$L$10001,Colección!$F$2:$F$10001,$F2023,Colección!$M$2:$M$10001,"Compra")</f>
        <v>7.2</v>
      </c>
      <c r="H2023">
        <f>IF($G2023=0,"",_xlfn.RANK.EQ($G2023,$G$2:$G$2353,0)+COUNTIF($G$2:G2023,$G2023)-1)</f>
        <v>799</v>
      </c>
    </row>
    <row r="2024" spans="6:8" x14ac:dyDescent="0.25">
      <c r="F2024" t="str">
        <f>"The One Ring"</f>
        <v>The One Ring</v>
      </c>
      <c r="G2024">
        <f>SUMIFS(Colección!$L$2:$L$10001,Colección!$F$2:$F$10001,$F2024,Colección!$M$2:$M$10001,"Compra")</f>
        <v>124.84086920936323</v>
      </c>
      <c r="H2024">
        <f>IF($G2024=0,"",_xlfn.RANK.EQ($G2024,$G$2:$G$2353,0)+COUNTIF($G$2:G2024,$G2024)-1)</f>
        <v>53</v>
      </c>
    </row>
    <row r="2025" spans="6:8" x14ac:dyDescent="0.25">
      <c r="F2025" t="str">
        <f>"The One Ring (V.1)"</f>
        <v>The One Ring (V.1)</v>
      </c>
      <c r="G2025">
        <f>SUMIFS(Colección!$L$2:$L$10001,Colección!$F$2:$F$10001,$F2025,Colección!$M$2:$M$10001,"Compra")</f>
        <v>70.28</v>
      </c>
      <c r="H2025">
        <f>IF($G2025=0,"",_xlfn.RANK.EQ($G2025,$G$2:$G$2353,0)+COUNTIF($G$2:G2025,$G2025)-1)</f>
        <v>113</v>
      </c>
    </row>
    <row r="2026" spans="6:8" x14ac:dyDescent="0.25">
      <c r="F2026" t="str">
        <f>"The Ozolith"</f>
        <v>The Ozolith</v>
      </c>
      <c r="G2026">
        <f>SUMIFS(Colección!$L$2:$L$10001,Colección!$F$2:$F$10001,$F2026,Colección!$M$2:$M$10001,"Compra")</f>
        <v>25.3973851590106</v>
      </c>
      <c r="H2026">
        <f>IF($G2026=0,"",_xlfn.RANK.EQ($G2026,$G$2:$G$2353,0)+COUNTIF($G$2:G2026,$G2026)-1)</f>
        <v>306</v>
      </c>
    </row>
    <row r="2027" spans="6:8" x14ac:dyDescent="0.25">
      <c r="F2027" t="str">
        <f>"The Reality Chip (V.1)"</f>
        <v>The Reality Chip (V.1)</v>
      </c>
      <c r="G2027">
        <f>SUMIFS(Colección!$L$2:$L$10001,Colección!$F$2:$F$10001,$F2027,Colección!$M$2:$M$10001,"Compra")</f>
        <v>13.223031352849471</v>
      </c>
      <c r="H2027">
        <f>IF($G2027=0,"",_xlfn.RANK.EQ($G2027,$G$2:$G$2353,0)+COUNTIF($G$2:G2027,$G2027)-1)</f>
        <v>544</v>
      </c>
    </row>
    <row r="2028" spans="6:8" x14ac:dyDescent="0.25">
      <c r="F2028" t="str">
        <f>"The Restoration of Eiganjo // Architect of Restoration (V.1)"</f>
        <v>The Restoration of Eiganjo // Architect of Restoration (V.1)</v>
      </c>
      <c r="G2028">
        <f>SUMIFS(Colección!$L$2:$L$10001,Colección!$F$2:$F$10001,$F2028,Colección!$M$2:$M$10001,"Compra")</f>
        <v>3.5000000000000009</v>
      </c>
      <c r="H2028">
        <f>IF($G2028=0,"",_xlfn.RANK.EQ($G2028,$G$2:$G$2353,0)+COUNTIF($G$2:G2028,$G2028)-1)</f>
        <v>1119</v>
      </c>
    </row>
    <row r="2029" spans="6:8" x14ac:dyDescent="0.25">
      <c r="F2029" t="str">
        <f>"The Ring Goes South"</f>
        <v>The Ring Goes South</v>
      </c>
      <c r="G2029">
        <f>SUMIFS(Colección!$L$2:$L$10001,Colección!$F$2:$F$10001,$F2029,Colección!$M$2:$M$10001,"Compra")</f>
        <v>0.76094383200676174</v>
      </c>
      <c r="H2029">
        <f>IF($G2029=0,"",_xlfn.RANK.EQ($G2029,$G$2:$G$2353,0)+COUNTIF($G$2:G2029,$G2029)-1)</f>
        <v>1739</v>
      </c>
    </row>
    <row r="2030" spans="6:8" x14ac:dyDescent="0.25">
      <c r="F2030" t="str">
        <f>"The Ruination"</f>
        <v>The Ruination</v>
      </c>
      <c r="G2030">
        <f>SUMIFS(Colección!$L$2:$L$10001,Colección!$F$2:$F$10001,$F2030,Colección!$M$2:$M$10001,"Compra")</f>
        <v>20.641609294320141</v>
      </c>
      <c r="H2030">
        <f>IF($G2030=0,"",_xlfn.RANK.EQ($G2030,$G$2:$G$2353,0)+COUNTIF($G$2:G2030,$G2030)-1)</f>
        <v>388</v>
      </c>
    </row>
    <row r="2031" spans="6:8" x14ac:dyDescent="0.25">
      <c r="F2031" t="str">
        <f>"The Seedcore"</f>
        <v>The Seedcore</v>
      </c>
      <c r="G2031">
        <f>SUMIFS(Colección!$L$2:$L$10001,Colección!$F$2:$F$10001,$F2031,Colección!$M$2:$M$10001,"Compra")</f>
        <v>1.0556661045531199</v>
      </c>
      <c r="H2031">
        <f>IF($G2031=0,"",_xlfn.RANK.EQ($G2031,$G$2:$G$2353,0)+COUNTIF($G$2:G2031,$G2031)-1)</f>
        <v>1626</v>
      </c>
    </row>
    <row r="2032" spans="6:8" x14ac:dyDescent="0.25">
      <c r="F2032" t="str">
        <f>"The Shire"</f>
        <v>The Shire</v>
      </c>
      <c r="G2032">
        <f>SUMIFS(Colección!$L$2:$L$10001,Colección!$F$2:$F$10001,$F2032,Colección!$M$2:$M$10001,"Compra")</f>
        <v>0.74007763221737011</v>
      </c>
      <c r="H2032">
        <f>IF($G2032=0,"",_xlfn.RANK.EQ($G2032,$G$2:$G$2353,0)+COUNTIF($G$2:G2032,$G2032)-1)</f>
        <v>1746</v>
      </c>
    </row>
    <row r="2033" spans="6:8" x14ac:dyDescent="0.25">
      <c r="F2033" t="str">
        <f>"The Stone Brain"</f>
        <v>The Stone Brain</v>
      </c>
      <c r="G2033">
        <f>SUMIFS(Colección!$L$2:$L$10001,Colección!$F$2:$F$10001,$F2033,Colección!$M$2:$M$10001,"Compra")</f>
        <v>9.1640681413679133</v>
      </c>
      <c r="H2033">
        <f>IF($G2033=0,"",_xlfn.RANK.EQ($G2033,$G$2:$G$2353,0)+COUNTIF($G$2:G2033,$G2033)-1)</f>
        <v>697</v>
      </c>
    </row>
    <row r="2034" spans="6:8" x14ac:dyDescent="0.25">
      <c r="F2034" t="str">
        <f>"The Syren"</f>
        <v>The Syren</v>
      </c>
      <c r="G2034">
        <f>SUMIFS(Colección!$L$2:$L$10001,Colección!$F$2:$F$10001,$F2034,Colección!$M$2:$M$10001,"Compra")</f>
        <v>3.7166666666666668</v>
      </c>
      <c r="H2034">
        <f>IF($G2034=0,"",_xlfn.RANK.EQ($G2034,$G$2:$G$2353,0)+COUNTIF($G$2:G2034,$G2034)-1)</f>
        <v>1091</v>
      </c>
    </row>
    <row r="2035" spans="6:8" x14ac:dyDescent="0.25">
      <c r="F2035" t="str">
        <f>"The Underworld Cookbook (V.1)"</f>
        <v>The Underworld Cookbook (V.1)</v>
      </c>
      <c r="G2035">
        <f>SUMIFS(Colección!$L$2:$L$10001,Colección!$F$2:$F$10001,$F2035,Colección!$M$2:$M$10001,"Compra")</f>
        <v>1.0632842582106456</v>
      </c>
      <c r="H2035">
        <f>IF($G2035=0,"",_xlfn.RANK.EQ($G2035,$G$2:$G$2353,0)+COUNTIF($G$2:G2035,$G2035)-1)</f>
        <v>1620</v>
      </c>
    </row>
    <row r="2036" spans="6:8" x14ac:dyDescent="0.25">
      <c r="F2036" t="str">
        <f>"The Wanderer"</f>
        <v>The Wanderer</v>
      </c>
      <c r="G2036">
        <f>SUMIFS(Colección!$L$2:$L$10001,Colección!$F$2:$F$10001,$F2036,Colección!$M$2:$M$10001,"Compra")</f>
        <v>0.27272727272727282</v>
      </c>
      <c r="H2036">
        <f>IF($G2036=0,"",_xlfn.RANK.EQ($G2036,$G$2:$G$2353,0)+COUNTIF($G$2:G2036,$G2036)-1)</f>
        <v>2037</v>
      </c>
    </row>
    <row r="2037" spans="6:8" x14ac:dyDescent="0.25">
      <c r="F2037" t="str">
        <f>"The Wandering Emperor (V.2)"</f>
        <v>The Wandering Emperor (V.2)</v>
      </c>
      <c r="G2037">
        <f>SUMIFS(Colección!$L$2:$L$10001,Colección!$F$2:$F$10001,$F2037,Colección!$M$2:$M$10001,"Compra")</f>
        <v>102.03</v>
      </c>
      <c r="H2037">
        <f>IF($G2037=0,"",_xlfn.RANK.EQ($G2037,$G$2:$G$2353,0)+COUNTIF($G$2:G2037,$G2037)-1)</f>
        <v>73</v>
      </c>
    </row>
    <row r="2038" spans="6:8" x14ac:dyDescent="0.25">
      <c r="F2038" t="str">
        <f>"The Wandering Minstrel (V.1)"</f>
        <v>The Wandering Minstrel (V.1)</v>
      </c>
      <c r="G2038">
        <f>SUMIFS(Colección!$L$2:$L$10001,Colección!$F$2:$F$10001,$F2038,Colección!$M$2:$M$10001,"Compra")</f>
        <v>5.187727145652782</v>
      </c>
      <c r="H2038">
        <f>IF($G2038=0,"",_xlfn.RANK.EQ($G2038,$G$2:$G$2353,0)+COUNTIF($G$2:G2038,$G2038)-1)</f>
        <v>959</v>
      </c>
    </row>
    <row r="2039" spans="6:8" x14ac:dyDescent="0.25">
      <c r="F2039" t="str">
        <f>"The Watcher in the Water"</f>
        <v>The Watcher in the Water</v>
      </c>
      <c r="G2039">
        <f>SUMIFS(Colección!$L$2:$L$10001,Colección!$F$2:$F$10001,$F2039,Colección!$M$2:$M$10001,"Compra")</f>
        <v>9.0501646756588272</v>
      </c>
      <c r="H2039">
        <f>IF($G2039=0,"",_xlfn.RANK.EQ($G2039,$G$2:$G$2353,0)+COUNTIF($G$2:G2039,$G2039)-1)</f>
        <v>699</v>
      </c>
    </row>
    <row r="2040" spans="6:8" x14ac:dyDescent="0.25">
      <c r="F2040" t="str">
        <f>"The Weak Do Not Have the Right to Choose How They Die!!!"</f>
        <v>The Weak Do Not Have the Right to Choose How They Die!!!</v>
      </c>
      <c r="G2040">
        <f>SUMIFS(Colección!$L$2:$L$10001,Colección!$F$2:$F$10001,$F2040,Colección!$M$2:$M$10001,"Compra")</f>
        <v>6.1898734177215198E-2</v>
      </c>
      <c r="H2040">
        <f>IF($G2040=0,"",_xlfn.RANK.EQ($G2040,$G$2:$G$2353,0)+COUNTIF($G$2:G2040,$G2040)-1)</f>
        <v>2308</v>
      </c>
    </row>
    <row r="2041" spans="6:8" x14ac:dyDescent="0.25">
      <c r="F2041" t="str">
        <f>"There and Back Again"</f>
        <v>There and Back Again</v>
      </c>
      <c r="G2041">
        <f>SUMIFS(Colección!$L$2:$L$10001,Colección!$F$2:$F$10001,$F2041,Colección!$M$2:$M$10001,"Compra")</f>
        <v>1.107915632754342</v>
      </c>
      <c r="H2041">
        <f>IF($G2041=0,"",_xlfn.RANK.EQ($G2041,$G$2:$G$2353,0)+COUNTIF($G$2:G2041,$G2041)-1)</f>
        <v>1592</v>
      </c>
    </row>
    <row r="2042" spans="6:8" x14ac:dyDescent="0.25">
      <c r="F2042" t="str">
        <f>"Thing in the Ice / Awoken Horror"</f>
        <v>Thing in the Ice / Awoken Horror</v>
      </c>
      <c r="G2042">
        <f>SUMIFS(Colección!$L$2:$L$10001,Colección!$F$2:$F$10001,$F2042,Colección!$M$2:$M$10001,"Compra")</f>
        <v>9.6300000000000008</v>
      </c>
      <c r="H2042">
        <f>IF($G2042=0,"",_xlfn.RANK.EQ($G2042,$G$2:$G$2353,0)+COUNTIF($G$2:G2042,$G2042)-1)</f>
        <v>678</v>
      </c>
    </row>
    <row r="2043" spans="6:8" x14ac:dyDescent="0.25">
      <c r="F2043" t="str">
        <f>"Think Twice"</f>
        <v>Think Twice</v>
      </c>
      <c r="G2043">
        <f>SUMIFS(Colección!$L$2:$L$10001,Colección!$F$2:$F$10001,$F2043,Colección!$M$2:$M$10001,"Compra")</f>
        <v>1.0050312717164696</v>
      </c>
      <c r="H2043">
        <f>IF($G2043=0,"",_xlfn.RANK.EQ($G2043,$G$2:$G$2353,0)+COUNTIF($G$2:G2043,$G2043)-1)</f>
        <v>1656</v>
      </c>
    </row>
    <row r="2044" spans="6:8" x14ac:dyDescent="0.25">
      <c r="F2044" t="str">
        <f>"Third Path Iconoclast"</f>
        <v>Third Path Iconoclast</v>
      </c>
      <c r="G2044">
        <f>SUMIFS(Colección!$L$2:$L$10001,Colección!$F$2:$F$10001,$F2044,Colección!$M$2:$M$10001,"Compra")</f>
        <v>4.8699999999999992</v>
      </c>
      <c r="H2044">
        <f>IF($G2044=0,"",_xlfn.RANK.EQ($G2044,$G$2:$G$2353,0)+COUNTIF($G$2:G2044,$G2044)-1)</f>
        <v>979</v>
      </c>
    </row>
    <row r="2045" spans="6:8" x14ac:dyDescent="0.25">
      <c r="F2045" t="str">
        <f>"Thorn of the Black Rose"</f>
        <v>Thorn of the Black Rose</v>
      </c>
      <c r="G2045">
        <f>SUMIFS(Colección!$L$2:$L$10001,Colección!$F$2:$F$10001,$F2045,Colección!$M$2:$M$10001,"Compra")</f>
        <v>0.64235294117647079</v>
      </c>
      <c r="H2045">
        <f>IF($G2045=0,"",_xlfn.RANK.EQ($G2045,$G$2:$G$2353,0)+COUNTIF($G$2:G2045,$G2045)-1)</f>
        <v>1797</v>
      </c>
    </row>
    <row r="2046" spans="6:8" x14ac:dyDescent="0.25">
      <c r="F2046" t="str">
        <f>"Thornspire Verge"</f>
        <v>Thornspire Verge</v>
      </c>
      <c r="G2046">
        <f>SUMIFS(Colección!$L$2:$L$10001,Colección!$F$2:$F$10001,$F2046,Colección!$M$2:$M$10001,"Compra")</f>
        <v>21.920000000000005</v>
      </c>
      <c r="H2046">
        <f>IF($G2046=0,"",_xlfn.RANK.EQ($G2046,$G$2:$G$2353,0)+COUNTIF($G$2:G2046,$G2046)-1)</f>
        <v>358</v>
      </c>
    </row>
    <row r="2047" spans="6:8" x14ac:dyDescent="0.25">
      <c r="F2047" t="str">
        <f>"Thornwind Faeries"</f>
        <v>Thornwind Faeries</v>
      </c>
      <c r="G2047">
        <f>SUMIFS(Colección!$L$2:$L$10001,Colección!$F$2:$F$10001,$F2047,Colección!$M$2:$M$10001,"Compra")</f>
        <v>0.42496248124062042</v>
      </c>
      <c r="H2047">
        <f>IF($G2047=0,"",_xlfn.RANK.EQ($G2047,$G$2:$G$2353,0)+COUNTIF($G$2:G2047,$G2047)-1)</f>
        <v>1941</v>
      </c>
    </row>
    <row r="2048" spans="6:8" x14ac:dyDescent="0.25">
      <c r="F2048" t="str">
        <f>"Thought Monitor"</f>
        <v>Thought Monitor</v>
      </c>
      <c r="G2048">
        <f>SUMIFS(Colección!$L$2:$L$10001,Colección!$F$2:$F$10001,$F2048,Colección!$M$2:$M$10001,"Compra")</f>
        <v>7.4161845386533676</v>
      </c>
      <c r="H2048">
        <f>IF($G2048=0,"",_xlfn.RANK.EQ($G2048,$G$2:$G$2353,0)+COUNTIF($G$2:G2048,$G2048)-1)</f>
        <v>779</v>
      </c>
    </row>
    <row r="2049" spans="6:8" x14ac:dyDescent="0.25">
      <c r="F2049" t="str">
        <f>"Thought Monitor [Playset]"</f>
        <v>Thought Monitor [Playset]</v>
      </c>
      <c r="G2049">
        <f>SUMIFS(Colección!$L$2:$L$10001,Colección!$F$2:$F$10001,$F2049,Colección!$M$2:$M$10001,"Compra")</f>
        <v>7.403422459893048</v>
      </c>
      <c r="H2049">
        <f>IF($G2049=0,"",_xlfn.RANK.EQ($G2049,$G$2:$G$2353,0)+COUNTIF($G$2:G2049,$G2049)-1)</f>
        <v>781</v>
      </c>
    </row>
    <row r="2050" spans="6:8" x14ac:dyDescent="0.25">
      <c r="F2050" t="str">
        <f>"Thought Scour"</f>
        <v>Thought Scour</v>
      </c>
      <c r="G2050">
        <f>SUMIFS(Colección!$L$2:$L$10001,Colección!$F$2:$F$10001,$F2050,Colección!$M$2:$M$10001,"Compra")</f>
        <v>3.6631270082306306</v>
      </c>
      <c r="H2050">
        <f>IF($G2050=0,"",_xlfn.RANK.EQ($G2050,$G$2:$G$2353,0)+COUNTIF($G$2:G2050,$G2050)-1)</f>
        <v>1098</v>
      </c>
    </row>
    <row r="2051" spans="6:8" x14ac:dyDescent="0.25">
      <c r="F2051" t="str">
        <f>"Thought-Knot Seer"</f>
        <v>Thought-Knot Seer</v>
      </c>
      <c r="G2051">
        <f>SUMIFS(Colección!$L$2:$L$10001,Colección!$F$2:$F$10001,$F2051,Colección!$M$2:$M$10001,"Compra")</f>
        <v>26.8</v>
      </c>
      <c r="H2051">
        <f>IF($G2051=0,"",_xlfn.RANK.EQ($G2051,$G$2:$G$2353,0)+COUNTIF($G$2:G2051,$G2051)-1)</f>
        <v>297</v>
      </c>
    </row>
    <row r="2052" spans="6:8" x14ac:dyDescent="0.25">
      <c r="F2052" t="str">
        <f>"Thoughtcast"</f>
        <v>Thoughtcast</v>
      </c>
      <c r="G2052">
        <f>SUMIFS(Colección!$L$2:$L$10001,Colección!$F$2:$F$10001,$F2052,Colección!$M$2:$M$10001,"Compra")</f>
        <v>4.3915343915343916</v>
      </c>
      <c r="H2052">
        <f>IF($G2052=0,"",_xlfn.RANK.EQ($G2052,$G$2:$G$2353,0)+COUNTIF($G$2:G2052,$G2052)-1)</f>
        <v>1012</v>
      </c>
    </row>
    <row r="2053" spans="6:8" x14ac:dyDescent="0.25">
      <c r="F2053" t="str">
        <f>"Thoughtcast [Playset]"</f>
        <v>Thoughtcast [Playset]</v>
      </c>
      <c r="G2053">
        <f>SUMIFS(Colección!$L$2:$L$10001,Colección!$F$2:$F$10001,$F2053,Colección!$M$2:$M$10001,"Compra")</f>
        <v>12.516577540106949</v>
      </c>
      <c r="H2053">
        <f>IF($G2053=0,"",_xlfn.RANK.EQ($G2053,$G$2:$G$2353,0)+COUNTIF($G$2:G2053,$G2053)-1)</f>
        <v>564</v>
      </c>
    </row>
    <row r="2054" spans="6:8" x14ac:dyDescent="0.25">
      <c r="F2054" t="str">
        <f>"Thoughtseize"</f>
        <v>Thoughtseize</v>
      </c>
      <c r="G2054">
        <f>SUMIFS(Colección!$L$2:$L$10001,Colección!$F$2:$F$10001,$F2054,Colección!$M$2:$M$10001,"Compra")</f>
        <v>87.21</v>
      </c>
      <c r="H2054">
        <f>IF($G2054=0,"",_xlfn.RANK.EQ($G2054,$G$2:$G$2353,0)+COUNTIF($G$2:G2054,$G2054)-1)</f>
        <v>90</v>
      </c>
    </row>
    <row r="2055" spans="6:8" x14ac:dyDescent="0.25">
      <c r="F2055" t="str">
        <f>"Thoughtseize [Playset]"</f>
        <v>Thoughtseize [Playset]</v>
      </c>
      <c r="G2055">
        <f>SUMIFS(Colección!$L$2:$L$10001,Colección!$F$2:$F$10001,$F2055,Colección!$M$2:$M$10001,"Compra")</f>
        <v>63.591942547680723</v>
      </c>
      <c r="H2055">
        <f>IF($G2055=0,"",_xlfn.RANK.EQ($G2055,$G$2:$G$2353,0)+COUNTIF($G$2:G2055,$G2055)-1)</f>
        <v>131</v>
      </c>
    </row>
    <row r="2056" spans="6:8" x14ac:dyDescent="0.25">
      <c r="F2056" t="str">
        <f>"Thousand-Tailed Watcher"</f>
        <v>Thousand-Tailed Watcher</v>
      </c>
      <c r="G2056">
        <f>SUMIFS(Colección!$L$2:$L$10001,Colección!$F$2:$F$10001,$F2056,Colección!$M$2:$M$10001,"Compra")</f>
        <v>21.45</v>
      </c>
      <c r="H2056">
        <f>IF($G2056=0,"",_xlfn.RANK.EQ($G2056,$G$2:$G$2353,0)+COUNTIF($G$2:G2056,$G2056)-1)</f>
        <v>368</v>
      </c>
    </row>
    <row r="2057" spans="6:8" x14ac:dyDescent="0.25">
      <c r="F2057" t="str">
        <f>"Thraben Charm"</f>
        <v>Thraben Charm</v>
      </c>
      <c r="G2057">
        <f>SUMIFS(Colección!$L$2:$L$10001,Colección!$F$2:$F$10001,$F2057,Colección!$M$2:$M$10001,"Compra")</f>
        <v>1.0926828446241996</v>
      </c>
      <c r="H2057">
        <f>IF($G2057=0,"",_xlfn.RANK.EQ($G2057,$G$2:$G$2353,0)+COUNTIF($G$2:G2057,$G2057)-1)</f>
        <v>1603</v>
      </c>
    </row>
    <row r="2058" spans="6:8" x14ac:dyDescent="0.25">
      <c r="F2058" t="str">
        <f>"Thraben Inspector"</f>
        <v>Thraben Inspector</v>
      </c>
      <c r="G2058">
        <f>SUMIFS(Colección!$L$2:$L$10001,Colección!$F$2:$F$10001,$F2058,Colección!$M$2:$M$10001,"Compra")</f>
        <v>12.083664299426445</v>
      </c>
      <c r="H2058">
        <f>IF($G2058=0,"",_xlfn.RANK.EQ($G2058,$G$2:$G$2353,0)+COUNTIF($G$2:G2058,$G2058)-1)</f>
        <v>578</v>
      </c>
    </row>
    <row r="2059" spans="6:8" x14ac:dyDescent="0.25">
      <c r="F2059" t="str">
        <f>"Thragtusk"</f>
        <v>Thragtusk</v>
      </c>
      <c r="G2059">
        <f>SUMIFS(Colección!$L$2:$L$10001,Colección!$F$2:$F$10001,$F2059,Colección!$M$2:$M$10001,"Compra")</f>
        <v>0.88622016936104697</v>
      </c>
      <c r="H2059">
        <f>IF($G2059=0,"",_xlfn.RANK.EQ($G2059,$G$2:$G$2353,0)+COUNTIF($G$2:G2059,$G2059)-1)</f>
        <v>1686</v>
      </c>
    </row>
    <row r="2060" spans="6:8" x14ac:dyDescent="0.25">
      <c r="F2060" t="str">
        <f>"Thrashing Wumpus"</f>
        <v>Thrashing Wumpus</v>
      </c>
      <c r="G2060">
        <f>SUMIFS(Colección!$L$2:$L$10001,Colección!$F$2:$F$10001,$F2060,Colección!$M$2:$M$10001,"Compra")</f>
        <v>2.1818181818181821</v>
      </c>
      <c r="H2060">
        <f>IF($G2060=0,"",_xlfn.RANK.EQ($G2060,$G$2:$G$2353,0)+COUNTIF($G$2:G2060,$G2060)-1)</f>
        <v>1324</v>
      </c>
    </row>
    <row r="2061" spans="6:8" x14ac:dyDescent="0.25">
      <c r="F2061" t="str">
        <f>"Three Steps Ahead"</f>
        <v>Three Steps Ahead</v>
      </c>
      <c r="G2061">
        <f>SUMIFS(Colección!$L$2:$L$10001,Colección!$F$2:$F$10001,$F2061,Colección!$M$2:$M$10001,"Compra")</f>
        <v>14.719999999999999</v>
      </c>
      <c r="H2061">
        <f>IF($G2061=0,"",_xlfn.RANK.EQ($G2061,$G$2:$G$2353,0)+COUNTIF($G$2:G2061,$G2061)-1)</f>
        <v>508</v>
      </c>
    </row>
    <row r="2062" spans="6:8" x14ac:dyDescent="0.25">
      <c r="F2062" t="str">
        <f>"Three Thousand Worlds (OP03-057)"</f>
        <v>Three Thousand Worlds (OP03-057)</v>
      </c>
      <c r="G2062">
        <f>SUMIFS(Colección!$L$2:$L$10001,Colección!$F$2:$F$10001,$F2062,Colección!$M$2:$M$10001,"Compra")</f>
        <v>0.47596899224806211</v>
      </c>
      <c r="H2062">
        <f>IF($G2062=0,"",_xlfn.RANK.EQ($G2062,$G$2:$G$2353,0)+COUNTIF($G$2:G2062,$G2062)-1)</f>
        <v>1900</v>
      </c>
    </row>
    <row r="2063" spans="6:8" x14ac:dyDescent="0.25">
      <c r="F2063" t="str">
        <f>"Thrilling Discovery"</f>
        <v>Thrilling Discovery</v>
      </c>
      <c r="G2063">
        <f>SUMIFS(Colección!$L$2:$L$10001,Colección!$F$2:$F$10001,$F2063,Colección!$M$2:$M$10001,"Compra")</f>
        <v>0.81454545454545435</v>
      </c>
      <c r="H2063">
        <f>IF($G2063=0,"",_xlfn.RANK.EQ($G2063,$G$2:$G$2353,0)+COUNTIF($G$2:G2063,$G2063)-1)</f>
        <v>1718</v>
      </c>
    </row>
    <row r="2064" spans="6:8" x14ac:dyDescent="0.25">
      <c r="F2064" t="str">
        <f>"Through the Breach"</f>
        <v>Through the Breach</v>
      </c>
      <c r="G2064">
        <f>SUMIFS(Colección!$L$2:$L$10001,Colección!$F$2:$F$10001,$F2064,Colección!$M$2:$M$10001,"Compra")</f>
        <v>34.061003449357166</v>
      </c>
      <c r="H2064">
        <f>IF($G2064=0,"",_xlfn.RANK.EQ($G2064,$G$2:$G$2353,0)+COUNTIF($G$2:G2064,$G2064)-1)</f>
        <v>249</v>
      </c>
    </row>
    <row r="2065" spans="6:8" x14ac:dyDescent="0.25">
      <c r="F2065" t="str">
        <f>"Thrun, Breaker of Silence (V.1)"</f>
        <v>Thrun, Breaker of Silence (V.1)</v>
      </c>
      <c r="G2065">
        <f>SUMIFS(Colección!$L$2:$L$10001,Colección!$F$2:$F$10001,$F2065,Colección!$M$2:$M$10001,"Compra")</f>
        <v>3.302136573104316</v>
      </c>
      <c r="H2065">
        <f>IF($G2065=0,"",_xlfn.RANK.EQ($G2065,$G$2:$G$2353,0)+COUNTIF($G$2:G2065,$G2065)-1)</f>
        <v>1149</v>
      </c>
    </row>
    <row r="2066" spans="6:8" x14ac:dyDescent="0.25">
      <c r="F2066" t="str">
        <f>"Thrun, the Last Troll"</f>
        <v>Thrun, the Last Troll</v>
      </c>
      <c r="G2066">
        <f>SUMIFS(Colección!$L$2:$L$10001,Colección!$F$2:$F$10001,$F2066,Colección!$M$2:$M$10001,"Compra")</f>
        <v>2.5568292682926841</v>
      </c>
      <c r="H2066">
        <f>IF($G2066=0,"",_xlfn.RANK.EQ($G2066,$G$2:$G$2353,0)+COUNTIF($G$2:G2066,$G2066)-1)</f>
        <v>1243</v>
      </c>
    </row>
    <row r="2067" spans="6:8" x14ac:dyDescent="0.25">
      <c r="F2067" t="str">
        <f>"Thunder Bolt (OP03-121)"</f>
        <v>Thunder Bolt (OP03-121)</v>
      </c>
      <c r="G2067">
        <f>SUMIFS(Colección!$L$2:$L$10001,Colección!$F$2:$F$10001,$F2067,Colección!$M$2:$M$10001,"Compra")</f>
        <v>9.5193798449612399E-2</v>
      </c>
      <c r="H2067">
        <f>IF($G2067=0,"",_xlfn.RANK.EQ($G2067,$G$2:$G$2353,0)+COUNTIF($G$2:G2067,$G2067)-1)</f>
        <v>2189</v>
      </c>
    </row>
    <row r="2068" spans="6:8" x14ac:dyDescent="0.25">
      <c r="F2068" t="str">
        <f>"Thundering Falls"</f>
        <v>Thundering Falls</v>
      </c>
      <c r="G2068">
        <f>SUMIFS(Colección!$L$2:$L$10001,Colección!$F$2:$F$10001,$F2068,Colección!$M$2:$M$10001,"Compra")</f>
        <v>36.874004790419157</v>
      </c>
      <c r="H2068">
        <f>IF($G2068=0,"",_xlfn.RANK.EQ($G2068,$G$2:$G$2353,0)+COUNTIF($G$2:G2068,$G2068)-1)</f>
        <v>229</v>
      </c>
    </row>
    <row r="2069" spans="6:8" x14ac:dyDescent="0.25">
      <c r="F2069" t="str">
        <f>"Thundering Raiju"</f>
        <v>Thundering Raiju</v>
      </c>
      <c r="G2069">
        <f>SUMIFS(Colección!$L$2:$L$10001,Colección!$F$2:$F$10001,$F2069,Colección!$M$2:$M$10001,"Compra")</f>
        <v>3.0961706783369793</v>
      </c>
      <c r="H2069">
        <f>IF($G2069=0,"",_xlfn.RANK.EQ($G2069,$G$2:$G$2353,0)+COUNTIF($G$2:G2069,$G2069)-1)</f>
        <v>1188</v>
      </c>
    </row>
    <row r="2070" spans="6:8" x14ac:dyDescent="0.25">
      <c r="F2070" t="str">
        <f>"Thundertrap Trainer"</f>
        <v>Thundertrap Trainer</v>
      </c>
      <c r="G2070">
        <f>SUMIFS(Colección!$L$2:$L$10001,Colección!$F$2:$F$10001,$F2070,Colección!$M$2:$M$10001,"Compra")</f>
        <v>8.1382238010657204</v>
      </c>
      <c r="H2070">
        <f>IF($G2070=0,"",_xlfn.RANK.EQ($G2070,$G$2:$G$2353,0)+COUNTIF($G$2:G2070,$G2070)-1)</f>
        <v>742</v>
      </c>
    </row>
    <row r="2071" spans="6:8" x14ac:dyDescent="0.25">
      <c r="F2071" t="str">
        <f>"Thundertrap Trainer Token (Blue 1/1)"</f>
        <v>Thundertrap Trainer Token (Blue 1/1)</v>
      </c>
      <c r="G2071">
        <f>SUMIFS(Colección!$L$2:$L$10001,Colección!$F$2:$F$10001,$F2071,Colección!$M$2:$M$10001,"Compra")</f>
        <v>1.78</v>
      </c>
      <c r="H2071">
        <f>IF($G2071=0,"",_xlfn.RANK.EQ($G2071,$G$2:$G$2353,0)+COUNTIF($G$2:G2071,$G2071)-1)</f>
        <v>1403</v>
      </c>
    </row>
    <row r="2072" spans="6:8" x14ac:dyDescent="0.25">
      <c r="F2072" t="str">
        <f>"Tibalt, Rakish Instigator"</f>
        <v>Tibalt, Rakish Instigator</v>
      </c>
      <c r="G2072">
        <f>SUMIFS(Colección!$L$2:$L$10001,Colección!$F$2:$F$10001,$F2072,Colección!$M$2:$M$10001,"Compra")</f>
        <v>0.27272727272727282</v>
      </c>
      <c r="H2072">
        <f>IF($G2072=0,"",_xlfn.RANK.EQ($G2072,$G$2:$G$2353,0)+COUNTIF($G$2:G2072,$G2072)-1)</f>
        <v>2038</v>
      </c>
    </row>
    <row r="2073" spans="6:8" x14ac:dyDescent="0.25">
      <c r="F2073" t="str">
        <f>"Tide Shaper"</f>
        <v>Tide Shaper</v>
      </c>
      <c r="G2073">
        <f>SUMIFS(Colección!$L$2:$L$10001,Colección!$F$2:$F$10001,$F2073,Colección!$M$2:$M$10001,"Compra")</f>
        <v>0.51836769036600761</v>
      </c>
      <c r="H2073">
        <f>IF($G2073=0,"",_xlfn.RANK.EQ($G2073,$G$2:$G$2353,0)+COUNTIF($G$2:G2073,$G2073)-1)</f>
        <v>1875</v>
      </c>
    </row>
    <row r="2074" spans="6:8" x14ac:dyDescent="0.25">
      <c r="F2074" t="str">
        <f>"Tide Shaper [Foil]"</f>
        <v>Tide Shaper [Foil]</v>
      </c>
      <c r="G2074">
        <f>SUMIFS(Colección!$L$2:$L$10001,Colección!$F$2:$F$10001,$F2074,Colección!$M$2:$M$10001,"Compra")</f>
        <v>1.6363636363636365</v>
      </c>
      <c r="H2074">
        <f>IF($G2074=0,"",_xlfn.RANK.EQ($G2074,$G$2:$G$2353,0)+COUNTIF($G$2:G2074,$G2074)-1)</f>
        <v>1452</v>
      </c>
    </row>
    <row r="2075" spans="6:8" x14ac:dyDescent="0.25">
      <c r="F2075" t="str">
        <f>"Tidehollow Sculler"</f>
        <v>Tidehollow Sculler</v>
      </c>
      <c r="G2075">
        <f>SUMIFS(Colección!$L$2:$L$10001,Colección!$F$2:$F$10001,$F2075,Colección!$M$2:$M$10001,"Compra")</f>
        <v>1.4406536697247709</v>
      </c>
      <c r="H2075">
        <f>IF($G2075=0,"",_xlfn.RANK.EQ($G2075,$G$2:$G$2353,0)+COUNTIF($G$2:G2075,$G2075)-1)</f>
        <v>1502</v>
      </c>
    </row>
    <row r="2076" spans="6:8" x14ac:dyDescent="0.25">
      <c r="F2076" t="str">
        <f>"Tideturner"</f>
        <v>Tideturner</v>
      </c>
      <c r="G2076">
        <f>SUMIFS(Colección!$L$2:$L$10001,Colección!$F$2:$F$10001,$F2076,Colección!$M$2:$M$10001,"Compra")</f>
        <v>5.8899999999999988</v>
      </c>
      <c r="H2076">
        <f>IF($G2076=0,"",_xlfn.RANK.EQ($G2076,$G$2:$G$2353,0)+COUNTIF($G$2:G2076,$G2076)-1)</f>
        <v>898</v>
      </c>
    </row>
    <row r="2077" spans="6:8" x14ac:dyDescent="0.25">
      <c r="F2077" t="str">
        <f>"Tilestone (OP03-064)"</f>
        <v>Tilestone (OP03-064)</v>
      </c>
      <c r="G2077">
        <f>SUMIFS(Colección!$L$2:$L$10001,Colección!$F$2:$F$10001,$F2077,Colección!$M$2:$M$10001,"Compra")</f>
        <v>9.5193798449612399E-2</v>
      </c>
      <c r="H2077">
        <f>IF($G2077=0,"",_xlfn.RANK.EQ($G2077,$G$2:$G$2353,0)+COUNTIF($G$2:G2077,$G2077)-1)</f>
        <v>2190</v>
      </c>
    </row>
    <row r="2078" spans="6:8" x14ac:dyDescent="0.25">
      <c r="F2078" t="str">
        <f>"Timeless Dragon (V.3)"</f>
        <v>Timeless Dragon (V.3)</v>
      </c>
      <c r="G2078">
        <f>SUMIFS(Colección!$L$2:$L$10001,Colección!$F$2:$F$10001,$F2078,Colección!$M$2:$M$10001,"Compra")</f>
        <v>0.42852173913043479</v>
      </c>
      <c r="H2078">
        <f>IF($G2078=0,"",_xlfn.RANK.EQ($G2078,$G$2:$G$2353,0)+COUNTIF($G$2:G2078,$G2078)-1)</f>
        <v>1935</v>
      </c>
    </row>
    <row r="2079" spans="6:8" x14ac:dyDescent="0.25">
      <c r="F2079" t="str">
        <f>"Timeless Dragon Token // Food Token"</f>
        <v>Timeless Dragon Token // Food Token</v>
      </c>
      <c r="G2079">
        <f>SUMIFS(Colección!$L$2:$L$10001,Colección!$F$2:$F$10001,$F2079,Colección!$M$2:$M$10001,"Compra")</f>
        <v>3.091478260869565</v>
      </c>
      <c r="H2079">
        <f>IF($G2079=0,"",_xlfn.RANK.EQ($G2079,$G$2:$G$2353,0)+COUNTIF($G$2:G2079,$G2079)-1)</f>
        <v>1189</v>
      </c>
    </row>
    <row r="2080" spans="6:8" x14ac:dyDescent="0.25">
      <c r="F2080" t="str">
        <f>"Timely Reinforcements"</f>
        <v>Timely Reinforcements</v>
      </c>
      <c r="G2080">
        <f>SUMIFS(Colección!$L$2:$L$10001,Colección!$F$2:$F$10001,$F2080,Colección!$M$2:$M$10001,"Compra")</f>
        <v>1.5075469075747046</v>
      </c>
      <c r="H2080">
        <f>IF($G2080=0,"",_xlfn.RANK.EQ($G2080,$G$2:$G$2353,0)+COUNTIF($G$2:G2080,$G2080)-1)</f>
        <v>1485</v>
      </c>
    </row>
    <row r="2081" spans="6:8" x14ac:dyDescent="0.25">
      <c r="F2081" t="str">
        <f>"Tinybones Joins Up"</f>
        <v>Tinybones Joins Up</v>
      </c>
      <c r="G2081">
        <f>SUMIFS(Colección!$L$2:$L$10001,Colección!$F$2:$F$10001,$F2081,Colección!$M$2:$M$10001,"Compra")</f>
        <v>3.13</v>
      </c>
      <c r="H2081">
        <f>IF($G2081=0,"",_xlfn.RANK.EQ($G2081,$G$2:$G$2353,0)+COUNTIF($G$2:G2081,$G2081)-1)</f>
        <v>1185</v>
      </c>
    </row>
    <row r="2082" spans="6:8" x14ac:dyDescent="0.25">
      <c r="F2082" t="str">
        <f>"Tishana's Tidebinder"</f>
        <v>Tishana's Tidebinder</v>
      </c>
      <c r="G2082">
        <f>SUMIFS(Colección!$L$2:$L$10001,Colección!$F$2:$F$10001,$F2082,Colección!$M$2:$M$10001,"Compra")</f>
        <v>45.46</v>
      </c>
      <c r="H2082">
        <f>IF($G2082=0,"",_xlfn.RANK.EQ($G2082,$G$2:$G$2353,0)+COUNTIF($G$2:G2082,$G2082)-1)</f>
        <v>189</v>
      </c>
    </row>
    <row r="2083" spans="6:8" x14ac:dyDescent="0.25">
      <c r="F2083" t="str">
        <f>"Titania, Protector of Argoth (V.2)"</f>
        <v>Titania, Protector of Argoth (V.2)</v>
      </c>
      <c r="G2083">
        <f>SUMIFS(Colección!$L$2:$L$10001,Colección!$F$2:$F$10001,$F2083,Colección!$M$2:$M$10001,"Compra")</f>
        <v>5.6597378768020974</v>
      </c>
      <c r="H2083">
        <f>IF($G2083=0,"",_xlfn.RANK.EQ($G2083,$G$2:$G$2353,0)+COUNTIF($G$2:G2083,$G2083)-1)</f>
        <v>913</v>
      </c>
    </row>
    <row r="2084" spans="6:8" x14ac:dyDescent="0.25">
      <c r="F2084" t="str">
        <f>"Titanoth Rex"</f>
        <v>Titanoth Rex</v>
      </c>
      <c r="G2084">
        <f>SUMIFS(Colección!$L$2:$L$10001,Colección!$F$2:$F$10001,$F2084,Colección!$M$2:$M$10001,"Compra")</f>
        <v>4.21</v>
      </c>
      <c r="H2084">
        <f>IF($G2084=0,"",_xlfn.RANK.EQ($G2084,$G$2:$G$2353,0)+COUNTIF($G$2:G2084,$G2084)-1)</f>
        <v>1047</v>
      </c>
    </row>
    <row r="2085" spans="6:8" x14ac:dyDescent="0.25">
      <c r="F2085" t="str">
        <f>"Toh-Toh (OP05-009)"</f>
        <v>Toh-Toh (OP05-009)</v>
      </c>
      <c r="G2085">
        <f>SUMIFS(Colección!$L$2:$L$10001,Colección!$F$2:$F$10001,$F2085,Colección!$M$2:$M$10001,"Compra")</f>
        <v>8.1185112634671888E-2</v>
      </c>
      <c r="H2085">
        <f>IF($G2085=0,"",_xlfn.RANK.EQ($G2085,$G$2:$G$2353,0)+COUNTIF($G$2:G2085,$G2085)-1)</f>
        <v>2231</v>
      </c>
    </row>
    <row r="2086" spans="6:8" x14ac:dyDescent="0.25">
      <c r="F2086" t="str">
        <f>"Toko (OP04-098)"</f>
        <v>Toko (OP04-098)</v>
      </c>
      <c r="G2086">
        <f>SUMIFS(Colección!$L$2:$L$10001,Colección!$F$2:$F$10001,$F2086,Colección!$M$2:$M$10001,"Compra")</f>
        <v>6.1898734177215198E-2</v>
      </c>
      <c r="H2086">
        <f>IF($G2086=0,"",_xlfn.RANK.EQ($G2086,$G$2:$G$2353,0)+COUNTIF($G$2:G2086,$G2086)-1)</f>
        <v>2309</v>
      </c>
    </row>
    <row r="2087" spans="6:8" x14ac:dyDescent="0.25">
      <c r="F2087" t="str">
        <f>"Tolarian Terror"</f>
        <v>Tolarian Terror</v>
      </c>
      <c r="G2087">
        <f>SUMIFS(Colección!$L$2:$L$10001,Colección!$F$2:$F$10001,$F2087,Colección!$M$2:$M$10001,"Compra")</f>
        <v>2.1248124062031017</v>
      </c>
      <c r="H2087">
        <f>IF($G2087=0,"",_xlfn.RANK.EQ($G2087,$G$2:$G$2353,0)+COUNTIF($G$2:G2087,$G2087)-1)</f>
        <v>1338</v>
      </c>
    </row>
    <row r="2088" spans="6:8" x14ac:dyDescent="0.25">
      <c r="F2088" t="str">
        <f>"Tom (OP04-061)"</f>
        <v>Tom (OP04-061)</v>
      </c>
      <c r="G2088">
        <f>SUMIFS(Colección!$L$2:$L$10001,Colección!$F$2:$F$10001,$F2088,Colección!$M$2:$M$10001,"Compra")</f>
        <v>6.1898734177215198E-2</v>
      </c>
      <c r="H2088">
        <f>IF($G2088=0,"",_xlfn.RANK.EQ($G2088,$G$2:$G$2353,0)+COUNTIF($G$2:G2088,$G2088)-1)</f>
        <v>2310</v>
      </c>
    </row>
    <row r="2089" spans="6:8" x14ac:dyDescent="0.25">
      <c r="F2089" t="str">
        <f>"Tom Bombadil"</f>
        <v>Tom Bombadil</v>
      </c>
      <c r="G2089">
        <f>SUMIFS(Colección!$L$2:$L$10001,Colección!$F$2:$F$10001,$F2089,Colección!$M$2:$M$10001,"Compra")</f>
        <v>5.7600004782959733</v>
      </c>
      <c r="H2089">
        <f>IF($G2089=0,"",_xlfn.RANK.EQ($G2089,$G$2:$G$2353,0)+COUNTIF($G$2:G2089,$G2089)-1)</f>
        <v>908</v>
      </c>
    </row>
    <row r="2090" spans="6:8" x14ac:dyDescent="0.25">
      <c r="F2090" t="str">
        <f>"Tome Scour"</f>
        <v>Tome Scour</v>
      </c>
      <c r="G2090">
        <f>SUMIFS(Colección!$L$2:$L$10001,Colección!$F$2:$F$10001,$F2090,Colección!$M$2:$M$10001,"Compra")</f>
        <v>1.3575757575757577</v>
      </c>
      <c r="H2090">
        <f>IF($G2090=0,"",_xlfn.RANK.EQ($G2090,$G$2:$G$2353,0)+COUNTIF($G$2:G2090,$G2090)-1)</f>
        <v>1517</v>
      </c>
    </row>
    <row r="2091" spans="6:8" x14ac:dyDescent="0.25">
      <c r="F2091" t="str">
        <f>"Tonoyasu (OP04-109)"</f>
        <v>Tonoyasu (OP04-109)</v>
      </c>
      <c r="G2091">
        <f>SUMIFS(Colección!$L$2:$L$10001,Colección!$F$2:$F$10001,$F2091,Colección!$M$2:$M$10001,"Compra")</f>
        <v>6.1898734177215198E-2</v>
      </c>
      <c r="H2091">
        <f>IF($G2091=0,"",_xlfn.RANK.EQ($G2091,$G$2:$G$2353,0)+COUNTIF($G$2:G2091,$G2091)-1)</f>
        <v>2311</v>
      </c>
    </row>
    <row r="2092" spans="6:8" x14ac:dyDescent="0.25">
      <c r="F2092" t="str">
        <f>"Tooth Attack (OP03-037)"</f>
        <v>Tooth Attack (OP03-037)</v>
      </c>
      <c r="G2092">
        <f>SUMIFS(Colección!$L$2:$L$10001,Colección!$F$2:$F$10001,$F2092,Colección!$M$2:$M$10001,"Compra")</f>
        <v>9.5193798449612399E-2</v>
      </c>
      <c r="H2092">
        <f>IF($G2092=0,"",_xlfn.RANK.EQ($G2092,$G$2:$G$2353,0)+COUNTIF($G$2:G2092,$G2092)-1)</f>
        <v>2191</v>
      </c>
    </row>
    <row r="2093" spans="6:8" x14ac:dyDescent="0.25">
      <c r="F2093" t="str">
        <f>"Top Knot (OP03-074)"</f>
        <v>Top Knot (OP03-074)</v>
      </c>
      <c r="G2093">
        <f>SUMIFS(Colección!$L$2:$L$10001,Colección!$F$2:$F$10001,$F2093,Colección!$M$2:$M$10001,"Compra")</f>
        <v>0.22608527131782949</v>
      </c>
      <c r="H2093">
        <f>IF($G2093=0,"",_xlfn.RANK.EQ($G2093,$G$2:$G$2353,0)+COUNTIF($G$2:G2093,$G2093)-1)</f>
        <v>2075</v>
      </c>
    </row>
    <row r="2094" spans="6:8" x14ac:dyDescent="0.25">
      <c r="F2094" t="str">
        <f>"Torch the Tower"</f>
        <v>Torch the Tower</v>
      </c>
      <c r="G2094">
        <f>SUMIFS(Colección!$L$2:$L$10001,Colección!$F$2:$F$10001,$F2094,Colección!$M$2:$M$10001,"Compra")</f>
        <v>3.620000000000001</v>
      </c>
      <c r="H2094">
        <f>IF($G2094=0,"",_xlfn.RANK.EQ($G2094,$G$2:$G$2353,0)+COUNTIF($G$2:G2094,$G2094)-1)</f>
        <v>1100</v>
      </c>
    </row>
    <row r="2095" spans="6:8" x14ac:dyDescent="0.25">
      <c r="F2095" t="str">
        <f>"Tormod's Crypt"</f>
        <v>Tormod's Crypt</v>
      </c>
      <c r="G2095">
        <f>SUMIFS(Colección!$L$2:$L$10001,Colección!$F$2:$F$10001,$F2095,Colección!$M$2:$M$10001,"Compra")</f>
        <v>3.279014626635874</v>
      </c>
      <c r="H2095">
        <f>IF($G2095=0,"",_xlfn.RANK.EQ($G2095,$G$2:$G$2353,0)+COUNTIF($G$2:G2095,$G2095)-1)</f>
        <v>1153</v>
      </c>
    </row>
    <row r="2096" spans="6:8" x14ac:dyDescent="0.25">
      <c r="F2096" t="str">
        <f>"Torpor Orb"</f>
        <v>Torpor Orb</v>
      </c>
      <c r="G2096">
        <f>SUMIFS(Colección!$L$2:$L$10001,Colección!$F$2:$F$10001,$F2096,Colección!$M$2:$M$10001,"Compra")</f>
        <v>8.33</v>
      </c>
      <c r="H2096">
        <f>IF($G2096=0,"",_xlfn.RANK.EQ($G2096,$G$2:$G$2353,0)+COUNTIF($G$2:G2096,$G2096)-1)</f>
        <v>733</v>
      </c>
    </row>
    <row r="2097" spans="6:8" x14ac:dyDescent="0.25">
      <c r="F2097" t="str">
        <f>"Touch the Spirit Realm"</f>
        <v>Touch the Spirit Realm</v>
      </c>
      <c r="G2097">
        <f>SUMIFS(Colección!$L$2:$L$10001,Colección!$F$2:$F$10001,$F2097,Colección!$M$2:$M$10001,"Compra")</f>
        <v>1.1256617647058822</v>
      </c>
      <c r="H2097">
        <f>IF($G2097=0,"",_xlfn.RANK.EQ($G2097,$G$2:$G$2353,0)+COUNTIF($G$2:G2097,$G2097)-1)</f>
        <v>1587</v>
      </c>
    </row>
    <row r="2098" spans="6:8" x14ac:dyDescent="0.25">
      <c r="F2098" t="str">
        <f>"Tourach, Dread Cantor [Foil]"</f>
        <v>Tourach, Dread Cantor [Foil]</v>
      </c>
      <c r="G2098">
        <f>SUMIFS(Colección!$L$2:$L$10001,Colección!$F$2:$F$10001,$F2098,Colección!$M$2:$M$10001,"Compra")</f>
        <v>6.1090909090909076</v>
      </c>
      <c r="H2098">
        <f>IF($G2098=0,"",_xlfn.RANK.EQ($G2098,$G$2:$G$2353,0)+COUNTIF($G$2:G2098,$G2098)-1)</f>
        <v>879</v>
      </c>
    </row>
    <row r="2099" spans="6:8" x14ac:dyDescent="0.25">
      <c r="F2099" t="str">
        <f>"Town Greeter"</f>
        <v>Town Greeter</v>
      </c>
      <c r="G2099">
        <f>SUMIFS(Colección!$L$2:$L$10001,Colección!$F$2:$F$10001,$F2099,Colección!$M$2:$M$10001,"Compra")</f>
        <v>0.54</v>
      </c>
      <c r="H2099">
        <f>IF($G2099=0,"",_xlfn.RANK.EQ($G2099,$G$2:$G$2353,0)+COUNTIF($G$2:G2099,$G2099)-1)</f>
        <v>1862</v>
      </c>
    </row>
    <row r="2100" spans="6:8" x14ac:dyDescent="0.25">
      <c r="F2100" t="str">
        <f>"Trafalgar Law (OP01-047) (V.1)"</f>
        <v>Trafalgar Law (OP01-047) (V.1)</v>
      </c>
      <c r="G2100">
        <f>SUMIFS(Colección!$L$2:$L$10001,Colección!$F$2:$F$10001,$F2100,Colección!$M$2:$M$10001,"Compra")</f>
        <v>3.3435792349726778</v>
      </c>
      <c r="H2100">
        <f>IF($G2100=0,"",_xlfn.RANK.EQ($G2100,$G$2:$G$2353,0)+COUNTIF($G$2:G2100,$G2100)-1)</f>
        <v>1140</v>
      </c>
    </row>
    <row r="2101" spans="6:8" x14ac:dyDescent="0.25">
      <c r="F2101" t="str">
        <f>"Trafalgar Law (OP05-027)"</f>
        <v>Trafalgar Law (OP05-027)</v>
      </c>
      <c r="G2101">
        <f>SUMIFS(Colección!$L$2:$L$10001,Colección!$F$2:$F$10001,$F2101,Colección!$M$2:$M$10001,"Compra")</f>
        <v>6.7654260528893242E-2</v>
      </c>
      <c r="H2101">
        <f>IF($G2101=0,"",_xlfn.RANK.EQ($G2101,$G$2:$G$2353,0)+COUNTIF($G$2:G2101,$G2101)-1)</f>
        <v>2254</v>
      </c>
    </row>
    <row r="2102" spans="6:8" x14ac:dyDescent="0.25">
      <c r="F2102" t="str">
        <f>"Trafalgar Law (OP05-069) (V.1)"</f>
        <v>Trafalgar Law (OP05-069) (V.1)</v>
      </c>
      <c r="G2102">
        <f>SUMIFS(Colección!$L$2:$L$10001,Colección!$F$2:$F$10001,$F2102,Colección!$M$2:$M$10001,"Compra")</f>
        <v>2.70617042115573</v>
      </c>
      <c r="H2102">
        <f>IF($G2102=0,"",_xlfn.RANK.EQ($G2102,$G$2:$G$2353,0)+COUNTIF($G$2:G2102,$G2102)-1)</f>
        <v>1227</v>
      </c>
    </row>
    <row r="2103" spans="6:8" x14ac:dyDescent="0.25">
      <c r="F2103" t="str">
        <f>"Trafalgar Law (P-017)"</f>
        <v>Trafalgar Law (P-017)</v>
      </c>
      <c r="G2103">
        <f>SUMIFS(Colección!$L$2:$L$10001,Colección!$F$2:$F$10001,$F2103,Colección!$M$2:$M$10001,"Compra")</f>
        <v>0.47596899224806211</v>
      </c>
      <c r="H2103">
        <f>IF($G2103=0,"",_xlfn.RANK.EQ($G2103,$G$2:$G$2353,0)+COUNTIF($G$2:G2103,$G2103)-1)</f>
        <v>1901</v>
      </c>
    </row>
    <row r="2104" spans="6:8" x14ac:dyDescent="0.25">
      <c r="F2104" t="str">
        <f>"Tranquil Domain"</f>
        <v>Tranquil Domain</v>
      </c>
      <c r="G2104">
        <f>SUMIFS(Colección!$L$2:$L$10001,Colección!$F$2:$F$10001,$F2104,Colección!$M$2:$M$10001,"Compra")</f>
        <v>24</v>
      </c>
      <c r="H2104">
        <f>IF($G2104=0,"",_xlfn.RANK.EQ($G2104,$G$2:$G$2353,0)+COUNTIF($G$2:G2104,$G2104)-1)</f>
        <v>328</v>
      </c>
    </row>
    <row r="2105" spans="6:8" x14ac:dyDescent="0.25">
      <c r="F2105" t="str">
        <f>"Tranquil Frillback"</f>
        <v>Tranquil Frillback</v>
      </c>
      <c r="G2105">
        <f>SUMIFS(Colección!$L$2:$L$10001,Colección!$F$2:$F$10001,$F2105,Colección!$M$2:$M$10001,"Compra")</f>
        <v>24.09171075837742</v>
      </c>
      <c r="H2105">
        <f>IF($G2105=0,"",_xlfn.RANK.EQ($G2105,$G$2:$G$2353,0)+COUNTIF($G$2:G2105,$G2105)-1)</f>
        <v>327</v>
      </c>
    </row>
    <row r="2106" spans="6:8" x14ac:dyDescent="0.25">
      <c r="F2106" t="str">
        <f>"Transmogrify"</f>
        <v>Transmogrify</v>
      </c>
      <c r="G2106">
        <f>SUMIFS(Colección!$L$2:$L$10001,Colección!$F$2:$F$10001,$F2106,Colección!$M$2:$M$10001,"Compra")</f>
        <v>0.57182247899159666</v>
      </c>
      <c r="H2106">
        <f>IF($G2106=0,"",_xlfn.RANK.EQ($G2106,$G$2:$G$2353,0)+COUNTIF($G$2:G2106,$G2106)-1)</f>
        <v>1841</v>
      </c>
    </row>
    <row r="2107" spans="6:8" x14ac:dyDescent="0.25">
      <c r="F2107" t="str">
        <f>"Traveling Merchant"</f>
        <v>Traveling Merchant</v>
      </c>
      <c r="G2107">
        <f>SUMIFS(Colección!$L$2:$L$10001,Colección!$F$2:$F$10001,$F2107,Colección!$M$2:$M$10001,"Compra")</f>
        <v>4.7375211955871563</v>
      </c>
      <c r="H2107">
        <f>IF($G2107=0,"",_xlfn.RANK.EQ($G2107,$G$2:$G$2353,0)+COUNTIF($G$2:G2107,$G2107)-1)</f>
        <v>984</v>
      </c>
    </row>
    <row r="2108" spans="6:8" x14ac:dyDescent="0.25">
      <c r="F2108" t="str">
        <f>"Treacherous Greed"</f>
        <v>Treacherous Greed</v>
      </c>
      <c r="G2108">
        <f>SUMIFS(Colección!$L$2:$L$10001,Colección!$F$2:$F$10001,$F2108,Colección!$M$2:$M$10001,"Compra")</f>
        <v>0.77641367806505424</v>
      </c>
      <c r="H2108">
        <f>IF($G2108=0,"",_xlfn.RANK.EQ($G2108,$G$2:$G$2353,0)+COUNTIF($G$2:G2108,$G2108)-1)</f>
        <v>1733</v>
      </c>
    </row>
    <row r="2109" spans="6:8" x14ac:dyDescent="0.25">
      <c r="F2109" t="str">
        <f>"Treasure Hoard"</f>
        <v>Treasure Hoard</v>
      </c>
      <c r="G2109">
        <f>SUMIFS(Colección!$L$2:$L$10001,Colección!$F$2:$F$10001,$F2109,Colección!$M$2:$M$10001,"Compra")</f>
        <v>0.64011299435028257</v>
      </c>
      <c r="H2109">
        <f>IF($G2109=0,"",_xlfn.RANK.EQ($G2109,$G$2:$G$2353,0)+COUNTIF($G$2:G2109,$G2109)-1)</f>
        <v>1801</v>
      </c>
    </row>
    <row r="2110" spans="6:8" x14ac:dyDescent="0.25">
      <c r="F2110" t="str">
        <f>"Treasure Hunter"</f>
        <v>Treasure Hunter</v>
      </c>
      <c r="G2110">
        <f>SUMIFS(Colección!$L$2:$L$10001,Colección!$F$2:$F$10001,$F2110,Colección!$M$2:$M$10001,"Compra")</f>
        <v>2.0807449856733524</v>
      </c>
      <c r="H2110">
        <f>IF($G2110=0,"",_xlfn.RANK.EQ($G2110,$G$2:$G$2353,0)+COUNTIF($G$2:G2110,$G2110)-1)</f>
        <v>1347</v>
      </c>
    </row>
    <row r="2111" spans="6:8" x14ac:dyDescent="0.25">
      <c r="F2111" t="str">
        <f>"Treasure Token"</f>
        <v>Treasure Token</v>
      </c>
      <c r="G2111">
        <f>SUMIFS(Colección!$L$2:$L$10001,Colección!$F$2:$F$10001,$F2111,Colección!$M$2:$M$10001,"Compra")</f>
        <v>0.4120888229648374</v>
      </c>
      <c r="H2111">
        <f>IF($G2111=0,"",_xlfn.RANK.EQ($G2111,$G$2:$G$2353,0)+COUNTIF($G$2:G2111,$G2111)-1)</f>
        <v>1944</v>
      </c>
    </row>
    <row r="2112" spans="6:8" x14ac:dyDescent="0.25">
      <c r="F2112" t="str">
        <f>"Treasure Token (V.2)"</f>
        <v>Treasure Token (V.2)</v>
      </c>
      <c r="G2112">
        <f>SUMIFS(Colección!$L$2:$L$10001,Colección!$F$2:$F$10001,$F2112,Colección!$M$2:$M$10001,"Compra")</f>
        <v>3.526666666666666</v>
      </c>
      <c r="H2112">
        <f>IF($G2112=0,"",_xlfn.RANK.EQ($G2112,$G$2:$G$2353,0)+COUNTIF($G$2:G2112,$G2112)-1)</f>
        <v>1115</v>
      </c>
    </row>
    <row r="2113" spans="6:8" x14ac:dyDescent="0.25">
      <c r="F2113" t="str">
        <f>"Treasure Token // Energy Reserve (V.1)"</f>
        <v>Treasure Token // Energy Reserve (V.1)</v>
      </c>
      <c r="G2113">
        <f>SUMIFS(Colección!$L$2:$L$10001,Colección!$F$2:$F$10001,$F2113,Colección!$M$2:$M$10001,"Compra")</f>
        <v>0.27978260869565219</v>
      </c>
      <c r="H2113">
        <f>IF($G2113=0,"",_xlfn.RANK.EQ($G2113,$G$2:$G$2353,0)+COUNTIF($G$2:G2113,$G2113)-1)</f>
        <v>2018</v>
      </c>
    </row>
    <row r="2114" spans="6:8" x14ac:dyDescent="0.25">
      <c r="F2114" t="str">
        <f>"Treasure Token // The Monarch"</f>
        <v>Treasure Token // The Monarch</v>
      </c>
      <c r="G2114">
        <f>SUMIFS(Colección!$L$2:$L$10001,Colección!$F$2:$F$10001,$F2114,Colección!$M$2:$M$10001,"Compra")</f>
        <v>0.2752941176470588</v>
      </c>
      <c r="H2114">
        <f>IF($G2114=0,"",_xlfn.RANK.EQ($G2114,$G$2:$G$2353,0)+COUNTIF($G$2:G2114,$G2114)-1)</f>
        <v>2030</v>
      </c>
    </row>
    <row r="2115" spans="6:8" x14ac:dyDescent="0.25">
      <c r="F2115" t="str">
        <f>"Treasure Vault"</f>
        <v>Treasure Vault</v>
      </c>
      <c r="G2115">
        <f>SUMIFS(Colección!$L$2:$L$10001,Colección!$F$2:$F$10001,$F2115,Colección!$M$2:$M$10001,"Compra")</f>
        <v>16.112507856693902</v>
      </c>
      <c r="H2115">
        <f>IF($G2115=0,"",_xlfn.RANK.EQ($G2115,$G$2:$G$2353,0)+COUNTIF($G$2:G2115,$G2115)-1)</f>
        <v>482</v>
      </c>
    </row>
    <row r="2116" spans="6:8" x14ac:dyDescent="0.25">
      <c r="F2116" t="str">
        <f>"Trebol (OP04-030) (V.1)"</f>
        <v>Trebol (OP04-030) (V.1)</v>
      </c>
      <c r="G2116">
        <f>SUMIFS(Colección!$L$2:$L$10001,Colección!$F$2:$F$10001,$F2116,Colección!$M$2:$M$10001,"Compra")</f>
        <v>9.2848101265822783E-2</v>
      </c>
      <c r="H2116">
        <f>IF($G2116=0,"",_xlfn.RANK.EQ($G2116,$G$2:$G$2353,0)+COUNTIF($G$2:G2116,$G2116)-1)</f>
        <v>2220</v>
      </c>
    </row>
    <row r="2117" spans="6:8" x14ac:dyDescent="0.25">
      <c r="F2117" t="str">
        <f>"Treetop Village"</f>
        <v>Treetop Village</v>
      </c>
      <c r="G2117">
        <f>SUMIFS(Colección!$L$2:$L$10001,Colección!$F$2:$F$10001,$F2117,Colección!$M$2:$M$10001,"Compra")</f>
        <v>0.91893048128342236</v>
      </c>
      <c r="H2117">
        <f>IF($G2117=0,"",_xlfn.RANK.EQ($G2117,$G$2:$G$2353,0)+COUNTIF($G$2:G2117,$G2117)-1)</f>
        <v>1681</v>
      </c>
    </row>
    <row r="2118" spans="6:8" x14ac:dyDescent="0.25">
      <c r="F2118" t="str">
        <f>"Tribal Flames"</f>
        <v>Tribal Flames</v>
      </c>
      <c r="G2118">
        <f>SUMIFS(Colección!$L$2:$L$10001,Colección!$F$2:$F$10001,$F2118,Colección!$M$2:$M$10001,"Compra")</f>
        <v>5.583265739065328</v>
      </c>
      <c r="H2118">
        <f>IF($G2118=0,"",_xlfn.RANK.EQ($G2118,$G$2:$G$2353,0)+COUNTIF($G$2:G2118,$G2118)-1)</f>
        <v>922</v>
      </c>
    </row>
    <row r="2119" spans="6:8" x14ac:dyDescent="0.25">
      <c r="F2119" t="str">
        <f>"Trifarian War Camp"</f>
        <v>Trifarian War Camp</v>
      </c>
      <c r="G2119">
        <f>SUMIFS(Colección!$L$2:$L$10001,Colección!$F$2:$F$10001,$F2119,Colección!$M$2:$M$10001,"Compra")</f>
        <v>1.7144063324538259</v>
      </c>
      <c r="H2119">
        <f>IF($G2119=0,"",_xlfn.RANK.EQ($G2119,$G$2:$G$2353,0)+COUNTIF($G$2:G2119,$G2119)-1)</f>
        <v>1419</v>
      </c>
    </row>
    <row r="2120" spans="6:8" x14ac:dyDescent="0.25">
      <c r="F2120" t="str">
        <f>"Trinisphere"</f>
        <v>Trinisphere</v>
      </c>
      <c r="G2120">
        <f>SUMIFS(Colección!$L$2:$L$10001,Colección!$F$2:$F$10001,$F2120,Colección!$M$2:$M$10001,"Compra")</f>
        <v>14.859738113399439</v>
      </c>
      <c r="H2120">
        <f>IF($G2120=0,"",_xlfn.RANK.EQ($G2120,$G$2:$G$2353,0)+COUNTIF($G$2:G2120,$G2120)-1)</f>
        <v>505</v>
      </c>
    </row>
    <row r="2121" spans="6:8" x14ac:dyDescent="0.25">
      <c r="F2121" t="str">
        <f>"Trinket Mage"</f>
        <v>Trinket Mage</v>
      </c>
      <c r="G2121">
        <f>SUMIFS(Colección!$L$2:$L$10001,Colección!$F$2:$F$10001,$F2121,Colección!$M$2:$M$10001,"Compra")</f>
        <v>0.72240802675585281</v>
      </c>
      <c r="H2121">
        <f>IF($G2121=0,"",_xlfn.RANK.EQ($G2121,$G$2:$G$2353,0)+COUNTIF($G$2:G2121,$G2121)-1)</f>
        <v>1750</v>
      </c>
    </row>
    <row r="2122" spans="6:8" x14ac:dyDescent="0.25">
      <c r="F2122" t="str">
        <f>"Troll of Khazad-dûm"</f>
        <v>Troll of Khazad-dûm</v>
      </c>
      <c r="G2122">
        <f>SUMIFS(Colección!$L$2:$L$10001,Colección!$F$2:$F$10001,$F2122,Colección!$M$2:$M$10001,"Compra")</f>
        <v>3.5057142857142858</v>
      </c>
      <c r="H2122">
        <f>IF($G2122=0,"",_xlfn.RANK.EQ($G2122,$G$2:$G$2353,0)+COUNTIF($G$2:G2122,$G2122)-1)</f>
        <v>1118</v>
      </c>
    </row>
    <row r="2123" spans="6:8" x14ac:dyDescent="0.25">
      <c r="F2123" t="str">
        <f>"Tropical Torment (OP03-120)"</f>
        <v>Tropical Torment (OP03-120)</v>
      </c>
      <c r="G2123">
        <f>SUMIFS(Colección!$L$2:$L$10001,Colección!$F$2:$F$10001,$F2123,Colección!$M$2:$M$10001,"Compra")</f>
        <v>9.5193798449612399E-2</v>
      </c>
      <c r="H2123">
        <f>IF($G2123=0,"",_xlfn.RANK.EQ($G2123,$G$2:$G$2353,0)+COUNTIF($G$2:G2123,$G2123)-1)</f>
        <v>2192</v>
      </c>
    </row>
    <row r="2124" spans="6:8" x14ac:dyDescent="0.25">
      <c r="F2124" t="str">
        <f>"Trueno Bastardo (OP04-094)"</f>
        <v>Trueno Bastardo (OP04-094)</v>
      </c>
      <c r="G2124">
        <f>SUMIFS(Colección!$L$2:$L$10001,Colección!$F$2:$F$10001,$F2124,Colección!$M$2:$M$10001,"Compra")</f>
        <v>0.64216867469879513</v>
      </c>
      <c r="H2124">
        <f>IF($G2124=0,"",_xlfn.RANK.EQ($G2124,$G$2:$G$2353,0)+COUNTIF($G$2:G2124,$G2124)-1)</f>
        <v>1800</v>
      </c>
    </row>
    <row r="2125" spans="6:8" x14ac:dyDescent="0.25">
      <c r="F2125" t="str">
        <f>"Tune the Narrative"</f>
        <v>Tune the Narrative</v>
      </c>
      <c r="G2125">
        <f>SUMIFS(Colección!$L$2:$L$10001,Colección!$F$2:$F$10001,$F2125,Colección!$M$2:$M$10001,"Compra")</f>
        <v>7.8844661358073207</v>
      </c>
      <c r="H2125">
        <f>IF($G2125=0,"",_xlfn.RANK.EQ($G2125,$G$2:$G$2353,0)+COUNTIF($G$2:G2125,$G2125)-1)</f>
        <v>756</v>
      </c>
    </row>
    <row r="2126" spans="6:8" x14ac:dyDescent="0.25">
      <c r="F2126" t="str">
        <f>"Tunnel Ignus"</f>
        <v>Tunnel Ignus</v>
      </c>
      <c r="G2126">
        <f>SUMIFS(Colección!$L$2:$L$10001,Colección!$F$2:$F$10001,$F2126,Colección!$M$2:$M$10001,"Compra")</f>
        <v>1.94</v>
      </c>
      <c r="H2126">
        <f>IF($G2126=0,"",_xlfn.RANK.EQ($G2126,$G$2:$G$2353,0)+COUNTIF($G$2:G2126,$G2126)-1)</f>
        <v>1383</v>
      </c>
    </row>
    <row r="2127" spans="6:8" x14ac:dyDescent="0.25">
      <c r="F2127" t="str">
        <f>"Turn the Earth"</f>
        <v>Turn the Earth</v>
      </c>
      <c r="G2127">
        <f>SUMIFS(Colección!$L$2:$L$10001,Colección!$F$2:$F$10001,$F2127,Colección!$M$2:$M$10001,"Compra")</f>
        <v>1.78</v>
      </c>
      <c r="H2127">
        <f>IF($G2127=0,"",_xlfn.RANK.EQ($G2127,$G$2:$G$2353,0)+COUNTIF($G$2:G2127,$G2127)-1)</f>
        <v>1404</v>
      </c>
    </row>
    <row r="2128" spans="6:8" x14ac:dyDescent="0.25">
      <c r="F2128" t="str">
        <f>"Turn to Dust"</f>
        <v>Turn to Dust</v>
      </c>
      <c r="G2128">
        <f>SUMIFS(Colección!$L$2:$L$10001,Colección!$F$2:$F$10001,$F2128,Colección!$M$2:$M$10001,"Compra")</f>
        <v>2.9182352941176468</v>
      </c>
      <c r="H2128">
        <f>IF($G2128=0,"",_xlfn.RANK.EQ($G2128,$G$2:$G$2353,0)+COUNTIF($G$2:G2128,$G2128)-1)</f>
        <v>1202</v>
      </c>
    </row>
    <row r="2129" spans="6:8" x14ac:dyDescent="0.25">
      <c r="F2129" t="str">
        <f>"Twilight Mire"</f>
        <v>Twilight Mire</v>
      </c>
      <c r="G2129">
        <f>SUMIFS(Colección!$L$2:$L$10001,Colección!$F$2:$F$10001,$F2129,Colección!$M$2:$M$10001,"Compra")</f>
        <v>5.7678973509933771</v>
      </c>
      <c r="H2129">
        <f>IF($G2129=0,"",_xlfn.RANK.EQ($G2129,$G$2:$G$2353,0)+COUNTIF($G$2:G2129,$G2129)-1)</f>
        <v>907</v>
      </c>
    </row>
    <row r="2130" spans="6:8" x14ac:dyDescent="0.25">
      <c r="F2130" t="str">
        <f>"Twinmaw Stormbrood // Charring Bite"</f>
        <v>Twinmaw Stormbrood // Charring Bite</v>
      </c>
      <c r="G2130">
        <f>SUMIFS(Colección!$L$2:$L$10001,Colección!$F$2:$F$10001,$F2130,Colección!$M$2:$M$10001,"Compra")</f>
        <v>1.3488549618320611</v>
      </c>
      <c r="H2130">
        <f>IF($G2130=0,"",_xlfn.RANK.EQ($G2130,$G$2:$G$2353,0)+COUNTIF($G$2:G2130,$G2130)-1)</f>
        <v>1520</v>
      </c>
    </row>
    <row r="2131" spans="6:8" x14ac:dyDescent="0.25">
      <c r="F2131" t="str">
        <f>"Two-Hundred Million Volts Amaru (OP05-115)"</f>
        <v>Two-Hundred Million Volts Amaru (OP05-115)</v>
      </c>
      <c r="G2131">
        <f>SUMIFS(Colección!$L$2:$L$10001,Colección!$F$2:$F$10001,$F2131,Colección!$M$2:$M$10001,"Compra")</f>
        <v>0.3382713026444662</v>
      </c>
      <c r="H2131">
        <f>IF($G2131=0,"",_xlfn.RANK.EQ($G2131,$G$2:$G$2353,0)+COUNTIF($G$2:G2131,$G2131)-1)</f>
        <v>1986</v>
      </c>
    </row>
    <row r="2132" spans="6:8" x14ac:dyDescent="0.25">
      <c r="F2132" t="str">
        <f>"Tyvar's Stand"</f>
        <v>Tyvar's Stand</v>
      </c>
      <c r="G2132">
        <f>SUMIFS(Colección!$L$2:$L$10001,Colección!$F$2:$F$10001,$F2132,Colección!$M$2:$M$10001,"Compra")</f>
        <v>1.1253298153034301</v>
      </c>
      <c r="H2132">
        <f>IF($G2132=0,"",_xlfn.RANK.EQ($G2132,$G$2:$G$2353,0)+COUNTIF($G$2:G2132,$G2132)-1)</f>
        <v>1588</v>
      </c>
    </row>
    <row r="2133" spans="6:8" x14ac:dyDescent="0.25">
      <c r="F2133" t="str">
        <f>"Ugin's Labyrinth"</f>
        <v>Ugin's Labyrinth</v>
      </c>
      <c r="G2133">
        <f>SUMIFS(Colección!$L$2:$L$10001,Colección!$F$2:$F$10001,$F2133,Colección!$M$2:$M$10001,"Compra")</f>
        <v>82.92</v>
      </c>
      <c r="H2133">
        <f>IF($G2133=0,"",_xlfn.RANK.EQ($G2133,$G$2:$G$2353,0)+COUNTIF($G$2:G2133,$G2133)-1)</f>
        <v>95</v>
      </c>
    </row>
    <row r="2134" spans="6:8" x14ac:dyDescent="0.25">
      <c r="F2134" t="str">
        <f>"Ugin, Eye of the Storms"</f>
        <v>Ugin, Eye of the Storms</v>
      </c>
      <c r="G2134">
        <f>SUMIFS(Colección!$L$2:$L$10001,Colección!$F$2:$F$10001,$F2134,Colección!$M$2:$M$10001,"Compra")</f>
        <v>65.454545454545453</v>
      </c>
      <c r="H2134">
        <f>IF($G2134=0,"",_xlfn.RANK.EQ($G2134,$G$2:$G$2353,0)+COUNTIF($G$2:G2134,$G2134)-1)</f>
        <v>124</v>
      </c>
    </row>
    <row r="2135" spans="6:8" x14ac:dyDescent="0.25">
      <c r="F2135" t="str">
        <f>"Ugin, the Ineffable"</f>
        <v>Ugin, the Ineffable</v>
      </c>
      <c r="G2135">
        <f>SUMIFS(Colección!$L$2:$L$10001,Colección!$F$2:$F$10001,$F2135,Colección!$M$2:$M$10001,"Compra")</f>
        <v>0.98181818181818192</v>
      </c>
      <c r="H2135">
        <f>IF($G2135=0,"",_xlfn.RANK.EQ($G2135,$G$2:$G$2353,0)+COUNTIF($G$2:G2135,$G2135)-1)</f>
        <v>1665</v>
      </c>
    </row>
    <row r="2136" spans="6:8" x14ac:dyDescent="0.25">
      <c r="F2136" t="str">
        <f>"Ugin, the Spirit Dragon (V.1)"</f>
        <v>Ugin, the Spirit Dragon (V.1)</v>
      </c>
      <c r="G2136">
        <f>SUMIFS(Colección!$L$2:$L$10001,Colección!$F$2:$F$10001,$F2136,Colección!$M$2:$M$10001,"Compra")</f>
        <v>41.487733281493007</v>
      </c>
      <c r="H2136">
        <f>IF($G2136=0,"",_xlfn.RANK.EQ($G2136,$G$2:$G$2353,0)+COUNTIF($G$2:G2136,$G2136)-1)</f>
        <v>204</v>
      </c>
    </row>
    <row r="2137" spans="6:8" x14ac:dyDescent="0.25">
      <c r="F2137" t="str">
        <f>"Uktabi Orangutan"</f>
        <v>Uktabi Orangutan</v>
      </c>
      <c r="G2137">
        <f>SUMIFS(Colección!$L$2:$L$10001,Colección!$F$2:$F$10001,$F2137,Colección!$M$2:$M$10001,"Compra")</f>
        <v>1.636363636363636</v>
      </c>
      <c r="H2137">
        <f>IF($G2137=0,"",_xlfn.RANK.EQ($G2137,$G$2:$G$2353,0)+COUNTIF($G$2:G2137,$G2137)-1)</f>
        <v>1454</v>
      </c>
    </row>
    <row r="2138" spans="6:8" x14ac:dyDescent="0.25">
      <c r="F2138" t="str">
        <f>"Ulamog, the Ceaseless Hunger"</f>
        <v>Ulamog, the Ceaseless Hunger</v>
      </c>
      <c r="G2138">
        <f>SUMIFS(Colección!$L$2:$L$10001,Colección!$F$2:$F$10001,$F2138,Colección!$M$2:$M$10001,"Compra")</f>
        <v>80.134371584699437</v>
      </c>
      <c r="H2138">
        <f>IF($G2138=0,"",_xlfn.RANK.EQ($G2138,$G$2:$G$2353,0)+COUNTIF($G$2:G2138,$G2138)-1)</f>
        <v>100</v>
      </c>
    </row>
    <row r="2139" spans="6:8" x14ac:dyDescent="0.25">
      <c r="F2139" t="str">
        <f>"Ulamog, the Defiler"</f>
        <v>Ulamog, the Defiler</v>
      </c>
      <c r="G2139">
        <f>SUMIFS(Colección!$L$2:$L$10001,Colección!$F$2:$F$10001,$F2139,Colección!$M$2:$M$10001,"Compra")</f>
        <v>84.65</v>
      </c>
      <c r="H2139">
        <f>IF($G2139=0,"",_xlfn.RANK.EQ($G2139,$G$2:$G$2353,0)+COUNTIF($G$2:G2139,$G2139)-1)</f>
        <v>93</v>
      </c>
    </row>
    <row r="2140" spans="6:8" x14ac:dyDescent="0.25">
      <c r="F2140" t="str">
        <f>"Ulti (OP04-043)"</f>
        <v>Ulti (OP04-043)</v>
      </c>
      <c r="G2140">
        <f>SUMIFS(Colección!$L$2:$L$10001,Colección!$F$2:$F$10001,$F2140,Colección!$M$2:$M$10001,"Compra")</f>
        <v>9.2848101265822783E-2</v>
      </c>
      <c r="H2140">
        <f>IF($G2140=0,"",_xlfn.RANK.EQ($G2140,$G$2:$G$2353,0)+COUNTIF($G$2:G2140,$G2140)-1)</f>
        <v>2221</v>
      </c>
    </row>
    <row r="2141" spans="6:8" x14ac:dyDescent="0.25">
      <c r="F2141" t="str">
        <f>"Ulti (OP05-043) (V.1)"</f>
        <v>Ulti (OP05-043) (V.1)</v>
      </c>
      <c r="G2141">
        <f>SUMIFS(Colección!$L$2:$L$10001,Colección!$F$2:$F$10001,$F2141,Colección!$M$2:$M$10001,"Compra")</f>
        <v>1.2565217391304351</v>
      </c>
      <c r="H2141">
        <f>IF($G2141=0,"",_xlfn.RANK.EQ($G2141,$G$2:$G$2353,0)+COUNTIF($G$2:G2141,$G2141)-1)</f>
        <v>1553</v>
      </c>
    </row>
    <row r="2142" spans="6:8" x14ac:dyDescent="0.25">
      <c r="F2142" t="str">
        <f>"Ultima"</f>
        <v>Ultima</v>
      </c>
      <c r="G2142">
        <f>SUMIFS(Colección!$L$2:$L$10001,Colección!$F$2:$F$10001,$F2142,Colección!$M$2:$M$10001,"Compra")</f>
        <v>3.83</v>
      </c>
      <c r="H2142">
        <f>IF($G2142=0,"",_xlfn.RANK.EQ($G2142,$G$2:$G$2353,0)+COUNTIF($G$2:G2142,$G2142)-1)</f>
        <v>1078</v>
      </c>
    </row>
    <row r="2143" spans="6:8" x14ac:dyDescent="0.25">
      <c r="F2143" t="str">
        <f>"Ultimate Guard Boulder Deck Case 100+"</f>
        <v>Ultimate Guard Boulder Deck Case 100+</v>
      </c>
      <c r="G2143">
        <f>SUMIFS(Colección!$L$2:$L$10001,Colección!$F$2:$F$10001,$F2143,Colección!$M$2:$M$10001,"Compra")</f>
        <v>50.025281317788341</v>
      </c>
      <c r="H2143">
        <f>IF($G2143=0,"",_xlfn.RANK.EQ($G2143,$G$2:$G$2353,0)+COUNTIF($G$2:G2143,$G2143)-1)</f>
        <v>176</v>
      </c>
    </row>
    <row r="2144" spans="6:8" x14ac:dyDescent="0.25">
      <c r="F2144" t="str">
        <f>"Ultimate Guard Boulder Deck Case 80+"</f>
        <v>Ultimate Guard Boulder Deck Case 80+</v>
      </c>
      <c r="G2144">
        <f>SUMIFS(Colección!$L$2:$L$10001,Colección!$F$2:$F$10001,$F2144,Colección!$M$2:$M$10001,"Compra")</f>
        <v>40.26046182195094</v>
      </c>
      <c r="H2144">
        <f>IF($G2144=0,"",_xlfn.RANK.EQ($G2144,$G$2:$G$2353,0)+COUNTIF($G$2:G2144,$G2144)-1)</f>
        <v>214</v>
      </c>
    </row>
    <row r="2145" spans="6:8" x14ac:dyDescent="0.25">
      <c r="F2145" t="str">
        <f>"Ultra Pro Collectors Portfolio"</f>
        <v>Ultra Pro Collectors Portfolio</v>
      </c>
      <c r="G2145">
        <f>SUMIFS(Colección!$L$2:$L$10001,Colección!$F$2:$F$10001,$F2145,Colección!$M$2:$M$10001,"Compra")</f>
        <v>24.445378197997776</v>
      </c>
      <c r="H2145">
        <f>IF($G2145=0,"",_xlfn.RANK.EQ($G2145,$G$2:$G$2353,0)+COUNTIF($G$2:G2145,$G2145)-1)</f>
        <v>321</v>
      </c>
    </row>
    <row r="2146" spans="6:8" x14ac:dyDescent="0.25">
      <c r="F2146" t="str">
        <f>"Ultra Pro Collectors Portfolio - 4-Pocket Black"</f>
        <v>Ultra Pro Collectors Portfolio - 4-Pocket Black</v>
      </c>
      <c r="G2146">
        <f>SUMIFS(Colección!$L$2:$L$10001,Colección!$F$2:$F$10001,$F2146,Colección!$M$2:$M$10001,"Compra")</f>
        <v>7.5830703012912499</v>
      </c>
      <c r="H2146">
        <f>IF($G2146=0,"",_xlfn.RANK.EQ($G2146,$G$2:$G$2353,0)+COUNTIF($G$2:G2146,$G2146)-1)</f>
        <v>770</v>
      </c>
    </row>
    <row r="2147" spans="6:8" x14ac:dyDescent="0.25">
      <c r="F2147" t="str">
        <f>"Ultra-Pro Solid Aqua Deck Box"</f>
        <v>Ultra-Pro Solid Aqua Deck Box</v>
      </c>
      <c r="G2147">
        <f>SUMIFS(Colección!$L$2:$L$10001,Colección!$F$2:$F$10001,$F2147,Colección!$M$2:$M$10001,"Compra")</f>
        <v>2.0769828926905132</v>
      </c>
      <c r="H2147">
        <f>IF($G2147=0,"",_xlfn.RANK.EQ($G2147,$G$2:$G$2353,0)+COUNTIF($G$2:G2147,$G2147)-1)</f>
        <v>1349</v>
      </c>
    </row>
    <row r="2148" spans="6:8" x14ac:dyDescent="0.25">
      <c r="F2148" t="str">
        <f>"Ultra-Pro Solid Black Deckbox"</f>
        <v>Ultra-Pro Solid Black Deckbox</v>
      </c>
      <c r="G2148">
        <f>SUMIFS(Colección!$L$2:$L$10001,Colección!$F$2:$F$10001,$F2148,Colección!$M$2:$M$10001,"Compra")</f>
        <v>1.7034433285509329</v>
      </c>
      <c r="H2148">
        <f>IF($G2148=0,"",_xlfn.RANK.EQ($G2148,$G$2:$G$2353,0)+COUNTIF($G$2:G2148,$G2148)-1)</f>
        <v>1427</v>
      </c>
    </row>
    <row r="2149" spans="6:8" x14ac:dyDescent="0.25">
      <c r="F2149" t="str">
        <f>"Ultra-Pro Solid Brown Deckbox"</f>
        <v>Ultra-Pro Solid Brown Deckbox</v>
      </c>
      <c r="G2149">
        <f>SUMIFS(Colección!$L$2:$L$10001,Colección!$F$2:$F$10001,$F2149,Colección!$M$2:$M$10001,"Compra")</f>
        <v>2.0769828926905132</v>
      </c>
      <c r="H2149">
        <f>IF($G2149=0,"",_xlfn.RANK.EQ($G2149,$G$2:$G$2353,0)+COUNTIF($G$2:G2149,$G2149)-1)</f>
        <v>1350</v>
      </c>
    </row>
    <row r="2150" spans="6:8" x14ac:dyDescent="0.25">
      <c r="F2150" t="str">
        <f>"Umezawa's Jitte"</f>
        <v>Umezawa's Jitte</v>
      </c>
      <c r="G2150">
        <f>SUMIFS(Colección!$L$2:$L$10001,Colección!$F$2:$F$10001,$F2150,Colección!$M$2:$M$10001,"Compra")</f>
        <v>20.89</v>
      </c>
      <c r="H2150">
        <f>IF($G2150=0,"",_xlfn.RANK.EQ($G2150,$G$2:$G$2353,0)+COUNTIF($G$2:G2150,$G2150)-1)</f>
        <v>379</v>
      </c>
    </row>
    <row r="2151" spans="6:8" x14ac:dyDescent="0.25">
      <c r="F2151" t="str">
        <f>"Unauthorized Exit"</f>
        <v>Unauthorized Exit</v>
      </c>
      <c r="G2151">
        <f>SUMIFS(Colección!$L$2:$L$10001,Colección!$F$2:$F$10001,$F2151,Colección!$M$2:$M$10001,"Compra")</f>
        <v>1.1417848206839032</v>
      </c>
      <c r="H2151">
        <f>IF($G2151=0,"",_xlfn.RANK.EQ($G2151,$G$2:$G$2353,0)+COUNTIF($G$2:G2151,$G2151)-1)</f>
        <v>1582</v>
      </c>
    </row>
    <row r="2152" spans="6:8" x14ac:dyDescent="0.25">
      <c r="F2152" t="str">
        <f>"Undercity Informer"</f>
        <v>Undercity Informer</v>
      </c>
      <c r="G2152">
        <f>SUMIFS(Colección!$L$2:$L$10001,Colección!$F$2:$F$10001,$F2152,Colección!$M$2:$M$10001,"Compra")</f>
        <v>0.73211105552776379</v>
      </c>
      <c r="H2152">
        <f>IF($G2152=0,"",_xlfn.RANK.EQ($G2152,$G$2:$G$2353,0)+COUNTIF($G$2:G2152,$G2152)-1)</f>
        <v>1748</v>
      </c>
    </row>
    <row r="2153" spans="6:8" x14ac:dyDescent="0.25">
      <c r="F2153" t="str">
        <f>"Undercity Sewers"</f>
        <v>Undercity Sewers</v>
      </c>
      <c r="G2153">
        <f>SUMIFS(Colección!$L$2:$L$10001,Colección!$F$2:$F$10001,$F2153,Colección!$M$2:$M$10001,"Compra")</f>
        <v>40.46400479041916</v>
      </c>
      <c r="H2153">
        <f>IF($G2153=0,"",_xlfn.RANK.EQ($G2153,$G$2:$G$2353,0)+COUNTIF($G$2:G2153,$G2153)-1)</f>
        <v>212</v>
      </c>
    </row>
    <row r="2154" spans="6:8" x14ac:dyDescent="0.25">
      <c r="F2154" t="str">
        <f>"Underground Mortuary"</f>
        <v>Underground Mortuary</v>
      </c>
      <c r="G2154">
        <f>SUMIFS(Colección!$L$2:$L$10001,Colección!$F$2:$F$10001,$F2154,Colección!$M$2:$M$10001,"Compra")</f>
        <v>22.00400479041916</v>
      </c>
      <c r="H2154">
        <f>IF($G2154=0,"",_xlfn.RANK.EQ($G2154,$G$2:$G$2353,0)+COUNTIF($G$2:G2154,$G2154)-1)</f>
        <v>355</v>
      </c>
    </row>
    <row r="2155" spans="6:8" x14ac:dyDescent="0.25">
      <c r="F2155" t="str">
        <f>"Underground Sea"</f>
        <v>Underground Sea</v>
      </c>
      <c r="G2155">
        <f>SUMIFS(Colección!$L$2:$L$10001,Colección!$F$2:$F$10001,$F2155,Colección!$M$2:$M$10001,"Compra")</f>
        <v>600</v>
      </c>
      <c r="H2155">
        <f>IF($G2155=0,"",_xlfn.RANK.EQ($G2155,$G$2:$G$2353,0)+COUNTIF($G$2:G2155,$G2155)-1)</f>
        <v>3</v>
      </c>
    </row>
    <row r="2156" spans="6:8" x14ac:dyDescent="0.25">
      <c r="F2156" t="str">
        <f>"Underworld Breach"</f>
        <v>Underworld Breach</v>
      </c>
      <c r="G2156">
        <f>SUMIFS(Colección!$L$2:$L$10001,Colección!$F$2:$F$10001,$F2156,Colección!$M$2:$M$10001,"Compra")</f>
        <v>75.448125000000005</v>
      </c>
      <c r="H2156">
        <f>IF($G2156=0,"",_xlfn.RANK.EQ($G2156,$G$2:$G$2353,0)+COUNTIF($G$2:G2156,$G2156)-1)</f>
        <v>104</v>
      </c>
    </row>
    <row r="2157" spans="6:8" x14ac:dyDescent="0.25">
      <c r="F2157" t="str">
        <f>"Underworld Breach (V.1)"</f>
        <v>Underworld Breach (V.1)</v>
      </c>
      <c r="G2157">
        <f>SUMIFS(Colección!$L$2:$L$10001,Colección!$F$2:$F$10001,$F2157,Colección!$M$2:$M$10001,"Compra")</f>
        <v>8.5749999999999993</v>
      </c>
      <c r="H2157">
        <f>IF($G2157=0,"",_xlfn.RANK.EQ($G2157,$G$2:$G$2353,0)+COUNTIF($G$2:G2157,$G2157)-1)</f>
        <v>727</v>
      </c>
    </row>
    <row r="2158" spans="6:8" x14ac:dyDescent="0.25">
      <c r="F2158" t="str">
        <f>"Undying Evil"</f>
        <v>Undying Evil</v>
      </c>
      <c r="G2158">
        <f>SUMIFS(Colección!$L$2:$L$10001,Colección!$F$2:$F$10001,$F2158,Colección!$M$2:$M$10001,"Compra")</f>
        <v>4.3915343915343916</v>
      </c>
      <c r="H2158">
        <f>IF($G2158=0,"",_xlfn.RANK.EQ($G2158,$G$2:$G$2353,0)+COUNTIF($G$2:G2158,$G2158)-1)</f>
        <v>1013</v>
      </c>
    </row>
    <row r="2159" spans="6:8" x14ac:dyDescent="0.25">
      <c r="F2159" t="str">
        <f>"Undying Malice"</f>
        <v>Undying Malice</v>
      </c>
      <c r="G2159">
        <f>SUMIFS(Colección!$L$2:$L$10001,Colección!$F$2:$F$10001,$F2159,Colección!$M$2:$M$10001,"Compra")</f>
        <v>0.42882352941176483</v>
      </c>
      <c r="H2159">
        <f>IF($G2159=0,"",_xlfn.RANK.EQ($G2159,$G$2:$G$2353,0)+COUNTIF($G$2:G2159,$G2159)-1)</f>
        <v>1934</v>
      </c>
    </row>
    <row r="2160" spans="6:8" x14ac:dyDescent="0.25">
      <c r="F2160" t="str">
        <f>"Unearth"</f>
        <v>Unearth</v>
      </c>
      <c r="G2160">
        <f>SUMIFS(Colección!$L$2:$L$10001,Colección!$F$2:$F$10001,$F2160,Colección!$M$2:$M$10001,"Compra")</f>
        <v>9.1925428938193487</v>
      </c>
      <c r="H2160">
        <f>IF($G2160=0,"",_xlfn.RANK.EQ($G2160,$G$2:$G$2353,0)+COUNTIF($G$2:G2160,$G2160)-1)</f>
        <v>694</v>
      </c>
    </row>
    <row r="2161" spans="6:8" x14ac:dyDescent="0.25">
      <c r="F2161" t="str">
        <f>"Unexpected Fangs"</f>
        <v>Unexpected Fangs</v>
      </c>
      <c r="G2161">
        <f>SUMIFS(Colección!$L$2:$L$10001,Colección!$F$2:$F$10001,$F2161,Colección!$M$2:$M$10001,"Compra")</f>
        <v>1.4911764705882353</v>
      </c>
      <c r="H2161">
        <f>IF($G2161=0,"",_xlfn.RANK.EQ($G2161,$G$2:$G$2353,0)+COUNTIF($G$2:G2161,$G2161)-1)</f>
        <v>1488</v>
      </c>
    </row>
    <row r="2162" spans="6:8" x14ac:dyDescent="0.25">
      <c r="F2162" t="str">
        <f>"Unholy Annex // Ritual Chamber"</f>
        <v>Unholy Annex // Ritual Chamber</v>
      </c>
      <c r="G2162">
        <f>SUMIFS(Colección!$L$2:$L$10001,Colección!$F$2:$F$10001,$F2162,Colección!$M$2:$M$10001,"Compra")</f>
        <v>13.09</v>
      </c>
      <c r="H2162">
        <f>IF($G2162=0,"",_xlfn.RANK.EQ($G2162,$G$2:$G$2353,0)+COUNTIF($G$2:G2162,$G2162)-1)</f>
        <v>551</v>
      </c>
    </row>
    <row r="2163" spans="6:8" x14ac:dyDescent="0.25">
      <c r="F2163" t="str">
        <f>"Unholy Heat"</f>
        <v>Unholy Heat</v>
      </c>
      <c r="G2163">
        <f>SUMIFS(Colección!$L$2:$L$10001,Colección!$F$2:$F$10001,$F2163,Colección!$M$2:$M$10001,"Compra")</f>
        <v>12.008389952309102</v>
      </c>
      <c r="H2163">
        <f>IF($G2163=0,"",_xlfn.RANK.EQ($G2163,$G$2:$G$2353,0)+COUNTIF($G$2:G2163,$G2163)-1)</f>
        <v>582</v>
      </c>
    </row>
    <row r="2164" spans="6:8" x14ac:dyDescent="0.25">
      <c r="F2164" t="str">
        <f>"United Battlefront"</f>
        <v>United Battlefront</v>
      </c>
      <c r="G2164">
        <f>SUMIFS(Colección!$L$2:$L$10001,Colección!$F$2:$F$10001,$F2164,Colección!$M$2:$M$10001,"Compra")</f>
        <v>3.7762452107279696</v>
      </c>
      <c r="H2164">
        <f>IF($G2164=0,"",_xlfn.RANK.EQ($G2164,$G$2:$G$2353,0)+COUNTIF($G$2:G2164,$G2164)-1)</f>
        <v>1084</v>
      </c>
    </row>
    <row r="2165" spans="6:8" x14ac:dyDescent="0.25">
      <c r="F2165" t="str">
        <f>"Unlicensed Hearse"</f>
        <v>Unlicensed Hearse</v>
      </c>
      <c r="G2165">
        <f>SUMIFS(Colección!$L$2:$L$10001,Colección!$F$2:$F$10001,$F2165,Colección!$M$2:$M$10001,"Compra")</f>
        <v>14.686318015766197</v>
      </c>
      <c r="H2165">
        <f>IF($G2165=0,"",_xlfn.RANK.EQ($G2165,$G$2:$G$2353,0)+COUNTIF($G$2:G2165,$G2165)-1)</f>
        <v>510</v>
      </c>
    </row>
    <row r="2166" spans="6:8" x14ac:dyDescent="0.25">
      <c r="F2166" t="str">
        <f>"Unmoored Ego"</f>
        <v>Unmoored Ego</v>
      </c>
      <c r="G2166">
        <f>SUMIFS(Colección!$L$2:$L$10001,Colección!$F$2:$F$10001,$F2166,Colección!$M$2:$M$10001,"Compra")</f>
        <v>6.3968253968253981</v>
      </c>
      <c r="H2166">
        <f>IF($G2166=0,"",_xlfn.RANK.EQ($G2166,$G$2:$G$2353,0)+COUNTIF($G$2:G2166,$G2166)-1)</f>
        <v>855</v>
      </c>
    </row>
    <row r="2167" spans="6:8" x14ac:dyDescent="0.25">
      <c r="F2167" t="str">
        <f>"Unstable Amulet"</f>
        <v>Unstable Amulet</v>
      </c>
      <c r="G2167">
        <f>SUMIFS(Colección!$L$2:$L$10001,Colección!$F$2:$F$10001,$F2167,Colección!$M$2:$M$10001,"Compra")</f>
        <v>1.9018552875695731</v>
      </c>
      <c r="H2167">
        <f>IF($G2167=0,"",_xlfn.RANK.EQ($G2167,$G$2:$G$2353,0)+COUNTIF($G$2:G2167,$G2167)-1)</f>
        <v>1386</v>
      </c>
    </row>
    <row r="2168" spans="6:8" x14ac:dyDescent="0.25">
      <c r="F2168" t="str">
        <f>"Unstable Amulet (V.1)"</f>
        <v>Unstable Amulet (V.1)</v>
      </c>
      <c r="G2168">
        <f>SUMIFS(Colección!$L$2:$L$10001,Colección!$F$2:$F$10001,$F2168,Colección!$M$2:$M$10001,"Compra")</f>
        <v>11.961979913916784</v>
      </c>
      <c r="H2168">
        <f>IF($G2168=0,"",_xlfn.RANK.EQ($G2168,$G$2:$G$2353,0)+COUNTIF($G$2:G2168,$G2168)-1)</f>
        <v>586</v>
      </c>
    </row>
    <row r="2169" spans="6:8" x14ac:dyDescent="0.25">
      <c r="F2169" t="str">
        <f>"Unsummon"</f>
        <v>Unsummon</v>
      </c>
      <c r="G2169">
        <f>SUMIFS(Colección!$L$2:$L$10001,Colección!$F$2:$F$10001,$F2169,Colección!$M$2:$M$10001,"Compra")</f>
        <v>2.2575000000000003</v>
      </c>
      <c r="H2169">
        <f>IF($G2169=0,"",_xlfn.RANK.EQ($G2169,$G$2:$G$2353,0)+COUNTIF($G$2:G2169,$G2169)-1)</f>
        <v>1293</v>
      </c>
    </row>
    <row r="2170" spans="6:8" x14ac:dyDescent="0.25">
      <c r="F2170" t="str">
        <f>"Unsung Hero"</f>
        <v>Unsung Hero</v>
      </c>
      <c r="G2170">
        <f>SUMIFS(Colección!$L$2:$L$10001,Colección!$F$2:$F$10001,$F2170,Colección!$M$2:$M$10001,"Compra")</f>
        <v>1.6176253298153034</v>
      </c>
      <c r="H2170">
        <f>IF($G2170=0,"",_xlfn.RANK.EQ($G2170,$G$2:$G$2353,0)+COUNTIF($G$2:G2170,$G2170)-1)</f>
        <v>1459</v>
      </c>
    </row>
    <row r="2171" spans="6:8" x14ac:dyDescent="0.25">
      <c r="F2171" t="str">
        <f>"Untimely Malfunction"</f>
        <v>Untimely Malfunction</v>
      </c>
      <c r="G2171">
        <f>SUMIFS(Colección!$L$2:$L$10001,Colección!$F$2:$F$10001,$F2171,Colección!$M$2:$M$10001,"Compra")</f>
        <v>3.33</v>
      </c>
      <c r="H2171">
        <f>IF($G2171=0,"",_xlfn.RANK.EQ($G2171,$G$2:$G$2353,0)+COUNTIF($G$2:G2171,$G2171)-1)</f>
        <v>1146</v>
      </c>
    </row>
    <row r="2172" spans="6:8" x14ac:dyDescent="0.25">
      <c r="F2172" t="str">
        <f>"Unyielding Spirit"</f>
        <v>Unyielding Spirit</v>
      </c>
      <c r="G2172">
        <f>SUMIFS(Colección!$L$2:$L$10001,Colección!$F$2:$F$10001,$F2172,Colección!$M$2:$M$10001,"Compra")</f>
        <v>8.0324999999999989</v>
      </c>
      <c r="H2172">
        <f>IF($G2172=0,"",_xlfn.RANK.EQ($G2172,$G$2:$G$2353,0)+COUNTIF($G$2:G2172,$G2172)-1)</f>
        <v>747</v>
      </c>
    </row>
    <row r="2173" spans="6:8" x14ac:dyDescent="0.25">
      <c r="F2173" t="str">
        <f>"Up the Beanstalk"</f>
        <v>Up the Beanstalk</v>
      </c>
      <c r="G2173">
        <f>SUMIFS(Colección!$L$2:$L$10001,Colección!$F$2:$F$10001,$F2173,Colección!$M$2:$M$10001,"Compra")</f>
        <v>8.7866666666666688</v>
      </c>
      <c r="H2173">
        <f>IF($G2173=0,"",_xlfn.RANK.EQ($G2173,$G$2:$G$2353,0)+COUNTIF($G$2:G2173,$G2173)-1)</f>
        <v>715</v>
      </c>
    </row>
    <row r="2174" spans="6:8" x14ac:dyDescent="0.25">
      <c r="F2174" t="str">
        <f>"Upper Yeard (OP05-117)"</f>
        <v>Upper Yeard (OP05-117)</v>
      </c>
      <c r="G2174">
        <f>SUMIFS(Colección!$L$2:$L$10001,Colección!$F$2:$F$10001,$F2174,Colección!$M$2:$M$10001,"Compra")</f>
        <v>9.4715964740450548E-2</v>
      </c>
      <c r="H2174">
        <f>IF($G2174=0,"",_xlfn.RANK.EQ($G2174,$G$2:$G$2353,0)+COUNTIF($G$2:G2174,$G2174)-1)</f>
        <v>2207</v>
      </c>
    </row>
    <row r="2175" spans="6:8" x14ac:dyDescent="0.25">
      <c r="F2175" t="str">
        <f>"Urabrask's Forge"</f>
        <v>Urabrask's Forge</v>
      </c>
      <c r="G2175">
        <f>SUMIFS(Colección!$L$2:$L$10001,Colección!$F$2:$F$10001,$F2175,Colección!$M$2:$M$10001,"Compra")</f>
        <v>33.869999999999997</v>
      </c>
      <c r="H2175">
        <f>IF($G2175=0,"",_xlfn.RANK.EQ($G2175,$G$2:$G$2353,0)+COUNTIF($G$2:G2175,$G2175)-1)</f>
        <v>251</v>
      </c>
    </row>
    <row r="2176" spans="6:8" x14ac:dyDescent="0.25">
      <c r="F2176" t="str">
        <f>"Urborg Scavengers"</f>
        <v>Urborg Scavengers</v>
      </c>
      <c r="G2176">
        <f>SUMIFS(Colección!$L$2:$L$10001,Colección!$F$2:$F$10001,$F2176,Colección!$M$2:$M$10001,"Compra")</f>
        <v>3.3995121951219511</v>
      </c>
      <c r="H2176">
        <f>IF($G2176=0,"",_xlfn.RANK.EQ($G2176,$G$2:$G$2353,0)+COUNTIF($G$2:G2176,$G2176)-1)</f>
        <v>1137</v>
      </c>
    </row>
    <row r="2177" spans="6:8" x14ac:dyDescent="0.25">
      <c r="F2177" t="str">
        <f>"Urborg Scavengers (V.1)"</f>
        <v>Urborg Scavengers (V.1)</v>
      </c>
      <c r="G2177">
        <f>SUMIFS(Colección!$L$2:$L$10001,Colección!$F$2:$F$10001,$F2177,Colección!$M$2:$M$10001,"Compra")</f>
        <v>3.6704878048780478</v>
      </c>
      <c r="H2177">
        <f>IF($G2177=0,"",_xlfn.RANK.EQ($G2177,$G$2:$G$2353,0)+COUNTIF($G$2:G2177,$G2177)-1)</f>
        <v>1097</v>
      </c>
    </row>
    <row r="2178" spans="6:8" x14ac:dyDescent="0.25">
      <c r="F2178" t="str">
        <f>"Uro, Titan of Nature's Wrath"</f>
        <v>Uro, Titan of Nature's Wrath</v>
      </c>
      <c r="G2178">
        <f>SUMIFS(Colección!$L$2:$L$10001,Colección!$F$2:$F$10001,$F2178,Colección!$M$2:$M$10001,"Compra")</f>
        <v>17.22</v>
      </c>
      <c r="H2178">
        <f>IF($G2178=0,"",_xlfn.RANK.EQ($G2178,$G$2:$G$2353,0)+COUNTIF($G$2:G2178,$G2178)-1)</f>
        <v>448</v>
      </c>
    </row>
    <row r="2179" spans="6:8" x14ac:dyDescent="0.25">
      <c r="F2179" t="str">
        <f>"Urza's Bauble"</f>
        <v>Urza's Bauble</v>
      </c>
      <c r="G2179">
        <f>SUMIFS(Colección!$L$2:$L$10001,Colección!$F$2:$F$10001,$F2179,Colección!$M$2:$M$10001,"Compra")</f>
        <v>42.269999999999996</v>
      </c>
      <c r="H2179">
        <f>IF($G2179=0,"",_xlfn.RANK.EQ($G2179,$G$2:$G$2353,0)+COUNTIF($G$2:G2179,$G2179)-1)</f>
        <v>200</v>
      </c>
    </row>
    <row r="2180" spans="6:8" x14ac:dyDescent="0.25">
      <c r="F2180" t="str">
        <f>"Urza's Cave"</f>
        <v>Urza's Cave</v>
      </c>
      <c r="G2180">
        <f>SUMIFS(Colección!$L$2:$L$10001,Colección!$F$2:$F$10001,$F2180,Colección!$M$2:$M$10001,"Compra")</f>
        <v>0.40836636466591159</v>
      </c>
      <c r="H2180">
        <f>IF($G2180=0,"",_xlfn.RANK.EQ($G2180,$G$2:$G$2353,0)+COUNTIF($G$2:G2180,$G2180)-1)</f>
        <v>1945</v>
      </c>
    </row>
    <row r="2181" spans="6:8" x14ac:dyDescent="0.25">
      <c r="F2181" t="str">
        <f>"Urza's Mine"</f>
        <v>Urza's Mine</v>
      </c>
      <c r="G2181">
        <f>SUMIFS(Colección!$L$2:$L$10001,Colección!$F$2:$F$10001,$F2181,Colección!$M$2:$M$10001,"Compra")</f>
        <v>3.4424103737604881</v>
      </c>
      <c r="H2181">
        <f>IF($G2181=0,"",_xlfn.RANK.EQ($G2181,$G$2:$G$2353,0)+COUNTIF($G$2:G2181,$G2181)-1)</f>
        <v>1126</v>
      </c>
    </row>
    <row r="2182" spans="6:8" x14ac:dyDescent="0.25">
      <c r="F2182" t="str">
        <f>"Urza's Mine (V.1)"</f>
        <v>Urza's Mine (V.1)</v>
      </c>
      <c r="G2182">
        <f>SUMIFS(Colección!$L$2:$L$10001,Colección!$F$2:$F$10001,$F2182,Colección!$M$2:$M$10001,"Compra")</f>
        <v>5.6130268410185824</v>
      </c>
      <c r="H2182">
        <f>IF($G2182=0,"",_xlfn.RANK.EQ($G2182,$G$2:$G$2353,0)+COUNTIF($G$2:G2182,$G2182)-1)</f>
        <v>917</v>
      </c>
    </row>
    <row r="2183" spans="6:8" x14ac:dyDescent="0.25">
      <c r="F2183" t="str">
        <f>"Urza's Mine (V.2)"</f>
        <v>Urza's Mine (V.2)</v>
      </c>
      <c r="G2183">
        <f>SUMIFS(Colección!$L$2:$L$10001,Colección!$F$2:$F$10001,$F2183,Colección!$M$2:$M$10001,"Compra")</f>
        <v>7.6668355127322778</v>
      </c>
      <c r="H2183">
        <f>IF($G2183=0,"",_xlfn.RANK.EQ($G2183,$G$2:$G$2353,0)+COUNTIF($G$2:G2183,$G2183)-1)</f>
        <v>766</v>
      </c>
    </row>
    <row r="2184" spans="6:8" x14ac:dyDescent="0.25">
      <c r="F2184" t="str">
        <f>"Urza's Mine (V.3)"</f>
        <v>Urza's Mine (V.3)</v>
      </c>
      <c r="G2184">
        <f>SUMIFS(Colección!$L$2:$L$10001,Colección!$F$2:$F$10001,$F2184,Colección!$M$2:$M$10001,"Compra")</f>
        <v>5.6130268410185824</v>
      </c>
      <c r="H2184">
        <f>IF($G2184=0,"",_xlfn.RANK.EQ($G2184,$G$2:$G$2353,0)+COUNTIF($G$2:G2184,$G2184)-1)</f>
        <v>918</v>
      </c>
    </row>
    <row r="2185" spans="6:8" x14ac:dyDescent="0.25">
      <c r="F2185" t="str">
        <f>"Urza's Mine (V.4)"</f>
        <v>Urza's Mine (V.4)</v>
      </c>
      <c r="G2185">
        <f>SUMIFS(Colección!$L$2:$L$10001,Colección!$F$2:$F$10001,$F2185,Colección!$M$2:$M$10001,"Compra")</f>
        <v>6.1184143152099111</v>
      </c>
      <c r="H2185">
        <f>IF($G2185=0,"",_xlfn.RANK.EQ($G2185,$G$2:$G$2353,0)+COUNTIF($G$2:G2185,$G2185)-1)</f>
        <v>877</v>
      </c>
    </row>
    <row r="2186" spans="6:8" x14ac:dyDescent="0.25">
      <c r="F2186" t="str">
        <f>"Urza's Power Plant"</f>
        <v>Urza's Power Plant</v>
      </c>
      <c r="G2186">
        <f>SUMIFS(Colección!$L$2:$L$10001,Colección!$F$2:$F$10001,$F2186,Colección!$M$2:$M$10001,"Compra")</f>
        <v>3.4424103737604881</v>
      </c>
      <c r="H2186">
        <f>IF($G2186=0,"",_xlfn.RANK.EQ($G2186,$G$2:$G$2353,0)+COUNTIF($G$2:G2186,$G2186)-1)</f>
        <v>1127</v>
      </c>
    </row>
    <row r="2187" spans="6:8" x14ac:dyDescent="0.25">
      <c r="F2187" t="str">
        <f>"Urza's Power Plant (V.1)"</f>
        <v>Urza's Power Plant (V.1)</v>
      </c>
      <c r="G2187">
        <f>SUMIFS(Colección!$L$2:$L$10001,Colección!$F$2:$F$10001,$F2187,Colección!$M$2:$M$10001,"Compra")</f>
        <v>5.6130268410185824</v>
      </c>
      <c r="H2187">
        <f>IF($G2187=0,"",_xlfn.RANK.EQ($G2187,$G$2:$G$2353,0)+COUNTIF($G$2:G2187,$G2187)-1)</f>
        <v>919</v>
      </c>
    </row>
    <row r="2188" spans="6:8" x14ac:dyDescent="0.25">
      <c r="F2188" t="str">
        <f>"Urza's Power Plant (V.2)"</f>
        <v>Urza's Power Plant (V.2)</v>
      </c>
      <c r="G2188">
        <f>SUMIFS(Colección!$L$2:$L$10001,Colección!$F$2:$F$10001,$F2188,Colección!$M$2:$M$10001,"Compra")</f>
        <v>7.3657536132140393</v>
      </c>
      <c r="H2188">
        <f>IF($G2188=0,"",_xlfn.RANK.EQ($G2188,$G$2:$G$2353,0)+COUNTIF($G$2:G2188,$G2188)-1)</f>
        <v>786</v>
      </c>
    </row>
    <row r="2189" spans="6:8" x14ac:dyDescent="0.25">
      <c r="F2189" t="str">
        <f>"Urza's Power Plant (V.3)"</f>
        <v>Urza's Power Plant (V.3)</v>
      </c>
      <c r="G2189">
        <f>SUMIFS(Colección!$L$2:$L$10001,Colección!$F$2:$F$10001,$F2189,Colección!$M$2:$M$10001,"Compra")</f>
        <v>5.6237797660013769</v>
      </c>
      <c r="H2189">
        <f>IF($G2189=0,"",_xlfn.RANK.EQ($G2189,$G$2:$G$2353,0)+COUNTIF($G$2:G2189,$G2189)-1)</f>
        <v>916</v>
      </c>
    </row>
    <row r="2190" spans="6:8" x14ac:dyDescent="0.25">
      <c r="F2190" t="str">
        <f>"Urza's Power Plant (V.4)"</f>
        <v>Urza's Power Plant (V.4)</v>
      </c>
      <c r="G2190">
        <f>SUMIFS(Colección!$L$2:$L$10001,Colección!$F$2:$F$10001,$F2190,Colección!$M$2:$M$10001,"Compra")</f>
        <v>6.4410020646937376</v>
      </c>
      <c r="H2190">
        <f>IF($G2190=0,"",_xlfn.RANK.EQ($G2190,$G$2:$G$2353,0)+COUNTIF($G$2:G2190,$G2190)-1)</f>
        <v>850</v>
      </c>
    </row>
    <row r="2191" spans="6:8" x14ac:dyDescent="0.25">
      <c r="F2191" t="str">
        <f>"Urza's Saga [Playset]"</f>
        <v>Urza's Saga [Playset]</v>
      </c>
      <c r="G2191">
        <f>SUMIFS(Colección!$L$2:$L$10001,Colección!$F$2:$F$10001,$F2191,Colección!$M$2:$M$10001,"Compra")</f>
        <v>133.1</v>
      </c>
      <c r="H2191">
        <f>IF($G2191=0,"",_xlfn.RANK.EQ($G2191,$G$2:$G$2353,0)+COUNTIF($G$2:G2191,$G2191)-1)</f>
        <v>46</v>
      </c>
    </row>
    <row r="2192" spans="6:8" x14ac:dyDescent="0.25">
      <c r="F2192" t="str">
        <f>"Urza's Tower"</f>
        <v>Urza's Tower</v>
      </c>
      <c r="G2192">
        <f>SUMIFS(Colección!$L$2:$L$10001,Colección!$F$2:$F$10001,$F2192,Colección!$M$2:$M$10001,"Compra")</f>
        <v>3.4424103737604881</v>
      </c>
      <c r="H2192">
        <f>IF($G2192=0,"",_xlfn.RANK.EQ($G2192,$G$2:$G$2353,0)+COUNTIF($G$2:G2192,$G2192)-1)</f>
        <v>1128</v>
      </c>
    </row>
    <row r="2193" spans="6:8" x14ac:dyDescent="0.25">
      <c r="F2193" t="str">
        <f>"Urza's Tower (V.1)"</f>
        <v>Urza's Tower (V.1)</v>
      </c>
      <c r="G2193">
        <f>SUMIFS(Colección!$L$2:$L$10001,Colección!$F$2:$F$10001,$F2193,Colección!$M$2:$M$10001,"Compra")</f>
        <v>8.6776104611149343</v>
      </c>
      <c r="H2193">
        <f>IF($G2193=0,"",_xlfn.RANK.EQ($G2193,$G$2:$G$2353,0)+COUNTIF($G$2:G2193,$G2193)-1)</f>
        <v>725</v>
      </c>
    </row>
    <row r="2194" spans="6:8" x14ac:dyDescent="0.25">
      <c r="F2194" t="str">
        <f>"Urza's Tower (V.2)"</f>
        <v>Urza's Tower (V.2)</v>
      </c>
      <c r="G2194">
        <f>SUMIFS(Colección!$L$2:$L$10001,Colección!$F$2:$F$10001,$F2194,Colección!$M$2:$M$10001,"Compra")</f>
        <v>5.6130268410185824</v>
      </c>
      <c r="H2194">
        <f>IF($G2194=0,"",_xlfn.RANK.EQ($G2194,$G$2:$G$2353,0)+COUNTIF($G$2:G2194,$G2194)-1)</f>
        <v>920</v>
      </c>
    </row>
    <row r="2195" spans="6:8" x14ac:dyDescent="0.25">
      <c r="F2195" t="str">
        <f>"Urza's Tower (V.3)"</f>
        <v>Urza's Tower (V.3)</v>
      </c>
      <c r="G2195">
        <f>SUMIFS(Colección!$L$2:$L$10001,Colección!$F$2:$F$10001,$F2195,Colección!$M$2:$M$10001,"Compra")</f>
        <v>5.6130268410185824</v>
      </c>
      <c r="H2195">
        <f>IF($G2195=0,"",_xlfn.RANK.EQ($G2195,$G$2:$G$2353,0)+COUNTIF($G$2:G2195,$G2195)-1)</f>
        <v>921</v>
      </c>
    </row>
    <row r="2196" spans="6:8" x14ac:dyDescent="0.25">
      <c r="F2196" t="str">
        <f>"Urza's Tower (V.4)"</f>
        <v>Urza's Tower (V.4)</v>
      </c>
      <c r="G2196">
        <f>SUMIFS(Colección!$L$2:$L$10001,Colección!$F$2:$F$10001,$F2196,Colección!$M$2:$M$10001,"Compra")</f>
        <v>8.1614700619408111</v>
      </c>
      <c r="H2196">
        <f>IF($G2196=0,"",_xlfn.RANK.EQ($G2196,$G$2:$G$2353,0)+COUNTIF($G$2:G2196,$G2196)-1)</f>
        <v>740</v>
      </c>
    </row>
    <row r="2197" spans="6:8" x14ac:dyDescent="0.25">
      <c r="F2197" t="str">
        <f>"Urza, Lord High Artificer (V.1)"</f>
        <v>Urza, Lord High Artificer (V.1)</v>
      </c>
      <c r="G2197">
        <f>SUMIFS(Colección!$L$2:$L$10001,Colección!$F$2:$F$10001,$F2197,Colección!$M$2:$M$10001,"Compra")</f>
        <v>35.34649147330164</v>
      </c>
      <c r="H2197">
        <f>IF($G2197=0,"",_xlfn.RANK.EQ($G2197,$G$2:$G$2353,0)+COUNTIF($G$2:G2197,$G2197)-1)</f>
        <v>240</v>
      </c>
    </row>
    <row r="2198" spans="6:8" x14ac:dyDescent="0.25">
      <c r="F2198" t="str">
        <f>"Uso-Hachi (OP05-061)"</f>
        <v>Uso-Hachi (OP05-061)</v>
      </c>
      <c r="G2198">
        <f>SUMIFS(Colección!$L$2:$L$10001,Colección!$F$2:$F$10001,$F2198,Colección!$M$2:$M$10001,"Compra")</f>
        <v>0.1411889132020423</v>
      </c>
      <c r="H2198">
        <f>IF($G2198=0,"",_xlfn.RANK.EQ($G2198,$G$2:$G$2353,0)+COUNTIF($G$2:G2198,$G2198)-1)</f>
        <v>2129</v>
      </c>
    </row>
    <row r="2199" spans="6:8" x14ac:dyDescent="0.25">
      <c r="F2199" t="str">
        <f>"Usopp (OP03-041) (V.1)"</f>
        <v>Usopp (OP03-041) (V.1)</v>
      </c>
      <c r="G2199">
        <f>SUMIFS(Colección!$L$2:$L$10001,Colección!$F$2:$F$10001,$F2199,Colección!$M$2:$M$10001,"Compra")</f>
        <v>0.58935574229691878</v>
      </c>
      <c r="H2199">
        <f>IF($G2199=0,"",_xlfn.RANK.EQ($G2199,$G$2:$G$2353,0)+COUNTIF($G$2:G2199,$G2199)-1)</f>
        <v>1834</v>
      </c>
    </row>
    <row r="2200" spans="6:8" x14ac:dyDescent="0.25">
      <c r="F2200" t="str">
        <f>"Usopp (OP04-003)"</f>
        <v>Usopp (OP04-003)</v>
      </c>
      <c r="G2200">
        <f>SUMIFS(Colección!$L$2:$L$10001,Colección!$F$2:$F$10001,$F2200,Colección!$M$2:$M$10001,"Compra")</f>
        <v>2.5686746987951811E-2</v>
      </c>
      <c r="H2200">
        <f>IF($G2200=0,"",_xlfn.RANK.EQ($G2200,$G$2:$G$2353,0)+COUNTIF($G$2:G2200,$G2200)-1)</f>
        <v>2350</v>
      </c>
    </row>
    <row r="2201" spans="6:8" x14ac:dyDescent="0.25">
      <c r="F2201" t="str">
        <f>"Usopp's Pirate Crew (OP03-042)"</f>
        <v>Usopp's Pirate Crew (OP03-042)</v>
      </c>
      <c r="G2201">
        <f>SUMIFS(Colección!$L$2:$L$10001,Colección!$F$2:$F$10001,$F2201,Colección!$M$2:$M$10001,"Compra")</f>
        <v>9.5193798449612399E-2</v>
      </c>
      <c r="H2201">
        <f>IF($G2201=0,"",_xlfn.RANK.EQ($G2201,$G$2:$G$2353,0)+COUNTIF($G$2:G2201,$G2201)-1)</f>
        <v>2193</v>
      </c>
    </row>
    <row r="2202" spans="6:8" x14ac:dyDescent="0.25">
      <c r="F2202" t="str">
        <f>"Usopp's Rubber Band of Doom!!! (OP03-054)"</f>
        <v>Usopp's Rubber Band of Doom!!! (OP03-054)</v>
      </c>
      <c r="G2202">
        <f>SUMIFS(Colección!$L$2:$L$10001,Colección!$F$2:$F$10001,$F2202,Colección!$M$2:$M$10001,"Compra")</f>
        <v>9.5193798449612399E-2</v>
      </c>
      <c r="H2202">
        <f>IF($G2202=0,"",_xlfn.RANK.EQ($G2202,$G$2:$G$2353,0)+COUNTIF($G$2:G2202,$G2202)-1)</f>
        <v>2194</v>
      </c>
    </row>
    <row r="2203" spans="6:8" x14ac:dyDescent="0.25">
      <c r="F2203" t="str">
        <f>"Uta (P-011)"</f>
        <v>Uta (P-011)</v>
      </c>
      <c r="G2203">
        <f>SUMIFS(Colección!$L$2:$L$10001,Colección!$F$2:$F$10001,$F2203,Colección!$M$2:$M$10001,"Compra")</f>
        <v>0.1189922480620155</v>
      </c>
      <c r="H2203">
        <f>IF($G2203=0,"",_xlfn.RANK.EQ($G2203,$G$2:$G$2353,0)+COUNTIF($G$2:G2203,$G2203)-1)</f>
        <v>2155</v>
      </c>
    </row>
    <row r="2204" spans="6:8" x14ac:dyDescent="0.25">
      <c r="F2204" t="str">
        <f>"Utopia Sprawl"</f>
        <v>Utopia Sprawl</v>
      </c>
      <c r="G2204">
        <f>SUMIFS(Colección!$L$2:$L$10001,Colección!$F$2:$F$10001,$F2204,Colección!$M$2:$M$10001,"Compra")</f>
        <v>47.94399219131283</v>
      </c>
      <c r="H2204">
        <f>IF($G2204=0,"",_xlfn.RANK.EQ($G2204,$G$2:$G$2353,0)+COUNTIF($G$2:G2204,$G2204)-1)</f>
        <v>180</v>
      </c>
    </row>
    <row r="2205" spans="6:8" x14ac:dyDescent="0.25">
      <c r="F2205" t="str">
        <f>"Valakut, the Molten Pinnacle"</f>
        <v>Valakut, the Molten Pinnacle</v>
      </c>
      <c r="G2205">
        <f>SUMIFS(Colección!$L$2:$L$10001,Colección!$F$2:$F$10001,$F2205,Colección!$M$2:$M$10001,"Compra")</f>
        <v>34.67</v>
      </c>
      <c r="H2205">
        <f>IF($G2205=0,"",_xlfn.RANK.EQ($G2205,$G$2:$G$2353,0)+COUNTIF($G$2:G2205,$G2205)-1)</f>
        <v>246</v>
      </c>
    </row>
    <row r="2206" spans="6:8" x14ac:dyDescent="0.25">
      <c r="F2206" t="str">
        <f>"Valki, God of Lies // Tibalt, Cosmic Impostor"</f>
        <v>Valki, God of Lies // Tibalt, Cosmic Impostor</v>
      </c>
      <c r="G2206">
        <f>SUMIFS(Colección!$L$2:$L$10001,Colección!$F$2:$F$10001,$F2206,Colección!$M$2:$M$10001,"Compra")</f>
        <v>23.475413711583919</v>
      </c>
      <c r="H2206">
        <f>IF($G2206=0,"",_xlfn.RANK.EQ($G2206,$G$2:$G$2353,0)+COUNTIF($G$2:G2206,$G2206)-1)</f>
        <v>333</v>
      </c>
    </row>
    <row r="2207" spans="6:8" x14ac:dyDescent="0.25">
      <c r="F2207" t="str">
        <f>"Valley of Idols"</f>
        <v>Valley of Idols</v>
      </c>
      <c r="G2207">
        <f>SUMIFS(Colección!$L$2:$L$10001,Colección!$F$2:$F$10001,$F2207,Colección!$M$2:$M$10001,"Compra")</f>
        <v>0.49773087071240107</v>
      </c>
      <c r="H2207">
        <f>IF($G2207=0,"",_xlfn.RANK.EQ($G2207,$G$2:$G$2353,0)+COUNTIF($G$2:G2207,$G2207)-1)</f>
        <v>1883</v>
      </c>
    </row>
    <row r="2208" spans="6:8" x14ac:dyDescent="0.25">
      <c r="F2208" t="str">
        <f>"Vampire Token (White 1/1 Lifelink)"</f>
        <v>Vampire Token (White 1/1 Lifelink)</v>
      </c>
      <c r="G2208">
        <f>SUMIFS(Colección!$L$2:$L$10001,Colección!$F$2:$F$10001,$F2208,Colección!$M$2:$M$10001,"Compra")</f>
        <v>3.526666666666666</v>
      </c>
      <c r="H2208">
        <f>IF($G2208=0,"",_xlfn.RANK.EQ($G2208,$G$2:$G$2353,0)+COUNTIF($G$2:G2208,$G2208)-1)</f>
        <v>1116</v>
      </c>
    </row>
    <row r="2209" spans="6:8" x14ac:dyDescent="0.25">
      <c r="F2209" t="str">
        <f>"Vampires' Vengeance"</f>
        <v>Vampires' Vengeance</v>
      </c>
      <c r="G2209">
        <f>SUMIFS(Colección!$L$2:$L$10001,Colección!$F$2:$F$10001,$F2209,Colección!$M$2:$M$10001,"Compra")</f>
        <v>2.2528988764044944</v>
      </c>
      <c r="H2209">
        <f>IF($G2209=0,"",_xlfn.RANK.EQ($G2209,$G$2:$G$2353,0)+COUNTIF($G$2:G2209,$G2209)-1)</f>
        <v>1297</v>
      </c>
    </row>
    <row r="2210" spans="6:8" x14ac:dyDescent="0.25">
      <c r="F2210" t="str">
        <f>"Vandalblast"</f>
        <v>Vandalblast</v>
      </c>
      <c r="G2210">
        <f>SUMIFS(Colección!$L$2:$L$10001,Colección!$F$2:$F$10001,$F2210,Colección!$M$2:$M$10001,"Compra")</f>
        <v>5.7214285714285724</v>
      </c>
      <c r="H2210">
        <f>IF($G2210=0,"",_xlfn.RANK.EQ($G2210,$G$2:$G$2353,0)+COUNTIF($G$2:G2210,$G2210)-1)</f>
        <v>911</v>
      </c>
    </row>
    <row r="2211" spans="6:8" x14ac:dyDescent="0.25">
      <c r="F2211" t="str">
        <f>"Vanishing Verse"</f>
        <v>Vanishing Verse</v>
      </c>
      <c r="G2211">
        <f>SUMIFS(Colección!$L$2:$L$10001,Colección!$F$2:$F$10001,$F2211,Colección!$M$2:$M$10001,"Compra")</f>
        <v>10.949468913570788</v>
      </c>
      <c r="H2211">
        <f>IF($G2211=0,"",_xlfn.RANK.EQ($G2211,$G$2:$G$2353,0)+COUNTIF($G$2:G2211,$G2211)-1)</f>
        <v>624</v>
      </c>
    </row>
    <row r="2212" spans="6:8" x14ac:dyDescent="0.25">
      <c r="F2212" t="str">
        <f>"Vapor Snag"</f>
        <v>Vapor Snag</v>
      </c>
      <c r="G2212">
        <f>SUMIFS(Colección!$L$2:$L$10001,Colección!$F$2:$F$10001,$F2212,Colección!$M$2:$M$10001,"Compra")</f>
        <v>1.5658102392525723</v>
      </c>
      <c r="H2212">
        <f>IF($G2212=0,"",_xlfn.RANK.EQ($G2212,$G$2:$G$2353,0)+COUNTIF($G$2:G2212,$G2212)-1)</f>
        <v>1471</v>
      </c>
    </row>
    <row r="2213" spans="6:8" x14ac:dyDescent="0.25">
      <c r="F2213" t="str">
        <f>"Vault of Whispers"</f>
        <v>Vault of Whispers</v>
      </c>
      <c r="G2213">
        <f>SUMIFS(Colección!$L$2:$L$10001,Colección!$F$2:$F$10001,$F2213,Colección!$M$2:$M$10001,"Compra")</f>
        <v>15.272727272727272</v>
      </c>
      <c r="H2213">
        <f>IF($G2213=0,"",_xlfn.RANK.EQ($G2213,$G$2:$G$2353,0)+COUNTIF($G$2:G2213,$G2213)-1)</f>
        <v>494</v>
      </c>
    </row>
    <row r="2214" spans="6:8" x14ac:dyDescent="0.25">
      <c r="F2214" t="str">
        <f>"Veil of Summer"</f>
        <v>Veil of Summer</v>
      </c>
      <c r="G2214">
        <f>SUMIFS(Colección!$L$2:$L$10001,Colección!$F$2:$F$10001,$F2214,Colección!$M$2:$M$10001,"Compra")</f>
        <v>20.856592386844259</v>
      </c>
      <c r="H2214">
        <f>IF($G2214=0,"",_xlfn.RANK.EQ($G2214,$G$2:$G$2353,0)+COUNTIF($G$2:G2214,$G2214)-1)</f>
        <v>382</v>
      </c>
    </row>
    <row r="2215" spans="6:8" x14ac:dyDescent="0.25">
      <c r="F2215" t="str">
        <f>"Vendilion Clique"</f>
        <v>Vendilion Clique</v>
      </c>
      <c r="G2215">
        <f>SUMIFS(Colección!$L$2:$L$10001,Colección!$F$2:$F$10001,$F2215,Colección!$M$2:$M$10001,"Compra")</f>
        <v>9.2517647058823531</v>
      </c>
      <c r="H2215">
        <f>IF($G2215=0,"",_xlfn.RANK.EQ($G2215,$G$2:$G$2353,0)+COUNTIF($G$2:G2215,$G2215)-1)</f>
        <v>690</v>
      </c>
    </row>
    <row r="2216" spans="6:8" x14ac:dyDescent="0.25">
      <c r="F2216" t="str">
        <f>"Venerated Loxodon"</f>
        <v>Venerated Loxodon</v>
      </c>
      <c r="G2216">
        <f>SUMIFS(Colección!$L$2:$L$10001,Colección!$F$2:$F$10001,$F2216,Colección!$M$2:$M$10001,"Compra")</f>
        <v>3.3573579248500844</v>
      </c>
      <c r="H2216">
        <f>IF($G2216=0,"",_xlfn.RANK.EQ($G2216,$G$2:$G$2353,0)+COUNTIF($G$2:G2216,$G2216)-1)</f>
        <v>1139</v>
      </c>
    </row>
    <row r="2217" spans="6:8" x14ac:dyDescent="0.25">
      <c r="F2217" t="str">
        <f>"Venerated Rotpriest"</f>
        <v>Venerated Rotpriest</v>
      </c>
      <c r="G2217">
        <f>SUMIFS(Colección!$L$2:$L$10001,Colección!$F$2:$F$10001,$F2217,Colección!$M$2:$M$10001,"Compra")</f>
        <v>14.50060606060606</v>
      </c>
      <c r="H2217">
        <f>IF($G2217=0,"",_xlfn.RANK.EQ($G2217,$G$2:$G$2353,0)+COUNTIF($G$2:G2217,$G2217)-1)</f>
        <v>513</v>
      </c>
    </row>
    <row r="2218" spans="6:8" x14ac:dyDescent="0.25">
      <c r="F2218" t="str">
        <f>"Venerated Rotpriest (V.1)"</f>
        <v>Venerated Rotpriest (V.1)</v>
      </c>
      <c r="G2218">
        <f>SUMIFS(Colección!$L$2:$L$10001,Colección!$F$2:$F$10001,$F2218,Colección!$M$2:$M$10001,"Compra")</f>
        <v>20.359393939393939</v>
      </c>
      <c r="H2218">
        <f>IF($G2218=0,"",_xlfn.RANK.EQ($G2218,$G$2:$G$2353,0)+COUNTIF($G$2:G2218,$G2218)-1)</f>
        <v>391</v>
      </c>
    </row>
    <row r="2219" spans="6:8" x14ac:dyDescent="0.25">
      <c r="F2219" t="str">
        <f>"Vengeful Bloodwitch"</f>
        <v>Vengeful Bloodwitch</v>
      </c>
      <c r="G2219">
        <f>SUMIFS(Colección!$L$2:$L$10001,Colección!$F$2:$F$10001,$F2219,Colección!$M$2:$M$10001,"Compra")</f>
        <v>1.709714285714286</v>
      </c>
      <c r="H2219">
        <f>IF($G2219=0,"",_xlfn.RANK.EQ($G2219,$G$2:$G$2353,0)+COUNTIF($G$2:G2219,$G2219)-1)</f>
        <v>1422</v>
      </c>
    </row>
    <row r="2220" spans="6:8" x14ac:dyDescent="0.25">
      <c r="F2220" t="str">
        <f>"Vengevine"</f>
        <v>Vengevine</v>
      </c>
      <c r="G2220">
        <f>SUMIFS(Colección!$L$2:$L$10001,Colección!$F$2:$F$10001,$F2220,Colección!$M$2:$M$10001,"Compra")</f>
        <v>28.521608280254775</v>
      </c>
      <c r="H2220">
        <f>IF($G2220=0,"",_xlfn.RANK.EQ($G2220,$G$2:$G$2353,0)+COUNTIF($G$2:G2220,$G2220)-1)</f>
        <v>288</v>
      </c>
    </row>
    <row r="2221" spans="6:8" x14ac:dyDescent="0.25">
      <c r="F2221" t="str">
        <f>"Verdant Catacombs"</f>
        <v>Verdant Catacombs</v>
      </c>
      <c r="G2221">
        <f>SUMIFS(Colección!$L$2:$L$10001,Colección!$F$2:$F$10001,$F2221,Colección!$M$2:$M$10001,"Compra")</f>
        <v>69.28</v>
      </c>
      <c r="H2221">
        <f>IF($G2221=0,"",_xlfn.RANK.EQ($G2221,$G$2:$G$2353,0)+COUNTIF($G$2:G2221,$G2221)-1)</f>
        <v>115</v>
      </c>
    </row>
    <row r="2222" spans="6:8" x14ac:dyDescent="0.25">
      <c r="F2222" t="str">
        <f>"Verdant Catacombs (V.1)"</f>
        <v>Verdant Catacombs (V.1)</v>
      </c>
      <c r="G2222">
        <f>SUMIFS(Colección!$L$2:$L$10001,Colección!$F$2:$F$10001,$F2222,Colección!$M$2:$M$10001,"Compra")</f>
        <v>121.13435185185186</v>
      </c>
      <c r="H2222">
        <f>IF($G2222=0,"",_xlfn.RANK.EQ($G2222,$G$2:$G$2353,0)+COUNTIF($G$2:G2222,$G2222)-1)</f>
        <v>56</v>
      </c>
    </row>
    <row r="2223" spans="6:8" x14ac:dyDescent="0.25">
      <c r="F2223" t="str">
        <f>"Vergo (OP03-079)"</f>
        <v>Vergo (OP03-079)</v>
      </c>
      <c r="G2223">
        <f>SUMIFS(Colección!$L$2:$L$10001,Colección!$F$2:$F$10001,$F2223,Colección!$M$2:$M$10001,"Compra")</f>
        <v>0.22608527131782949</v>
      </c>
      <c r="H2223">
        <f>IF($G2223=0,"",_xlfn.RANK.EQ($G2223,$G$2:$G$2353,0)+COUNTIF($G$2:G2223,$G2223)-1)</f>
        <v>2076</v>
      </c>
    </row>
    <row r="2224" spans="6:8" x14ac:dyDescent="0.25">
      <c r="F2224" t="str">
        <f>"Vergo (OP05-023)"</f>
        <v>Vergo (OP05-023)</v>
      </c>
      <c r="G2224">
        <f>SUMIFS(Colección!$L$2:$L$10001,Colección!$F$2:$F$10001,$F2224,Colección!$M$2:$M$10001,"Compra")</f>
        <v>0.13530852105778651</v>
      </c>
      <c r="H2224">
        <f>IF($G2224=0,"",_xlfn.RANK.EQ($G2224,$G$2:$G$2353,0)+COUNTIF($G$2:G2224,$G2224)-1)</f>
        <v>2136</v>
      </c>
    </row>
    <row r="2225" spans="6:8" x14ac:dyDescent="0.25">
      <c r="F2225" t="str">
        <f>"Vesuva"</f>
        <v>Vesuva</v>
      </c>
      <c r="G2225">
        <f>SUMIFS(Colección!$L$2:$L$10001,Colección!$F$2:$F$10001,$F2225,Colección!$M$2:$M$10001,"Compra")</f>
        <v>11.21</v>
      </c>
      <c r="H2225">
        <f>IF($G2225=0,"",_xlfn.RANK.EQ($G2225,$G$2:$G$2353,0)+COUNTIF($G$2:G2225,$G2225)-1)</f>
        <v>608</v>
      </c>
    </row>
    <row r="2226" spans="6:8" x14ac:dyDescent="0.25">
      <c r="F2226" t="str">
        <f>"Vex, Cheerless"</f>
        <v>Vex, Cheerless</v>
      </c>
      <c r="G2226">
        <f>SUMIFS(Colección!$L$2:$L$10001,Colección!$F$2:$F$10001,$F2226,Colección!$M$2:$M$10001,"Compra")</f>
        <v>2.1135742971887552</v>
      </c>
      <c r="H2226">
        <f>IF($G2226=0,"",_xlfn.RANK.EQ($G2226,$G$2:$G$2353,0)+COUNTIF($G$2:G2226,$G2226)-1)</f>
        <v>1342</v>
      </c>
    </row>
    <row r="2227" spans="6:8" x14ac:dyDescent="0.25">
      <c r="F2227" t="str">
        <f>"Vex, Gloomist (V.2 - Showcase)"</f>
        <v>Vex, Gloomist (V.2 - Showcase)</v>
      </c>
      <c r="G2227">
        <f>SUMIFS(Colección!$L$2:$L$10001,Colección!$F$2:$F$10001,$F2227,Colección!$M$2:$M$10001,"Compra")</f>
        <v>76.29554140127388</v>
      </c>
      <c r="H2227">
        <f>IF($G2227=0,"",_xlfn.RANK.EQ($G2227,$G$2:$G$2353,0)+COUNTIF($G$2:G2227,$G2227)-1)</f>
        <v>103</v>
      </c>
    </row>
    <row r="2228" spans="6:8" x14ac:dyDescent="0.25">
      <c r="F2228" t="str">
        <f>"Vi, Peacekeeper (V.2 - Showcase)"</f>
        <v>Vi, Peacekeeper (V.2 - Showcase)</v>
      </c>
      <c r="G2228">
        <f>SUMIFS(Colección!$L$2:$L$10001,Colección!$F$2:$F$10001,$F2228,Colección!$M$2:$M$10001,"Compra")</f>
        <v>29.749999999999996</v>
      </c>
      <c r="H2228">
        <f>IF($G2228=0,"",_xlfn.RANK.EQ($G2228,$G$2:$G$2353,0)+COUNTIF($G$2:G2228,$G2228)-1)</f>
        <v>283</v>
      </c>
    </row>
    <row r="2229" spans="6:8" x14ac:dyDescent="0.25">
      <c r="F2229" t="str">
        <f>"Viktor, Herald of the Arcane (V.2 - Showcase)"</f>
        <v>Viktor, Herald of the Arcane (V.2 - Showcase)</v>
      </c>
      <c r="G2229">
        <f>SUMIFS(Colección!$L$2:$L$10001,Colección!$F$2:$F$10001,$F2229,Colección!$M$2:$M$10001,"Compra")</f>
        <v>67.06</v>
      </c>
      <c r="H2229">
        <f>IF($G2229=0,"",_xlfn.RANK.EQ($G2229,$G$2:$G$2353,0)+COUNTIF($G$2:G2229,$G2229)-1)</f>
        <v>122</v>
      </c>
    </row>
    <row r="2230" spans="6:8" x14ac:dyDescent="0.25">
      <c r="F2230" t="str">
        <f>"Viktor, Leader (V.2 - Showcase)"</f>
        <v>Viktor, Leader (V.2 - Showcase)</v>
      </c>
      <c r="G2230">
        <f>SUMIFS(Colección!$L$2:$L$10001,Colección!$F$2:$F$10001,$F2230,Colección!$M$2:$M$10001,"Compra")</f>
        <v>62.35</v>
      </c>
      <c r="H2230">
        <f>IF($G2230=0,"",_xlfn.RANK.EQ($G2230,$G$2:$G$2353,0)+COUNTIF($G$2:G2230,$G2230)-1)</f>
        <v>136</v>
      </c>
    </row>
    <row r="2231" spans="6:8" x14ac:dyDescent="0.25">
      <c r="F2231" t="str">
        <f>"Vindicate"</f>
        <v>Vindicate</v>
      </c>
      <c r="G2231">
        <f>SUMIFS(Colección!$L$2:$L$10001,Colección!$F$2:$F$10001,$F2231,Colección!$M$2:$M$10001,"Compra")</f>
        <v>27.137164579606441</v>
      </c>
      <c r="H2231">
        <f>IF($G2231=0,"",_xlfn.RANK.EQ($G2231,$G$2:$G$2353,0)+COUNTIF($G$2:G2231,$G2231)-1)</f>
        <v>293</v>
      </c>
    </row>
    <row r="2232" spans="6:8" x14ac:dyDescent="0.25">
      <c r="F2232" t="str">
        <f>"Vindicate (V.1)"</f>
        <v>Vindicate (V.1)</v>
      </c>
      <c r="G2232">
        <f>SUMIFS(Colección!$L$2:$L$10001,Colección!$F$2:$F$10001,$F2232,Colección!$M$2:$M$10001,"Compra")</f>
        <v>5.1924572317262836</v>
      </c>
      <c r="H2232">
        <f>IF($G2232=0,"",_xlfn.RANK.EQ($G2232,$G$2:$G$2353,0)+COUNTIF($G$2:G2232,$G2232)-1)</f>
        <v>958</v>
      </c>
    </row>
    <row r="2233" spans="6:8" x14ac:dyDescent="0.25">
      <c r="F2233" t="str">
        <f>"Vines of Vastwood"</f>
        <v>Vines of Vastwood</v>
      </c>
      <c r="G2233">
        <f>SUMIFS(Colección!$L$2:$L$10001,Colección!$F$2:$F$10001,$F2233,Colección!$M$2:$M$10001,"Compra")</f>
        <v>6.0115039281705958</v>
      </c>
      <c r="H2233">
        <f>IF($G2233=0,"",_xlfn.RANK.EQ($G2233,$G$2:$G$2353,0)+COUNTIF($G$2:G2233,$G2233)-1)</f>
        <v>891</v>
      </c>
    </row>
    <row r="2234" spans="6:8" x14ac:dyDescent="0.25">
      <c r="F2234" t="str">
        <f>"Vinsmoke Judge (OP06-062) (V.1)"</f>
        <v>Vinsmoke Judge (OP06-062) (V.1)</v>
      </c>
      <c r="G2234">
        <f>SUMIFS(Colección!$L$2:$L$10001,Colección!$F$2:$F$10001,$F2234,Colección!$M$2:$M$10001,"Compra")</f>
        <v>2.3814398422090735</v>
      </c>
      <c r="H2234">
        <f>IF($G2234=0,"",_xlfn.RANK.EQ($G2234,$G$2:$G$2353,0)+COUNTIF($G$2:G2234,$G2234)-1)</f>
        <v>1270</v>
      </c>
    </row>
    <row r="2235" spans="6:8" x14ac:dyDescent="0.25">
      <c r="F2235" t="str">
        <f>"Vinsmoke Reiju (OP06-042) (V.1)"</f>
        <v>Vinsmoke Reiju (OP06-042) (V.1)</v>
      </c>
      <c r="G2235">
        <f>SUMIFS(Colección!$L$2:$L$10001,Colección!$F$2:$F$10001,$F2235,Colección!$M$2:$M$10001,"Compra")</f>
        <v>3.1855043081601621E-2</v>
      </c>
      <c r="H2235">
        <f>IF($G2235=0,"",_xlfn.RANK.EQ($G2235,$G$2:$G$2353,0)+COUNTIF($G$2:G2235,$G2235)-1)</f>
        <v>2337</v>
      </c>
    </row>
    <row r="2236" spans="6:8" x14ac:dyDescent="0.25">
      <c r="F2236" t="str">
        <f>"Viola (OP04-021)"</f>
        <v>Viola (OP04-021)</v>
      </c>
      <c r="G2236">
        <f>SUMIFS(Colección!$L$2:$L$10001,Colección!$F$2:$F$10001,$F2236,Colección!$M$2:$M$10001,"Compra")</f>
        <v>6.1898734177215198E-2</v>
      </c>
      <c r="H2236">
        <f>IF($G2236=0,"",_xlfn.RANK.EQ($G2236,$G$2:$G$2353,0)+COUNTIF($G$2:G2236,$G2236)-1)</f>
        <v>2312</v>
      </c>
    </row>
    <row r="2237" spans="6:8" x14ac:dyDescent="0.25">
      <c r="F2237" t="str">
        <f>"Viola (OP05-079)"</f>
        <v>Viola (OP05-079)</v>
      </c>
      <c r="G2237">
        <f>SUMIFS(Colección!$L$2:$L$10001,Colección!$F$2:$F$10001,$F2237,Colección!$M$2:$M$10001,"Compra")</f>
        <v>6.7654260528893242E-2</v>
      </c>
      <c r="H2237">
        <f>IF($G2237=0,"",_xlfn.RANK.EQ($G2237,$G$2:$G$2353,0)+COUNTIF($G$2:G2237,$G2237)-1)</f>
        <v>2255</v>
      </c>
    </row>
    <row r="2238" spans="6:8" x14ac:dyDescent="0.25">
      <c r="F2238" t="str">
        <f>"Viridian Corrupter"</f>
        <v>Viridian Corrupter</v>
      </c>
      <c r="G2238">
        <f>SUMIFS(Colección!$L$2:$L$10001,Colección!$F$2:$F$10001,$F2238,Colección!$M$2:$M$10001,"Compra")</f>
        <v>0.84161054994388318</v>
      </c>
      <c r="H2238">
        <f>IF($G2238=0,"",_xlfn.RANK.EQ($G2238,$G$2:$G$2353,0)+COUNTIF($G$2:G2238,$G2238)-1)</f>
        <v>1705</v>
      </c>
    </row>
    <row r="2239" spans="6:8" x14ac:dyDescent="0.25">
      <c r="F2239" t="str">
        <f>"Viridian Longbow"</f>
        <v>Viridian Longbow</v>
      </c>
      <c r="G2239">
        <f>SUMIFS(Colección!$L$2:$L$10001,Colección!$F$2:$F$10001,$F2239,Colección!$M$2:$M$10001,"Compra")</f>
        <v>0.5596733668341709</v>
      </c>
      <c r="H2239">
        <f>IF($G2239=0,"",_xlfn.RANK.EQ($G2239,$G$2:$G$2353,0)+COUNTIF($G$2:G2239,$G2239)-1)</f>
        <v>1848</v>
      </c>
    </row>
    <row r="2240" spans="6:8" x14ac:dyDescent="0.25">
      <c r="F2240" t="str">
        <f>"Virtue of Loyalty // Ardenvale Fealty"</f>
        <v>Virtue of Loyalty // Ardenvale Fealty</v>
      </c>
      <c r="G2240">
        <f>SUMIFS(Colección!$L$2:$L$10001,Colección!$F$2:$F$10001,$F2240,Colección!$M$2:$M$10001,"Compra")</f>
        <v>56.351061843640615</v>
      </c>
      <c r="H2240">
        <f>IF($G2240=0,"",_xlfn.RANK.EQ($G2240,$G$2:$G$2353,0)+COUNTIF($G$2:G2240,$G2240)-1)</f>
        <v>154</v>
      </c>
    </row>
    <row r="2241" spans="6:8" x14ac:dyDescent="0.25">
      <c r="F2241" t="str">
        <f>"Viscera Seer"</f>
        <v>Viscera Seer</v>
      </c>
      <c r="G2241">
        <f>SUMIFS(Colección!$L$2:$L$10001,Colección!$F$2:$F$10001,$F2241,Colección!$M$2:$M$10001,"Compra")</f>
        <v>2.1537142857142859</v>
      </c>
      <c r="H2241">
        <f>IF($G2241=0,"",_xlfn.RANK.EQ($G2241,$G$2:$G$2353,0)+COUNTIF($G$2:G2241,$G2241)-1)</f>
        <v>1328</v>
      </c>
    </row>
    <row r="2242" spans="6:8" x14ac:dyDescent="0.25">
      <c r="F2242" t="str">
        <f>"Visions of Beyond"</f>
        <v>Visions of Beyond</v>
      </c>
      <c r="G2242">
        <f>SUMIFS(Colección!$L$2:$L$10001,Colección!$F$2:$F$10001,$F2242,Colección!$M$2:$M$10001,"Compra")</f>
        <v>26.123595505617978</v>
      </c>
      <c r="H2242">
        <f>IF($G2242=0,"",_xlfn.RANK.EQ($G2242,$G$2:$G$2353,0)+COUNTIF($G$2:G2242,$G2242)-1)</f>
        <v>300</v>
      </c>
    </row>
    <row r="2243" spans="6:8" x14ac:dyDescent="0.25">
      <c r="F2243" t="str">
        <f>"Vivi Ornitier (V.1)"</f>
        <v>Vivi Ornitier (V.1)</v>
      </c>
      <c r="G2243">
        <f>SUMIFS(Colección!$L$2:$L$10001,Colección!$F$2:$F$10001,$F2243,Colección!$M$2:$M$10001,"Compra")</f>
        <v>324.79000000000002</v>
      </c>
      <c r="H2243">
        <f>IF($G2243=0,"",_xlfn.RANK.EQ($G2243,$G$2:$G$2353,0)+COUNTIF($G$2:G2243,$G2243)-1)</f>
        <v>6</v>
      </c>
    </row>
    <row r="2244" spans="6:8" x14ac:dyDescent="0.25">
      <c r="F2244" t="str">
        <f>"Vivien Reid"</f>
        <v>Vivien Reid</v>
      </c>
      <c r="G2244">
        <f>SUMIFS(Colección!$L$2:$L$10001,Colección!$F$2:$F$10001,$F2244,Colección!$M$2:$M$10001,"Compra")</f>
        <v>2.7811059907834101</v>
      </c>
      <c r="H2244">
        <f>IF($G2244=0,"",_xlfn.RANK.EQ($G2244,$G$2:$G$2353,0)+COUNTIF($G$2:G2244,$G2244)-1)</f>
        <v>1218</v>
      </c>
    </row>
    <row r="2245" spans="6:8" x14ac:dyDescent="0.25">
      <c r="F2245" t="str">
        <f>"Vivien, Champion of the Wilds"</f>
        <v>Vivien, Champion of the Wilds</v>
      </c>
      <c r="G2245">
        <f>SUMIFS(Colección!$L$2:$L$10001,Colección!$F$2:$F$10001,$F2245,Colección!$M$2:$M$10001,"Compra")</f>
        <v>0.98181818181818192</v>
      </c>
      <c r="H2245">
        <f>IF($G2245=0,"",_xlfn.RANK.EQ($G2245,$G$2:$G$2353,0)+COUNTIF($G$2:G2245,$G2245)-1)</f>
        <v>1666</v>
      </c>
    </row>
    <row r="2246" spans="6:8" x14ac:dyDescent="0.25">
      <c r="F2246" t="str">
        <f>"Vizier of Remedies"</f>
        <v>Vizier of Remedies</v>
      </c>
      <c r="G2246">
        <f>SUMIFS(Colección!$L$2:$L$10001,Colección!$F$2:$F$10001,$F2246,Colección!$M$2:$M$10001,"Compra")</f>
        <v>1.2402344665885108</v>
      </c>
      <c r="H2246">
        <f>IF($G2246=0,"",_xlfn.RANK.EQ($G2246,$G$2:$G$2353,0)+COUNTIF($G$2:G2246,$G2246)-1)</f>
        <v>1557</v>
      </c>
    </row>
    <row r="2247" spans="6:8" x14ac:dyDescent="0.25">
      <c r="F2247" t="str">
        <f>"Vodalian Hexcatcher"</f>
        <v>Vodalian Hexcatcher</v>
      </c>
      <c r="G2247">
        <f>SUMIFS(Colección!$L$2:$L$10001,Colección!$F$2:$F$10001,$F2247,Colección!$M$2:$M$10001,"Compra")</f>
        <v>4.3636363636363642</v>
      </c>
      <c r="H2247">
        <f>IF($G2247=0,"",_xlfn.RANK.EQ($G2247,$G$2:$G$2353,0)+COUNTIF($G$2:G2247,$G2247)-1)</f>
        <v>1019</v>
      </c>
    </row>
    <row r="2248" spans="6:8" x14ac:dyDescent="0.25">
      <c r="F2248" t="str">
        <f>"Voice of Resurgence"</f>
        <v>Voice of Resurgence</v>
      </c>
      <c r="G2248">
        <f>SUMIFS(Colección!$L$2:$L$10001,Colección!$F$2:$F$10001,$F2248,Colección!$M$2:$M$10001,"Compra")</f>
        <v>8.454368174726989</v>
      </c>
      <c r="H2248">
        <f>IF($G2248=0,"",_xlfn.RANK.EQ($G2248,$G$2:$G$2353,0)+COUNTIF($G$2:G2248,$G2248)-1)</f>
        <v>731</v>
      </c>
    </row>
    <row r="2249" spans="6:8" x14ac:dyDescent="0.25">
      <c r="F2249" t="str">
        <f>"Voice of Victory"</f>
        <v>Voice of Victory</v>
      </c>
      <c r="G2249">
        <f>SUMIFS(Colección!$L$2:$L$10001,Colección!$F$2:$F$10001,$F2249,Colección!$M$2:$M$10001,"Compra")</f>
        <v>57.060161290322569</v>
      </c>
      <c r="H2249">
        <f>IF($G2249=0,"",_xlfn.RANK.EQ($G2249,$G$2:$G$2353,0)+COUNTIF($G$2:G2249,$G2249)-1)</f>
        <v>151</v>
      </c>
    </row>
    <row r="2250" spans="6:8" x14ac:dyDescent="0.25">
      <c r="F2250" t="str">
        <f>"Void Mirror"</f>
        <v>Void Mirror</v>
      </c>
      <c r="G2250">
        <f>SUMIFS(Colección!$L$2:$L$10001,Colección!$F$2:$F$10001,$F2250,Colección!$M$2:$M$10001,"Compra")</f>
        <v>1.0390625</v>
      </c>
      <c r="H2250">
        <f>IF($G2250=0,"",_xlfn.RANK.EQ($G2250,$G$2:$G$2353,0)+COUNTIF($G$2:G2250,$G2250)-1)</f>
        <v>1639</v>
      </c>
    </row>
    <row r="2251" spans="6:8" x14ac:dyDescent="0.25">
      <c r="F2251" t="str">
        <f>"Void Rend"</f>
        <v>Void Rend</v>
      </c>
      <c r="G2251">
        <f>SUMIFS(Colección!$L$2:$L$10001,Colección!$F$2:$F$10001,$F2251,Colección!$M$2:$M$10001,"Compra")</f>
        <v>6.2423634871535896</v>
      </c>
      <c r="H2251">
        <f>IF($G2251=0,"",_xlfn.RANK.EQ($G2251,$G$2:$G$2353,0)+COUNTIF($G$2:G2251,$G2251)-1)</f>
        <v>867</v>
      </c>
    </row>
    <row r="2252" spans="6:8" x14ac:dyDescent="0.25">
      <c r="F2252" t="str">
        <f>"Voldaren Epicure"</f>
        <v>Voldaren Epicure</v>
      </c>
      <c r="G2252">
        <f>SUMIFS(Colección!$L$2:$L$10001,Colección!$F$2:$F$10001,$F2252,Colección!$M$2:$M$10001,"Compra")</f>
        <v>0.69698630136986284</v>
      </c>
      <c r="H2252">
        <f>IF($G2252=0,"",_xlfn.RANK.EQ($G2252,$G$2:$G$2353,0)+COUNTIF($G$2:G2252,$G2252)-1)</f>
        <v>1759</v>
      </c>
    </row>
    <row r="2253" spans="6:8" x14ac:dyDescent="0.25">
      <c r="F2253" t="str">
        <f>"Voracious Fell Beast"</f>
        <v>Voracious Fell Beast</v>
      </c>
      <c r="G2253">
        <f>SUMIFS(Colección!$L$2:$L$10001,Colección!$F$2:$F$10001,$F2253,Colección!$M$2:$M$10001,"Compra")</f>
        <v>0.29697452229299359</v>
      </c>
      <c r="H2253">
        <f>IF($G2253=0,"",_xlfn.RANK.EQ($G2253,$G$2:$G$2353,0)+COUNTIF($G$2:G2253,$G2253)-1)</f>
        <v>2003</v>
      </c>
    </row>
    <row r="2254" spans="6:8" x14ac:dyDescent="0.25">
      <c r="F2254" t="str">
        <f>"Vraska, Swarm's Eminence"</f>
        <v>Vraska, Swarm's Eminence</v>
      </c>
      <c r="G2254">
        <f>SUMIFS(Colección!$L$2:$L$10001,Colección!$F$2:$F$10001,$F2254,Colección!$M$2:$M$10001,"Compra")</f>
        <v>0.16363636363636361</v>
      </c>
      <c r="H2254">
        <f>IF($G2254=0,"",_xlfn.RANK.EQ($G2254,$G$2:$G$2353,0)+COUNTIF($G$2:G2254,$G2254)-1)</f>
        <v>2111</v>
      </c>
    </row>
    <row r="2255" spans="6:8" x14ac:dyDescent="0.25">
      <c r="F2255" t="str">
        <f>"Wages of Pain"</f>
        <v>Wages of Pain</v>
      </c>
      <c r="G2255">
        <f>SUMIFS(Colección!$L$2:$L$10001,Colección!$F$2:$F$10001,$F2255,Colección!$M$2:$M$10001,"Compra")</f>
        <v>3.2255324849296709</v>
      </c>
      <c r="H2255">
        <f>IF($G2255=0,"",_xlfn.RANK.EQ($G2255,$G$2:$G$2353,0)+COUNTIF($G$2:G2255,$G2255)-1)</f>
        <v>1169</v>
      </c>
    </row>
    <row r="2256" spans="6:8" x14ac:dyDescent="0.25">
      <c r="F2256" t="str">
        <f>"Wail of the Forgotten"</f>
        <v>Wail of the Forgotten</v>
      </c>
      <c r="G2256">
        <f>SUMIFS(Colección!$L$2:$L$10001,Colección!$F$2:$F$10001,$F2256,Colección!$M$2:$M$10001,"Compra")</f>
        <v>0.37458503846783442</v>
      </c>
      <c r="H2256">
        <f>IF($G2256=0,"",_xlfn.RANK.EQ($G2256,$G$2:$G$2353,0)+COUNTIF($G$2:G2256,$G2256)-1)</f>
        <v>1969</v>
      </c>
    </row>
    <row r="2257" spans="6:8" x14ac:dyDescent="0.25">
      <c r="F2257" t="str">
        <f>"Waker of Waves"</f>
        <v>Waker of Waves</v>
      </c>
      <c r="G2257">
        <f>SUMIFS(Colección!$L$2:$L$10001,Colección!$F$2:$F$10001,$F2257,Colección!$M$2:$M$10001,"Compra")</f>
        <v>1.3230318564628341</v>
      </c>
      <c r="H2257">
        <f>IF($G2257=0,"",_xlfn.RANK.EQ($G2257,$G$2:$G$2353,0)+COUNTIF($G$2:G2257,$G2257)-1)</f>
        <v>1538</v>
      </c>
    </row>
    <row r="2258" spans="6:8" x14ac:dyDescent="0.25">
      <c r="F2258" t="str">
        <f>"Walking Ballista"</f>
        <v>Walking Ballista</v>
      </c>
      <c r="G2258">
        <f>SUMIFS(Colección!$L$2:$L$10001,Colección!$F$2:$F$10001,$F2258,Colección!$M$2:$M$10001,"Compra")</f>
        <v>109.62391651107303</v>
      </c>
      <c r="H2258">
        <f>IF($G2258=0,"",_xlfn.RANK.EQ($G2258,$G$2:$G$2353,0)+COUNTIF($G$2:G2258,$G2258)-1)</f>
        <v>66</v>
      </c>
    </row>
    <row r="2259" spans="6:8" x14ac:dyDescent="0.25">
      <c r="F2259" t="str">
        <f>"Wall of Omens"</f>
        <v>Wall of Omens</v>
      </c>
      <c r="G2259">
        <f>SUMIFS(Colección!$L$2:$L$10001,Colección!$F$2:$F$10001,$F2259,Colección!$M$2:$M$10001,"Compra")</f>
        <v>0.84884039900249364</v>
      </c>
      <c r="H2259">
        <f>IF($G2259=0,"",_xlfn.RANK.EQ($G2259,$G$2:$G$2353,0)+COUNTIF($G$2:G2259,$G2259)-1)</f>
        <v>1702</v>
      </c>
    </row>
    <row r="2260" spans="6:8" x14ac:dyDescent="0.25">
      <c r="F2260" t="str">
        <f>"Wall of Roots [Playset]"</f>
        <v>Wall of Roots [Playset]</v>
      </c>
      <c r="G2260">
        <f>SUMIFS(Colección!$L$2:$L$10001,Colección!$F$2:$F$10001,$F2260,Colección!$M$2:$M$10001,"Compra")</f>
        <v>0.1327683615819209</v>
      </c>
      <c r="H2260">
        <f>IF($G2260=0,"",_xlfn.RANK.EQ($G2260,$G$2:$G$2353,0)+COUNTIF($G$2:G2260,$G2260)-1)</f>
        <v>2148</v>
      </c>
    </row>
    <row r="2261" spans="6:8" x14ac:dyDescent="0.25">
      <c r="F2261" t="str">
        <f>"Wanderwine Hub"</f>
        <v>Wanderwine Hub</v>
      </c>
      <c r="G2261">
        <f>SUMIFS(Colección!$L$2:$L$10001,Colección!$F$2:$F$10001,$F2261,Colección!$M$2:$M$10001,"Compra")</f>
        <v>6.6000000000000023</v>
      </c>
      <c r="H2261">
        <f>IF($G2261=0,"",_xlfn.RANK.EQ($G2261,$G$2:$G$2353,0)+COUNTIF($G$2:G2261,$G2261)-1)</f>
        <v>836</v>
      </c>
    </row>
    <row r="2262" spans="6:8" x14ac:dyDescent="0.25">
      <c r="F2262" t="str">
        <f>"Wanze (OP03-093)"</f>
        <v>Wanze (OP03-093)</v>
      </c>
      <c r="G2262">
        <f>SUMIFS(Colección!$L$2:$L$10001,Colección!$F$2:$F$10001,$F2262,Colección!$M$2:$M$10001,"Compra")</f>
        <v>0.22608527131782949</v>
      </c>
      <c r="H2262">
        <f>IF($G2262=0,"",_xlfn.RANK.EQ($G2262,$G$2:$G$2353,0)+COUNTIF($G$2:G2262,$G2262)-1)</f>
        <v>2077</v>
      </c>
    </row>
    <row r="2263" spans="6:8" x14ac:dyDescent="0.25">
      <c r="F2263" t="str">
        <f>"War of the Last Alliance"</f>
        <v>War of the Last Alliance</v>
      </c>
      <c r="G2263">
        <f>SUMIFS(Colección!$L$2:$L$10001,Colección!$F$2:$F$10001,$F2263,Colección!$M$2:$M$10001,"Compra")</f>
        <v>0.13424408014571951</v>
      </c>
      <c r="H2263">
        <f>IF($G2263=0,"",_xlfn.RANK.EQ($G2263,$G$2:$G$2353,0)+COUNTIF($G$2:G2263,$G2263)-1)</f>
        <v>2146</v>
      </c>
    </row>
    <row r="2264" spans="6:8" x14ac:dyDescent="0.25">
      <c r="F2264" t="str">
        <f>"Warleader's Call"</f>
        <v>Warleader's Call</v>
      </c>
      <c r="G2264">
        <f>SUMIFS(Colección!$L$2:$L$10001,Colección!$F$2:$F$10001,$F2264,Colección!$M$2:$M$10001,"Compra")</f>
        <v>16.656180758017491</v>
      </c>
      <c r="H2264">
        <f>IF($G2264=0,"",_xlfn.RANK.EQ($G2264,$G$2:$G$2353,0)+COUNTIF($G$2:G2264,$G2264)-1)</f>
        <v>464</v>
      </c>
    </row>
    <row r="2265" spans="6:8" x14ac:dyDescent="0.25">
      <c r="F2265" t="str">
        <f>"Warmth"</f>
        <v>Warmth</v>
      </c>
      <c r="G2265">
        <f>SUMIFS(Colección!$L$2:$L$10001,Colección!$F$2:$F$10001,$F2265,Colección!$M$2:$M$10001,"Compra")</f>
        <v>18</v>
      </c>
      <c r="H2265">
        <f>IF($G2265=0,"",_xlfn.RANK.EQ($G2265,$G$2:$G$2353,0)+COUNTIF($G$2:G2265,$G2265)-1)</f>
        <v>433</v>
      </c>
    </row>
    <row r="2266" spans="6:8" x14ac:dyDescent="0.25">
      <c r="F2266" t="str">
        <f>"Warping Wail"</f>
        <v>Warping Wail</v>
      </c>
      <c r="G2266">
        <f>SUMIFS(Colección!$L$2:$L$10001,Colección!$F$2:$F$10001,$F2266,Colección!$M$2:$M$10001,"Compra")</f>
        <v>2.0383063895304079</v>
      </c>
      <c r="H2266">
        <f>IF($G2266=0,"",_xlfn.RANK.EQ($G2266,$G$2:$G$2353,0)+COUNTIF($G$2:G2266,$G2266)-1)</f>
        <v>1361</v>
      </c>
    </row>
    <row r="2267" spans="6:8" x14ac:dyDescent="0.25">
      <c r="F2267" t="str">
        <f>"Warren Soultrader"</f>
        <v>Warren Soultrader</v>
      </c>
      <c r="G2267">
        <f>SUMIFS(Colección!$L$2:$L$10001,Colección!$F$2:$F$10001,$F2267,Colección!$M$2:$M$10001,"Compra")</f>
        <v>19.126153846153848</v>
      </c>
      <c r="H2267">
        <f>IF($G2267=0,"",_xlfn.RANK.EQ($G2267,$G$2:$G$2353,0)+COUNTIF($G$2:G2267,$G2267)-1)</f>
        <v>416</v>
      </c>
    </row>
    <row r="2268" spans="6:8" x14ac:dyDescent="0.25">
      <c r="F2268" t="str">
        <f>"Warren Soultrader (V.2)"</f>
        <v>Warren Soultrader (V.2)</v>
      </c>
      <c r="G2268">
        <f>SUMIFS(Colección!$L$2:$L$10001,Colección!$F$2:$F$10001,$F2268,Colección!$M$2:$M$10001,"Compra")</f>
        <v>21.579999999999995</v>
      </c>
      <c r="H2268">
        <f>IF($G2268=0,"",_xlfn.RANK.EQ($G2268,$G$2:$G$2353,0)+COUNTIF($G$2:G2268,$G2268)-1)</f>
        <v>366</v>
      </c>
    </row>
    <row r="2269" spans="6:8" x14ac:dyDescent="0.25">
      <c r="F2269" t="str">
        <f>"Wasteland"</f>
        <v>Wasteland</v>
      </c>
      <c r="G2269">
        <f>SUMIFS(Colección!$L$2:$L$10001,Colección!$F$2:$F$10001,$F2269,Colección!$M$2:$M$10001,"Compra")</f>
        <v>145</v>
      </c>
      <c r="H2269">
        <f>IF($G2269=0,"",_xlfn.RANK.EQ($G2269,$G$2:$G$2353,0)+COUNTIF($G$2:G2269,$G2269)-1)</f>
        <v>40</v>
      </c>
    </row>
    <row r="2270" spans="6:8" x14ac:dyDescent="0.25">
      <c r="F2270" t="str">
        <f>"Wasteland Strangler"</f>
        <v>Wasteland Strangler</v>
      </c>
      <c r="G2270">
        <f>SUMIFS(Colección!$L$2:$L$10001,Colección!$F$2:$F$10001,$F2270,Colección!$M$2:$M$10001,"Compra")</f>
        <v>0.38769230769230772</v>
      </c>
      <c r="H2270">
        <f>IF($G2270=0,"",_xlfn.RANK.EQ($G2270,$G$2:$G$2353,0)+COUNTIF($G$2:G2270,$G2270)-1)</f>
        <v>1966</v>
      </c>
    </row>
    <row r="2271" spans="6:8" x14ac:dyDescent="0.25">
      <c r="F2271" t="str">
        <f>"Wastes (V.3)"</f>
        <v>Wastes (V.3)</v>
      </c>
      <c r="G2271">
        <f>SUMIFS(Colección!$L$2:$L$10001,Colección!$F$2:$F$10001,$F2271,Colección!$M$2:$M$10001,"Compra")</f>
        <v>0.20161016949152541</v>
      </c>
      <c r="H2271">
        <f>IF($G2271=0,"",_xlfn.RANK.EQ($G2271,$G$2:$G$2353,0)+COUNTIF($G$2:G2271,$G2271)-1)</f>
        <v>2091</v>
      </c>
    </row>
    <row r="2272" spans="6:8" x14ac:dyDescent="0.25">
      <c r="F2272" t="str">
        <f>"Wastewood Verge"</f>
        <v>Wastewood Verge</v>
      </c>
      <c r="G2272">
        <f>SUMIFS(Colección!$L$2:$L$10001,Colección!$F$2:$F$10001,$F2272,Colección!$M$2:$M$10001,"Compra")</f>
        <v>23.86</v>
      </c>
      <c r="H2272">
        <f>IF($G2272=0,"",_xlfn.RANK.EQ($G2272,$G$2:$G$2353,0)+COUNTIF($G$2:G2272,$G2272)-1)</f>
        <v>330</v>
      </c>
    </row>
    <row r="2273" spans="6:8" x14ac:dyDescent="0.25">
      <c r="F2273" t="str">
        <f>"Watchful Sentry"</f>
        <v>Watchful Sentry</v>
      </c>
      <c r="G2273">
        <f>SUMIFS(Colección!$L$2:$L$10001,Colección!$F$2:$F$10001,$F2273,Colección!$M$2:$M$10001,"Compra")</f>
        <v>4.5741176470588245</v>
      </c>
      <c r="H2273">
        <f>IF($G2273=0,"",_xlfn.RANK.EQ($G2273,$G$2:$G$2353,0)+COUNTIF($G$2:G2273,$G2273)-1)</f>
        <v>994</v>
      </c>
    </row>
    <row r="2274" spans="6:8" x14ac:dyDescent="0.25">
      <c r="F2274" t="str">
        <f>"Waterfront Bouncer"</f>
        <v>Waterfront Bouncer</v>
      </c>
      <c r="G2274">
        <f>SUMIFS(Colección!$L$2:$L$10001,Colección!$F$2:$F$10001,$F2274,Colección!$M$2:$M$10001,"Compra")</f>
        <v>5.9813333333333336</v>
      </c>
      <c r="H2274">
        <f>IF($G2274=0,"",_xlfn.RANK.EQ($G2274,$G$2:$G$2353,0)+COUNTIF($G$2:G2274,$G2274)-1)</f>
        <v>894</v>
      </c>
    </row>
    <row r="2275" spans="6:8" x14ac:dyDescent="0.25">
      <c r="F2275" t="str">
        <f>"Waterlogged Grove"</f>
        <v>Waterlogged Grove</v>
      </c>
      <c r="G2275">
        <f>SUMIFS(Colección!$L$2:$L$10001,Colección!$F$2:$F$10001,$F2275,Colección!$M$2:$M$10001,"Compra")</f>
        <v>12.18</v>
      </c>
      <c r="H2275">
        <f>IF($G2275=0,"",_xlfn.RANK.EQ($G2275,$G$2:$G$2353,0)+COUNTIF($G$2:G2275,$G2275)-1)</f>
        <v>574</v>
      </c>
    </row>
    <row r="2276" spans="6:8" x14ac:dyDescent="0.25">
      <c r="F2276" t="str">
        <f>"Waterlogged Teachings // Inundated Archive"</f>
        <v>Waterlogged Teachings // Inundated Archive</v>
      </c>
      <c r="G2276">
        <f>SUMIFS(Colección!$L$2:$L$10001,Colección!$F$2:$F$10001,$F2276,Colección!$M$2:$M$10001,"Compra")</f>
        <v>2.4089757330637012</v>
      </c>
      <c r="H2276">
        <f>IF($G2276=0,"",_xlfn.RANK.EQ($G2276,$G$2:$G$2353,0)+COUNTIF($G$2:G2276,$G2276)-1)</f>
        <v>1267</v>
      </c>
    </row>
    <row r="2277" spans="6:8" x14ac:dyDescent="0.25">
      <c r="F2277" t="str">
        <f>"Watery Grave [Playset]"</f>
        <v>Watery Grave [Playset]</v>
      </c>
      <c r="G2277">
        <f>SUMIFS(Colección!$L$2:$L$10001,Colección!$F$2:$F$10001,$F2277,Colección!$M$2:$M$10001,"Compra")</f>
        <v>50.09</v>
      </c>
      <c r="H2277">
        <f>IF($G2277=0,"",_xlfn.RANK.EQ($G2277,$G$2:$G$2353,0)+COUNTIF($G$2:G2277,$G2277)-1)</f>
        <v>175</v>
      </c>
    </row>
    <row r="2278" spans="6:8" x14ac:dyDescent="0.25">
      <c r="F2278" t="str">
        <f>"Weapons Manufacturing"</f>
        <v>Weapons Manufacturing</v>
      </c>
      <c r="G2278">
        <f>SUMIFS(Colección!$L$2:$L$10001,Colección!$F$2:$F$10001,$F2278,Colección!$M$2:$M$10001,"Compra")</f>
        <v>10.587681159420288</v>
      </c>
      <c r="H2278">
        <f>IF($G2278=0,"",_xlfn.RANK.EQ($G2278,$G$2:$G$2353,0)+COUNTIF($G$2:G2278,$G2278)-1)</f>
        <v>640</v>
      </c>
    </row>
    <row r="2279" spans="6:8" x14ac:dyDescent="0.25">
      <c r="F2279" t="str">
        <f>"Wear // Tear"</f>
        <v>Wear // Tear</v>
      </c>
      <c r="G2279">
        <f>SUMIFS(Colección!$L$2:$L$10001,Colección!$F$2:$F$10001,$F2279,Colección!$M$2:$M$10001,"Compra")</f>
        <v>3.813157894736841</v>
      </c>
      <c r="H2279">
        <f>IF($G2279=0,"",_xlfn.RANK.EQ($G2279,$G$2:$G$2353,0)+COUNTIF($G$2:G2279,$G2279)-1)</f>
        <v>1081</v>
      </c>
    </row>
    <row r="2280" spans="6:8" x14ac:dyDescent="0.25">
      <c r="F2280" t="str">
        <f>"Weather the Storm"</f>
        <v>Weather the Storm</v>
      </c>
      <c r="G2280">
        <f>SUMIFS(Colección!$L$2:$L$10001,Colección!$F$2:$F$10001,$F2280,Colección!$M$2:$M$10001,"Compra")</f>
        <v>0.60115039281705962</v>
      </c>
      <c r="H2280">
        <f>IF($G2280=0,"",_xlfn.RANK.EQ($G2280,$G$2:$G$2353,0)+COUNTIF($G$2:G2280,$G2280)-1)</f>
        <v>1824</v>
      </c>
    </row>
    <row r="2281" spans="6:8" x14ac:dyDescent="0.25">
      <c r="F2281" t="str">
        <f>"Wedding Announcement // Wedding Festivity"</f>
        <v>Wedding Announcement // Wedding Festivity</v>
      </c>
      <c r="G2281">
        <f>SUMIFS(Colección!$L$2:$L$10001,Colección!$F$2:$F$10001,$F2281,Colección!$M$2:$M$10001,"Compra")</f>
        <v>81.239999999999995</v>
      </c>
      <c r="H2281">
        <f>IF($G2281=0,"",_xlfn.RANK.EQ($G2281,$G$2:$G$2353,0)+COUNTIF($G$2:G2281,$G2281)-1)</f>
        <v>98</v>
      </c>
    </row>
    <row r="2282" spans="6:8" x14ac:dyDescent="0.25">
      <c r="F2282" t="str">
        <f>"Welding Jar"</f>
        <v>Welding Jar</v>
      </c>
      <c r="G2282">
        <f>SUMIFS(Colección!$L$2:$L$10001,Colección!$F$2:$F$10001,$F2282,Colección!$M$2:$M$10001,"Compra")</f>
        <v>2.903927680798005</v>
      </c>
      <c r="H2282">
        <f>IF($G2282=0,"",_xlfn.RANK.EQ($G2282,$G$2:$G$2353,0)+COUNTIF($G$2:G2282,$G2282)-1)</f>
        <v>1204</v>
      </c>
    </row>
    <row r="2283" spans="6:8" x14ac:dyDescent="0.25">
      <c r="F2283" t="str">
        <f>"When You're at Sea You Fight against Pirates!! (OP05-076)"</f>
        <v>When You're at Sea You Fight against Pirates!! (OP05-076)</v>
      </c>
      <c r="G2283">
        <f>SUMIFS(Colección!$L$2:$L$10001,Colección!$F$2:$F$10001,$F2283,Colección!$M$2:$M$10001,"Compra")</f>
        <v>0.1623702252693438</v>
      </c>
      <c r="H2283">
        <f>IF($G2283=0,"",_xlfn.RANK.EQ($G2283,$G$2:$G$2353,0)+COUNTIF($G$2:G2283,$G2283)-1)</f>
        <v>2115</v>
      </c>
    </row>
    <row r="2284" spans="6:8" x14ac:dyDescent="0.25">
      <c r="F2284" t="str">
        <f>"Whipcorder"</f>
        <v>Whipcorder</v>
      </c>
      <c r="G2284">
        <f>SUMIFS(Colección!$L$2:$L$10001,Colección!$F$2:$F$10001,$F2284,Colección!$M$2:$M$10001,"Compra")</f>
        <v>6.7269004641567838</v>
      </c>
      <c r="H2284">
        <f>IF($G2284=0,"",_xlfn.RANK.EQ($G2284,$G$2:$G$2353,0)+COUNTIF($G$2:G2284,$G2284)-1)</f>
        <v>827</v>
      </c>
    </row>
    <row r="2285" spans="6:8" x14ac:dyDescent="0.25">
      <c r="F2285" t="str">
        <f>"Whipflare"</f>
        <v>Whipflare</v>
      </c>
      <c r="G2285">
        <f>SUMIFS(Colección!$L$2:$L$10001,Colección!$F$2:$F$10001,$F2285,Colección!$M$2:$M$10001,"Compra")</f>
        <v>1.82</v>
      </c>
      <c r="H2285">
        <f>IF($G2285=0,"",_xlfn.RANK.EQ($G2285,$G$2:$G$2353,0)+COUNTIF($G$2:G2285,$G2285)-1)</f>
        <v>1397</v>
      </c>
    </row>
    <row r="2286" spans="6:8" x14ac:dyDescent="0.25">
      <c r="F2286" t="str">
        <f>"Whir of Invention"</f>
        <v>Whir of Invention</v>
      </c>
      <c r="G2286">
        <f>SUMIFS(Colección!$L$2:$L$10001,Colección!$F$2:$F$10001,$F2286,Colección!$M$2:$M$10001,"Compra")</f>
        <v>21.29</v>
      </c>
      <c r="H2286">
        <f>IF($G2286=0,"",_xlfn.RANK.EQ($G2286,$G$2:$G$2353,0)+COUNTIF($G$2:G2286,$G2286)-1)</f>
        <v>372</v>
      </c>
    </row>
    <row r="2287" spans="6:8" x14ac:dyDescent="0.25">
      <c r="F2287" t="str">
        <f>"White Knight"</f>
        <v>White Knight</v>
      </c>
      <c r="G2287">
        <f>SUMIFS(Colección!$L$2:$L$10001,Colección!$F$2:$F$10001,$F2287,Colección!$M$2:$M$10001,"Compra")</f>
        <v>11.436091706127808</v>
      </c>
      <c r="H2287">
        <f>IF($G2287=0,"",_xlfn.RANK.EQ($G2287,$G$2:$G$2353,0)+COUNTIF($G$2:G2287,$G2287)-1)</f>
        <v>600</v>
      </c>
    </row>
    <row r="2288" spans="6:8" x14ac:dyDescent="0.25">
      <c r="F2288" t="str">
        <f>"White Orchid Phantom"</f>
        <v>White Orchid Phantom</v>
      </c>
      <c r="G2288">
        <f>SUMIFS(Colección!$L$2:$L$10001,Colección!$F$2:$F$10001,$F2288,Colección!$M$2:$M$10001,"Compra")</f>
        <v>16.705580693815989</v>
      </c>
      <c r="H2288">
        <f>IF($G2288=0,"",_xlfn.RANK.EQ($G2288,$G$2:$G$2353,0)+COUNTIF($G$2:G2288,$G2288)-1)</f>
        <v>461</v>
      </c>
    </row>
    <row r="2289" spans="6:8" x14ac:dyDescent="0.25">
      <c r="F2289" t="str">
        <f>"White Orchid Phantom (V.2)"</f>
        <v>White Orchid Phantom (V.2)</v>
      </c>
      <c r="G2289">
        <f>SUMIFS(Colección!$L$2:$L$10001,Colección!$F$2:$F$10001,$F2289,Colección!$M$2:$M$10001,"Compra")</f>
        <v>10.497278057182861</v>
      </c>
      <c r="H2289">
        <f>IF($G2289=0,"",_xlfn.RANK.EQ($G2289,$G$2:$G$2353,0)+COUNTIF($G$2:G2289,$G2289)-1)</f>
        <v>647</v>
      </c>
    </row>
    <row r="2290" spans="6:8" x14ac:dyDescent="0.25">
      <c r="F2290" t="str">
        <f>"Wicked Role / Cursed Role Token"</f>
        <v>Wicked Role / Cursed Role Token</v>
      </c>
      <c r="G2290">
        <f>SUMIFS(Colección!$L$2:$L$10001,Colección!$F$2:$F$10001,$F2290,Colección!$M$2:$M$10001,"Compra")</f>
        <v>0.30129703763010418</v>
      </c>
      <c r="H2290">
        <f>IF($G2290=0,"",_xlfn.RANK.EQ($G2290,$G$2:$G$2353,0)+COUNTIF($G$2:G2290,$G2290)-1)</f>
        <v>2001</v>
      </c>
    </row>
    <row r="2291" spans="6:8" x14ac:dyDescent="0.25">
      <c r="F2291" t="str">
        <f>"Wild Defiance"</f>
        <v>Wild Defiance</v>
      </c>
      <c r="G2291">
        <f>SUMIFS(Colección!$L$2:$L$10001,Colección!$F$2:$F$10001,$F2291,Colección!$M$2:$M$10001,"Compra")</f>
        <v>1.8034511784511784</v>
      </c>
      <c r="H2291">
        <f>IF($G2291=0,"",_xlfn.RANK.EQ($G2291,$G$2:$G$2353,0)+COUNTIF($G$2:G2291,$G2291)-1)</f>
        <v>1400</v>
      </c>
    </row>
    <row r="2292" spans="6:8" x14ac:dyDescent="0.25">
      <c r="F2292" t="str">
        <f>"Wild Mongrel"</f>
        <v>Wild Mongrel</v>
      </c>
      <c r="G2292">
        <f>SUMIFS(Colección!$L$2:$L$10001,Colección!$F$2:$F$10001,$F2292,Colección!$M$2:$M$10001,"Compra")</f>
        <v>5.4340472599296117</v>
      </c>
      <c r="H2292">
        <f>IF($G2292=0,"",_xlfn.RANK.EQ($G2292,$G$2:$G$2353,0)+COUNTIF($G$2:G2292,$G2292)-1)</f>
        <v>932</v>
      </c>
    </row>
    <row r="2293" spans="6:8" x14ac:dyDescent="0.25">
      <c r="F2293" t="str">
        <f>"Wild Nacatl"</f>
        <v>Wild Nacatl</v>
      </c>
      <c r="G2293">
        <f>SUMIFS(Colección!$L$2:$L$10001,Colección!$F$2:$F$10001,$F2293,Colección!$M$2:$M$10001,"Compra")</f>
        <v>6.2411529223378679</v>
      </c>
      <c r="H2293">
        <f>IF($G2293=0,"",_xlfn.RANK.EQ($G2293,$G$2:$G$2353,0)+COUNTIF($G$2:G2293,$G2293)-1)</f>
        <v>868</v>
      </c>
    </row>
    <row r="2294" spans="6:8" x14ac:dyDescent="0.25">
      <c r="F2294" t="str">
        <f>"Wildgrowth Walker"</f>
        <v>Wildgrowth Walker</v>
      </c>
      <c r="G2294">
        <f>SUMIFS(Colección!$L$2:$L$10001,Colección!$F$2:$F$10001,$F2294,Colección!$M$2:$M$10001,"Compra")</f>
        <v>2.02</v>
      </c>
      <c r="H2294">
        <f>IF($G2294=0,"",_xlfn.RANK.EQ($G2294,$G$2:$G$2353,0)+COUNTIF($G$2:G2294,$G2294)-1)</f>
        <v>1365</v>
      </c>
    </row>
    <row r="2295" spans="6:8" x14ac:dyDescent="0.25">
      <c r="F2295" t="str">
        <f>"Windborn Muse"</f>
        <v>Windborn Muse</v>
      </c>
      <c r="G2295">
        <f>SUMIFS(Colección!$L$2:$L$10001,Colección!$F$2:$F$10001,$F2295,Colección!$M$2:$M$10001,"Compra")</f>
        <v>0.21197183098591549</v>
      </c>
      <c r="H2295">
        <f>IF($G2295=0,"",_xlfn.RANK.EQ($G2295,$G$2:$G$2353,0)+COUNTIF($G$2:G2295,$G2295)-1)</f>
        <v>2087</v>
      </c>
    </row>
    <row r="2296" spans="6:8" x14ac:dyDescent="0.25">
      <c r="F2296" t="str">
        <f>"Windswept Heath"</f>
        <v>Windswept Heath</v>
      </c>
      <c r="G2296">
        <f>SUMIFS(Colección!$L$2:$L$10001,Colección!$F$2:$F$10001,$F2296,Colección!$M$2:$M$10001,"Compra")</f>
        <v>39.040151772163199</v>
      </c>
      <c r="H2296">
        <f>IF($G2296=0,"",_xlfn.RANK.EQ($G2296,$G$2:$G$2353,0)+COUNTIF($G$2:G2296,$G2296)-1)</f>
        <v>219</v>
      </c>
    </row>
    <row r="2297" spans="6:8" x14ac:dyDescent="0.25">
      <c r="F2297" t="str">
        <f>"Windswept Heath [Playset]"</f>
        <v>Windswept Heath [Playset]</v>
      </c>
      <c r="G2297">
        <f>SUMIFS(Colección!$L$2:$L$10001,Colección!$F$2:$F$10001,$F2297,Colección!$M$2:$M$10001,"Compra")</f>
        <v>145.47</v>
      </c>
      <c r="H2297">
        <f>IF($G2297=0,"",_xlfn.RANK.EQ($G2297,$G$2:$G$2353,0)+COUNTIF($G$2:G2297,$G2297)-1)</f>
        <v>39</v>
      </c>
    </row>
    <row r="2298" spans="6:8" x14ac:dyDescent="0.25">
      <c r="F2298" t="str">
        <f>"Wing Shards"</f>
        <v>Wing Shards</v>
      </c>
      <c r="G2298">
        <f>SUMIFS(Colección!$L$2:$L$10001,Colección!$F$2:$F$10001,$F2298,Colección!$M$2:$M$10001,"Compra")</f>
        <v>1.693011861784425</v>
      </c>
      <c r="H2298">
        <f>IF($G2298=0,"",_xlfn.RANK.EQ($G2298,$G$2:$G$2353,0)+COUNTIF($G$2:G2298,$G2298)-1)</f>
        <v>1434</v>
      </c>
    </row>
    <row r="2299" spans="6:8" x14ac:dyDescent="0.25">
      <c r="F2299" t="str">
        <f>"Winter Moon"</f>
        <v>Winter Moon</v>
      </c>
      <c r="G2299">
        <f>SUMIFS(Colección!$L$2:$L$10001,Colección!$F$2:$F$10001,$F2299,Colección!$M$2:$M$10001,"Compra")</f>
        <v>1.9706521739130434</v>
      </c>
      <c r="H2299">
        <f>IF($G2299=0,"",_xlfn.RANK.EQ($G2299,$G$2:$G$2353,0)+COUNTIF($G$2:G2299,$G2299)-1)</f>
        <v>1377</v>
      </c>
    </row>
    <row r="2300" spans="6:8" x14ac:dyDescent="0.25">
      <c r="F2300" t="str">
        <f>"Winternight Stories"</f>
        <v>Winternight Stories</v>
      </c>
      <c r="G2300">
        <f>SUMIFS(Colección!$L$2:$L$10001,Colección!$F$2:$F$10001,$F2300,Colección!$M$2:$M$10001,"Compra")</f>
        <v>4.2859598853868199</v>
      </c>
      <c r="H2300">
        <f>IF($G2300=0,"",_xlfn.RANK.EQ($G2300,$G$2:$G$2353,0)+COUNTIF($G$2:G2300,$G2300)-1)</f>
        <v>1036</v>
      </c>
    </row>
    <row r="2301" spans="6:8" x14ac:dyDescent="0.25">
      <c r="F2301" t="str">
        <f>"Wish"</f>
        <v>Wish</v>
      </c>
      <c r="G2301">
        <f>SUMIFS(Colección!$L$2:$L$10001,Colección!$F$2:$F$10001,$F2301,Colección!$M$2:$M$10001,"Compra")</f>
        <v>19.730404480361631</v>
      </c>
      <c r="H2301">
        <f>IF($G2301=0,"",_xlfn.RANK.EQ($G2301,$G$2:$G$2353,0)+COUNTIF($G$2:G2301,$G2301)-1)</f>
        <v>399</v>
      </c>
    </row>
    <row r="2302" spans="6:8" x14ac:dyDescent="0.25">
      <c r="F2302" t="str">
        <f>"Wistfulness"</f>
        <v>Wistfulness</v>
      </c>
      <c r="G2302">
        <f>SUMIFS(Colección!$L$2:$L$10001,Colección!$F$2:$F$10001,$F2302,Colección!$M$2:$M$10001,"Compra")</f>
        <v>63.40000000000002</v>
      </c>
      <c r="H2302">
        <f>IF($G2302=0,"",_xlfn.RANK.EQ($G2302,$G$2:$G$2353,0)+COUNTIF($G$2:G2302,$G2302)-1)</f>
        <v>132</v>
      </c>
    </row>
    <row r="2303" spans="6:8" x14ac:dyDescent="0.25">
      <c r="F2303" t="str">
        <f>"Witch Enchanter // Witch-Blessed Meadow"</f>
        <v>Witch Enchanter // Witch-Blessed Meadow</v>
      </c>
      <c r="G2303">
        <f>SUMIFS(Colección!$L$2:$L$10001,Colección!$F$2:$F$10001,$F2303,Colección!$M$2:$M$10001,"Compra")</f>
        <v>2.3260935143288086</v>
      </c>
      <c r="H2303">
        <f>IF($G2303=0,"",_xlfn.RANK.EQ($G2303,$G$2:$G$2353,0)+COUNTIF($G$2:G2303,$G2303)-1)</f>
        <v>1285</v>
      </c>
    </row>
    <row r="2304" spans="6:8" x14ac:dyDescent="0.25">
      <c r="F2304" t="str">
        <f>"Witch-king of Angmar"</f>
        <v>Witch-king of Angmar</v>
      </c>
      <c r="G2304">
        <f>SUMIFS(Colección!$L$2:$L$10001,Colección!$F$2:$F$10001,$F2304,Colección!$M$2:$M$10001,"Compra")</f>
        <v>3.749007444168734</v>
      </c>
      <c r="H2304">
        <f>IF($G2304=0,"",_xlfn.RANK.EQ($G2304,$G$2:$G$2353,0)+COUNTIF($G$2:G2304,$G2304)-1)</f>
        <v>1085</v>
      </c>
    </row>
    <row r="2305" spans="6:8" x14ac:dyDescent="0.25">
      <c r="F2305" t="str">
        <f>"Witch-king of Angmar (V.1)"</f>
        <v>Witch-king of Angmar (V.1)</v>
      </c>
      <c r="G2305">
        <f>SUMIFS(Colección!$L$2:$L$10001,Colección!$F$2:$F$10001,$F2305,Colección!$M$2:$M$10001,"Compra")</f>
        <v>10.5473717948718</v>
      </c>
      <c r="H2305">
        <f>IF($G2305=0,"",_xlfn.RANK.EQ($G2305,$G$2:$G$2353,0)+COUNTIF($G$2:G2305,$G2305)-1)</f>
        <v>642</v>
      </c>
    </row>
    <row r="2306" spans="6:8" x14ac:dyDescent="0.25">
      <c r="F2306" t="str">
        <f>"Witch-king of Angmar (V.2)"</f>
        <v>Witch-king of Angmar (V.2)</v>
      </c>
      <c r="G2306">
        <f>SUMIFS(Colección!$L$2:$L$10001,Colección!$F$2:$F$10001,$F2306,Colección!$M$2:$M$10001,"Compra")</f>
        <v>19.528829169087739</v>
      </c>
      <c r="H2306">
        <f>IF($G2306=0,"",_xlfn.RANK.EQ($G2306,$G$2:$G$2353,0)+COUNTIF($G$2:G2306,$G2306)-1)</f>
        <v>402</v>
      </c>
    </row>
    <row r="2307" spans="6:8" x14ac:dyDescent="0.25">
      <c r="F2307" t="str">
        <f>"Witchstalker Frenzy"</f>
        <v>Witchstalker Frenzy</v>
      </c>
      <c r="G2307">
        <f>SUMIFS(Colección!$L$2:$L$10001,Colección!$F$2:$F$10001,$F2307,Colección!$M$2:$M$10001,"Compra")</f>
        <v>0.5480567139282736</v>
      </c>
      <c r="H2307">
        <f>IF($G2307=0,"",_xlfn.RANK.EQ($G2307,$G$2:$G$2353,0)+COUNTIF($G$2:G2307,$G2307)-1)</f>
        <v>1855</v>
      </c>
    </row>
    <row r="2308" spans="6:8" x14ac:dyDescent="0.25">
      <c r="F2308" t="str">
        <f>"Witherbloom Command"</f>
        <v>Witherbloom Command</v>
      </c>
      <c r="G2308">
        <f>SUMIFS(Colección!$L$2:$L$10001,Colección!$F$2:$F$10001,$F2308,Colección!$M$2:$M$10001,"Compra")</f>
        <v>4.22</v>
      </c>
      <c r="H2308">
        <f>IF($G2308=0,"",_xlfn.RANK.EQ($G2308,$G$2:$G$2353,0)+COUNTIF($G$2:G2308,$G2308)-1)</f>
        <v>1045</v>
      </c>
    </row>
    <row r="2309" spans="6:8" x14ac:dyDescent="0.25">
      <c r="F2309" t="str">
        <f>"Withered Wretch"</f>
        <v>Withered Wretch</v>
      </c>
      <c r="G2309">
        <f>SUMIFS(Colección!$L$2:$L$10001,Colección!$F$2:$F$10001,$F2309,Colección!$M$2:$M$10001,"Compra")</f>
        <v>10</v>
      </c>
      <c r="H2309">
        <f>IF($G2309=0,"",_xlfn.RANK.EQ($G2309,$G$2:$G$2353,0)+COUNTIF($G$2:G2309,$G2309)-1)</f>
        <v>665</v>
      </c>
    </row>
    <row r="2310" spans="6:8" x14ac:dyDescent="0.25">
      <c r="F2310" t="str">
        <f>"Wizard's Rockets"</f>
        <v>Wizard's Rockets</v>
      </c>
      <c r="G2310">
        <f>SUMIFS(Colección!$L$2:$L$10001,Colección!$F$2:$F$10001,$F2310,Colección!$M$2:$M$10001,"Compra")</f>
        <v>3.2848444367835912</v>
      </c>
      <c r="H2310">
        <f>IF($G2310=0,"",_xlfn.RANK.EQ($G2310,$G$2:$G$2353,0)+COUNTIF($G$2:G2310,$G2310)-1)</f>
        <v>1152</v>
      </c>
    </row>
    <row r="2311" spans="6:8" x14ac:dyDescent="0.25">
      <c r="F2311" t="str">
        <f>"Woe Strider"</f>
        <v>Woe Strider</v>
      </c>
      <c r="G2311">
        <f>SUMIFS(Colección!$L$2:$L$10001,Colección!$F$2:$F$10001,$F2311,Colección!$M$2:$M$10001,"Compra")</f>
        <v>0.44495238095238099</v>
      </c>
      <c r="H2311">
        <f>IF($G2311=0,"",_xlfn.RANK.EQ($G2311,$G$2:$G$2353,0)+COUNTIF($G$2:G2311,$G2311)-1)</f>
        <v>1921</v>
      </c>
    </row>
    <row r="2312" spans="6:8" x14ac:dyDescent="0.25">
      <c r="F2312" t="str">
        <f>"Wooded Foothills"</f>
        <v>Wooded Foothills</v>
      </c>
      <c r="G2312">
        <f>SUMIFS(Colección!$L$2:$L$10001,Colección!$F$2:$F$10001,$F2312,Colección!$M$2:$M$10001,"Compra")</f>
        <v>323.41572815533982</v>
      </c>
      <c r="H2312">
        <f>IF($G2312=0,"",_xlfn.RANK.EQ($G2312,$G$2:$G$2353,0)+COUNTIF($G$2:G2312,$G2312)-1)</f>
        <v>7</v>
      </c>
    </row>
    <row r="2313" spans="6:8" x14ac:dyDescent="0.25">
      <c r="F2313" t="str">
        <f>"World Breaker"</f>
        <v>World Breaker</v>
      </c>
      <c r="G2313">
        <f>SUMIFS(Colección!$L$2:$L$10001,Colección!$F$2:$F$10001,$F2313,Colección!$M$2:$M$10001,"Compra")</f>
        <v>13.75</v>
      </c>
      <c r="H2313">
        <f>IF($G2313=0,"",_xlfn.RANK.EQ($G2313,$G$2:$G$2353,0)+COUNTIF($G$2:G2313,$G2313)-1)</f>
        <v>531</v>
      </c>
    </row>
    <row r="2314" spans="6:8" x14ac:dyDescent="0.25">
      <c r="F2314" t="str">
        <f>"Worlds Bundle 2025"</f>
        <v>Worlds Bundle 2025</v>
      </c>
      <c r="G2314">
        <f>SUMIFS(Colección!$L$2:$L$10001,Colección!$F$2:$F$10001,$F2314,Colección!$M$2:$M$10001,"Compra")</f>
        <v>236</v>
      </c>
      <c r="H2314">
        <f>IF($G2314=0,"",_xlfn.RANK.EQ($G2314,$G$2:$G$2353,0)+COUNTIF($G$2:G2314,$G2314)-1)</f>
        <v>15</v>
      </c>
    </row>
    <row r="2315" spans="6:8" x14ac:dyDescent="0.25">
      <c r="F2315" t="str">
        <f>"Worldsoul's Rage [Playset]"</f>
        <v>Worldsoul's Rage [Playset]</v>
      </c>
      <c r="G2315">
        <f>SUMIFS(Colección!$L$2:$L$10001,Colección!$F$2:$F$10001,$F2315,Colección!$M$2:$M$10001,"Compra")</f>
        <v>4.42</v>
      </c>
      <c r="H2315">
        <f>IF($G2315=0,"",_xlfn.RANK.EQ($G2315,$G$2:$G$2353,0)+COUNTIF($G$2:G2315,$G2315)-1)</f>
        <v>1009</v>
      </c>
    </row>
    <row r="2316" spans="6:8" x14ac:dyDescent="0.25">
      <c r="F2316" t="str">
        <f>"Wrath of God"</f>
        <v>Wrath of God</v>
      </c>
      <c r="G2316">
        <f>SUMIFS(Colección!$L$2:$L$10001,Colección!$F$2:$F$10001,$F2316,Colección!$M$2:$M$10001,"Compra")</f>
        <v>78</v>
      </c>
      <c r="H2316">
        <f>IF($G2316=0,"",_xlfn.RANK.EQ($G2316,$G$2:$G$2353,0)+COUNTIF($G$2:G2316,$G2316)-1)</f>
        <v>102</v>
      </c>
    </row>
    <row r="2317" spans="6:8" x14ac:dyDescent="0.25">
      <c r="F2317" t="str">
        <f>"Wrath of the Skies"</f>
        <v>Wrath of the Skies</v>
      </c>
      <c r="G2317">
        <f>SUMIFS(Colección!$L$2:$L$10001,Colección!$F$2:$F$10001,$F2317,Colección!$M$2:$M$10001,"Compra")</f>
        <v>10.361689291101056</v>
      </c>
      <c r="H2317">
        <f>IF($G2317=0,"",_xlfn.RANK.EQ($G2317,$G$2:$G$2353,0)+COUNTIF($G$2:G2317,$G2317)-1)</f>
        <v>653</v>
      </c>
    </row>
    <row r="2318" spans="6:8" x14ac:dyDescent="0.25">
      <c r="F2318" t="str">
        <f>"Wrath of the Skies (V.2)"</f>
        <v>Wrath of the Skies (V.2)</v>
      </c>
      <c r="G2318">
        <f>SUMIFS(Colección!$L$2:$L$10001,Colección!$F$2:$F$10001,$F2318,Colección!$M$2:$M$10001,"Compra")</f>
        <v>108.35037735849056</v>
      </c>
      <c r="H2318">
        <f>IF($G2318=0,"",_xlfn.RANK.EQ($G2318,$G$2:$G$2353,0)+COUNTIF($G$2:G2318,$G2318)-1)</f>
        <v>68</v>
      </c>
    </row>
    <row r="2319" spans="6:8" x14ac:dyDescent="0.25">
      <c r="F2319" t="str">
        <f>"Wrenn and Six (V.1)"</f>
        <v>Wrenn and Six (V.1)</v>
      </c>
      <c r="G2319">
        <f>SUMIFS(Colección!$L$2:$L$10001,Colección!$F$2:$F$10001,$F2319,Colección!$M$2:$M$10001,"Compra")</f>
        <v>154.05000000000001</v>
      </c>
      <c r="H2319">
        <f>IF($G2319=0,"",_xlfn.RANK.EQ($G2319,$G$2:$G$2353,0)+COUNTIF($G$2:G2319,$G2319)-1)</f>
        <v>32</v>
      </c>
    </row>
    <row r="2320" spans="6:8" x14ac:dyDescent="0.25">
      <c r="F2320" t="str">
        <f>"Wrenn's Resolve"</f>
        <v>Wrenn's Resolve</v>
      </c>
      <c r="G2320">
        <f>SUMIFS(Colección!$L$2:$L$10001,Colección!$F$2:$F$10001,$F2320,Colección!$M$2:$M$10001,"Compra")</f>
        <v>3.83</v>
      </c>
      <c r="H2320">
        <f>IF($G2320=0,"",_xlfn.RANK.EQ($G2320,$G$2:$G$2353,0)+COUNTIF($G$2:G2320,$G2320)-1)</f>
        <v>1079</v>
      </c>
    </row>
    <row r="2321" spans="6:8" x14ac:dyDescent="0.25">
      <c r="F2321" t="str">
        <f>"Writhing Chrysalis"</f>
        <v>Writhing Chrysalis</v>
      </c>
      <c r="G2321">
        <f>SUMIFS(Colección!$L$2:$L$10001,Colección!$F$2:$F$10001,$F2321,Colección!$M$2:$M$10001,"Compra")</f>
        <v>1.93</v>
      </c>
      <c r="H2321">
        <f>IF($G2321=0,"",_xlfn.RANK.EQ($G2321,$G$2:$G$2353,0)+COUNTIF($G$2:G2321,$G2321)-1)</f>
        <v>1384</v>
      </c>
    </row>
    <row r="2322" spans="6:8" x14ac:dyDescent="0.25">
      <c r="F2322" t="str">
        <f>"Wurm Token (Artifact 3/3 Deathtouch)"</f>
        <v>Wurm Token (Artifact 3/3 Deathtouch)</v>
      </c>
      <c r="G2322">
        <f>SUMIFS(Colección!$L$2:$L$10001,Colección!$F$2:$F$10001,$F2322,Colección!$M$2:$M$10001,"Compra")</f>
        <v>2.196480166291356</v>
      </c>
      <c r="H2322">
        <f>IF($G2322=0,"",_xlfn.RANK.EQ($G2322,$G$2:$G$2353,0)+COUNTIF($G$2:G2322,$G2322)-1)</f>
        <v>1313</v>
      </c>
    </row>
    <row r="2323" spans="6:8" x14ac:dyDescent="0.25">
      <c r="F2323" t="str">
        <f>"Wurm Token (Artifact 3/3 Lifelink)"</f>
        <v>Wurm Token (Artifact 3/3 Lifelink)</v>
      </c>
      <c r="G2323">
        <f>SUMIFS(Colección!$L$2:$L$10001,Colección!$F$2:$F$10001,$F2323,Colección!$M$2:$M$10001,"Compra")</f>
        <v>2.196480166291356</v>
      </c>
      <c r="H2323">
        <f>IF($G2323=0,"",_xlfn.RANK.EQ($G2323,$G$2:$G$2353,0)+COUNTIF($G$2:G2323,$G2323)-1)</f>
        <v>1314</v>
      </c>
    </row>
    <row r="2324" spans="6:8" x14ac:dyDescent="0.25">
      <c r="F2324" t="str">
        <f>"Wurmcoil Engine (V.2)"</f>
        <v>Wurmcoil Engine (V.2)</v>
      </c>
      <c r="G2324">
        <f>SUMIFS(Colección!$L$2:$L$10001,Colección!$F$2:$F$10001,$F2324,Colección!$M$2:$M$10001,"Compra")</f>
        <v>35.450000000000003</v>
      </c>
      <c r="H2324">
        <f>IF($G2324=0,"",_xlfn.RANK.EQ($G2324,$G$2:$G$2353,0)+COUNTIF($G$2:G2324,$G2324)-1)</f>
        <v>238</v>
      </c>
    </row>
    <row r="2325" spans="6:8" x14ac:dyDescent="0.25">
      <c r="F2325" t="str">
        <f>"X.Barrels (OP05-056)"</f>
        <v>X.Barrels (OP05-056)</v>
      </c>
      <c r="G2325">
        <f>SUMIFS(Colección!$L$2:$L$10001,Colección!$F$2:$F$10001,$F2325,Colección!$M$2:$M$10001,"Compra")</f>
        <v>5.4123408423114597E-2</v>
      </c>
      <c r="H2325">
        <f>IF($G2325=0,"",_xlfn.RANK.EQ($G2325,$G$2:$G$2353,0)+COUNTIF($G$2:G2325,$G2325)-1)</f>
        <v>2321</v>
      </c>
    </row>
    <row r="2326" spans="6:8" x14ac:dyDescent="0.25">
      <c r="F2326" t="str">
        <f>"X.Drake (OP05-055) (V.1)"</f>
        <v>X.Drake (OP05-055) (V.1)</v>
      </c>
      <c r="G2326">
        <f>SUMIFS(Colección!$L$2:$L$10001,Colección!$F$2:$F$10001,$F2326,Colección!$M$2:$M$10001,"Compra")</f>
        <v>0.1623702252693438</v>
      </c>
      <c r="H2326">
        <f>IF($G2326=0,"",_xlfn.RANK.EQ($G2326,$G$2:$G$2353,0)+COUNTIF($G$2:G2326,$G2326)-1)</f>
        <v>2116</v>
      </c>
    </row>
    <row r="2327" spans="6:8" x14ac:dyDescent="0.25">
      <c r="F2327" t="str">
        <f>"Xander's Lounge (V.1)"</f>
        <v>Xander's Lounge (V.1)</v>
      </c>
      <c r="G2327">
        <f>SUMIFS(Colección!$L$2:$L$10001,Colección!$F$2:$F$10001,$F2327,Colección!$M$2:$M$10001,"Compra")</f>
        <v>16.416698337292161</v>
      </c>
      <c r="H2327">
        <f>IF($G2327=0,"",_xlfn.RANK.EQ($G2327,$G$2:$G$2353,0)+COUNTIF($G$2:G2327,$G2327)-1)</f>
        <v>470</v>
      </c>
    </row>
    <row r="2328" spans="6:8" x14ac:dyDescent="0.25">
      <c r="F2328" t="str">
        <f>"Xander's Lounge (V.2)"</f>
        <v>Xander's Lounge (V.2)</v>
      </c>
      <c r="G2328">
        <f>SUMIFS(Colección!$L$2:$L$10001,Colección!$F$2:$F$10001,$F2328,Colección!$M$2:$M$10001,"Compra")</f>
        <v>7.5678571428571431</v>
      </c>
      <c r="H2328">
        <f>IF($G2328=0,"",_xlfn.RANK.EQ($G2328,$G$2:$G$2353,0)+COUNTIF($G$2:G2328,$G2328)-1)</f>
        <v>772</v>
      </c>
    </row>
    <row r="2329" spans="6:8" x14ac:dyDescent="0.25">
      <c r="F2329" t="str">
        <f>"Xin Zhao, Vigilant"</f>
        <v>Xin Zhao, Vigilant</v>
      </c>
      <c r="G2329">
        <f>SUMIFS(Colección!$L$2:$L$10001,Colección!$F$2:$F$10001,$F2329,Colección!$M$2:$M$10001,"Compra")</f>
        <v>2.480350928074246</v>
      </c>
      <c r="H2329">
        <f>IF($G2329=0,"",_xlfn.RANK.EQ($G2329,$G$2:$G$2353,0)+COUNTIF($G$2:G2329,$G2329)-1)</f>
        <v>1263</v>
      </c>
    </row>
    <row r="2330" spans="6:8" x14ac:dyDescent="0.25">
      <c r="F2330" t="str">
        <f>"Yama (OP05-113)"</f>
        <v>Yama (OP05-113)</v>
      </c>
      <c r="G2330">
        <f>SUMIFS(Colección!$L$2:$L$10001,Colección!$F$2:$F$10001,$F2330,Colección!$M$2:$M$10001,"Compra")</f>
        <v>2.7061704211557298E-2</v>
      </c>
      <c r="H2330">
        <f>IF($G2330=0,"",_xlfn.RANK.EQ($G2330,$G$2:$G$2353,0)+COUNTIF($G$2:G2330,$G2330)-1)</f>
        <v>2344</v>
      </c>
    </row>
    <row r="2331" spans="6:8" x14ac:dyDescent="0.25">
      <c r="F2331" t="str">
        <f>"Yamato (OP04-112) (V.1)"</f>
        <v>Yamato (OP04-112) (V.1)</v>
      </c>
      <c r="G2331">
        <f>SUMIFS(Colección!$L$2:$L$10001,Colección!$F$2:$F$10001,$F2331,Colección!$M$2:$M$10001,"Compra")</f>
        <v>8.7191254752851712</v>
      </c>
      <c r="H2331">
        <f>IF($G2331=0,"",_xlfn.RANK.EQ($G2331,$G$2:$G$2353,0)+COUNTIF($G$2:G2331,$G2331)-1)</f>
        <v>722</v>
      </c>
    </row>
    <row r="2332" spans="6:8" x14ac:dyDescent="0.25">
      <c r="F2332" t="str">
        <f>"Yavimaya Coast"</f>
        <v>Yavimaya Coast</v>
      </c>
      <c r="G2332">
        <f>SUMIFS(Colección!$L$2:$L$10001,Colección!$F$2:$F$10001,$F2332,Colección!$M$2:$M$10001,"Compra")</f>
        <v>37.236039026169422</v>
      </c>
      <c r="H2332">
        <f>IF($G2332=0,"",_xlfn.RANK.EQ($G2332,$G$2:$G$2353,0)+COUNTIF($G$2:G2332,$G2332)-1)</f>
        <v>227</v>
      </c>
    </row>
    <row r="2333" spans="6:8" x14ac:dyDescent="0.25">
      <c r="F2333" t="str">
        <f>"Yavimaya Elder"</f>
        <v>Yavimaya Elder</v>
      </c>
      <c r="G2333">
        <f>SUMIFS(Colección!$L$2:$L$10001,Colección!$F$2:$F$10001,$F2333,Colección!$M$2:$M$10001,"Compra")</f>
        <v>2.1818181818181821</v>
      </c>
      <c r="H2333">
        <f>IF($G2333=0,"",_xlfn.RANK.EQ($G2333,$G$2:$G$2353,0)+COUNTIF($G$2:G2333,$G2333)-1)</f>
        <v>1325</v>
      </c>
    </row>
    <row r="2334" spans="6:8" x14ac:dyDescent="0.25">
      <c r="F2334" t="str">
        <f>"Yavimaya Iconoclast"</f>
        <v>Yavimaya Iconoclast</v>
      </c>
      <c r="G2334">
        <f>SUMIFS(Colección!$L$2:$L$10001,Colección!$F$2:$F$10001,$F2334,Colección!$M$2:$M$10001,"Compra")</f>
        <v>0.43455027064378682</v>
      </c>
      <c r="H2334">
        <f>IF($G2334=0,"",_xlfn.RANK.EQ($G2334,$G$2:$G$2353,0)+COUNTIF($G$2:G2334,$G2334)-1)</f>
        <v>1928</v>
      </c>
    </row>
    <row r="2335" spans="6:8" x14ac:dyDescent="0.25">
      <c r="F2335" t="str">
        <f>"Yavimaya, Cradle of Growth"</f>
        <v>Yavimaya, Cradle of Growth</v>
      </c>
      <c r="G2335">
        <f>SUMIFS(Colección!$L$2:$L$10001,Colección!$F$2:$F$10001,$F2335,Colección!$M$2:$M$10001,"Compra")</f>
        <v>6.5454545454545459</v>
      </c>
      <c r="H2335">
        <f>IF($G2335=0,"",_xlfn.RANK.EQ($G2335,$G$2:$G$2353,0)+COUNTIF($G$2:G2335,$G2335)-1)</f>
        <v>842</v>
      </c>
    </row>
    <row r="2336" spans="6:8" x14ac:dyDescent="0.25">
      <c r="F2336" t="str">
        <f>"Yawgmoth, Thran Physician [Playset]"</f>
        <v>Yawgmoth, Thran Physician [Playset]</v>
      </c>
      <c r="G2336">
        <f>SUMIFS(Colección!$L$2:$L$10001,Colección!$F$2:$F$10001,$F2336,Colección!$M$2:$M$10001,"Compra")</f>
        <v>87.28</v>
      </c>
      <c r="H2336">
        <f>IF($G2336=0,"",_xlfn.RANK.EQ($G2336,$G$2:$G$2353,0)+COUNTIF($G$2:G2336,$G2336)-1)</f>
        <v>88</v>
      </c>
    </row>
    <row r="2337" spans="6:8" x14ac:dyDescent="0.25">
      <c r="F2337" t="str">
        <f>"Yokozuna (OP04-068)"</f>
        <v>Yokozuna (OP04-068)</v>
      </c>
      <c r="G2337">
        <f>SUMIFS(Colección!$L$2:$L$10001,Colección!$F$2:$F$10001,$F2337,Colección!$M$2:$M$10001,"Compra")</f>
        <v>6.1898734177215198E-2</v>
      </c>
      <c r="H2337">
        <f>IF($G2337=0,"",_xlfn.RANK.EQ($G2337,$G$2:$G$2353,0)+COUNTIF($G$2:G2337,$G2337)-1)</f>
        <v>2313</v>
      </c>
    </row>
    <row r="2338" spans="6:8" x14ac:dyDescent="0.25">
      <c r="F2338" t="str">
        <f>"Yosaku &amp; Johnny (OP03-053)"</f>
        <v>Yosaku &amp; Johnny (OP03-053)</v>
      </c>
      <c r="G2338">
        <f>SUMIFS(Colección!$L$2:$L$10001,Colección!$F$2:$F$10001,$F2338,Colección!$M$2:$M$10001,"Compra")</f>
        <v>9.5193798449612399E-2</v>
      </c>
      <c r="H2338">
        <f>IF($G2338=0,"",_xlfn.RANK.EQ($G2338,$G$2:$G$2353,0)+COUNTIF($G$2:G2338,$G2338)-1)</f>
        <v>2195</v>
      </c>
    </row>
    <row r="2339" spans="6:8" x14ac:dyDescent="0.25">
      <c r="F2339" t="str">
        <f>"Young Wolf"</f>
        <v>Young Wolf</v>
      </c>
      <c r="G2339">
        <f>SUMIFS(Colección!$L$2:$L$10001,Colección!$F$2:$F$10001,$F2339,Colección!$M$2:$M$10001,"Compra")</f>
        <v>4.9800000000000004</v>
      </c>
      <c r="H2339">
        <f>IF($G2339=0,"",_xlfn.RANK.EQ($G2339,$G$2:$G$2353,0)+COUNTIF($G$2:G2339,$G2339)-1)</f>
        <v>971</v>
      </c>
    </row>
    <row r="2340" spans="6:8" x14ac:dyDescent="0.25">
      <c r="F2340" t="str">
        <f>"Young Wolf (V.2)"</f>
        <v>Young Wolf (V.2)</v>
      </c>
      <c r="G2340">
        <f>SUMIFS(Colección!$L$2:$L$10001,Colección!$F$2:$F$10001,$F2340,Colección!$M$2:$M$10001,"Compra")</f>
        <v>3.4583291139240506</v>
      </c>
      <c r="H2340">
        <f>IF($G2340=0,"",_xlfn.RANK.EQ($G2340,$G$2:$G$2353,0)+COUNTIF($G$2:G2340,$G2340)-1)</f>
        <v>1124</v>
      </c>
    </row>
    <row r="2341" spans="6:8" x14ac:dyDescent="0.25">
      <c r="F2341" t="str">
        <f>"Zabaz, the Glimmerwasp"</f>
        <v>Zabaz, the Glimmerwasp</v>
      </c>
      <c r="G2341">
        <f>SUMIFS(Colección!$L$2:$L$10001,Colección!$F$2:$F$10001,$F2341,Colección!$M$2:$M$10001,"Compra")</f>
        <v>0.63638232271325801</v>
      </c>
      <c r="H2341">
        <f>IF($G2341=0,"",_xlfn.RANK.EQ($G2341,$G$2:$G$2353,0)+COUNTIF($G$2:G2341,$G2341)-1)</f>
        <v>1807</v>
      </c>
    </row>
    <row r="2342" spans="6:8" x14ac:dyDescent="0.25">
      <c r="F2342" t="str">
        <f>"Zack Fair"</f>
        <v>Zack Fair</v>
      </c>
      <c r="G2342">
        <f>SUMIFS(Colección!$L$2:$L$10001,Colección!$F$2:$F$10001,$F2342,Colección!$M$2:$M$10001,"Compra")</f>
        <v>1.0307692307692309</v>
      </c>
      <c r="H2342">
        <f>IF($G2342=0,"",_xlfn.RANK.EQ($G2342,$G$2:$G$2353,0)+COUNTIF($G$2:G2342,$G2342)-1)</f>
        <v>1648</v>
      </c>
    </row>
    <row r="2343" spans="6:8" x14ac:dyDescent="0.25">
      <c r="F2343" t="str">
        <f>"Zagoth Triome"</f>
        <v>Zagoth Triome</v>
      </c>
      <c r="G2343">
        <f>SUMIFS(Colección!$L$2:$L$10001,Colección!$F$2:$F$10001,$F2343,Colección!$M$2:$M$10001,"Compra")</f>
        <v>12.081666666666671</v>
      </c>
      <c r="H2343">
        <f>IF($G2343=0,"",_xlfn.RANK.EQ($G2343,$G$2:$G$2353,0)+COUNTIF($G$2:G2343,$G2343)-1)</f>
        <v>579</v>
      </c>
    </row>
    <row r="2344" spans="6:8" x14ac:dyDescent="0.25">
      <c r="F2344" t="str">
        <f>"Zahur, Glory's Past"</f>
        <v>Zahur, Glory's Past</v>
      </c>
      <c r="G2344">
        <f>SUMIFS(Colección!$L$2:$L$10001,Colección!$F$2:$F$10001,$F2344,Colección!$M$2:$M$10001,"Compra")</f>
        <v>3.4697142857142858</v>
      </c>
      <c r="H2344">
        <f>IF($G2344=0,"",_xlfn.RANK.EQ($G2344,$G$2:$G$2353,0)+COUNTIF($G$2:G2344,$G2344)-1)</f>
        <v>1123</v>
      </c>
    </row>
    <row r="2345" spans="6:8" x14ac:dyDescent="0.25">
      <c r="F2345" t="str">
        <f>"Zambai (OP03-063)"</f>
        <v>Zambai (OP03-063)</v>
      </c>
      <c r="G2345">
        <f>SUMIFS(Colección!$L$2:$L$10001,Colección!$F$2:$F$10001,$F2345,Colección!$M$2:$M$10001,"Compra")</f>
        <v>0.22608527131782949</v>
      </c>
      <c r="H2345">
        <f>IF($G2345=0,"",_xlfn.RANK.EQ($G2345,$G$2:$G$2353,0)+COUNTIF($G$2:G2345,$G2345)-1)</f>
        <v>2078</v>
      </c>
    </row>
    <row r="2346" spans="6:8" x14ac:dyDescent="0.25">
      <c r="F2346" t="str">
        <f>"Zeff (OP03-047) (V.1)"</f>
        <v>Zeff (OP03-047) (V.1)</v>
      </c>
      <c r="G2346">
        <f>SUMIFS(Colección!$L$2:$L$10001,Colección!$F$2:$F$10001,$F2346,Colección!$M$2:$M$10001,"Compra")</f>
        <v>0.2855813953488372</v>
      </c>
      <c r="H2346">
        <f>IF($G2346=0,"",_xlfn.RANK.EQ($G2346,$G$2:$G$2353,0)+COUNTIF($G$2:G2346,$G2346)-1)</f>
        <v>2015</v>
      </c>
    </row>
    <row r="2347" spans="6:8" x14ac:dyDescent="0.25">
      <c r="F2347" t="str">
        <f>"Zhonya's Hourglass"</f>
        <v>Zhonya's Hourglass</v>
      </c>
      <c r="G2347">
        <f>SUMIFS(Colección!$L$2:$L$10001,Colección!$F$2:$F$10001,$F2347,Colección!$M$2:$M$10001,"Compra")</f>
        <v>8.6999999999999993</v>
      </c>
      <c r="H2347">
        <f>IF($G2347=0,"",_xlfn.RANK.EQ($G2347,$G$2:$G$2353,0)+COUNTIF($G$2:G2347,$G2347)-1)</f>
        <v>723</v>
      </c>
    </row>
    <row r="2348" spans="6:8" x14ac:dyDescent="0.25">
      <c r="F2348" t="str">
        <f>"Zombie Token (B 2/2) // Angel Token (W 4/4)"</f>
        <v>Zombie Token (B 2/2) // Angel Token (W 4/4)</v>
      </c>
      <c r="G2348">
        <f>SUMIFS(Colección!$L$2:$L$10001,Colección!$F$2:$F$10001,$F2348,Colección!$M$2:$M$10001,"Compra")</f>
        <v>0.2439258750857928</v>
      </c>
      <c r="H2348">
        <f>IF($G2348=0,"",_xlfn.RANK.EQ($G2348,$G$2:$G$2353,0)+COUNTIF($G$2:G2348,$G2348)-1)</f>
        <v>2046</v>
      </c>
    </row>
    <row r="2349" spans="6:8" x14ac:dyDescent="0.25">
      <c r="F2349" t="str">
        <f>"Zoro-Juurou (OP05-067) (V.1)"</f>
        <v>Zoro-Juurou (OP05-067) (V.1)</v>
      </c>
      <c r="G2349">
        <f>SUMIFS(Colección!$L$2:$L$10001,Colección!$F$2:$F$10001,$F2349,Colección!$M$2:$M$10001,"Compra")</f>
        <v>3.434048603074888</v>
      </c>
      <c r="H2349">
        <f>IF($G2349=0,"",_xlfn.RANK.EQ($G2349,$G$2:$G$2353,0)+COUNTIF($G$2:G2349,$G2349)-1)</f>
        <v>1132</v>
      </c>
    </row>
    <row r="2350" spans="6:8" x14ac:dyDescent="0.25">
      <c r="F2350" t="str">
        <f>"Zulaport Cutthroat"</f>
        <v>Zulaport Cutthroat</v>
      </c>
      <c r="G2350">
        <f>SUMIFS(Colección!$L$2:$L$10001,Colección!$F$2:$F$10001,$F2350,Colección!$M$2:$M$10001,"Compra")</f>
        <v>3.42</v>
      </c>
      <c r="H2350">
        <f>IF($G2350=0,"",_xlfn.RANK.EQ($G2350,$G$2:$G$2353,0)+COUNTIF($G$2:G2350,$G2350)-1)</f>
        <v>1134</v>
      </c>
    </row>
    <row r="2351" spans="6:8" x14ac:dyDescent="0.25">
      <c r="F2351" t="str">
        <f>"Zur, Eternal Schemer (V.1)"</f>
        <v>Zur, Eternal Schemer (V.1)</v>
      </c>
      <c r="G2351">
        <f>SUMIFS(Colección!$L$2:$L$10001,Colección!$F$2:$F$10001,$F2351,Colección!$M$2:$M$10001,"Compra")</f>
        <v>33.98494252873563</v>
      </c>
      <c r="H2351">
        <f>IF($G2351=0,"",_xlfn.RANK.EQ($G2351,$G$2:$G$2353,0)+COUNTIF($G$2:G2351,$G2351)-1)</f>
        <v>250</v>
      </c>
    </row>
    <row r="2352" spans="6:8" x14ac:dyDescent="0.25">
      <c r="F2352" t="str">
        <f>"Éomer, Marshal of Rohan"</f>
        <v>Éomer, Marshal of Rohan</v>
      </c>
      <c r="G2352">
        <f>SUMIFS(Colección!$L$2:$L$10001,Colección!$F$2:$F$10001,$F2352,Colección!$M$2:$M$10001,"Compra")</f>
        <v>1.7048959146500127</v>
      </c>
      <c r="H2352">
        <f>IF($G2352=0,"",_xlfn.RANK.EQ($G2352,$G$2:$G$2353,0)+COUNTIF($G$2:G2352,$G2352)-1)</f>
        <v>1426</v>
      </c>
    </row>
    <row r="2353" spans="6:8" x14ac:dyDescent="0.25">
      <c r="F2353" t="str">
        <f>"Éowyn, Fearless Knight"</f>
        <v>Éowyn, Fearless Knight</v>
      </c>
      <c r="G2353">
        <f>SUMIFS(Colección!$L$2:$L$10001,Colección!$F$2:$F$10001,$F2353,Colección!$M$2:$M$10001,"Compra")</f>
        <v>1.7610879073706678</v>
      </c>
      <c r="H2353">
        <f>IF($G2353=0,"",_xlfn.RANK.EQ($G2353,$G$2:$G$2353,0)+COUNTIF($G$2:G2353,$G2353)-1)</f>
        <v>1410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37"/>
  <sheetViews>
    <sheetView workbookViewId="0">
      <selection sqref="A1:B1"/>
    </sheetView>
  </sheetViews>
  <sheetFormatPr baseColWidth="10" defaultColWidth="9.140625" defaultRowHeight="15" x14ac:dyDescent="0.25"/>
  <cols>
    <col min="1" max="1" width="68" customWidth="1"/>
    <col min="2" max="2" width="34" customWidth="1"/>
  </cols>
  <sheetData>
    <row r="1" spans="1:2" ht="18.75" customHeight="1" x14ac:dyDescent="0.25">
      <c r="A1" s="19" t="s">
        <v>6451</v>
      </c>
      <c r="B1" s="19"/>
    </row>
    <row r="2" spans="1:2" x14ac:dyDescent="0.25">
      <c r="A2" s="12"/>
    </row>
    <row r="3" spans="1:2" x14ac:dyDescent="0.25">
      <c r="A3" s="12" t="s">
        <v>6452</v>
      </c>
      <c r="B3">
        <v>3562</v>
      </c>
    </row>
    <row r="4" spans="1:2" x14ac:dyDescent="0.25">
      <c r="A4" s="12" t="s">
        <v>6453</v>
      </c>
      <c r="B4">
        <v>292</v>
      </c>
    </row>
    <row r="5" spans="1:2" x14ac:dyDescent="0.25">
      <c r="A5" s="12" t="s">
        <v>6454</v>
      </c>
      <c r="B5">
        <v>3854</v>
      </c>
    </row>
    <row r="6" spans="1:2" x14ac:dyDescent="0.25">
      <c r="A6" s="12" t="s">
        <v>6455</v>
      </c>
      <c r="B6">
        <v>3285</v>
      </c>
    </row>
    <row r="7" spans="1:2" x14ac:dyDescent="0.25">
      <c r="A7" s="12" t="s">
        <v>6456</v>
      </c>
      <c r="B7">
        <v>569</v>
      </c>
    </row>
    <row r="8" spans="1:2" x14ac:dyDescent="0.25">
      <c r="A8" s="12" t="s">
        <v>6457</v>
      </c>
      <c r="B8">
        <v>0</v>
      </c>
    </row>
    <row r="9" spans="1:2" x14ac:dyDescent="0.25">
      <c r="A9" s="12"/>
    </row>
    <row r="10" spans="1:2" x14ac:dyDescent="0.25">
      <c r="A10" s="12" t="s">
        <v>6458</v>
      </c>
      <c r="B10">
        <v>255</v>
      </c>
    </row>
    <row r="11" spans="1:2" x14ac:dyDescent="0.25">
      <c r="A11" s="12" t="s">
        <v>6459</v>
      </c>
      <c r="B11">
        <v>37</v>
      </c>
    </row>
    <row r="12" spans="1:2" x14ac:dyDescent="0.25">
      <c r="A12" s="12" t="s">
        <v>6460</v>
      </c>
      <c r="B12">
        <v>-0.55000000000000004</v>
      </c>
    </row>
    <row r="13" spans="1:2" x14ac:dyDescent="0.25">
      <c r="A13" s="12"/>
    </row>
    <row r="14" spans="1:2" x14ac:dyDescent="0.25">
      <c r="A14" s="12" t="s">
        <v>6461</v>
      </c>
      <c r="B14">
        <v>38396.519999999997</v>
      </c>
    </row>
    <row r="15" spans="1:2" x14ac:dyDescent="0.25">
      <c r="A15" s="12" t="s">
        <v>6462</v>
      </c>
      <c r="B15">
        <v>7217.91</v>
      </c>
    </row>
    <row r="16" spans="1:2" x14ac:dyDescent="0.25">
      <c r="A16" s="12" t="s">
        <v>6463</v>
      </c>
      <c r="B16">
        <v>1739</v>
      </c>
    </row>
    <row r="17" spans="1:2" x14ac:dyDescent="0.25">
      <c r="A17" s="12"/>
    </row>
    <row r="18" spans="1:2" x14ac:dyDescent="0.25">
      <c r="A18" s="12" t="s">
        <v>6464</v>
      </c>
      <c r="B18" t="s">
        <v>6465</v>
      </c>
    </row>
    <row r="19" spans="1:2" x14ac:dyDescent="0.25">
      <c r="A19" s="12" t="s">
        <v>6466</v>
      </c>
      <c r="B19" t="s">
        <v>6467</v>
      </c>
    </row>
    <row r="20" spans="1:2" x14ac:dyDescent="0.25">
      <c r="A20" s="12"/>
    </row>
    <row r="21" spans="1:2" x14ac:dyDescent="0.25">
      <c r="A21" s="12" t="s">
        <v>6468</v>
      </c>
    </row>
    <row r="22" spans="1:2" x14ac:dyDescent="0.25">
      <c r="A22" s="12" t="s">
        <v>6469</v>
      </c>
      <c r="B22">
        <v>1</v>
      </c>
    </row>
    <row r="23" spans="1:2" x14ac:dyDescent="0.25">
      <c r="A23" s="12" t="s">
        <v>6470</v>
      </c>
      <c r="B23">
        <v>1</v>
      </c>
    </row>
    <row r="24" spans="1:2" x14ac:dyDescent="0.25">
      <c r="A24" s="12" t="s">
        <v>6471</v>
      </c>
      <c r="B24">
        <v>250</v>
      </c>
    </row>
    <row r="25" spans="1:2" x14ac:dyDescent="0.25">
      <c r="A25" s="12" t="s">
        <v>6472</v>
      </c>
      <c r="B25">
        <v>3</v>
      </c>
    </row>
    <row r="26" spans="1:2" x14ac:dyDescent="0.25">
      <c r="A26" s="12" t="s">
        <v>6473</v>
      </c>
      <c r="B26">
        <v>37</v>
      </c>
    </row>
    <row r="27" spans="1:2" x14ac:dyDescent="0.25">
      <c r="A27" s="12"/>
    </row>
    <row r="28" spans="1:2" x14ac:dyDescent="0.25">
      <c r="A28" s="12" t="s">
        <v>6474</v>
      </c>
      <c r="B28">
        <v>158</v>
      </c>
    </row>
    <row r="29" spans="1:2" x14ac:dyDescent="0.25">
      <c r="A29" s="12" t="s">
        <v>6475</v>
      </c>
      <c r="B29">
        <v>158</v>
      </c>
    </row>
    <row r="30" spans="1:2" x14ac:dyDescent="0.25">
      <c r="A30" s="12" t="s">
        <v>6476</v>
      </c>
      <c r="B30">
        <v>124</v>
      </c>
    </row>
    <row r="31" spans="1:2" x14ac:dyDescent="0.25">
      <c r="A31" t="s">
        <v>6477</v>
      </c>
      <c r="B31">
        <v>124</v>
      </c>
    </row>
    <row r="32" spans="1:2" x14ac:dyDescent="0.25">
      <c r="A32" t="s">
        <v>6478</v>
      </c>
      <c r="B32" t="s">
        <v>6479</v>
      </c>
    </row>
    <row r="33" spans="1:2" x14ac:dyDescent="0.25">
      <c r="A33" t="s">
        <v>6480</v>
      </c>
      <c r="B33" t="s">
        <v>6481</v>
      </c>
    </row>
    <row r="34" spans="1:2" x14ac:dyDescent="0.25">
      <c r="A34" t="s">
        <v>6482</v>
      </c>
      <c r="B34" t="s">
        <v>6483</v>
      </c>
    </row>
    <row r="35" spans="1:2" x14ac:dyDescent="0.25">
      <c r="A35" t="s">
        <v>6484</v>
      </c>
      <c r="B35" t="s">
        <v>6485</v>
      </c>
    </row>
    <row r="36" spans="1:2" x14ac:dyDescent="0.25">
      <c r="A36" t="s">
        <v>6486</v>
      </c>
      <c r="B36" t="s">
        <v>6487</v>
      </c>
    </row>
    <row r="37" spans="1:2" x14ac:dyDescent="0.25">
      <c r="A37" t="s">
        <v>6488</v>
      </c>
      <c r="B37" t="s">
        <v>6489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E120"/>
  <sheetViews>
    <sheetView workbookViewId="0">
      <selection activeCell="B29" sqref="B29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4" width="14" customWidth="1"/>
    <col min="5" max="5" width="58" customWidth="1"/>
  </cols>
  <sheetData>
    <row r="1" spans="1:5" x14ac:dyDescent="0.25">
      <c r="A1" s="8" t="s">
        <v>6490</v>
      </c>
      <c r="B1" s="8" t="s">
        <v>6491</v>
      </c>
      <c r="C1" s="8" t="s">
        <v>6492</v>
      </c>
      <c r="D1" s="8" t="s">
        <v>6493</v>
      </c>
      <c r="E1" s="9" t="s">
        <v>6494</v>
      </c>
    </row>
    <row r="2" spans="1:5" x14ac:dyDescent="0.25">
      <c r="A2" t="s">
        <v>6495</v>
      </c>
      <c r="B2" t="s">
        <v>4392</v>
      </c>
      <c r="C2">
        <v>8</v>
      </c>
      <c r="D2" t="s">
        <v>6496</v>
      </c>
      <c r="E2" s="10" t="s">
        <v>6497</v>
      </c>
    </row>
    <row r="3" spans="1:5" x14ac:dyDescent="0.25">
      <c r="A3" t="s">
        <v>6498</v>
      </c>
      <c r="B3" t="s">
        <v>3720</v>
      </c>
      <c r="C3">
        <v>1</v>
      </c>
      <c r="D3" t="s">
        <v>6499</v>
      </c>
      <c r="E3" s="10" t="s">
        <v>6500</v>
      </c>
    </row>
    <row r="4" spans="1:5" x14ac:dyDescent="0.25">
      <c r="A4" t="s">
        <v>6501</v>
      </c>
      <c r="B4" t="s">
        <v>4529</v>
      </c>
      <c r="C4">
        <v>1</v>
      </c>
      <c r="D4" t="s">
        <v>6499</v>
      </c>
      <c r="E4" s="10" t="s">
        <v>6500</v>
      </c>
    </row>
    <row r="5" spans="1:5" x14ac:dyDescent="0.25">
      <c r="A5" t="s">
        <v>6502</v>
      </c>
      <c r="B5" t="s">
        <v>4398</v>
      </c>
      <c r="C5">
        <v>12</v>
      </c>
      <c r="D5" t="s">
        <v>6503</v>
      </c>
      <c r="E5" s="10" t="s">
        <v>6504</v>
      </c>
    </row>
    <row r="6" spans="1:5" x14ac:dyDescent="0.25">
      <c r="A6" t="s">
        <v>6505</v>
      </c>
      <c r="B6" t="s">
        <v>4446</v>
      </c>
      <c r="C6">
        <v>2</v>
      </c>
      <c r="D6" t="s">
        <v>6506</v>
      </c>
      <c r="E6" s="10" t="s">
        <v>6507</v>
      </c>
    </row>
    <row r="7" spans="1:5" x14ac:dyDescent="0.25">
      <c r="A7" t="s">
        <v>6508</v>
      </c>
      <c r="B7" t="s">
        <v>4463</v>
      </c>
      <c r="C7">
        <v>1</v>
      </c>
      <c r="D7" t="s">
        <v>6509</v>
      </c>
      <c r="E7" s="10" t="s">
        <v>6510</v>
      </c>
    </row>
    <row r="8" spans="1:5" x14ac:dyDescent="0.25">
      <c r="A8" t="s">
        <v>6511</v>
      </c>
      <c r="B8" t="s">
        <v>3742</v>
      </c>
      <c r="C8">
        <v>6</v>
      </c>
      <c r="D8" t="s">
        <v>6512</v>
      </c>
      <c r="E8" s="10" t="s">
        <v>6513</v>
      </c>
    </row>
    <row r="9" spans="1:5" x14ac:dyDescent="0.25">
      <c r="A9" t="s">
        <v>6514</v>
      </c>
      <c r="B9" t="s">
        <v>3648</v>
      </c>
      <c r="C9">
        <v>3</v>
      </c>
      <c r="D9" t="s">
        <v>6515</v>
      </c>
      <c r="E9" s="10" t="s">
        <v>6516</v>
      </c>
    </row>
    <row r="10" spans="1:5" x14ac:dyDescent="0.25">
      <c r="A10" t="s">
        <v>6517</v>
      </c>
      <c r="B10" t="s">
        <v>4409</v>
      </c>
      <c r="C10">
        <v>1</v>
      </c>
      <c r="D10" t="s">
        <v>6518</v>
      </c>
      <c r="E10" s="10" t="s">
        <v>6519</v>
      </c>
    </row>
    <row r="11" spans="1:5" x14ac:dyDescent="0.25">
      <c r="A11" t="s">
        <v>6520</v>
      </c>
      <c r="B11" t="s">
        <v>4012</v>
      </c>
      <c r="C11">
        <v>3</v>
      </c>
      <c r="D11" t="s">
        <v>6521</v>
      </c>
      <c r="E11" s="10" t="s">
        <v>6522</v>
      </c>
    </row>
    <row r="12" spans="1:5" x14ac:dyDescent="0.25">
      <c r="A12" t="s">
        <v>6523</v>
      </c>
      <c r="B12" t="s">
        <v>3733</v>
      </c>
      <c r="C12">
        <v>1</v>
      </c>
      <c r="D12" t="s">
        <v>6521</v>
      </c>
      <c r="E12" s="10" t="s">
        <v>6522</v>
      </c>
    </row>
    <row r="13" spans="1:5" x14ac:dyDescent="0.25">
      <c r="A13" t="s">
        <v>6524</v>
      </c>
      <c r="B13" t="s">
        <v>3945</v>
      </c>
      <c r="C13">
        <v>2</v>
      </c>
      <c r="D13" t="s">
        <v>6525</v>
      </c>
      <c r="E13" s="10" t="s">
        <v>6526</v>
      </c>
    </row>
    <row r="14" spans="1:5" x14ac:dyDescent="0.25">
      <c r="A14" t="s">
        <v>6527</v>
      </c>
      <c r="B14" t="s">
        <v>4480</v>
      </c>
      <c r="C14">
        <v>4</v>
      </c>
      <c r="D14" t="s">
        <v>6525</v>
      </c>
      <c r="E14" s="10" t="s">
        <v>6526</v>
      </c>
    </row>
    <row r="15" spans="1:5" x14ac:dyDescent="0.25">
      <c r="A15" t="s">
        <v>6528</v>
      </c>
      <c r="B15" t="s">
        <v>4543</v>
      </c>
      <c r="C15">
        <v>1</v>
      </c>
      <c r="D15" t="s">
        <v>6529</v>
      </c>
      <c r="E15" s="10" t="s">
        <v>6530</v>
      </c>
    </row>
    <row r="16" spans="1:5" x14ac:dyDescent="0.25">
      <c r="A16" t="s">
        <v>6531</v>
      </c>
      <c r="B16" t="s">
        <v>3687</v>
      </c>
      <c r="C16">
        <v>2</v>
      </c>
      <c r="D16" t="s">
        <v>6532</v>
      </c>
      <c r="E16" s="10" t="s">
        <v>6533</v>
      </c>
    </row>
    <row r="17" spans="1:5" x14ac:dyDescent="0.25">
      <c r="A17" t="s">
        <v>6534</v>
      </c>
      <c r="B17" t="s">
        <v>3770</v>
      </c>
      <c r="C17">
        <v>1</v>
      </c>
      <c r="D17" t="s">
        <v>6532</v>
      </c>
      <c r="E17" s="10" t="s">
        <v>6533</v>
      </c>
    </row>
    <row r="18" spans="1:5" x14ac:dyDescent="0.25">
      <c r="A18" t="s">
        <v>6535</v>
      </c>
      <c r="B18" t="s">
        <v>3901</v>
      </c>
      <c r="C18">
        <v>2</v>
      </c>
      <c r="D18" t="s">
        <v>6536</v>
      </c>
      <c r="E18" s="10" t="s">
        <v>6537</v>
      </c>
    </row>
    <row r="19" spans="1:5" x14ac:dyDescent="0.25">
      <c r="A19" t="s">
        <v>6538</v>
      </c>
      <c r="B19" t="s">
        <v>3710</v>
      </c>
      <c r="C19">
        <v>2</v>
      </c>
      <c r="D19" t="s">
        <v>6539</v>
      </c>
      <c r="E19" s="10" t="s">
        <v>6540</v>
      </c>
    </row>
    <row r="20" spans="1:5" x14ac:dyDescent="0.25">
      <c r="A20" t="s">
        <v>6541</v>
      </c>
      <c r="B20" t="s">
        <v>3699</v>
      </c>
      <c r="C20">
        <v>6</v>
      </c>
      <c r="D20" t="s">
        <v>6542</v>
      </c>
      <c r="E20" s="10" t="s">
        <v>6543</v>
      </c>
    </row>
    <row r="21" spans="1:5" x14ac:dyDescent="0.25">
      <c r="A21" t="s">
        <v>6544</v>
      </c>
      <c r="B21" t="s">
        <v>3862</v>
      </c>
      <c r="C21">
        <v>2</v>
      </c>
      <c r="D21" t="s">
        <v>6545</v>
      </c>
      <c r="E21" s="10" t="s">
        <v>6546</v>
      </c>
    </row>
    <row r="22" spans="1:5" x14ac:dyDescent="0.25">
      <c r="A22" t="s">
        <v>6547</v>
      </c>
      <c r="B22" t="s">
        <v>3643</v>
      </c>
      <c r="C22">
        <v>3</v>
      </c>
      <c r="D22" t="s">
        <v>6548</v>
      </c>
      <c r="E22" s="10" t="s">
        <v>6549</v>
      </c>
    </row>
    <row r="23" spans="1:5" x14ac:dyDescent="0.25">
      <c r="A23" t="s">
        <v>6550</v>
      </c>
      <c r="B23" t="s">
        <v>4412</v>
      </c>
      <c r="C23">
        <v>2</v>
      </c>
      <c r="D23" t="s">
        <v>6551</v>
      </c>
      <c r="E23" s="10" t="s">
        <v>6552</v>
      </c>
    </row>
    <row r="24" spans="1:5" x14ac:dyDescent="0.25">
      <c r="A24" t="s">
        <v>6553</v>
      </c>
      <c r="B24" t="s">
        <v>3520</v>
      </c>
      <c r="C24">
        <v>1</v>
      </c>
      <c r="D24" t="s">
        <v>6554</v>
      </c>
      <c r="E24" s="10" t="s">
        <v>6555</v>
      </c>
    </row>
    <row r="25" spans="1:5" x14ac:dyDescent="0.25">
      <c r="A25" t="s">
        <v>6556</v>
      </c>
      <c r="B25" t="s">
        <v>3710</v>
      </c>
      <c r="C25">
        <v>16</v>
      </c>
      <c r="D25" t="s">
        <v>6557</v>
      </c>
      <c r="E25" s="10" t="s">
        <v>6558</v>
      </c>
    </row>
    <row r="26" spans="1:5" x14ac:dyDescent="0.25">
      <c r="A26" t="s">
        <v>6559</v>
      </c>
      <c r="B26" t="s">
        <v>3621</v>
      </c>
      <c r="C26">
        <v>1</v>
      </c>
      <c r="D26" t="s">
        <v>6560</v>
      </c>
      <c r="E26" s="10" t="s">
        <v>6561</v>
      </c>
    </row>
    <row r="27" spans="1:5" x14ac:dyDescent="0.25">
      <c r="A27" t="s">
        <v>6562</v>
      </c>
      <c r="B27" t="s">
        <v>3455</v>
      </c>
      <c r="C27">
        <v>3</v>
      </c>
      <c r="D27" t="s">
        <v>6560</v>
      </c>
      <c r="E27" s="10" t="s">
        <v>6561</v>
      </c>
    </row>
    <row r="28" spans="1:5" x14ac:dyDescent="0.25">
      <c r="A28" t="s">
        <v>6563</v>
      </c>
      <c r="B28" t="s">
        <v>3889</v>
      </c>
      <c r="C28">
        <v>3</v>
      </c>
      <c r="D28" t="s">
        <v>6564</v>
      </c>
      <c r="E28" s="10" t="s">
        <v>6565</v>
      </c>
    </row>
    <row r="29" spans="1:5" x14ac:dyDescent="0.25">
      <c r="A29" t="s">
        <v>6566</v>
      </c>
      <c r="B29" t="s">
        <v>3751</v>
      </c>
      <c r="C29">
        <v>1</v>
      </c>
      <c r="D29" t="s">
        <v>6567</v>
      </c>
      <c r="E29" s="10" t="s">
        <v>6568</v>
      </c>
    </row>
    <row r="30" spans="1:5" x14ac:dyDescent="0.25">
      <c r="A30" t="s">
        <v>6569</v>
      </c>
      <c r="B30" t="s">
        <v>4019</v>
      </c>
      <c r="C30">
        <v>2</v>
      </c>
      <c r="D30" t="s">
        <v>6570</v>
      </c>
      <c r="E30" s="10" t="s">
        <v>6571</v>
      </c>
    </row>
    <row r="31" spans="1:5" x14ac:dyDescent="0.25">
      <c r="A31" t="s">
        <v>6572</v>
      </c>
      <c r="B31" t="s">
        <v>3805</v>
      </c>
      <c r="C31">
        <v>4</v>
      </c>
      <c r="D31" t="s">
        <v>6573</v>
      </c>
      <c r="E31" s="10" t="s">
        <v>6574</v>
      </c>
    </row>
    <row r="32" spans="1:5" x14ac:dyDescent="0.25">
      <c r="A32" t="s">
        <v>6575</v>
      </c>
      <c r="B32" t="s">
        <v>4103</v>
      </c>
      <c r="C32">
        <v>4</v>
      </c>
      <c r="D32" t="s">
        <v>6576</v>
      </c>
      <c r="E32" s="10" t="s">
        <v>6577</v>
      </c>
    </row>
    <row r="33" spans="1:5" x14ac:dyDescent="0.25">
      <c r="A33" t="s">
        <v>6578</v>
      </c>
      <c r="B33" t="s">
        <v>3696</v>
      </c>
      <c r="C33">
        <v>3</v>
      </c>
      <c r="D33" t="s">
        <v>6579</v>
      </c>
      <c r="E33" s="10" t="s">
        <v>6580</v>
      </c>
    </row>
    <row r="34" spans="1:5" x14ac:dyDescent="0.25">
      <c r="A34" t="s">
        <v>6581</v>
      </c>
      <c r="B34" t="s">
        <v>4362</v>
      </c>
      <c r="C34">
        <v>1</v>
      </c>
      <c r="D34" t="s">
        <v>6582</v>
      </c>
      <c r="E34" s="10" t="s">
        <v>6583</v>
      </c>
    </row>
    <row r="35" spans="1:5" x14ac:dyDescent="0.25">
      <c r="A35" t="s">
        <v>6584</v>
      </c>
      <c r="B35" t="s">
        <v>3967</v>
      </c>
      <c r="C35">
        <v>3</v>
      </c>
      <c r="D35" t="s">
        <v>6585</v>
      </c>
      <c r="E35" s="10" t="s">
        <v>6586</v>
      </c>
    </row>
    <row r="36" spans="1:5" x14ac:dyDescent="0.25">
      <c r="A36" t="s">
        <v>6587</v>
      </c>
      <c r="B36" t="s">
        <v>3882</v>
      </c>
      <c r="C36">
        <v>1</v>
      </c>
      <c r="D36" t="s">
        <v>6588</v>
      </c>
      <c r="E36" s="10" t="s">
        <v>6589</v>
      </c>
    </row>
    <row r="37" spans="1:5" x14ac:dyDescent="0.25">
      <c r="A37" t="s">
        <v>6590</v>
      </c>
      <c r="B37" t="s">
        <v>4450</v>
      </c>
      <c r="C37">
        <v>1</v>
      </c>
      <c r="D37" t="s">
        <v>6591</v>
      </c>
      <c r="E37" s="10" t="s">
        <v>6592</v>
      </c>
    </row>
    <row r="38" spans="1:5" x14ac:dyDescent="0.25">
      <c r="A38" t="s">
        <v>6593</v>
      </c>
      <c r="B38" t="s">
        <v>3533</v>
      </c>
      <c r="C38">
        <v>7</v>
      </c>
      <c r="D38" t="s">
        <v>6594</v>
      </c>
      <c r="E38" s="10" t="s">
        <v>6595</v>
      </c>
    </row>
    <row r="39" spans="1:5" x14ac:dyDescent="0.25">
      <c r="A39" t="s">
        <v>6596</v>
      </c>
      <c r="B39" t="s">
        <v>4024</v>
      </c>
      <c r="C39">
        <v>2</v>
      </c>
      <c r="D39" t="s">
        <v>6597</v>
      </c>
      <c r="E39" s="10" t="s">
        <v>6598</v>
      </c>
    </row>
    <row r="40" spans="1:5" x14ac:dyDescent="0.25">
      <c r="A40" t="s">
        <v>6599</v>
      </c>
      <c r="B40" t="s">
        <v>3633</v>
      </c>
      <c r="C40">
        <v>0</v>
      </c>
      <c r="D40" t="s">
        <v>6600</v>
      </c>
      <c r="E40" s="10" t="s">
        <v>6601</v>
      </c>
    </row>
    <row r="41" spans="1:5" x14ac:dyDescent="0.25">
      <c r="A41" t="s">
        <v>6602</v>
      </c>
      <c r="B41" t="s">
        <v>4242</v>
      </c>
      <c r="C41">
        <v>2</v>
      </c>
      <c r="D41" t="s">
        <v>6603</v>
      </c>
      <c r="E41" s="10" t="s">
        <v>6604</v>
      </c>
    </row>
    <row r="42" spans="1:5" x14ac:dyDescent="0.25">
      <c r="A42" t="s">
        <v>6605</v>
      </c>
      <c r="B42" t="s">
        <v>3797</v>
      </c>
      <c r="C42">
        <v>3</v>
      </c>
      <c r="D42" t="s">
        <v>6606</v>
      </c>
      <c r="E42" s="10" t="s">
        <v>6607</v>
      </c>
    </row>
    <row r="43" spans="1:5" x14ac:dyDescent="0.25">
      <c r="A43" t="s">
        <v>6608</v>
      </c>
      <c r="B43" t="s">
        <v>3788</v>
      </c>
      <c r="C43">
        <v>12</v>
      </c>
      <c r="D43" t="s">
        <v>6609</v>
      </c>
      <c r="E43" s="10" t="s">
        <v>6610</v>
      </c>
    </row>
    <row r="44" spans="1:5" x14ac:dyDescent="0.25">
      <c r="A44" t="s">
        <v>6611</v>
      </c>
      <c r="B44" t="s">
        <v>3656</v>
      </c>
      <c r="C44">
        <v>3</v>
      </c>
      <c r="D44" t="s">
        <v>6612</v>
      </c>
      <c r="E44" s="10" t="s">
        <v>6613</v>
      </c>
    </row>
    <row r="45" spans="1:5" x14ac:dyDescent="0.25">
      <c r="A45" t="s">
        <v>6614</v>
      </c>
      <c r="B45" t="s">
        <v>4128</v>
      </c>
      <c r="C45">
        <v>2</v>
      </c>
      <c r="D45" t="s">
        <v>6615</v>
      </c>
      <c r="E45" s="10" t="s">
        <v>6616</v>
      </c>
    </row>
    <row r="46" spans="1:5" x14ac:dyDescent="0.25">
      <c r="A46" t="s">
        <v>6617</v>
      </c>
      <c r="B46" t="s">
        <v>3886</v>
      </c>
      <c r="C46">
        <v>8</v>
      </c>
      <c r="D46" t="s">
        <v>6618</v>
      </c>
      <c r="E46" s="10" t="s">
        <v>6619</v>
      </c>
    </row>
    <row r="47" spans="1:5" x14ac:dyDescent="0.25">
      <c r="A47" t="s">
        <v>6620</v>
      </c>
      <c r="B47" t="s">
        <v>4405</v>
      </c>
      <c r="C47">
        <v>2</v>
      </c>
      <c r="D47" t="s">
        <v>6621</v>
      </c>
      <c r="E47" s="10" t="s">
        <v>6622</v>
      </c>
    </row>
    <row r="48" spans="1:5" x14ac:dyDescent="0.25">
      <c r="A48" t="s">
        <v>6623</v>
      </c>
      <c r="B48" t="s">
        <v>3666</v>
      </c>
      <c r="C48">
        <v>35</v>
      </c>
      <c r="D48" t="s">
        <v>6624</v>
      </c>
      <c r="E48" s="10" t="s">
        <v>6625</v>
      </c>
    </row>
    <row r="49" spans="1:5" x14ac:dyDescent="0.25">
      <c r="A49" t="s">
        <v>6626</v>
      </c>
      <c r="B49" t="s">
        <v>4473</v>
      </c>
      <c r="C49">
        <v>1</v>
      </c>
      <c r="D49" t="s">
        <v>6627</v>
      </c>
      <c r="E49" s="10" t="s">
        <v>6628</v>
      </c>
    </row>
    <row r="50" spans="1:5" x14ac:dyDescent="0.25">
      <c r="A50" t="s">
        <v>6629</v>
      </c>
      <c r="B50" t="s">
        <v>2045</v>
      </c>
      <c r="C50">
        <v>2</v>
      </c>
      <c r="D50" t="s">
        <v>6630</v>
      </c>
      <c r="E50" s="10" t="s">
        <v>6631</v>
      </c>
    </row>
    <row r="51" spans="1:5" x14ac:dyDescent="0.25">
      <c r="A51" t="s">
        <v>6632</v>
      </c>
      <c r="B51" t="s">
        <v>3905</v>
      </c>
      <c r="C51">
        <v>3</v>
      </c>
      <c r="D51" t="s">
        <v>6633</v>
      </c>
      <c r="E51" s="10" t="s">
        <v>6634</v>
      </c>
    </row>
    <row r="52" spans="1:5" x14ac:dyDescent="0.25">
      <c r="A52" t="s">
        <v>6635</v>
      </c>
      <c r="B52" t="s">
        <v>4381</v>
      </c>
      <c r="C52">
        <v>2</v>
      </c>
      <c r="D52" t="s">
        <v>6636</v>
      </c>
      <c r="E52" s="10" t="s">
        <v>6637</v>
      </c>
    </row>
    <row r="53" spans="1:5" x14ac:dyDescent="0.25">
      <c r="A53" t="s">
        <v>6638</v>
      </c>
      <c r="B53" t="s">
        <v>4093</v>
      </c>
      <c r="C53">
        <v>3</v>
      </c>
      <c r="D53" t="s">
        <v>6639</v>
      </c>
      <c r="E53" s="10" t="s">
        <v>6640</v>
      </c>
    </row>
    <row r="54" spans="1:5" x14ac:dyDescent="0.25">
      <c r="A54" t="s">
        <v>4432</v>
      </c>
      <c r="B54" t="s">
        <v>4432</v>
      </c>
      <c r="C54">
        <v>15</v>
      </c>
      <c r="D54" t="s">
        <v>6639</v>
      </c>
      <c r="E54" s="10" t="s">
        <v>6641</v>
      </c>
    </row>
    <row r="55" spans="1:5" x14ac:dyDescent="0.25">
      <c r="E55" s="10"/>
    </row>
    <row r="56" spans="1:5" x14ac:dyDescent="0.25">
      <c r="E56" s="10"/>
    </row>
    <row r="57" spans="1:5" x14ac:dyDescent="0.25">
      <c r="E57" s="10"/>
    </row>
    <row r="58" spans="1:5" x14ac:dyDescent="0.25">
      <c r="E58" s="10"/>
    </row>
    <row r="59" spans="1:5" x14ac:dyDescent="0.25">
      <c r="E59" s="10"/>
    </row>
    <row r="60" spans="1:5" x14ac:dyDescent="0.25">
      <c r="E60" s="10"/>
    </row>
    <row r="61" spans="1:5" x14ac:dyDescent="0.25">
      <c r="E61" s="10"/>
    </row>
    <row r="62" spans="1:5" x14ac:dyDescent="0.25">
      <c r="E62" s="10"/>
    </row>
    <row r="63" spans="1:5" x14ac:dyDescent="0.25">
      <c r="E63" s="10"/>
    </row>
    <row r="64" spans="1:5" x14ac:dyDescent="0.25">
      <c r="E64" s="10"/>
    </row>
    <row r="65" spans="5:5" x14ac:dyDescent="0.25">
      <c r="E65" s="10"/>
    </row>
    <row r="66" spans="5:5" x14ac:dyDescent="0.25">
      <c r="E66" s="10"/>
    </row>
    <row r="67" spans="5:5" x14ac:dyDescent="0.25">
      <c r="E67" s="10"/>
    </row>
    <row r="68" spans="5:5" x14ac:dyDescent="0.25">
      <c r="E68" s="10"/>
    </row>
    <row r="69" spans="5:5" x14ac:dyDescent="0.25">
      <c r="E69" s="10"/>
    </row>
    <row r="70" spans="5:5" x14ac:dyDescent="0.25">
      <c r="E70" s="10"/>
    </row>
    <row r="71" spans="5:5" x14ac:dyDescent="0.25">
      <c r="E71" s="10"/>
    </row>
    <row r="72" spans="5:5" x14ac:dyDescent="0.25">
      <c r="E72" s="10"/>
    </row>
    <row r="73" spans="5:5" x14ac:dyDescent="0.25">
      <c r="E73" s="10"/>
    </row>
    <row r="74" spans="5:5" x14ac:dyDescent="0.25">
      <c r="E74" s="10"/>
    </row>
    <row r="75" spans="5:5" x14ac:dyDescent="0.25">
      <c r="E75" s="10"/>
    </row>
    <row r="76" spans="5:5" x14ac:dyDescent="0.25">
      <c r="E76" s="10"/>
    </row>
    <row r="77" spans="5:5" x14ac:dyDescent="0.25">
      <c r="E77" s="10"/>
    </row>
    <row r="78" spans="5:5" x14ac:dyDescent="0.25">
      <c r="E78" s="10"/>
    </row>
    <row r="79" spans="5:5" x14ac:dyDescent="0.25">
      <c r="E79" s="10"/>
    </row>
    <row r="80" spans="5:5" x14ac:dyDescent="0.25">
      <c r="E80" s="10"/>
    </row>
    <row r="81" spans="5:5" x14ac:dyDescent="0.25">
      <c r="E81" s="10"/>
    </row>
    <row r="82" spans="5:5" x14ac:dyDescent="0.25">
      <c r="E82" s="10"/>
    </row>
    <row r="83" spans="5:5" x14ac:dyDescent="0.25">
      <c r="E83" s="10"/>
    </row>
    <row r="84" spans="5:5" x14ac:dyDescent="0.25">
      <c r="E84" s="10"/>
    </row>
    <row r="85" spans="5:5" x14ac:dyDescent="0.25">
      <c r="E85" s="10"/>
    </row>
    <row r="86" spans="5:5" x14ac:dyDescent="0.25">
      <c r="E86" s="10"/>
    </row>
    <row r="87" spans="5:5" x14ac:dyDescent="0.25">
      <c r="E87" s="10"/>
    </row>
    <row r="88" spans="5:5" x14ac:dyDescent="0.25">
      <c r="E88" s="10"/>
    </row>
    <row r="89" spans="5:5" x14ac:dyDescent="0.25">
      <c r="E89" s="10"/>
    </row>
    <row r="90" spans="5:5" x14ac:dyDescent="0.25">
      <c r="E90" s="10"/>
    </row>
    <row r="91" spans="5:5" x14ac:dyDescent="0.25">
      <c r="E91" s="10"/>
    </row>
    <row r="92" spans="5:5" x14ac:dyDescent="0.25">
      <c r="E92" s="10"/>
    </row>
    <row r="93" spans="5:5" x14ac:dyDescent="0.25">
      <c r="E93" s="10"/>
    </row>
    <row r="94" spans="5:5" x14ac:dyDescent="0.25">
      <c r="E94" s="10"/>
    </row>
    <row r="95" spans="5:5" x14ac:dyDescent="0.25">
      <c r="E95" s="10"/>
    </row>
    <row r="96" spans="5:5" x14ac:dyDescent="0.25">
      <c r="E96" s="10"/>
    </row>
    <row r="97" spans="5:5" x14ac:dyDescent="0.25">
      <c r="E97" s="10"/>
    </row>
    <row r="98" spans="5:5" x14ac:dyDescent="0.25">
      <c r="E98" s="10"/>
    </row>
    <row r="99" spans="5:5" x14ac:dyDescent="0.25">
      <c r="E99" s="10"/>
    </row>
    <row r="100" spans="5:5" x14ac:dyDescent="0.25">
      <c r="E100" s="10"/>
    </row>
    <row r="101" spans="5:5" x14ac:dyDescent="0.25">
      <c r="E101" s="10"/>
    </row>
    <row r="102" spans="5:5" x14ac:dyDescent="0.25">
      <c r="E102" s="10"/>
    </row>
    <row r="103" spans="5:5" x14ac:dyDescent="0.25">
      <c r="E103" s="10"/>
    </row>
    <row r="104" spans="5:5" x14ac:dyDescent="0.25">
      <c r="E104" s="10"/>
    </row>
    <row r="105" spans="5:5" x14ac:dyDescent="0.25">
      <c r="E105" s="10"/>
    </row>
    <row r="106" spans="5:5" x14ac:dyDescent="0.25">
      <c r="E106" s="10"/>
    </row>
    <row r="107" spans="5:5" x14ac:dyDescent="0.25">
      <c r="E107" s="10"/>
    </row>
    <row r="108" spans="5:5" x14ac:dyDescent="0.25">
      <c r="E108" s="10"/>
    </row>
    <row r="109" spans="5:5" x14ac:dyDescent="0.25">
      <c r="E109" s="10"/>
    </row>
    <row r="110" spans="5:5" x14ac:dyDescent="0.25">
      <c r="E110" s="10"/>
    </row>
    <row r="111" spans="5:5" x14ac:dyDescent="0.25">
      <c r="E111" s="10"/>
    </row>
    <row r="112" spans="5:5" x14ac:dyDescent="0.25">
      <c r="E112" s="10"/>
    </row>
    <row r="113" spans="5:5" x14ac:dyDescent="0.25">
      <c r="E113" s="10"/>
    </row>
    <row r="114" spans="5:5" x14ac:dyDescent="0.25">
      <c r="E114" s="10"/>
    </row>
    <row r="115" spans="5:5" x14ac:dyDescent="0.25">
      <c r="E115" s="10"/>
    </row>
    <row r="116" spans="5:5" x14ac:dyDescent="0.25">
      <c r="E116" s="10"/>
    </row>
    <row r="117" spans="5:5" x14ac:dyDescent="0.25">
      <c r="E117" s="10"/>
    </row>
    <row r="118" spans="5:5" x14ac:dyDescent="0.25">
      <c r="E118" s="10"/>
    </row>
    <row r="119" spans="5:5" x14ac:dyDescent="0.25">
      <c r="E119" s="10"/>
    </row>
    <row r="120" spans="5:5" x14ac:dyDescent="0.25">
      <c r="E12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P55"/>
  <sheetViews>
    <sheetView workbookViewId="0">
      <selection activeCell="B29" sqref="B29"/>
    </sheetView>
  </sheetViews>
  <sheetFormatPr baseColWidth="10" defaultColWidth="9.140625" defaultRowHeight="15" x14ac:dyDescent="0.25"/>
  <cols>
    <col min="1" max="1" width="18" customWidth="1"/>
    <col min="2" max="2" width="13" customWidth="1"/>
    <col min="3" max="3" width="8" customWidth="1"/>
    <col min="4" max="4" width="12" customWidth="1"/>
    <col min="5" max="5" width="22" customWidth="1"/>
    <col min="6" max="6" width="38" customWidth="1"/>
    <col min="7" max="7" width="36" customWidth="1"/>
    <col min="8" max="8" width="10" customWidth="1"/>
    <col min="9" max="9" width="12" customWidth="1"/>
    <col min="10" max="10" width="14" customWidth="1"/>
    <col min="11" max="11" width="10" customWidth="1"/>
    <col min="12" max="12" width="14" customWidth="1"/>
    <col min="13" max="13" width="16" customWidth="1"/>
    <col min="14" max="14" width="14" customWidth="1"/>
    <col min="15" max="15" width="22" customWidth="1"/>
    <col min="16" max="16" width="34" customWidth="1"/>
  </cols>
  <sheetData>
    <row r="1" spans="1:16" x14ac:dyDescent="0.25">
      <c r="A1" s="15" t="s">
        <v>0</v>
      </c>
      <c r="B1" s="15" t="s">
        <v>3401</v>
      </c>
      <c r="C1" s="15" t="s">
        <v>3402</v>
      </c>
      <c r="D1" s="15" t="s">
        <v>3403</v>
      </c>
      <c r="E1" s="15" t="s">
        <v>1</v>
      </c>
      <c r="F1" s="15" t="s">
        <v>3404</v>
      </c>
      <c r="G1" s="15" t="s">
        <v>3405</v>
      </c>
      <c r="H1" s="15" t="s">
        <v>3406</v>
      </c>
      <c r="I1" s="15" t="s">
        <v>3407</v>
      </c>
      <c r="J1" s="15" t="s">
        <v>3408</v>
      </c>
      <c r="K1" s="15" t="s">
        <v>3409</v>
      </c>
      <c r="L1" s="15" t="s">
        <v>3410</v>
      </c>
      <c r="M1" s="15" t="s">
        <v>6</v>
      </c>
      <c r="N1" s="15" t="s">
        <v>3411</v>
      </c>
      <c r="O1" s="15" t="s">
        <v>7</v>
      </c>
      <c r="P1" s="15" t="s">
        <v>6642</v>
      </c>
    </row>
    <row r="2" spans="1:16" x14ac:dyDescent="0.25">
      <c r="A2" t="s">
        <v>2430</v>
      </c>
      <c r="B2" t="s">
        <v>3527</v>
      </c>
      <c r="C2">
        <v>2024</v>
      </c>
      <c r="D2" s="2">
        <v>45413</v>
      </c>
      <c r="E2" t="s">
        <v>2431</v>
      </c>
      <c r="F2" s="17" t="s">
        <v>5131</v>
      </c>
      <c r="G2" s="17" t="s">
        <v>3839</v>
      </c>
      <c r="H2" t="s">
        <v>3415</v>
      </c>
      <c r="I2" t="s">
        <v>3453</v>
      </c>
      <c r="J2" s="3">
        <v>145</v>
      </c>
      <c r="K2">
        <v>1</v>
      </c>
      <c r="L2" s="1">
        <v>145</v>
      </c>
      <c r="M2" t="s">
        <v>11</v>
      </c>
      <c r="N2" s="1"/>
      <c r="O2" t="s">
        <v>12</v>
      </c>
      <c r="P2" s="17" t="s">
        <v>6643</v>
      </c>
    </row>
    <row r="3" spans="1:16" x14ac:dyDescent="0.25">
      <c r="A3" t="s">
        <v>2428</v>
      </c>
      <c r="B3" t="s">
        <v>3527</v>
      </c>
      <c r="C3">
        <v>2024</v>
      </c>
      <c r="D3" s="2">
        <v>45413</v>
      </c>
      <c r="E3" t="s">
        <v>2429</v>
      </c>
      <c r="F3" s="17" t="s">
        <v>5130</v>
      </c>
      <c r="G3" s="17" t="s">
        <v>3954</v>
      </c>
      <c r="H3" t="s">
        <v>3415</v>
      </c>
      <c r="I3" t="s">
        <v>3453</v>
      </c>
      <c r="J3" s="3">
        <v>23</v>
      </c>
      <c r="K3">
        <v>1</v>
      </c>
      <c r="L3" s="1">
        <v>23</v>
      </c>
      <c r="M3" t="s">
        <v>11</v>
      </c>
      <c r="N3" s="1"/>
      <c r="O3" t="s">
        <v>12</v>
      </c>
      <c r="P3" s="17" t="s">
        <v>6643</v>
      </c>
    </row>
    <row r="4" spans="1:16" x14ac:dyDescent="0.25">
      <c r="A4" t="s">
        <v>2425</v>
      </c>
      <c r="B4" t="s">
        <v>3527</v>
      </c>
      <c r="C4">
        <v>2024</v>
      </c>
      <c r="D4" s="2">
        <v>45413</v>
      </c>
      <c r="E4" t="s">
        <v>2426</v>
      </c>
      <c r="F4" s="17" t="s">
        <v>4347</v>
      </c>
      <c r="G4" s="17" t="s">
        <v>3797</v>
      </c>
      <c r="H4" t="s">
        <v>3419</v>
      </c>
      <c r="I4" t="s">
        <v>3453</v>
      </c>
      <c r="J4" s="3">
        <v>100</v>
      </c>
      <c r="K4">
        <v>1</v>
      </c>
      <c r="L4" s="1">
        <v>100</v>
      </c>
      <c r="M4" t="s">
        <v>11</v>
      </c>
      <c r="N4" s="1"/>
      <c r="O4" t="s">
        <v>12</v>
      </c>
      <c r="P4" s="17" t="s">
        <v>6643</v>
      </c>
    </row>
    <row r="5" spans="1:16" x14ac:dyDescent="0.25">
      <c r="A5" t="s">
        <v>2425</v>
      </c>
      <c r="B5" t="s">
        <v>3527</v>
      </c>
      <c r="C5">
        <v>2024</v>
      </c>
      <c r="D5" s="2">
        <v>45413</v>
      </c>
      <c r="E5" t="s">
        <v>2426</v>
      </c>
      <c r="F5" s="17" t="s">
        <v>5129</v>
      </c>
      <c r="G5" s="17" t="s">
        <v>3533</v>
      </c>
      <c r="H5" t="s">
        <v>3415</v>
      </c>
      <c r="I5" t="s">
        <v>3453</v>
      </c>
      <c r="J5" s="3">
        <v>150</v>
      </c>
      <c r="K5">
        <v>1</v>
      </c>
      <c r="L5" s="1">
        <v>150</v>
      </c>
      <c r="M5" t="s">
        <v>11</v>
      </c>
      <c r="N5" s="1"/>
      <c r="O5" t="s">
        <v>12</v>
      </c>
      <c r="P5" s="17" t="s">
        <v>6643</v>
      </c>
    </row>
    <row r="6" spans="1:16" x14ac:dyDescent="0.25">
      <c r="A6" t="s">
        <v>2425</v>
      </c>
      <c r="B6" t="s">
        <v>3527</v>
      </c>
      <c r="C6">
        <v>2024</v>
      </c>
      <c r="D6" s="2">
        <v>45413</v>
      </c>
      <c r="E6" t="s">
        <v>2426</v>
      </c>
      <c r="F6" s="17" t="s">
        <v>5004</v>
      </c>
      <c r="G6" s="17" t="s">
        <v>3797</v>
      </c>
      <c r="H6" t="s">
        <v>3415</v>
      </c>
      <c r="I6" t="s">
        <v>3453</v>
      </c>
      <c r="J6" s="3">
        <v>5</v>
      </c>
      <c r="K6">
        <v>1</v>
      </c>
      <c r="L6" s="1">
        <v>5</v>
      </c>
      <c r="M6" t="s">
        <v>11</v>
      </c>
      <c r="N6" s="1"/>
      <c r="O6" t="s">
        <v>12</v>
      </c>
      <c r="P6" s="17" t="s">
        <v>6643</v>
      </c>
    </row>
    <row r="7" spans="1:16" x14ac:dyDescent="0.25">
      <c r="A7" t="s">
        <v>2425</v>
      </c>
      <c r="B7" t="s">
        <v>3527</v>
      </c>
      <c r="C7">
        <v>2024</v>
      </c>
      <c r="D7" s="2">
        <v>45413</v>
      </c>
      <c r="E7" t="s">
        <v>2426</v>
      </c>
      <c r="F7" s="17" t="s">
        <v>5088</v>
      </c>
      <c r="G7" s="17" t="s">
        <v>3839</v>
      </c>
      <c r="H7" t="s">
        <v>3419</v>
      </c>
      <c r="I7" t="s">
        <v>3453</v>
      </c>
      <c r="J7" s="3">
        <v>3.3</v>
      </c>
      <c r="K7">
        <v>3</v>
      </c>
      <c r="L7" s="1">
        <v>9.9</v>
      </c>
      <c r="M7" t="s">
        <v>11</v>
      </c>
      <c r="N7" s="1"/>
      <c r="O7" t="s">
        <v>12</v>
      </c>
      <c r="P7" s="17" t="s">
        <v>6643</v>
      </c>
    </row>
    <row r="8" spans="1:16" x14ac:dyDescent="0.25">
      <c r="A8" t="s">
        <v>1851</v>
      </c>
      <c r="B8" t="s">
        <v>4070</v>
      </c>
      <c r="C8">
        <v>2024</v>
      </c>
      <c r="D8" s="2">
        <v>45566</v>
      </c>
      <c r="E8" t="s">
        <v>1852</v>
      </c>
      <c r="F8" s="17" t="s">
        <v>4844</v>
      </c>
      <c r="G8" s="17" t="s">
        <v>3621</v>
      </c>
      <c r="H8" t="s">
        <v>3415</v>
      </c>
      <c r="I8" t="s">
        <v>3416</v>
      </c>
      <c r="J8" s="3">
        <v>35.817500000000003</v>
      </c>
      <c r="K8">
        <v>4</v>
      </c>
      <c r="L8" s="1">
        <v>143.27000000000001</v>
      </c>
      <c r="M8" t="s">
        <v>48</v>
      </c>
      <c r="N8" s="1">
        <v>143.27000000000001</v>
      </c>
      <c r="O8" t="s">
        <v>12</v>
      </c>
      <c r="P8" s="17" t="s">
        <v>6643</v>
      </c>
    </row>
    <row r="9" spans="1:16" x14ac:dyDescent="0.25">
      <c r="A9" t="s">
        <v>1848</v>
      </c>
      <c r="B9" t="s">
        <v>4070</v>
      </c>
      <c r="C9">
        <v>2024</v>
      </c>
      <c r="D9" s="2">
        <v>45566</v>
      </c>
      <c r="E9" t="s">
        <v>1849</v>
      </c>
      <c r="F9" s="17" t="s">
        <v>4843</v>
      </c>
      <c r="G9" s="17" t="s">
        <v>3742</v>
      </c>
      <c r="H9" t="s">
        <v>3415</v>
      </c>
      <c r="I9" t="s">
        <v>3453</v>
      </c>
      <c r="J9" s="3">
        <v>12</v>
      </c>
      <c r="K9">
        <v>1</v>
      </c>
      <c r="L9" s="1">
        <v>12</v>
      </c>
      <c r="M9" t="s">
        <v>11</v>
      </c>
      <c r="N9" s="1"/>
      <c r="O9" t="s">
        <v>12</v>
      </c>
      <c r="P9" s="17" t="s">
        <v>6643</v>
      </c>
    </row>
    <row r="10" spans="1:16" x14ac:dyDescent="0.25">
      <c r="A10" t="s">
        <v>1597</v>
      </c>
      <c r="B10" t="s">
        <v>3761</v>
      </c>
      <c r="C10">
        <v>2025</v>
      </c>
      <c r="D10" s="2">
        <v>45658</v>
      </c>
      <c r="E10" t="s">
        <v>1598</v>
      </c>
      <c r="F10" s="17" t="s">
        <v>4687</v>
      </c>
      <c r="G10" s="17" t="s">
        <v>3452</v>
      </c>
      <c r="H10" t="s">
        <v>3419</v>
      </c>
      <c r="I10" t="s">
        <v>3416</v>
      </c>
      <c r="J10" s="3">
        <v>22</v>
      </c>
      <c r="K10">
        <v>1</v>
      </c>
      <c r="L10" s="1">
        <v>22</v>
      </c>
      <c r="M10" t="s">
        <v>11</v>
      </c>
      <c r="N10" s="1"/>
      <c r="O10" t="s">
        <v>12</v>
      </c>
      <c r="P10" s="17" t="s">
        <v>6643</v>
      </c>
    </row>
    <row r="11" spans="1:16" x14ac:dyDescent="0.25">
      <c r="A11" t="s">
        <v>1397</v>
      </c>
      <c r="B11" t="s">
        <v>3646</v>
      </c>
      <c r="C11">
        <v>2025</v>
      </c>
      <c r="D11" s="2">
        <v>45723</v>
      </c>
      <c r="E11" t="s">
        <v>1398</v>
      </c>
      <c r="F11" s="17" t="s">
        <v>4576</v>
      </c>
      <c r="G11" s="17" t="s">
        <v>4398</v>
      </c>
      <c r="H11" t="s">
        <v>3419</v>
      </c>
      <c r="I11" t="s">
        <v>3453</v>
      </c>
      <c r="J11" s="3">
        <v>8</v>
      </c>
      <c r="K11">
        <v>4</v>
      </c>
      <c r="L11" s="1">
        <v>32</v>
      </c>
      <c r="M11" t="s">
        <v>11</v>
      </c>
      <c r="N11" s="1"/>
      <c r="O11" t="s">
        <v>12</v>
      </c>
      <c r="P11" s="17" t="s">
        <v>6643</v>
      </c>
    </row>
    <row r="12" spans="1:16" x14ac:dyDescent="0.25">
      <c r="A12" t="s">
        <v>1394</v>
      </c>
      <c r="B12" t="s">
        <v>3646</v>
      </c>
      <c r="C12">
        <v>2025</v>
      </c>
      <c r="D12" s="2">
        <v>45723</v>
      </c>
      <c r="E12" t="s">
        <v>1395</v>
      </c>
      <c r="F12" s="17" t="s">
        <v>4573</v>
      </c>
      <c r="G12" s="17" t="s">
        <v>3879</v>
      </c>
      <c r="H12" t="s">
        <v>3419</v>
      </c>
      <c r="I12" t="s">
        <v>3416</v>
      </c>
      <c r="J12" s="3">
        <v>13.99</v>
      </c>
      <c r="K12">
        <v>4</v>
      </c>
      <c r="L12" s="1">
        <v>55.96</v>
      </c>
      <c r="M12" t="s">
        <v>11</v>
      </c>
      <c r="N12" s="1"/>
      <c r="O12" t="s">
        <v>12</v>
      </c>
      <c r="P12" s="17" t="s">
        <v>6643</v>
      </c>
    </row>
    <row r="13" spans="1:16" x14ac:dyDescent="0.25">
      <c r="A13" t="s">
        <v>1394</v>
      </c>
      <c r="B13" t="s">
        <v>3646</v>
      </c>
      <c r="C13">
        <v>2025</v>
      </c>
      <c r="D13" s="2">
        <v>45723</v>
      </c>
      <c r="E13" t="s">
        <v>1395</v>
      </c>
      <c r="F13" s="17" t="s">
        <v>4574</v>
      </c>
      <c r="G13" s="17" t="s">
        <v>3652</v>
      </c>
      <c r="H13" t="s">
        <v>3419</v>
      </c>
      <c r="I13" t="s">
        <v>3453</v>
      </c>
      <c r="J13" s="3">
        <v>5.49</v>
      </c>
      <c r="K13">
        <v>3</v>
      </c>
      <c r="L13" s="1">
        <v>16.47</v>
      </c>
      <c r="M13" t="s">
        <v>11</v>
      </c>
      <c r="N13" s="1"/>
      <c r="O13" t="s">
        <v>12</v>
      </c>
      <c r="P13" s="17" t="s">
        <v>6643</v>
      </c>
    </row>
    <row r="14" spans="1:16" x14ac:dyDescent="0.25">
      <c r="A14" t="s">
        <v>1394</v>
      </c>
      <c r="B14" t="s">
        <v>3646</v>
      </c>
      <c r="C14">
        <v>2025</v>
      </c>
      <c r="D14" s="2">
        <v>45723</v>
      </c>
      <c r="E14" t="s">
        <v>1395</v>
      </c>
      <c r="F14" s="17" t="s">
        <v>4575</v>
      </c>
      <c r="G14" s="17" t="s">
        <v>3712</v>
      </c>
      <c r="H14" t="s">
        <v>3419</v>
      </c>
      <c r="I14" t="s">
        <v>3416</v>
      </c>
      <c r="J14" s="3">
        <v>0.99</v>
      </c>
      <c r="K14">
        <v>2</v>
      </c>
      <c r="L14" s="1">
        <v>1.98</v>
      </c>
      <c r="M14" t="s">
        <v>11</v>
      </c>
      <c r="N14" s="1"/>
      <c r="O14" t="s">
        <v>12</v>
      </c>
      <c r="P14" s="17" t="s">
        <v>6643</v>
      </c>
    </row>
    <row r="15" spans="1:16" x14ac:dyDescent="0.25">
      <c r="A15" t="s">
        <v>1391</v>
      </c>
      <c r="B15" t="s">
        <v>3646</v>
      </c>
      <c r="C15">
        <v>2025</v>
      </c>
      <c r="D15" s="2">
        <v>45723</v>
      </c>
      <c r="E15" t="s">
        <v>494</v>
      </c>
      <c r="F15" s="17" t="s">
        <v>4562</v>
      </c>
      <c r="G15" s="17" t="s">
        <v>4398</v>
      </c>
      <c r="H15" t="s">
        <v>3419</v>
      </c>
      <c r="I15" t="s">
        <v>3453</v>
      </c>
      <c r="J15" s="3">
        <v>39</v>
      </c>
      <c r="K15">
        <v>2</v>
      </c>
      <c r="L15" s="1">
        <v>78</v>
      </c>
      <c r="M15" t="s">
        <v>11</v>
      </c>
      <c r="N15" s="1"/>
      <c r="O15" t="s">
        <v>12</v>
      </c>
      <c r="P15" s="17" t="s">
        <v>6643</v>
      </c>
    </row>
    <row r="16" spans="1:16" x14ac:dyDescent="0.25">
      <c r="A16" t="s">
        <v>1391</v>
      </c>
      <c r="B16" t="s">
        <v>3646</v>
      </c>
      <c r="C16">
        <v>2025</v>
      </c>
      <c r="D16" s="2">
        <v>45723</v>
      </c>
      <c r="E16" t="s">
        <v>494</v>
      </c>
      <c r="F16" s="17" t="s">
        <v>4563</v>
      </c>
      <c r="G16" s="17" t="s">
        <v>4398</v>
      </c>
      <c r="H16" t="s">
        <v>3419</v>
      </c>
      <c r="I16" t="s">
        <v>3453</v>
      </c>
      <c r="J16" s="3">
        <v>24</v>
      </c>
      <c r="K16">
        <v>4</v>
      </c>
      <c r="L16" s="1">
        <v>96</v>
      </c>
      <c r="M16" t="s">
        <v>11</v>
      </c>
      <c r="N16" s="1"/>
      <c r="O16" t="s">
        <v>12</v>
      </c>
      <c r="P16" s="17" t="s">
        <v>6643</v>
      </c>
    </row>
    <row r="17" spans="1:16" x14ac:dyDescent="0.25">
      <c r="A17" t="s">
        <v>1391</v>
      </c>
      <c r="B17" t="s">
        <v>3646</v>
      </c>
      <c r="C17">
        <v>2025</v>
      </c>
      <c r="D17" s="2">
        <v>45723</v>
      </c>
      <c r="E17" t="s">
        <v>494</v>
      </c>
      <c r="F17" s="17" t="s">
        <v>4564</v>
      </c>
      <c r="G17" s="17" t="s">
        <v>3696</v>
      </c>
      <c r="H17" t="s">
        <v>3419</v>
      </c>
      <c r="I17" t="s">
        <v>3453</v>
      </c>
      <c r="J17" s="3">
        <v>10</v>
      </c>
      <c r="K17">
        <v>4</v>
      </c>
      <c r="L17" s="1">
        <v>40</v>
      </c>
      <c r="M17" t="s">
        <v>11</v>
      </c>
      <c r="N17" s="1"/>
      <c r="O17" t="s">
        <v>12</v>
      </c>
      <c r="P17" s="17" t="s">
        <v>6643</v>
      </c>
    </row>
    <row r="18" spans="1:16" x14ac:dyDescent="0.25">
      <c r="A18" t="s">
        <v>1391</v>
      </c>
      <c r="B18" t="s">
        <v>3646</v>
      </c>
      <c r="C18">
        <v>2025</v>
      </c>
      <c r="D18" s="2">
        <v>45723</v>
      </c>
      <c r="E18" t="s">
        <v>494</v>
      </c>
      <c r="F18" s="17" t="s">
        <v>4565</v>
      </c>
      <c r="G18" s="17" t="s">
        <v>4019</v>
      </c>
      <c r="H18" t="s">
        <v>3419</v>
      </c>
      <c r="I18" t="s">
        <v>3453</v>
      </c>
      <c r="J18" s="3">
        <v>14</v>
      </c>
      <c r="K18">
        <v>1</v>
      </c>
      <c r="L18" s="1">
        <v>14</v>
      </c>
      <c r="M18" t="s">
        <v>11</v>
      </c>
      <c r="N18" s="1"/>
      <c r="O18" t="s">
        <v>12</v>
      </c>
      <c r="P18" s="17" t="s">
        <v>6643</v>
      </c>
    </row>
    <row r="19" spans="1:16" x14ac:dyDescent="0.25">
      <c r="A19" t="s">
        <v>1391</v>
      </c>
      <c r="B19" t="s">
        <v>3646</v>
      </c>
      <c r="C19">
        <v>2025</v>
      </c>
      <c r="D19" s="2">
        <v>45723</v>
      </c>
      <c r="E19" t="s">
        <v>494</v>
      </c>
      <c r="F19" s="17" t="s">
        <v>4566</v>
      </c>
      <c r="G19" s="17" t="s">
        <v>3839</v>
      </c>
      <c r="H19" t="s">
        <v>3419</v>
      </c>
      <c r="I19" t="s">
        <v>3453</v>
      </c>
      <c r="J19" s="3">
        <v>6.75</v>
      </c>
      <c r="K19">
        <v>4</v>
      </c>
      <c r="L19" s="1">
        <v>27</v>
      </c>
      <c r="M19" t="s">
        <v>11</v>
      </c>
      <c r="N19" s="1"/>
      <c r="O19" t="s">
        <v>12</v>
      </c>
      <c r="P19" s="17" t="s">
        <v>6643</v>
      </c>
    </row>
    <row r="20" spans="1:16" x14ac:dyDescent="0.25">
      <c r="A20" t="s">
        <v>1391</v>
      </c>
      <c r="B20" t="s">
        <v>3646</v>
      </c>
      <c r="C20">
        <v>2025</v>
      </c>
      <c r="D20" s="2">
        <v>45723</v>
      </c>
      <c r="E20" t="s">
        <v>494</v>
      </c>
      <c r="F20" s="17" t="s">
        <v>4567</v>
      </c>
      <c r="G20" s="17" t="s">
        <v>4398</v>
      </c>
      <c r="H20" t="s">
        <v>3419</v>
      </c>
      <c r="I20" t="s">
        <v>3453</v>
      </c>
      <c r="J20" s="3">
        <v>4</v>
      </c>
      <c r="K20">
        <v>4</v>
      </c>
      <c r="L20" s="1">
        <v>16</v>
      </c>
      <c r="M20" t="s">
        <v>11</v>
      </c>
      <c r="N20" s="1"/>
      <c r="O20" t="s">
        <v>12</v>
      </c>
      <c r="P20" s="17" t="s">
        <v>6643</v>
      </c>
    </row>
    <row r="21" spans="1:16" x14ac:dyDescent="0.25">
      <c r="A21" t="s">
        <v>1391</v>
      </c>
      <c r="B21" t="s">
        <v>3646</v>
      </c>
      <c r="C21">
        <v>2025</v>
      </c>
      <c r="D21" s="2">
        <v>45723</v>
      </c>
      <c r="E21" t="s">
        <v>494</v>
      </c>
      <c r="F21" s="17" t="s">
        <v>4568</v>
      </c>
      <c r="G21" s="17" t="s">
        <v>4412</v>
      </c>
      <c r="H21" t="s">
        <v>3419</v>
      </c>
      <c r="I21" t="s">
        <v>3453</v>
      </c>
      <c r="J21" s="3">
        <v>5</v>
      </c>
      <c r="K21">
        <v>2</v>
      </c>
      <c r="L21" s="1">
        <v>10</v>
      </c>
      <c r="M21" t="s">
        <v>11</v>
      </c>
      <c r="N21" s="1"/>
      <c r="O21" t="s">
        <v>12</v>
      </c>
      <c r="P21" s="17" t="s">
        <v>6643</v>
      </c>
    </row>
    <row r="22" spans="1:16" x14ac:dyDescent="0.25">
      <c r="A22" t="s">
        <v>1391</v>
      </c>
      <c r="B22" t="s">
        <v>3646</v>
      </c>
      <c r="C22">
        <v>2025</v>
      </c>
      <c r="D22" s="2">
        <v>45723</v>
      </c>
      <c r="E22" t="s">
        <v>494</v>
      </c>
      <c r="F22" s="17" t="s">
        <v>4551</v>
      </c>
      <c r="G22" s="17" t="s">
        <v>3839</v>
      </c>
      <c r="H22" t="s">
        <v>3419</v>
      </c>
      <c r="I22" t="s">
        <v>3453</v>
      </c>
      <c r="J22" s="3">
        <v>2.5</v>
      </c>
      <c r="K22">
        <v>2</v>
      </c>
      <c r="L22" s="1">
        <v>5</v>
      </c>
      <c r="M22" t="s">
        <v>11</v>
      </c>
      <c r="N22" s="1"/>
      <c r="O22" t="s">
        <v>12</v>
      </c>
      <c r="P22" s="17" t="s">
        <v>6643</v>
      </c>
    </row>
    <row r="23" spans="1:16" x14ac:dyDescent="0.25">
      <c r="A23" t="s">
        <v>1391</v>
      </c>
      <c r="B23" t="s">
        <v>3646</v>
      </c>
      <c r="C23">
        <v>2025</v>
      </c>
      <c r="D23" s="2">
        <v>45723</v>
      </c>
      <c r="E23" t="s">
        <v>494</v>
      </c>
      <c r="F23" s="17" t="s">
        <v>4569</v>
      </c>
      <c r="G23" s="17" t="s">
        <v>3967</v>
      </c>
      <c r="H23" t="s">
        <v>3419</v>
      </c>
      <c r="I23" t="s">
        <v>3453</v>
      </c>
      <c r="J23" s="3">
        <v>1</v>
      </c>
      <c r="K23">
        <v>2</v>
      </c>
      <c r="L23" s="1">
        <v>2</v>
      </c>
      <c r="M23" t="s">
        <v>11</v>
      </c>
      <c r="N23" s="1"/>
      <c r="O23" t="s">
        <v>12</v>
      </c>
      <c r="P23" s="17" t="s">
        <v>6643</v>
      </c>
    </row>
    <row r="24" spans="1:16" x14ac:dyDescent="0.25">
      <c r="A24" t="s">
        <v>1391</v>
      </c>
      <c r="B24" t="s">
        <v>3646</v>
      </c>
      <c r="C24">
        <v>2025</v>
      </c>
      <c r="D24" s="2">
        <v>45723</v>
      </c>
      <c r="E24" t="s">
        <v>494</v>
      </c>
      <c r="F24" s="17" t="s">
        <v>4570</v>
      </c>
      <c r="G24" s="17" t="s">
        <v>3797</v>
      </c>
      <c r="H24" t="s">
        <v>3419</v>
      </c>
      <c r="I24" t="s">
        <v>3453</v>
      </c>
      <c r="J24" s="3">
        <v>2</v>
      </c>
      <c r="K24">
        <v>2</v>
      </c>
      <c r="L24" s="1">
        <v>4</v>
      </c>
      <c r="M24" t="s">
        <v>11</v>
      </c>
      <c r="N24" s="1"/>
      <c r="O24" t="s">
        <v>12</v>
      </c>
      <c r="P24" s="17" t="s">
        <v>6643</v>
      </c>
    </row>
    <row r="25" spans="1:16" x14ac:dyDescent="0.25">
      <c r="A25" t="s">
        <v>1391</v>
      </c>
      <c r="B25" t="s">
        <v>3646</v>
      </c>
      <c r="C25">
        <v>2025</v>
      </c>
      <c r="D25" s="2">
        <v>45723</v>
      </c>
      <c r="E25" t="s">
        <v>494</v>
      </c>
      <c r="F25" s="17" t="s">
        <v>4571</v>
      </c>
      <c r="G25" s="17" t="s">
        <v>4398</v>
      </c>
      <c r="H25" t="s">
        <v>3419</v>
      </c>
      <c r="I25" t="s">
        <v>3453</v>
      </c>
      <c r="J25" s="3">
        <v>3</v>
      </c>
      <c r="K25">
        <v>2</v>
      </c>
      <c r="L25" s="1">
        <v>6</v>
      </c>
      <c r="M25" t="s">
        <v>11</v>
      </c>
      <c r="N25" s="1"/>
      <c r="O25" t="s">
        <v>12</v>
      </c>
      <c r="P25" s="17" t="s">
        <v>6643</v>
      </c>
    </row>
    <row r="26" spans="1:16" x14ac:dyDescent="0.25">
      <c r="A26" t="s">
        <v>1391</v>
      </c>
      <c r="B26" t="s">
        <v>3646</v>
      </c>
      <c r="C26">
        <v>2025</v>
      </c>
      <c r="D26" s="2">
        <v>45723</v>
      </c>
      <c r="E26" t="s">
        <v>494</v>
      </c>
      <c r="F26" s="17" t="s">
        <v>4572</v>
      </c>
      <c r="G26" s="17" t="s">
        <v>3797</v>
      </c>
      <c r="H26" t="s">
        <v>3419</v>
      </c>
      <c r="I26" t="s">
        <v>3453</v>
      </c>
      <c r="J26" s="3">
        <v>9</v>
      </c>
      <c r="K26">
        <v>2</v>
      </c>
      <c r="L26" s="1">
        <v>18</v>
      </c>
      <c r="M26" t="s">
        <v>11</v>
      </c>
      <c r="N26" s="1"/>
      <c r="O26" t="s">
        <v>12</v>
      </c>
      <c r="P26" s="17" t="s">
        <v>6643</v>
      </c>
    </row>
    <row r="27" spans="1:16" x14ac:dyDescent="0.25">
      <c r="A27" t="s">
        <v>1391</v>
      </c>
      <c r="B27" t="s">
        <v>3646</v>
      </c>
      <c r="C27">
        <v>2025</v>
      </c>
      <c r="D27" s="2">
        <v>45723</v>
      </c>
      <c r="E27" t="s">
        <v>494</v>
      </c>
      <c r="F27" s="17" t="s">
        <v>3804</v>
      </c>
      <c r="G27" s="17" t="s">
        <v>3805</v>
      </c>
      <c r="H27" t="s">
        <v>3419</v>
      </c>
      <c r="I27" t="s">
        <v>3453</v>
      </c>
      <c r="J27" s="3">
        <v>6</v>
      </c>
      <c r="K27">
        <v>2</v>
      </c>
      <c r="L27" s="1">
        <v>12</v>
      </c>
      <c r="M27" t="s">
        <v>11</v>
      </c>
      <c r="N27" s="1"/>
      <c r="O27" t="s">
        <v>12</v>
      </c>
      <c r="P27" s="17" t="s">
        <v>6643</v>
      </c>
    </row>
    <row r="28" spans="1:16" x14ac:dyDescent="0.25">
      <c r="A28" t="s">
        <v>1376</v>
      </c>
      <c r="B28" t="s">
        <v>3646</v>
      </c>
      <c r="C28">
        <v>2025</v>
      </c>
      <c r="D28" s="2">
        <v>45727</v>
      </c>
      <c r="E28" t="s">
        <v>1377</v>
      </c>
      <c r="F28" s="17" t="s">
        <v>4549</v>
      </c>
      <c r="G28" s="17" t="s">
        <v>3742</v>
      </c>
      <c r="H28" t="s">
        <v>3419</v>
      </c>
      <c r="I28" t="s">
        <v>3453</v>
      </c>
      <c r="J28" s="3">
        <v>2.5</v>
      </c>
      <c r="K28">
        <v>4</v>
      </c>
      <c r="L28" s="1">
        <v>10</v>
      </c>
      <c r="M28" t="s">
        <v>11</v>
      </c>
      <c r="N28" s="1"/>
      <c r="O28" t="s">
        <v>12</v>
      </c>
      <c r="P28" s="17" t="s">
        <v>6643</v>
      </c>
    </row>
    <row r="29" spans="1:16" x14ac:dyDescent="0.25">
      <c r="A29" t="s">
        <v>1376</v>
      </c>
      <c r="B29" t="s">
        <v>3646</v>
      </c>
      <c r="C29">
        <v>2025</v>
      </c>
      <c r="D29" s="2">
        <v>45727</v>
      </c>
      <c r="E29" t="s">
        <v>1377</v>
      </c>
      <c r="F29" s="17" t="s">
        <v>4550</v>
      </c>
      <c r="G29" s="17" t="s">
        <v>3742</v>
      </c>
      <c r="H29" t="s">
        <v>3419</v>
      </c>
      <c r="I29" t="s">
        <v>3453</v>
      </c>
      <c r="J29" s="3">
        <v>6.5</v>
      </c>
      <c r="K29">
        <v>3</v>
      </c>
      <c r="L29" s="1">
        <v>19.5</v>
      </c>
      <c r="M29" t="s">
        <v>11</v>
      </c>
      <c r="N29" s="1"/>
      <c r="O29" t="s">
        <v>12</v>
      </c>
      <c r="P29" s="17" t="s">
        <v>6643</v>
      </c>
    </row>
    <row r="30" spans="1:16" x14ac:dyDescent="0.25">
      <c r="A30" t="s">
        <v>1376</v>
      </c>
      <c r="B30" t="s">
        <v>3646</v>
      </c>
      <c r="C30">
        <v>2025</v>
      </c>
      <c r="D30" s="2">
        <v>45727</v>
      </c>
      <c r="E30" t="s">
        <v>1377</v>
      </c>
      <c r="F30" s="17" t="s">
        <v>4551</v>
      </c>
      <c r="G30" s="17" t="s">
        <v>3839</v>
      </c>
      <c r="H30" t="s">
        <v>3419</v>
      </c>
      <c r="I30" t="s">
        <v>3453</v>
      </c>
      <c r="J30" s="3">
        <v>1.5</v>
      </c>
      <c r="K30">
        <v>2</v>
      </c>
      <c r="L30" s="1">
        <v>3</v>
      </c>
      <c r="M30" t="s">
        <v>11</v>
      </c>
      <c r="N30" s="1"/>
      <c r="O30" t="s">
        <v>12</v>
      </c>
      <c r="P30" s="17" t="s">
        <v>6643</v>
      </c>
    </row>
    <row r="31" spans="1:16" x14ac:dyDescent="0.25">
      <c r="A31" t="s">
        <v>1376</v>
      </c>
      <c r="B31" t="s">
        <v>3646</v>
      </c>
      <c r="C31">
        <v>2025</v>
      </c>
      <c r="D31" s="2">
        <v>45727</v>
      </c>
      <c r="E31" t="s">
        <v>1377</v>
      </c>
      <c r="F31" s="17" t="s">
        <v>4552</v>
      </c>
      <c r="G31" s="17" t="s">
        <v>3967</v>
      </c>
      <c r="H31" t="s">
        <v>3419</v>
      </c>
      <c r="I31" t="s">
        <v>3453</v>
      </c>
      <c r="J31" s="3">
        <v>24</v>
      </c>
      <c r="K31">
        <v>3</v>
      </c>
      <c r="L31" s="1">
        <v>72</v>
      </c>
      <c r="M31" t="s">
        <v>11</v>
      </c>
      <c r="N31" s="1"/>
      <c r="O31" t="s">
        <v>12</v>
      </c>
      <c r="P31" s="17" t="s">
        <v>6643</v>
      </c>
    </row>
    <row r="32" spans="1:16" x14ac:dyDescent="0.25">
      <c r="A32" t="s">
        <v>1374</v>
      </c>
      <c r="B32" t="s">
        <v>3646</v>
      </c>
      <c r="C32">
        <v>2025</v>
      </c>
      <c r="D32" s="2">
        <v>45727</v>
      </c>
      <c r="E32" t="s">
        <v>1375</v>
      </c>
      <c r="F32" s="17" t="s">
        <v>4548</v>
      </c>
      <c r="G32" s="17" t="s">
        <v>3952</v>
      </c>
      <c r="H32" t="s">
        <v>3419</v>
      </c>
      <c r="I32" t="s">
        <v>3416</v>
      </c>
      <c r="J32" s="3">
        <v>205</v>
      </c>
      <c r="K32">
        <v>1</v>
      </c>
      <c r="L32" s="1">
        <v>205</v>
      </c>
      <c r="M32" t="s">
        <v>11</v>
      </c>
      <c r="N32" s="1"/>
      <c r="O32" t="s">
        <v>12</v>
      </c>
      <c r="P32" s="17" t="s">
        <v>6643</v>
      </c>
    </row>
    <row r="33" spans="1:16" x14ac:dyDescent="0.25">
      <c r="A33" t="s">
        <v>1371</v>
      </c>
      <c r="B33" t="s">
        <v>3646</v>
      </c>
      <c r="C33">
        <v>2025</v>
      </c>
      <c r="D33" s="2">
        <v>45727</v>
      </c>
      <c r="E33" t="s">
        <v>1372</v>
      </c>
      <c r="F33" s="17" t="s">
        <v>4548</v>
      </c>
      <c r="G33" s="17" t="s">
        <v>3952</v>
      </c>
      <c r="H33" t="s">
        <v>3419</v>
      </c>
      <c r="I33" t="s">
        <v>3416</v>
      </c>
      <c r="J33" s="3">
        <v>220</v>
      </c>
      <c r="K33">
        <v>1</v>
      </c>
      <c r="L33" s="1">
        <v>220</v>
      </c>
      <c r="M33" t="s">
        <v>11</v>
      </c>
      <c r="N33" s="1"/>
      <c r="O33" t="s">
        <v>12</v>
      </c>
      <c r="P33" s="17" t="s">
        <v>6643</v>
      </c>
    </row>
    <row r="34" spans="1:16" x14ac:dyDescent="0.25">
      <c r="A34" t="s">
        <v>1226</v>
      </c>
      <c r="B34" t="s">
        <v>3631</v>
      </c>
      <c r="C34">
        <v>2025</v>
      </c>
      <c r="D34" s="2">
        <v>45777</v>
      </c>
      <c r="E34" t="s">
        <v>1227</v>
      </c>
      <c r="F34" s="17" t="s">
        <v>4347</v>
      </c>
      <c r="G34" s="17" t="s">
        <v>3797</v>
      </c>
      <c r="H34" t="s">
        <v>3419</v>
      </c>
      <c r="I34" t="s">
        <v>3453</v>
      </c>
      <c r="J34" s="3">
        <v>100</v>
      </c>
      <c r="K34">
        <v>1</v>
      </c>
      <c r="L34" s="1">
        <v>100</v>
      </c>
      <c r="M34" t="s">
        <v>11</v>
      </c>
      <c r="N34" s="1"/>
      <c r="O34" t="s">
        <v>12</v>
      </c>
      <c r="P34" s="17" t="s">
        <v>6643</v>
      </c>
    </row>
    <row r="35" spans="1:16" x14ac:dyDescent="0.25">
      <c r="A35" t="s">
        <v>1226</v>
      </c>
      <c r="B35" t="s">
        <v>3631</v>
      </c>
      <c r="C35">
        <v>2025</v>
      </c>
      <c r="D35" s="2">
        <v>45777</v>
      </c>
      <c r="E35" t="s">
        <v>1227</v>
      </c>
      <c r="F35" s="17" t="s">
        <v>4348</v>
      </c>
      <c r="G35" s="17" t="s">
        <v>3786</v>
      </c>
      <c r="H35" t="s">
        <v>3419</v>
      </c>
      <c r="I35" t="s">
        <v>3453</v>
      </c>
      <c r="J35" s="3">
        <v>30</v>
      </c>
      <c r="K35">
        <v>1</v>
      </c>
      <c r="L35" s="1">
        <v>30</v>
      </c>
      <c r="M35" t="s">
        <v>11</v>
      </c>
      <c r="N35" s="1"/>
      <c r="O35" t="s">
        <v>12</v>
      </c>
      <c r="P35" s="17" t="s">
        <v>6643</v>
      </c>
    </row>
    <row r="36" spans="1:16" x14ac:dyDescent="0.25">
      <c r="A36" t="s">
        <v>1131</v>
      </c>
      <c r="B36" t="s">
        <v>3412</v>
      </c>
      <c r="C36">
        <v>2025</v>
      </c>
      <c r="D36" s="2">
        <v>45819</v>
      </c>
      <c r="E36" t="s">
        <v>1132</v>
      </c>
      <c r="F36" s="17" t="s">
        <v>4287</v>
      </c>
      <c r="G36" s="17" t="s">
        <v>3656</v>
      </c>
      <c r="H36" t="s">
        <v>3415</v>
      </c>
      <c r="I36" t="s">
        <v>3453</v>
      </c>
      <c r="J36" s="3">
        <v>1</v>
      </c>
      <c r="K36">
        <v>4</v>
      </c>
      <c r="L36" s="1">
        <v>4</v>
      </c>
      <c r="M36" t="s">
        <v>48</v>
      </c>
      <c r="N36" s="1">
        <v>4</v>
      </c>
      <c r="O36" t="s">
        <v>12</v>
      </c>
      <c r="P36" s="17" t="s">
        <v>6643</v>
      </c>
    </row>
    <row r="37" spans="1:16" x14ac:dyDescent="0.25">
      <c r="A37" t="s">
        <v>1131</v>
      </c>
      <c r="B37" t="s">
        <v>3412</v>
      </c>
      <c r="C37">
        <v>2025</v>
      </c>
      <c r="D37" s="2">
        <v>45819</v>
      </c>
      <c r="E37" t="s">
        <v>1132</v>
      </c>
      <c r="F37" s="17" t="s">
        <v>4288</v>
      </c>
      <c r="G37" s="17" t="s">
        <v>3742</v>
      </c>
      <c r="H37" t="s">
        <v>3415</v>
      </c>
      <c r="I37" t="s">
        <v>3453</v>
      </c>
      <c r="J37" s="3">
        <v>1.5</v>
      </c>
      <c r="K37">
        <v>4</v>
      </c>
      <c r="L37" s="1">
        <v>6</v>
      </c>
      <c r="M37" t="s">
        <v>48</v>
      </c>
      <c r="N37" s="1">
        <v>6</v>
      </c>
      <c r="O37" t="s">
        <v>12</v>
      </c>
      <c r="P37" s="17" t="s">
        <v>6643</v>
      </c>
    </row>
    <row r="38" spans="1:16" x14ac:dyDescent="0.25">
      <c r="A38" t="s">
        <v>1128</v>
      </c>
      <c r="B38" t="s">
        <v>3412</v>
      </c>
      <c r="C38">
        <v>2025</v>
      </c>
      <c r="D38" s="2">
        <v>45819</v>
      </c>
      <c r="E38" t="s">
        <v>1129</v>
      </c>
      <c r="F38" s="17" t="s">
        <v>3822</v>
      </c>
      <c r="G38" s="17" t="s">
        <v>4019</v>
      </c>
      <c r="H38" t="s">
        <v>3419</v>
      </c>
      <c r="I38" t="s">
        <v>3453</v>
      </c>
      <c r="J38" s="3">
        <v>15</v>
      </c>
      <c r="K38">
        <v>1</v>
      </c>
      <c r="L38" s="1">
        <v>15</v>
      </c>
      <c r="M38" t="s">
        <v>48</v>
      </c>
      <c r="N38" s="1">
        <v>15</v>
      </c>
      <c r="O38" t="s">
        <v>12</v>
      </c>
      <c r="P38" s="17" t="s">
        <v>6643</v>
      </c>
    </row>
    <row r="39" spans="1:16" x14ac:dyDescent="0.25">
      <c r="A39" t="s">
        <v>1068</v>
      </c>
      <c r="B39" t="s">
        <v>4199</v>
      </c>
      <c r="C39">
        <v>2025</v>
      </c>
      <c r="D39" s="2">
        <v>45846</v>
      </c>
      <c r="E39" t="s">
        <v>1069</v>
      </c>
      <c r="F39" s="17" t="s">
        <v>3909</v>
      </c>
      <c r="G39" s="17" t="s">
        <v>3862</v>
      </c>
      <c r="H39" t="s">
        <v>3419</v>
      </c>
      <c r="I39" t="s">
        <v>3453</v>
      </c>
      <c r="J39" s="3">
        <v>1</v>
      </c>
      <c r="K39">
        <v>1</v>
      </c>
      <c r="L39" s="1">
        <v>1</v>
      </c>
      <c r="M39" t="s">
        <v>48</v>
      </c>
      <c r="N39" s="1">
        <v>1</v>
      </c>
      <c r="O39" t="s">
        <v>12</v>
      </c>
      <c r="P39" s="17" t="s">
        <v>6643</v>
      </c>
    </row>
    <row r="40" spans="1:16" x14ac:dyDescent="0.25">
      <c r="A40" t="s">
        <v>1068</v>
      </c>
      <c r="B40" t="s">
        <v>4199</v>
      </c>
      <c r="C40">
        <v>2025</v>
      </c>
      <c r="D40" s="2">
        <v>45846</v>
      </c>
      <c r="E40" t="s">
        <v>1069</v>
      </c>
      <c r="F40" s="17" t="s">
        <v>3909</v>
      </c>
      <c r="G40" s="17" t="s">
        <v>3862</v>
      </c>
      <c r="H40" t="s">
        <v>3419</v>
      </c>
      <c r="I40" t="s">
        <v>4226</v>
      </c>
      <c r="J40" s="3">
        <v>0.5</v>
      </c>
      <c r="K40">
        <v>3</v>
      </c>
      <c r="L40" s="1">
        <v>1.5</v>
      </c>
      <c r="M40" t="s">
        <v>48</v>
      </c>
      <c r="N40" s="1">
        <v>1.5</v>
      </c>
      <c r="O40" t="s">
        <v>12</v>
      </c>
      <c r="P40" s="17" t="s">
        <v>6643</v>
      </c>
    </row>
    <row r="41" spans="1:16" x14ac:dyDescent="0.25">
      <c r="A41" t="s">
        <v>1068</v>
      </c>
      <c r="B41" t="s">
        <v>4199</v>
      </c>
      <c r="C41">
        <v>2025</v>
      </c>
      <c r="D41" s="2">
        <v>45846</v>
      </c>
      <c r="E41" t="s">
        <v>1069</v>
      </c>
      <c r="F41" s="17" t="s">
        <v>4227</v>
      </c>
      <c r="G41" s="17" t="s">
        <v>3696</v>
      </c>
      <c r="H41" t="s">
        <v>3419</v>
      </c>
      <c r="I41" t="s">
        <v>3453</v>
      </c>
      <c r="J41" s="3">
        <v>8</v>
      </c>
      <c r="K41">
        <v>2</v>
      </c>
      <c r="L41" s="1">
        <v>16</v>
      </c>
      <c r="M41" t="s">
        <v>48</v>
      </c>
      <c r="N41" s="1">
        <v>16</v>
      </c>
      <c r="O41" t="s">
        <v>12</v>
      </c>
      <c r="P41" s="17" t="s">
        <v>6643</v>
      </c>
    </row>
    <row r="42" spans="1:16" x14ac:dyDescent="0.25">
      <c r="A42" t="s">
        <v>1068</v>
      </c>
      <c r="B42" t="s">
        <v>4199</v>
      </c>
      <c r="C42">
        <v>2025</v>
      </c>
      <c r="D42" s="2">
        <v>45846</v>
      </c>
      <c r="E42" t="s">
        <v>1069</v>
      </c>
      <c r="F42" s="17" t="s">
        <v>4228</v>
      </c>
      <c r="G42" s="17" t="s">
        <v>3967</v>
      </c>
      <c r="H42" t="s">
        <v>3419</v>
      </c>
      <c r="I42" t="s">
        <v>3453</v>
      </c>
      <c r="J42" s="3">
        <v>17</v>
      </c>
      <c r="K42">
        <v>4</v>
      </c>
      <c r="L42" s="1">
        <v>68</v>
      </c>
      <c r="M42" t="s">
        <v>48</v>
      </c>
      <c r="N42" s="1">
        <v>68</v>
      </c>
      <c r="O42" t="s">
        <v>12</v>
      </c>
      <c r="P42" s="17" t="s">
        <v>6643</v>
      </c>
    </row>
    <row r="43" spans="1:16" x14ac:dyDescent="0.25">
      <c r="A43" t="s">
        <v>1068</v>
      </c>
      <c r="B43" t="s">
        <v>4199</v>
      </c>
      <c r="C43">
        <v>2025</v>
      </c>
      <c r="D43" s="2">
        <v>45846</v>
      </c>
      <c r="E43" t="s">
        <v>1069</v>
      </c>
      <c r="F43" s="17" t="s">
        <v>4229</v>
      </c>
      <c r="G43" s="17" t="s">
        <v>3643</v>
      </c>
      <c r="H43" t="s">
        <v>3419</v>
      </c>
      <c r="I43" t="s">
        <v>3453</v>
      </c>
      <c r="J43" s="3">
        <v>4.5</v>
      </c>
      <c r="K43">
        <v>4</v>
      </c>
      <c r="L43" s="1">
        <v>18</v>
      </c>
      <c r="M43" t="s">
        <v>48</v>
      </c>
      <c r="N43" s="1">
        <v>18</v>
      </c>
      <c r="O43" t="s">
        <v>12</v>
      </c>
      <c r="P43" s="17" t="s">
        <v>6643</v>
      </c>
    </row>
    <row r="44" spans="1:16" x14ac:dyDescent="0.25">
      <c r="A44" t="s">
        <v>1068</v>
      </c>
      <c r="B44" t="s">
        <v>4199</v>
      </c>
      <c r="C44">
        <v>2025</v>
      </c>
      <c r="D44" s="2">
        <v>45846</v>
      </c>
      <c r="E44" t="s">
        <v>1069</v>
      </c>
      <c r="F44" s="17" t="s">
        <v>4230</v>
      </c>
      <c r="G44" s="17" t="s">
        <v>3742</v>
      </c>
      <c r="H44" t="s">
        <v>3419</v>
      </c>
      <c r="I44" t="s">
        <v>3453</v>
      </c>
      <c r="J44" s="3">
        <v>3</v>
      </c>
      <c r="K44">
        <v>1</v>
      </c>
      <c r="L44" s="1">
        <v>3</v>
      </c>
      <c r="M44" t="s">
        <v>48</v>
      </c>
      <c r="N44" s="1">
        <v>3</v>
      </c>
      <c r="O44" t="s">
        <v>12</v>
      </c>
      <c r="P44" s="17" t="s">
        <v>6643</v>
      </c>
    </row>
    <row r="45" spans="1:16" x14ac:dyDescent="0.25">
      <c r="A45" t="s">
        <v>1068</v>
      </c>
      <c r="B45" t="s">
        <v>4199</v>
      </c>
      <c r="C45">
        <v>2025</v>
      </c>
      <c r="D45" s="2">
        <v>45846</v>
      </c>
      <c r="E45" t="s">
        <v>1069</v>
      </c>
      <c r="F45" s="17" t="s">
        <v>4231</v>
      </c>
      <c r="G45" s="17" t="s">
        <v>3889</v>
      </c>
      <c r="H45" t="s">
        <v>3419</v>
      </c>
      <c r="I45" t="s">
        <v>3453</v>
      </c>
      <c r="J45" s="3">
        <v>20</v>
      </c>
      <c r="K45">
        <v>1</v>
      </c>
      <c r="L45" s="1">
        <v>20</v>
      </c>
      <c r="M45" t="s">
        <v>48</v>
      </c>
      <c r="N45" s="1">
        <v>20</v>
      </c>
      <c r="O45" t="s">
        <v>12</v>
      </c>
      <c r="P45" s="17" t="s">
        <v>6643</v>
      </c>
    </row>
    <row r="46" spans="1:16" x14ac:dyDescent="0.25">
      <c r="A46" t="s">
        <v>1065</v>
      </c>
      <c r="B46" t="s">
        <v>4199</v>
      </c>
      <c r="C46">
        <v>2025</v>
      </c>
      <c r="D46" s="2">
        <v>45846</v>
      </c>
      <c r="E46" t="s">
        <v>1066</v>
      </c>
      <c r="F46" s="17" t="s">
        <v>4224</v>
      </c>
      <c r="G46" s="17" t="s">
        <v>4225</v>
      </c>
      <c r="H46" t="s">
        <v>3419</v>
      </c>
      <c r="I46" t="s">
        <v>3416</v>
      </c>
      <c r="J46" s="3">
        <v>85</v>
      </c>
      <c r="K46">
        <v>1</v>
      </c>
      <c r="L46" s="1">
        <v>85</v>
      </c>
      <c r="M46" t="s">
        <v>11</v>
      </c>
      <c r="N46" s="1"/>
      <c r="O46" t="s">
        <v>12</v>
      </c>
      <c r="P46" s="17" t="s">
        <v>6643</v>
      </c>
    </row>
    <row r="47" spans="1:16" x14ac:dyDescent="0.25">
      <c r="A47" t="s">
        <v>669</v>
      </c>
      <c r="B47" t="s">
        <v>3890</v>
      </c>
      <c r="C47">
        <v>2025</v>
      </c>
      <c r="D47" s="2">
        <v>45992</v>
      </c>
      <c r="E47" t="s">
        <v>670</v>
      </c>
      <c r="F47" s="17" t="s">
        <v>3966</v>
      </c>
      <c r="G47" s="17" t="s">
        <v>3967</v>
      </c>
      <c r="H47" t="s">
        <v>3419</v>
      </c>
      <c r="I47" t="s">
        <v>3453</v>
      </c>
      <c r="J47" s="3">
        <v>25</v>
      </c>
      <c r="K47">
        <v>1</v>
      </c>
      <c r="L47" s="1">
        <v>25</v>
      </c>
      <c r="M47" t="s">
        <v>48</v>
      </c>
      <c r="N47" s="1">
        <v>25</v>
      </c>
      <c r="O47" t="s">
        <v>12</v>
      </c>
      <c r="P47" s="17" t="s">
        <v>6643</v>
      </c>
    </row>
    <row r="48" spans="1:16" x14ac:dyDescent="0.25">
      <c r="A48" t="s">
        <v>658</v>
      </c>
      <c r="B48" t="s">
        <v>3890</v>
      </c>
      <c r="C48">
        <v>2025</v>
      </c>
      <c r="D48" s="2">
        <v>45994</v>
      </c>
      <c r="E48" t="s">
        <v>659</v>
      </c>
      <c r="F48" s="17" t="s">
        <v>3955</v>
      </c>
      <c r="G48" s="17" t="s">
        <v>3660</v>
      </c>
      <c r="H48" t="s">
        <v>3415</v>
      </c>
      <c r="I48" t="s">
        <v>3416</v>
      </c>
      <c r="J48" s="3">
        <v>11.25</v>
      </c>
      <c r="K48">
        <v>4</v>
      </c>
      <c r="L48" s="1">
        <v>45</v>
      </c>
      <c r="M48" t="s">
        <v>48</v>
      </c>
      <c r="N48" s="1">
        <v>45</v>
      </c>
      <c r="O48" t="s">
        <v>12</v>
      </c>
      <c r="P48" s="17" t="s">
        <v>6643</v>
      </c>
    </row>
    <row r="49" spans="1:16" x14ac:dyDescent="0.25">
      <c r="A49" t="s">
        <v>656</v>
      </c>
      <c r="B49" t="s">
        <v>3890</v>
      </c>
      <c r="C49">
        <v>2025</v>
      </c>
      <c r="D49" s="2">
        <v>45994</v>
      </c>
      <c r="E49" t="s">
        <v>657</v>
      </c>
      <c r="F49" s="17" t="s">
        <v>3953</v>
      </c>
      <c r="G49" s="17" t="s">
        <v>3954</v>
      </c>
      <c r="H49" t="s">
        <v>3415</v>
      </c>
      <c r="I49" t="s">
        <v>3453</v>
      </c>
      <c r="J49" s="3">
        <v>2.75</v>
      </c>
      <c r="K49">
        <v>4</v>
      </c>
      <c r="L49" s="1">
        <v>11</v>
      </c>
      <c r="M49" t="s">
        <v>48</v>
      </c>
      <c r="N49" s="1">
        <v>11</v>
      </c>
      <c r="O49" t="s">
        <v>12</v>
      </c>
      <c r="P49" s="17" t="s">
        <v>6643</v>
      </c>
    </row>
    <row r="50" spans="1:16" x14ac:dyDescent="0.25">
      <c r="A50" t="s">
        <v>653</v>
      </c>
      <c r="B50" t="s">
        <v>3890</v>
      </c>
      <c r="C50">
        <v>2025</v>
      </c>
      <c r="D50" s="2">
        <v>45994</v>
      </c>
      <c r="E50" t="s">
        <v>654</v>
      </c>
      <c r="F50" s="17" t="s">
        <v>3951</v>
      </c>
      <c r="G50" s="17" t="s">
        <v>3952</v>
      </c>
      <c r="H50" t="s">
        <v>3419</v>
      </c>
      <c r="I50" t="s">
        <v>3416</v>
      </c>
      <c r="J50" s="3">
        <v>600</v>
      </c>
      <c r="K50">
        <v>1</v>
      </c>
      <c r="L50" s="1">
        <v>600</v>
      </c>
      <c r="M50" t="s">
        <v>11</v>
      </c>
      <c r="N50" s="1"/>
      <c r="O50" t="s">
        <v>12</v>
      </c>
      <c r="P50" s="17" t="s">
        <v>6643</v>
      </c>
    </row>
    <row r="51" spans="1:16" x14ac:dyDescent="0.25">
      <c r="A51" t="s">
        <v>602</v>
      </c>
      <c r="B51" t="s">
        <v>3890</v>
      </c>
      <c r="C51">
        <v>2025</v>
      </c>
      <c r="D51" s="2">
        <v>46011</v>
      </c>
      <c r="E51" t="s">
        <v>603</v>
      </c>
      <c r="F51" s="17" t="s">
        <v>3785</v>
      </c>
      <c r="G51" s="17" t="s">
        <v>3786</v>
      </c>
      <c r="H51" t="s">
        <v>3419</v>
      </c>
      <c r="I51" t="s">
        <v>3453</v>
      </c>
      <c r="J51" s="3">
        <v>310</v>
      </c>
      <c r="K51">
        <v>1</v>
      </c>
      <c r="L51" s="1">
        <v>310</v>
      </c>
      <c r="M51" t="s">
        <v>11</v>
      </c>
      <c r="N51" s="1"/>
      <c r="O51" t="s">
        <v>12</v>
      </c>
      <c r="P51" s="17" t="s">
        <v>6643</v>
      </c>
    </row>
    <row r="52" spans="1:16" x14ac:dyDescent="0.25">
      <c r="A52" t="s">
        <v>552</v>
      </c>
      <c r="B52" t="s">
        <v>3761</v>
      </c>
      <c r="C52">
        <v>2026</v>
      </c>
      <c r="D52" s="2">
        <v>46023</v>
      </c>
      <c r="E52" t="s">
        <v>553</v>
      </c>
      <c r="F52" s="17" t="s">
        <v>3885</v>
      </c>
      <c r="G52" s="17" t="s">
        <v>3886</v>
      </c>
      <c r="H52" t="s">
        <v>3419</v>
      </c>
      <c r="I52" t="s">
        <v>3453</v>
      </c>
      <c r="J52" s="3">
        <v>350</v>
      </c>
      <c r="K52">
        <v>2</v>
      </c>
      <c r="L52" s="1">
        <v>700</v>
      </c>
      <c r="M52" t="s">
        <v>11</v>
      </c>
      <c r="N52" s="1"/>
      <c r="O52" t="s">
        <v>12</v>
      </c>
      <c r="P52" s="17" t="s">
        <v>6643</v>
      </c>
    </row>
    <row r="53" spans="1:16" x14ac:dyDescent="0.25">
      <c r="A53" t="s">
        <v>549</v>
      </c>
      <c r="B53" t="s">
        <v>3761</v>
      </c>
      <c r="C53">
        <v>2026</v>
      </c>
      <c r="D53" s="2">
        <v>46023</v>
      </c>
      <c r="E53" t="s">
        <v>550</v>
      </c>
      <c r="F53" s="17" t="s">
        <v>3887</v>
      </c>
      <c r="G53" s="17" t="s">
        <v>3805</v>
      </c>
      <c r="H53" t="s">
        <v>3419</v>
      </c>
      <c r="I53" t="s">
        <v>3453</v>
      </c>
      <c r="J53" s="3">
        <v>2.5</v>
      </c>
      <c r="K53">
        <v>3</v>
      </c>
      <c r="L53" s="1">
        <v>7.5</v>
      </c>
      <c r="M53" t="s">
        <v>11</v>
      </c>
      <c r="N53" s="1"/>
      <c r="O53" t="s">
        <v>12</v>
      </c>
      <c r="P53" s="17" t="s">
        <v>6643</v>
      </c>
    </row>
    <row r="54" spans="1:16" x14ac:dyDescent="0.25">
      <c r="A54" t="s">
        <v>549</v>
      </c>
      <c r="B54" t="s">
        <v>3761</v>
      </c>
      <c r="C54">
        <v>2026</v>
      </c>
      <c r="D54" s="2">
        <v>46023</v>
      </c>
      <c r="E54" t="s">
        <v>550</v>
      </c>
      <c r="F54" s="17" t="s">
        <v>3888</v>
      </c>
      <c r="G54" s="17" t="s">
        <v>3889</v>
      </c>
      <c r="H54" t="s">
        <v>3419</v>
      </c>
      <c r="I54" t="s">
        <v>3453</v>
      </c>
      <c r="J54" s="3">
        <v>6</v>
      </c>
      <c r="K54">
        <v>4</v>
      </c>
      <c r="L54" s="1">
        <v>24</v>
      </c>
      <c r="M54" t="s">
        <v>11</v>
      </c>
      <c r="N54" s="1"/>
      <c r="O54" t="s">
        <v>12</v>
      </c>
      <c r="P54" s="17" t="s">
        <v>6643</v>
      </c>
    </row>
    <row r="55" spans="1:16" x14ac:dyDescent="0.25">
      <c r="A55" t="s">
        <v>545</v>
      </c>
      <c r="B55" t="s">
        <v>3761</v>
      </c>
      <c r="C55">
        <v>2026</v>
      </c>
      <c r="D55" s="2">
        <v>46023</v>
      </c>
      <c r="E55" t="s">
        <v>546</v>
      </c>
      <c r="F55" s="17" t="s">
        <v>3885</v>
      </c>
      <c r="G55" s="17" t="s">
        <v>3886</v>
      </c>
      <c r="H55" t="s">
        <v>3419</v>
      </c>
      <c r="I55" t="s">
        <v>3453</v>
      </c>
      <c r="J55" s="3">
        <v>330</v>
      </c>
      <c r="K55">
        <v>1</v>
      </c>
      <c r="L55" s="1">
        <v>330</v>
      </c>
      <c r="M55" t="s">
        <v>11</v>
      </c>
      <c r="N55" s="1"/>
      <c r="O55" t="s">
        <v>12</v>
      </c>
      <c r="P55" s="17" t="s">
        <v>6643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P293"/>
  <sheetViews>
    <sheetView workbookViewId="0">
      <selection activeCell="B29" sqref="B29"/>
    </sheetView>
  </sheetViews>
  <sheetFormatPr baseColWidth="10" defaultColWidth="9.140625" defaultRowHeight="15" x14ac:dyDescent="0.25"/>
  <cols>
    <col min="1" max="1" width="16" customWidth="1"/>
    <col min="2" max="3" width="18" customWidth="1"/>
    <col min="4" max="4" width="36" customWidth="1"/>
    <col min="5" max="5" width="42" customWidth="1"/>
    <col min="6" max="6" width="38" customWidth="1"/>
    <col min="7" max="7" width="12" customWidth="1"/>
    <col min="8" max="9" width="14" customWidth="1"/>
    <col min="10" max="11" width="16" customWidth="1"/>
    <col min="12" max="12" width="24" customWidth="1"/>
    <col min="13" max="13" width="14" customWidth="1"/>
    <col min="14" max="14" width="12" customWidth="1"/>
    <col min="15" max="15" width="14" customWidth="1"/>
    <col min="16" max="16" width="22" customWidth="1"/>
  </cols>
  <sheetData>
    <row r="1" spans="1:16" x14ac:dyDescent="0.25">
      <c r="A1" s="20" t="s">
        <v>6644</v>
      </c>
      <c r="B1" s="20" t="s">
        <v>6645</v>
      </c>
      <c r="C1" s="20" t="s">
        <v>6646</v>
      </c>
      <c r="D1" s="20" t="s">
        <v>6647</v>
      </c>
      <c r="E1" s="20" t="s">
        <v>3404</v>
      </c>
      <c r="F1" s="20" t="s">
        <v>3405</v>
      </c>
      <c r="G1" s="20" t="s">
        <v>3407</v>
      </c>
      <c r="H1" s="20" t="s">
        <v>6648</v>
      </c>
      <c r="I1" s="20" t="s">
        <v>6649</v>
      </c>
      <c r="J1" s="20" t="s">
        <v>6650</v>
      </c>
      <c r="K1" s="20" t="s">
        <v>6651</v>
      </c>
      <c r="L1" s="20" t="s">
        <v>6652</v>
      </c>
      <c r="M1" s="20" t="s">
        <v>6653</v>
      </c>
      <c r="N1" s="20" t="s">
        <v>6654</v>
      </c>
      <c r="O1" s="20" t="s">
        <v>6655</v>
      </c>
      <c r="P1" s="20" t="s">
        <v>7</v>
      </c>
    </row>
    <row r="2" spans="1:16" x14ac:dyDescent="0.25">
      <c r="A2">
        <v>274</v>
      </c>
      <c r="B2">
        <v>1262888434</v>
      </c>
      <c r="C2">
        <v>1239427732</v>
      </c>
      <c r="D2" s="17" t="s">
        <v>6471</v>
      </c>
      <c r="E2" s="17" t="s">
        <v>3671</v>
      </c>
      <c r="F2" s="17" t="s">
        <v>3672</v>
      </c>
      <c r="G2" t="s">
        <v>3416</v>
      </c>
      <c r="H2">
        <v>4</v>
      </c>
      <c r="I2" s="1">
        <v>24.05</v>
      </c>
      <c r="J2" s="1">
        <v>19.329999999999998</v>
      </c>
      <c r="K2" s="1">
        <v>19.329999999999998</v>
      </c>
      <c r="L2" t="s">
        <v>814</v>
      </c>
      <c r="M2" t="s">
        <v>6656</v>
      </c>
      <c r="N2" s="3">
        <v>4</v>
      </c>
      <c r="O2" s="3">
        <v>4.8324999999999996</v>
      </c>
      <c r="P2" t="s">
        <v>12</v>
      </c>
    </row>
    <row r="3" spans="1:16" ht="30" x14ac:dyDescent="0.25">
      <c r="A3">
        <v>309</v>
      </c>
      <c r="B3">
        <v>1255553836</v>
      </c>
      <c r="C3">
        <v>1223440654</v>
      </c>
      <c r="D3" s="17" t="s">
        <v>6472</v>
      </c>
      <c r="E3" s="17" t="s">
        <v>3756</v>
      </c>
      <c r="F3" s="17" t="s">
        <v>3757</v>
      </c>
      <c r="G3" t="s">
        <v>3416</v>
      </c>
      <c r="H3">
        <v>2</v>
      </c>
      <c r="I3" s="1">
        <v>33.43</v>
      </c>
      <c r="J3" s="1">
        <v>15.23</v>
      </c>
      <c r="K3" s="1">
        <v>15.23</v>
      </c>
      <c r="L3" t="s">
        <v>1027</v>
      </c>
      <c r="M3" t="s">
        <v>999</v>
      </c>
      <c r="N3" s="3">
        <v>1</v>
      </c>
      <c r="O3" s="3">
        <v>15.23</v>
      </c>
      <c r="P3" t="s">
        <v>12</v>
      </c>
    </row>
    <row r="4" spans="1:16" x14ac:dyDescent="0.25">
      <c r="A4">
        <v>313</v>
      </c>
      <c r="B4">
        <v>1254712460</v>
      </c>
      <c r="C4">
        <v>1276244057</v>
      </c>
      <c r="D4" s="17" t="s">
        <v>6471</v>
      </c>
      <c r="E4" s="17" t="s">
        <v>3534</v>
      </c>
      <c r="F4" s="17" t="s">
        <v>3535</v>
      </c>
      <c r="G4" t="s">
        <v>3416</v>
      </c>
      <c r="H4">
        <v>2</v>
      </c>
      <c r="I4" s="1">
        <v>7.45</v>
      </c>
      <c r="J4" s="1">
        <v>11.95</v>
      </c>
      <c r="K4" s="1">
        <v>11.95</v>
      </c>
      <c r="L4" t="s">
        <v>245</v>
      </c>
      <c r="M4" t="s">
        <v>164</v>
      </c>
      <c r="N4" s="3">
        <v>3</v>
      </c>
      <c r="O4" s="3">
        <v>3.983333</v>
      </c>
      <c r="P4" t="s">
        <v>12</v>
      </c>
    </row>
    <row r="5" spans="1:16" x14ac:dyDescent="0.25">
      <c r="A5">
        <v>366</v>
      </c>
      <c r="B5">
        <v>1250180858</v>
      </c>
      <c r="C5">
        <v>1118014908</v>
      </c>
      <c r="D5" s="17" t="s">
        <v>6471</v>
      </c>
      <c r="E5" s="17" t="s">
        <v>3870</v>
      </c>
      <c r="F5" s="17" t="s">
        <v>3871</v>
      </c>
      <c r="G5" t="s">
        <v>3416</v>
      </c>
      <c r="H5">
        <v>1</v>
      </c>
      <c r="I5" s="1">
        <v>25.45</v>
      </c>
      <c r="J5" s="1">
        <v>32.75</v>
      </c>
      <c r="K5" s="1">
        <v>32.75</v>
      </c>
      <c r="L5" t="s">
        <v>3022</v>
      </c>
      <c r="M5" t="s">
        <v>2992</v>
      </c>
      <c r="N5" s="3">
        <v>1</v>
      </c>
      <c r="O5" s="3">
        <v>32.75</v>
      </c>
      <c r="P5" t="s">
        <v>12</v>
      </c>
    </row>
    <row r="6" spans="1:16" x14ac:dyDescent="0.25">
      <c r="A6">
        <v>462</v>
      </c>
      <c r="B6">
        <v>1241623919</v>
      </c>
      <c r="C6">
        <v>1241597708</v>
      </c>
      <c r="D6" s="17" t="s">
        <v>6471</v>
      </c>
      <c r="E6" s="17" t="s">
        <v>3965</v>
      </c>
      <c r="F6" s="17" t="s">
        <v>3455</v>
      </c>
      <c r="G6" t="s">
        <v>3416</v>
      </c>
      <c r="H6">
        <v>1</v>
      </c>
      <c r="I6" s="1">
        <v>9.32</v>
      </c>
      <c r="J6" s="1">
        <v>8.0300000000000011</v>
      </c>
      <c r="K6" s="1">
        <v>8.0300000000000011</v>
      </c>
      <c r="L6" t="s">
        <v>748</v>
      </c>
      <c r="M6" t="s">
        <v>671</v>
      </c>
      <c r="N6" s="3">
        <v>1</v>
      </c>
      <c r="O6" s="3">
        <v>8.0299999999999994</v>
      </c>
      <c r="P6" t="s">
        <v>12</v>
      </c>
    </row>
    <row r="7" spans="1:16" x14ac:dyDescent="0.25">
      <c r="A7">
        <v>476</v>
      </c>
      <c r="B7">
        <v>1240432988</v>
      </c>
      <c r="C7">
        <v>1244111848</v>
      </c>
      <c r="D7" s="17" t="s">
        <v>6471</v>
      </c>
      <c r="E7" s="17" t="s">
        <v>3936</v>
      </c>
      <c r="F7" s="17" t="s">
        <v>3937</v>
      </c>
      <c r="G7" t="s">
        <v>3416</v>
      </c>
      <c r="H7">
        <v>2</v>
      </c>
      <c r="I7" s="1">
        <v>2.23</v>
      </c>
      <c r="J7" s="1">
        <v>0.79555555555555557</v>
      </c>
      <c r="K7" s="1">
        <v>0.79555555555555557</v>
      </c>
      <c r="L7" t="s">
        <v>672</v>
      </c>
      <c r="M7" t="s">
        <v>632</v>
      </c>
      <c r="N7" s="3">
        <v>2</v>
      </c>
      <c r="O7" s="3">
        <v>0.39777800000000002</v>
      </c>
      <c r="P7" t="s">
        <v>12</v>
      </c>
    </row>
    <row r="8" spans="1:16" x14ac:dyDescent="0.25">
      <c r="A8">
        <v>495</v>
      </c>
      <c r="B8">
        <v>1239758352</v>
      </c>
      <c r="C8">
        <v>1223745664</v>
      </c>
      <c r="D8" s="17" t="s">
        <v>6471</v>
      </c>
      <c r="E8" s="17" t="s">
        <v>3756</v>
      </c>
      <c r="F8" s="17" t="s">
        <v>3757</v>
      </c>
      <c r="G8" t="s">
        <v>3416</v>
      </c>
      <c r="H8">
        <v>2</v>
      </c>
      <c r="I8" s="1">
        <v>21.33</v>
      </c>
      <c r="J8" s="1">
        <v>15.23</v>
      </c>
      <c r="K8" s="1">
        <v>15.23</v>
      </c>
      <c r="L8" t="s">
        <v>1024</v>
      </c>
      <c r="M8" t="s">
        <v>6657</v>
      </c>
      <c r="N8" s="3">
        <v>1</v>
      </c>
      <c r="O8" s="3">
        <v>15.23</v>
      </c>
      <c r="P8" t="s">
        <v>12</v>
      </c>
    </row>
    <row r="9" spans="1:16" x14ac:dyDescent="0.25">
      <c r="A9">
        <v>546</v>
      </c>
      <c r="B9">
        <v>1234769837</v>
      </c>
      <c r="C9">
        <v>1234193549</v>
      </c>
      <c r="D9" s="17" t="s">
        <v>6471</v>
      </c>
      <c r="E9" s="17" t="s">
        <v>4099</v>
      </c>
      <c r="F9" s="17" t="s">
        <v>3757</v>
      </c>
      <c r="G9" t="s">
        <v>3416</v>
      </c>
      <c r="H9">
        <v>2</v>
      </c>
      <c r="I9" s="1">
        <v>55.93</v>
      </c>
      <c r="J9" s="1">
        <v>23.28</v>
      </c>
      <c r="K9" s="1">
        <v>23.28</v>
      </c>
      <c r="L9" t="s">
        <v>929</v>
      </c>
      <c r="M9" t="s">
        <v>883</v>
      </c>
      <c r="N9" s="3">
        <v>1</v>
      </c>
      <c r="O9" s="3">
        <v>23.28</v>
      </c>
      <c r="P9" t="s">
        <v>12</v>
      </c>
    </row>
    <row r="10" spans="1:16" x14ac:dyDescent="0.25">
      <c r="A10">
        <v>552</v>
      </c>
      <c r="B10">
        <v>1232885725</v>
      </c>
      <c r="C10">
        <v>1234987459</v>
      </c>
      <c r="D10" s="17" t="s">
        <v>6471</v>
      </c>
      <c r="E10" s="17" t="s">
        <v>4099</v>
      </c>
      <c r="F10" s="17" t="s">
        <v>3757</v>
      </c>
      <c r="G10" t="s">
        <v>3416</v>
      </c>
      <c r="H10">
        <v>1</v>
      </c>
      <c r="I10" s="1">
        <v>26.29</v>
      </c>
      <c r="J10" s="1">
        <v>24.28</v>
      </c>
      <c r="K10" s="1">
        <v>24.28</v>
      </c>
      <c r="L10" t="s">
        <v>913</v>
      </c>
      <c r="M10" t="s">
        <v>6658</v>
      </c>
      <c r="N10" s="3">
        <v>1</v>
      </c>
      <c r="O10" s="3">
        <v>24.28</v>
      </c>
      <c r="P10" t="s">
        <v>12</v>
      </c>
    </row>
    <row r="11" spans="1:16" x14ac:dyDescent="0.25">
      <c r="A11">
        <v>557</v>
      </c>
      <c r="B11">
        <v>1231010967</v>
      </c>
      <c r="C11">
        <v>1274354305</v>
      </c>
      <c r="D11" s="17" t="s">
        <v>6471</v>
      </c>
      <c r="E11" s="17" t="s">
        <v>3532</v>
      </c>
      <c r="F11" s="17" t="s">
        <v>3533</v>
      </c>
      <c r="G11" t="s">
        <v>3453</v>
      </c>
      <c r="H11">
        <v>1</v>
      </c>
      <c r="I11" s="1">
        <v>3.83</v>
      </c>
      <c r="J11" s="1">
        <v>1.95</v>
      </c>
      <c r="K11" s="1">
        <v>1.95</v>
      </c>
      <c r="L11" t="s">
        <v>296</v>
      </c>
      <c r="M11" t="s">
        <v>6659</v>
      </c>
      <c r="N11" s="3">
        <v>1</v>
      </c>
      <c r="O11" s="3">
        <v>1.95</v>
      </c>
      <c r="P11" t="s">
        <v>12</v>
      </c>
    </row>
    <row r="12" spans="1:16" x14ac:dyDescent="0.25">
      <c r="A12">
        <v>559</v>
      </c>
      <c r="B12">
        <v>1230639811</v>
      </c>
      <c r="C12">
        <v>1238778886</v>
      </c>
      <c r="D12" s="17" t="s">
        <v>6471</v>
      </c>
      <c r="E12" s="17" t="s">
        <v>4026</v>
      </c>
      <c r="F12" s="17" t="s">
        <v>3694</v>
      </c>
      <c r="G12" t="s">
        <v>3416</v>
      </c>
      <c r="H12">
        <v>1</v>
      </c>
      <c r="I12" s="1">
        <v>2.33</v>
      </c>
      <c r="J12" s="1">
        <v>22.349999999999998</v>
      </c>
      <c r="K12" s="1">
        <v>22.349999999999998</v>
      </c>
      <c r="L12" t="s">
        <v>821</v>
      </c>
      <c r="M12" t="s">
        <v>756</v>
      </c>
      <c r="N12" s="3">
        <v>2</v>
      </c>
      <c r="O12" s="3">
        <v>11.175000000000001</v>
      </c>
      <c r="P12" t="s">
        <v>12</v>
      </c>
    </row>
    <row r="13" spans="1:16" x14ac:dyDescent="0.25">
      <c r="A13">
        <v>580</v>
      </c>
      <c r="B13">
        <v>1228559054</v>
      </c>
      <c r="C13">
        <v>1243793386</v>
      </c>
      <c r="D13" s="17" t="s">
        <v>6471</v>
      </c>
      <c r="E13" s="17" t="s">
        <v>3935</v>
      </c>
      <c r="F13" s="17" t="s">
        <v>3648</v>
      </c>
      <c r="G13" t="s">
        <v>3416</v>
      </c>
      <c r="H13">
        <v>4</v>
      </c>
      <c r="I13" s="1">
        <v>3.5701444622792939</v>
      </c>
      <c r="J13" s="1">
        <v>3.33</v>
      </c>
      <c r="K13" s="1">
        <v>3.33</v>
      </c>
      <c r="L13" t="s">
        <v>679</v>
      </c>
      <c r="M13" t="s">
        <v>632</v>
      </c>
      <c r="N13" s="3">
        <v>4</v>
      </c>
      <c r="O13" s="3">
        <v>0.83250000000000002</v>
      </c>
      <c r="P13" t="s">
        <v>12</v>
      </c>
    </row>
    <row r="14" spans="1:16" x14ac:dyDescent="0.25">
      <c r="A14">
        <v>622</v>
      </c>
      <c r="B14">
        <v>1223417082</v>
      </c>
      <c r="C14">
        <v>1224093609</v>
      </c>
      <c r="D14" s="17" t="s">
        <v>6471</v>
      </c>
      <c r="E14" s="17" t="s">
        <v>4169</v>
      </c>
      <c r="F14" s="17" t="s">
        <v>3660</v>
      </c>
      <c r="G14" t="s">
        <v>3416</v>
      </c>
      <c r="H14">
        <v>4</v>
      </c>
      <c r="I14" s="1">
        <v>24.93</v>
      </c>
      <c r="J14" s="1">
        <v>5.28</v>
      </c>
      <c r="K14" s="1">
        <v>5.28</v>
      </c>
      <c r="L14" t="s">
        <v>1014</v>
      </c>
      <c r="M14" t="s">
        <v>6660</v>
      </c>
      <c r="N14" s="3">
        <v>1</v>
      </c>
      <c r="O14" s="3">
        <v>5.28</v>
      </c>
      <c r="P14" t="s">
        <v>12</v>
      </c>
    </row>
    <row r="15" spans="1:16" x14ac:dyDescent="0.25">
      <c r="A15">
        <v>625</v>
      </c>
      <c r="B15">
        <v>1223156230</v>
      </c>
      <c r="C15">
        <v>1236601962</v>
      </c>
      <c r="D15" s="17" t="s">
        <v>6471</v>
      </c>
      <c r="E15" s="17" t="s">
        <v>4076</v>
      </c>
      <c r="F15" s="17" t="s">
        <v>4077</v>
      </c>
      <c r="G15" t="s">
        <v>3416</v>
      </c>
      <c r="H15">
        <v>4</v>
      </c>
      <c r="I15" s="1">
        <v>52.605343511450378</v>
      </c>
      <c r="J15" s="1">
        <v>67.2</v>
      </c>
      <c r="K15" s="1">
        <v>67.2</v>
      </c>
      <c r="L15" t="s">
        <v>874</v>
      </c>
      <c r="M15" t="s">
        <v>826</v>
      </c>
      <c r="N15" s="3">
        <v>4</v>
      </c>
      <c r="O15" s="3">
        <v>16.8</v>
      </c>
      <c r="P15" t="s">
        <v>12</v>
      </c>
    </row>
    <row r="16" spans="1:16" x14ac:dyDescent="0.25">
      <c r="A16">
        <v>641</v>
      </c>
      <c r="B16">
        <v>1221866513</v>
      </c>
      <c r="C16">
        <v>1240546158</v>
      </c>
      <c r="D16" s="17" t="s">
        <v>6471</v>
      </c>
      <c r="E16" s="17" t="s">
        <v>4027</v>
      </c>
      <c r="F16" s="17" t="s">
        <v>3687</v>
      </c>
      <c r="G16" t="s">
        <v>3453</v>
      </c>
      <c r="H16">
        <v>4</v>
      </c>
      <c r="I16" s="1">
        <v>20.13</v>
      </c>
      <c r="J16" s="1">
        <v>25.130000000000003</v>
      </c>
      <c r="K16" s="1">
        <v>25.130000000000003</v>
      </c>
      <c r="L16" t="s">
        <v>775</v>
      </c>
      <c r="M16" t="s">
        <v>756</v>
      </c>
      <c r="N16" s="3">
        <v>4</v>
      </c>
      <c r="O16" s="3">
        <v>6.2824999999999998</v>
      </c>
      <c r="P16" t="s">
        <v>12</v>
      </c>
    </row>
    <row r="17" spans="1:16" x14ac:dyDescent="0.25">
      <c r="A17">
        <v>643</v>
      </c>
      <c r="B17">
        <v>1220383457</v>
      </c>
      <c r="C17">
        <v>1194307080</v>
      </c>
      <c r="D17" s="17" t="s">
        <v>6471</v>
      </c>
      <c r="E17" s="17" t="s">
        <v>4219</v>
      </c>
      <c r="F17" s="17" t="s">
        <v>4220</v>
      </c>
      <c r="G17" t="s">
        <v>3416</v>
      </c>
      <c r="H17">
        <v>1</v>
      </c>
      <c r="I17" s="1">
        <v>39.93</v>
      </c>
      <c r="J17" s="1">
        <v>42.55</v>
      </c>
      <c r="K17" s="1">
        <v>42.550000000000004</v>
      </c>
      <c r="L17" t="s">
        <v>1498</v>
      </c>
      <c r="M17" t="s">
        <v>6661</v>
      </c>
      <c r="N17" s="3">
        <v>1</v>
      </c>
      <c r="O17" s="3">
        <v>42.55</v>
      </c>
      <c r="P17" t="s">
        <v>12</v>
      </c>
    </row>
    <row r="18" spans="1:16" x14ac:dyDescent="0.25">
      <c r="A18">
        <v>657</v>
      </c>
      <c r="B18">
        <v>1219222787</v>
      </c>
      <c r="C18" t="s">
        <v>4232</v>
      </c>
      <c r="D18" s="17" t="s">
        <v>6473</v>
      </c>
      <c r="E18" s="17" t="s">
        <v>4234</v>
      </c>
      <c r="F18" s="17" t="s">
        <v>3628</v>
      </c>
      <c r="G18" t="s">
        <v>3416</v>
      </c>
      <c r="H18">
        <v>4</v>
      </c>
      <c r="I18" s="1">
        <v>16.8151690821256</v>
      </c>
      <c r="J18" s="1">
        <v>8.9172463768115939</v>
      </c>
      <c r="K18" s="1">
        <v>8.9172463768115939</v>
      </c>
      <c r="L18" t="s">
        <v>6662</v>
      </c>
      <c r="M18" t="s">
        <v>1074</v>
      </c>
      <c r="N18" s="3">
        <v>4</v>
      </c>
      <c r="O18" s="3">
        <v>2.2293120000000002</v>
      </c>
      <c r="P18" t="s">
        <v>12</v>
      </c>
    </row>
    <row r="19" spans="1:16" x14ac:dyDescent="0.25">
      <c r="A19">
        <v>660</v>
      </c>
      <c r="B19">
        <v>1219053120</v>
      </c>
      <c r="C19">
        <v>1255482037</v>
      </c>
      <c r="D19" s="17" t="s">
        <v>6471</v>
      </c>
      <c r="E19" s="17" t="s">
        <v>3749</v>
      </c>
      <c r="F19" s="17" t="s">
        <v>3733</v>
      </c>
      <c r="G19" t="s">
        <v>3416</v>
      </c>
      <c r="H19">
        <v>4</v>
      </c>
      <c r="I19" s="1">
        <v>31.93</v>
      </c>
      <c r="J19" s="1">
        <v>62.23</v>
      </c>
      <c r="K19" s="1">
        <v>62.23</v>
      </c>
      <c r="L19" t="s">
        <v>419</v>
      </c>
      <c r="M19" t="s">
        <v>395</v>
      </c>
      <c r="N19" s="3">
        <v>4</v>
      </c>
      <c r="O19" s="3">
        <v>15.557499999999999</v>
      </c>
      <c r="P19" t="s">
        <v>12</v>
      </c>
    </row>
    <row r="20" spans="1:16" x14ac:dyDescent="0.25">
      <c r="A20">
        <v>661</v>
      </c>
      <c r="B20">
        <v>1219048667</v>
      </c>
      <c r="C20">
        <v>1249777080</v>
      </c>
      <c r="D20" s="17" t="s">
        <v>6471</v>
      </c>
      <c r="E20" s="17" t="s">
        <v>3784</v>
      </c>
      <c r="F20" s="17" t="s">
        <v>3694</v>
      </c>
      <c r="G20" t="s">
        <v>3453</v>
      </c>
      <c r="H20">
        <v>2</v>
      </c>
      <c r="I20" s="1">
        <v>18.309999999999999</v>
      </c>
      <c r="J20" s="1">
        <v>18</v>
      </c>
      <c r="K20" s="1">
        <v>18</v>
      </c>
      <c r="L20" t="s">
        <v>465</v>
      </c>
      <c r="M20" t="s">
        <v>6663</v>
      </c>
      <c r="N20" s="3">
        <v>1</v>
      </c>
      <c r="O20" s="3">
        <v>18</v>
      </c>
      <c r="P20" t="s">
        <v>12</v>
      </c>
    </row>
    <row r="21" spans="1:16" x14ac:dyDescent="0.25">
      <c r="A21">
        <v>665</v>
      </c>
      <c r="B21">
        <v>1219042917</v>
      </c>
      <c r="C21">
        <v>1246809442</v>
      </c>
      <c r="D21" s="17" t="s">
        <v>6471</v>
      </c>
      <c r="E21" s="17" t="s">
        <v>3896</v>
      </c>
      <c r="F21" s="17" t="s">
        <v>3733</v>
      </c>
      <c r="G21" t="s">
        <v>3416</v>
      </c>
      <c r="H21">
        <v>4</v>
      </c>
      <c r="I21" s="1">
        <v>44.047860014187748</v>
      </c>
      <c r="J21" s="1">
        <v>87.399999999999991</v>
      </c>
      <c r="K21" s="1">
        <v>87.399999999999991</v>
      </c>
      <c r="L21" t="s">
        <v>608</v>
      </c>
      <c r="M21" t="s">
        <v>560</v>
      </c>
      <c r="N21" s="3">
        <v>4</v>
      </c>
      <c r="O21" s="3">
        <v>21.85</v>
      </c>
      <c r="P21" t="s">
        <v>12</v>
      </c>
    </row>
    <row r="22" spans="1:16" x14ac:dyDescent="0.25">
      <c r="A22">
        <v>670</v>
      </c>
      <c r="B22">
        <v>1218844710</v>
      </c>
      <c r="C22">
        <v>1242211482</v>
      </c>
      <c r="D22" s="17" t="s">
        <v>6471</v>
      </c>
      <c r="E22" s="17" t="s">
        <v>3924</v>
      </c>
      <c r="F22" s="17" t="s">
        <v>3925</v>
      </c>
      <c r="G22" t="s">
        <v>3416</v>
      </c>
      <c r="H22">
        <v>3</v>
      </c>
      <c r="I22" s="1">
        <v>11.685104712041889</v>
      </c>
      <c r="J22" s="1">
        <v>4.4000000000000004</v>
      </c>
      <c r="K22" s="1">
        <v>4.4000000000000004</v>
      </c>
      <c r="L22" t="s">
        <v>722</v>
      </c>
      <c r="M22" t="s">
        <v>6664</v>
      </c>
      <c r="N22" s="3">
        <v>1</v>
      </c>
      <c r="O22" s="3">
        <v>4.4000000000000004</v>
      </c>
      <c r="P22" t="s">
        <v>12</v>
      </c>
    </row>
    <row r="23" spans="1:16" x14ac:dyDescent="0.25">
      <c r="A23">
        <v>679</v>
      </c>
      <c r="B23">
        <v>1218815145</v>
      </c>
      <c r="C23">
        <v>1258407112</v>
      </c>
      <c r="D23" s="17" t="s">
        <v>6471</v>
      </c>
      <c r="E23" s="17" t="s">
        <v>3711</v>
      </c>
      <c r="F23" s="17" t="s">
        <v>3712</v>
      </c>
      <c r="G23" t="s">
        <v>3416</v>
      </c>
      <c r="H23">
        <v>1</v>
      </c>
      <c r="I23" s="1">
        <v>0.5</v>
      </c>
      <c r="J23" s="1">
        <v>0.80942622950819676</v>
      </c>
      <c r="K23" s="1">
        <v>0.80942622950819676</v>
      </c>
      <c r="L23" t="s">
        <v>318</v>
      </c>
      <c r="M23" t="s">
        <v>355</v>
      </c>
      <c r="N23" s="3">
        <v>3</v>
      </c>
      <c r="O23" s="3">
        <v>0.26980900000000002</v>
      </c>
      <c r="P23" t="s">
        <v>12</v>
      </c>
    </row>
    <row r="24" spans="1:16" x14ac:dyDescent="0.25">
      <c r="A24">
        <v>722</v>
      </c>
      <c r="B24">
        <v>1214667069</v>
      </c>
      <c r="C24">
        <v>1157804109</v>
      </c>
      <c r="D24" s="17" t="s">
        <v>6471</v>
      </c>
      <c r="E24" s="17" t="s">
        <v>4294</v>
      </c>
      <c r="F24" s="17" t="s">
        <v>4024</v>
      </c>
      <c r="G24" t="s">
        <v>3453</v>
      </c>
      <c r="H24">
        <v>4</v>
      </c>
      <c r="I24" s="1">
        <v>16.553265765765769</v>
      </c>
      <c r="J24" s="1">
        <v>5.12</v>
      </c>
      <c r="K24" s="1">
        <v>5.12</v>
      </c>
      <c r="L24" t="s">
        <v>2347</v>
      </c>
      <c r="M24" t="s">
        <v>2330</v>
      </c>
      <c r="N24" s="3">
        <v>2</v>
      </c>
      <c r="O24" s="3">
        <v>2.56</v>
      </c>
      <c r="P24" t="s">
        <v>12</v>
      </c>
    </row>
    <row r="25" spans="1:16" ht="30" x14ac:dyDescent="0.25">
      <c r="A25">
        <v>725</v>
      </c>
      <c r="B25">
        <v>1214178445</v>
      </c>
      <c r="C25">
        <v>1171549482</v>
      </c>
      <c r="D25" s="17" t="s">
        <v>6472</v>
      </c>
      <c r="E25" s="17" t="s">
        <v>4297</v>
      </c>
      <c r="F25" s="17" t="s">
        <v>3768</v>
      </c>
      <c r="G25" t="s">
        <v>3416</v>
      </c>
      <c r="H25">
        <v>3</v>
      </c>
      <c r="I25" s="1">
        <v>38.985090694587811</v>
      </c>
      <c r="J25" s="1">
        <v>12.17</v>
      </c>
      <c r="K25" s="1">
        <v>12.17</v>
      </c>
      <c r="L25" t="s">
        <v>1973</v>
      </c>
      <c r="M25" t="s">
        <v>6665</v>
      </c>
      <c r="N25" s="3">
        <v>1</v>
      </c>
      <c r="O25" s="3">
        <v>12.17</v>
      </c>
      <c r="P25" t="s">
        <v>12</v>
      </c>
    </row>
    <row r="26" spans="1:16" x14ac:dyDescent="0.25">
      <c r="A26">
        <v>734</v>
      </c>
      <c r="B26">
        <v>1213602383</v>
      </c>
      <c r="C26">
        <v>1250212850</v>
      </c>
      <c r="D26" s="17" t="s">
        <v>6471</v>
      </c>
      <c r="E26" s="17" t="s">
        <v>3798</v>
      </c>
      <c r="F26" s="17" t="s">
        <v>3668</v>
      </c>
      <c r="G26" t="s">
        <v>3416</v>
      </c>
      <c r="H26">
        <v>3</v>
      </c>
      <c r="I26" s="1">
        <v>1.25</v>
      </c>
      <c r="J26" s="1">
        <v>1.6647727272727273</v>
      </c>
      <c r="K26" s="1">
        <v>1.6647727272727273</v>
      </c>
      <c r="L26" t="s">
        <v>511</v>
      </c>
      <c r="M26" t="s">
        <v>470</v>
      </c>
      <c r="N26" s="3">
        <v>3</v>
      </c>
      <c r="O26" s="3">
        <v>0.55492399999999997</v>
      </c>
      <c r="P26" t="s">
        <v>12</v>
      </c>
    </row>
    <row r="27" spans="1:16" x14ac:dyDescent="0.25">
      <c r="A27">
        <v>737</v>
      </c>
      <c r="B27">
        <v>1213602303</v>
      </c>
      <c r="C27">
        <v>1192929609</v>
      </c>
      <c r="D27" s="17" t="s">
        <v>6471</v>
      </c>
      <c r="E27" s="17" t="s">
        <v>4303</v>
      </c>
      <c r="F27" s="17" t="s">
        <v>3658</v>
      </c>
      <c r="G27" t="s">
        <v>3416</v>
      </c>
      <c r="H27">
        <v>4</v>
      </c>
      <c r="I27" s="1">
        <v>6.13</v>
      </c>
      <c r="J27" s="1">
        <v>7.2428571428571429</v>
      </c>
      <c r="K27" s="1">
        <v>7.2428571428571429</v>
      </c>
      <c r="L27" t="s">
        <v>1523</v>
      </c>
      <c r="M27" t="s">
        <v>6666</v>
      </c>
      <c r="N27" s="3">
        <v>3</v>
      </c>
      <c r="O27" s="3">
        <v>2.4142860000000002</v>
      </c>
      <c r="P27" t="s">
        <v>12</v>
      </c>
    </row>
    <row r="28" spans="1:16" ht="30" x14ac:dyDescent="0.25">
      <c r="A28">
        <v>748</v>
      </c>
      <c r="B28">
        <v>1211774266</v>
      </c>
      <c r="C28">
        <v>1211690069</v>
      </c>
      <c r="D28" s="17" t="s">
        <v>6471</v>
      </c>
      <c r="E28" s="17" t="s">
        <v>4311</v>
      </c>
      <c r="F28" s="17" t="s">
        <v>3520</v>
      </c>
      <c r="G28" t="s">
        <v>3416</v>
      </c>
      <c r="H28">
        <v>1</v>
      </c>
      <c r="I28" s="1">
        <v>7.7861212563915263</v>
      </c>
      <c r="J28" s="1">
        <v>1.067957371225577</v>
      </c>
      <c r="K28" s="1">
        <v>1.0679573712255772</v>
      </c>
      <c r="L28" t="s">
        <v>1185</v>
      </c>
      <c r="M28" t="s">
        <v>6667</v>
      </c>
      <c r="N28" s="3">
        <v>1</v>
      </c>
      <c r="O28" s="3">
        <v>1.067957</v>
      </c>
      <c r="P28" t="s">
        <v>12</v>
      </c>
    </row>
    <row r="29" spans="1:16" ht="30" x14ac:dyDescent="0.25">
      <c r="A29">
        <v>756</v>
      </c>
      <c r="B29">
        <v>1211773018</v>
      </c>
      <c r="C29">
        <v>1249717335</v>
      </c>
      <c r="D29" s="17" t="s">
        <v>6471</v>
      </c>
      <c r="E29" s="17" t="s">
        <v>3833</v>
      </c>
      <c r="F29" s="17" t="s">
        <v>3520</v>
      </c>
      <c r="G29" t="s">
        <v>3416</v>
      </c>
      <c r="H29">
        <v>1</v>
      </c>
      <c r="I29" s="1">
        <v>4.3228442765833819</v>
      </c>
      <c r="J29" s="1">
        <v>3.4</v>
      </c>
      <c r="K29" s="1">
        <v>3.4</v>
      </c>
      <c r="L29" t="s">
        <v>526</v>
      </c>
      <c r="M29" t="s">
        <v>492</v>
      </c>
      <c r="N29" s="3">
        <v>1</v>
      </c>
      <c r="O29" s="3">
        <v>3.4</v>
      </c>
      <c r="P29" t="s">
        <v>12</v>
      </c>
    </row>
    <row r="30" spans="1:16" x14ac:dyDescent="0.25">
      <c r="A30">
        <v>775</v>
      </c>
      <c r="B30">
        <v>1210864766</v>
      </c>
      <c r="C30">
        <v>1263299290</v>
      </c>
      <c r="D30" s="17" t="s">
        <v>6471</v>
      </c>
      <c r="E30" s="17" t="s">
        <v>3647</v>
      </c>
      <c r="F30" s="17" t="s">
        <v>3648</v>
      </c>
      <c r="G30" t="s">
        <v>3416</v>
      </c>
      <c r="H30">
        <v>4</v>
      </c>
      <c r="I30" s="1">
        <v>3.1066288951841359</v>
      </c>
      <c r="J30" s="1">
        <v>9.25</v>
      </c>
      <c r="K30" s="1">
        <v>9.25</v>
      </c>
      <c r="L30" t="s">
        <v>336</v>
      </c>
      <c r="M30" t="s">
        <v>316</v>
      </c>
      <c r="N30" s="3">
        <v>4</v>
      </c>
      <c r="O30" s="3">
        <v>2.3125</v>
      </c>
      <c r="P30" t="s">
        <v>12</v>
      </c>
    </row>
    <row r="31" spans="1:16" x14ac:dyDescent="0.25">
      <c r="A31">
        <v>812</v>
      </c>
      <c r="B31">
        <v>1208017294</v>
      </c>
      <c r="C31">
        <v>1259925283</v>
      </c>
      <c r="D31" s="17" t="s">
        <v>6471</v>
      </c>
      <c r="E31" s="17" t="s">
        <v>3695</v>
      </c>
      <c r="F31" s="17" t="s">
        <v>3696</v>
      </c>
      <c r="G31" t="s">
        <v>3453</v>
      </c>
      <c r="H31">
        <v>3</v>
      </c>
      <c r="I31" s="1">
        <v>16.3</v>
      </c>
      <c r="J31" s="1">
        <v>9.2636904761904759</v>
      </c>
      <c r="K31" s="1">
        <v>9.2636904761904759</v>
      </c>
      <c r="L31" t="s">
        <v>363</v>
      </c>
      <c r="M31" t="s">
        <v>6668</v>
      </c>
      <c r="N31" s="3">
        <v>2</v>
      </c>
      <c r="O31" s="3">
        <v>4.6318450000000002</v>
      </c>
      <c r="P31" t="s">
        <v>12</v>
      </c>
    </row>
    <row r="32" spans="1:16" x14ac:dyDescent="0.25">
      <c r="A32">
        <v>837</v>
      </c>
      <c r="B32">
        <v>1206370243</v>
      </c>
      <c r="C32">
        <v>1247810200</v>
      </c>
      <c r="D32" s="17" t="s">
        <v>6471</v>
      </c>
      <c r="E32" s="17" t="s">
        <v>3878</v>
      </c>
      <c r="F32" s="17" t="s">
        <v>3879</v>
      </c>
      <c r="G32" t="s">
        <v>3416</v>
      </c>
      <c r="H32">
        <v>2</v>
      </c>
      <c r="I32" s="1">
        <v>23.33</v>
      </c>
      <c r="J32" s="1">
        <v>55.4</v>
      </c>
      <c r="K32" s="1">
        <v>55.4</v>
      </c>
      <c r="L32" t="s">
        <v>570</v>
      </c>
      <c r="M32" t="s">
        <v>525</v>
      </c>
      <c r="N32" s="3">
        <v>4</v>
      </c>
      <c r="O32" s="3">
        <v>13.85</v>
      </c>
      <c r="P32" t="s">
        <v>12</v>
      </c>
    </row>
    <row r="33" spans="1:16" x14ac:dyDescent="0.25">
      <c r="A33">
        <v>864</v>
      </c>
      <c r="B33">
        <v>1205717316</v>
      </c>
      <c r="C33">
        <v>1222728043</v>
      </c>
      <c r="D33" s="17" t="s">
        <v>6471</v>
      </c>
      <c r="E33" s="17" t="s">
        <v>4194</v>
      </c>
      <c r="F33" s="17" t="s">
        <v>4128</v>
      </c>
      <c r="G33" t="s">
        <v>3453</v>
      </c>
      <c r="H33">
        <v>4</v>
      </c>
      <c r="I33" s="1">
        <v>6.7571428571428562</v>
      </c>
      <c r="J33" s="1">
        <v>5.33</v>
      </c>
      <c r="K33" s="1">
        <v>5.33</v>
      </c>
      <c r="L33" t="s">
        <v>1035</v>
      </c>
      <c r="M33" t="s">
        <v>1003</v>
      </c>
      <c r="N33" s="3">
        <v>2</v>
      </c>
      <c r="O33" s="3">
        <v>2.665</v>
      </c>
      <c r="P33" t="s">
        <v>12</v>
      </c>
    </row>
    <row r="34" spans="1:16" x14ac:dyDescent="0.25">
      <c r="A34">
        <v>1091</v>
      </c>
      <c r="B34">
        <v>1198819400</v>
      </c>
      <c r="C34">
        <v>1257677828</v>
      </c>
      <c r="D34" s="17" t="s">
        <v>6471</v>
      </c>
      <c r="E34" s="17" t="s">
        <v>3731</v>
      </c>
      <c r="F34" s="17" t="s">
        <v>3678</v>
      </c>
      <c r="G34" t="s">
        <v>3416</v>
      </c>
      <c r="H34">
        <v>2</v>
      </c>
      <c r="I34" s="1">
        <v>3.6704878048780492</v>
      </c>
      <c r="J34" s="1">
        <v>2.3726457399103138</v>
      </c>
      <c r="K34" s="1">
        <v>2.3726457399103138</v>
      </c>
      <c r="L34" t="s">
        <v>375</v>
      </c>
      <c r="M34" t="s">
        <v>6669</v>
      </c>
      <c r="N34" s="3">
        <v>1</v>
      </c>
      <c r="O34" s="3">
        <v>2.372646</v>
      </c>
      <c r="P34" t="s">
        <v>12</v>
      </c>
    </row>
    <row r="35" spans="1:16" x14ac:dyDescent="0.25">
      <c r="A35">
        <v>1093</v>
      </c>
      <c r="B35">
        <v>1198818969</v>
      </c>
      <c r="C35">
        <v>1226424166</v>
      </c>
      <c r="D35" s="17" t="s">
        <v>6471</v>
      </c>
      <c r="E35" s="17" t="s">
        <v>4149</v>
      </c>
      <c r="F35" s="17" t="s">
        <v>4012</v>
      </c>
      <c r="G35" t="s">
        <v>3416</v>
      </c>
      <c r="H35">
        <v>2</v>
      </c>
      <c r="I35" s="1">
        <v>34.630000000000003</v>
      </c>
      <c r="J35" s="1">
        <v>13.23</v>
      </c>
      <c r="K35" s="1">
        <v>13.23</v>
      </c>
      <c r="L35" t="s">
        <v>986</v>
      </c>
      <c r="M35" t="s">
        <v>964</v>
      </c>
      <c r="N35" s="3">
        <v>2</v>
      </c>
      <c r="O35" s="3">
        <v>6.6150000000000002</v>
      </c>
      <c r="P35" t="s">
        <v>12</v>
      </c>
    </row>
    <row r="36" spans="1:16" x14ac:dyDescent="0.25">
      <c r="A36">
        <v>1096</v>
      </c>
      <c r="B36">
        <v>1198703619</v>
      </c>
      <c r="C36">
        <v>1255989435</v>
      </c>
      <c r="D36" s="17" t="s">
        <v>6471</v>
      </c>
      <c r="E36" s="17" t="s">
        <v>3732</v>
      </c>
      <c r="F36" s="17" t="s">
        <v>3733</v>
      </c>
      <c r="G36" t="s">
        <v>3416</v>
      </c>
      <c r="H36">
        <v>1</v>
      </c>
      <c r="I36" s="1">
        <v>8.33</v>
      </c>
      <c r="J36" s="1">
        <v>8.4</v>
      </c>
      <c r="K36" s="1">
        <v>8.4</v>
      </c>
      <c r="L36" t="s">
        <v>407</v>
      </c>
      <c r="M36" t="s">
        <v>6670</v>
      </c>
      <c r="N36" s="3">
        <v>1</v>
      </c>
      <c r="O36" s="3">
        <v>8.4</v>
      </c>
      <c r="P36" t="s">
        <v>12</v>
      </c>
    </row>
    <row r="37" spans="1:16" x14ac:dyDescent="0.25">
      <c r="A37">
        <v>1116</v>
      </c>
      <c r="B37">
        <v>1197466620</v>
      </c>
      <c r="C37" t="s">
        <v>4593</v>
      </c>
      <c r="D37" s="17" t="s">
        <v>6473</v>
      </c>
      <c r="E37" s="17" t="s">
        <v>4594</v>
      </c>
      <c r="F37" s="17" t="s">
        <v>4480</v>
      </c>
      <c r="G37" t="s">
        <v>3416</v>
      </c>
      <c r="H37">
        <v>4</v>
      </c>
      <c r="I37" s="1">
        <v>1.458285714285714</v>
      </c>
      <c r="J37" s="1">
        <v>1.1221907060228959</v>
      </c>
      <c r="K37" s="1">
        <v>1.1221907060228959</v>
      </c>
      <c r="L37" t="s">
        <v>6662</v>
      </c>
      <c r="M37" t="s">
        <v>1439</v>
      </c>
      <c r="N37" s="3">
        <v>4</v>
      </c>
      <c r="O37" s="3">
        <v>0.28054800000000002</v>
      </c>
      <c r="P37" t="s">
        <v>12</v>
      </c>
    </row>
    <row r="38" spans="1:16" x14ac:dyDescent="0.25">
      <c r="A38">
        <v>1130</v>
      </c>
      <c r="B38">
        <v>1195814832</v>
      </c>
      <c r="C38">
        <v>1159274341</v>
      </c>
      <c r="D38" s="17" t="s">
        <v>6471</v>
      </c>
      <c r="E38" s="17" t="s">
        <v>4618</v>
      </c>
      <c r="F38" s="17" t="s">
        <v>4024</v>
      </c>
      <c r="G38" t="s">
        <v>3416</v>
      </c>
      <c r="H38">
        <v>4</v>
      </c>
      <c r="I38" s="1">
        <v>9.2899999999999991</v>
      </c>
      <c r="J38" s="1">
        <v>3.72</v>
      </c>
      <c r="K38" s="1">
        <v>3.7199999999999998</v>
      </c>
      <c r="L38" t="s">
        <v>2322</v>
      </c>
      <c r="M38" t="s">
        <v>2306</v>
      </c>
      <c r="N38" s="3">
        <v>1</v>
      </c>
      <c r="O38" s="3">
        <v>3.72</v>
      </c>
      <c r="P38" t="s">
        <v>12</v>
      </c>
    </row>
    <row r="39" spans="1:16" x14ac:dyDescent="0.25">
      <c r="A39">
        <v>1145</v>
      </c>
      <c r="B39">
        <v>1194915006</v>
      </c>
      <c r="C39">
        <v>1131574286</v>
      </c>
      <c r="D39" s="17" t="s">
        <v>6471</v>
      </c>
      <c r="E39" s="17" t="s">
        <v>4219</v>
      </c>
      <c r="F39" s="17" t="s">
        <v>4220</v>
      </c>
      <c r="G39" t="s">
        <v>3416</v>
      </c>
      <c r="H39">
        <v>1</v>
      </c>
      <c r="I39" s="1">
        <v>35.93</v>
      </c>
      <c r="J39" s="1">
        <v>42.2</v>
      </c>
      <c r="K39" s="1">
        <v>42.2</v>
      </c>
      <c r="L39" t="s">
        <v>2821</v>
      </c>
      <c r="M39" t="s">
        <v>2816</v>
      </c>
      <c r="N39" s="3">
        <v>1</v>
      </c>
      <c r="O39" s="3">
        <v>42.2</v>
      </c>
      <c r="P39" t="s">
        <v>12</v>
      </c>
    </row>
    <row r="40" spans="1:16" x14ac:dyDescent="0.25">
      <c r="A40">
        <v>1168</v>
      </c>
      <c r="B40">
        <v>1192922149</v>
      </c>
      <c r="C40">
        <v>1202034396</v>
      </c>
      <c r="D40" s="17" t="s">
        <v>6471</v>
      </c>
      <c r="E40" s="17" t="s">
        <v>4456</v>
      </c>
      <c r="F40" s="17" t="s">
        <v>3729</v>
      </c>
      <c r="G40" t="s">
        <v>3416</v>
      </c>
      <c r="H40">
        <v>1</v>
      </c>
      <c r="I40" s="1">
        <v>3.83</v>
      </c>
      <c r="J40" s="1">
        <v>7.32</v>
      </c>
      <c r="K40" s="1">
        <v>7.32</v>
      </c>
      <c r="L40" t="s">
        <v>1365</v>
      </c>
      <c r="M40" t="s">
        <v>6671</v>
      </c>
      <c r="N40" s="3">
        <v>1</v>
      </c>
      <c r="O40" s="3">
        <v>7.32</v>
      </c>
      <c r="P40" t="s">
        <v>12</v>
      </c>
    </row>
    <row r="41" spans="1:16" x14ac:dyDescent="0.25">
      <c r="A41">
        <v>1200</v>
      </c>
      <c r="B41">
        <v>1190728790</v>
      </c>
      <c r="C41">
        <v>1241565486</v>
      </c>
      <c r="D41" s="17" t="s">
        <v>6471</v>
      </c>
      <c r="E41" s="17" t="s">
        <v>3981</v>
      </c>
      <c r="F41" s="17" t="s">
        <v>3729</v>
      </c>
      <c r="G41" t="s">
        <v>3416</v>
      </c>
      <c r="H41">
        <v>1</v>
      </c>
      <c r="I41" s="1">
        <v>2.5898589065255728</v>
      </c>
      <c r="J41" s="1">
        <v>22.25</v>
      </c>
      <c r="K41" s="1">
        <v>22.25</v>
      </c>
      <c r="L41" t="s">
        <v>751</v>
      </c>
      <c r="M41" t="s">
        <v>707</v>
      </c>
      <c r="N41" s="3">
        <v>4</v>
      </c>
      <c r="O41" s="3">
        <v>5.5625</v>
      </c>
      <c r="P41" t="s">
        <v>12</v>
      </c>
    </row>
    <row r="42" spans="1:16" x14ac:dyDescent="0.25">
      <c r="A42">
        <v>1202</v>
      </c>
      <c r="B42">
        <v>1190728790</v>
      </c>
      <c r="C42">
        <v>1241668804</v>
      </c>
      <c r="D42" s="17" t="s">
        <v>6471</v>
      </c>
      <c r="E42" s="17" t="s">
        <v>3982</v>
      </c>
      <c r="F42" s="17" t="s">
        <v>3729</v>
      </c>
      <c r="G42" t="s">
        <v>3416</v>
      </c>
      <c r="H42">
        <v>4</v>
      </c>
      <c r="I42" s="1">
        <v>6.022927689594356</v>
      </c>
      <c r="J42" s="1">
        <v>4.3855345911949684</v>
      </c>
      <c r="K42" s="1">
        <v>4.3855345911949684</v>
      </c>
      <c r="L42" t="s">
        <v>742</v>
      </c>
      <c r="M42" t="s">
        <v>707</v>
      </c>
      <c r="N42" s="3">
        <v>4</v>
      </c>
      <c r="O42" s="3">
        <v>1.096384</v>
      </c>
      <c r="P42" t="s">
        <v>12</v>
      </c>
    </row>
    <row r="43" spans="1:16" x14ac:dyDescent="0.25">
      <c r="A43">
        <v>1205</v>
      </c>
      <c r="B43">
        <v>1190720765</v>
      </c>
      <c r="C43">
        <v>1252378732</v>
      </c>
      <c r="D43" s="17" t="s">
        <v>6471</v>
      </c>
      <c r="E43" s="17" t="s">
        <v>3769</v>
      </c>
      <c r="F43" s="17" t="s">
        <v>3770</v>
      </c>
      <c r="G43" t="s">
        <v>3416</v>
      </c>
      <c r="H43">
        <v>2</v>
      </c>
      <c r="I43" s="1">
        <v>4.35593423019432</v>
      </c>
      <c r="J43" s="1">
        <v>3.7647058823529411</v>
      </c>
      <c r="K43" s="1">
        <v>3.7647058823529411</v>
      </c>
      <c r="L43" t="s">
        <v>472</v>
      </c>
      <c r="M43" t="s">
        <v>445</v>
      </c>
      <c r="N43" s="3">
        <v>2</v>
      </c>
      <c r="O43" s="3">
        <v>1.8823529999999999</v>
      </c>
      <c r="P43" t="s">
        <v>12</v>
      </c>
    </row>
    <row r="44" spans="1:16" x14ac:dyDescent="0.25">
      <c r="A44">
        <v>1210</v>
      </c>
      <c r="B44">
        <v>1190070315</v>
      </c>
      <c r="C44">
        <v>1249091802</v>
      </c>
      <c r="D44" s="17" t="s">
        <v>6471</v>
      </c>
      <c r="E44" s="17" t="s">
        <v>3750</v>
      </c>
      <c r="F44" s="17" t="s">
        <v>3751</v>
      </c>
      <c r="G44" t="s">
        <v>3530</v>
      </c>
      <c r="H44">
        <v>1</v>
      </c>
      <c r="I44" s="1">
        <v>7.5</v>
      </c>
      <c r="J44" s="1">
        <v>8.5500000000000007</v>
      </c>
      <c r="K44" s="1">
        <v>8.5500000000000007</v>
      </c>
      <c r="L44" t="s">
        <v>538</v>
      </c>
      <c r="M44" t="s">
        <v>395</v>
      </c>
      <c r="N44" s="3">
        <v>1</v>
      </c>
      <c r="O44" s="3">
        <v>8.5500000000000007</v>
      </c>
      <c r="P44" t="s">
        <v>12</v>
      </c>
    </row>
    <row r="45" spans="1:16" ht="30" x14ac:dyDescent="0.25">
      <c r="A45">
        <v>1232</v>
      </c>
      <c r="B45">
        <v>1188486169</v>
      </c>
      <c r="C45">
        <v>1188485592</v>
      </c>
      <c r="D45" s="17" t="s">
        <v>6471</v>
      </c>
      <c r="E45" s="17" t="s">
        <v>4672</v>
      </c>
      <c r="F45" s="17" t="s">
        <v>3520</v>
      </c>
      <c r="G45" t="s">
        <v>3416</v>
      </c>
      <c r="H45">
        <v>4</v>
      </c>
      <c r="I45" s="1">
        <v>25.22</v>
      </c>
      <c r="J45" s="1">
        <v>21.02</v>
      </c>
      <c r="K45" s="1">
        <v>21.02</v>
      </c>
      <c r="L45" t="s">
        <v>1622</v>
      </c>
      <c r="M45" t="s">
        <v>6672</v>
      </c>
      <c r="N45" s="3">
        <v>4</v>
      </c>
      <c r="O45" s="3">
        <v>5.2549999999999999</v>
      </c>
      <c r="P45" t="s">
        <v>12</v>
      </c>
    </row>
    <row r="46" spans="1:16" x14ac:dyDescent="0.25">
      <c r="A46">
        <v>1243</v>
      </c>
      <c r="B46">
        <v>1188047728</v>
      </c>
      <c r="C46">
        <v>1244111848</v>
      </c>
      <c r="D46" s="17" t="s">
        <v>6471</v>
      </c>
      <c r="E46" s="17" t="s">
        <v>3938</v>
      </c>
      <c r="F46" s="17" t="s">
        <v>3939</v>
      </c>
      <c r="G46" t="s">
        <v>3416</v>
      </c>
      <c r="H46">
        <v>3</v>
      </c>
      <c r="I46" s="1">
        <v>1.5051217440543601</v>
      </c>
      <c r="J46" s="1">
        <v>1.1933333333333334</v>
      </c>
      <c r="K46" s="1">
        <v>1.1933333333333334</v>
      </c>
      <c r="L46" t="s">
        <v>672</v>
      </c>
      <c r="M46" t="s">
        <v>632</v>
      </c>
      <c r="N46" s="3">
        <v>3</v>
      </c>
      <c r="O46" s="3">
        <v>0.39777800000000002</v>
      </c>
      <c r="P46" t="s">
        <v>12</v>
      </c>
    </row>
    <row r="47" spans="1:16" x14ac:dyDescent="0.25">
      <c r="A47">
        <v>1247</v>
      </c>
      <c r="B47">
        <v>1187904430</v>
      </c>
      <c r="C47" t="s">
        <v>4711</v>
      </c>
      <c r="D47" s="17" t="s">
        <v>6473</v>
      </c>
      <c r="E47" s="17" t="s">
        <v>4712</v>
      </c>
      <c r="F47" s="17" t="s">
        <v>3723</v>
      </c>
      <c r="G47" t="s">
        <v>3416</v>
      </c>
      <c r="H47">
        <v>1</v>
      </c>
      <c r="I47" s="1">
        <v>11.145960591133001</v>
      </c>
      <c r="J47" s="1">
        <v>16.789235668789811</v>
      </c>
      <c r="K47" s="1">
        <v>16.789235668789811</v>
      </c>
      <c r="L47" t="s">
        <v>6662</v>
      </c>
      <c r="M47" t="s">
        <v>1639</v>
      </c>
      <c r="N47" s="3">
        <v>1</v>
      </c>
      <c r="O47" s="3">
        <v>16.789235999999999</v>
      </c>
      <c r="P47" t="s">
        <v>12</v>
      </c>
    </row>
    <row r="48" spans="1:16" x14ac:dyDescent="0.25">
      <c r="A48">
        <v>1251</v>
      </c>
      <c r="B48">
        <v>1187561567</v>
      </c>
      <c r="C48">
        <v>1191950168</v>
      </c>
      <c r="D48" s="17" t="s">
        <v>6471</v>
      </c>
      <c r="E48" s="17" t="s">
        <v>4640</v>
      </c>
      <c r="F48" s="17" t="s">
        <v>3740</v>
      </c>
      <c r="G48" t="s">
        <v>3640</v>
      </c>
      <c r="H48">
        <v>4</v>
      </c>
      <c r="I48" s="1">
        <v>7.8</v>
      </c>
      <c r="J48" s="1">
        <v>9.129999999999999</v>
      </c>
      <c r="K48" s="1">
        <v>9.129999999999999</v>
      </c>
      <c r="L48" t="s">
        <v>1553</v>
      </c>
      <c r="M48" t="s">
        <v>6673</v>
      </c>
      <c r="N48" s="3">
        <v>4</v>
      </c>
      <c r="O48" s="3">
        <v>2.2825000000000002</v>
      </c>
      <c r="P48" t="s">
        <v>12</v>
      </c>
    </row>
    <row r="49" spans="1:16" x14ac:dyDescent="0.25">
      <c r="A49">
        <v>1261</v>
      </c>
      <c r="B49">
        <v>1187231107</v>
      </c>
      <c r="C49">
        <v>1241668804</v>
      </c>
      <c r="D49" s="17" t="s">
        <v>6471</v>
      </c>
      <c r="E49" s="17" t="s">
        <v>3983</v>
      </c>
      <c r="F49" s="17" t="s">
        <v>3984</v>
      </c>
      <c r="G49" t="s">
        <v>3416</v>
      </c>
      <c r="H49">
        <v>1</v>
      </c>
      <c r="I49" s="1">
        <v>5.2087338748208314</v>
      </c>
      <c r="J49" s="1">
        <v>1.0963836477987421</v>
      </c>
      <c r="K49" s="1">
        <v>1.0963836477987421</v>
      </c>
      <c r="L49" t="s">
        <v>742</v>
      </c>
      <c r="M49" t="s">
        <v>707</v>
      </c>
      <c r="N49" s="3">
        <v>1</v>
      </c>
      <c r="O49" s="3">
        <v>1.096384</v>
      </c>
      <c r="P49" t="s">
        <v>12</v>
      </c>
    </row>
    <row r="50" spans="1:16" x14ac:dyDescent="0.25">
      <c r="A50">
        <v>1269</v>
      </c>
      <c r="B50">
        <v>1186395377</v>
      </c>
      <c r="C50">
        <v>1242056139</v>
      </c>
      <c r="D50" s="17" t="s">
        <v>6471</v>
      </c>
      <c r="E50" s="17" t="s">
        <v>3957</v>
      </c>
      <c r="F50" s="17" t="s">
        <v>3687</v>
      </c>
      <c r="G50" t="s">
        <v>3416</v>
      </c>
      <c r="H50">
        <v>2</v>
      </c>
      <c r="I50" s="1">
        <v>8.0414634146341459</v>
      </c>
      <c r="J50" s="1">
        <v>7.23</v>
      </c>
      <c r="K50" s="1">
        <v>7.23</v>
      </c>
      <c r="L50" t="s">
        <v>729</v>
      </c>
      <c r="M50" t="s">
        <v>6674</v>
      </c>
      <c r="N50" s="3">
        <v>2</v>
      </c>
      <c r="O50" s="3">
        <v>3.6150000000000002</v>
      </c>
      <c r="P50" t="s">
        <v>12</v>
      </c>
    </row>
    <row r="51" spans="1:16" x14ac:dyDescent="0.25">
      <c r="A51">
        <v>1277</v>
      </c>
      <c r="B51">
        <v>1186392450</v>
      </c>
      <c r="C51">
        <v>1249045481</v>
      </c>
      <c r="D51" s="17" t="s">
        <v>6471</v>
      </c>
      <c r="E51" s="17" t="s">
        <v>3834</v>
      </c>
      <c r="F51" s="17" t="s">
        <v>3751</v>
      </c>
      <c r="G51" t="s">
        <v>3416</v>
      </c>
      <c r="H51">
        <v>4</v>
      </c>
      <c r="I51" s="1">
        <v>5.8099814471243043</v>
      </c>
      <c r="J51" s="1">
        <v>5.8583333333333325</v>
      </c>
      <c r="K51" s="1">
        <v>5.8583333333333325</v>
      </c>
      <c r="L51" t="s">
        <v>541</v>
      </c>
      <c r="M51" t="s">
        <v>492</v>
      </c>
      <c r="N51" s="3">
        <v>4</v>
      </c>
      <c r="O51" s="3">
        <v>1.464583</v>
      </c>
      <c r="P51" t="s">
        <v>12</v>
      </c>
    </row>
    <row r="52" spans="1:16" x14ac:dyDescent="0.25">
      <c r="A52">
        <v>1286</v>
      </c>
      <c r="B52">
        <v>1185932217</v>
      </c>
      <c r="C52">
        <v>1245439549</v>
      </c>
      <c r="D52" s="17" t="s">
        <v>6471</v>
      </c>
      <c r="E52" s="17" t="s">
        <v>3913</v>
      </c>
      <c r="F52" s="17" t="s">
        <v>3694</v>
      </c>
      <c r="G52" t="s">
        <v>3416</v>
      </c>
      <c r="H52">
        <v>1</v>
      </c>
      <c r="I52" s="1">
        <v>17.917898193760259</v>
      </c>
      <c r="J52" s="1">
        <v>42.55</v>
      </c>
      <c r="K52" s="1">
        <v>42.550000000000004</v>
      </c>
      <c r="L52" t="s">
        <v>634</v>
      </c>
      <c r="M52" t="s">
        <v>591</v>
      </c>
      <c r="N52" s="3">
        <v>1</v>
      </c>
      <c r="O52" s="3">
        <v>42.55</v>
      </c>
      <c r="P52" t="s">
        <v>12</v>
      </c>
    </row>
    <row r="53" spans="1:16" x14ac:dyDescent="0.25">
      <c r="A53">
        <v>1301</v>
      </c>
      <c r="B53">
        <v>1185052001</v>
      </c>
      <c r="C53">
        <v>1240763009</v>
      </c>
      <c r="D53" s="17" t="s">
        <v>6471</v>
      </c>
      <c r="E53" s="17" t="s">
        <v>3971</v>
      </c>
      <c r="F53" s="17" t="s">
        <v>3770</v>
      </c>
      <c r="G53" t="s">
        <v>3416</v>
      </c>
      <c r="H53">
        <v>3</v>
      </c>
      <c r="I53" s="1">
        <v>21.92</v>
      </c>
      <c r="J53" s="1">
        <v>16.18</v>
      </c>
      <c r="K53" s="1">
        <v>16.18</v>
      </c>
      <c r="L53" t="s">
        <v>770</v>
      </c>
      <c r="M53" t="s">
        <v>675</v>
      </c>
      <c r="N53" s="3">
        <v>3</v>
      </c>
      <c r="O53" s="3">
        <v>5.3933330000000002</v>
      </c>
      <c r="P53" t="s">
        <v>12</v>
      </c>
    </row>
    <row r="54" spans="1:16" x14ac:dyDescent="0.25">
      <c r="A54">
        <v>1307</v>
      </c>
      <c r="B54">
        <v>1184996784</v>
      </c>
      <c r="C54">
        <v>1258407112</v>
      </c>
      <c r="D54" s="17" t="s">
        <v>6471</v>
      </c>
      <c r="E54" s="17" t="s">
        <v>3713</v>
      </c>
      <c r="F54" s="17" t="s">
        <v>3714</v>
      </c>
      <c r="G54" t="s">
        <v>3416</v>
      </c>
      <c r="H54">
        <v>2</v>
      </c>
      <c r="I54" s="1">
        <v>2.4974226804123711</v>
      </c>
      <c r="J54" s="1">
        <v>1.0792349726775956</v>
      </c>
      <c r="K54" s="1">
        <v>1.0792349726775956</v>
      </c>
      <c r="L54" t="s">
        <v>318</v>
      </c>
      <c r="M54" t="s">
        <v>355</v>
      </c>
      <c r="N54" s="3">
        <v>2</v>
      </c>
      <c r="O54" s="3">
        <v>0.53961700000000001</v>
      </c>
      <c r="P54" t="s">
        <v>12</v>
      </c>
    </row>
    <row r="55" spans="1:16" x14ac:dyDescent="0.25">
      <c r="A55">
        <v>1320</v>
      </c>
      <c r="B55">
        <v>1183899080</v>
      </c>
      <c r="C55">
        <v>1201256238</v>
      </c>
      <c r="D55" s="17" t="s">
        <v>6471</v>
      </c>
      <c r="E55" s="17" t="s">
        <v>4479</v>
      </c>
      <c r="F55" s="17" t="s">
        <v>4480</v>
      </c>
      <c r="G55" t="s">
        <v>3416</v>
      </c>
      <c r="H55">
        <v>1</v>
      </c>
      <c r="I55" s="1">
        <v>10.514942528735631</v>
      </c>
      <c r="J55" s="1">
        <v>10.4</v>
      </c>
      <c r="K55" s="1">
        <v>10.4</v>
      </c>
      <c r="L55" t="s">
        <v>1369</v>
      </c>
      <c r="M55" t="s">
        <v>1355</v>
      </c>
      <c r="N55" s="3">
        <v>1</v>
      </c>
      <c r="O55" s="3">
        <v>10.4</v>
      </c>
      <c r="P55" t="s">
        <v>12</v>
      </c>
    </row>
    <row r="56" spans="1:16" x14ac:dyDescent="0.25">
      <c r="A56">
        <v>1321</v>
      </c>
      <c r="B56">
        <v>1183899080</v>
      </c>
      <c r="C56">
        <v>1199075481</v>
      </c>
      <c r="D56" s="17" t="s">
        <v>6471</v>
      </c>
      <c r="E56" s="17" t="s">
        <v>4546</v>
      </c>
      <c r="F56" s="17" t="s">
        <v>3879</v>
      </c>
      <c r="G56" t="s">
        <v>3416</v>
      </c>
      <c r="H56">
        <v>4</v>
      </c>
      <c r="I56" s="1">
        <v>10.514942528735631</v>
      </c>
      <c r="J56" s="1">
        <v>11.3</v>
      </c>
      <c r="K56" s="1">
        <v>11.3</v>
      </c>
      <c r="L56" t="s">
        <v>1411</v>
      </c>
      <c r="M56" t="s">
        <v>6675</v>
      </c>
      <c r="N56" s="3">
        <v>3</v>
      </c>
      <c r="O56" s="3">
        <v>3.766667</v>
      </c>
      <c r="P56" t="s">
        <v>12</v>
      </c>
    </row>
    <row r="57" spans="1:16" x14ac:dyDescent="0.25">
      <c r="A57">
        <v>1323</v>
      </c>
      <c r="B57">
        <v>1183898242</v>
      </c>
      <c r="C57" t="s">
        <v>4769</v>
      </c>
      <c r="D57" s="17" t="s">
        <v>6473</v>
      </c>
      <c r="E57" s="17" t="s">
        <v>4770</v>
      </c>
      <c r="F57" s="17" t="s">
        <v>3687</v>
      </c>
      <c r="G57" t="s">
        <v>3416</v>
      </c>
      <c r="H57">
        <v>3</v>
      </c>
      <c r="I57" s="1">
        <v>24.871267485012851</v>
      </c>
      <c r="J57" s="1">
        <v>25.92</v>
      </c>
      <c r="K57" s="1">
        <v>25.92</v>
      </c>
      <c r="L57" t="s">
        <v>6662</v>
      </c>
      <c r="M57" t="s">
        <v>1722</v>
      </c>
      <c r="N57" s="3">
        <v>3</v>
      </c>
      <c r="O57" s="3">
        <v>8.64</v>
      </c>
      <c r="P57" t="s">
        <v>12</v>
      </c>
    </row>
    <row r="58" spans="1:16" x14ac:dyDescent="0.25">
      <c r="A58">
        <v>1324</v>
      </c>
      <c r="B58">
        <v>1183898242</v>
      </c>
      <c r="C58" t="s">
        <v>4767</v>
      </c>
      <c r="D58" s="17" t="s">
        <v>6473</v>
      </c>
      <c r="E58" s="17" t="s">
        <v>4768</v>
      </c>
      <c r="F58" s="17" t="s">
        <v>4140</v>
      </c>
      <c r="G58" t="s">
        <v>3416</v>
      </c>
      <c r="H58">
        <v>3</v>
      </c>
      <c r="I58" s="1">
        <v>10.167499286326009</v>
      </c>
      <c r="J58" s="1">
        <v>10.78</v>
      </c>
      <c r="K58" s="1">
        <v>10.78</v>
      </c>
      <c r="L58" t="s">
        <v>6662</v>
      </c>
      <c r="M58" t="s">
        <v>1722</v>
      </c>
      <c r="N58" s="3">
        <v>3</v>
      </c>
      <c r="O58" s="3">
        <v>3.5933329999999999</v>
      </c>
      <c r="P58" t="s">
        <v>12</v>
      </c>
    </row>
    <row r="59" spans="1:16" x14ac:dyDescent="0.25">
      <c r="A59">
        <v>1326</v>
      </c>
      <c r="B59">
        <v>1183898242</v>
      </c>
      <c r="C59">
        <v>1243134485</v>
      </c>
      <c r="D59" s="17" t="s">
        <v>6471</v>
      </c>
      <c r="E59" s="17" t="s">
        <v>3964</v>
      </c>
      <c r="F59" s="17" t="s">
        <v>3770</v>
      </c>
      <c r="G59" t="s">
        <v>3416</v>
      </c>
      <c r="H59">
        <v>4</v>
      </c>
      <c r="I59" s="1">
        <v>20.647844704538969</v>
      </c>
      <c r="J59" s="1">
        <v>11.23</v>
      </c>
      <c r="K59" s="1">
        <v>11.23</v>
      </c>
      <c r="L59" t="s">
        <v>695</v>
      </c>
      <c r="M59" t="s">
        <v>671</v>
      </c>
      <c r="N59" s="3">
        <v>2</v>
      </c>
      <c r="O59" s="3">
        <v>5.6150000000000002</v>
      </c>
      <c r="P59" t="s">
        <v>12</v>
      </c>
    </row>
    <row r="60" spans="1:16" x14ac:dyDescent="0.25">
      <c r="A60">
        <v>1328</v>
      </c>
      <c r="B60">
        <v>1183898242</v>
      </c>
      <c r="C60">
        <v>1242930381</v>
      </c>
      <c r="D60" s="17" t="s">
        <v>6471</v>
      </c>
      <c r="E60" s="17" t="s">
        <v>3957</v>
      </c>
      <c r="F60" s="17" t="s">
        <v>3687</v>
      </c>
      <c r="G60" t="s">
        <v>3416</v>
      </c>
      <c r="H60">
        <v>2</v>
      </c>
      <c r="I60" s="1">
        <v>4.066999714530402</v>
      </c>
      <c r="J60" s="1">
        <v>4.4265989847715739</v>
      </c>
      <c r="K60" s="1">
        <v>4.4265989847715739</v>
      </c>
      <c r="L60" t="s">
        <v>704</v>
      </c>
      <c r="M60" t="s">
        <v>665</v>
      </c>
      <c r="N60" s="3">
        <v>2</v>
      </c>
      <c r="O60" s="3">
        <v>2.2132990000000001</v>
      </c>
      <c r="P60" t="s">
        <v>12</v>
      </c>
    </row>
    <row r="61" spans="1:16" x14ac:dyDescent="0.25">
      <c r="A61">
        <v>1330</v>
      </c>
      <c r="B61">
        <v>1183898242</v>
      </c>
      <c r="C61">
        <v>1194954076</v>
      </c>
      <c r="D61" s="17" t="s">
        <v>6471</v>
      </c>
      <c r="E61" s="17" t="s">
        <v>4623</v>
      </c>
      <c r="F61" s="17" t="s">
        <v>3687</v>
      </c>
      <c r="G61" t="s">
        <v>3416</v>
      </c>
      <c r="H61">
        <v>3</v>
      </c>
      <c r="I61" s="1">
        <v>14.70376819868684</v>
      </c>
      <c r="J61" s="1">
        <v>13.03056179775281</v>
      </c>
      <c r="K61" s="1">
        <v>13.03056179775281</v>
      </c>
      <c r="L61" t="s">
        <v>1486</v>
      </c>
      <c r="M61" t="s">
        <v>6676</v>
      </c>
      <c r="N61" s="3">
        <v>3</v>
      </c>
      <c r="O61" s="3">
        <v>4.343521</v>
      </c>
      <c r="P61" t="s">
        <v>12</v>
      </c>
    </row>
    <row r="62" spans="1:16" x14ac:dyDescent="0.25">
      <c r="A62">
        <v>1331</v>
      </c>
      <c r="B62">
        <v>1183898242</v>
      </c>
      <c r="C62">
        <v>1198292265</v>
      </c>
      <c r="D62" s="17" t="s">
        <v>6471</v>
      </c>
      <c r="E62" s="17" t="s">
        <v>4580</v>
      </c>
      <c r="F62" s="17" t="s">
        <v>3687</v>
      </c>
      <c r="G62" t="s">
        <v>3416</v>
      </c>
      <c r="H62">
        <v>4</v>
      </c>
      <c r="I62" s="1">
        <v>74.874507564944324</v>
      </c>
      <c r="J62" s="1">
        <v>65.53</v>
      </c>
      <c r="K62" s="1">
        <v>65.53</v>
      </c>
      <c r="L62" t="s">
        <v>1427</v>
      </c>
      <c r="M62" t="s">
        <v>1414</v>
      </c>
      <c r="N62" s="3">
        <v>4</v>
      </c>
      <c r="O62" s="3">
        <v>16.3825</v>
      </c>
      <c r="P62" t="s">
        <v>12</v>
      </c>
    </row>
    <row r="63" spans="1:16" x14ac:dyDescent="0.25">
      <c r="A63">
        <v>1332</v>
      </c>
      <c r="B63">
        <v>1183898242</v>
      </c>
      <c r="C63">
        <v>1215806617</v>
      </c>
      <c r="D63" s="17" t="s">
        <v>6471</v>
      </c>
      <c r="E63" s="17" t="s">
        <v>4272</v>
      </c>
      <c r="F63" s="17" t="s">
        <v>4273</v>
      </c>
      <c r="G63" t="s">
        <v>3416</v>
      </c>
      <c r="H63">
        <v>4</v>
      </c>
      <c r="I63" s="1">
        <v>12.305281187553531</v>
      </c>
      <c r="J63" s="1">
        <v>8.3000000000000007</v>
      </c>
      <c r="K63" s="1">
        <v>8.3000000000000007</v>
      </c>
      <c r="L63" t="s">
        <v>1125</v>
      </c>
      <c r="M63" t="s">
        <v>1119</v>
      </c>
      <c r="N63" s="3">
        <v>3</v>
      </c>
      <c r="O63" s="3">
        <v>2.766667</v>
      </c>
      <c r="P63" t="s">
        <v>12</v>
      </c>
    </row>
    <row r="64" spans="1:16" x14ac:dyDescent="0.25">
      <c r="A64">
        <v>1333</v>
      </c>
      <c r="B64">
        <v>1183897966</v>
      </c>
      <c r="C64">
        <v>1197512959</v>
      </c>
      <c r="D64" s="17" t="s">
        <v>6471</v>
      </c>
      <c r="E64" s="17" t="s">
        <v>4479</v>
      </c>
      <c r="F64" s="17" t="s">
        <v>4480</v>
      </c>
      <c r="G64" t="s">
        <v>3416</v>
      </c>
      <c r="H64">
        <v>3</v>
      </c>
      <c r="I64" s="1">
        <v>23.47</v>
      </c>
      <c r="J64" s="1">
        <v>26.3</v>
      </c>
      <c r="K64" s="1">
        <v>26.3</v>
      </c>
      <c r="L64" t="s">
        <v>1436</v>
      </c>
      <c r="M64" t="s">
        <v>1422</v>
      </c>
      <c r="N64" s="3">
        <v>3</v>
      </c>
      <c r="O64" s="3">
        <v>8.766667</v>
      </c>
      <c r="P64" t="s">
        <v>12</v>
      </c>
    </row>
    <row r="65" spans="1:16" x14ac:dyDescent="0.25">
      <c r="A65">
        <v>1346</v>
      </c>
      <c r="B65">
        <v>1179942773</v>
      </c>
      <c r="C65">
        <v>1185865223</v>
      </c>
      <c r="D65" s="17" t="s">
        <v>6471</v>
      </c>
      <c r="E65" s="17" t="s">
        <v>4715</v>
      </c>
      <c r="F65" s="17" t="s">
        <v>3687</v>
      </c>
      <c r="G65" t="s">
        <v>3416</v>
      </c>
      <c r="H65">
        <v>4</v>
      </c>
      <c r="I65" s="1">
        <v>33.270000000000003</v>
      </c>
      <c r="J65" s="1">
        <v>35.1</v>
      </c>
      <c r="K65" s="1">
        <v>35.1</v>
      </c>
      <c r="L65" t="s">
        <v>1692</v>
      </c>
      <c r="M65" t="s">
        <v>1652</v>
      </c>
      <c r="N65" s="3">
        <v>4</v>
      </c>
      <c r="O65" s="3">
        <v>8.7750000000000004</v>
      </c>
      <c r="P65" t="s">
        <v>12</v>
      </c>
    </row>
    <row r="66" spans="1:16" x14ac:dyDescent="0.25">
      <c r="A66">
        <v>1347</v>
      </c>
      <c r="B66">
        <v>1179920868</v>
      </c>
      <c r="C66">
        <v>1219880469</v>
      </c>
      <c r="D66" s="17" t="s">
        <v>6471</v>
      </c>
      <c r="E66" s="17" t="s">
        <v>4218</v>
      </c>
      <c r="F66" s="17" t="s">
        <v>3694</v>
      </c>
      <c r="G66" t="s">
        <v>3416</v>
      </c>
      <c r="H66">
        <v>1</v>
      </c>
      <c r="I66" s="1">
        <v>17.12</v>
      </c>
      <c r="J66" s="1">
        <v>39.83</v>
      </c>
      <c r="K66" s="1">
        <v>39.83</v>
      </c>
      <c r="L66" t="s">
        <v>1048</v>
      </c>
      <c r="M66" t="s">
        <v>1055</v>
      </c>
      <c r="N66" s="3">
        <v>2</v>
      </c>
      <c r="O66" s="3">
        <v>19.914999999999999</v>
      </c>
      <c r="P66" t="s">
        <v>12</v>
      </c>
    </row>
    <row r="67" spans="1:16" x14ac:dyDescent="0.25">
      <c r="A67">
        <v>1382</v>
      </c>
      <c r="B67">
        <v>1178155822</v>
      </c>
      <c r="C67">
        <v>1254900778</v>
      </c>
      <c r="D67" s="17" t="s">
        <v>6471</v>
      </c>
      <c r="E67" s="17" t="s">
        <v>3753</v>
      </c>
      <c r="F67" s="17" t="s">
        <v>3729</v>
      </c>
      <c r="G67" t="s">
        <v>3416</v>
      </c>
      <c r="H67">
        <v>1</v>
      </c>
      <c r="I67" s="1">
        <v>7.6325925925925926</v>
      </c>
      <c r="J67" s="1">
        <v>9.4</v>
      </c>
      <c r="K67" s="1">
        <v>9.4</v>
      </c>
      <c r="L67" t="s">
        <v>430</v>
      </c>
      <c r="M67" t="s">
        <v>6677</v>
      </c>
      <c r="N67" s="3">
        <v>1</v>
      </c>
      <c r="O67" s="3">
        <v>9.4</v>
      </c>
      <c r="P67" t="s">
        <v>12</v>
      </c>
    </row>
    <row r="68" spans="1:16" x14ac:dyDescent="0.25">
      <c r="A68">
        <v>1383</v>
      </c>
      <c r="B68">
        <v>1178155822</v>
      </c>
      <c r="C68">
        <v>1242930381</v>
      </c>
      <c r="D68" s="17" t="s">
        <v>6471</v>
      </c>
      <c r="E68" s="17" t="s">
        <v>3753</v>
      </c>
      <c r="F68" s="17" t="s">
        <v>3729</v>
      </c>
      <c r="G68" t="s">
        <v>3416</v>
      </c>
      <c r="H68">
        <v>1</v>
      </c>
      <c r="I68" s="1">
        <v>7.0874074074074072</v>
      </c>
      <c r="J68" s="1">
        <v>6.7534010152284267</v>
      </c>
      <c r="K68" s="1">
        <v>6.7534010152284267</v>
      </c>
      <c r="L68" t="s">
        <v>704</v>
      </c>
      <c r="M68" t="s">
        <v>665</v>
      </c>
      <c r="N68" s="3">
        <v>1</v>
      </c>
      <c r="O68" s="3">
        <v>6.7534010000000002</v>
      </c>
      <c r="P68" t="s">
        <v>12</v>
      </c>
    </row>
    <row r="69" spans="1:16" x14ac:dyDescent="0.25">
      <c r="A69">
        <v>1384</v>
      </c>
      <c r="B69">
        <v>1178144974</v>
      </c>
      <c r="C69">
        <v>1185364801</v>
      </c>
      <c r="D69" s="17" t="s">
        <v>6471</v>
      </c>
      <c r="E69" s="17" t="s">
        <v>4743</v>
      </c>
      <c r="F69" s="17" t="s">
        <v>3879</v>
      </c>
      <c r="G69" t="s">
        <v>3416</v>
      </c>
      <c r="H69">
        <v>4</v>
      </c>
      <c r="I69" s="1">
        <v>24.82</v>
      </c>
      <c r="J69" s="1">
        <v>37.270000000000003</v>
      </c>
      <c r="K69" s="1">
        <v>37.270000000000003</v>
      </c>
      <c r="L69" t="s">
        <v>231</v>
      </c>
      <c r="M69" t="s">
        <v>1700</v>
      </c>
      <c r="N69" s="3">
        <v>4</v>
      </c>
      <c r="O69" s="3">
        <v>9.3175000000000008</v>
      </c>
      <c r="P69" t="s">
        <v>12</v>
      </c>
    </row>
    <row r="70" spans="1:16" x14ac:dyDescent="0.25">
      <c r="A70">
        <v>1402</v>
      </c>
      <c r="B70">
        <v>1177000590</v>
      </c>
      <c r="C70">
        <v>1211757537</v>
      </c>
      <c r="D70" s="17" t="s">
        <v>6471</v>
      </c>
      <c r="E70" s="17" t="s">
        <v>4321</v>
      </c>
      <c r="F70" s="17" t="s">
        <v>4322</v>
      </c>
      <c r="G70" t="s">
        <v>3416</v>
      </c>
      <c r="H70">
        <v>1</v>
      </c>
      <c r="I70" s="1">
        <v>18.07</v>
      </c>
      <c r="J70" s="1">
        <v>8.9810638297872334</v>
      </c>
      <c r="K70" s="1">
        <v>8.9810638297872334</v>
      </c>
      <c r="L70" t="s">
        <v>92</v>
      </c>
      <c r="M70" t="s">
        <v>1179</v>
      </c>
      <c r="N70" s="3">
        <v>1</v>
      </c>
      <c r="O70" s="3">
        <v>8.9810639999999999</v>
      </c>
      <c r="P70" t="s">
        <v>12</v>
      </c>
    </row>
    <row r="71" spans="1:16" x14ac:dyDescent="0.25">
      <c r="A71">
        <v>1403</v>
      </c>
      <c r="B71">
        <v>1176992416</v>
      </c>
      <c r="C71">
        <v>1237155870</v>
      </c>
      <c r="D71" s="17" t="s">
        <v>6471</v>
      </c>
      <c r="E71" s="17" t="s">
        <v>4071</v>
      </c>
      <c r="F71" s="17" t="s">
        <v>3770</v>
      </c>
      <c r="G71" t="s">
        <v>3416</v>
      </c>
      <c r="H71">
        <v>4</v>
      </c>
      <c r="I71" s="1">
        <v>39</v>
      </c>
      <c r="J71" s="1">
        <v>24.349999999999998</v>
      </c>
      <c r="K71" s="1">
        <v>24.349999999999998</v>
      </c>
      <c r="L71" t="s">
        <v>865</v>
      </c>
      <c r="M71" t="s">
        <v>822</v>
      </c>
      <c r="N71" s="3">
        <v>2</v>
      </c>
      <c r="O71" s="3">
        <v>12.175000000000001</v>
      </c>
      <c r="P71" t="s">
        <v>12</v>
      </c>
    </row>
    <row r="72" spans="1:16" ht="30" x14ac:dyDescent="0.25">
      <c r="A72">
        <v>1404</v>
      </c>
      <c r="B72">
        <v>1176843944</v>
      </c>
      <c r="C72">
        <v>1176843547</v>
      </c>
      <c r="D72" s="17" t="s">
        <v>6471</v>
      </c>
      <c r="E72" s="17" t="s">
        <v>4820</v>
      </c>
      <c r="F72" s="17" t="s">
        <v>3520</v>
      </c>
      <c r="G72" t="s">
        <v>3416</v>
      </c>
      <c r="H72">
        <v>1</v>
      </c>
      <c r="I72" s="1">
        <v>50.47</v>
      </c>
      <c r="J72" s="1">
        <v>52.25</v>
      </c>
      <c r="K72" s="1">
        <v>52.25</v>
      </c>
      <c r="L72" t="s">
        <v>1829</v>
      </c>
      <c r="M72" t="s">
        <v>1813</v>
      </c>
      <c r="N72" s="3">
        <v>1</v>
      </c>
      <c r="O72" s="3">
        <v>52.25</v>
      </c>
      <c r="P72" t="s">
        <v>12</v>
      </c>
    </row>
    <row r="73" spans="1:16" x14ac:dyDescent="0.25">
      <c r="A73">
        <v>1407</v>
      </c>
      <c r="B73">
        <v>1176840646</v>
      </c>
      <c r="C73">
        <v>1199135567</v>
      </c>
      <c r="D73" s="17" t="s">
        <v>6471</v>
      </c>
      <c r="E73" s="17" t="s">
        <v>4218</v>
      </c>
      <c r="F73" s="17" t="s">
        <v>3694</v>
      </c>
      <c r="G73" t="s">
        <v>3416</v>
      </c>
      <c r="H73">
        <v>1</v>
      </c>
      <c r="I73" s="1">
        <v>18.72</v>
      </c>
      <c r="J73" s="1">
        <v>18.399999999999999</v>
      </c>
      <c r="K73" s="1">
        <v>18.399999999999999</v>
      </c>
      <c r="L73" t="s">
        <v>1408</v>
      </c>
      <c r="M73" t="s">
        <v>1402</v>
      </c>
      <c r="N73" s="3">
        <v>1</v>
      </c>
      <c r="O73" s="3">
        <v>18.399999999999999</v>
      </c>
      <c r="P73" t="s">
        <v>12</v>
      </c>
    </row>
    <row r="74" spans="1:16" x14ac:dyDescent="0.25">
      <c r="A74">
        <v>1408</v>
      </c>
      <c r="B74">
        <v>1176840322</v>
      </c>
      <c r="C74">
        <v>1187236864</v>
      </c>
      <c r="D74" s="17" t="s">
        <v>6471</v>
      </c>
      <c r="E74" s="17" t="s">
        <v>4221</v>
      </c>
      <c r="F74" s="17" t="s">
        <v>1210</v>
      </c>
      <c r="G74" t="s">
        <v>3416</v>
      </c>
      <c r="H74">
        <v>1</v>
      </c>
      <c r="I74" s="1">
        <v>15.72</v>
      </c>
      <c r="J74" s="1">
        <v>23.119999999999997</v>
      </c>
      <c r="K74" s="1">
        <v>23.119999999999997</v>
      </c>
      <c r="L74" t="s">
        <v>1662</v>
      </c>
      <c r="M74" t="s">
        <v>1603</v>
      </c>
      <c r="N74" s="3">
        <v>2</v>
      </c>
      <c r="O74" s="3">
        <v>11.56</v>
      </c>
      <c r="P74" t="s">
        <v>12</v>
      </c>
    </row>
    <row r="75" spans="1:16" x14ac:dyDescent="0.25">
      <c r="A75">
        <v>1436</v>
      </c>
      <c r="B75">
        <v>1175703301</v>
      </c>
      <c r="C75">
        <v>1191858521</v>
      </c>
      <c r="D75" s="17" t="s">
        <v>6471</v>
      </c>
      <c r="E75" s="17" t="s">
        <v>4612</v>
      </c>
      <c r="F75" s="17" t="s">
        <v>3621</v>
      </c>
      <c r="G75" t="s">
        <v>3416</v>
      </c>
      <c r="H75">
        <v>2</v>
      </c>
      <c r="I75" s="1">
        <v>9.92</v>
      </c>
      <c r="J75" s="1">
        <v>12.828269794721407</v>
      </c>
      <c r="K75" s="1">
        <v>12.828269794721407</v>
      </c>
      <c r="L75" t="s">
        <v>1557</v>
      </c>
      <c r="M75" t="s">
        <v>6678</v>
      </c>
      <c r="N75" s="3">
        <v>2</v>
      </c>
      <c r="O75" s="3">
        <v>6.4141349999999999</v>
      </c>
      <c r="P75" t="s">
        <v>12</v>
      </c>
    </row>
    <row r="76" spans="1:16" x14ac:dyDescent="0.25">
      <c r="A76">
        <v>1437</v>
      </c>
      <c r="B76">
        <v>1175700549</v>
      </c>
      <c r="C76">
        <v>1177911137</v>
      </c>
      <c r="D76" s="17" t="s">
        <v>6471</v>
      </c>
      <c r="E76" s="17" t="s">
        <v>4612</v>
      </c>
      <c r="F76" s="17" t="s">
        <v>3621</v>
      </c>
      <c r="G76" t="s">
        <v>3416</v>
      </c>
      <c r="H76">
        <v>1</v>
      </c>
      <c r="I76" s="1">
        <v>4.72</v>
      </c>
      <c r="J76" s="1">
        <v>4.8351063829787231</v>
      </c>
      <c r="K76" s="1">
        <v>4.8351063829787231</v>
      </c>
      <c r="L76" t="s">
        <v>1812</v>
      </c>
      <c r="M76" t="s">
        <v>1764</v>
      </c>
      <c r="N76" s="3">
        <v>1</v>
      </c>
      <c r="O76" s="3">
        <v>4.8351059999999997</v>
      </c>
      <c r="P76" t="s">
        <v>12</v>
      </c>
    </row>
    <row r="77" spans="1:16" x14ac:dyDescent="0.25">
      <c r="A77">
        <v>1469</v>
      </c>
      <c r="B77">
        <v>1171928390</v>
      </c>
      <c r="C77">
        <v>1240414115</v>
      </c>
      <c r="D77" s="17" t="s">
        <v>6471</v>
      </c>
      <c r="E77" s="17" t="s">
        <v>4028</v>
      </c>
      <c r="F77" s="17" t="s">
        <v>3621</v>
      </c>
      <c r="G77" t="s">
        <v>3453</v>
      </c>
      <c r="H77">
        <v>3</v>
      </c>
      <c r="I77" s="1">
        <v>84.649999999999991</v>
      </c>
      <c r="J77" s="1">
        <v>62.779999999999994</v>
      </c>
      <c r="K77" s="1">
        <v>62.779999999999994</v>
      </c>
      <c r="L77" t="s">
        <v>792</v>
      </c>
      <c r="M77" t="s">
        <v>6656</v>
      </c>
      <c r="N77" s="3">
        <v>3</v>
      </c>
      <c r="O77" s="3">
        <v>20.926666999999998</v>
      </c>
      <c r="P77" t="s">
        <v>12</v>
      </c>
    </row>
    <row r="78" spans="1:16" x14ac:dyDescent="0.25">
      <c r="A78">
        <v>1482</v>
      </c>
      <c r="B78">
        <v>1171656482</v>
      </c>
      <c r="C78">
        <v>1260428137</v>
      </c>
      <c r="D78" s="17" t="s">
        <v>6471</v>
      </c>
      <c r="E78" s="17" t="s">
        <v>3693</v>
      </c>
      <c r="F78" s="17" t="s">
        <v>3694</v>
      </c>
      <c r="G78" t="s">
        <v>3453</v>
      </c>
      <c r="H78">
        <v>2</v>
      </c>
      <c r="I78" s="1">
        <v>5.9</v>
      </c>
      <c r="J78" s="1">
        <v>9.35</v>
      </c>
      <c r="K78" s="1">
        <v>9.35</v>
      </c>
      <c r="L78" t="s">
        <v>357</v>
      </c>
      <c r="M78" t="s">
        <v>6668</v>
      </c>
      <c r="N78" s="3">
        <v>2</v>
      </c>
      <c r="O78" s="3">
        <v>4.6749999999999998</v>
      </c>
      <c r="P78" t="s">
        <v>12</v>
      </c>
    </row>
    <row r="79" spans="1:16" x14ac:dyDescent="0.25">
      <c r="A79">
        <v>1488</v>
      </c>
      <c r="B79">
        <v>1170938490</v>
      </c>
      <c r="C79">
        <v>1176293751</v>
      </c>
      <c r="D79" s="17" t="s">
        <v>6471</v>
      </c>
      <c r="E79" s="17" t="s">
        <v>4832</v>
      </c>
      <c r="F79" s="17" t="s">
        <v>3905</v>
      </c>
      <c r="G79" t="s">
        <v>3453</v>
      </c>
      <c r="H79">
        <v>4</v>
      </c>
      <c r="I79" s="1">
        <v>15.18</v>
      </c>
      <c r="J79" s="1">
        <v>5.1499999999999995</v>
      </c>
      <c r="K79" s="1">
        <v>5.1499999999999995</v>
      </c>
      <c r="L79" t="s">
        <v>1855</v>
      </c>
      <c r="M79" t="s">
        <v>1819</v>
      </c>
      <c r="N79" s="3">
        <v>3</v>
      </c>
      <c r="O79" s="3">
        <v>1.7166669999999999</v>
      </c>
      <c r="P79" t="s">
        <v>12</v>
      </c>
    </row>
    <row r="80" spans="1:16" x14ac:dyDescent="0.25">
      <c r="A80">
        <v>1492</v>
      </c>
      <c r="B80">
        <v>1170904508</v>
      </c>
      <c r="C80">
        <v>1177333406</v>
      </c>
      <c r="D80" s="17" t="s">
        <v>6471</v>
      </c>
      <c r="E80" s="17" t="s">
        <v>4382</v>
      </c>
      <c r="F80" s="17" t="s">
        <v>3621</v>
      </c>
      <c r="G80" t="s">
        <v>3416</v>
      </c>
      <c r="H80">
        <v>4</v>
      </c>
      <c r="I80" s="1">
        <v>13.02</v>
      </c>
      <c r="J80" s="1">
        <v>3.17</v>
      </c>
      <c r="K80" s="1">
        <v>3.17</v>
      </c>
      <c r="L80" t="s">
        <v>1821</v>
      </c>
      <c r="M80" t="s">
        <v>1816</v>
      </c>
      <c r="N80" s="3">
        <v>1</v>
      </c>
      <c r="O80" s="3">
        <v>3.17</v>
      </c>
      <c r="P80" t="s">
        <v>12</v>
      </c>
    </row>
    <row r="81" spans="1:16" x14ac:dyDescent="0.25">
      <c r="A81">
        <v>1502</v>
      </c>
      <c r="B81">
        <v>1169997844</v>
      </c>
      <c r="C81">
        <v>1188500052</v>
      </c>
      <c r="D81" s="17" t="s">
        <v>6471</v>
      </c>
      <c r="E81" s="17" t="s">
        <v>4680</v>
      </c>
      <c r="F81" s="17" t="s">
        <v>4097</v>
      </c>
      <c r="G81" t="s">
        <v>3416</v>
      </c>
      <c r="H81">
        <v>2</v>
      </c>
      <c r="I81" s="1">
        <v>48.97</v>
      </c>
      <c r="J81" s="1">
        <v>53.048614659068576</v>
      </c>
      <c r="K81" s="1">
        <v>53.048614659068576</v>
      </c>
      <c r="L81" t="s">
        <v>1609</v>
      </c>
      <c r="M81" t="s">
        <v>6679</v>
      </c>
      <c r="N81" s="3">
        <v>2</v>
      </c>
      <c r="O81" s="3">
        <v>26.524307</v>
      </c>
      <c r="P81" t="s">
        <v>12</v>
      </c>
    </row>
    <row r="82" spans="1:16" x14ac:dyDescent="0.25">
      <c r="A82">
        <v>1507</v>
      </c>
      <c r="B82">
        <v>1168880691</v>
      </c>
      <c r="C82">
        <v>1163758975</v>
      </c>
      <c r="D82" s="17" t="s">
        <v>6471</v>
      </c>
      <c r="E82" s="17" t="s">
        <v>4219</v>
      </c>
      <c r="F82" s="17" t="s">
        <v>4220</v>
      </c>
      <c r="G82" t="s">
        <v>3416</v>
      </c>
      <c r="H82">
        <v>2</v>
      </c>
      <c r="I82" s="1">
        <v>77.47</v>
      </c>
      <c r="J82" s="1">
        <v>85.37</v>
      </c>
      <c r="K82" s="1">
        <v>85.37</v>
      </c>
      <c r="L82" t="s">
        <v>2173</v>
      </c>
      <c r="M82" t="s">
        <v>2150</v>
      </c>
      <c r="N82" s="3">
        <v>2</v>
      </c>
      <c r="O82" s="3">
        <v>42.685000000000002</v>
      </c>
      <c r="P82" t="s">
        <v>12</v>
      </c>
    </row>
    <row r="83" spans="1:16" x14ac:dyDescent="0.25">
      <c r="A83">
        <v>1519</v>
      </c>
      <c r="B83">
        <v>1167529843</v>
      </c>
      <c r="C83">
        <v>1248289480</v>
      </c>
      <c r="D83" s="17" t="s">
        <v>6471</v>
      </c>
      <c r="E83" s="17" t="s">
        <v>3818</v>
      </c>
      <c r="F83" s="17" t="s">
        <v>3718</v>
      </c>
      <c r="G83" t="s">
        <v>3416</v>
      </c>
      <c r="H83">
        <v>4</v>
      </c>
      <c r="I83" s="1">
        <v>0.7989652263567345</v>
      </c>
      <c r="J83" s="1">
        <v>1.8866666666666667</v>
      </c>
      <c r="K83" s="1">
        <v>1.8866666666666667</v>
      </c>
      <c r="L83" t="s">
        <v>562</v>
      </c>
      <c r="M83" t="s">
        <v>487</v>
      </c>
      <c r="N83" s="3">
        <v>4</v>
      </c>
      <c r="O83" s="3">
        <v>0.471667</v>
      </c>
      <c r="P83" t="s">
        <v>12</v>
      </c>
    </row>
    <row r="84" spans="1:16" x14ac:dyDescent="0.25">
      <c r="A84">
        <v>1527</v>
      </c>
      <c r="B84">
        <v>1166475023</v>
      </c>
      <c r="C84" t="s">
        <v>4937</v>
      </c>
      <c r="D84" s="17" t="s">
        <v>6473</v>
      </c>
      <c r="E84" s="17" t="s">
        <v>4938</v>
      </c>
      <c r="F84" s="17" t="s">
        <v>3621</v>
      </c>
      <c r="G84" t="s">
        <v>3416</v>
      </c>
      <c r="H84">
        <v>4</v>
      </c>
      <c r="I84" s="1">
        <v>19.126153846153851</v>
      </c>
      <c r="J84" s="1">
        <v>16.559999999999999</v>
      </c>
      <c r="K84" s="1">
        <v>16.559999999999999</v>
      </c>
      <c r="L84" t="s">
        <v>6662</v>
      </c>
      <c r="M84" t="s">
        <v>2067</v>
      </c>
      <c r="N84" s="3">
        <v>4</v>
      </c>
      <c r="O84" s="3">
        <v>4.1399999999999997</v>
      </c>
      <c r="P84" t="s">
        <v>12</v>
      </c>
    </row>
    <row r="85" spans="1:16" x14ac:dyDescent="0.25">
      <c r="A85">
        <v>1544</v>
      </c>
      <c r="B85">
        <v>1165702710</v>
      </c>
      <c r="C85">
        <v>1238166844</v>
      </c>
      <c r="D85" s="17" t="s">
        <v>6471</v>
      </c>
      <c r="E85" s="17" t="s">
        <v>4062</v>
      </c>
      <c r="F85" s="17" t="s">
        <v>4063</v>
      </c>
      <c r="G85" t="s">
        <v>3416</v>
      </c>
      <c r="H85">
        <v>2</v>
      </c>
      <c r="I85" s="1">
        <v>16.22</v>
      </c>
      <c r="J85" s="1">
        <v>3.1532901554404149</v>
      </c>
      <c r="K85" s="1">
        <v>3.1532901554404149</v>
      </c>
      <c r="L85" t="s">
        <v>832</v>
      </c>
      <c r="M85" t="s">
        <v>811</v>
      </c>
      <c r="N85" s="3">
        <v>1</v>
      </c>
      <c r="O85" s="3">
        <v>3.1532900000000001</v>
      </c>
      <c r="P85" t="s">
        <v>12</v>
      </c>
    </row>
    <row r="86" spans="1:16" x14ac:dyDescent="0.25">
      <c r="A86">
        <v>1587</v>
      </c>
      <c r="B86">
        <v>1163389136</v>
      </c>
      <c r="C86">
        <v>1167365531</v>
      </c>
      <c r="D86" s="17" t="s">
        <v>6471</v>
      </c>
      <c r="E86" s="17" t="s">
        <v>4914</v>
      </c>
      <c r="F86" s="17" t="s">
        <v>3455</v>
      </c>
      <c r="G86" t="s">
        <v>3416</v>
      </c>
      <c r="H86">
        <v>1</v>
      </c>
      <c r="I86" s="1">
        <v>4.72</v>
      </c>
      <c r="J86" s="1">
        <v>9.17</v>
      </c>
      <c r="K86" s="1">
        <v>9.17</v>
      </c>
      <c r="L86" t="s">
        <v>2047</v>
      </c>
      <c r="M86" t="s">
        <v>2015</v>
      </c>
      <c r="N86" s="3">
        <v>1</v>
      </c>
      <c r="O86" s="3">
        <v>9.17</v>
      </c>
      <c r="P86" t="s">
        <v>12</v>
      </c>
    </row>
    <row r="87" spans="1:16" x14ac:dyDescent="0.25">
      <c r="A87">
        <v>1593</v>
      </c>
      <c r="B87">
        <v>1163347613</v>
      </c>
      <c r="C87">
        <v>1178747825</v>
      </c>
      <c r="D87" s="17" t="s">
        <v>6471</v>
      </c>
      <c r="E87" s="17" t="s">
        <v>4785</v>
      </c>
      <c r="F87" s="17" t="s">
        <v>4142</v>
      </c>
      <c r="G87" t="s">
        <v>3416</v>
      </c>
      <c r="H87">
        <v>4</v>
      </c>
      <c r="I87" s="1">
        <v>2.62</v>
      </c>
      <c r="J87" s="1">
        <v>24.970806451612905</v>
      </c>
      <c r="K87" s="1">
        <v>24.970806451612905</v>
      </c>
      <c r="L87" t="s">
        <v>294</v>
      </c>
      <c r="M87" t="s">
        <v>1767</v>
      </c>
      <c r="N87" s="3">
        <v>4</v>
      </c>
      <c r="O87" s="3">
        <v>6.2427020000000004</v>
      </c>
      <c r="P87" t="s">
        <v>12</v>
      </c>
    </row>
    <row r="88" spans="1:16" x14ac:dyDescent="0.25">
      <c r="A88">
        <v>1601</v>
      </c>
      <c r="B88">
        <v>1162882331</v>
      </c>
      <c r="C88">
        <v>1171287033</v>
      </c>
      <c r="D88" s="17" t="s">
        <v>6471</v>
      </c>
      <c r="E88" s="17" t="s">
        <v>4591</v>
      </c>
      <c r="F88" s="17" t="s">
        <v>3621</v>
      </c>
      <c r="G88" t="s">
        <v>3416</v>
      </c>
      <c r="H88">
        <v>1</v>
      </c>
      <c r="I88" s="1">
        <v>2.1682568807339448</v>
      </c>
      <c r="J88" s="1">
        <v>5.72</v>
      </c>
      <c r="K88" s="1">
        <v>5.72</v>
      </c>
      <c r="L88" t="s">
        <v>1984</v>
      </c>
      <c r="M88" t="s">
        <v>1952</v>
      </c>
      <c r="N88" s="3">
        <v>1</v>
      </c>
      <c r="O88" s="3">
        <v>5.72</v>
      </c>
      <c r="P88" t="s">
        <v>12</v>
      </c>
    </row>
    <row r="89" spans="1:16" x14ac:dyDescent="0.25">
      <c r="A89">
        <v>1610</v>
      </c>
      <c r="B89">
        <v>1161780833</v>
      </c>
      <c r="C89">
        <v>1191509329</v>
      </c>
      <c r="D89" s="17" t="s">
        <v>6471</v>
      </c>
      <c r="E89" s="17" t="s">
        <v>4660</v>
      </c>
      <c r="F89" s="17" t="s">
        <v>3658</v>
      </c>
      <c r="G89" t="s">
        <v>3453</v>
      </c>
      <c r="H89">
        <v>2</v>
      </c>
      <c r="I89" s="1">
        <v>15.2</v>
      </c>
      <c r="J89" s="1">
        <v>13.23</v>
      </c>
      <c r="K89" s="1">
        <v>13.23</v>
      </c>
      <c r="L89" t="s">
        <v>1579</v>
      </c>
      <c r="M89" t="s">
        <v>1550</v>
      </c>
      <c r="N89" s="3">
        <v>2</v>
      </c>
      <c r="O89" s="3">
        <v>6.6150000000000002</v>
      </c>
      <c r="P89" t="s">
        <v>12</v>
      </c>
    </row>
    <row r="90" spans="1:16" x14ac:dyDescent="0.25">
      <c r="A90">
        <v>1611</v>
      </c>
      <c r="B90">
        <v>1161770456</v>
      </c>
      <c r="C90">
        <v>1179893768</v>
      </c>
      <c r="D90" s="17" t="s">
        <v>6471</v>
      </c>
      <c r="E90" s="17" t="s">
        <v>4778</v>
      </c>
      <c r="F90" s="17" t="s">
        <v>3455</v>
      </c>
      <c r="G90" t="s">
        <v>3416</v>
      </c>
      <c r="H90">
        <v>4</v>
      </c>
      <c r="I90" s="1">
        <v>79.27</v>
      </c>
      <c r="J90" s="1">
        <v>89.27</v>
      </c>
      <c r="K90" s="1">
        <v>89.27</v>
      </c>
      <c r="L90" t="s">
        <v>1761</v>
      </c>
      <c r="M90" t="s">
        <v>6680</v>
      </c>
      <c r="N90" s="3">
        <v>4</v>
      </c>
      <c r="O90" s="3">
        <v>22.317499999999999</v>
      </c>
      <c r="P90" t="s">
        <v>12</v>
      </c>
    </row>
    <row r="91" spans="1:16" x14ac:dyDescent="0.25">
      <c r="A91">
        <v>1616</v>
      </c>
      <c r="B91">
        <v>1161596697</v>
      </c>
      <c r="C91">
        <v>1254403240</v>
      </c>
      <c r="D91" s="17" t="s">
        <v>6471</v>
      </c>
      <c r="E91" s="17" t="s">
        <v>3722</v>
      </c>
      <c r="F91" s="17" t="s">
        <v>3723</v>
      </c>
      <c r="G91" t="s">
        <v>3530</v>
      </c>
      <c r="H91">
        <v>1</v>
      </c>
      <c r="I91" s="1">
        <v>0.33964285714285708</v>
      </c>
      <c r="J91" s="1">
        <v>1.0777777777777779</v>
      </c>
      <c r="K91" s="1">
        <v>1.0777777777777779</v>
      </c>
      <c r="L91" t="s">
        <v>437</v>
      </c>
      <c r="M91" t="s">
        <v>367</v>
      </c>
      <c r="N91" s="3">
        <v>1</v>
      </c>
      <c r="O91" s="3">
        <v>1.0777779999999999</v>
      </c>
      <c r="P91" t="s">
        <v>12</v>
      </c>
    </row>
    <row r="92" spans="1:16" x14ac:dyDescent="0.25">
      <c r="A92">
        <v>1626</v>
      </c>
      <c r="B92">
        <v>1161346361</v>
      </c>
      <c r="C92">
        <v>1165660431</v>
      </c>
      <c r="D92" s="17" t="s">
        <v>6471</v>
      </c>
      <c r="E92" s="17" t="s">
        <v>4944</v>
      </c>
      <c r="F92" s="17" t="s">
        <v>3621</v>
      </c>
      <c r="G92" t="s">
        <v>3416</v>
      </c>
      <c r="H92">
        <v>2</v>
      </c>
      <c r="I92" s="1">
        <v>41.47</v>
      </c>
      <c r="J92" s="1">
        <v>47.42</v>
      </c>
      <c r="K92" s="1">
        <v>47.42</v>
      </c>
      <c r="L92" t="s">
        <v>2112</v>
      </c>
      <c r="M92" t="s">
        <v>2076</v>
      </c>
      <c r="N92" s="3">
        <v>1</v>
      </c>
      <c r="O92" s="3">
        <v>47.42</v>
      </c>
      <c r="P92" t="s">
        <v>12</v>
      </c>
    </row>
    <row r="93" spans="1:16" x14ac:dyDescent="0.25">
      <c r="A93">
        <v>1627</v>
      </c>
      <c r="B93">
        <v>1161289000</v>
      </c>
      <c r="C93">
        <v>1164742270</v>
      </c>
      <c r="D93" s="17" t="s">
        <v>6471</v>
      </c>
      <c r="E93" s="17" t="s">
        <v>4944</v>
      </c>
      <c r="F93" s="17" t="s">
        <v>3621</v>
      </c>
      <c r="G93" t="s">
        <v>3416</v>
      </c>
      <c r="H93">
        <v>2</v>
      </c>
      <c r="I93" s="1">
        <v>37.299999999999997</v>
      </c>
      <c r="J93" s="1">
        <v>155.32000000000002</v>
      </c>
      <c r="K93" s="1">
        <v>155.32000000000002</v>
      </c>
      <c r="L93" t="s">
        <v>2129</v>
      </c>
      <c r="M93" t="s">
        <v>2082</v>
      </c>
      <c r="N93" s="3">
        <v>3</v>
      </c>
      <c r="O93" s="3">
        <v>51.773333000000001</v>
      </c>
      <c r="P93" t="s">
        <v>12</v>
      </c>
    </row>
    <row r="94" spans="1:16" x14ac:dyDescent="0.25">
      <c r="A94">
        <v>1635</v>
      </c>
      <c r="B94">
        <v>1161221042</v>
      </c>
      <c r="C94">
        <v>1195175019</v>
      </c>
      <c r="D94" s="17" t="s">
        <v>6471</v>
      </c>
      <c r="E94" s="17" t="s">
        <v>4616</v>
      </c>
      <c r="F94" s="17" t="s">
        <v>3674</v>
      </c>
      <c r="G94" t="s">
        <v>4617</v>
      </c>
      <c r="H94">
        <v>1</v>
      </c>
      <c r="I94" s="1">
        <v>12.21</v>
      </c>
      <c r="J94" s="1">
        <v>15.28</v>
      </c>
      <c r="K94" s="1">
        <v>15.28</v>
      </c>
      <c r="L94" t="s">
        <v>1474</v>
      </c>
      <c r="M94" t="s">
        <v>6661</v>
      </c>
      <c r="N94" s="3">
        <v>1</v>
      </c>
      <c r="O94" s="3">
        <v>15.28</v>
      </c>
      <c r="P94" t="s">
        <v>12</v>
      </c>
    </row>
    <row r="95" spans="1:16" x14ac:dyDescent="0.25">
      <c r="A95">
        <v>1636</v>
      </c>
      <c r="B95">
        <v>1161161813</v>
      </c>
      <c r="C95">
        <v>1164617239</v>
      </c>
      <c r="D95" s="17" t="s">
        <v>6471</v>
      </c>
      <c r="E95" s="17" t="s">
        <v>4957</v>
      </c>
      <c r="F95" s="17" t="s">
        <v>3621</v>
      </c>
      <c r="G95" t="s">
        <v>3416</v>
      </c>
      <c r="H95">
        <v>4</v>
      </c>
      <c r="I95" s="1">
        <v>167.6</v>
      </c>
      <c r="J95" s="1">
        <v>21.873792825473597</v>
      </c>
      <c r="K95" s="1">
        <v>21.873792825473597</v>
      </c>
      <c r="L95" t="s">
        <v>2135</v>
      </c>
      <c r="M95" t="s">
        <v>6681</v>
      </c>
      <c r="N95" s="3">
        <v>1</v>
      </c>
      <c r="O95" s="3">
        <v>21.873792999999999</v>
      </c>
      <c r="P95" t="s">
        <v>12</v>
      </c>
    </row>
    <row r="96" spans="1:16" x14ac:dyDescent="0.25">
      <c r="A96">
        <v>1637</v>
      </c>
      <c r="B96">
        <v>1161161813</v>
      </c>
      <c r="C96">
        <v>1178792325</v>
      </c>
      <c r="D96" s="17" t="s">
        <v>6471</v>
      </c>
      <c r="E96" s="17" t="s">
        <v>4787</v>
      </c>
      <c r="F96" s="17" t="s">
        <v>3621</v>
      </c>
      <c r="G96" t="s">
        <v>3416</v>
      </c>
      <c r="H96">
        <v>4</v>
      </c>
      <c r="I96" s="1">
        <v>20</v>
      </c>
      <c r="J96" s="1">
        <v>69.27</v>
      </c>
      <c r="K96" s="1">
        <v>69.27</v>
      </c>
      <c r="L96" t="s">
        <v>1782</v>
      </c>
      <c r="M96" t="s">
        <v>1778</v>
      </c>
      <c r="N96" s="3">
        <v>4</v>
      </c>
      <c r="O96" s="3">
        <v>17.317499999999999</v>
      </c>
      <c r="P96" t="s">
        <v>12</v>
      </c>
    </row>
    <row r="97" spans="1:16" x14ac:dyDescent="0.25">
      <c r="A97">
        <v>1640</v>
      </c>
      <c r="B97">
        <v>1160991440</v>
      </c>
      <c r="C97">
        <v>1237409267</v>
      </c>
      <c r="D97" s="17" t="s">
        <v>6471</v>
      </c>
      <c r="E97" s="17" t="s">
        <v>3965</v>
      </c>
      <c r="F97" s="17" t="s">
        <v>3621</v>
      </c>
      <c r="G97" t="s">
        <v>3416</v>
      </c>
      <c r="H97">
        <v>4</v>
      </c>
      <c r="I97" s="1">
        <v>68.541532756489502</v>
      </c>
      <c r="J97" s="1">
        <v>25.130000000000003</v>
      </c>
      <c r="K97" s="1">
        <v>25.130000000000003</v>
      </c>
      <c r="L97" t="s">
        <v>854</v>
      </c>
      <c r="M97" t="s">
        <v>707</v>
      </c>
      <c r="N97" s="3">
        <v>4</v>
      </c>
      <c r="O97" s="3">
        <v>6.2824999999999998</v>
      </c>
      <c r="P97" t="s">
        <v>12</v>
      </c>
    </row>
    <row r="98" spans="1:16" x14ac:dyDescent="0.25">
      <c r="A98">
        <v>1645</v>
      </c>
      <c r="B98">
        <v>1160988456</v>
      </c>
      <c r="C98">
        <v>1164617239</v>
      </c>
      <c r="D98" s="17" t="s">
        <v>6471</v>
      </c>
      <c r="E98" s="17" t="s">
        <v>4944</v>
      </c>
      <c r="F98" s="17" t="s">
        <v>3621</v>
      </c>
      <c r="G98" t="s">
        <v>3416</v>
      </c>
      <c r="H98">
        <v>2</v>
      </c>
      <c r="I98" s="1">
        <v>25.22</v>
      </c>
      <c r="J98" s="1">
        <v>104.30510278113664</v>
      </c>
      <c r="K98" s="1">
        <v>104.30510278113664</v>
      </c>
      <c r="L98" t="s">
        <v>2135</v>
      </c>
      <c r="M98" t="s">
        <v>6681</v>
      </c>
      <c r="N98" s="3">
        <v>2</v>
      </c>
      <c r="O98" s="3">
        <v>52.152551000000003</v>
      </c>
      <c r="P98" t="s">
        <v>12</v>
      </c>
    </row>
    <row r="99" spans="1:16" x14ac:dyDescent="0.25">
      <c r="A99">
        <v>1646</v>
      </c>
      <c r="B99">
        <v>1160987946</v>
      </c>
      <c r="C99">
        <v>1187963406</v>
      </c>
      <c r="D99" s="17" t="s">
        <v>6471</v>
      </c>
      <c r="E99" s="17" t="s">
        <v>4609</v>
      </c>
      <c r="F99" s="17" t="s">
        <v>3621</v>
      </c>
      <c r="G99" t="s">
        <v>3416</v>
      </c>
      <c r="H99">
        <v>4</v>
      </c>
      <c r="I99" s="1">
        <v>20.87814471243043</v>
      </c>
      <c r="J99" s="1">
        <v>16.82</v>
      </c>
      <c r="K99" s="1">
        <v>16.82</v>
      </c>
      <c r="L99" t="s">
        <v>1635</v>
      </c>
      <c r="M99" t="s">
        <v>6682</v>
      </c>
      <c r="N99" s="3">
        <v>4</v>
      </c>
      <c r="O99" s="3">
        <v>4.2050000000000001</v>
      </c>
      <c r="P99" t="s">
        <v>12</v>
      </c>
    </row>
    <row r="100" spans="1:16" x14ac:dyDescent="0.25">
      <c r="A100">
        <v>1658</v>
      </c>
      <c r="B100">
        <v>1160761957</v>
      </c>
      <c r="C100">
        <v>1263537193</v>
      </c>
      <c r="D100" s="17" t="s">
        <v>6471</v>
      </c>
      <c r="E100" s="17" t="s">
        <v>3641</v>
      </c>
      <c r="F100" s="17" t="s">
        <v>3621</v>
      </c>
      <c r="G100" t="s">
        <v>3416</v>
      </c>
      <c r="H100">
        <v>4</v>
      </c>
      <c r="I100" s="1">
        <v>23.22</v>
      </c>
      <c r="J100" s="1">
        <v>1.95</v>
      </c>
      <c r="K100" s="1">
        <v>1.95</v>
      </c>
      <c r="L100" t="s">
        <v>333</v>
      </c>
      <c r="M100" t="s">
        <v>310</v>
      </c>
      <c r="N100" s="3">
        <v>1</v>
      </c>
      <c r="O100" s="3">
        <v>1.95</v>
      </c>
      <c r="P100" t="s">
        <v>12</v>
      </c>
    </row>
    <row r="101" spans="1:16" x14ac:dyDescent="0.25">
      <c r="A101">
        <v>1662</v>
      </c>
      <c r="B101">
        <v>1160737769</v>
      </c>
      <c r="C101">
        <v>1239994419</v>
      </c>
      <c r="D101" s="17" t="s">
        <v>6471</v>
      </c>
      <c r="E101" s="17" t="s">
        <v>4025</v>
      </c>
      <c r="F101" s="17" t="s">
        <v>3658</v>
      </c>
      <c r="G101" t="s">
        <v>3416</v>
      </c>
      <c r="H101">
        <v>4</v>
      </c>
      <c r="I101" s="1">
        <v>6.58</v>
      </c>
      <c r="J101" s="1">
        <v>6.33</v>
      </c>
      <c r="K101" s="1">
        <v>6.33</v>
      </c>
      <c r="L101" t="s">
        <v>805</v>
      </c>
      <c r="M101" t="s">
        <v>756</v>
      </c>
      <c r="N101" s="3">
        <v>4</v>
      </c>
      <c r="O101" s="3">
        <v>1.5825</v>
      </c>
      <c r="P101" t="s">
        <v>12</v>
      </c>
    </row>
    <row r="102" spans="1:16" ht="30" x14ac:dyDescent="0.25">
      <c r="A102">
        <v>1670</v>
      </c>
      <c r="B102">
        <v>1160526134</v>
      </c>
      <c r="C102">
        <v>1181893231</v>
      </c>
      <c r="D102" s="17" t="s">
        <v>6471</v>
      </c>
      <c r="E102" s="17" t="s">
        <v>4754</v>
      </c>
      <c r="F102" s="17" t="s">
        <v>3710</v>
      </c>
      <c r="G102" t="s">
        <v>3416</v>
      </c>
      <c r="H102">
        <v>1</v>
      </c>
      <c r="I102" s="1">
        <v>30.97</v>
      </c>
      <c r="J102" s="1">
        <v>127.0696591853699</v>
      </c>
      <c r="K102" s="1">
        <v>127.0696591853699</v>
      </c>
      <c r="L102" t="s">
        <v>1742</v>
      </c>
      <c r="M102" t="s">
        <v>1711</v>
      </c>
      <c r="N102" s="3">
        <v>4</v>
      </c>
      <c r="O102" s="3">
        <v>31.767415</v>
      </c>
      <c r="P102" t="s">
        <v>12</v>
      </c>
    </row>
    <row r="103" spans="1:16" x14ac:dyDescent="0.25">
      <c r="A103">
        <v>1673</v>
      </c>
      <c r="B103">
        <v>1160401710</v>
      </c>
      <c r="C103">
        <v>1178657400</v>
      </c>
      <c r="D103" s="17" t="s">
        <v>6471</v>
      </c>
      <c r="E103" s="17" t="s">
        <v>4779</v>
      </c>
      <c r="F103" s="17" t="s">
        <v>3621</v>
      </c>
      <c r="G103" t="s">
        <v>3416</v>
      </c>
      <c r="H103">
        <v>8</v>
      </c>
      <c r="I103" s="1">
        <v>206.4</v>
      </c>
      <c r="J103" s="1">
        <v>39.1</v>
      </c>
      <c r="K103" s="1">
        <v>39.1</v>
      </c>
      <c r="L103" t="s">
        <v>1787</v>
      </c>
      <c r="M103" t="s">
        <v>1751</v>
      </c>
      <c r="N103" s="3">
        <v>4</v>
      </c>
      <c r="O103" s="3">
        <v>9.7750000000000004</v>
      </c>
      <c r="P103" t="s">
        <v>12</v>
      </c>
    </row>
    <row r="104" spans="1:16" x14ac:dyDescent="0.25">
      <c r="A104">
        <v>1676</v>
      </c>
      <c r="B104">
        <v>1160350314</v>
      </c>
      <c r="C104">
        <v>1163688955</v>
      </c>
      <c r="D104" s="17" t="s">
        <v>6471</v>
      </c>
      <c r="E104" s="17" t="s">
        <v>4976</v>
      </c>
      <c r="F104" s="17" t="s">
        <v>3560</v>
      </c>
      <c r="G104" t="s">
        <v>3530</v>
      </c>
      <c r="H104">
        <v>1</v>
      </c>
      <c r="I104" s="1">
        <v>24.22</v>
      </c>
      <c r="J104" s="1">
        <v>55.42</v>
      </c>
      <c r="K104" s="1">
        <v>55.42</v>
      </c>
      <c r="L104" t="s">
        <v>318</v>
      </c>
      <c r="M104" t="s">
        <v>2159</v>
      </c>
      <c r="N104" s="3">
        <v>1</v>
      </c>
      <c r="O104" s="3">
        <v>55.42</v>
      </c>
      <c r="P104" t="s">
        <v>12</v>
      </c>
    </row>
    <row r="105" spans="1:16" x14ac:dyDescent="0.25">
      <c r="A105">
        <v>1677</v>
      </c>
      <c r="B105">
        <v>1160347346</v>
      </c>
      <c r="C105">
        <v>1240558130</v>
      </c>
      <c r="D105" s="17" t="s">
        <v>6471</v>
      </c>
      <c r="E105" s="17" t="s">
        <v>4015</v>
      </c>
      <c r="F105" s="17" t="s">
        <v>3621</v>
      </c>
      <c r="G105" t="s">
        <v>3416</v>
      </c>
      <c r="H105">
        <v>1</v>
      </c>
      <c r="I105" s="1">
        <v>18.95</v>
      </c>
      <c r="J105" s="1">
        <v>19.28</v>
      </c>
      <c r="K105" s="1">
        <v>19.28</v>
      </c>
      <c r="L105" t="s">
        <v>772</v>
      </c>
      <c r="M105" t="s">
        <v>740</v>
      </c>
      <c r="N105" s="3">
        <v>1</v>
      </c>
      <c r="O105" s="3">
        <v>19.28</v>
      </c>
      <c r="P105" t="s">
        <v>12</v>
      </c>
    </row>
    <row r="106" spans="1:16" x14ac:dyDescent="0.25">
      <c r="A106">
        <v>1683</v>
      </c>
      <c r="B106">
        <v>1160216115</v>
      </c>
      <c r="C106">
        <v>1247375996</v>
      </c>
      <c r="D106" s="17" t="s">
        <v>6471</v>
      </c>
      <c r="E106" s="17" t="s">
        <v>3863</v>
      </c>
      <c r="F106" s="17" t="s">
        <v>3621</v>
      </c>
      <c r="G106" t="s">
        <v>3416</v>
      </c>
      <c r="H106">
        <v>4</v>
      </c>
      <c r="I106" s="1">
        <v>3.80633484162896</v>
      </c>
      <c r="J106" s="1">
        <v>3.33</v>
      </c>
      <c r="K106" s="1">
        <v>3.33</v>
      </c>
      <c r="L106" t="s">
        <v>588</v>
      </c>
      <c r="M106" t="s">
        <v>6683</v>
      </c>
      <c r="N106" s="3">
        <v>4</v>
      </c>
      <c r="O106" s="3">
        <v>0.83250000000000002</v>
      </c>
      <c r="P106" t="s">
        <v>12</v>
      </c>
    </row>
    <row r="107" spans="1:16" x14ac:dyDescent="0.25">
      <c r="A107">
        <v>1685</v>
      </c>
      <c r="B107">
        <v>1160216115</v>
      </c>
      <c r="C107">
        <v>1191858521</v>
      </c>
      <c r="D107" s="17" t="s">
        <v>6471</v>
      </c>
      <c r="E107" s="17" t="s">
        <v>4613</v>
      </c>
      <c r="F107" s="17" t="s">
        <v>3621</v>
      </c>
      <c r="G107" t="s">
        <v>3416</v>
      </c>
      <c r="H107">
        <v>4</v>
      </c>
      <c r="I107" s="1">
        <v>16.705580693815989</v>
      </c>
      <c r="J107" s="1">
        <v>4.0964222873900296</v>
      </c>
      <c r="K107" s="1">
        <v>4.0964222873900296</v>
      </c>
      <c r="L107" t="s">
        <v>1557</v>
      </c>
      <c r="M107" t="s">
        <v>6678</v>
      </c>
      <c r="N107" s="3">
        <v>4</v>
      </c>
      <c r="O107" s="3">
        <v>1.024106</v>
      </c>
      <c r="P107" t="s">
        <v>12</v>
      </c>
    </row>
    <row r="108" spans="1:16" x14ac:dyDescent="0.25">
      <c r="A108">
        <v>1698</v>
      </c>
      <c r="B108">
        <v>1159094593</v>
      </c>
      <c r="C108">
        <v>1241881703</v>
      </c>
      <c r="D108" s="17" t="s">
        <v>6471</v>
      </c>
      <c r="E108" s="17" t="s">
        <v>3977</v>
      </c>
      <c r="F108" s="17" t="s">
        <v>3621</v>
      </c>
      <c r="G108" t="s">
        <v>3416</v>
      </c>
      <c r="H108">
        <v>6</v>
      </c>
      <c r="I108" s="1">
        <v>20.420000000000002</v>
      </c>
      <c r="J108" s="1">
        <v>7.23</v>
      </c>
      <c r="K108" s="1">
        <v>7.23</v>
      </c>
      <c r="L108" t="s">
        <v>736</v>
      </c>
      <c r="M108" t="s">
        <v>6674</v>
      </c>
      <c r="N108" s="3">
        <v>2</v>
      </c>
      <c r="O108" s="3">
        <v>3.6150000000000002</v>
      </c>
      <c r="P108" t="s">
        <v>12</v>
      </c>
    </row>
    <row r="109" spans="1:16" x14ac:dyDescent="0.25">
      <c r="A109">
        <v>1703</v>
      </c>
      <c r="B109">
        <v>1157957477</v>
      </c>
      <c r="C109">
        <v>1231603567</v>
      </c>
      <c r="D109" s="17" t="s">
        <v>6471</v>
      </c>
      <c r="E109" s="17" t="s">
        <v>4138</v>
      </c>
      <c r="F109" s="17" t="s">
        <v>3945</v>
      </c>
      <c r="G109" t="s">
        <v>3530</v>
      </c>
      <c r="H109">
        <v>1</v>
      </c>
      <c r="I109" s="1">
        <v>64.47</v>
      </c>
      <c r="J109" s="1">
        <v>60.88</v>
      </c>
      <c r="K109" s="1">
        <v>60.88</v>
      </c>
      <c r="L109" t="s">
        <v>946</v>
      </c>
      <c r="M109" t="s">
        <v>944</v>
      </c>
      <c r="N109" s="3">
        <v>1</v>
      </c>
      <c r="O109" s="3">
        <v>60.88</v>
      </c>
      <c r="P109" t="s">
        <v>12</v>
      </c>
    </row>
    <row r="110" spans="1:16" x14ac:dyDescent="0.25">
      <c r="A110">
        <v>1717</v>
      </c>
      <c r="B110">
        <v>1157623372</v>
      </c>
      <c r="C110">
        <v>1238166844</v>
      </c>
      <c r="D110" s="17" t="s">
        <v>6471</v>
      </c>
      <c r="E110" s="17" t="s">
        <v>4064</v>
      </c>
      <c r="F110" s="17" t="s">
        <v>3886</v>
      </c>
      <c r="G110" t="s">
        <v>3453</v>
      </c>
      <c r="H110">
        <v>2</v>
      </c>
      <c r="I110" s="1">
        <v>8.1386666666666656</v>
      </c>
      <c r="J110" s="1">
        <v>6.3065803108808298</v>
      </c>
      <c r="K110" s="1">
        <v>6.3065803108808298</v>
      </c>
      <c r="L110" t="s">
        <v>832</v>
      </c>
      <c r="M110" t="s">
        <v>811</v>
      </c>
      <c r="N110" s="3">
        <v>2</v>
      </c>
      <c r="O110" s="3">
        <v>3.1532900000000001</v>
      </c>
      <c r="P110" t="s">
        <v>12</v>
      </c>
    </row>
    <row r="111" spans="1:16" ht="30" x14ac:dyDescent="0.25">
      <c r="A111">
        <v>1718</v>
      </c>
      <c r="B111">
        <v>1157618950</v>
      </c>
      <c r="C111">
        <v>1161471470</v>
      </c>
      <c r="D111" s="17" t="s">
        <v>6472</v>
      </c>
      <c r="E111" s="17" t="s">
        <v>3986</v>
      </c>
      <c r="F111" s="17" t="s">
        <v>3805</v>
      </c>
      <c r="G111" t="s">
        <v>3453</v>
      </c>
      <c r="H111">
        <v>2</v>
      </c>
      <c r="I111" s="1">
        <v>8.2000000000000011</v>
      </c>
      <c r="J111" s="1">
        <v>2.402891156462585</v>
      </c>
      <c r="K111" s="1">
        <v>2.402891156462585</v>
      </c>
      <c r="L111" t="s">
        <v>2245</v>
      </c>
      <c r="M111" t="s">
        <v>2224</v>
      </c>
      <c r="N111" s="3">
        <v>1</v>
      </c>
      <c r="O111" s="3">
        <v>2.4028909999999999</v>
      </c>
      <c r="P111" t="s">
        <v>12</v>
      </c>
    </row>
    <row r="112" spans="1:16" x14ac:dyDescent="0.25">
      <c r="A112">
        <v>1720</v>
      </c>
      <c r="B112">
        <v>1157563794</v>
      </c>
      <c r="C112">
        <v>1216632811</v>
      </c>
      <c r="D112" s="17" t="s">
        <v>6471</v>
      </c>
      <c r="E112" s="17" t="s">
        <v>4266</v>
      </c>
      <c r="F112" s="17" t="s">
        <v>3882</v>
      </c>
      <c r="G112" t="s">
        <v>3453</v>
      </c>
      <c r="H112">
        <v>2</v>
      </c>
      <c r="I112" s="1">
        <v>1.6830000000000001</v>
      </c>
      <c r="J112" s="1">
        <v>0.57267156862745094</v>
      </c>
      <c r="K112" s="1">
        <v>0.57267156862745094</v>
      </c>
      <c r="L112" t="s">
        <v>1121</v>
      </c>
      <c r="M112" t="s">
        <v>1107</v>
      </c>
      <c r="N112" s="3">
        <v>2</v>
      </c>
      <c r="O112" s="3">
        <v>0.28633599999999998</v>
      </c>
      <c r="P112" t="s">
        <v>12</v>
      </c>
    </row>
    <row r="113" spans="1:16" x14ac:dyDescent="0.25">
      <c r="A113">
        <v>1723</v>
      </c>
      <c r="B113">
        <v>1157532571</v>
      </c>
      <c r="C113">
        <v>1242651146</v>
      </c>
      <c r="D113" s="17" t="s">
        <v>6471</v>
      </c>
      <c r="E113" s="17" t="s">
        <v>3946</v>
      </c>
      <c r="F113" s="17" t="s">
        <v>3947</v>
      </c>
      <c r="G113" t="s">
        <v>3453</v>
      </c>
      <c r="H113">
        <v>1</v>
      </c>
      <c r="I113" s="1">
        <v>3.977094972067039</v>
      </c>
      <c r="J113" s="1">
        <v>6.28</v>
      </c>
      <c r="K113" s="1">
        <v>6.28</v>
      </c>
      <c r="L113" t="s">
        <v>710</v>
      </c>
      <c r="M113" t="s">
        <v>6684</v>
      </c>
      <c r="N113" s="3">
        <v>1</v>
      </c>
      <c r="O113" s="3">
        <v>6.28</v>
      </c>
      <c r="P113" t="s">
        <v>12</v>
      </c>
    </row>
    <row r="114" spans="1:16" x14ac:dyDescent="0.25">
      <c r="A114">
        <v>1741</v>
      </c>
      <c r="B114">
        <v>1156805109</v>
      </c>
      <c r="C114" t="s">
        <v>5103</v>
      </c>
      <c r="D114" s="17" t="s">
        <v>6473</v>
      </c>
      <c r="E114" s="17" t="s">
        <v>5104</v>
      </c>
      <c r="F114" s="17" t="s">
        <v>3967</v>
      </c>
      <c r="G114" t="s">
        <v>3416</v>
      </c>
      <c r="H114">
        <v>3</v>
      </c>
      <c r="I114" s="1">
        <v>5.2839639639639637</v>
      </c>
      <c r="J114" s="1">
        <v>7.3484837545126354</v>
      </c>
      <c r="K114" s="1">
        <v>7.3484837545126354</v>
      </c>
      <c r="L114" t="s">
        <v>6662</v>
      </c>
      <c r="M114" t="s">
        <v>2398</v>
      </c>
      <c r="N114" s="3">
        <v>3</v>
      </c>
      <c r="O114" s="3">
        <v>2.4494950000000002</v>
      </c>
      <c r="P114" t="s">
        <v>12</v>
      </c>
    </row>
    <row r="115" spans="1:16" x14ac:dyDescent="0.25">
      <c r="A115">
        <v>1765</v>
      </c>
      <c r="B115">
        <v>1155735787</v>
      </c>
      <c r="C115">
        <v>1161471470</v>
      </c>
      <c r="D115" s="17" t="s">
        <v>6471</v>
      </c>
      <c r="E115" s="17" t="s">
        <v>3986</v>
      </c>
      <c r="F115" s="17" t="s">
        <v>3805</v>
      </c>
      <c r="G115" t="s">
        <v>3416</v>
      </c>
      <c r="H115">
        <v>1</v>
      </c>
      <c r="I115" s="1">
        <v>2.6877883850437549</v>
      </c>
      <c r="J115" s="1">
        <v>2.402891156462585</v>
      </c>
      <c r="K115" s="1">
        <v>2.402891156462585</v>
      </c>
      <c r="L115" t="s">
        <v>2245</v>
      </c>
      <c r="M115" t="s">
        <v>2224</v>
      </c>
      <c r="N115" s="3">
        <v>1</v>
      </c>
      <c r="O115" s="3">
        <v>2.4028909999999999</v>
      </c>
      <c r="P115" t="s">
        <v>12</v>
      </c>
    </row>
    <row r="116" spans="1:16" x14ac:dyDescent="0.25">
      <c r="A116">
        <v>1769</v>
      </c>
      <c r="B116">
        <v>1155733905</v>
      </c>
      <c r="C116">
        <v>1161381058</v>
      </c>
      <c r="D116" s="17" t="s">
        <v>6471</v>
      </c>
      <c r="E116" s="17" t="s">
        <v>5004</v>
      </c>
      <c r="F116" s="17" t="s">
        <v>3797</v>
      </c>
      <c r="G116" t="s">
        <v>3530</v>
      </c>
      <c r="H116">
        <v>2</v>
      </c>
      <c r="I116" s="1">
        <v>2.2218181818181821</v>
      </c>
      <c r="J116" s="1">
        <v>3.12</v>
      </c>
      <c r="K116" s="1">
        <v>3.12</v>
      </c>
      <c r="L116" t="s">
        <v>2251</v>
      </c>
      <c r="M116" t="s">
        <v>2224</v>
      </c>
      <c r="N116" s="3">
        <v>2</v>
      </c>
      <c r="O116" s="3">
        <v>1.56</v>
      </c>
      <c r="P116" t="s">
        <v>12</v>
      </c>
    </row>
    <row r="117" spans="1:16" x14ac:dyDescent="0.25">
      <c r="A117">
        <v>1798</v>
      </c>
      <c r="B117">
        <v>1154966443</v>
      </c>
      <c r="C117">
        <v>1245445493</v>
      </c>
      <c r="D117" s="17" t="s">
        <v>6471</v>
      </c>
      <c r="E117" s="17" t="s">
        <v>3914</v>
      </c>
      <c r="F117" s="17" t="s">
        <v>3867</v>
      </c>
      <c r="G117" t="s">
        <v>3416</v>
      </c>
      <c r="H117">
        <v>2</v>
      </c>
      <c r="I117" s="1">
        <v>1</v>
      </c>
      <c r="J117" s="1">
        <v>0.3625919117647059</v>
      </c>
      <c r="K117" s="1">
        <v>0.3625919117647059</v>
      </c>
      <c r="L117" t="s">
        <v>631</v>
      </c>
      <c r="M117" t="s">
        <v>606</v>
      </c>
      <c r="N117" s="3">
        <v>1</v>
      </c>
      <c r="O117" s="3">
        <v>0.36259200000000003</v>
      </c>
      <c r="P117" t="s">
        <v>12</v>
      </c>
    </row>
    <row r="118" spans="1:16" x14ac:dyDescent="0.25">
      <c r="A118">
        <v>1816</v>
      </c>
      <c r="B118">
        <v>1153278715</v>
      </c>
      <c r="C118">
        <v>1232760932</v>
      </c>
      <c r="D118" s="17" t="s">
        <v>6471</v>
      </c>
      <c r="E118" s="17" t="s">
        <v>4099</v>
      </c>
      <c r="F118" s="17" t="s">
        <v>3757</v>
      </c>
      <c r="G118" t="s">
        <v>3530</v>
      </c>
      <c r="H118">
        <v>3</v>
      </c>
      <c r="I118" s="1">
        <v>52.039384615384613</v>
      </c>
      <c r="J118" s="1">
        <v>23.28</v>
      </c>
      <c r="K118" s="1">
        <v>23.28</v>
      </c>
      <c r="L118" t="s">
        <v>943</v>
      </c>
      <c r="M118" t="s">
        <v>6685</v>
      </c>
      <c r="N118" s="3">
        <v>1</v>
      </c>
      <c r="O118" s="3">
        <v>23.28</v>
      </c>
      <c r="P118" t="s">
        <v>12</v>
      </c>
    </row>
    <row r="119" spans="1:16" x14ac:dyDescent="0.25">
      <c r="A119">
        <v>1828</v>
      </c>
      <c r="B119">
        <v>1152048190</v>
      </c>
      <c r="C119">
        <v>1238163768</v>
      </c>
      <c r="D119" s="17" t="s">
        <v>6471</v>
      </c>
      <c r="E119" s="17" t="s">
        <v>4069</v>
      </c>
      <c r="F119" s="17" t="s">
        <v>3710</v>
      </c>
      <c r="G119" t="s">
        <v>3530</v>
      </c>
      <c r="H119">
        <v>4</v>
      </c>
      <c r="I119" s="1">
        <v>7.76</v>
      </c>
      <c r="J119" s="1">
        <v>9.129999999999999</v>
      </c>
      <c r="K119" s="1">
        <v>9.129999999999999</v>
      </c>
      <c r="L119" t="s">
        <v>835</v>
      </c>
      <c r="M119" t="s">
        <v>820</v>
      </c>
      <c r="N119" s="3">
        <v>4</v>
      </c>
      <c r="O119" s="3">
        <v>2.2825000000000002</v>
      </c>
      <c r="P119" t="s">
        <v>12</v>
      </c>
    </row>
    <row r="120" spans="1:16" x14ac:dyDescent="0.25">
      <c r="A120">
        <v>1832</v>
      </c>
      <c r="B120">
        <v>1151713514</v>
      </c>
      <c r="C120">
        <v>1247478896</v>
      </c>
      <c r="D120" s="17" t="s">
        <v>6471</v>
      </c>
      <c r="E120" s="17" t="s">
        <v>3845</v>
      </c>
      <c r="F120" s="17" t="s">
        <v>3846</v>
      </c>
      <c r="G120" t="s">
        <v>3416</v>
      </c>
      <c r="H120">
        <v>1</v>
      </c>
      <c r="I120" s="1">
        <v>7.22</v>
      </c>
      <c r="J120" s="1">
        <v>5.28</v>
      </c>
      <c r="K120" s="1">
        <v>5.28</v>
      </c>
      <c r="L120" t="s">
        <v>579</v>
      </c>
      <c r="M120" t="s">
        <v>492</v>
      </c>
      <c r="N120" s="3">
        <v>1</v>
      </c>
      <c r="O120" s="3">
        <v>5.28</v>
      </c>
      <c r="P120" t="s">
        <v>12</v>
      </c>
    </row>
    <row r="121" spans="1:16" x14ac:dyDescent="0.25">
      <c r="A121">
        <v>1853</v>
      </c>
      <c r="B121">
        <v>1150722256</v>
      </c>
      <c r="C121">
        <v>1162835755</v>
      </c>
      <c r="D121" s="17" t="s">
        <v>6471</v>
      </c>
      <c r="E121" s="17" t="s">
        <v>4954</v>
      </c>
      <c r="F121" s="17" t="s">
        <v>3676</v>
      </c>
      <c r="G121" t="s">
        <v>3530</v>
      </c>
      <c r="H121">
        <v>2</v>
      </c>
      <c r="I121" s="1">
        <v>42.978177521008398</v>
      </c>
      <c r="J121" s="1">
        <v>65.27</v>
      </c>
      <c r="K121" s="1">
        <v>65.27</v>
      </c>
      <c r="L121" t="s">
        <v>2215</v>
      </c>
      <c r="M121" t="s">
        <v>2090</v>
      </c>
      <c r="N121" s="3">
        <v>4</v>
      </c>
      <c r="O121" s="3">
        <v>16.317499999999999</v>
      </c>
      <c r="P121" t="s">
        <v>12</v>
      </c>
    </row>
    <row r="122" spans="1:16" x14ac:dyDescent="0.25">
      <c r="A122">
        <v>1860</v>
      </c>
      <c r="B122">
        <v>1150694432</v>
      </c>
      <c r="C122">
        <v>1244990507</v>
      </c>
      <c r="D122" s="17" t="s">
        <v>6471</v>
      </c>
      <c r="E122" s="17" t="s">
        <v>3919</v>
      </c>
      <c r="F122" s="17" t="s">
        <v>3551</v>
      </c>
      <c r="G122" t="s">
        <v>3416</v>
      </c>
      <c r="H122">
        <v>1</v>
      </c>
      <c r="I122" s="1">
        <v>1.965806451612903</v>
      </c>
      <c r="J122" s="1">
        <v>12.739760479041918</v>
      </c>
      <c r="K122" s="1">
        <v>12.739760479041918</v>
      </c>
      <c r="L122" t="s">
        <v>645</v>
      </c>
      <c r="M122" t="s">
        <v>6686</v>
      </c>
      <c r="N122" s="3">
        <v>4</v>
      </c>
      <c r="O122" s="3">
        <v>3.1849400000000001</v>
      </c>
      <c r="P122" t="s">
        <v>12</v>
      </c>
    </row>
    <row r="123" spans="1:16" x14ac:dyDescent="0.25">
      <c r="A123">
        <v>1866</v>
      </c>
      <c r="B123">
        <v>1149149024</v>
      </c>
      <c r="C123">
        <v>1149346155</v>
      </c>
      <c r="D123" s="17" t="s">
        <v>6471</v>
      </c>
      <c r="E123" s="17" t="s">
        <v>5179</v>
      </c>
      <c r="F123" s="17" t="s">
        <v>4095</v>
      </c>
      <c r="G123" t="s">
        <v>3530</v>
      </c>
      <c r="H123">
        <v>2</v>
      </c>
      <c r="I123" s="1">
        <v>9.8133333333333326</v>
      </c>
      <c r="J123" s="1">
        <v>10.210000000000001</v>
      </c>
      <c r="K123" s="1">
        <v>10.210000000000001</v>
      </c>
      <c r="L123" t="s">
        <v>1805</v>
      </c>
      <c r="M123" t="s">
        <v>6687</v>
      </c>
      <c r="N123" s="3">
        <v>1</v>
      </c>
      <c r="O123" s="3">
        <v>10.210000000000001</v>
      </c>
      <c r="P123" t="s">
        <v>12</v>
      </c>
    </row>
    <row r="124" spans="1:16" x14ac:dyDescent="0.25">
      <c r="A124">
        <v>1887</v>
      </c>
      <c r="B124">
        <v>1147180690</v>
      </c>
      <c r="C124">
        <v>1247290743</v>
      </c>
      <c r="D124" s="17" t="s">
        <v>6471</v>
      </c>
      <c r="E124" s="17" t="s">
        <v>3895</v>
      </c>
      <c r="F124" s="17" t="s">
        <v>3799</v>
      </c>
      <c r="G124" t="s">
        <v>3416</v>
      </c>
      <c r="H124">
        <v>1</v>
      </c>
      <c r="I124" s="1">
        <v>6.22</v>
      </c>
      <c r="J124" s="1">
        <v>5.332984293193717</v>
      </c>
      <c r="K124" s="1">
        <v>5.3329842931937179</v>
      </c>
      <c r="L124" t="s">
        <v>590</v>
      </c>
      <c r="M124" t="s">
        <v>560</v>
      </c>
      <c r="N124" s="3">
        <v>1</v>
      </c>
      <c r="O124" s="3">
        <v>5.3329839999999997</v>
      </c>
      <c r="P124" t="s">
        <v>12</v>
      </c>
    </row>
    <row r="125" spans="1:16" x14ac:dyDescent="0.25">
      <c r="A125">
        <v>1893</v>
      </c>
      <c r="B125">
        <v>1147134772</v>
      </c>
      <c r="C125">
        <v>1257189486</v>
      </c>
      <c r="D125" s="17" t="s">
        <v>6471</v>
      </c>
      <c r="E125" s="17" t="s">
        <v>3725</v>
      </c>
      <c r="F125" s="17" t="s">
        <v>3726</v>
      </c>
      <c r="G125" t="s">
        <v>3416</v>
      </c>
      <c r="H125">
        <v>4</v>
      </c>
      <c r="I125" s="1">
        <v>0.78335151987529228</v>
      </c>
      <c r="J125" s="1">
        <v>4.5999999999999996</v>
      </c>
      <c r="K125" s="1">
        <v>4.5999999999999996</v>
      </c>
      <c r="L125" t="s">
        <v>385</v>
      </c>
      <c r="M125" t="s">
        <v>372</v>
      </c>
      <c r="N125" s="3">
        <v>4</v>
      </c>
      <c r="O125" s="3">
        <v>1.1499999999999999</v>
      </c>
      <c r="P125" t="s">
        <v>12</v>
      </c>
    </row>
    <row r="126" spans="1:16" x14ac:dyDescent="0.25">
      <c r="A126">
        <v>1895</v>
      </c>
      <c r="B126">
        <v>1147134772</v>
      </c>
      <c r="C126">
        <v>1189912274</v>
      </c>
      <c r="D126" s="17" t="s">
        <v>6471</v>
      </c>
      <c r="E126" s="17" t="s">
        <v>4673</v>
      </c>
      <c r="F126" s="17" t="s">
        <v>4220</v>
      </c>
      <c r="G126" t="s">
        <v>3416</v>
      </c>
      <c r="H126">
        <v>3</v>
      </c>
      <c r="I126" s="1">
        <v>1.209586905689789</v>
      </c>
      <c r="J126" s="1">
        <v>13.290000000000001</v>
      </c>
      <c r="K126" s="1">
        <v>13.290000000000001</v>
      </c>
      <c r="L126" t="s">
        <v>1595</v>
      </c>
      <c r="M126" t="s">
        <v>6688</v>
      </c>
      <c r="N126" s="3">
        <v>4</v>
      </c>
      <c r="O126" s="3">
        <v>3.3224999999999998</v>
      </c>
      <c r="P126" t="s">
        <v>12</v>
      </c>
    </row>
    <row r="127" spans="1:16" x14ac:dyDescent="0.25">
      <c r="A127">
        <v>1898</v>
      </c>
      <c r="B127">
        <v>1147134772</v>
      </c>
      <c r="C127">
        <v>1238166844</v>
      </c>
      <c r="D127" s="17" t="s">
        <v>6471</v>
      </c>
      <c r="E127" s="17" t="s">
        <v>4065</v>
      </c>
      <c r="F127" s="17" t="s">
        <v>4066</v>
      </c>
      <c r="G127" t="s">
        <v>3416</v>
      </c>
      <c r="H127">
        <v>2</v>
      </c>
      <c r="I127" s="1">
        <v>3.3407638347622761</v>
      </c>
      <c r="J127" s="1">
        <v>1.9240414507772021</v>
      </c>
      <c r="K127" s="1">
        <v>1.9240414507772021</v>
      </c>
      <c r="L127" t="s">
        <v>832</v>
      </c>
      <c r="M127" t="s">
        <v>811</v>
      </c>
      <c r="N127" s="3">
        <v>2</v>
      </c>
      <c r="O127" s="3">
        <v>0.96202100000000002</v>
      </c>
      <c r="P127" t="s">
        <v>12</v>
      </c>
    </row>
    <row r="128" spans="1:16" x14ac:dyDescent="0.25">
      <c r="A128">
        <v>1906</v>
      </c>
      <c r="B128">
        <v>1146353591</v>
      </c>
      <c r="C128">
        <v>1207654644</v>
      </c>
      <c r="D128" s="17" t="s">
        <v>6471</v>
      </c>
      <c r="E128" s="17" t="s">
        <v>4361</v>
      </c>
      <c r="F128" s="17" t="s">
        <v>3751</v>
      </c>
      <c r="G128" t="s">
        <v>3416</v>
      </c>
      <c r="H128">
        <v>2</v>
      </c>
      <c r="I128" s="1">
        <v>11.846775510204081</v>
      </c>
      <c r="J128" s="1">
        <v>6.28</v>
      </c>
      <c r="K128" s="1">
        <v>6.28</v>
      </c>
      <c r="L128" t="s">
        <v>919</v>
      </c>
      <c r="M128" t="s">
        <v>1249</v>
      </c>
      <c r="N128" s="3">
        <v>1</v>
      </c>
      <c r="O128" s="3">
        <v>6.28</v>
      </c>
      <c r="P128" t="s">
        <v>12</v>
      </c>
    </row>
    <row r="129" spans="1:16" x14ac:dyDescent="0.25">
      <c r="A129">
        <v>1931</v>
      </c>
      <c r="B129">
        <v>1145607221</v>
      </c>
      <c r="C129">
        <v>1252378732</v>
      </c>
      <c r="D129" s="17" t="s">
        <v>6471</v>
      </c>
      <c r="E129" s="17" t="s">
        <v>3771</v>
      </c>
      <c r="F129" s="17" t="s">
        <v>3772</v>
      </c>
      <c r="G129" t="s">
        <v>3416</v>
      </c>
      <c r="H129">
        <v>2</v>
      </c>
      <c r="I129" s="1">
        <v>3.02</v>
      </c>
      <c r="J129" s="1">
        <v>0.62745098039215685</v>
      </c>
      <c r="K129" s="1">
        <v>0.62745098039215685</v>
      </c>
      <c r="L129" t="s">
        <v>472</v>
      </c>
      <c r="M129" t="s">
        <v>445</v>
      </c>
      <c r="N129" s="3">
        <v>1</v>
      </c>
      <c r="O129" s="3">
        <v>0.62745099999999998</v>
      </c>
      <c r="P129" t="s">
        <v>12</v>
      </c>
    </row>
    <row r="130" spans="1:16" x14ac:dyDescent="0.25">
      <c r="A130">
        <v>1934</v>
      </c>
      <c r="B130">
        <v>1145214768</v>
      </c>
      <c r="C130" t="s">
        <v>5234</v>
      </c>
      <c r="D130" s="17" t="s">
        <v>6473</v>
      </c>
      <c r="E130" s="17" t="s">
        <v>5235</v>
      </c>
      <c r="F130" s="17" t="s">
        <v>3755</v>
      </c>
      <c r="G130" t="s">
        <v>3416</v>
      </c>
      <c r="H130">
        <v>1</v>
      </c>
      <c r="I130" s="1">
        <v>16.170000000000002</v>
      </c>
      <c r="J130" s="1">
        <v>47.62</v>
      </c>
      <c r="K130" s="1">
        <v>47.62</v>
      </c>
      <c r="L130" t="s">
        <v>6662</v>
      </c>
      <c r="M130" t="s">
        <v>2632</v>
      </c>
      <c r="N130" s="3">
        <v>1</v>
      </c>
      <c r="O130" s="3">
        <v>47.62</v>
      </c>
      <c r="P130" t="s">
        <v>12</v>
      </c>
    </row>
    <row r="131" spans="1:16" x14ac:dyDescent="0.25">
      <c r="A131">
        <v>1958</v>
      </c>
      <c r="B131">
        <v>1143910475</v>
      </c>
      <c r="C131" t="s">
        <v>5248</v>
      </c>
      <c r="D131" s="17" t="s">
        <v>6473</v>
      </c>
      <c r="E131" s="17" t="s">
        <v>5249</v>
      </c>
      <c r="F131" s="17" t="s">
        <v>4326</v>
      </c>
      <c r="G131" t="s">
        <v>3416</v>
      </c>
      <c r="H131">
        <v>4</v>
      </c>
      <c r="I131" s="1">
        <v>4.3588235294117643</v>
      </c>
      <c r="J131" s="1">
        <v>3.8216666666666672</v>
      </c>
      <c r="K131" s="1">
        <v>3.8216666666666672</v>
      </c>
      <c r="L131" t="s">
        <v>6662</v>
      </c>
      <c r="M131" t="s">
        <v>2659</v>
      </c>
      <c r="N131" s="3">
        <v>4</v>
      </c>
      <c r="O131" s="3">
        <v>0.95541699999999996</v>
      </c>
      <c r="P131" t="s">
        <v>12</v>
      </c>
    </row>
    <row r="132" spans="1:16" x14ac:dyDescent="0.25">
      <c r="A132">
        <v>1984</v>
      </c>
      <c r="B132">
        <v>1143280006</v>
      </c>
      <c r="C132">
        <v>1249268818</v>
      </c>
      <c r="D132" s="17" t="s">
        <v>6471</v>
      </c>
      <c r="E132" s="17" t="s">
        <v>3864</v>
      </c>
      <c r="F132" s="17" t="s">
        <v>3865</v>
      </c>
      <c r="G132" t="s">
        <v>3416</v>
      </c>
      <c r="H132">
        <v>2</v>
      </c>
      <c r="I132" s="1">
        <v>21.22</v>
      </c>
      <c r="J132" s="1">
        <v>11.35</v>
      </c>
      <c r="K132" s="1">
        <v>11.35</v>
      </c>
      <c r="L132" t="s">
        <v>533</v>
      </c>
      <c r="M132" t="s">
        <v>6683</v>
      </c>
      <c r="N132" s="3">
        <v>2</v>
      </c>
      <c r="O132" s="3">
        <v>5.6749999999999998</v>
      </c>
      <c r="P132" t="s">
        <v>12</v>
      </c>
    </row>
    <row r="133" spans="1:16" x14ac:dyDescent="0.25">
      <c r="A133">
        <v>1994</v>
      </c>
      <c r="B133">
        <v>1142560986</v>
      </c>
      <c r="C133">
        <v>1143358804</v>
      </c>
      <c r="D133" s="17" t="s">
        <v>6471</v>
      </c>
      <c r="E133" s="17" t="s">
        <v>5245</v>
      </c>
      <c r="F133" s="17" t="s">
        <v>3876</v>
      </c>
      <c r="G133" t="s">
        <v>3416</v>
      </c>
      <c r="H133">
        <v>1</v>
      </c>
      <c r="I133" s="1">
        <v>16.734999999999999</v>
      </c>
      <c r="J133" s="1">
        <v>13.21</v>
      </c>
      <c r="K133" s="1">
        <v>13.21</v>
      </c>
      <c r="L133" t="s">
        <v>2670</v>
      </c>
      <c r="M133" t="s">
        <v>6689</v>
      </c>
      <c r="N133" s="3">
        <v>1</v>
      </c>
      <c r="O133" s="3">
        <v>13.21</v>
      </c>
      <c r="P133" t="s">
        <v>12</v>
      </c>
    </row>
    <row r="134" spans="1:16" x14ac:dyDescent="0.25">
      <c r="A134">
        <v>1996</v>
      </c>
      <c r="B134">
        <v>1142556696</v>
      </c>
      <c r="C134" t="s">
        <v>5282</v>
      </c>
      <c r="D134" s="17" t="s">
        <v>6473</v>
      </c>
      <c r="E134" s="17" t="s">
        <v>4380</v>
      </c>
      <c r="F134" s="17" t="s">
        <v>3551</v>
      </c>
      <c r="G134" t="s">
        <v>3416</v>
      </c>
      <c r="H134">
        <v>2</v>
      </c>
      <c r="I134" s="1">
        <v>48.369278262720883</v>
      </c>
      <c r="J134" s="1">
        <v>54.42</v>
      </c>
      <c r="K134" s="1">
        <v>54.42</v>
      </c>
      <c r="L134" t="s">
        <v>6662</v>
      </c>
      <c r="M134" t="s">
        <v>2686</v>
      </c>
      <c r="N134" s="3">
        <v>2</v>
      </c>
      <c r="O134" s="3">
        <v>27.21</v>
      </c>
      <c r="P134" t="s">
        <v>12</v>
      </c>
    </row>
    <row r="135" spans="1:16" x14ac:dyDescent="0.25">
      <c r="A135">
        <v>1997</v>
      </c>
      <c r="B135">
        <v>1142556696</v>
      </c>
      <c r="C135">
        <v>1166492703</v>
      </c>
      <c r="D135" s="17" t="s">
        <v>6471</v>
      </c>
      <c r="E135" s="17" t="s">
        <v>4931</v>
      </c>
      <c r="F135" s="17" t="s">
        <v>3738</v>
      </c>
      <c r="G135" t="s">
        <v>3416</v>
      </c>
      <c r="H135">
        <v>3</v>
      </c>
      <c r="I135" s="1">
        <v>57.300721737279098</v>
      </c>
      <c r="J135" s="1">
        <v>47.424286463798524</v>
      </c>
      <c r="K135" s="1">
        <v>47.424286463798524</v>
      </c>
      <c r="L135" t="s">
        <v>2068</v>
      </c>
      <c r="M135" t="s">
        <v>2050</v>
      </c>
      <c r="N135" s="3">
        <v>3</v>
      </c>
      <c r="O135" s="3">
        <v>15.808095</v>
      </c>
      <c r="P135" t="s">
        <v>12</v>
      </c>
    </row>
    <row r="136" spans="1:16" x14ac:dyDescent="0.25">
      <c r="A136">
        <v>2000</v>
      </c>
      <c r="B136">
        <v>1141270423</v>
      </c>
      <c r="C136">
        <v>1152040638</v>
      </c>
      <c r="D136" s="17" t="s">
        <v>6471</v>
      </c>
      <c r="E136" s="17" t="s">
        <v>5154</v>
      </c>
      <c r="F136" s="17" t="s">
        <v>3945</v>
      </c>
      <c r="G136" t="s">
        <v>3416</v>
      </c>
      <c r="H136">
        <v>1</v>
      </c>
      <c r="I136" s="1">
        <v>7.71</v>
      </c>
      <c r="J136" s="1">
        <v>7.21</v>
      </c>
      <c r="K136" s="1">
        <v>7.21</v>
      </c>
      <c r="L136" t="s">
        <v>2509</v>
      </c>
      <c r="M136" t="s">
        <v>2490</v>
      </c>
      <c r="N136" s="3">
        <v>1</v>
      </c>
      <c r="O136" s="3">
        <v>7.21</v>
      </c>
      <c r="P136" t="s">
        <v>12</v>
      </c>
    </row>
    <row r="137" spans="1:16" x14ac:dyDescent="0.25">
      <c r="A137">
        <v>2002</v>
      </c>
      <c r="B137">
        <v>1141146578</v>
      </c>
      <c r="C137">
        <v>1149672466</v>
      </c>
      <c r="D137" s="17" t="s">
        <v>6471</v>
      </c>
      <c r="E137" s="17" t="s">
        <v>5166</v>
      </c>
      <c r="F137" s="17" t="s">
        <v>3529</v>
      </c>
      <c r="G137" t="s">
        <v>3416</v>
      </c>
      <c r="H137">
        <v>1</v>
      </c>
      <c r="I137" s="1">
        <v>3.2532871972318338</v>
      </c>
      <c r="J137" s="1">
        <v>7.12</v>
      </c>
      <c r="K137" s="1">
        <v>7.12</v>
      </c>
      <c r="L137" t="s">
        <v>2558</v>
      </c>
      <c r="M137" t="s">
        <v>2540</v>
      </c>
      <c r="N137" s="3">
        <v>2</v>
      </c>
      <c r="O137" s="3">
        <v>3.56</v>
      </c>
      <c r="P137" t="s">
        <v>12</v>
      </c>
    </row>
    <row r="138" spans="1:16" x14ac:dyDescent="0.25">
      <c r="A138">
        <v>2012</v>
      </c>
      <c r="B138">
        <v>1139362216</v>
      </c>
      <c r="C138" t="s">
        <v>5292</v>
      </c>
      <c r="D138" s="17" t="s">
        <v>6473</v>
      </c>
      <c r="E138" s="17" t="s">
        <v>5293</v>
      </c>
      <c r="F138" s="17" t="s">
        <v>3945</v>
      </c>
      <c r="G138" t="s">
        <v>3416</v>
      </c>
      <c r="H138">
        <v>4</v>
      </c>
      <c r="I138" s="1">
        <v>4.4753012048192771</v>
      </c>
      <c r="J138" s="1">
        <v>9.34</v>
      </c>
      <c r="K138" s="1">
        <v>9.34</v>
      </c>
      <c r="L138" t="s">
        <v>6662</v>
      </c>
      <c r="M138" t="s">
        <v>2713</v>
      </c>
      <c r="N138" s="3">
        <v>4</v>
      </c>
      <c r="O138" s="3">
        <v>2.335</v>
      </c>
      <c r="P138" t="s">
        <v>12</v>
      </c>
    </row>
    <row r="139" spans="1:16" x14ac:dyDescent="0.25">
      <c r="A139">
        <v>2016</v>
      </c>
      <c r="B139">
        <v>1139327696</v>
      </c>
      <c r="C139" t="s">
        <v>5298</v>
      </c>
      <c r="D139" s="17" t="s">
        <v>6473</v>
      </c>
      <c r="E139" s="17" t="s">
        <v>5299</v>
      </c>
      <c r="F139" s="17" t="s">
        <v>3726</v>
      </c>
      <c r="G139" t="s">
        <v>3416</v>
      </c>
      <c r="H139">
        <v>2</v>
      </c>
      <c r="I139" s="1">
        <v>16.911428571428569</v>
      </c>
      <c r="J139" s="1">
        <v>38.67</v>
      </c>
      <c r="K139" s="1">
        <v>38.67</v>
      </c>
      <c r="L139" t="s">
        <v>6662</v>
      </c>
      <c r="M139" t="s">
        <v>2713</v>
      </c>
      <c r="N139" s="3">
        <v>2</v>
      </c>
      <c r="O139" s="3">
        <v>19.335000000000001</v>
      </c>
      <c r="P139" t="s">
        <v>12</v>
      </c>
    </row>
    <row r="140" spans="1:16" x14ac:dyDescent="0.25">
      <c r="A140">
        <v>2018</v>
      </c>
      <c r="B140">
        <v>1139327696</v>
      </c>
      <c r="C140" t="s">
        <v>5296</v>
      </c>
      <c r="D140" s="17" t="s">
        <v>6473</v>
      </c>
      <c r="E140" s="17" t="s">
        <v>5297</v>
      </c>
      <c r="F140" s="17" t="s">
        <v>3925</v>
      </c>
      <c r="G140" t="s">
        <v>3416</v>
      </c>
      <c r="H140">
        <v>1</v>
      </c>
      <c r="I140" s="1">
        <v>1.5422371967654991</v>
      </c>
      <c r="J140" s="1">
        <v>6.7249999999999996</v>
      </c>
      <c r="K140" s="1">
        <v>6.7249999999999996</v>
      </c>
      <c r="L140" t="s">
        <v>6662</v>
      </c>
      <c r="M140" t="s">
        <v>2713</v>
      </c>
      <c r="N140" s="3">
        <v>1</v>
      </c>
      <c r="O140" s="3">
        <v>6.7249999999999996</v>
      </c>
      <c r="P140" t="s">
        <v>12</v>
      </c>
    </row>
    <row r="141" spans="1:16" x14ac:dyDescent="0.25">
      <c r="A141">
        <v>2021</v>
      </c>
      <c r="B141">
        <v>1139260024</v>
      </c>
      <c r="C141">
        <v>1255258655</v>
      </c>
      <c r="D141" s="17" t="s">
        <v>6471</v>
      </c>
      <c r="E141" s="17" t="s">
        <v>3746</v>
      </c>
      <c r="F141" s="17" t="s">
        <v>3652</v>
      </c>
      <c r="G141" t="s">
        <v>3416</v>
      </c>
      <c r="H141">
        <v>3</v>
      </c>
      <c r="I141" s="1">
        <v>17.575194462755441</v>
      </c>
      <c r="J141" s="1">
        <v>12.25</v>
      </c>
      <c r="K141" s="1">
        <v>12.25</v>
      </c>
      <c r="L141" t="s">
        <v>423</v>
      </c>
      <c r="M141" t="s">
        <v>389</v>
      </c>
      <c r="N141" s="3">
        <v>4</v>
      </c>
      <c r="O141" s="3">
        <v>3.0625</v>
      </c>
      <c r="P141" t="s">
        <v>12</v>
      </c>
    </row>
    <row r="142" spans="1:16" x14ac:dyDescent="0.25">
      <c r="A142">
        <v>2023</v>
      </c>
      <c r="B142">
        <v>1139260024</v>
      </c>
      <c r="C142">
        <v>1198652187</v>
      </c>
      <c r="D142" s="17" t="s">
        <v>6471</v>
      </c>
      <c r="E142" s="17" t="s">
        <v>4559</v>
      </c>
      <c r="F142" s="17" t="s">
        <v>3945</v>
      </c>
      <c r="G142" t="s">
        <v>3416</v>
      </c>
      <c r="H142">
        <v>1</v>
      </c>
      <c r="I142" s="1">
        <v>1.749301252471984</v>
      </c>
      <c r="J142" s="1">
        <v>1.0839116719242903</v>
      </c>
      <c r="K142" s="1">
        <v>1.0839116719242903</v>
      </c>
      <c r="L142" t="s">
        <v>1421</v>
      </c>
      <c r="M142" t="s">
        <v>1392</v>
      </c>
      <c r="N142" s="3">
        <v>2</v>
      </c>
      <c r="O142" s="3">
        <v>0.54195599999999999</v>
      </c>
      <c r="P142" t="s">
        <v>12</v>
      </c>
    </row>
    <row r="143" spans="1:16" x14ac:dyDescent="0.25">
      <c r="A143">
        <v>2024</v>
      </c>
      <c r="B143">
        <v>1139260024</v>
      </c>
      <c r="C143">
        <v>1243741253</v>
      </c>
      <c r="D143" s="17" t="s">
        <v>6471</v>
      </c>
      <c r="E143" s="17" t="s">
        <v>3924</v>
      </c>
      <c r="F143" s="17" t="s">
        <v>3925</v>
      </c>
      <c r="G143" t="s">
        <v>3416</v>
      </c>
      <c r="H143">
        <v>4</v>
      </c>
      <c r="I143" s="1">
        <v>6.9972050098879368</v>
      </c>
      <c r="J143" s="1">
        <v>2.6150000000000002</v>
      </c>
      <c r="K143" s="1">
        <v>2.6150000000000002</v>
      </c>
      <c r="L143" t="s">
        <v>681</v>
      </c>
      <c r="M143" t="s">
        <v>622</v>
      </c>
      <c r="N143" s="3">
        <v>1</v>
      </c>
      <c r="O143" s="3">
        <v>2.6150000000000002</v>
      </c>
      <c r="P143" t="s">
        <v>12</v>
      </c>
    </row>
    <row r="144" spans="1:16" x14ac:dyDescent="0.25">
      <c r="A144">
        <v>2025</v>
      </c>
      <c r="B144">
        <v>1139244084</v>
      </c>
      <c r="C144">
        <v>1169967614</v>
      </c>
      <c r="D144" s="17" t="s">
        <v>6471</v>
      </c>
      <c r="E144" s="17" t="s">
        <v>4886</v>
      </c>
      <c r="F144" s="17" t="s">
        <v>4473</v>
      </c>
      <c r="G144" t="s">
        <v>3416</v>
      </c>
      <c r="H144">
        <v>2</v>
      </c>
      <c r="I144" s="1">
        <v>29.28</v>
      </c>
      <c r="J144" s="1">
        <v>24.2</v>
      </c>
      <c r="K144" s="1">
        <v>24.2</v>
      </c>
      <c r="L144" t="s">
        <v>2002</v>
      </c>
      <c r="M144" t="s">
        <v>1948</v>
      </c>
      <c r="N144" s="3">
        <v>2</v>
      </c>
      <c r="O144" s="3">
        <v>12.1</v>
      </c>
      <c r="P144" t="s">
        <v>12</v>
      </c>
    </row>
    <row r="145" spans="1:16" x14ac:dyDescent="0.25">
      <c r="A145">
        <v>2027</v>
      </c>
      <c r="B145">
        <v>1139241260</v>
      </c>
      <c r="C145">
        <v>1149091921</v>
      </c>
      <c r="D145" s="17" t="s">
        <v>6471</v>
      </c>
      <c r="E145" s="17" t="s">
        <v>5168</v>
      </c>
      <c r="F145" s="17" t="s">
        <v>4063</v>
      </c>
      <c r="G145" t="s">
        <v>3416</v>
      </c>
      <c r="H145">
        <v>3</v>
      </c>
      <c r="I145" s="1">
        <v>38.103636095547039</v>
      </c>
      <c r="J145" s="1">
        <v>24.2</v>
      </c>
      <c r="K145" s="1">
        <v>24.2</v>
      </c>
      <c r="L145" t="s">
        <v>2572</v>
      </c>
      <c r="M145" t="s">
        <v>2543</v>
      </c>
      <c r="N145" s="3">
        <v>2</v>
      </c>
      <c r="O145" s="3">
        <v>12.1</v>
      </c>
      <c r="P145" t="s">
        <v>12</v>
      </c>
    </row>
    <row r="146" spans="1:16" ht="30" x14ac:dyDescent="0.25">
      <c r="A146">
        <v>2028</v>
      </c>
      <c r="B146">
        <v>1139240939</v>
      </c>
      <c r="C146">
        <v>1163566856</v>
      </c>
      <c r="D146" s="17" t="s">
        <v>6471</v>
      </c>
      <c r="E146" s="17" t="s">
        <v>4959</v>
      </c>
      <c r="F146" s="17" t="s">
        <v>3846</v>
      </c>
      <c r="G146" t="s">
        <v>3416</v>
      </c>
      <c r="H146">
        <v>4</v>
      </c>
      <c r="I146" s="1">
        <v>81.239999999999995</v>
      </c>
      <c r="J146" s="1">
        <v>25.02</v>
      </c>
      <c r="K146" s="1">
        <v>25.02</v>
      </c>
      <c r="L146" t="s">
        <v>2186</v>
      </c>
      <c r="M146" t="s">
        <v>6690</v>
      </c>
      <c r="N146" s="3">
        <v>4</v>
      </c>
      <c r="O146" s="3">
        <v>6.2549999999999999</v>
      </c>
      <c r="P146" t="s">
        <v>12</v>
      </c>
    </row>
    <row r="147" spans="1:16" x14ac:dyDescent="0.25">
      <c r="A147">
        <v>2030</v>
      </c>
      <c r="B147">
        <v>1139234090</v>
      </c>
      <c r="C147" t="s">
        <v>5301</v>
      </c>
      <c r="D147" s="17" t="s">
        <v>6473</v>
      </c>
      <c r="E147" s="17" t="s">
        <v>5302</v>
      </c>
      <c r="F147" s="17" t="s">
        <v>3457</v>
      </c>
      <c r="G147" t="s">
        <v>3530</v>
      </c>
      <c r="H147">
        <v>4</v>
      </c>
      <c r="I147" s="1">
        <v>41.402800466744459</v>
      </c>
      <c r="J147" s="1">
        <v>27.37</v>
      </c>
      <c r="K147" s="1">
        <v>27.37</v>
      </c>
      <c r="L147" t="s">
        <v>6662</v>
      </c>
      <c r="M147" t="s">
        <v>2716</v>
      </c>
      <c r="N147" s="3">
        <v>4</v>
      </c>
      <c r="O147" s="3">
        <v>6.8425000000000002</v>
      </c>
      <c r="P147" t="s">
        <v>12</v>
      </c>
    </row>
    <row r="148" spans="1:16" x14ac:dyDescent="0.25">
      <c r="A148">
        <v>2032</v>
      </c>
      <c r="B148">
        <v>1139234090</v>
      </c>
      <c r="C148">
        <v>1166600625</v>
      </c>
      <c r="D148" s="17" t="s">
        <v>6471</v>
      </c>
      <c r="E148" s="17" t="s">
        <v>4886</v>
      </c>
      <c r="F148" s="17" t="s">
        <v>4473</v>
      </c>
      <c r="G148" t="s">
        <v>3416</v>
      </c>
      <c r="H148">
        <v>1</v>
      </c>
      <c r="I148" s="1">
        <v>13.27012835472579</v>
      </c>
      <c r="J148" s="1">
        <v>12.902325581395351</v>
      </c>
      <c r="K148" s="1">
        <v>12.902325581395347</v>
      </c>
      <c r="L148" t="s">
        <v>2064</v>
      </c>
      <c r="M148" t="s">
        <v>2037</v>
      </c>
      <c r="N148" s="3">
        <v>1</v>
      </c>
      <c r="O148" s="3">
        <v>12.902326</v>
      </c>
      <c r="P148" t="s">
        <v>12</v>
      </c>
    </row>
    <row r="149" spans="1:16" x14ac:dyDescent="0.25">
      <c r="A149">
        <v>2033</v>
      </c>
      <c r="B149">
        <v>1139234090</v>
      </c>
      <c r="C149">
        <v>1146304491</v>
      </c>
      <c r="D149" s="17" t="s">
        <v>6471</v>
      </c>
      <c r="E149" s="17" t="s">
        <v>4886</v>
      </c>
      <c r="F149" s="17" t="s">
        <v>4473</v>
      </c>
      <c r="G149" t="s">
        <v>3416</v>
      </c>
      <c r="H149">
        <v>1</v>
      </c>
      <c r="I149" s="1">
        <v>13.80093348891482</v>
      </c>
      <c r="J149" s="1">
        <v>15.21</v>
      </c>
      <c r="K149" s="1">
        <v>15.21</v>
      </c>
      <c r="L149" t="s">
        <v>1057</v>
      </c>
      <c r="M149" t="s">
        <v>6691</v>
      </c>
      <c r="N149" s="3">
        <v>1</v>
      </c>
      <c r="O149" s="3">
        <v>15.21</v>
      </c>
      <c r="P149" t="s">
        <v>12</v>
      </c>
    </row>
    <row r="150" spans="1:16" x14ac:dyDescent="0.25">
      <c r="A150">
        <v>2179</v>
      </c>
      <c r="B150">
        <v>1138674465</v>
      </c>
      <c r="C150">
        <v>1249242627</v>
      </c>
      <c r="D150" s="17" t="s">
        <v>6471</v>
      </c>
      <c r="E150" s="17" t="s">
        <v>3861</v>
      </c>
      <c r="F150" s="17" t="s">
        <v>3862</v>
      </c>
      <c r="G150" t="s">
        <v>3530</v>
      </c>
      <c r="H150">
        <v>4</v>
      </c>
      <c r="I150" s="1">
        <v>7.18</v>
      </c>
      <c r="J150" s="1">
        <v>2.4622448979591836</v>
      </c>
      <c r="K150" s="1">
        <v>2.4622448979591836</v>
      </c>
      <c r="L150" t="s">
        <v>536</v>
      </c>
      <c r="M150" t="s">
        <v>509</v>
      </c>
      <c r="N150" s="3">
        <v>2</v>
      </c>
      <c r="O150" s="3">
        <v>1.231122</v>
      </c>
      <c r="P150" t="s">
        <v>12</v>
      </c>
    </row>
    <row r="151" spans="1:16" ht="30" x14ac:dyDescent="0.25">
      <c r="A151">
        <v>2229</v>
      </c>
      <c r="B151">
        <v>1134536720</v>
      </c>
      <c r="C151">
        <v>1159437793</v>
      </c>
      <c r="D151" s="17" t="s">
        <v>6471</v>
      </c>
      <c r="E151" s="17" t="s">
        <v>5056</v>
      </c>
      <c r="F151" s="17" t="s">
        <v>3927</v>
      </c>
      <c r="G151" t="s">
        <v>3416</v>
      </c>
      <c r="H151">
        <v>1</v>
      </c>
      <c r="I151" s="1">
        <v>41.45</v>
      </c>
      <c r="J151" s="1">
        <v>24.25</v>
      </c>
      <c r="K151" s="1">
        <v>24.25</v>
      </c>
      <c r="L151" t="s">
        <v>2315</v>
      </c>
      <c r="M151" t="s">
        <v>2300</v>
      </c>
      <c r="N151" s="3">
        <v>1</v>
      </c>
      <c r="O151" s="3">
        <v>24.25</v>
      </c>
      <c r="P151" t="s">
        <v>12</v>
      </c>
    </row>
    <row r="152" spans="1:16" x14ac:dyDescent="0.25">
      <c r="A152">
        <v>2245</v>
      </c>
      <c r="B152">
        <v>1133575080</v>
      </c>
      <c r="C152">
        <v>1195629059</v>
      </c>
      <c r="D152" s="17" t="s">
        <v>6471</v>
      </c>
      <c r="E152" s="17" t="s">
        <v>4062</v>
      </c>
      <c r="F152" s="17" t="s">
        <v>4063</v>
      </c>
      <c r="G152" t="s">
        <v>3416</v>
      </c>
      <c r="H152">
        <v>1</v>
      </c>
      <c r="I152" s="1">
        <v>10.68</v>
      </c>
      <c r="J152" s="1">
        <v>9.2800000000000011</v>
      </c>
      <c r="K152" s="1">
        <v>9.2800000000000011</v>
      </c>
      <c r="L152" t="s">
        <v>1457</v>
      </c>
      <c r="M152" t="s">
        <v>6692</v>
      </c>
      <c r="N152" s="3">
        <v>1</v>
      </c>
      <c r="O152" s="3">
        <v>9.2799999999999994</v>
      </c>
      <c r="P152" t="s">
        <v>12</v>
      </c>
    </row>
    <row r="153" spans="1:16" x14ac:dyDescent="0.25">
      <c r="A153">
        <v>2247</v>
      </c>
      <c r="B153">
        <v>1133561839</v>
      </c>
      <c r="C153">
        <v>1160773693</v>
      </c>
      <c r="D153" s="17" t="s">
        <v>6471</v>
      </c>
      <c r="E153" s="17" t="s">
        <v>5003</v>
      </c>
      <c r="F153" s="17" t="s">
        <v>3810</v>
      </c>
      <c r="G153" t="s">
        <v>3416</v>
      </c>
      <c r="H153">
        <v>1</v>
      </c>
      <c r="I153" s="1">
        <v>0.61454545454545451</v>
      </c>
      <c r="J153" s="1">
        <v>1.6119266055045871</v>
      </c>
      <c r="K153" s="1">
        <v>1.6119266055045871</v>
      </c>
      <c r="L153" t="s">
        <v>2272</v>
      </c>
      <c r="M153" t="s">
        <v>2221</v>
      </c>
      <c r="N153" s="3">
        <v>1</v>
      </c>
      <c r="O153" s="3">
        <v>1.6119270000000001</v>
      </c>
      <c r="P153" t="s">
        <v>12</v>
      </c>
    </row>
    <row r="154" spans="1:16" ht="30" x14ac:dyDescent="0.25">
      <c r="A154">
        <v>2253</v>
      </c>
      <c r="B154">
        <v>1132028696</v>
      </c>
      <c r="C154">
        <v>1111582930</v>
      </c>
      <c r="D154" s="17" t="s">
        <v>6471</v>
      </c>
      <c r="E154" s="17" t="s">
        <v>5496</v>
      </c>
      <c r="F154" s="17" t="s">
        <v>4103</v>
      </c>
      <c r="G154" t="s">
        <v>3416</v>
      </c>
      <c r="H154">
        <v>2</v>
      </c>
      <c r="I154" s="1">
        <v>46.308209959623149</v>
      </c>
      <c r="J154" s="1">
        <v>34.270000000000003</v>
      </c>
      <c r="K154" s="1">
        <v>34.269999999999996</v>
      </c>
      <c r="L154" t="s">
        <v>3102</v>
      </c>
      <c r="M154" t="s">
        <v>3085</v>
      </c>
      <c r="N154" s="3">
        <v>1</v>
      </c>
      <c r="O154" s="3">
        <v>34.270000000000003</v>
      </c>
      <c r="P154" t="s">
        <v>12</v>
      </c>
    </row>
    <row r="155" spans="1:16" x14ac:dyDescent="0.25">
      <c r="A155">
        <v>2259</v>
      </c>
      <c r="B155">
        <v>1131125971</v>
      </c>
      <c r="C155">
        <v>1250212850</v>
      </c>
      <c r="D155" s="17" t="s">
        <v>6471</v>
      </c>
      <c r="E155" s="17" t="s">
        <v>3697</v>
      </c>
      <c r="F155" s="17" t="s">
        <v>3799</v>
      </c>
      <c r="G155" t="s">
        <v>3416</v>
      </c>
      <c r="H155">
        <v>4</v>
      </c>
      <c r="I155" s="1">
        <v>5.7799999999999994</v>
      </c>
      <c r="J155" s="1">
        <v>1.1098484848484849</v>
      </c>
      <c r="K155" s="1">
        <v>1.1098484848484849</v>
      </c>
      <c r="L155" t="s">
        <v>511</v>
      </c>
      <c r="M155" t="s">
        <v>470</v>
      </c>
      <c r="N155" s="3">
        <v>4</v>
      </c>
      <c r="O155" s="3">
        <v>0.27746199999999999</v>
      </c>
      <c r="P155" t="s">
        <v>12</v>
      </c>
    </row>
    <row r="156" spans="1:16" x14ac:dyDescent="0.25">
      <c r="A156">
        <v>2358</v>
      </c>
      <c r="B156">
        <v>1130277526</v>
      </c>
      <c r="C156" t="s">
        <v>5600</v>
      </c>
      <c r="D156" s="17" t="s">
        <v>6473</v>
      </c>
      <c r="E156" s="17" t="s">
        <v>5601</v>
      </c>
      <c r="F156" s="17" t="s">
        <v>3963</v>
      </c>
      <c r="G156" t="s">
        <v>3416</v>
      </c>
      <c r="H156">
        <v>2</v>
      </c>
      <c r="I156" s="1">
        <v>35.28</v>
      </c>
      <c r="J156" s="1">
        <v>45.84</v>
      </c>
      <c r="K156" s="1">
        <v>45.84</v>
      </c>
      <c r="L156" t="s">
        <v>6662</v>
      </c>
      <c r="M156" t="s">
        <v>2845</v>
      </c>
      <c r="N156" s="3">
        <v>2</v>
      </c>
      <c r="O156" s="3">
        <v>22.92</v>
      </c>
      <c r="P156" t="s">
        <v>12</v>
      </c>
    </row>
    <row r="157" spans="1:16" x14ac:dyDescent="0.25">
      <c r="A157">
        <v>2362</v>
      </c>
      <c r="B157">
        <v>1130072252</v>
      </c>
      <c r="C157">
        <v>1245357481</v>
      </c>
      <c r="D157" s="17" t="s">
        <v>6471</v>
      </c>
      <c r="E157" s="17" t="s">
        <v>3812</v>
      </c>
      <c r="F157" s="17" t="s">
        <v>3813</v>
      </c>
      <c r="G157" t="s">
        <v>3416</v>
      </c>
      <c r="H157">
        <v>2</v>
      </c>
      <c r="I157" s="1">
        <v>6.9698630136986299</v>
      </c>
      <c r="J157" s="1">
        <v>1.83</v>
      </c>
      <c r="K157" s="1">
        <v>1.83</v>
      </c>
      <c r="L157" t="s">
        <v>636</v>
      </c>
      <c r="M157" t="s">
        <v>6693</v>
      </c>
      <c r="N157" s="3">
        <v>2</v>
      </c>
      <c r="O157" s="3">
        <v>0.91500000000000004</v>
      </c>
      <c r="P157" t="s">
        <v>12</v>
      </c>
    </row>
    <row r="158" spans="1:16" x14ac:dyDescent="0.25">
      <c r="A158">
        <v>2364</v>
      </c>
      <c r="B158">
        <v>1130072252</v>
      </c>
      <c r="C158">
        <v>1282390690</v>
      </c>
      <c r="D158" s="17" t="s">
        <v>6471</v>
      </c>
      <c r="E158" s="17" t="s">
        <v>3456</v>
      </c>
      <c r="F158" s="17" t="s">
        <v>3457</v>
      </c>
      <c r="G158" t="s">
        <v>3416</v>
      </c>
      <c r="H158">
        <v>4</v>
      </c>
      <c r="I158" s="1">
        <v>0.69698630136986295</v>
      </c>
      <c r="J158" s="1">
        <v>2.4500000000000002</v>
      </c>
      <c r="K158" s="1">
        <v>2.4500000000000002</v>
      </c>
      <c r="L158" t="s">
        <v>74</v>
      </c>
      <c r="M158" t="s">
        <v>52</v>
      </c>
      <c r="N158" s="3">
        <v>4</v>
      </c>
      <c r="O158" s="3">
        <v>0.61250000000000004</v>
      </c>
      <c r="P158" t="s">
        <v>12</v>
      </c>
    </row>
    <row r="159" spans="1:16" x14ac:dyDescent="0.25">
      <c r="A159">
        <v>2400</v>
      </c>
      <c r="B159">
        <v>1129354876</v>
      </c>
      <c r="C159">
        <v>1171552559</v>
      </c>
      <c r="D159" s="17" t="s">
        <v>6471</v>
      </c>
      <c r="E159" s="17" t="s">
        <v>4297</v>
      </c>
      <c r="F159" s="17" t="s">
        <v>3768</v>
      </c>
      <c r="G159" t="s">
        <v>3416</v>
      </c>
      <c r="H159">
        <v>2</v>
      </c>
      <c r="I159" s="1">
        <v>31.28</v>
      </c>
      <c r="J159" s="1">
        <v>12.17</v>
      </c>
      <c r="K159" s="1">
        <v>12.17</v>
      </c>
      <c r="L159" t="s">
        <v>1971</v>
      </c>
      <c r="M159" t="s">
        <v>6694</v>
      </c>
      <c r="N159" s="3">
        <v>1</v>
      </c>
      <c r="O159" s="3">
        <v>12.17</v>
      </c>
      <c r="P159" t="s">
        <v>12</v>
      </c>
    </row>
    <row r="160" spans="1:16" x14ac:dyDescent="0.25">
      <c r="A160">
        <v>2413</v>
      </c>
      <c r="B160">
        <v>1127400018</v>
      </c>
      <c r="C160" t="s">
        <v>5627</v>
      </c>
      <c r="D160" s="17" t="s">
        <v>6473</v>
      </c>
      <c r="E160" s="17" t="s">
        <v>5628</v>
      </c>
      <c r="F160" s="17" t="s">
        <v>4326</v>
      </c>
      <c r="G160" t="s">
        <v>3453</v>
      </c>
      <c r="H160">
        <v>2</v>
      </c>
      <c r="I160" s="1">
        <v>25.3973851590106</v>
      </c>
      <c r="J160" s="1">
        <v>26.34</v>
      </c>
      <c r="K160" s="1">
        <v>26.34</v>
      </c>
      <c r="L160" t="s">
        <v>6662</v>
      </c>
      <c r="M160" t="s">
        <v>2884</v>
      </c>
      <c r="N160" s="3">
        <v>2</v>
      </c>
      <c r="O160" s="3">
        <v>13.17</v>
      </c>
      <c r="P160" t="s">
        <v>12</v>
      </c>
    </row>
    <row r="161" spans="1:16" x14ac:dyDescent="0.25">
      <c r="A161">
        <v>2414</v>
      </c>
      <c r="B161">
        <v>1127400018</v>
      </c>
      <c r="C161" t="s">
        <v>5625</v>
      </c>
      <c r="D161" s="17" t="s">
        <v>6473</v>
      </c>
      <c r="E161" s="17" t="s">
        <v>5626</v>
      </c>
      <c r="F161" s="17" t="s">
        <v>3712</v>
      </c>
      <c r="G161" t="s">
        <v>3453</v>
      </c>
      <c r="H161">
        <v>2</v>
      </c>
      <c r="I161" s="1">
        <v>13.8426148409894</v>
      </c>
      <c r="J161" s="1">
        <v>11.5</v>
      </c>
      <c r="K161" s="1">
        <v>11.5</v>
      </c>
      <c r="L161" t="s">
        <v>6662</v>
      </c>
      <c r="M161" t="s">
        <v>2884</v>
      </c>
      <c r="N161" s="3">
        <v>2</v>
      </c>
      <c r="O161" s="3">
        <v>5.75</v>
      </c>
      <c r="P161" t="s">
        <v>12</v>
      </c>
    </row>
    <row r="162" spans="1:16" x14ac:dyDescent="0.25">
      <c r="A162">
        <v>2418</v>
      </c>
      <c r="B162">
        <v>1126975573</v>
      </c>
      <c r="C162" t="s">
        <v>5631</v>
      </c>
      <c r="D162" s="17" t="s">
        <v>6473</v>
      </c>
      <c r="E162" s="17" t="s">
        <v>3817</v>
      </c>
      <c r="F162" s="17" t="s">
        <v>3736</v>
      </c>
      <c r="G162" t="s">
        <v>3416</v>
      </c>
      <c r="H162">
        <v>3</v>
      </c>
      <c r="I162" s="1">
        <v>8.7502569373072969</v>
      </c>
      <c r="J162" s="1">
        <v>14.95954397394137</v>
      </c>
      <c r="K162" s="1">
        <v>14.95954397394137</v>
      </c>
      <c r="L162" t="s">
        <v>6662</v>
      </c>
      <c r="M162" t="s">
        <v>2891</v>
      </c>
      <c r="N162" s="3">
        <v>3</v>
      </c>
      <c r="O162" s="3">
        <v>4.9865149999999998</v>
      </c>
      <c r="P162" t="s">
        <v>12</v>
      </c>
    </row>
    <row r="163" spans="1:16" x14ac:dyDescent="0.25">
      <c r="A163">
        <v>2422</v>
      </c>
      <c r="B163">
        <v>1126975573</v>
      </c>
      <c r="C163">
        <v>1249955163</v>
      </c>
      <c r="D163" s="17" t="s">
        <v>6471</v>
      </c>
      <c r="E163" s="17" t="s">
        <v>3817</v>
      </c>
      <c r="F163" s="17" t="s">
        <v>3736</v>
      </c>
      <c r="G163" t="s">
        <v>3416</v>
      </c>
      <c r="H163">
        <v>1</v>
      </c>
      <c r="I163" s="1">
        <v>2.5985611510791369</v>
      </c>
      <c r="J163" s="1">
        <v>4.4000000000000004</v>
      </c>
      <c r="K163" s="1">
        <v>4.4000000000000004</v>
      </c>
      <c r="L163" t="s">
        <v>523</v>
      </c>
      <c r="M163" t="s">
        <v>6695</v>
      </c>
      <c r="N163" s="3">
        <v>1</v>
      </c>
      <c r="O163" s="3">
        <v>4.4000000000000004</v>
      </c>
      <c r="P163" t="s">
        <v>12</v>
      </c>
    </row>
    <row r="164" spans="1:16" x14ac:dyDescent="0.25">
      <c r="A164">
        <v>2431</v>
      </c>
      <c r="B164">
        <v>1126280095</v>
      </c>
      <c r="C164">
        <v>1250537633</v>
      </c>
      <c r="D164" s="17" t="s">
        <v>6471</v>
      </c>
      <c r="E164" s="17" t="s">
        <v>3806</v>
      </c>
      <c r="F164" s="17" t="s">
        <v>3807</v>
      </c>
      <c r="G164" t="s">
        <v>3416</v>
      </c>
      <c r="H164">
        <v>4</v>
      </c>
      <c r="I164" s="1">
        <v>6.2411529223378697</v>
      </c>
      <c r="J164" s="1">
        <v>2.4500000000000002</v>
      </c>
      <c r="K164" s="1">
        <v>2.4500000000000002</v>
      </c>
      <c r="L164" t="s">
        <v>508</v>
      </c>
      <c r="M164" t="s">
        <v>475</v>
      </c>
      <c r="N164" s="3">
        <v>4</v>
      </c>
      <c r="O164" s="3">
        <v>0.61250000000000004</v>
      </c>
      <c r="P164" t="s">
        <v>12</v>
      </c>
    </row>
    <row r="165" spans="1:16" x14ac:dyDescent="0.25">
      <c r="A165">
        <v>2440</v>
      </c>
      <c r="B165">
        <v>1125857031</v>
      </c>
      <c r="C165" t="s">
        <v>5648</v>
      </c>
      <c r="D165" s="17" t="s">
        <v>6473</v>
      </c>
      <c r="E165" s="17" t="s">
        <v>5649</v>
      </c>
      <c r="F165" s="17" t="s">
        <v>3871</v>
      </c>
      <c r="G165" t="s">
        <v>3530</v>
      </c>
      <c r="H165">
        <v>1</v>
      </c>
      <c r="I165" s="1">
        <v>0.67920000000000003</v>
      </c>
      <c r="J165" s="1">
        <v>1.25</v>
      </c>
      <c r="K165" s="1">
        <v>1.25</v>
      </c>
      <c r="L165" t="s">
        <v>6662</v>
      </c>
      <c r="M165" t="s">
        <v>2899</v>
      </c>
      <c r="N165" s="3">
        <v>1</v>
      </c>
      <c r="O165" s="3">
        <v>1.25</v>
      </c>
      <c r="P165" t="s">
        <v>12</v>
      </c>
    </row>
    <row r="166" spans="1:16" x14ac:dyDescent="0.25">
      <c r="A166">
        <v>2441</v>
      </c>
      <c r="B166">
        <v>1125857031</v>
      </c>
      <c r="C166">
        <v>1157668500</v>
      </c>
      <c r="D166" s="17" t="s">
        <v>6471</v>
      </c>
      <c r="E166" s="17" t="s">
        <v>5069</v>
      </c>
      <c r="F166" s="17" t="s">
        <v>3676</v>
      </c>
      <c r="G166" t="s">
        <v>3530</v>
      </c>
      <c r="H166">
        <v>1</v>
      </c>
      <c r="I166" s="1">
        <v>4.3015999999999996</v>
      </c>
      <c r="J166" s="1">
        <v>8.7532383419689115</v>
      </c>
      <c r="K166" s="1">
        <v>8.7532383419689115</v>
      </c>
      <c r="L166" t="s">
        <v>2363</v>
      </c>
      <c r="M166" t="s">
        <v>2323</v>
      </c>
      <c r="N166" s="3">
        <v>1</v>
      </c>
      <c r="O166" s="3">
        <v>8.7532379999999996</v>
      </c>
      <c r="P166" t="s">
        <v>12</v>
      </c>
    </row>
    <row r="167" spans="1:16" x14ac:dyDescent="0.25">
      <c r="A167">
        <v>2442</v>
      </c>
      <c r="B167">
        <v>1125857031</v>
      </c>
      <c r="C167" t="s">
        <v>5646</v>
      </c>
      <c r="D167" s="17" t="s">
        <v>6473</v>
      </c>
      <c r="E167" s="17" t="s">
        <v>5647</v>
      </c>
      <c r="F167" s="17" t="s">
        <v>3871</v>
      </c>
      <c r="G167" t="s">
        <v>3416</v>
      </c>
      <c r="H167">
        <v>2</v>
      </c>
      <c r="I167" s="1">
        <v>40.299199999999999</v>
      </c>
      <c r="J167" s="1">
        <v>29.076147186147189</v>
      </c>
      <c r="K167" s="1">
        <v>29.076147186147189</v>
      </c>
      <c r="L167" t="s">
        <v>6662</v>
      </c>
      <c r="M167" t="s">
        <v>2899</v>
      </c>
      <c r="N167" s="3">
        <v>2</v>
      </c>
      <c r="O167" s="3">
        <v>14.538074</v>
      </c>
      <c r="P167" t="s">
        <v>12</v>
      </c>
    </row>
    <row r="168" spans="1:16" x14ac:dyDescent="0.25">
      <c r="A168">
        <v>2455</v>
      </c>
      <c r="B168">
        <v>1124032769</v>
      </c>
      <c r="C168">
        <v>1167431558</v>
      </c>
      <c r="D168" s="17" t="s">
        <v>6471</v>
      </c>
      <c r="E168" s="17" t="s">
        <v>4894</v>
      </c>
      <c r="F168" s="17" t="s">
        <v>3666</v>
      </c>
      <c r="G168" t="s">
        <v>3416</v>
      </c>
      <c r="H168">
        <v>1</v>
      </c>
      <c r="I168" s="1">
        <v>14.85469194312796</v>
      </c>
      <c r="J168" s="1">
        <v>5.17</v>
      </c>
      <c r="K168" s="1">
        <v>5.17</v>
      </c>
      <c r="L168" t="s">
        <v>2045</v>
      </c>
      <c r="M168" t="s">
        <v>6696</v>
      </c>
      <c r="N168" s="3">
        <v>1</v>
      </c>
      <c r="O168" s="3">
        <v>5.17</v>
      </c>
      <c r="P168" t="s">
        <v>12</v>
      </c>
    </row>
    <row r="169" spans="1:16" x14ac:dyDescent="0.25">
      <c r="A169">
        <v>2468</v>
      </c>
      <c r="B169">
        <v>1121572848</v>
      </c>
      <c r="C169">
        <v>1146287863</v>
      </c>
      <c r="D169" s="17" t="s">
        <v>6471</v>
      </c>
      <c r="E169" s="17" t="s">
        <v>4138</v>
      </c>
      <c r="F169" s="17" t="s">
        <v>3945</v>
      </c>
      <c r="G169" t="s">
        <v>3530</v>
      </c>
      <c r="H169">
        <v>1</v>
      </c>
      <c r="I169" s="1">
        <v>70.28</v>
      </c>
      <c r="J169" s="1">
        <v>80.42</v>
      </c>
      <c r="K169" s="1">
        <v>80.42</v>
      </c>
      <c r="L169" t="s">
        <v>2613</v>
      </c>
      <c r="M169" t="s">
        <v>6697</v>
      </c>
      <c r="N169" s="3">
        <v>1</v>
      </c>
      <c r="O169" s="3">
        <v>80.42</v>
      </c>
      <c r="P169" t="s">
        <v>12</v>
      </c>
    </row>
    <row r="170" spans="1:16" ht="30" x14ac:dyDescent="0.25">
      <c r="A170">
        <v>2470</v>
      </c>
      <c r="B170">
        <v>1121382086</v>
      </c>
      <c r="C170">
        <v>1124619405</v>
      </c>
      <c r="D170" s="17" t="s">
        <v>6471</v>
      </c>
      <c r="E170" s="17" t="s">
        <v>5645</v>
      </c>
      <c r="F170" s="17" t="s">
        <v>3520</v>
      </c>
      <c r="G170" t="s">
        <v>3416</v>
      </c>
      <c r="H170">
        <v>1</v>
      </c>
      <c r="I170" s="1">
        <v>11.45381062355658</v>
      </c>
      <c r="J170" s="1">
        <v>22.05</v>
      </c>
      <c r="K170" s="1">
        <v>22.05</v>
      </c>
      <c r="L170" t="s">
        <v>2908</v>
      </c>
      <c r="M170" t="s">
        <v>6698</v>
      </c>
      <c r="N170" s="3">
        <v>1</v>
      </c>
      <c r="O170" s="3">
        <v>22.05</v>
      </c>
      <c r="P170" t="s">
        <v>12</v>
      </c>
    </row>
    <row r="171" spans="1:16" x14ac:dyDescent="0.25">
      <c r="A171">
        <v>2475</v>
      </c>
      <c r="B171">
        <v>1121120101</v>
      </c>
      <c r="C171" t="s">
        <v>5675</v>
      </c>
      <c r="D171" s="17" t="s">
        <v>6473</v>
      </c>
      <c r="E171" s="17" t="s">
        <v>5676</v>
      </c>
      <c r="F171" s="17" t="s">
        <v>3551</v>
      </c>
      <c r="G171" t="s">
        <v>3416</v>
      </c>
      <c r="H171">
        <v>4</v>
      </c>
      <c r="I171" s="1">
        <v>210.09644171779141</v>
      </c>
      <c r="J171" s="1">
        <v>95.39</v>
      </c>
      <c r="K171" s="1">
        <v>95.39</v>
      </c>
      <c r="L171" t="s">
        <v>6662</v>
      </c>
      <c r="M171" t="s">
        <v>2943</v>
      </c>
      <c r="N171" s="3">
        <v>4</v>
      </c>
      <c r="O171" s="3">
        <v>23.8475</v>
      </c>
      <c r="P171" t="s">
        <v>12</v>
      </c>
    </row>
    <row r="172" spans="1:16" x14ac:dyDescent="0.25">
      <c r="A172">
        <v>2478</v>
      </c>
      <c r="B172">
        <v>1121120052</v>
      </c>
      <c r="C172" t="s">
        <v>5677</v>
      </c>
      <c r="D172" s="17" t="s">
        <v>6473</v>
      </c>
      <c r="E172" s="17" t="s">
        <v>4524</v>
      </c>
      <c r="F172" s="17" t="s">
        <v>3658</v>
      </c>
      <c r="G172" t="s">
        <v>3416</v>
      </c>
      <c r="H172">
        <v>4</v>
      </c>
      <c r="I172" s="1">
        <v>97.174017305315203</v>
      </c>
      <c r="J172" s="1">
        <v>20.54</v>
      </c>
      <c r="K172" s="1">
        <v>20.54</v>
      </c>
      <c r="L172" t="s">
        <v>6662</v>
      </c>
      <c r="M172" t="s">
        <v>2943</v>
      </c>
      <c r="N172" s="3">
        <v>4</v>
      </c>
      <c r="O172" s="3">
        <v>5.1349999999999998</v>
      </c>
      <c r="P172" t="s">
        <v>12</v>
      </c>
    </row>
    <row r="173" spans="1:16" ht="30" x14ac:dyDescent="0.25">
      <c r="A173">
        <v>2492</v>
      </c>
      <c r="B173">
        <v>1120371901</v>
      </c>
      <c r="C173">
        <v>1239882307</v>
      </c>
      <c r="D173" s="17" t="s">
        <v>6471</v>
      </c>
      <c r="E173" s="17" t="s">
        <v>4032</v>
      </c>
      <c r="F173" s="17" t="s">
        <v>3520</v>
      </c>
      <c r="G173" t="s">
        <v>3416</v>
      </c>
      <c r="H173">
        <v>4</v>
      </c>
      <c r="I173" s="1">
        <v>1.684827586206896</v>
      </c>
      <c r="J173" s="1">
        <v>3.28</v>
      </c>
      <c r="K173" s="1">
        <v>3.2800000000000002</v>
      </c>
      <c r="L173" t="s">
        <v>808</v>
      </c>
      <c r="M173" t="s">
        <v>763</v>
      </c>
      <c r="N173" s="3">
        <v>1</v>
      </c>
      <c r="O173" s="3">
        <v>3.28</v>
      </c>
      <c r="P173" t="s">
        <v>12</v>
      </c>
    </row>
    <row r="174" spans="1:16" x14ac:dyDescent="0.25">
      <c r="A174">
        <v>2522</v>
      </c>
      <c r="B174">
        <v>1119967728</v>
      </c>
      <c r="C174">
        <v>1241668804</v>
      </c>
      <c r="D174" s="17" t="s">
        <v>6471</v>
      </c>
      <c r="E174" s="17" t="s">
        <v>3985</v>
      </c>
      <c r="F174" s="17" t="s">
        <v>3551</v>
      </c>
      <c r="G174" t="s">
        <v>3416</v>
      </c>
      <c r="H174">
        <v>1</v>
      </c>
      <c r="I174" s="1">
        <v>2.2520902968321281</v>
      </c>
      <c r="J174" s="1">
        <v>1.7311320754716981</v>
      </c>
      <c r="K174" s="1">
        <v>1.7311320754716981</v>
      </c>
      <c r="L174" t="s">
        <v>742</v>
      </c>
      <c r="M174" t="s">
        <v>707</v>
      </c>
      <c r="N174" s="3">
        <v>3</v>
      </c>
      <c r="O174" s="3">
        <v>0.577044</v>
      </c>
      <c r="P174" t="s">
        <v>12</v>
      </c>
    </row>
    <row r="175" spans="1:16" ht="30" x14ac:dyDescent="0.25">
      <c r="A175">
        <v>2530</v>
      </c>
      <c r="B175">
        <v>1119214426</v>
      </c>
      <c r="C175">
        <v>1119858259</v>
      </c>
      <c r="D175" s="17" t="s">
        <v>6471</v>
      </c>
      <c r="E175" s="17" t="s">
        <v>4820</v>
      </c>
      <c r="F175" s="17" t="s">
        <v>3520</v>
      </c>
      <c r="G175" t="s">
        <v>3416</v>
      </c>
      <c r="H175">
        <v>1</v>
      </c>
      <c r="I175" s="1">
        <v>40.28</v>
      </c>
      <c r="J175" s="1">
        <v>47.040108108108107</v>
      </c>
      <c r="K175" s="1">
        <v>47.040108108108107</v>
      </c>
      <c r="L175" t="s">
        <v>2971</v>
      </c>
      <c r="M175" t="s">
        <v>6699</v>
      </c>
      <c r="N175" s="3">
        <v>1</v>
      </c>
      <c r="O175" s="3">
        <v>47.040107999999996</v>
      </c>
      <c r="P175" t="s">
        <v>12</v>
      </c>
    </row>
    <row r="176" spans="1:16" x14ac:dyDescent="0.25">
      <c r="A176">
        <v>2536</v>
      </c>
      <c r="B176">
        <v>1119029040</v>
      </c>
      <c r="C176">
        <v>1252378732</v>
      </c>
      <c r="D176" s="17" t="s">
        <v>6471</v>
      </c>
      <c r="E176" s="17" t="s">
        <v>3773</v>
      </c>
      <c r="F176" s="17" t="s">
        <v>3551</v>
      </c>
      <c r="G176" t="s">
        <v>3416</v>
      </c>
      <c r="H176">
        <v>4</v>
      </c>
      <c r="I176" s="1">
        <v>1.169520547945206</v>
      </c>
      <c r="J176" s="1">
        <v>2.5098039215686274</v>
      </c>
      <c r="K176" s="1">
        <v>2.5098039215686274</v>
      </c>
      <c r="L176" t="s">
        <v>472</v>
      </c>
      <c r="M176" t="s">
        <v>445</v>
      </c>
      <c r="N176" s="3">
        <v>4</v>
      </c>
      <c r="O176" s="3">
        <v>0.62745099999999998</v>
      </c>
      <c r="P176" t="s">
        <v>12</v>
      </c>
    </row>
    <row r="177" spans="1:16" ht="30" x14ac:dyDescent="0.25">
      <c r="A177">
        <v>2590</v>
      </c>
      <c r="B177">
        <v>1118802190</v>
      </c>
      <c r="C177">
        <v>1273923257</v>
      </c>
      <c r="D177" s="17" t="s">
        <v>6471</v>
      </c>
      <c r="E177" s="17" t="s">
        <v>3519</v>
      </c>
      <c r="F177" s="17" t="s">
        <v>3520</v>
      </c>
      <c r="G177" t="s">
        <v>3416</v>
      </c>
      <c r="H177">
        <v>1</v>
      </c>
      <c r="I177" s="1">
        <v>2.6228900949796481</v>
      </c>
      <c r="J177" s="1">
        <v>1.95</v>
      </c>
      <c r="K177" s="1">
        <v>1.95</v>
      </c>
      <c r="L177" t="s">
        <v>299</v>
      </c>
      <c r="M177" t="s">
        <v>6700</v>
      </c>
      <c r="N177" s="3">
        <v>1</v>
      </c>
      <c r="O177" s="3">
        <v>1.95</v>
      </c>
      <c r="P177" t="s">
        <v>12</v>
      </c>
    </row>
    <row r="178" spans="1:16" ht="30" x14ac:dyDescent="0.25">
      <c r="A178">
        <v>2601</v>
      </c>
      <c r="B178">
        <v>1118605239</v>
      </c>
      <c r="C178">
        <v>1119858259</v>
      </c>
      <c r="D178" s="17" t="s">
        <v>6471</v>
      </c>
      <c r="E178" s="17" t="s">
        <v>4820</v>
      </c>
      <c r="F178" s="17" t="s">
        <v>3520</v>
      </c>
      <c r="G178" t="s">
        <v>3416</v>
      </c>
      <c r="H178">
        <v>1</v>
      </c>
      <c r="I178" s="1">
        <v>30.28</v>
      </c>
      <c r="J178" s="1">
        <v>49.154270270270274</v>
      </c>
      <c r="K178" s="1">
        <v>49.154270270270274</v>
      </c>
      <c r="L178" t="s">
        <v>2971</v>
      </c>
      <c r="M178" t="s">
        <v>6699</v>
      </c>
      <c r="N178" s="3">
        <v>1</v>
      </c>
      <c r="O178" s="3">
        <v>49.154269999999997</v>
      </c>
      <c r="P178" t="s">
        <v>12</v>
      </c>
    </row>
    <row r="179" spans="1:16" x14ac:dyDescent="0.25">
      <c r="A179">
        <v>2824</v>
      </c>
      <c r="B179">
        <v>1115850700</v>
      </c>
      <c r="C179">
        <v>1162831676</v>
      </c>
      <c r="D179" s="17" t="s">
        <v>6471</v>
      </c>
      <c r="E179" s="17" t="s">
        <v>4712</v>
      </c>
      <c r="F179" s="17" t="s">
        <v>3723</v>
      </c>
      <c r="G179" t="s">
        <v>3530</v>
      </c>
      <c r="H179">
        <v>2</v>
      </c>
      <c r="I179" s="1">
        <v>21.18</v>
      </c>
      <c r="J179" s="1">
        <v>12.17</v>
      </c>
      <c r="K179" s="1">
        <v>12.17</v>
      </c>
      <c r="L179" t="s">
        <v>2218</v>
      </c>
      <c r="M179" t="s">
        <v>2124</v>
      </c>
      <c r="N179" s="3">
        <v>1</v>
      </c>
      <c r="O179" s="3">
        <v>12.17</v>
      </c>
      <c r="P179" t="s">
        <v>12</v>
      </c>
    </row>
    <row r="180" spans="1:16" x14ac:dyDescent="0.25">
      <c r="A180">
        <v>2832</v>
      </c>
      <c r="B180">
        <v>1115785176</v>
      </c>
      <c r="C180">
        <v>1194632647</v>
      </c>
      <c r="D180" s="17" t="s">
        <v>6471</v>
      </c>
      <c r="E180" s="17" t="s">
        <v>4615</v>
      </c>
      <c r="F180" s="17" t="s">
        <v>4017</v>
      </c>
      <c r="G180" t="s">
        <v>3530</v>
      </c>
      <c r="H180">
        <v>4</v>
      </c>
      <c r="I180" s="1">
        <v>4.9800000000000004</v>
      </c>
      <c r="J180" s="1">
        <v>1.2462962962962962</v>
      </c>
      <c r="K180" s="1">
        <v>1.2462962962962962</v>
      </c>
      <c r="L180" t="s">
        <v>1493</v>
      </c>
      <c r="M180" t="s">
        <v>6678</v>
      </c>
      <c r="N180" s="3">
        <v>4</v>
      </c>
      <c r="O180" s="3">
        <v>0.31157400000000002</v>
      </c>
      <c r="P180" t="s">
        <v>12</v>
      </c>
    </row>
    <row r="181" spans="1:16" ht="30" x14ac:dyDescent="0.25">
      <c r="A181">
        <v>2834</v>
      </c>
      <c r="B181">
        <v>1115784837</v>
      </c>
      <c r="C181">
        <v>1188500052</v>
      </c>
      <c r="D181" s="17" t="s">
        <v>6471</v>
      </c>
      <c r="E181" s="17" t="s">
        <v>4681</v>
      </c>
      <c r="F181" s="17" t="s">
        <v>4682</v>
      </c>
      <c r="G181" t="s">
        <v>3416</v>
      </c>
      <c r="H181">
        <v>1</v>
      </c>
      <c r="I181" s="1">
        <v>1.648439306358382</v>
      </c>
      <c r="J181" s="1">
        <v>0.55374336804873259</v>
      </c>
      <c r="K181" s="1">
        <v>0.55374336804873259</v>
      </c>
      <c r="L181" t="s">
        <v>1609</v>
      </c>
      <c r="M181" t="s">
        <v>6679</v>
      </c>
      <c r="N181" s="3">
        <v>1</v>
      </c>
      <c r="O181" s="3">
        <v>0.55374299999999999</v>
      </c>
      <c r="P181" t="s">
        <v>12</v>
      </c>
    </row>
    <row r="182" spans="1:16" x14ac:dyDescent="0.25">
      <c r="A182">
        <v>2835</v>
      </c>
      <c r="B182">
        <v>1115781748</v>
      </c>
      <c r="C182" t="s">
        <v>5965</v>
      </c>
      <c r="D182" s="17" t="s">
        <v>6473</v>
      </c>
      <c r="E182" s="17" t="s">
        <v>5966</v>
      </c>
      <c r="F182" s="17" t="s">
        <v>4173</v>
      </c>
      <c r="G182" t="s">
        <v>3530</v>
      </c>
      <c r="H182">
        <v>2</v>
      </c>
      <c r="I182" s="1">
        <v>7.9661016949152543</v>
      </c>
      <c r="J182" s="1">
        <v>14.34</v>
      </c>
      <c r="K182" s="1">
        <v>14.34</v>
      </c>
      <c r="L182" t="s">
        <v>6662</v>
      </c>
      <c r="M182" t="s">
        <v>3054</v>
      </c>
      <c r="N182" s="3">
        <v>2</v>
      </c>
      <c r="O182" s="3">
        <v>7.17</v>
      </c>
      <c r="P182" t="s">
        <v>12</v>
      </c>
    </row>
    <row r="183" spans="1:16" ht="30" x14ac:dyDescent="0.25">
      <c r="A183">
        <v>2851</v>
      </c>
      <c r="B183">
        <v>1113339417</v>
      </c>
      <c r="C183">
        <v>1110944844</v>
      </c>
      <c r="D183" s="17" t="s">
        <v>6471</v>
      </c>
      <c r="E183" s="17" t="s">
        <v>5979</v>
      </c>
      <c r="F183" s="17" t="s">
        <v>3678</v>
      </c>
      <c r="G183" t="s">
        <v>3416</v>
      </c>
      <c r="H183">
        <v>1</v>
      </c>
      <c r="I183" s="1">
        <v>5.43</v>
      </c>
      <c r="J183" s="1">
        <v>6.18</v>
      </c>
      <c r="K183" s="1">
        <v>6.18</v>
      </c>
      <c r="L183" t="s">
        <v>3115</v>
      </c>
      <c r="M183" t="s">
        <v>3116</v>
      </c>
      <c r="N183" s="3">
        <v>1</v>
      </c>
      <c r="O183" s="3">
        <v>6.18</v>
      </c>
      <c r="P183" t="s">
        <v>12</v>
      </c>
    </row>
    <row r="184" spans="1:16" x14ac:dyDescent="0.25">
      <c r="A184">
        <v>2876</v>
      </c>
      <c r="B184">
        <v>1112440108</v>
      </c>
      <c r="C184">
        <v>1158084187</v>
      </c>
      <c r="D184" s="17" t="s">
        <v>6471</v>
      </c>
      <c r="E184" s="17" t="s">
        <v>5066</v>
      </c>
      <c r="F184" s="17" t="s">
        <v>3652</v>
      </c>
      <c r="G184" t="s">
        <v>3530</v>
      </c>
      <c r="H184">
        <v>1</v>
      </c>
      <c r="I184" s="1">
        <v>1.2949999999999999</v>
      </c>
      <c r="J184" s="1">
        <v>1.2067796610169492</v>
      </c>
      <c r="K184" s="1">
        <v>1.2067796610169492</v>
      </c>
      <c r="L184" t="s">
        <v>2340</v>
      </c>
      <c r="M184" t="s">
        <v>2323</v>
      </c>
      <c r="N184" s="3">
        <v>1</v>
      </c>
      <c r="O184" s="3">
        <v>1.20678</v>
      </c>
      <c r="P184" t="s">
        <v>12</v>
      </c>
    </row>
    <row r="185" spans="1:16" x14ac:dyDescent="0.25">
      <c r="A185">
        <v>2877</v>
      </c>
      <c r="B185">
        <v>1112433260</v>
      </c>
      <c r="C185">
        <v>1174481100</v>
      </c>
      <c r="D185" s="17" t="s">
        <v>6471</v>
      </c>
      <c r="E185" s="17" t="s">
        <v>4321</v>
      </c>
      <c r="F185" s="17" t="s">
        <v>4322</v>
      </c>
      <c r="G185" t="s">
        <v>3416</v>
      </c>
      <c r="H185">
        <v>1</v>
      </c>
      <c r="I185" s="1">
        <v>30.265714285714289</v>
      </c>
      <c r="J185" s="1">
        <v>15.72</v>
      </c>
      <c r="K185" s="1">
        <v>15.72</v>
      </c>
      <c r="L185" t="s">
        <v>1898</v>
      </c>
      <c r="M185" t="s">
        <v>1772</v>
      </c>
      <c r="N185" s="3">
        <v>1</v>
      </c>
      <c r="O185" s="3">
        <v>15.72</v>
      </c>
      <c r="P185" t="s">
        <v>12</v>
      </c>
    </row>
    <row r="186" spans="1:16" x14ac:dyDescent="0.25">
      <c r="A186">
        <v>2879</v>
      </c>
      <c r="B186">
        <v>1112433245</v>
      </c>
      <c r="C186">
        <v>1167770577</v>
      </c>
      <c r="D186" s="17" t="s">
        <v>6471</v>
      </c>
      <c r="E186" s="17" t="s">
        <v>4221</v>
      </c>
      <c r="F186" s="17" t="s">
        <v>1210</v>
      </c>
      <c r="G186" t="s">
        <v>3416</v>
      </c>
      <c r="H186">
        <v>1</v>
      </c>
      <c r="I186" s="1">
        <v>31.686315789473689</v>
      </c>
      <c r="J186" s="1">
        <v>17.170000000000002</v>
      </c>
      <c r="K186" s="1">
        <v>17.169999999999998</v>
      </c>
      <c r="L186" t="s">
        <v>2028</v>
      </c>
      <c r="M186" t="s">
        <v>6701</v>
      </c>
      <c r="N186" s="3">
        <v>1</v>
      </c>
      <c r="O186" s="3">
        <v>17.170000000000002</v>
      </c>
      <c r="P186" t="s">
        <v>12</v>
      </c>
    </row>
    <row r="187" spans="1:16" x14ac:dyDescent="0.25">
      <c r="A187">
        <v>2880</v>
      </c>
      <c r="B187">
        <v>1112433245</v>
      </c>
      <c r="C187">
        <v>1167473026</v>
      </c>
      <c r="D187" s="17" t="s">
        <v>6471</v>
      </c>
      <c r="E187" s="17" t="s">
        <v>4221</v>
      </c>
      <c r="F187" s="17" t="s">
        <v>1210</v>
      </c>
      <c r="G187" t="s">
        <v>3530</v>
      </c>
      <c r="H187">
        <v>1</v>
      </c>
      <c r="I187" s="1">
        <v>30.59368421052632</v>
      </c>
      <c r="J187" s="1">
        <v>16.9278391959799</v>
      </c>
      <c r="K187" s="1">
        <v>16.9278391959799</v>
      </c>
      <c r="L187" t="s">
        <v>2042</v>
      </c>
      <c r="M187" t="s">
        <v>2015</v>
      </c>
      <c r="N187" s="3">
        <v>1</v>
      </c>
      <c r="O187" s="3">
        <v>16.927838999999999</v>
      </c>
      <c r="P187" t="s">
        <v>12</v>
      </c>
    </row>
    <row r="188" spans="1:16" x14ac:dyDescent="0.25">
      <c r="A188">
        <v>2881</v>
      </c>
      <c r="B188">
        <v>1112427213</v>
      </c>
      <c r="C188">
        <v>1156387321</v>
      </c>
      <c r="D188" s="17" t="s">
        <v>6471</v>
      </c>
      <c r="E188" s="17" t="s">
        <v>5098</v>
      </c>
      <c r="F188" s="17" t="s">
        <v>3619</v>
      </c>
      <c r="G188" t="s">
        <v>3453</v>
      </c>
      <c r="H188">
        <v>1</v>
      </c>
      <c r="I188" s="1">
        <v>7.18</v>
      </c>
      <c r="J188" s="1">
        <v>6.17</v>
      </c>
      <c r="K188" s="1">
        <v>6.17</v>
      </c>
      <c r="L188" t="s">
        <v>2410</v>
      </c>
      <c r="M188" t="s">
        <v>2378</v>
      </c>
      <c r="N188" s="3">
        <v>1</v>
      </c>
      <c r="O188" s="3">
        <v>6.17</v>
      </c>
      <c r="P188" t="s">
        <v>12</v>
      </c>
    </row>
    <row r="189" spans="1:16" x14ac:dyDescent="0.25">
      <c r="A189">
        <v>2883</v>
      </c>
      <c r="B189">
        <v>1112425769</v>
      </c>
      <c r="C189">
        <v>1275996078</v>
      </c>
      <c r="D189" s="17" t="s">
        <v>6471</v>
      </c>
      <c r="E189" s="17" t="s">
        <v>3528</v>
      </c>
      <c r="F189" s="17" t="s">
        <v>3529</v>
      </c>
      <c r="G189" t="s">
        <v>3530</v>
      </c>
      <c r="H189">
        <v>1</v>
      </c>
      <c r="I189" s="1">
        <v>1.6941176470588231</v>
      </c>
      <c r="J189" s="1">
        <v>1.7</v>
      </c>
      <c r="K189" s="1">
        <v>1.7</v>
      </c>
      <c r="L189" t="s">
        <v>282</v>
      </c>
      <c r="M189" t="s">
        <v>157</v>
      </c>
      <c r="N189" s="3">
        <v>1</v>
      </c>
      <c r="O189" s="3">
        <v>1.7</v>
      </c>
      <c r="P189" t="s">
        <v>12</v>
      </c>
    </row>
    <row r="190" spans="1:16" x14ac:dyDescent="0.25">
      <c r="A190">
        <v>2889</v>
      </c>
      <c r="B190">
        <v>1112425760</v>
      </c>
      <c r="C190">
        <v>1258407112</v>
      </c>
      <c r="D190" s="17" t="s">
        <v>6471</v>
      </c>
      <c r="E190" s="17" t="s">
        <v>3715</v>
      </c>
      <c r="F190" s="17" t="s">
        <v>3716</v>
      </c>
      <c r="G190" t="s">
        <v>3416</v>
      </c>
      <c r="H190">
        <v>2</v>
      </c>
      <c r="I190" s="1">
        <v>1.546370558375634</v>
      </c>
      <c r="J190" s="1">
        <v>0.5396174863387978</v>
      </c>
      <c r="K190" s="1">
        <v>0.5396174863387978</v>
      </c>
      <c r="L190" t="s">
        <v>318</v>
      </c>
      <c r="M190" t="s">
        <v>355</v>
      </c>
      <c r="N190" s="3">
        <v>2</v>
      </c>
      <c r="O190" s="3">
        <v>0.26980900000000002</v>
      </c>
      <c r="P190" t="s">
        <v>12</v>
      </c>
    </row>
    <row r="191" spans="1:16" x14ac:dyDescent="0.25">
      <c r="A191">
        <v>2894</v>
      </c>
      <c r="B191">
        <v>1112425760</v>
      </c>
      <c r="C191">
        <v>1262419985</v>
      </c>
      <c r="D191" s="17" t="s">
        <v>6471</v>
      </c>
      <c r="E191" s="17" t="s">
        <v>3665</v>
      </c>
      <c r="F191" s="17" t="s">
        <v>3666</v>
      </c>
      <c r="G191" t="s">
        <v>3416</v>
      </c>
      <c r="H191">
        <v>3</v>
      </c>
      <c r="I191" s="1">
        <v>2.5212563451776648</v>
      </c>
      <c r="J191" s="1">
        <v>1.6389776357827475</v>
      </c>
      <c r="K191" s="1">
        <v>1.6389776357827475</v>
      </c>
      <c r="L191" t="s">
        <v>294</v>
      </c>
      <c r="M191" t="s">
        <v>334</v>
      </c>
      <c r="N191" s="3">
        <v>3</v>
      </c>
      <c r="O191" s="3">
        <v>0.54632599999999998</v>
      </c>
      <c r="P191" t="s">
        <v>12</v>
      </c>
    </row>
    <row r="192" spans="1:16" x14ac:dyDescent="0.25">
      <c r="A192">
        <v>2926</v>
      </c>
      <c r="B192">
        <v>1108985786</v>
      </c>
      <c r="C192">
        <v>1258407112</v>
      </c>
      <c r="D192" s="17" t="s">
        <v>6471</v>
      </c>
      <c r="E192" s="17" t="s">
        <v>3717</v>
      </c>
      <c r="F192" s="17" t="s">
        <v>3718</v>
      </c>
      <c r="G192" t="s">
        <v>3453</v>
      </c>
      <c r="H192">
        <v>3</v>
      </c>
      <c r="I192" s="1">
        <v>1.679020100502512</v>
      </c>
      <c r="J192" s="1">
        <v>0.2698087431693989</v>
      </c>
      <c r="K192" s="1">
        <v>0.2698087431693989</v>
      </c>
      <c r="L192" t="s">
        <v>318</v>
      </c>
      <c r="M192" t="s">
        <v>355</v>
      </c>
      <c r="N192" s="3">
        <v>1</v>
      </c>
      <c r="O192" s="3">
        <v>0.26980900000000002</v>
      </c>
      <c r="P192" t="s">
        <v>12</v>
      </c>
    </row>
    <row r="193" spans="1:16" x14ac:dyDescent="0.25">
      <c r="A193">
        <v>2928</v>
      </c>
      <c r="B193">
        <v>1108985786</v>
      </c>
      <c r="C193">
        <v>1251259881</v>
      </c>
      <c r="D193" s="17" t="s">
        <v>6471</v>
      </c>
      <c r="E193" s="17" t="s">
        <v>3789</v>
      </c>
      <c r="F193" s="17" t="s">
        <v>3790</v>
      </c>
      <c r="G193" t="s">
        <v>3530</v>
      </c>
      <c r="H193">
        <v>1</v>
      </c>
      <c r="I193" s="1">
        <v>0.5596733668341709</v>
      </c>
      <c r="J193" s="1">
        <v>0.2866161616161616</v>
      </c>
      <c r="K193" s="1">
        <v>0.2866161616161616</v>
      </c>
      <c r="L193" t="s">
        <v>491</v>
      </c>
      <c r="M193" t="s">
        <v>461</v>
      </c>
      <c r="N193" s="3">
        <v>1</v>
      </c>
      <c r="O193" s="3">
        <v>0.28661599999999998</v>
      </c>
      <c r="P193" t="s">
        <v>12</v>
      </c>
    </row>
    <row r="194" spans="1:16" x14ac:dyDescent="0.25">
      <c r="A194">
        <v>2933</v>
      </c>
      <c r="B194">
        <v>1108985786</v>
      </c>
      <c r="C194">
        <v>1211013934</v>
      </c>
      <c r="D194" s="17" t="s">
        <v>6471</v>
      </c>
      <c r="E194" s="17" t="s">
        <v>4310</v>
      </c>
      <c r="F194" s="17" t="s">
        <v>3837</v>
      </c>
      <c r="G194" t="s">
        <v>3416</v>
      </c>
      <c r="H194">
        <v>4</v>
      </c>
      <c r="I194" s="1">
        <v>9.9845728643216081</v>
      </c>
      <c r="J194" s="1">
        <v>6.93</v>
      </c>
      <c r="K194" s="1">
        <v>6.93</v>
      </c>
      <c r="L194" t="s">
        <v>647</v>
      </c>
      <c r="M194" t="s">
        <v>1173</v>
      </c>
      <c r="N194" s="3">
        <v>4</v>
      </c>
      <c r="O194" s="3">
        <v>1.7324999999999999</v>
      </c>
      <c r="P194" t="s">
        <v>12</v>
      </c>
    </row>
    <row r="195" spans="1:16" x14ac:dyDescent="0.25">
      <c r="A195">
        <v>2940</v>
      </c>
      <c r="B195">
        <v>1108985781</v>
      </c>
      <c r="C195">
        <v>1242015691</v>
      </c>
      <c r="D195" s="17" t="s">
        <v>6471</v>
      </c>
      <c r="E195" s="17" t="s">
        <v>3958</v>
      </c>
      <c r="F195" s="17" t="s">
        <v>3959</v>
      </c>
      <c r="G195" t="s">
        <v>3416</v>
      </c>
      <c r="H195">
        <v>4</v>
      </c>
      <c r="I195" s="1">
        <v>2.3377215189873422</v>
      </c>
      <c r="J195" s="1">
        <v>6.25</v>
      </c>
      <c r="K195" s="1">
        <v>6.25</v>
      </c>
      <c r="L195" t="s">
        <v>731</v>
      </c>
      <c r="M195" t="s">
        <v>665</v>
      </c>
      <c r="N195" s="3">
        <v>4</v>
      </c>
      <c r="O195" s="3">
        <v>1.5625</v>
      </c>
      <c r="P195" t="s">
        <v>12</v>
      </c>
    </row>
    <row r="196" spans="1:16" x14ac:dyDescent="0.25">
      <c r="A196">
        <v>2960</v>
      </c>
      <c r="B196">
        <v>1107483796</v>
      </c>
      <c r="C196">
        <v>1243072138</v>
      </c>
      <c r="D196" s="17" t="s">
        <v>6471</v>
      </c>
      <c r="E196" s="17" t="s">
        <v>3944</v>
      </c>
      <c r="F196" s="17" t="s">
        <v>3945</v>
      </c>
      <c r="G196" t="s">
        <v>3416</v>
      </c>
      <c r="H196">
        <v>4</v>
      </c>
      <c r="I196" s="1">
        <v>4.5091244239631338</v>
      </c>
      <c r="J196" s="1">
        <v>6.25</v>
      </c>
      <c r="K196" s="1">
        <v>6.25</v>
      </c>
      <c r="L196" t="s">
        <v>697</v>
      </c>
      <c r="M196" t="s">
        <v>6684</v>
      </c>
      <c r="N196" s="3">
        <v>4</v>
      </c>
      <c r="O196" s="3">
        <v>1.5625</v>
      </c>
      <c r="P196" t="s">
        <v>12</v>
      </c>
    </row>
    <row r="197" spans="1:16" x14ac:dyDescent="0.25">
      <c r="A197">
        <v>2971</v>
      </c>
      <c r="B197">
        <v>1107483796</v>
      </c>
      <c r="C197" t="s">
        <v>6045</v>
      </c>
      <c r="D197" s="17" t="s">
        <v>6473</v>
      </c>
      <c r="E197" s="17" t="s">
        <v>6046</v>
      </c>
      <c r="F197" s="17" t="s">
        <v>3718</v>
      </c>
      <c r="G197" t="s">
        <v>3416</v>
      </c>
      <c r="H197">
        <v>2</v>
      </c>
      <c r="I197" s="1">
        <v>1.6852283200670299</v>
      </c>
      <c r="J197" s="1">
        <v>2.7540716612377851</v>
      </c>
      <c r="K197" s="1">
        <v>2.7540716612377851</v>
      </c>
      <c r="L197" t="s">
        <v>6662</v>
      </c>
      <c r="M197" t="s">
        <v>3148</v>
      </c>
      <c r="N197" s="3">
        <v>2</v>
      </c>
      <c r="O197" s="3">
        <v>1.3770359999999999</v>
      </c>
      <c r="P197" t="s">
        <v>12</v>
      </c>
    </row>
    <row r="198" spans="1:16" ht="30" x14ac:dyDescent="0.25">
      <c r="A198">
        <v>2973</v>
      </c>
      <c r="B198">
        <v>1107353399</v>
      </c>
      <c r="C198">
        <v>1243812749</v>
      </c>
      <c r="D198" s="17" t="s">
        <v>6471</v>
      </c>
      <c r="E198" s="17" t="s">
        <v>3948</v>
      </c>
      <c r="F198" s="17" t="s">
        <v>3949</v>
      </c>
      <c r="G198" t="s">
        <v>3416</v>
      </c>
      <c r="H198">
        <v>2</v>
      </c>
      <c r="I198" s="1">
        <v>16.112507856693899</v>
      </c>
      <c r="J198" s="1">
        <v>2.83</v>
      </c>
      <c r="K198" s="1">
        <v>2.83</v>
      </c>
      <c r="L198" t="s">
        <v>677</v>
      </c>
      <c r="M198" t="s">
        <v>651</v>
      </c>
      <c r="N198" s="3">
        <v>1</v>
      </c>
      <c r="O198" s="3">
        <v>2.83</v>
      </c>
      <c r="P198" t="s">
        <v>12</v>
      </c>
    </row>
    <row r="199" spans="1:16" x14ac:dyDescent="0.25">
      <c r="A199">
        <v>2976</v>
      </c>
      <c r="B199">
        <v>1107026406</v>
      </c>
      <c r="C199">
        <v>1157668500</v>
      </c>
      <c r="D199" s="17" t="s">
        <v>6471</v>
      </c>
      <c r="E199" s="17" t="s">
        <v>5068</v>
      </c>
      <c r="F199" s="17" t="s">
        <v>4860</v>
      </c>
      <c r="G199" t="s">
        <v>3416</v>
      </c>
      <c r="H199">
        <v>1</v>
      </c>
      <c r="I199" s="1">
        <v>2.273265306122449</v>
      </c>
      <c r="J199" s="1">
        <v>1.651554404145078</v>
      </c>
      <c r="K199" s="1">
        <v>1.6515544041450778</v>
      </c>
      <c r="L199" t="s">
        <v>2363</v>
      </c>
      <c r="M199" t="s">
        <v>2323</v>
      </c>
      <c r="N199" s="3">
        <v>1</v>
      </c>
      <c r="O199" s="3">
        <v>1.651554</v>
      </c>
      <c r="P199" t="s">
        <v>12</v>
      </c>
    </row>
    <row r="200" spans="1:16" x14ac:dyDescent="0.25">
      <c r="A200">
        <v>2977</v>
      </c>
      <c r="B200">
        <v>1107026406</v>
      </c>
      <c r="C200" t="s">
        <v>6063</v>
      </c>
      <c r="D200" s="17" t="s">
        <v>6473</v>
      </c>
      <c r="E200" s="17" t="s">
        <v>4515</v>
      </c>
      <c r="F200" s="17" t="s">
        <v>3666</v>
      </c>
      <c r="G200" t="s">
        <v>3453</v>
      </c>
      <c r="H200">
        <v>2</v>
      </c>
      <c r="I200" s="1">
        <v>34.856734693877549</v>
      </c>
      <c r="J200" s="1">
        <v>22.14</v>
      </c>
      <c r="K200" s="1">
        <v>22.14</v>
      </c>
      <c r="L200" t="s">
        <v>6662</v>
      </c>
      <c r="M200" t="s">
        <v>3157</v>
      </c>
      <c r="N200" s="3">
        <v>2</v>
      </c>
      <c r="O200" s="3">
        <v>11.07</v>
      </c>
      <c r="P200" t="s">
        <v>12</v>
      </c>
    </row>
    <row r="201" spans="1:16" x14ac:dyDescent="0.25">
      <c r="A201">
        <v>2985</v>
      </c>
      <c r="B201">
        <v>1105458937</v>
      </c>
      <c r="C201" t="s">
        <v>6064</v>
      </c>
      <c r="D201" s="17" t="s">
        <v>6473</v>
      </c>
      <c r="E201" s="17" t="s">
        <v>4961</v>
      </c>
      <c r="F201" s="17" t="s">
        <v>3551</v>
      </c>
      <c r="G201" t="s">
        <v>3416</v>
      </c>
      <c r="H201">
        <v>4</v>
      </c>
      <c r="I201" s="1">
        <v>3.7884873404025101</v>
      </c>
      <c r="J201" s="1">
        <v>1.1244246305152521</v>
      </c>
      <c r="K201" s="1">
        <v>1.1244246305152521</v>
      </c>
      <c r="L201" t="s">
        <v>6662</v>
      </c>
      <c r="M201" t="s">
        <v>3164</v>
      </c>
      <c r="N201" s="3">
        <v>4</v>
      </c>
      <c r="O201" s="3">
        <v>0.28110600000000002</v>
      </c>
      <c r="P201" t="s">
        <v>12</v>
      </c>
    </row>
    <row r="202" spans="1:16" x14ac:dyDescent="0.25">
      <c r="A202">
        <v>3000</v>
      </c>
      <c r="B202">
        <v>1103716418</v>
      </c>
      <c r="C202">
        <v>1250724952</v>
      </c>
      <c r="D202" s="17" t="s">
        <v>6471</v>
      </c>
      <c r="E202" s="17" t="s">
        <v>3739</v>
      </c>
      <c r="F202" s="17" t="s">
        <v>3740</v>
      </c>
      <c r="G202" t="s">
        <v>3640</v>
      </c>
      <c r="H202">
        <v>2</v>
      </c>
      <c r="I202" s="1">
        <v>7.18</v>
      </c>
      <c r="J202" s="1">
        <v>3.4</v>
      </c>
      <c r="K202" s="1">
        <v>3.4</v>
      </c>
      <c r="L202" t="s">
        <v>505</v>
      </c>
      <c r="M202" t="s">
        <v>376</v>
      </c>
      <c r="N202" s="3">
        <v>1</v>
      </c>
      <c r="O202" s="3">
        <v>3.4</v>
      </c>
      <c r="P202" t="s">
        <v>12</v>
      </c>
    </row>
    <row r="203" spans="1:16" ht="30" x14ac:dyDescent="0.25">
      <c r="A203">
        <v>3001</v>
      </c>
      <c r="B203">
        <v>1103681173</v>
      </c>
      <c r="C203">
        <v>1157075496</v>
      </c>
      <c r="D203" s="17" t="s">
        <v>6470</v>
      </c>
      <c r="E203" s="17" t="s">
        <v>5072</v>
      </c>
      <c r="F203" s="17" t="s">
        <v>3740</v>
      </c>
      <c r="G203" t="s">
        <v>3530</v>
      </c>
      <c r="H203">
        <v>1</v>
      </c>
      <c r="I203" s="1">
        <v>3.59</v>
      </c>
      <c r="J203" s="1">
        <v>4.5965816326530611</v>
      </c>
      <c r="K203" s="1">
        <v>4.3233191489361706</v>
      </c>
      <c r="L203" t="s">
        <v>2382</v>
      </c>
      <c r="M203" t="s">
        <v>6702</v>
      </c>
      <c r="N203" s="3">
        <v>1</v>
      </c>
      <c r="O203" s="3">
        <v>4.3233189999999997</v>
      </c>
      <c r="P203" t="s">
        <v>12</v>
      </c>
    </row>
    <row r="204" spans="1:16" ht="30" x14ac:dyDescent="0.25">
      <c r="A204">
        <v>3002</v>
      </c>
      <c r="B204">
        <v>1103681173</v>
      </c>
      <c r="C204">
        <v>1157075496</v>
      </c>
      <c r="D204" s="17" t="s">
        <v>6469</v>
      </c>
      <c r="E204" s="17" t="s">
        <v>5072</v>
      </c>
      <c r="F204" s="17" t="s">
        <v>3740</v>
      </c>
      <c r="G204" t="s">
        <v>3640</v>
      </c>
      <c r="H204">
        <v>1</v>
      </c>
      <c r="I204" s="1">
        <v>3.59</v>
      </c>
      <c r="J204" s="1">
        <v>4.5965816326530611</v>
      </c>
      <c r="K204" s="1">
        <v>4.3233191489361706</v>
      </c>
      <c r="L204" t="s">
        <v>2382</v>
      </c>
      <c r="M204" t="s">
        <v>6702</v>
      </c>
      <c r="N204" s="3">
        <v>1</v>
      </c>
      <c r="O204" s="3">
        <v>4.3233189999999997</v>
      </c>
      <c r="P204" t="s">
        <v>12</v>
      </c>
    </row>
    <row r="205" spans="1:16" x14ac:dyDescent="0.25">
      <c r="A205">
        <v>3025</v>
      </c>
      <c r="B205">
        <v>1102230131</v>
      </c>
      <c r="C205">
        <v>1156561021</v>
      </c>
      <c r="D205" s="17" t="s">
        <v>6471</v>
      </c>
      <c r="E205" s="17" t="s">
        <v>5095</v>
      </c>
      <c r="F205" s="17" t="s">
        <v>4309</v>
      </c>
      <c r="G205" t="s">
        <v>3416</v>
      </c>
      <c r="H205">
        <v>4</v>
      </c>
      <c r="I205" s="1">
        <v>10.648909730363419</v>
      </c>
      <c r="J205" s="1">
        <v>8.5569620253164551</v>
      </c>
      <c r="K205" s="1">
        <v>8.5569620253164551</v>
      </c>
      <c r="L205" t="s">
        <v>2408</v>
      </c>
      <c r="M205" t="s">
        <v>2374</v>
      </c>
      <c r="N205" s="3">
        <v>4</v>
      </c>
      <c r="O205" s="3">
        <v>2.1392410000000002</v>
      </c>
      <c r="P205" t="s">
        <v>12</v>
      </c>
    </row>
    <row r="206" spans="1:16" x14ac:dyDescent="0.25">
      <c r="A206">
        <v>3032</v>
      </c>
      <c r="B206">
        <v>1101909422</v>
      </c>
      <c r="C206">
        <v>1153016592</v>
      </c>
      <c r="D206" s="17" t="s">
        <v>6471</v>
      </c>
      <c r="E206" s="17" t="s">
        <v>5146</v>
      </c>
      <c r="F206" s="17" t="s">
        <v>4043</v>
      </c>
      <c r="G206" t="s">
        <v>4226</v>
      </c>
      <c r="H206">
        <v>1</v>
      </c>
      <c r="I206" s="1">
        <v>58.927029288702933</v>
      </c>
      <c r="J206" s="1">
        <v>16.21</v>
      </c>
      <c r="K206" s="1">
        <v>16.21</v>
      </c>
      <c r="L206" t="s">
        <v>2489</v>
      </c>
      <c r="M206" t="s">
        <v>2473</v>
      </c>
      <c r="N206" s="3">
        <v>1</v>
      </c>
      <c r="O206" s="3">
        <v>16.21</v>
      </c>
      <c r="P206" t="s">
        <v>12</v>
      </c>
    </row>
    <row r="207" spans="1:16" x14ac:dyDescent="0.25">
      <c r="A207">
        <v>3034</v>
      </c>
      <c r="B207">
        <v>1101131183</v>
      </c>
      <c r="C207">
        <v>1166294148</v>
      </c>
      <c r="D207" s="17" t="s">
        <v>6471</v>
      </c>
      <c r="E207" s="17" t="s">
        <v>4919</v>
      </c>
      <c r="F207" s="17" t="s">
        <v>3871</v>
      </c>
      <c r="G207" t="s">
        <v>3640</v>
      </c>
      <c r="H207">
        <v>4</v>
      </c>
      <c r="I207" s="1">
        <v>37.24</v>
      </c>
      <c r="J207" s="1">
        <v>33.338738049713193</v>
      </c>
      <c r="K207" s="1">
        <v>33.338738049713193</v>
      </c>
      <c r="L207" t="s">
        <v>2075</v>
      </c>
      <c r="M207" t="s">
        <v>6703</v>
      </c>
      <c r="N207" s="3">
        <v>4</v>
      </c>
      <c r="O207" s="3">
        <v>8.3346850000000003</v>
      </c>
      <c r="P207" t="s">
        <v>12</v>
      </c>
    </row>
    <row r="208" spans="1:16" x14ac:dyDescent="0.25">
      <c r="A208">
        <v>3037</v>
      </c>
      <c r="B208">
        <v>1100957663</v>
      </c>
      <c r="C208">
        <v>1156788749</v>
      </c>
      <c r="D208" s="17" t="s">
        <v>6471</v>
      </c>
      <c r="E208" s="17" t="s">
        <v>5083</v>
      </c>
      <c r="F208" s="17" t="s">
        <v>4009</v>
      </c>
      <c r="G208" t="s">
        <v>3530</v>
      </c>
      <c r="H208">
        <v>3</v>
      </c>
      <c r="I208" s="1">
        <v>33.96</v>
      </c>
      <c r="J208" s="1">
        <v>10.17</v>
      </c>
      <c r="K208" s="1">
        <v>10.17</v>
      </c>
      <c r="L208" t="s">
        <v>2400</v>
      </c>
      <c r="M208" t="s">
        <v>2352</v>
      </c>
      <c r="N208" s="3">
        <v>1</v>
      </c>
      <c r="O208" s="3">
        <v>10.17</v>
      </c>
      <c r="P208" t="s">
        <v>12</v>
      </c>
    </row>
    <row r="209" spans="1:16" x14ac:dyDescent="0.25">
      <c r="A209">
        <v>3046</v>
      </c>
      <c r="B209">
        <v>1100955760</v>
      </c>
      <c r="C209">
        <v>1262419985</v>
      </c>
      <c r="D209" s="17" t="s">
        <v>6471</v>
      </c>
      <c r="E209" s="17" t="s">
        <v>3667</v>
      </c>
      <c r="F209" s="17" t="s">
        <v>3668</v>
      </c>
      <c r="G209" t="s">
        <v>3640</v>
      </c>
      <c r="H209">
        <v>3</v>
      </c>
      <c r="I209" s="1">
        <v>3.5708333333333329</v>
      </c>
      <c r="J209" s="1">
        <v>0.54632587859424919</v>
      </c>
      <c r="K209" s="1">
        <v>0.54632587859424919</v>
      </c>
      <c r="L209" t="s">
        <v>294</v>
      </c>
      <c r="M209" t="s">
        <v>334</v>
      </c>
      <c r="N209" s="3">
        <v>1</v>
      </c>
      <c r="O209" s="3">
        <v>0.54632599999999998</v>
      </c>
      <c r="P209" t="s">
        <v>12</v>
      </c>
    </row>
    <row r="210" spans="1:16" x14ac:dyDescent="0.25">
      <c r="A210">
        <v>3047</v>
      </c>
      <c r="B210">
        <v>1100955760</v>
      </c>
      <c r="C210">
        <v>1251259881</v>
      </c>
      <c r="D210" s="17" t="s">
        <v>6471</v>
      </c>
      <c r="E210" s="17" t="s">
        <v>3791</v>
      </c>
      <c r="F210" s="17" t="s">
        <v>3792</v>
      </c>
      <c r="G210" t="s">
        <v>3416</v>
      </c>
      <c r="H210">
        <v>4</v>
      </c>
      <c r="I210" s="1">
        <v>2.356509539842873</v>
      </c>
      <c r="J210" s="1">
        <v>1.1464646464646464</v>
      </c>
      <c r="K210" s="1">
        <v>1.1464646464646464</v>
      </c>
      <c r="L210" t="s">
        <v>491</v>
      </c>
      <c r="M210" t="s">
        <v>461</v>
      </c>
      <c r="N210" s="3">
        <v>4</v>
      </c>
      <c r="O210" s="3">
        <v>0.28661599999999998</v>
      </c>
      <c r="P210" t="s">
        <v>12</v>
      </c>
    </row>
    <row r="211" spans="1:16" x14ac:dyDescent="0.25">
      <c r="A211">
        <v>3057</v>
      </c>
      <c r="B211">
        <v>1100955760</v>
      </c>
      <c r="C211">
        <v>1256139128</v>
      </c>
      <c r="D211" s="17" t="s">
        <v>6471</v>
      </c>
      <c r="E211" s="17" t="s">
        <v>3730</v>
      </c>
      <c r="F211" s="17" t="s">
        <v>3658</v>
      </c>
      <c r="G211" t="s">
        <v>3416</v>
      </c>
      <c r="H211">
        <v>2</v>
      </c>
      <c r="I211" s="1">
        <v>0.60115039281705951</v>
      </c>
      <c r="J211" s="1">
        <v>3.3499999999999996</v>
      </c>
      <c r="K211" s="1">
        <v>3.3499999999999996</v>
      </c>
      <c r="L211" t="s">
        <v>402</v>
      </c>
      <c r="M211" t="s">
        <v>6669</v>
      </c>
      <c r="N211" s="3">
        <v>2</v>
      </c>
      <c r="O211" s="3">
        <v>1.675</v>
      </c>
      <c r="P211" t="s">
        <v>12</v>
      </c>
    </row>
    <row r="212" spans="1:16" x14ac:dyDescent="0.25">
      <c r="A212">
        <v>3059</v>
      </c>
      <c r="B212">
        <v>1100955760</v>
      </c>
      <c r="C212">
        <v>1192929609</v>
      </c>
      <c r="D212" s="17" t="s">
        <v>6471</v>
      </c>
      <c r="E212" s="17" t="s">
        <v>4588</v>
      </c>
      <c r="F212" s="17" t="s">
        <v>3723</v>
      </c>
      <c r="G212" t="s">
        <v>3453</v>
      </c>
      <c r="H212">
        <v>2</v>
      </c>
      <c r="I212" s="1">
        <v>1.803451178451178</v>
      </c>
      <c r="J212" s="1">
        <v>0.61904761904761907</v>
      </c>
      <c r="K212" s="1">
        <v>0.61904761904761907</v>
      </c>
      <c r="L212" t="s">
        <v>1523</v>
      </c>
      <c r="M212" t="s">
        <v>6666</v>
      </c>
      <c r="N212" s="3">
        <v>2</v>
      </c>
      <c r="O212" s="3">
        <v>0.30952400000000002</v>
      </c>
      <c r="P212" t="s">
        <v>12</v>
      </c>
    </row>
    <row r="213" spans="1:16" x14ac:dyDescent="0.25">
      <c r="A213">
        <v>3060</v>
      </c>
      <c r="B213">
        <v>1100879522</v>
      </c>
      <c r="C213">
        <v>1156295821</v>
      </c>
      <c r="D213" s="17" t="s">
        <v>6471</v>
      </c>
      <c r="E213" s="17" t="s">
        <v>5119</v>
      </c>
      <c r="F213" s="17" t="s">
        <v>3945</v>
      </c>
      <c r="G213" t="s">
        <v>3416</v>
      </c>
      <c r="H213">
        <v>2</v>
      </c>
      <c r="I213" s="1">
        <v>22.18</v>
      </c>
      <c r="J213" s="1">
        <v>9.1141552511415522</v>
      </c>
      <c r="K213" s="1">
        <v>9.1141552511415522</v>
      </c>
      <c r="L213" t="s">
        <v>2413</v>
      </c>
      <c r="M213" t="s">
        <v>2404</v>
      </c>
      <c r="N213" s="3">
        <v>2</v>
      </c>
      <c r="O213" s="3">
        <v>4.5570779999999997</v>
      </c>
      <c r="P213" t="s">
        <v>12</v>
      </c>
    </row>
    <row r="214" spans="1:16" x14ac:dyDescent="0.25">
      <c r="A214">
        <v>3061</v>
      </c>
      <c r="B214">
        <v>1100426977</v>
      </c>
      <c r="C214">
        <v>1252089479</v>
      </c>
      <c r="D214" s="17" t="s">
        <v>6471</v>
      </c>
      <c r="E214" s="17" t="s">
        <v>3766</v>
      </c>
      <c r="F214" s="17" t="s">
        <v>3726</v>
      </c>
      <c r="G214" t="s">
        <v>3530</v>
      </c>
      <c r="H214">
        <v>2</v>
      </c>
      <c r="I214" s="1">
        <v>5.2893602693602686</v>
      </c>
      <c r="J214" s="1">
        <v>6.6311965811965816</v>
      </c>
      <c r="K214" s="1">
        <v>6.6311965811965816</v>
      </c>
      <c r="L214" t="s">
        <v>479</v>
      </c>
      <c r="M214" t="s">
        <v>445</v>
      </c>
      <c r="N214" s="3">
        <v>2</v>
      </c>
      <c r="O214" s="3">
        <v>3.315598</v>
      </c>
      <c r="P214" t="s">
        <v>12</v>
      </c>
    </row>
    <row r="215" spans="1:16" x14ac:dyDescent="0.25">
      <c r="A215">
        <v>3062</v>
      </c>
      <c r="B215">
        <v>1100426977</v>
      </c>
      <c r="C215">
        <v>1170246592</v>
      </c>
      <c r="D215" s="17" t="s">
        <v>6471</v>
      </c>
      <c r="E215" s="17" t="s">
        <v>4899</v>
      </c>
      <c r="F215" s="17" t="s">
        <v>3726</v>
      </c>
      <c r="G215" t="s">
        <v>3530</v>
      </c>
      <c r="H215">
        <v>1</v>
      </c>
      <c r="I215" s="1">
        <v>10.74063973063973</v>
      </c>
      <c r="J215" s="1">
        <v>11.120000000000001</v>
      </c>
      <c r="K215" s="1">
        <v>11.120000000000001</v>
      </c>
      <c r="L215" t="s">
        <v>1996</v>
      </c>
      <c r="M215" t="s">
        <v>1986</v>
      </c>
      <c r="N215" s="3">
        <v>2</v>
      </c>
      <c r="O215" s="3">
        <v>5.56</v>
      </c>
      <c r="P215" t="s">
        <v>12</v>
      </c>
    </row>
    <row r="216" spans="1:16" x14ac:dyDescent="0.25">
      <c r="A216">
        <v>3066</v>
      </c>
      <c r="B216">
        <v>1100382249</v>
      </c>
      <c r="C216">
        <v>1156606050</v>
      </c>
      <c r="D216" s="17" t="s">
        <v>6471</v>
      </c>
      <c r="E216" s="17" t="s">
        <v>5077</v>
      </c>
      <c r="F216" s="17" t="s">
        <v>3658</v>
      </c>
      <c r="G216" t="s">
        <v>3416</v>
      </c>
      <c r="H216">
        <v>2</v>
      </c>
      <c r="I216" s="1">
        <v>21.488</v>
      </c>
      <c r="J216" s="1">
        <v>18.947386091127097</v>
      </c>
      <c r="K216" s="1">
        <v>18.947386091127097</v>
      </c>
      <c r="L216" t="s">
        <v>2403</v>
      </c>
      <c r="M216" t="s">
        <v>2352</v>
      </c>
      <c r="N216" s="3">
        <v>2</v>
      </c>
      <c r="O216" s="3">
        <v>9.4736930000000008</v>
      </c>
      <c r="P216" t="s">
        <v>12</v>
      </c>
    </row>
    <row r="217" spans="1:16" x14ac:dyDescent="0.25">
      <c r="A217">
        <v>3084</v>
      </c>
      <c r="B217">
        <v>1099979167</v>
      </c>
      <c r="C217">
        <v>1156561021</v>
      </c>
      <c r="D217" s="17" t="s">
        <v>6471</v>
      </c>
      <c r="E217" s="17" t="s">
        <v>5096</v>
      </c>
      <c r="F217" s="17" t="s">
        <v>3726</v>
      </c>
      <c r="G217" t="s">
        <v>3416</v>
      </c>
      <c r="H217">
        <v>1</v>
      </c>
      <c r="I217" s="1">
        <v>11.18</v>
      </c>
      <c r="J217" s="1">
        <v>16.400843881856538</v>
      </c>
      <c r="K217" s="1">
        <v>16.400843881856538</v>
      </c>
      <c r="L217" t="s">
        <v>2408</v>
      </c>
      <c r="M217" t="s">
        <v>2374</v>
      </c>
      <c r="N217" s="3">
        <v>1</v>
      </c>
      <c r="O217" s="3">
        <v>16.400843999999999</v>
      </c>
      <c r="P217" t="s">
        <v>12</v>
      </c>
    </row>
    <row r="218" spans="1:16" x14ac:dyDescent="0.25">
      <c r="A218">
        <v>3089</v>
      </c>
      <c r="B218">
        <v>1099772885</v>
      </c>
      <c r="C218">
        <v>1218759313</v>
      </c>
      <c r="D218" s="17" t="s">
        <v>6471</v>
      </c>
      <c r="E218" s="17" t="s">
        <v>4217</v>
      </c>
      <c r="F218" s="17" t="s">
        <v>4154</v>
      </c>
      <c r="G218" t="s">
        <v>3530</v>
      </c>
      <c r="H218">
        <v>1</v>
      </c>
      <c r="I218" s="1">
        <v>2.8622950819672131</v>
      </c>
      <c r="J218" s="1">
        <v>8.2800000000000011</v>
      </c>
      <c r="K218" s="1">
        <v>8.2800000000000011</v>
      </c>
      <c r="L218" t="s">
        <v>1100</v>
      </c>
      <c r="M218" t="s">
        <v>6704</v>
      </c>
      <c r="N218" s="3">
        <v>1</v>
      </c>
      <c r="O218" s="3">
        <v>8.2799999999999994</v>
      </c>
      <c r="P218" t="s">
        <v>12</v>
      </c>
    </row>
    <row r="219" spans="1:16" x14ac:dyDescent="0.25">
      <c r="A219">
        <v>3099</v>
      </c>
      <c r="B219">
        <v>1099624602</v>
      </c>
      <c r="C219">
        <v>1162230542</v>
      </c>
      <c r="D219" s="17" t="s">
        <v>6471</v>
      </c>
      <c r="E219" s="17" t="s">
        <v>4988</v>
      </c>
      <c r="F219" s="17" t="s">
        <v>4989</v>
      </c>
      <c r="G219" t="s">
        <v>3416</v>
      </c>
      <c r="H219">
        <v>1</v>
      </c>
      <c r="I219" s="1">
        <v>25.15036818851252</v>
      </c>
      <c r="J219" s="1">
        <v>14.17</v>
      </c>
      <c r="K219" s="1">
        <v>14.17</v>
      </c>
      <c r="L219" t="s">
        <v>2223</v>
      </c>
      <c r="M219" t="s">
        <v>2192</v>
      </c>
      <c r="N219" s="3">
        <v>1</v>
      </c>
      <c r="O219" s="3">
        <v>14.17</v>
      </c>
      <c r="P219" t="s">
        <v>12</v>
      </c>
    </row>
    <row r="220" spans="1:16" x14ac:dyDescent="0.25">
      <c r="A220">
        <v>3103</v>
      </c>
      <c r="B220">
        <v>1099619167</v>
      </c>
      <c r="C220">
        <v>1248886513</v>
      </c>
      <c r="D220" s="17" t="s">
        <v>6471</v>
      </c>
      <c r="E220" s="17" t="s">
        <v>3847</v>
      </c>
      <c r="F220" s="17" t="s">
        <v>3720</v>
      </c>
      <c r="G220" t="s">
        <v>3416</v>
      </c>
      <c r="H220">
        <v>4</v>
      </c>
      <c r="I220" s="1">
        <v>3.4424103737604881</v>
      </c>
      <c r="J220" s="1">
        <v>2.8166666666666669</v>
      </c>
      <c r="K220" s="1">
        <v>2.8166666666666669</v>
      </c>
      <c r="L220" t="s">
        <v>554</v>
      </c>
      <c r="M220" t="s">
        <v>497</v>
      </c>
      <c r="N220" s="3">
        <v>4</v>
      </c>
      <c r="O220" s="3">
        <v>0.70416699999999999</v>
      </c>
      <c r="P220" t="s">
        <v>12</v>
      </c>
    </row>
    <row r="221" spans="1:16" x14ac:dyDescent="0.25">
      <c r="A221">
        <v>3104</v>
      </c>
      <c r="B221">
        <v>1099619167</v>
      </c>
      <c r="C221">
        <v>1248886513</v>
      </c>
      <c r="D221" s="17" t="s">
        <v>6471</v>
      </c>
      <c r="E221" s="17" t="s">
        <v>3848</v>
      </c>
      <c r="F221" s="17" t="s">
        <v>3720</v>
      </c>
      <c r="G221" t="s">
        <v>3416</v>
      </c>
      <c r="H221">
        <v>4</v>
      </c>
      <c r="I221" s="1">
        <v>3.4424103737604881</v>
      </c>
      <c r="J221" s="1">
        <v>2.8166666666666669</v>
      </c>
      <c r="K221" s="1">
        <v>2.8166666666666669</v>
      </c>
      <c r="L221" t="s">
        <v>554</v>
      </c>
      <c r="M221" t="s">
        <v>497</v>
      </c>
      <c r="N221" s="3">
        <v>4</v>
      </c>
      <c r="O221" s="3">
        <v>0.70416699999999999</v>
      </c>
      <c r="P221" t="s">
        <v>12</v>
      </c>
    </row>
    <row r="222" spans="1:16" x14ac:dyDescent="0.25">
      <c r="A222">
        <v>3105</v>
      </c>
      <c r="B222">
        <v>1099619167</v>
      </c>
      <c r="C222">
        <v>1248886513</v>
      </c>
      <c r="D222" s="17" t="s">
        <v>6471</v>
      </c>
      <c r="E222" s="17" t="s">
        <v>3849</v>
      </c>
      <c r="F222" s="17" t="s">
        <v>3720</v>
      </c>
      <c r="G222" t="s">
        <v>3416</v>
      </c>
      <c r="H222">
        <v>4</v>
      </c>
      <c r="I222" s="1">
        <v>3.4424103737604881</v>
      </c>
      <c r="J222" s="1">
        <v>2.8166666666666669</v>
      </c>
      <c r="K222" s="1">
        <v>2.8166666666666669</v>
      </c>
      <c r="L222" t="s">
        <v>554</v>
      </c>
      <c r="M222" t="s">
        <v>497</v>
      </c>
      <c r="N222" s="3">
        <v>4</v>
      </c>
      <c r="O222" s="3">
        <v>0.70416699999999999</v>
      </c>
      <c r="P222" t="s">
        <v>12</v>
      </c>
    </row>
    <row r="223" spans="1:16" x14ac:dyDescent="0.25">
      <c r="A223">
        <v>3109</v>
      </c>
      <c r="B223">
        <v>1099619167</v>
      </c>
      <c r="C223">
        <v>1220891108</v>
      </c>
      <c r="D223" s="17" t="s">
        <v>6471</v>
      </c>
      <c r="E223" s="17" t="s">
        <v>4208</v>
      </c>
      <c r="F223" s="17" t="s">
        <v>3682</v>
      </c>
      <c r="G223" t="s">
        <v>3416</v>
      </c>
      <c r="H223">
        <v>4</v>
      </c>
      <c r="I223" s="1">
        <v>7.9863920671243331</v>
      </c>
      <c r="J223" s="1">
        <v>7.33</v>
      </c>
      <c r="K223" s="1">
        <v>7.33</v>
      </c>
      <c r="L223" t="s">
        <v>1054</v>
      </c>
      <c r="M223" t="s">
        <v>1038</v>
      </c>
      <c r="N223" s="3">
        <v>4</v>
      </c>
      <c r="O223" s="3">
        <v>1.8325</v>
      </c>
      <c r="P223" t="s">
        <v>12</v>
      </c>
    </row>
    <row r="224" spans="1:16" x14ac:dyDescent="0.25">
      <c r="A224">
        <v>3119</v>
      </c>
      <c r="B224">
        <v>1098439072</v>
      </c>
      <c r="C224">
        <v>1158670738</v>
      </c>
      <c r="D224" s="17" t="s">
        <v>6471</v>
      </c>
      <c r="E224" s="17" t="s">
        <v>5058</v>
      </c>
      <c r="F224" s="17" t="s">
        <v>3682</v>
      </c>
      <c r="G224" t="s">
        <v>3416</v>
      </c>
      <c r="H224">
        <v>1</v>
      </c>
      <c r="I224" s="1">
        <v>5.5032124352331611</v>
      </c>
      <c r="J224" s="1">
        <v>19.575000000000003</v>
      </c>
      <c r="K224" s="1">
        <v>19.575000000000003</v>
      </c>
      <c r="L224" t="s">
        <v>2335</v>
      </c>
      <c r="M224" t="s">
        <v>2302</v>
      </c>
      <c r="N224" s="3">
        <v>3</v>
      </c>
      <c r="O224" s="3">
        <v>6.5250000000000004</v>
      </c>
      <c r="P224" t="s">
        <v>12</v>
      </c>
    </row>
    <row r="225" spans="1:16" x14ac:dyDescent="0.25">
      <c r="A225">
        <v>3120</v>
      </c>
      <c r="B225">
        <v>1098439072</v>
      </c>
      <c r="C225">
        <v>1158670738</v>
      </c>
      <c r="D225" s="17" t="s">
        <v>6471</v>
      </c>
      <c r="E225" s="17" t="s">
        <v>5058</v>
      </c>
      <c r="F225" s="17" t="s">
        <v>3551</v>
      </c>
      <c r="G225" t="s">
        <v>3416</v>
      </c>
      <c r="H225">
        <v>1</v>
      </c>
      <c r="I225" s="1">
        <v>4.5167875647668394</v>
      </c>
      <c r="J225" s="1">
        <v>6.5250000000000004</v>
      </c>
      <c r="K225" s="1">
        <v>6.5250000000000004</v>
      </c>
      <c r="L225" t="s">
        <v>2335</v>
      </c>
      <c r="M225" t="s">
        <v>2302</v>
      </c>
      <c r="N225" s="3">
        <v>1</v>
      </c>
      <c r="O225" s="3">
        <v>6.5250000000000004</v>
      </c>
      <c r="P225" t="s">
        <v>12</v>
      </c>
    </row>
    <row r="226" spans="1:16" x14ac:dyDescent="0.25">
      <c r="A226">
        <v>3125</v>
      </c>
      <c r="B226">
        <v>1098297896</v>
      </c>
      <c r="C226">
        <v>1242114768</v>
      </c>
      <c r="D226" s="17" t="s">
        <v>6471</v>
      </c>
      <c r="E226" s="17" t="s">
        <v>3976</v>
      </c>
      <c r="F226" s="17" t="s">
        <v>3551</v>
      </c>
      <c r="G226" t="s">
        <v>3416</v>
      </c>
      <c r="H226">
        <v>4</v>
      </c>
      <c r="I226" s="1">
        <v>1.7074811256005491</v>
      </c>
      <c r="J226" s="1">
        <v>1.8866666666666667</v>
      </c>
      <c r="K226" s="1">
        <v>1.8866666666666667</v>
      </c>
      <c r="L226" t="s">
        <v>726</v>
      </c>
      <c r="M226" t="s">
        <v>686</v>
      </c>
      <c r="N226" s="3">
        <v>4</v>
      </c>
      <c r="O226" s="3">
        <v>0.471667</v>
      </c>
      <c r="P226" t="s">
        <v>12</v>
      </c>
    </row>
    <row r="227" spans="1:16" x14ac:dyDescent="0.25">
      <c r="A227">
        <v>3142</v>
      </c>
      <c r="B227">
        <v>1098220638</v>
      </c>
      <c r="C227">
        <v>1157350742</v>
      </c>
      <c r="D227" s="17" t="s">
        <v>6471</v>
      </c>
      <c r="E227" s="17" t="s">
        <v>5071</v>
      </c>
      <c r="F227" s="17" t="s">
        <v>4156</v>
      </c>
      <c r="G227" t="s">
        <v>3416</v>
      </c>
      <c r="H227">
        <v>2</v>
      </c>
      <c r="I227" s="1">
        <v>23.475413711583919</v>
      </c>
      <c r="J227" s="1">
        <v>21.119999999999997</v>
      </c>
      <c r="K227" s="1">
        <v>21.119999999999997</v>
      </c>
      <c r="L227" t="s">
        <v>2373</v>
      </c>
      <c r="M227" t="s">
        <v>6702</v>
      </c>
      <c r="N227" s="3">
        <v>2</v>
      </c>
      <c r="O227" s="3">
        <v>10.56</v>
      </c>
      <c r="P227" t="s">
        <v>12</v>
      </c>
    </row>
    <row r="228" spans="1:16" x14ac:dyDescent="0.25">
      <c r="A228">
        <v>3145</v>
      </c>
      <c r="B228">
        <v>1098102519</v>
      </c>
      <c r="C228">
        <v>1161423616</v>
      </c>
      <c r="D228" s="17" t="s">
        <v>6471</v>
      </c>
      <c r="E228" s="17" t="s">
        <v>5002</v>
      </c>
      <c r="F228" s="17" t="s">
        <v>4867</v>
      </c>
      <c r="G228" t="s">
        <v>3416</v>
      </c>
      <c r="H228">
        <v>1</v>
      </c>
      <c r="I228" s="1">
        <v>3.717567567567567</v>
      </c>
      <c r="J228" s="1">
        <v>7.17</v>
      </c>
      <c r="K228" s="1">
        <v>7.17</v>
      </c>
      <c r="L228" t="s">
        <v>2248</v>
      </c>
      <c r="M228" t="s">
        <v>2221</v>
      </c>
      <c r="N228" s="3">
        <v>1</v>
      </c>
      <c r="O228" s="3">
        <v>7.17</v>
      </c>
      <c r="P228" t="s">
        <v>12</v>
      </c>
    </row>
    <row r="229" spans="1:16" x14ac:dyDescent="0.25">
      <c r="A229">
        <v>3146</v>
      </c>
      <c r="B229">
        <v>1098102519</v>
      </c>
      <c r="C229">
        <v>1224460562</v>
      </c>
      <c r="D229" s="17" t="s">
        <v>6471</v>
      </c>
      <c r="E229" s="17" t="s">
        <v>4171</v>
      </c>
      <c r="F229" s="17" t="s">
        <v>3619</v>
      </c>
      <c r="G229" t="s">
        <v>3530</v>
      </c>
      <c r="H229">
        <v>1</v>
      </c>
      <c r="I229" s="1">
        <v>15.93243243243243</v>
      </c>
      <c r="J229" s="1">
        <v>18.28</v>
      </c>
      <c r="K229" s="1">
        <v>18.28</v>
      </c>
      <c r="L229" t="s">
        <v>1002</v>
      </c>
      <c r="M229" t="s">
        <v>6705</v>
      </c>
      <c r="N229" s="3">
        <v>1</v>
      </c>
      <c r="O229" s="3">
        <v>18.28</v>
      </c>
      <c r="P229" t="s">
        <v>12</v>
      </c>
    </row>
    <row r="230" spans="1:16" x14ac:dyDescent="0.25">
      <c r="A230">
        <v>3148</v>
      </c>
      <c r="B230">
        <v>1098084023</v>
      </c>
      <c r="C230">
        <v>1154388616</v>
      </c>
      <c r="D230" s="17" t="s">
        <v>6471</v>
      </c>
      <c r="E230" s="17" t="s">
        <v>5140</v>
      </c>
      <c r="F230" s="17" t="s">
        <v>5141</v>
      </c>
      <c r="G230" t="s">
        <v>3530</v>
      </c>
      <c r="H230">
        <v>1</v>
      </c>
      <c r="I230" s="1">
        <v>7.5678571428571431</v>
      </c>
      <c r="J230" s="1">
        <v>9.2100000000000009</v>
      </c>
      <c r="K230" s="1">
        <v>9.2100000000000009</v>
      </c>
      <c r="L230" t="s">
        <v>2462</v>
      </c>
      <c r="M230" t="s">
        <v>2460</v>
      </c>
      <c r="N230" s="3">
        <v>1</v>
      </c>
      <c r="O230" s="3">
        <v>9.2100000000000009</v>
      </c>
      <c r="P230" t="s">
        <v>12</v>
      </c>
    </row>
    <row r="231" spans="1:16" x14ac:dyDescent="0.25">
      <c r="A231">
        <v>3153</v>
      </c>
      <c r="B231">
        <v>1097748382</v>
      </c>
      <c r="C231" t="s">
        <v>6167</v>
      </c>
      <c r="D231" s="17" t="s">
        <v>6473</v>
      </c>
      <c r="E231" s="17" t="s">
        <v>6168</v>
      </c>
      <c r="F231" s="17" t="s">
        <v>3676</v>
      </c>
      <c r="G231" t="s">
        <v>3530</v>
      </c>
      <c r="H231">
        <v>2</v>
      </c>
      <c r="I231" s="1">
        <v>60.08</v>
      </c>
      <c r="J231" s="1">
        <v>40.340000000000003</v>
      </c>
      <c r="K231" s="1">
        <v>40.340000000000003</v>
      </c>
      <c r="L231" t="s">
        <v>6662</v>
      </c>
      <c r="M231" t="s">
        <v>3290</v>
      </c>
      <c r="N231" s="3">
        <v>2</v>
      </c>
      <c r="O231" s="3">
        <v>20.170000000000002</v>
      </c>
      <c r="P231" t="s">
        <v>12</v>
      </c>
    </row>
    <row r="232" spans="1:16" x14ac:dyDescent="0.25">
      <c r="A232">
        <v>3156</v>
      </c>
      <c r="B232">
        <v>1097640163</v>
      </c>
      <c r="C232">
        <v>1164617239</v>
      </c>
      <c r="D232" s="17" t="s">
        <v>6471</v>
      </c>
      <c r="E232" s="17" t="s">
        <v>4958</v>
      </c>
      <c r="F232" s="17" t="s">
        <v>4108</v>
      </c>
      <c r="G232" t="s">
        <v>3416</v>
      </c>
      <c r="H232">
        <v>2</v>
      </c>
      <c r="I232" s="1">
        <v>6.9018498659517427</v>
      </c>
      <c r="J232" s="1">
        <v>3.132285368802902</v>
      </c>
      <c r="K232" s="1">
        <v>3.132285368802902</v>
      </c>
      <c r="L232" t="s">
        <v>2135</v>
      </c>
      <c r="M232" t="s">
        <v>6681</v>
      </c>
      <c r="N232" s="3">
        <v>2</v>
      </c>
      <c r="O232" s="3">
        <v>1.5661430000000001</v>
      </c>
      <c r="P232" t="s">
        <v>12</v>
      </c>
    </row>
    <row r="233" spans="1:16" x14ac:dyDescent="0.25">
      <c r="A233">
        <v>3163</v>
      </c>
      <c r="B233">
        <v>1097630041</v>
      </c>
      <c r="C233">
        <v>1216632811</v>
      </c>
      <c r="D233" s="17" t="s">
        <v>6471</v>
      </c>
      <c r="E233" s="17" t="s">
        <v>4267</v>
      </c>
      <c r="F233" s="17" t="s">
        <v>4268</v>
      </c>
      <c r="G233" t="s">
        <v>3416</v>
      </c>
      <c r="H233">
        <v>1</v>
      </c>
      <c r="I233" s="1">
        <v>3.4527777777777779</v>
      </c>
      <c r="J233" s="1">
        <v>0.57267156862745094</v>
      </c>
      <c r="K233" s="1">
        <v>0.57267156862745094</v>
      </c>
      <c r="L233" t="s">
        <v>1121</v>
      </c>
      <c r="M233" t="s">
        <v>1107</v>
      </c>
      <c r="N233" s="3">
        <v>1</v>
      </c>
      <c r="O233" s="3">
        <v>0.57267199999999996</v>
      </c>
      <c r="P233" t="s">
        <v>12</v>
      </c>
    </row>
    <row r="234" spans="1:16" x14ac:dyDescent="0.25">
      <c r="A234">
        <v>3176</v>
      </c>
      <c r="B234">
        <v>1097325133</v>
      </c>
      <c r="C234">
        <v>1249026814</v>
      </c>
      <c r="D234" s="17" t="s">
        <v>6471</v>
      </c>
      <c r="E234" s="17" t="s">
        <v>3875</v>
      </c>
      <c r="F234" s="17" t="s">
        <v>3876</v>
      </c>
      <c r="G234" t="s">
        <v>3416</v>
      </c>
      <c r="H234">
        <v>2</v>
      </c>
      <c r="I234" s="1">
        <v>3.148543689320388</v>
      </c>
      <c r="J234" s="1">
        <v>5.25</v>
      </c>
      <c r="K234" s="1">
        <v>5.25</v>
      </c>
      <c r="L234" t="s">
        <v>543</v>
      </c>
      <c r="M234" t="s">
        <v>512</v>
      </c>
      <c r="N234" s="3">
        <v>4</v>
      </c>
      <c r="O234" s="3">
        <v>1.3125</v>
      </c>
      <c r="P234" t="s">
        <v>12</v>
      </c>
    </row>
    <row r="235" spans="1:16" x14ac:dyDescent="0.25">
      <c r="A235">
        <v>3177</v>
      </c>
      <c r="B235">
        <v>1097325133</v>
      </c>
      <c r="C235">
        <v>1160995310</v>
      </c>
      <c r="D235" s="17" t="s">
        <v>6471</v>
      </c>
      <c r="E235" s="17" t="s">
        <v>5001</v>
      </c>
      <c r="F235" s="17" t="s">
        <v>3676</v>
      </c>
      <c r="G235" t="s">
        <v>3530</v>
      </c>
      <c r="H235">
        <v>2</v>
      </c>
      <c r="I235" s="1">
        <v>52.475728155339809</v>
      </c>
      <c r="J235" s="1">
        <v>35.369999999999997</v>
      </c>
      <c r="K235" s="1">
        <v>35.369999999999997</v>
      </c>
      <c r="L235" t="s">
        <v>2268</v>
      </c>
      <c r="M235" t="s">
        <v>2221</v>
      </c>
      <c r="N235" s="3">
        <v>2</v>
      </c>
      <c r="O235" s="3">
        <v>17.684999999999999</v>
      </c>
      <c r="P235" t="s">
        <v>12</v>
      </c>
    </row>
    <row r="236" spans="1:16" x14ac:dyDescent="0.25">
      <c r="A236">
        <v>3178</v>
      </c>
      <c r="B236">
        <v>1097325133</v>
      </c>
      <c r="C236" t="s">
        <v>6183</v>
      </c>
      <c r="D236" s="17" t="s">
        <v>6473</v>
      </c>
      <c r="E236" s="17" t="s">
        <v>5079</v>
      </c>
      <c r="F236" s="17" t="s">
        <v>3676</v>
      </c>
      <c r="G236" t="s">
        <v>3530</v>
      </c>
      <c r="H236">
        <v>2</v>
      </c>
      <c r="I236" s="1">
        <v>52.475728155339809</v>
      </c>
      <c r="J236" s="1">
        <v>24.34</v>
      </c>
      <c r="K236" s="1">
        <v>24.34</v>
      </c>
      <c r="L236" t="s">
        <v>6662</v>
      </c>
      <c r="M236" t="s">
        <v>3309</v>
      </c>
      <c r="N236" s="3">
        <v>2</v>
      </c>
      <c r="O236" s="3">
        <v>12.17</v>
      </c>
      <c r="P236" t="s">
        <v>12</v>
      </c>
    </row>
    <row r="237" spans="1:16" x14ac:dyDescent="0.25">
      <c r="A237">
        <v>3179</v>
      </c>
      <c r="B237">
        <v>1097268072</v>
      </c>
      <c r="C237" t="s">
        <v>6184</v>
      </c>
      <c r="D237" s="17" t="s">
        <v>6473</v>
      </c>
      <c r="E237" s="17" t="s">
        <v>6185</v>
      </c>
      <c r="F237" s="17" t="s">
        <v>3867</v>
      </c>
      <c r="G237" t="s">
        <v>3453</v>
      </c>
      <c r="H237">
        <v>4</v>
      </c>
      <c r="I237" s="1">
        <v>10.95</v>
      </c>
      <c r="J237" s="1">
        <v>22.755613728912159</v>
      </c>
      <c r="K237" s="1">
        <v>22.755613728912159</v>
      </c>
      <c r="L237" t="s">
        <v>6662</v>
      </c>
      <c r="M237" t="s">
        <v>3312</v>
      </c>
      <c r="N237" s="3">
        <v>4</v>
      </c>
      <c r="O237" s="3">
        <v>5.6889029999999998</v>
      </c>
      <c r="P237" t="s">
        <v>12</v>
      </c>
    </row>
    <row r="238" spans="1:16" x14ac:dyDescent="0.25">
      <c r="A238">
        <v>3188</v>
      </c>
      <c r="B238">
        <v>1097106732</v>
      </c>
      <c r="C238">
        <v>1187823895</v>
      </c>
      <c r="D238" s="17" t="s">
        <v>6471</v>
      </c>
      <c r="E238" s="17" t="s">
        <v>4685</v>
      </c>
      <c r="F238" s="17" t="s">
        <v>4686</v>
      </c>
      <c r="G238" t="s">
        <v>3530</v>
      </c>
      <c r="H238">
        <v>1</v>
      </c>
      <c r="I238" s="1">
        <v>8.5749999999999993</v>
      </c>
      <c r="J238" s="1">
        <v>12.17</v>
      </c>
      <c r="K238" s="1">
        <v>12.17</v>
      </c>
      <c r="L238" t="s">
        <v>1641</v>
      </c>
      <c r="M238" t="s">
        <v>1599</v>
      </c>
      <c r="N238" s="3">
        <v>1</v>
      </c>
      <c r="O238" s="3">
        <v>12.17</v>
      </c>
      <c r="P238" t="s">
        <v>12</v>
      </c>
    </row>
    <row r="239" spans="1:16" x14ac:dyDescent="0.25">
      <c r="A239">
        <v>3189</v>
      </c>
      <c r="B239">
        <v>1097106732</v>
      </c>
      <c r="C239">
        <v>1176153622</v>
      </c>
      <c r="D239" s="17" t="s">
        <v>6471</v>
      </c>
      <c r="E239" s="17" t="s">
        <v>4833</v>
      </c>
      <c r="F239" s="17" t="s">
        <v>3674</v>
      </c>
      <c r="G239" t="s">
        <v>3530</v>
      </c>
      <c r="H239">
        <v>1</v>
      </c>
      <c r="I239" s="1">
        <v>6.125</v>
      </c>
      <c r="J239" s="1">
        <v>11.17</v>
      </c>
      <c r="K239" s="1">
        <v>11.17</v>
      </c>
      <c r="L239" t="s">
        <v>1864</v>
      </c>
      <c r="M239" t="s">
        <v>1819</v>
      </c>
      <c r="N239" s="3">
        <v>1</v>
      </c>
      <c r="O239" s="3">
        <v>11.17</v>
      </c>
      <c r="P239" t="s">
        <v>12</v>
      </c>
    </row>
    <row r="240" spans="1:16" x14ac:dyDescent="0.25">
      <c r="A240">
        <v>3208</v>
      </c>
      <c r="B240">
        <v>1096959898</v>
      </c>
      <c r="C240">
        <v>1266121863</v>
      </c>
      <c r="D240" s="17" t="s">
        <v>6471</v>
      </c>
      <c r="E240" s="17" t="s">
        <v>3636</v>
      </c>
      <c r="F240" s="17" t="s">
        <v>3637</v>
      </c>
      <c r="G240" t="s">
        <v>3416</v>
      </c>
      <c r="H240">
        <v>2</v>
      </c>
      <c r="I240" s="1">
        <v>4.1546165014834919</v>
      </c>
      <c r="J240" s="1">
        <v>10.754464285714286</v>
      </c>
      <c r="K240" s="1">
        <v>10.754464285714286</v>
      </c>
      <c r="L240" t="s">
        <v>318</v>
      </c>
      <c r="M240" t="s">
        <v>6706</v>
      </c>
      <c r="N240" s="3">
        <v>2</v>
      </c>
      <c r="O240" s="3">
        <v>5.3772320000000002</v>
      </c>
      <c r="P240" t="s">
        <v>12</v>
      </c>
    </row>
    <row r="241" spans="1:16" x14ac:dyDescent="0.25">
      <c r="A241">
        <v>3212</v>
      </c>
      <c r="B241">
        <v>1096959898</v>
      </c>
      <c r="C241">
        <v>1248193531</v>
      </c>
      <c r="D241" s="17" t="s">
        <v>6471</v>
      </c>
      <c r="E241" s="17" t="s">
        <v>3860</v>
      </c>
      <c r="F241" s="17" t="s">
        <v>3551</v>
      </c>
      <c r="G241" t="s">
        <v>3416</v>
      </c>
      <c r="H241">
        <v>1</v>
      </c>
      <c r="I241" s="1">
        <v>4.1650552364118427</v>
      </c>
      <c r="J241" s="1">
        <v>2.1749999999999998</v>
      </c>
      <c r="K241" s="1">
        <v>2.1749999999999998</v>
      </c>
      <c r="L241" t="s">
        <v>565</v>
      </c>
      <c r="M241" t="s">
        <v>506</v>
      </c>
      <c r="N241" s="3">
        <v>1</v>
      </c>
      <c r="O241" s="3">
        <v>2.1749999999999998</v>
      </c>
      <c r="P241" t="s">
        <v>12</v>
      </c>
    </row>
    <row r="242" spans="1:16" x14ac:dyDescent="0.25">
      <c r="A242">
        <v>3215</v>
      </c>
      <c r="B242">
        <v>1096959898</v>
      </c>
      <c r="C242" t="s">
        <v>6199</v>
      </c>
      <c r="D242" s="17" t="s">
        <v>6473</v>
      </c>
      <c r="E242" s="17" t="s">
        <v>6200</v>
      </c>
      <c r="F242" s="17" t="s">
        <v>3619</v>
      </c>
      <c r="G242" t="s">
        <v>3416</v>
      </c>
      <c r="H242">
        <v>2</v>
      </c>
      <c r="I242" s="1">
        <v>6.2423634871535896</v>
      </c>
      <c r="J242" s="1">
        <v>5.2750000000000004</v>
      </c>
      <c r="K242" s="1">
        <v>5.2750000000000004</v>
      </c>
      <c r="L242" t="s">
        <v>6662</v>
      </c>
      <c r="M242" t="s">
        <v>3325</v>
      </c>
      <c r="N242" s="3">
        <v>2</v>
      </c>
      <c r="O242" s="3">
        <v>2.6375000000000002</v>
      </c>
      <c r="P242" t="s">
        <v>12</v>
      </c>
    </row>
    <row r="243" spans="1:16" x14ac:dyDescent="0.25">
      <c r="A243">
        <v>3217</v>
      </c>
      <c r="B243">
        <v>1096959898</v>
      </c>
      <c r="C243">
        <v>1158084187</v>
      </c>
      <c r="D243" s="17" t="s">
        <v>6471</v>
      </c>
      <c r="E243" s="17" t="s">
        <v>5067</v>
      </c>
      <c r="F243" s="17" t="s">
        <v>4063</v>
      </c>
      <c r="G243" t="s">
        <v>3416</v>
      </c>
      <c r="H243">
        <v>2</v>
      </c>
      <c r="I243" s="1">
        <v>6.2423634871535896</v>
      </c>
      <c r="J243" s="1">
        <v>2.2928813559322032</v>
      </c>
      <c r="K243" s="1">
        <v>2.2928813559322032</v>
      </c>
      <c r="L243" t="s">
        <v>2340</v>
      </c>
      <c r="M243" t="s">
        <v>2323</v>
      </c>
      <c r="N243" s="3">
        <v>2</v>
      </c>
      <c r="O243" s="3">
        <v>1.146441</v>
      </c>
      <c r="P243" t="s">
        <v>12</v>
      </c>
    </row>
    <row r="244" spans="1:16" x14ac:dyDescent="0.25">
      <c r="A244">
        <v>3234</v>
      </c>
      <c r="B244">
        <v>1096000000</v>
      </c>
      <c r="C244" t="s">
        <v>6227</v>
      </c>
      <c r="D244" s="17" t="s">
        <v>6473</v>
      </c>
      <c r="E244" s="17" t="s">
        <v>5132</v>
      </c>
      <c r="F244" s="17" t="s">
        <v>3740</v>
      </c>
      <c r="G244" t="s">
        <v>3530</v>
      </c>
      <c r="H244">
        <v>2</v>
      </c>
      <c r="I244" s="1">
        <v>5.4894179894179898</v>
      </c>
      <c r="J244" s="1">
        <v>8.2112553393450405</v>
      </c>
      <c r="K244" s="1">
        <v>8.2112553393450405</v>
      </c>
      <c r="L244" t="s">
        <v>6662</v>
      </c>
      <c r="M244" t="s">
        <v>3338</v>
      </c>
      <c r="N244" s="3">
        <v>2</v>
      </c>
      <c r="O244" s="3">
        <v>4.1056280000000003</v>
      </c>
      <c r="P244" t="s">
        <v>12</v>
      </c>
    </row>
    <row r="245" spans="1:16" x14ac:dyDescent="0.25">
      <c r="A245">
        <v>3245</v>
      </c>
      <c r="B245">
        <v>1095985772</v>
      </c>
      <c r="C245">
        <v>1187507001</v>
      </c>
      <c r="D245" s="17" t="s">
        <v>6471</v>
      </c>
      <c r="E245" s="17" t="s">
        <v>4705</v>
      </c>
      <c r="F245" s="17" t="s">
        <v>4108</v>
      </c>
      <c r="G245" t="s">
        <v>3416</v>
      </c>
      <c r="H245">
        <v>4</v>
      </c>
      <c r="I245" s="1">
        <v>21.158445961855431</v>
      </c>
      <c r="J245" s="1">
        <v>3.2199999999999998</v>
      </c>
      <c r="K245" s="1">
        <v>3.2199999999999998</v>
      </c>
      <c r="L245" t="s">
        <v>1651</v>
      </c>
      <c r="M245" t="s">
        <v>1628</v>
      </c>
      <c r="N245" s="3">
        <v>4</v>
      </c>
      <c r="O245" s="3">
        <v>0.80500000000000005</v>
      </c>
      <c r="P245" t="s">
        <v>12</v>
      </c>
    </row>
    <row r="246" spans="1:16" x14ac:dyDescent="0.25">
      <c r="A246">
        <v>3260</v>
      </c>
      <c r="B246">
        <v>1095959451</v>
      </c>
      <c r="C246">
        <v>1257613765</v>
      </c>
      <c r="D246" s="17" t="s">
        <v>6471</v>
      </c>
      <c r="E246" s="17" t="s">
        <v>3719</v>
      </c>
      <c r="F246" s="17" t="s">
        <v>3720</v>
      </c>
      <c r="G246" t="s">
        <v>3416</v>
      </c>
      <c r="H246">
        <v>4</v>
      </c>
      <c r="I246" s="1">
        <v>2.903927680798005</v>
      </c>
      <c r="J246" s="1">
        <v>4.5999999999999996</v>
      </c>
      <c r="K246" s="1">
        <v>4.5999999999999996</v>
      </c>
      <c r="L246" t="s">
        <v>378</v>
      </c>
      <c r="M246" t="s">
        <v>355</v>
      </c>
      <c r="N246" s="3">
        <v>4</v>
      </c>
      <c r="O246" s="3">
        <v>1.1499999999999999</v>
      </c>
      <c r="P246" t="s">
        <v>12</v>
      </c>
    </row>
    <row r="247" spans="1:16" x14ac:dyDescent="0.25">
      <c r="A247">
        <v>3270</v>
      </c>
      <c r="B247">
        <v>1095908969</v>
      </c>
      <c r="C247">
        <v>1180335350</v>
      </c>
      <c r="D247" s="17" t="s">
        <v>6471</v>
      </c>
      <c r="E247" s="17" t="s">
        <v>4776</v>
      </c>
      <c r="F247" s="17" t="s">
        <v>3551</v>
      </c>
      <c r="G247" t="s">
        <v>3530</v>
      </c>
      <c r="H247">
        <v>1</v>
      </c>
      <c r="I247" s="1">
        <v>7.4508088235294121</v>
      </c>
      <c r="J247" s="1">
        <v>8.17</v>
      </c>
      <c r="K247" s="1">
        <v>8.17</v>
      </c>
      <c r="L247" t="s">
        <v>1753</v>
      </c>
      <c r="M247" t="s">
        <v>6707</v>
      </c>
      <c r="N247" s="3">
        <v>1</v>
      </c>
      <c r="O247" s="3">
        <v>8.17</v>
      </c>
      <c r="P247" t="s">
        <v>12</v>
      </c>
    </row>
    <row r="248" spans="1:16" x14ac:dyDescent="0.25">
      <c r="A248">
        <v>3283</v>
      </c>
      <c r="B248">
        <v>1095635319</v>
      </c>
      <c r="C248">
        <v>1158084187</v>
      </c>
      <c r="D248" s="17" t="s">
        <v>6471</v>
      </c>
      <c r="E248" s="17" t="s">
        <v>5068</v>
      </c>
      <c r="F248" s="17" t="s">
        <v>3529</v>
      </c>
      <c r="G248" t="s">
        <v>3416</v>
      </c>
      <c r="H248">
        <v>2</v>
      </c>
      <c r="I248" s="1">
        <v>3.115037593984963</v>
      </c>
      <c r="J248" s="1">
        <v>1.2067796610169492</v>
      </c>
      <c r="K248" s="1">
        <v>1.2067796610169492</v>
      </c>
      <c r="L248" t="s">
        <v>2340</v>
      </c>
      <c r="M248" t="s">
        <v>2323</v>
      </c>
      <c r="N248" s="3">
        <v>2</v>
      </c>
      <c r="O248" s="3">
        <v>0.60338999999999998</v>
      </c>
      <c r="P248" t="s">
        <v>12</v>
      </c>
    </row>
    <row r="249" spans="1:16" x14ac:dyDescent="0.25">
      <c r="A249">
        <v>3289</v>
      </c>
      <c r="B249">
        <v>1094144113</v>
      </c>
      <c r="C249">
        <v>1259925283</v>
      </c>
      <c r="D249" s="17" t="s">
        <v>6471</v>
      </c>
      <c r="E249" s="17" t="s">
        <v>3697</v>
      </c>
      <c r="F249" s="17" t="s">
        <v>3689</v>
      </c>
      <c r="G249" t="s">
        <v>3530</v>
      </c>
      <c r="H249">
        <v>1</v>
      </c>
      <c r="I249" s="1">
        <v>3.7445205479452048</v>
      </c>
      <c r="J249" s="1">
        <v>0.58630952380952384</v>
      </c>
      <c r="K249" s="1">
        <v>0.58630952380952384</v>
      </c>
      <c r="L249" t="s">
        <v>363</v>
      </c>
      <c r="M249" t="s">
        <v>6668</v>
      </c>
      <c r="N249" s="3">
        <v>1</v>
      </c>
      <c r="O249" s="3">
        <v>0.58631</v>
      </c>
      <c r="P249" t="s">
        <v>12</v>
      </c>
    </row>
    <row r="250" spans="1:16" x14ac:dyDescent="0.25">
      <c r="A250">
        <v>3291</v>
      </c>
      <c r="B250">
        <v>1094144113</v>
      </c>
      <c r="C250">
        <v>1252733258</v>
      </c>
      <c r="D250" s="17" t="s">
        <v>6471</v>
      </c>
      <c r="E250" s="17" t="s">
        <v>3758</v>
      </c>
      <c r="F250" s="17" t="s">
        <v>3723</v>
      </c>
      <c r="G250" t="s">
        <v>3530</v>
      </c>
      <c r="H250">
        <v>4</v>
      </c>
      <c r="I250" s="1">
        <v>2.13972602739726</v>
      </c>
      <c r="J250" s="1">
        <v>3.45</v>
      </c>
      <c r="K250" s="1">
        <v>3.45</v>
      </c>
      <c r="L250" t="s">
        <v>458</v>
      </c>
      <c r="M250" t="s">
        <v>427</v>
      </c>
      <c r="N250" s="3">
        <v>4</v>
      </c>
      <c r="O250" s="3">
        <v>0.86250000000000004</v>
      </c>
      <c r="P250" t="s">
        <v>12</v>
      </c>
    </row>
    <row r="251" spans="1:16" x14ac:dyDescent="0.25">
      <c r="A251">
        <v>3293</v>
      </c>
      <c r="B251">
        <v>1094144113</v>
      </c>
      <c r="C251">
        <v>1161278899</v>
      </c>
      <c r="D251" s="17" t="s">
        <v>6471</v>
      </c>
      <c r="E251" s="17" t="s">
        <v>4973</v>
      </c>
      <c r="F251" s="17" t="s">
        <v>4974</v>
      </c>
      <c r="G251" t="s">
        <v>3416</v>
      </c>
      <c r="H251">
        <v>3</v>
      </c>
      <c r="I251" s="1">
        <v>3.20958904109589</v>
      </c>
      <c r="J251" s="1">
        <v>4.0699999999999994</v>
      </c>
      <c r="K251" s="1">
        <v>4.0699999999999994</v>
      </c>
      <c r="L251" t="s">
        <v>2258</v>
      </c>
      <c r="M251" t="s">
        <v>2159</v>
      </c>
      <c r="N251" s="3">
        <v>3</v>
      </c>
      <c r="O251" s="3">
        <v>1.3566670000000001</v>
      </c>
      <c r="P251" t="s">
        <v>12</v>
      </c>
    </row>
    <row r="252" spans="1:16" x14ac:dyDescent="0.25">
      <c r="A252">
        <v>3294</v>
      </c>
      <c r="B252">
        <v>1094144113</v>
      </c>
      <c r="C252">
        <v>1164395671</v>
      </c>
      <c r="D252" s="17" t="s">
        <v>6471</v>
      </c>
      <c r="E252" s="17" t="s">
        <v>4515</v>
      </c>
      <c r="F252" s="17" t="s">
        <v>3666</v>
      </c>
      <c r="G252" t="s">
        <v>3416</v>
      </c>
      <c r="H252">
        <v>2</v>
      </c>
      <c r="I252" s="1">
        <v>42.794520547945197</v>
      </c>
      <c r="J252" s="1">
        <v>8.17</v>
      </c>
      <c r="K252" s="1">
        <v>8.17</v>
      </c>
      <c r="L252" t="s">
        <v>2139</v>
      </c>
      <c r="M252" t="s">
        <v>2124</v>
      </c>
      <c r="N252" s="3">
        <v>1</v>
      </c>
      <c r="O252" s="3">
        <v>8.17</v>
      </c>
      <c r="P252" t="s">
        <v>12</v>
      </c>
    </row>
    <row r="253" spans="1:16" x14ac:dyDescent="0.25">
      <c r="A253">
        <v>3295</v>
      </c>
      <c r="B253">
        <v>1094021888</v>
      </c>
      <c r="C253" t="s">
        <v>6268</v>
      </c>
      <c r="D253" s="17" t="s">
        <v>6473</v>
      </c>
      <c r="E253" s="17" t="s">
        <v>3844</v>
      </c>
      <c r="F253" s="17" t="s">
        <v>3560</v>
      </c>
      <c r="G253" t="s">
        <v>3530</v>
      </c>
      <c r="H253">
        <v>3</v>
      </c>
      <c r="I253" s="1">
        <v>3.155346423211606</v>
      </c>
      <c r="J253" s="1">
        <v>5.2233333333333336</v>
      </c>
      <c r="K253" s="1">
        <v>5.2233333333333336</v>
      </c>
      <c r="L253" t="s">
        <v>6662</v>
      </c>
      <c r="M253" t="s">
        <v>3352</v>
      </c>
      <c r="N253" s="3">
        <v>3</v>
      </c>
      <c r="O253" s="3">
        <v>1.7411110000000001</v>
      </c>
      <c r="P253" t="s">
        <v>12</v>
      </c>
    </row>
    <row r="254" spans="1:16" x14ac:dyDescent="0.25">
      <c r="A254">
        <v>3308</v>
      </c>
      <c r="B254">
        <v>1094021888</v>
      </c>
      <c r="C254">
        <v>1246778711</v>
      </c>
      <c r="D254" s="17" t="s">
        <v>6471</v>
      </c>
      <c r="E254" s="17" t="s">
        <v>3844</v>
      </c>
      <c r="F254" s="17" t="s">
        <v>3560</v>
      </c>
      <c r="G254" t="s">
        <v>3416</v>
      </c>
      <c r="H254">
        <v>1</v>
      </c>
      <c r="I254" s="1">
        <v>1.859210855427714</v>
      </c>
      <c r="J254" s="1">
        <v>1.2825</v>
      </c>
      <c r="K254" s="1">
        <v>1.2825</v>
      </c>
      <c r="L254" t="s">
        <v>612</v>
      </c>
      <c r="M254" t="s">
        <v>492</v>
      </c>
      <c r="N254" s="3">
        <v>1</v>
      </c>
      <c r="O254" s="3">
        <v>1.2825</v>
      </c>
      <c r="P254" t="s">
        <v>12</v>
      </c>
    </row>
    <row r="255" spans="1:16" x14ac:dyDescent="0.25">
      <c r="A255">
        <v>3332</v>
      </c>
      <c r="B255">
        <v>1093432462</v>
      </c>
      <c r="C255" t="s">
        <v>6293</v>
      </c>
      <c r="D255" s="17" t="s">
        <v>6473</v>
      </c>
      <c r="E255" s="17" t="s">
        <v>6257</v>
      </c>
      <c r="F255" s="17" t="s">
        <v>5000</v>
      </c>
      <c r="G255" t="s">
        <v>3416</v>
      </c>
      <c r="H255">
        <v>2</v>
      </c>
      <c r="I255" s="1">
        <v>3.3157894736842111</v>
      </c>
      <c r="J255" s="1">
        <v>12.34</v>
      </c>
      <c r="K255" s="1">
        <v>12.34</v>
      </c>
      <c r="L255" t="s">
        <v>6662</v>
      </c>
      <c r="M255" t="s">
        <v>3354</v>
      </c>
      <c r="N255" s="3">
        <v>2</v>
      </c>
      <c r="O255" s="3">
        <v>6.17</v>
      </c>
      <c r="P255" t="s">
        <v>12</v>
      </c>
    </row>
    <row r="256" spans="1:16" x14ac:dyDescent="0.25">
      <c r="A256">
        <v>3333</v>
      </c>
      <c r="B256">
        <v>1093432462</v>
      </c>
      <c r="C256">
        <v>1165991753</v>
      </c>
      <c r="D256" s="17" t="s">
        <v>6471</v>
      </c>
      <c r="E256" s="17" t="s">
        <v>4936</v>
      </c>
      <c r="F256" s="17" t="s">
        <v>3755</v>
      </c>
      <c r="G256" t="s">
        <v>3416</v>
      </c>
      <c r="H256">
        <v>1</v>
      </c>
      <c r="I256" s="1">
        <v>8.8421052631578938</v>
      </c>
      <c r="J256" s="1">
        <v>10.17</v>
      </c>
      <c r="K256" s="1">
        <v>10.17</v>
      </c>
      <c r="L256" t="s">
        <v>2087</v>
      </c>
      <c r="M256" t="s">
        <v>2058</v>
      </c>
      <c r="N256" s="3">
        <v>1</v>
      </c>
      <c r="O256" s="3">
        <v>10.17</v>
      </c>
      <c r="P256" t="s">
        <v>12</v>
      </c>
    </row>
    <row r="257" spans="1:16" x14ac:dyDescent="0.25">
      <c r="A257">
        <v>3334</v>
      </c>
      <c r="B257">
        <v>1093432462</v>
      </c>
      <c r="C257" t="s">
        <v>6292</v>
      </c>
      <c r="D257" s="17" t="s">
        <v>6473</v>
      </c>
      <c r="E257" s="17" t="s">
        <v>4936</v>
      </c>
      <c r="F257" s="17" t="s">
        <v>4268</v>
      </c>
      <c r="G257" t="s">
        <v>3530</v>
      </c>
      <c r="H257">
        <v>3</v>
      </c>
      <c r="I257" s="1">
        <v>26.526315789473681</v>
      </c>
      <c r="J257" s="1">
        <v>18.60873672442705</v>
      </c>
      <c r="K257" s="1">
        <v>18.60873672442705</v>
      </c>
      <c r="L257" t="s">
        <v>6662</v>
      </c>
      <c r="M257" t="s">
        <v>3354</v>
      </c>
      <c r="N257" s="3">
        <v>3</v>
      </c>
      <c r="O257" s="3">
        <v>6.2029120000000004</v>
      </c>
      <c r="P257" t="s">
        <v>12</v>
      </c>
    </row>
    <row r="258" spans="1:16" x14ac:dyDescent="0.25">
      <c r="A258">
        <v>3337</v>
      </c>
      <c r="B258">
        <v>1093426179</v>
      </c>
      <c r="C258">
        <v>1166294148</v>
      </c>
      <c r="D258" s="17" t="s">
        <v>6471</v>
      </c>
      <c r="E258" s="17" t="s">
        <v>4920</v>
      </c>
      <c r="F258" s="17" t="s">
        <v>3871</v>
      </c>
      <c r="G258" t="s">
        <v>3530</v>
      </c>
      <c r="H258">
        <v>1</v>
      </c>
      <c r="I258" s="1">
        <v>37.1</v>
      </c>
      <c r="J258" s="1">
        <v>31.202975143403442</v>
      </c>
      <c r="K258" s="1">
        <v>31.202975143403442</v>
      </c>
      <c r="L258" t="s">
        <v>2075</v>
      </c>
      <c r="M258" t="s">
        <v>6703</v>
      </c>
      <c r="N258" s="3">
        <v>1</v>
      </c>
      <c r="O258" s="3">
        <v>31.202974999999999</v>
      </c>
      <c r="P258" t="s">
        <v>12</v>
      </c>
    </row>
    <row r="259" spans="1:16" x14ac:dyDescent="0.25">
      <c r="A259">
        <v>3338</v>
      </c>
      <c r="B259">
        <v>1093422778</v>
      </c>
      <c r="C259">
        <v>1166600625</v>
      </c>
      <c r="D259" s="17" t="s">
        <v>6471</v>
      </c>
      <c r="E259" s="17" t="s">
        <v>4303</v>
      </c>
      <c r="F259" s="17" t="s">
        <v>3658</v>
      </c>
      <c r="G259" t="s">
        <v>3416</v>
      </c>
      <c r="H259">
        <v>4</v>
      </c>
      <c r="I259" s="1">
        <v>21.007906295754029</v>
      </c>
      <c r="J259" s="1">
        <v>2.2976744186046512</v>
      </c>
      <c r="K259" s="1">
        <v>2.2976744186046512</v>
      </c>
      <c r="L259" t="s">
        <v>2064</v>
      </c>
      <c r="M259" t="s">
        <v>2037</v>
      </c>
      <c r="N259" s="3">
        <v>1</v>
      </c>
      <c r="O259" s="3">
        <v>2.2976740000000002</v>
      </c>
      <c r="P259" t="s">
        <v>12</v>
      </c>
    </row>
    <row r="260" spans="1:16" x14ac:dyDescent="0.25">
      <c r="A260">
        <v>3339</v>
      </c>
      <c r="B260">
        <v>1093422778</v>
      </c>
      <c r="C260">
        <v>1247229759</v>
      </c>
      <c r="D260" s="17" t="s">
        <v>6471</v>
      </c>
      <c r="E260" s="17" t="s">
        <v>3891</v>
      </c>
      <c r="F260" s="17" t="s">
        <v>3551</v>
      </c>
      <c r="G260" t="s">
        <v>3416</v>
      </c>
      <c r="H260">
        <v>4</v>
      </c>
      <c r="I260" s="1">
        <v>7.3421571498291849</v>
      </c>
      <c r="J260" s="1">
        <v>13.25</v>
      </c>
      <c r="K260" s="1">
        <v>13.25</v>
      </c>
      <c r="L260" t="s">
        <v>600</v>
      </c>
      <c r="M260" t="s">
        <v>557</v>
      </c>
      <c r="N260" s="3">
        <v>4</v>
      </c>
      <c r="O260" s="3">
        <v>3.3125</v>
      </c>
      <c r="P260" t="s">
        <v>12</v>
      </c>
    </row>
    <row r="261" spans="1:16" x14ac:dyDescent="0.25">
      <c r="A261">
        <v>3340</v>
      </c>
      <c r="B261">
        <v>1093422778</v>
      </c>
      <c r="C261" t="s">
        <v>6297</v>
      </c>
      <c r="D261" s="17" t="s">
        <v>6473</v>
      </c>
      <c r="E261" s="17" t="s">
        <v>6298</v>
      </c>
      <c r="F261" s="17" t="s">
        <v>3551</v>
      </c>
      <c r="G261" t="s">
        <v>3416</v>
      </c>
      <c r="H261">
        <v>4</v>
      </c>
      <c r="I261" s="1">
        <v>4.9655051244509512</v>
      </c>
      <c r="J261" s="1">
        <v>7.4520930232558147</v>
      </c>
      <c r="K261" s="1">
        <v>7.4520930232558147</v>
      </c>
      <c r="L261" t="s">
        <v>6662</v>
      </c>
      <c r="M261" t="s">
        <v>3354</v>
      </c>
      <c r="N261" s="3">
        <v>4</v>
      </c>
      <c r="O261" s="3">
        <v>1.8630230000000001</v>
      </c>
      <c r="P261" t="s">
        <v>12</v>
      </c>
    </row>
    <row r="262" spans="1:16" x14ac:dyDescent="0.25">
      <c r="A262">
        <v>3343</v>
      </c>
      <c r="B262">
        <v>1093422778</v>
      </c>
      <c r="C262" t="s">
        <v>6295</v>
      </c>
      <c r="D262" s="17" t="s">
        <v>6473</v>
      </c>
      <c r="E262" s="17" t="s">
        <v>6296</v>
      </c>
      <c r="F262" s="17" t="s">
        <v>3551</v>
      </c>
      <c r="G262" t="s">
        <v>3416</v>
      </c>
      <c r="H262">
        <v>4</v>
      </c>
      <c r="I262" s="1">
        <v>1.230766227428014</v>
      </c>
      <c r="J262" s="1">
        <v>2.5082329317269081</v>
      </c>
      <c r="K262" s="1">
        <v>2.5082329317269081</v>
      </c>
      <c r="L262" t="s">
        <v>6662</v>
      </c>
      <c r="M262" t="s">
        <v>3354</v>
      </c>
      <c r="N262" s="3">
        <v>4</v>
      </c>
      <c r="O262" s="3">
        <v>0.627058</v>
      </c>
      <c r="P262" t="s">
        <v>12</v>
      </c>
    </row>
    <row r="263" spans="1:16" x14ac:dyDescent="0.25">
      <c r="A263">
        <v>3345</v>
      </c>
      <c r="B263">
        <v>1093422778</v>
      </c>
      <c r="C263">
        <v>1192612735</v>
      </c>
      <c r="D263" s="17" t="s">
        <v>6471</v>
      </c>
      <c r="E263" s="17" t="s">
        <v>4649</v>
      </c>
      <c r="F263" s="17" t="s">
        <v>3551</v>
      </c>
      <c r="G263" t="s">
        <v>3416</v>
      </c>
      <c r="H263">
        <v>4</v>
      </c>
      <c r="I263" s="1">
        <v>3.9469399707174229</v>
      </c>
      <c r="J263" s="1">
        <v>6.4458100558659215</v>
      </c>
      <c r="K263" s="1">
        <v>6.4458100558659215</v>
      </c>
      <c r="L263" t="s">
        <v>318</v>
      </c>
      <c r="M263" t="s">
        <v>1521</v>
      </c>
      <c r="N263" s="3">
        <v>4</v>
      </c>
      <c r="O263" s="3">
        <v>1.611453</v>
      </c>
      <c r="P263" t="s">
        <v>12</v>
      </c>
    </row>
    <row r="264" spans="1:16" ht="30" x14ac:dyDescent="0.25">
      <c r="A264">
        <v>3350</v>
      </c>
      <c r="B264">
        <v>1093422778</v>
      </c>
      <c r="C264">
        <v>1253816762</v>
      </c>
      <c r="D264" s="17" t="s">
        <v>6471</v>
      </c>
      <c r="E264" s="17" t="s">
        <v>3743</v>
      </c>
      <c r="F264" s="17" t="s">
        <v>3744</v>
      </c>
      <c r="G264" t="s">
        <v>3416</v>
      </c>
      <c r="H264">
        <v>4</v>
      </c>
      <c r="I264" s="1">
        <v>37.983992191312844</v>
      </c>
      <c r="J264" s="1">
        <v>5.25</v>
      </c>
      <c r="K264" s="1">
        <v>5.25</v>
      </c>
      <c r="L264" t="s">
        <v>450</v>
      </c>
      <c r="M264" t="s">
        <v>383</v>
      </c>
      <c r="N264" s="3">
        <v>4</v>
      </c>
      <c r="O264" s="3">
        <v>1.3125</v>
      </c>
      <c r="P264" t="s">
        <v>12</v>
      </c>
    </row>
    <row r="265" spans="1:16" x14ac:dyDescent="0.25">
      <c r="A265">
        <v>3355</v>
      </c>
      <c r="B265">
        <v>1093455927</v>
      </c>
      <c r="C265">
        <v>1248408245</v>
      </c>
      <c r="D265" s="17" t="s">
        <v>6471</v>
      </c>
      <c r="E265" s="17" t="s">
        <v>3821</v>
      </c>
      <c r="F265" s="17" t="s">
        <v>3658</v>
      </c>
      <c r="G265" t="s">
        <v>3530</v>
      </c>
      <c r="H265">
        <v>1</v>
      </c>
      <c r="I265" s="1">
        <v>5.95</v>
      </c>
      <c r="J265" s="1">
        <v>7.7980275229357803</v>
      </c>
      <c r="K265" s="1">
        <v>7.7980275229357803</v>
      </c>
      <c r="L265" t="s">
        <v>559</v>
      </c>
      <c r="M265" t="s">
        <v>487</v>
      </c>
      <c r="N265" s="3">
        <v>1</v>
      </c>
      <c r="O265" s="3">
        <v>7.7980280000000004</v>
      </c>
      <c r="P265" t="s">
        <v>12</v>
      </c>
    </row>
    <row r="266" spans="1:16" x14ac:dyDescent="0.25">
      <c r="A266">
        <v>3357</v>
      </c>
      <c r="B266">
        <v>1092930379</v>
      </c>
      <c r="C266">
        <v>1160321444</v>
      </c>
      <c r="D266" s="17" t="s">
        <v>6471</v>
      </c>
      <c r="E266" s="17" t="s">
        <v>4953</v>
      </c>
      <c r="F266" s="17" t="s">
        <v>3676</v>
      </c>
      <c r="G266" t="s">
        <v>3416</v>
      </c>
      <c r="H266">
        <v>1</v>
      </c>
      <c r="I266" s="1">
        <v>19.279603606820821</v>
      </c>
      <c r="J266" s="1">
        <v>12.17</v>
      </c>
      <c r="K266" s="1">
        <v>12.17</v>
      </c>
      <c r="L266" t="s">
        <v>2295</v>
      </c>
      <c r="M266" t="s">
        <v>2271</v>
      </c>
      <c r="N266" s="3">
        <v>1</v>
      </c>
      <c r="O266" s="3">
        <v>12.17</v>
      </c>
      <c r="P266" t="s">
        <v>12</v>
      </c>
    </row>
    <row r="267" spans="1:16" x14ac:dyDescent="0.25">
      <c r="A267">
        <v>3359</v>
      </c>
      <c r="B267">
        <v>1092930379</v>
      </c>
      <c r="C267">
        <v>1160267539</v>
      </c>
      <c r="D267" s="17" t="s">
        <v>6471</v>
      </c>
      <c r="E267" s="17" t="s">
        <v>4953</v>
      </c>
      <c r="F267" s="17" t="s">
        <v>3676</v>
      </c>
      <c r="G267" t="s">
        <v>3416</v>
      </c>
      <c r="H267">
        <v>1</v>
      </c>
      <c r="I267" s="1">
        <v>19.760548165342382</v>
      </c>
      <c r="J267" s="1">
        <v>12.17</v>
      </c>
      <c r="K267" s="1">
        <v>12.17</v>
      </c>
      <c r="L267" t="s">
        <v>2297</v>
      </c>
      <c r="M267" t="s">
        <v>2082</v>
      </c>
      <c r="N267" s="3">
        <v>1</v>
      </c>
      <c r="O267" s="3">
        <v>12.17</v>
      </c>
      <c r="P267" t="s">
        <v>12</v>
      </c>
    </row>
    <row r="268" spans="1:16" x14ac:dyDescent="0.25">
      <c r="A268">
        <v>3412</v>
      </c>
      <c r="B268">
        <v>1092677225</v>
      </c>
      <c r="C268">
        <v>1191858521</v>
      </c>
      <c r="D268" s="17" t="s">
        <v>6471</v>
      </c>
      <c r="E268" s="17" t="s">
        <v>4614</v>
      </c>
      <c r="F268" s="17" t="s">
        <v>3551</v>
      </c>
      <c r="G268" t="s">
        <v>3416</v>
      </c>
      <c r="H268">
        <v>3</v>
      </c>
      <c r="I268" s="1">
        <v>8.2450788151740877</v>
      </c>
      <c r="J268" s="1">
        <v>1.4553079178885631</v>
      </c>
      <c r="K268" s="1">
        <v>1.4553079178885631</v>
      </c>
      <c r="L268" t="s">
        <v>1557</v>
      </c>
      <c r="M268" t="s">
        <v>6678</v>
      </c>
      <c r="N268" s="3">
        <v>3</v>
      </c>
      <c r="O268" s="3">
        <v>0.48510300000000001</v>
      </c>
      <c r="P268" t="s">
        <v>12</v>
      </c>
    </row>
    <row r="269" spans="1:16" x14ac:dyDescent="0.25">
      <c r="A269">
        <v>3413</v>
      </c>
      <c r="B269">
        <v>1092677225</v>
      </c>
      <c r="C269">
        <v>1164075103</v>
      </c>
      <c r="D269" s="17" t="s">
        <v>6471</v>
      </c>
      <c r="E269" s="17" t="s">
        <v>4961</v>
      </c>
      <c r="F269" s="17" t="s">
        <v>3551</v>
      </c>
      <c r="G269" t="s">
        <v>3416</v>
      </c>
      <c r="H269">
        <v>4</v>
      </c>
      <c r="I269" s="1">
        <v>6.5784029100987356</v>
      </c>
      <c r="J269" s="1">
        <v>1.6019394895042871</v>
      </c>
      <c r="K269" s="1">
        <v>1.6019394895042871</v>
      </c>
      <c r="L269" t="s">
        <v>2163</v>
      </c>
      <c r="M269" t="s">
        <v>2124</v>
      </c>
      <c r="N269" s="3">
        <v>4</v>
      </c>
      <c r="O269" s="3">
        <v>0.40048499999999998</v>
      </c>
      <c r="P269" t="s">
        <v>12</v>
      </c>
    </row>
    <row r="270" spans="1:16" x14ac:dyDescent="0.25">
      <c r="A270">
        <v>3416</v>
      </c>
      <c r="B270">
        <v>1092677225</v>
      </c>
      <c r="C270">
        <v>1156606050</v>
      </c>
      <c r="D270" s="17" t="s">
        <v>6471</v>
      </c>
      <c r="E270" s="17" t="s">
        <v>5078</v>
      </c>
      <c r="F270" s="17" t="s">
        <v>4103</v>
      </c>
      <c r="G270" t="s">
        <v>3416</v>
      </c>
      <c r="H270">
        <v>2</v>
      </c>
      <c r="I270" s="1">
        <v>13.223031352849469</v>
      </c>
      <c r="J270" s="1">
        <v>3.1226139088729017</v>
      </c>
      <c r="K270" s="1">
        <v>3.1226139088729017</v>
      </c>
      <c r="L270" t="s">
        <v>2403</v>
      </c>
      <c r="M270" t="s">
        <v>2352</v>
      </c>
      <c r="N270" s="3">
        <v>1</v>
      </c>
      <c r="O270" s="3">
        <v>3.122614</v>
      </c>
      <c r="P270" t="s">
        <v>12</v>
      </c>
    </row>
    <row r="271" spans="1:16" x14ac:dyDescent="0.25">
      <c r="A271">
        <v>3426</v>
      </c>
      <c r="B271">
        <v>1092676783</v>
      </c>
      <c r="C271" t="s">
        <v>6333</v>
      </c>
      <c r="D271" s="17" t="s">
        <v>6473</v>
      </c>
      <c r="E271" s="17" t="s">
        <v>4618</v>
      </c>
      <c r="F271" s="17" t="s">
        <v>6334</v>
      </c>
      <c r="G271" t="s">
        <v>3416</v>
      </c>
      <c r="H271">
        <v>3</v>
      </c>
      <c r="I271" s="1">
        <v>32.529670329670331</v>
      </c>
      <c r="J271" s="1">
        <v>17.7</v>
      </c>
      <c r="K271" s="1">
        <v>17.7</v>
      </c>
      <c r="L271" t="s">
        <v>6662</v>
      </c>
      <c r="M271" t="s">
        <v>3370</v>
      </c>
      <c r="N271" s="3">
        <v>3</v>
      </c>
      <c r="O271" s="3">
        <v>5.9</v>
      </c>
      <c r="P271" t="s">
        <v>12</v>
      </c>
    </row>
    <row r="272" spans="1:16" x14ac:dyDescent="0.25">
      <c r="A272">
        <v>3430</v>
      </c>
      <c r="B272">
        <v>1091618411</v>
      </c>
      <c r="C272">
        <v>1147461534</v>
      </c>
      <c r="D272" s="17" t="s">
        <v>6471</v>
      </c>
      <c r="E272" s="17" t="s">
        <v>4866</v>
      </c>
      <c r="F272" s="17" t="s">
        <v>4918</v>
      </c>
      <c r="G272" t="s">
        <v>3530</v>
      </c>
      <c r="H272">
        <v>1</v>
      </c>
      <c r="I272" s="1">
        <v>26.57552732871439</v>
      </c>
      <c r="J272" s="1">
        <v>13.21</v>
      </c>
      <c r="K272" s="1">
        <v>13.21</v>
      </c>
      <c r="L272" t="s">
        <v>2590</v>
      </c>
      <c r="M272" t="s">
        <v>2588</v>
      </c>
      <c r="N272" s="3">
        <v>1</v>
      </c>
      <c r="O272" s="3">
        <v>13.21</v>
      </c>
      <c r="P272" t="s">
        <v>12</v>
      </c>
    </row>
    <row r="273" spans="1:16" x14ac:dyDescent="0.25">
      <c r="A273">
        <v>3435</v>
      </c>
      <c r="B273">
        <v>1091618411</v>
      </c>
      <c r="C273">
        <v>1250212850</v>
      </c>
      <c r="D273" s="17" t="s">
        <v>6471</v>
      </c>
      <c r="E273" s="17" t="s">
        <v>3800</v>
      </c>
      <c r="F273" s="17" t="s">
        <v>3720</v>
      </c>
      <c r="G273" t="s">
        <v>3416</v>
      </c>
      <c r="H273">
        <v>4</v>
      </c>
      <c r="I273" s="1">
        <v>1.9939953810623561</v>
      </c>
      <c r="J273" s="1">
        <v>1.1098484848484849</v>
      </c>
      <c r="K273" s="1">
        <v>1.1098484848484849</v>
      </c>
      <c r="L273" t="s">
        <v>511</v>
      </c>
      <c r="M273" t="s">
        <v>470</v>
      </c>
      <c r="N273" s="3">
        <v>4</v>
      </c>
      <c r="O273" s="3">
        <v>0.27746199999999999</v>
      </c>
      <c r="P273" t="s">
        <v>12</v>
      </c>
    </row>
    <row r="274" spans="1:16" x14ac:dyDescent="0.25">
      <c r="A274">
        <v>3437</v>
      </c>
      <c r="B274">
        <v>1091618411</v>
      </c>
      <c r="C274">
        <v>1249422644</v>
      </c>
      <c r="D274" s="17" t="s">
        <v>6471</v>
      </c>
      <c r="E274" s="17" t="s">
        <v>3824</v>
      </c>
      <c r="F274" s="17" t="s">
        <v>3825</v>
      </c>
      <c r="G274" t="s">
        <v>3416</v>
      </c>
      <c r="H274">
        <v>4</v>
      </c>
      <c r="I274" s="1">
        <v>3.279014626635874</v>
      </c>
      <c r="J274" s="1">
        <v>2.2000000000000002</v>
      </c>
      <c r="K274" s="1">
        <v>2.2000000000000002</v>
      </c>
      <c r="L274" t="s">
        <v>531</v>
      </c>
      <c r="M274" t="s">
        <v>487</v>
      </c>
      <c r="N274" s="3">
        <v>3</v>
      </c>
      <c r="O274" s="3">
        <v>0.73333300000000001</v>
      </c>
      <c r="P274" t="s">
        <v>12</v>
      </c>
    </row>
    <row r="275" spans="1:16" x14ac:dyDescent="0.25">
      <c r="A275">
        <v>3438</v>
      </c>
      <c r="B275">
        <v>1091408288</v>
      </c>
      <c r="C275">
        <v>1165316514</v>
      </c>
      <c r="D275" s="17" t="s">
        <v>6471</v>
      </c>
      <c r="E275" s="17" t="s">
        <v>4297</v>
      </c>
      <c r="F275" s="17" t="s">
        <v>3768</v>
      </c>
      <c r="G275" t="s">
        <v>3416</v>
      </c>
      <c r="H275">
        <v>2</v>
      </c>
      <c r="I275" s="1">
        <v>39.358825816485222</v>
      </c>
      <c r="J275" s="1">
        <v>11.98558139534884</v>
      </c>
      <c r="K275" s="1">
        <v>11.985581395348836</v>
      </c>
      <c r="L275" t="s">
        <v>695</v>
      </c>
      <c r="M275" t="s">
        <v>2082</v>
      </c>
      <c r="N275" s="3">
        <v>1</v>
      </c>
      <c r="O275" s="3">
        <v>11.985581</v>
      </c>
      <c r="P275" t="s">
        <v>12</v>
      </c>
    </row>
    <row r="276" spans="1:16" x14ac:dyDescent="0.25">
      <c r="A276">
        <v>3443</v>
      </c>
      <c r="B276">
        <v>1091408288</v>
      </c>
      <c r="C276">
        <v>1209191236</v>
      </c>
      <c r="D276" s="17" t="s">
        <v>6471</v>
      </c>
      <c r="E276" s="17" t="s">
        <v>4328</v>
      </c>
      <c r="F276" s="17" t="s">
        <v>3551</v>
      </c>
      <c r="G276" t="s">
        <v>3416</v>
      </c>
      <c r="H276">
        <v>4</v>
      </c>
      <c r="I276" s="1">
        <v>5.1924572317262827</v>
      </c>
      <c r="J276" s="1">
        <v>5.13</v>
      </c>
      <c r="K276" s="1">
        <v>5.13</v>
      </c>
      <c r="L276" t="s">
        <v>208</v>
      </c>
      <c r="M276" t="s">
        <v>6708</v>
      </c>
      <c r="N276" s="3">
        <v>4</v>
      </c>
      <c r="O276" s="3">
        <v>1.2825</v>
      </c>
      <c r="P276" t="s">
        <v>12</v>
      </c>
    </row>
    <row r="277" spans="1:16" x14ac:dyDescent="0.25">
      <c r="A277">
        <v>3453</v>
      </c>
      <c r="B277">
        <v>1091327068</v>
      </c>
      <c r="C277">
        <v>1157668500</v>
      </c>
      <c r="D277" s="17" t="s">
        <v>6471</v>
      </c>
      <c r="E277" s="17" t="s">
        <v>5070</v>
      </c>
      <c r="F277" s="17" t="s">
        <v>4049</v>
      </c>
      <c r="G277" t="s">
        <v>3416</v>
      </c>
      <c r="H277">
        <v>1</v>
      </c>
      <c r="I277" s="1">
        <v>3.164251207729468</v>
      </c>
      <c r="J277" s="1">
        <v>2.1470207253886011</v>
      </c>
      <c r="K277" s="1">
        <v>2.1470207253886011</v>
      </c>
      <c r="L277" t="s">
        <v>2363</v>
      </c>
      <c r="M277" t="s">
        <v>2323</v>
      </c>
      <c r="N277" s="3">
        <v>1</v>
      </c>
      <c r="O277" s="3">
        <v>2.1470210000000001</v>
      </c>
      <c r="P277" t="s">
        <v>12</v>
      </c>
    </row>
    <row r="278" spans="1:16" x14ac:dyDescent="0.25">
      <c r="A278">
        <v>3454</v>
      </c>
      <c r="B278">
        <v>1091327068</v>
      </c>
      <c r="C278">
        <v>1120143415</v>
      </c>
      <c r="D278" s="17" t="s">
        <v>6471</v>
      </c>
      <c r="E278" s="17" t="s">
        <v>5674</v>
      </c>
      <c r="F278" s="17" t="s">
        <v>3551</v>
      </c>
      <c r="G278" t="s">
        <v>3416</v>
      </c>
      <c r="H278">
        <v>1</v>
      </c>
      <c r="I278" s="1">
        <v>93.345410628019323</v>
      </c>
      <c r="J278" s="1">
        <v>130.28</v>
      </c>
      <c r="K278" s="1">
        <v>130.28</v>
      </c>
      <c r="L278" t="s">
        <v>1278</v>
      </c>
      <c r="M278" t="s">
        <v>6709</v>
      </c>
      <c r="N278" s="3">
        <v>1</v>
      </c>
      <c r="O278" s="3">
        <v>130.28</v>
      </c>
      <c r="P278" t="s">
        <v>12</v>
      </c>
    </row>
    <row r="279" spans="1:16" x14ac:dyDescent="0.25">
      <c r="A279">
        <v>3458</v>
      </c>
      <c r="B279">
        <v>1090971436</v>
      </c>
      <c r="C279">
        <v>1276609179</v>
      </c>
      <c r="D279" s="17" t="s">
        <v>6471</v>
      </c>
      <c r="E279" s="17" t="s">
        <v>3550</v>
      </c>
      <c r="F279" s="17" t="s">
        <v>3551</v>
      </c>
      <c r="G279" t="s">
        <v>3416</v>
      </c>
      <c r="H279">
        <v>4</v>
      </c>
      <c r="I279" s="1">
        <v>1.3230318564628341</v>
      </c>
      <c r="J279" s="1">
        <v>1.95</v>
      </c>
      <c r="K279" s="1">
        <v>1.95</v>
      </c>
      <c r="L279" t="s">
        <v>199</v>
      </c>
      <c r="M279" t="s">
        <v>171</v>
      </c>
      <c r="N279" s="3">
        <v>2</v>
      </c>
      <c r="O279" s="3">
        <v>0.97499999999999998</v>
      </c>
      <c r="P279" t="s">
        <v>12</v>
      </c>
    </row>
    <row r="280" spans="1:16" x14ac:dyDescent="0.25">
      <c r="A280">
        <v>3463</v>
      </c>
      <c r="B280">
        <v>1090683868</v>
      </c>
      <c r="C280">
        <v>1198652187</v>
      </c>
      <c r="D280" s="17" t="s">
        <v>6471</v>
      </c>
      <c r="E280" s="17" t="s">
        <v>4560</v>
      </c>
      <c r="F280" s="17" t="s">
        <v>4561</v>
      </c>
      <c r="G280" t="s">
        <v>3530</v>
      </c>
      <c r="H280">
        <v>2</v>
      </c>
      <c r="I280" s="1">
        <v>1.0739666424945611</v>
      </c>
      <c r="J280" s="1">
        <v>16.096088328075712</v>
      </c>
      <c r="K280" s="1">
        <v>16.096088328075712</v>
      </c>
      <c r="L280" t="s">
        <v>1421</v>
      </c>
      <c r="M280" t="s">
        <v>1392</v>
      </c>
      <c r="N280" s="3">
        <v>3</v>
      </c>
      <c r="O280" s="3">
        <v>5.3653630000000003</v>
      </c>
      <c r="P280" t="s">
        <v>12</v>
      </c>
    </row>
    <row r="281" spans="1:16" x14ac:dyDescent="0.25">
      <c r="A281">
        <v>3471</v>
      </c>
      <c r="B281">
        <v>1089777804</v>
      </c>
      <c r="C281">
        <v>1166571421</v>
      </c>
      <c r="D281" s="17" t="s">
        <v>6471</v>
      </c>
      <c r="E281" s="17" t="s">
        <v>4933</v>
      </c>
      <c r="F281" s="17" t="s">
        <v>3718</v>
      </c>
      <c r="G281" t="s">
        <v>3416</v>
      </c>
      <c r="H281">
        <v>2</v>
      </c>
      <c r="I281" s="1">
        <v>10.83154981549816</v>
      </c>
      <c r="J281" s="1">
        <v>7.12</v>
      </c>
      <c r="K281" s="1">
        <v>7.12</v>
      </c>
      <c r="L281" t="s">
        <v>1635</v>
      </c>
      <c r="M281" t="s">
        <v>2050</v>
      </c>
      <c r="N281" s="3">
        <v>2</v>
      </c>
      <c r="O281" s="3">
        <v>3.56</v>
      </c>
      <c r="P281" t="s">
        <v>12</v>
      </c>
    </row>
    <row r="282" spans="1:16" x14ac:dyDescent="0.25">
      <c r="A282">
        <v>3474</v>
      </c>
      <c r="B282">
        <v>1089777804</v>
      </c>
      <c r="C282">
        <v>1242114768</v>
      </c>
      <c r="D282" s="17" t="s">
        <v>6471</v>
      </c>
      <c r="E282" s="17" t="s">
        <v>3665</v>
      </c>
      <c r="F282" s="17" t="s">
        <v>3666</v>
      </c>
      <c r="G282" t="s">
        <v>3416</v>
      </c>
      <c r="H282">
        <v>1</v>
      </c>
      <c r="I282" s="1">
        <v>1.2582103321033209</v>
      </c>
      <c r="J282" s="1">
        <v>0.94333333333333336</v>
      </c>
      <c r="K282" s="1">
        <v>0.94333333333333336</v>
      </c>
      <c r="L282" t="s">
        <v>726</v>
      </c>
      <c r="M282" t="s">
        <v>686</v>
      </c>
      <c r="N282" s="3">
        <v>1</v>
      </c>
      <c r="O282" s="3">
        <v>0.94333299999999998</v>
      </c>
      <c r="P282" t="s">
        <v>12</v>
      </c>
    </row>
    <row r="283" spans="1:16" x14ac:dyDescent="0.25">
      <c r="A283">
        <v>3480</v>
      </c>
      <c r="B283">
        <v>1089600453</v>
      </c>
      <c r="C283">
        <v>1191918896</v>
      </c>
      <c r="D283" s="17" t="s">
        <v>6471</v>
      </c>
      <c r="E283" s="17" t="s">
        <v>4645</v>
      </c>
      <c r="F283" s="17" t="s">
        <v>4646</v>
      </c>
      <c r="G283" t="s">
        <v>3530</v>
      </c>
      <c r="H283">
        <v>1</v>
      </c>
      <c r="I283" s="1">
        <v>5.628449197860963</v>
      </c>
      <c r="J283" s="1">
        <v>6.32</v>
      </c>
      <c r="K283" s="1">
        <v>6.32</v>
      </c>
      <c r="L283" t="s">
        <v>1555</v>
      </c>
      <c r="M283" t="s">
        <v>1519</v>
      </c>
      <c r="N283" s="3">
        <v>1</v>
      </c>
      <c r="O283" s="3">
        <v>6.32</v>
      </c>
      <c r="P283" t="s">
        <v>12</v>
      </c>
    </row>
    <row r="284" spans="1:16" x14ac:dyDescent="0.25">
      <c r="A284">
        <v>3484</v>
      </c>
      <c r="B284">
        <v>1089600453</v>
      </c>
      <c r="C284">
        <v>1208194604</v>
      </c>
      <c r="D284" s="17" t="s">
        <v>6471</v>
      </c>
      <c r="E284" s="17" t="s">
        <v>4340</v>
      </c>
      <c r="F284" s="17" t="s">
        <v>3718</v>
      </c>
      <c r="G284" t="s">
        <v>3416</v>
      </c>
      <c r="H284">
        <v>4</v>
      </c>
      <c r="I284" s="1">
        <v>1.3783957219251339</v>
      </c>
      <c r="J284" s="1">
        <v>7.28</v>
      </c>
      <c r="K284" s="1">
        <v>7.28</v>
      </c>
      <c r="L284" t="s">
        <v>1251</v>
      </c>
      <c r="M284" t="s">
        <v>1219</v>
      </c>
      <c r="N284" s="3">
        <v>1</v>
      </c>
      <c r="O284" s="3">
        <v>7.28</v>
      </c>
      <c r="P284" t="s">
        <v>12</v>
      </c>
    </row>
    <row r="285" spans="1:16" x14ac:dyDescent="0.25">
      <c r="A285">
        <v>3485</v>
      </c>
      <c r="B285">
        <v>1089600453</v>
      </c>
      <c r="C285">
        <v>1250094794</v>
      </c>
      <c r="D285" s="17" t="s">
        <v>6471</v>
      </c>
      <c r="E285" s="17" t="s">
        <v>3822</v>
      </c>
      <c r="F285" s="17" t="s">
        <v>3823</v>
      </c>
      <c r="G285" t="s">
        <v>3416</v>
      </c>
      <c r="H285">
        <v>4</v>
      </c>
      <c r="I285" s="1">
        <v>2.0675935828876999</v>
      </c>
      <c r="J285" s="1">
        <v>3.45</v>
      </c>
      <c r="K285" s="1">
        <v>3.45</v>
      </c>
      <c r="L285" t="s">
        <v>520</v>
      </c>
      <c r="M285" t="s">
        <v>487</v>
      </c>
      <c r="N285" s="3">
        <v>4</v>
      </c>
      <c r="O285" s="3">
        <v>0.86250000000000004</v>
      </c>
      <c r="P285" t="s">
        <v>12</v>
      </c>
    </row>
    <row r="286" spans="1:16" x14ac:dyDescent="0.25">
      <c r="A286">
        <v>3500</v>
      </c>
      <c r="B286">
        <v>1089600453</v>
      </c>
      <c r="C286">
        <v>1241668804</v>
      </c>
      <c r="D286" s="17" t="s">
        <v>6471</v>
      </c>
      <c r="E286" s="17" t="s">
        <v>3986</v>
      </c>
      <c r="F286" s="17" t="s">
        <v>3987</v>
      </c>
      <c r="G286" t="s">
        <v>3416</v>
      </c>
      <c r="H286">
        <v>3</v>
      </c>
      <c r="I286" s="1">
        <v>6.7196791443850259</v>
      </c>
      <c r="J286" s="1">
        <v>6.7514150943396221</v>
      </c>
      <c r="K286" s="1">
        <v>6.7514150943396221</v>
      </c>
      <c r="L286" t="s">
        <v>742</v>
      </c>
      <c r="M286" t="s">
        <v>707</v>
      </c>
      <c r="N286" s="3">
        <v>3</v>
      </c>
      <c r="O286" s="3">
        <v>2.2504719999999998</v>
      </c>
      <c r="P286" t="s">
        <v>12</v>
      </c>
    </row>
    <row r="287" spans="1:16" x14ac:dyDescent="0.25">
      <c r="A287">
        <v>3506</v>
      </c>
      <c r="B287">
        <v>1089379499</v>
      </c>
      <c r="C287">
        <v>1252089479</v>
      </c>
      <c r="D287" s="17" t="s">
        <v>6471</v>
      </c>
      <c r="E287" s="17" t="s">
        <v>3767</v>
      </c>
      <c r="F287" s="17" t="s">
        <v>3768</v>
      </c>
      <c r="G287" t="s">
        <v>3416</v>
      </c>
      <c r="H287">
        <v>3</v>
      </c>
      <c r="I287" s="1">
        <v>16.71421902353628</v>
      </c>
      <c r="J287" s="1">
        <v>3.2032051282051279</v>
      </c>
      <c r="K287" s="1">
        <v>3.2032051282051279</v>
      </c>
      <c r="L287" t="s">
        <v>479</v>
      </c>
      <c r="M287" t="s">
        <v>445</v>
      </c>
      <c r="N287" s="3">
        <v>3</v>
      </c>
      <c r="O287" s="3">
        <v>1.0677350000000001</v>
      </c>
      <c r="P287" t="s">
        <v>12</v>
      </c>
    </row>
    <row r="288" spans="1:16" x14ac:dyDescent="0.25">
      <c r="A288">
        <v>3508</v>
      </c>
      <c r="B288">
        <v>1089379499</v>
      </c>
      <c r="C288">
        <v>1207830871</v>
      </c>
      <c r="D288" s="17" t="s">
        <v>6471</v>
      </c>
      <c r="E288" s="17" t="s">
        <v>4340</v>
      </c>
      <c r="F288" s="17" t="s">
        <v>3718</v>
      </c>
      <c r="G288" t="s">
        <v>3416</v>
      </c>
      <c r="H288">
        <v>4</v>
      </c>
      <c r="I288" s="1">
        <v>3.75148803734682</v>
      </c>
      <c r="J288" s="1">
        <v>4.33</v>
      </c>
      <c r="K288" s="1">
        <v>4.33</v>
      </c>
      <c r="L288" t="s">
        <v>1260</v>
      </c>
      <c r="M288" t="s">
        <v>1231</v>
      </c>
      <c r="N288" s="3">
        <v>3</v>
      </c>
      <c r="O288" s="3">
        <v>1.443333</v>
      </c>
      <c r="P288" t="s">
        <v>12</v>
      </c>
    </row>
    <row r="289" spans="1:16" x14ac:dyDescent="0.25">
      <c r="A289">
        <v>3510</v>
      </c>
      <c r="B289">
        <v>1089379499</v>
      </c>
      <c r="C289">
        <v>1143673463</v>
      </c>
      <c r="D289" s="17" t="s">
        <v>6471</v>
      </c>
      <c r="E289" s="17" t="s">
        <v>5213</v>
      </c>
      <c r="F289" s="17" t="s">
        <v>4147</v>
      </c>
      <c r="G289" t="s">
        <v>3530</v>
      </c>
      <c r="H289">
        <v>1</v>
      </c>
      <c r="I289" s="1">
        <v>17.853063606302271</v>
      </c>
      <c r="J289" s="1">
        <v>10.63802083333333</v>
      </c>
      <c r="K289" s="1">
        <v>10.638020833333334</v>
      </c>
      <c r="L289" t="s">
        <v>2662</v>
      </c>
      <c r="M289" t="s">
        <v>2638</v>
      </c>
      <c r="N289" s="3">
        <v>1</v>
      </c>
      <c r="O289" s="3">
        <v>10.638021</v>
      </c>
      <c r="P289" t="s">
        <v>12</v>
      </c>
    </row>
    <row r="290" spans="1:16" x14ac:dyDescent="0.25">
      <c r="A290">
        <v>3519</v>
      </c>
      <c r="B290">
        <v>1088899357</v>
      </c>
      <c r="C290">
        <v>1142998778</v>
      </c>
      <c r="D290" s="17" t="s">
        <v>6471</v>
      </c>
      <c r="E290" s="17" t="s">
        <v>5213</v>
      </c>
      <c r="F290" s="17" t="s">
        <v>4147</v>
      </c>
      <c r="G290" t="s">
        <v>3530</v>
      </c>
      <c r="H290">
        <v>1</v>
      </c>
      <c r="I290" s="1">
        <v>17.724518290474471</v>
      </c>
      <c r="J290" s="1">
        <v>10.671263275572951</v>
      </c>
      <c r="K290" s="1">
        <v>10.671263275572946</v>
      </c>
      <c r="L290" t="s">
        <v>2677</v>
      </c>
      <c r="M290" t="s">
        <v>6710</v>
      </c>
      <c r="N290" s="3">
        <v>1</v>
      </c>
      <c r="O290" s="3">
        <v>10.671263</v>
      </c>
      <c r="P290" t="s">
        <v>12</v>
      </c>
    </row>
    <row r="291" spans="1:16" x14ac:dyDescent="0.25">
      <c r="A291">
        <v>3535</v>
      </c>
      <c r="B291">
        <v>1088514779</v>
      </c>
      <c r="C291">
        <v>1145276964</v>
      </c>
      <c r="D291" s="17" t="s">
        <v>6471</v>
      </c>
      <c r="E291" s="17" t="s">
        <v>4520</v>
      </c>
      <c r="F291" s="17" t="s">
        <v>5229</v>
      </c>
      <c r="G291" t="s">
        <v>3530</v>
      </c>
      <c r="H291">
        <v>1</v>
      </c>
      <c r="I291" s="1">
        <v>2.24606240330067</v>
      </c>
      <c r="J291" s="1">
        <v>4.21</v>
      </c>
      <c r="K291" s="1">
        <v>4.21</v>
      </c>
      <c r="L291" t="s">
        <v>2634</v>
      </c>
      <c r="M291" t="s">
        <v>6711</v>
      </c>
      <c r="N291" s="3">
        <v>1</v>
      </c>
      <c r="O291" s="3">
        <v>4.21</v>
      </c>
      <c r="P291" t="s">
        <v>12</v>
      </c>
    </row>
    <row r="292" spans="1:16" x14ac:dyDescent="0.25">
      <c r="A292">
        <v>3558</v>
      </c>
      <c r="B292">
        <v>1088204073</v>
      </c>
      <c r="C292">
        <v>1248630308</v>
      </c>
      <c r="D292" s="17" t="s">
        <v>6471</v>
      </c>
      <c r="E292" s="17" t="s">
        <v>3877</v>
      </c>
      <c r="F292" s="17" t="s">
        <v>3742</v>
      </c>
      <c r="G292" t="s">
        <v>3453</v>
      </c>
      <c r="H292">
        <v>3</v>
      </c>
      <c r="I292" s="1">
        <v>8.3422854387656713</v>
      </c>
      <c r="J292" s="1">
        <v>2.3258695652173911</v>
      </c>
      <c r="K292" s="1">
        <v>2.3258695652173911</v>
      </c>
      <c r="L292" t="s">
        <v>556</v>
      </c>
      <c r="M292" t="s">
        <v>512</v>
      </c>
      <c r="N292" s="3">
        <v>1</v>
      </c>
      <c r="O292" s="3">
        <v>2.3258700000000001</v>
      </c>
      <c r="P292" t="s">
        <v>12</v>
      </c>
    </row>
    <row r="293" spans="1:16" x14ac:dyDescent="0.25">
      <c r="A293">
        <v>3562</v>
      </c>
      <c r="B293">
        <v>1088204073</v>
      </c>
      <c r="C293">
        <v>1247288758</v>
      </c>
      <c r="D293" s="17" t="s">
        <v>6471</v>
      </c>
      <c r="E293" s="17" t="s">
        <v>3892</v>
      </c>
      <c r="F293" s="17" t="s">
        <v>3797</v>
      </c>
      <c r="G293" t="s">
        <v>3416</v>
      </c>
      <c r="H293">
        <v>4</v>
      </c>
      <c r="I293" s="1">
        <v>4.3130183220829306</v>
      </c>
      <c r="J293" s="1">
        <v>10.25</v>
      </c>
      <c r="K293" s="1">
        <v>10.25</v>
      </c>
      <c r="L293" t="s">
        <v>593</v>
      </c>
      <c r="M293" t="s">
        <v>557</v>
      </c>
      <c r="N293" s="3">
        <v>4</v>
      </c>
      <c r="O293" s="3">
        <v>2.5625</v>
      </c>
      <c r="P293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C13"/>
  <sheetViews>
    <sheetView workbookViewId="0"/>
  </sheetViews>
  <sheetFormatPr baseColWidth="10" defaultColWidth="9.140625" defaultRowHeight="15" x14ac:dyDescent="0.25"/>
  <cols>
    <col min="1" max="2" width="18" customWidth="1"/>
    <col min="3" max="3" width="24" customWidth="1"/>
  </cols>
  <sheetData>
    <row r="1" spans="1:3" x14ac:dyDescent="0.25">
      <c r="A1" t="s">
        <v>6447</v>
      </c>
      <c r="B1" t="s">
        <v>6</v>
      </c>
      <c r="C1" t="s">
        <v>7</v>
      </c>
    </row>
    <row r="2" spans="1:3" x14ac:dyDescent="0.25">
      <c r="A2" t="s">
        <v>3416</v>
      </c>
      <c r="B2" t="s">
        <v>11</v>
      </c>
      <c r="C2" t="s">
        <v>12</v>
      </c>
    </row>
    <row r="3" spans="1:3" x14ac:dyDescent="0.25">
      <c r="A3" t="s">
        <v>3530</v>
      </c>
      <c r="B3" t="s">
        <v>48</v>
      </c>
      <c r="C3" t="s">
        <v>2314</v>
      </c>
    </row>
    <row r="4" spans="1:3" x14ac:dyDescent="0.25">
      <c r="A4" t="s">
        <v>3453</v>
      </c>
      <c r="B4" t="s">
        <v>38</v>
      </c>
      <c r="C4" t="s">
        <v>16</v>
      </c>
    </row>
    <row r="5" spans="1:3" x14ac:dyDescent="0.25">
      <c r="A5" t="s">
        <v>3828</v>
      </c>
      <c r="C5" t="s">
        <v>266</v>
      </c>
    </row>
    <row r="6" spans="1:3" x14ac:dyDescent="0.25">
      <c r="A6" t="s">
        <v>3831</v>
      </c>
    </row>
    <row r="7" spans="1:3" x14ac:dyDescent="0.25">
      <c r="A7" t="s">
        <v>3931</v>
      </c>
    </row>
    <row r="8" spans="1:3" x14ac:dyDescent="0.25">
      <c r="A8" t="s">
        <v>6449</v>
      </c>
    </row>
    <row r="9" spans="1:3" x14ac:dyDescent="0.25">
      <c r="A9" t="s">
        <v>6033</v>
      </c>
    </row>
    <row r="10" spans="1:3" x14ac:dyDescent="0.25">
      <c r="A10" t="s">
        <v>6450</v>
      </c>
    </row>
    <row r="11" spans="1:3" x14ac:dyDescent="0.25">
      <c r="A11" t="s">
        <v>4226</v>
      </c>
    </row>
    <row r="12" spans="1:3" x14ac:dyDescent="0.25">
      <c r="A12" t="s">
        <v>3640</v>
      </c>
    </row>
    <row r="13" spans="1:3" x14ac:dyDescent="0.25">
      <c r="A13" t="s">
        <v>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Pedidos CardMarket</vt:lpstr>
      <vt:lpstr>Colección</vt:lpstr>
      <vt:lpstr>Tablas</vt:lpstr>
      <vt:lpstr>Graficos Legacy</vt:lpstr>
      <vt:lpstr>Aux Graficos</vt:lpstr>
      <vt:lpstr>Resumen actualización</vt:lpstr>
      <vt:lpstr>Mapeo Hareruya</vt:lpstr>
      <vt:lpstr>Pedidos WhatsApp</vt:lpstr>
      <vt:lpstr>Desglose Compra Venta</vt:lpstr>
      <vt:lpstr>Listas de 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Julen Hurtado de Saracho Garcia</cp:lastModifiedBy>
  <dcterms:modified xsi:type="dcterms:W3CDTF">2026-07-02T12:06:15Z</dcterms:modified>
</cp:coreProperties>
</file>